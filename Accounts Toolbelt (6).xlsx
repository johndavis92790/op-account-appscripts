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newal Opportunities" sheetId="1" r:id="rId5"/>
    <sheet state="visible" name="Webhook Alerts" sheetId="2" r:id="rId6"/>
    <sheet state="visible" name="Notes Storage" sheetId="3" r:id="rId7"/>
    <sheet state="visible" name="Account Data Raw" sheetId="4" r:id="rId8"/>
    <sheet state="visible" name="Opptys Report" sheetId="5" r:id="rId9"/>
    <sheet state="visible" name="Accounts Card Report" sheetId="6" r:id="rId10"/>
    <sheet state="visible" name="AE API Key" sheetId="7" r:id="rId11"/>
    <sheet state="visible" name="Accounts to Email Domains Mappi" sheetId="8" r:id="rId12"/>
    <sheet state="hidden" name="Email Sync State" sheetId="9" r:id="rId13"/>
    <sheet state="visible" name="Calendar Events" sheetId="10" r:id="rId14"/>
    <sheet state="visible" name="Webhook Meeting Recaps" sheetId="11" r:id="rId15"/>
    <sheet state="visible" name="Meeting Action Items" sheetId="12" r:id="rId16"/>
    <sheet state="visible" name="Others Action Items" sheetId="13" r:id="rId17"/>
    <sheet state="visible" name="GitHub Tasks" sheetId="14" r:id="rId18"/>
    <sheet state="visible" name="Email Communications" sheetId="15" r:id="rId19"/>
  </sheets>
  <definedNames>
    <definedName hidden="1" localSheetId="3" name="_xlnm._FilterDatabase">'Account Data Raw'!$A$1:$AN$43</definedName>
    <definedName hidden="1" localSheetId="14" name="_xlnm._FilterDatabase">'Email Communications'!$A$1:$O$995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Enter email domains (e.g., company.com, example.org) separated by commas</t>
      </text>
    </comment>
    <comment authorId="0" ref="C3">
      <text>
        <t xml:space="preserve">Enter email domains (e.g., company.com, example.org) separated by commas</t>
      </text>
    </comment>
    <comment authorId="0" ref="C4">
      <text>
        <t xml:space="preserve">Enter email domains (e.g., company.com, example.org) separated by commas</t>
      </text>
    </comment>
    <comment authorId="0" ref="C5">
      <text>
        <t xml:space="preserve">Enter email domains (e.g., company.com, example.org) separated by commas</t>
      </text>
    </comment>
    <comment authorId="0" ref="C6">
      <text>
        <t xml:space="preserve">Enter email domains (e.g., company.com, example.org) separated by commas</t>
      </text>
    </comment>
    <comment authorId="0" ref="C7">
      <text>
        <t xml:space="preserve">Enter email domains (e.g., company.com, example.org) separated by commas</t>
      </text>
    </comment>
    <comment authorId="0" ref="C8">
      <text>
        <t xml:space="preserve">Enter email domains (e.g., company.com, example.org) separated by commas</t>
      </text>
    </comment>
    <comment authorId="0" ref="C9">
      <text>
        <t xml:space="preserve">Enter email domains (e.g., company.com, example.org) separated by commas</t>
      </text>
    </comment>
    <comment authorId="0" ref="C10">
      <text>
        <t xml:space="preserve">Enter email domains (e.g., company.com, example.org) separated by commas</t>
      </text>
    </comment>
    <comment authorId="0" ref="C11">
      <text>
        <t xml:space="preserve">Enter email domains (e.g., company.com, example.org) separated by commas</t>
      </text>
    </comment>
    <comment authorId="0" ref="C12">
      <text>
        <t xml:space="preserve">Enter email domains (e.g., company.com, example.org) separated by commas</t>
      </text>
    </comment>
    <comment authorId="0" ref="C13">
      <text>
        <t xml:space="preserve">Enter email domains (e.g., company.com, example.org) separated by commas</t>
      </text>
    </comment>
    <comment authorId="0" ref="C14">
      <text>
        <t xml:space="preserve">Enter email domains (e.g., company.com, example.org) separated by commas</t>
      </text>
    </comment>
    <comment authorId="0" ref="C15">
      <text>
        <t xml:space="preserve">Enter email domains (e.g., company.com, example.org) separated by commas</t>
      </text>
    </comment>
    <comment authorId="0" ref="C16">
      <text>
        <t xml:space="preserve">Enter email domains (e.g., company.com, example.org) separated by commas</t>
      </text>
    </comment>
    <comment authorId="0" ref="C17">
      <text>
        <t xml:space="preserve">Enter email domains (e.g., company.com, example.org) separated by commas</t>
      </text>
    </comment>
    <comment authorId="0" ref="C18">
      <text>
        <t xml:space="preserve">Enter email domains (e.g., company.com, example.org) separated by commas</t>
      </text>
    </comment>
    <comment authorId="0" ref="C19">
      <text>
        <t xml:space="preserve">Enter email domains (e.g., company.com, example.org) separated by commas</t>
      </text>
    </comment>
    <comment authorId="0" ref="C20">
      <text>
        <t xml:space="preserve">Enter email domains (e.g., company.com, example.org) separated by commas</t>
      </text>
    </comment>
    <comment authorId="0" ref="C21">
      <text>
        <t xml:space="preserve">Enter email domains (e.g., company.com, example.org) separated by commas</t>
      </text>
    </comment>
    <comment authorId="0" ref="C22">
      <text>
        <t xml:space="preserve">Enter email domains (e.g., company.com, example.org) separated by commas</t>
      </text>
    </comment>
    <comment authorId="0" ref="C23">
      <text>
        <t xml:space="preserve">Enter email domains (e.g., company.com, example.org) separated by commas</t>
      </text>
    </comment>
    <comment authorId="0" ref="C24">
      <text>
        <t xml:space="preserve">Enter email domains (e.g., company.com, example.org) separated by commas</t>
      </text>
    </comment>
    <comment authorId="0" ref="C25">
      <text>
        <t xml:space="preserve">Enter email domains (e.g., company.com, example.org) separated by commas</t>
      </text>
    </comment>
    <comment authorId="0" ref="C26">
      <text>
        <t xml:space="preserve">Enter email domains (e.g., company.com, example.org) separated by commas</t>
      </text>
    </comment>
    <comment authorId="0" ref="C27">
      <text>
        <t xml:space="preserve">Enter email domains (e.g., company.com, example.org) separated by commas</t>
      </text>
    </comment>
    <comment authorId="0" ref="C28">
      <text>
        <t xml:space="preserve">Enter email domains (e.g., company.com, example.org) separated by commas</t>
      </text>
    </comment>
    <comment authorId="0" ref="C29">
      <text>
        <t xml:space="preserve">Enter email domains (e.g., company.com, example.org) separated by commas</t>
      </text>
    </comment>
    <comment authorId="0" ref="C30">
      <text>
        <t xml:space="preserve">Enter email domains (e.g., company.com, example.org) separated by commas</t>
      </text>
    </comment>
    <comment authorId="0" ref="C31">
      <text>
        <t xml:space="preserve">Enter email domains (e.g., company.com, example.org) separated by commas</t>
      </text>
    </comment>
    <comment authorId="0" ref="C32">
      <text>
        <t xml:space="preserve">Enter email domains (e.g., company.com, example.org) separated by commas</t>
      </text>
    </comment>
    <comment authorId="0" ref="C33">
      <text>
        <t xml:space="preserve">Enter email domains (e.g., company.com, example.org) separated by commas</t>
      </text>
    </comment>
    <comment authorId="0" ref="C34">
      <text>
        <t xml:space="preserve">Enter email domains (e.g., company.com, example.org) separated by commas</t>
      </text>
    </comment>
    <comment authorId="0" ref="C35">
      <text>
        <t xml:space="preserve">Enter email domains (e.g., company.com, example.org) separated by commas</t>
      </text>
    </comment>
    <comment authorId="0" ref="C36">
      <text>
        <t xml:space="preserve">Enter email domains (e.g., company.com, example.org) separated by commas</t>
      </text>
    </comment>
    <comment authorId="0" ref="C37">
      <text>
        <t xml:space="preserve">Enter email domains (e.g., company.com, example.org) separated by commas</t>
      </text>
    </comment>
    <comment authorId="0" ref="C38">
      <text>
        <t xml:space="preserve">Enter email domains (e.g., company.com, example.org) separated by commas</t>
      </text>
    </comment>
    <comment authorId="0" ref="C39">
      <text>
        <t xml:space="preserve">Enter email domains (e.g., company.com, example.org) separated by commas</t>
      </text>
    </comment>
    <comment authorId="0" ref="C40">
      <text>
        <t xml:space="preserve">Enter email domains (e.g., company.com, example.org) separated by commas</t>
      </text>
    </comment>
    <comment authorId="0" ref="C41">
      <text>
        <t xml:space="preserve">Enter email domains (e.g., company.com, example.org) separated by commas</t>
      </text>
    </comment>
    <comment authorId="0" ref="C42">
      <text>
        <t xml:space="preserve">Enter email domains (e.g., company.com, example.org) separated by commas</t>
      </text>
    </comment>
    <comment authorId="0" ref="C43">
      <text>
        <t xml:space="preserve">Enter email domains (e.g., company.com, example.org) separated by commas</t>
      </text>
    </comment>
    <comment authorId="0" ref="C44">
      <text>
        <t xml:space="preserve">Enter email domains (e.g., company.com, example.org) separated by commas</t>
      </text>
    </comment>
    <comment authorId="0" ref="C45">
      <text>
        <t xml:space="preserve">Enter email domains (e.g., company.com, example.org) separated by commas</t>
      </text>
    </comment>
    <comment authorId="0" ref="C46">
      <text>
        <t xml:space="preserve">Enter email domains (e.g., company.com, example.org) separated by commas</t>
      </text>
    </comment>
    <comment authorId="0" ref="C47">
      <text>
        <t xml:space="preserve">Enter email domains (e.g., company.com, example.org) separated by commas</t>
      </text>
    </comment>
  </commentList>
</comments>
</file>

<file path=xl/sharedStrings.xml><?xml version="1.0" encoding="utf-8"?>
<sst xmlns="http://schemas.openxmlformats.org/spreadsheetml/2006/main" count="33473" uniqueCount="12498">
  <si>
    <t>Link to SF Opportunity</t>
  </si>
  <si>
    <t>Renewal Date</t>
  </si>
  <si>
    <t>Outcome</t>
  </si>
  <si>
    <t>Renewable</t>
  </si>
  <si>
    <t>Forcast</t>
  </si>
  <si>
    <t>Status</t>
  </si>
  <si>
    <t>Stage</t>
  </si>
  <si>
    <t>Amount (gross)</t>
  </si>
  <si>
    <t>Login Score</t>
  </si>
  <si>
    <t>Audit Usage</t>
  </si>
  <si>
    <t>Journey Usage</t>
  </si>
  <si>
    <t>csm_out</t>
  </si>
  <si>
    <t>csm_in</t>
  </si>
  <si>
    <t>DM</t>
  </si>
  <si>
    <t>CloseDate</t>
  </si>
  <si>
    <t>New Bookings</t>
  </si>
  <si>
    <t>Forecast</t>
  </si>
  <si>
    <t>BC</t>
  </si>
  <si>
    <t>CSM</t>
  </si>
  <si>
    <t>AE</t>
  </si>
  <si>
    <t>Support Type</t>
  </si>
  <si>
    <t>Last Updated:</t>
  </si>
  <si>
    <t>==*</t>
  </si>
  <si>
    <t>On-Track</t>
  </si>
  <si>
    <t>Closing Interactions (14)</t>
  </si>
  <si>
    <t>Will Renew</t>
  </si>
  <si>
    <t>John Davis</t>
  </si>
  <si>
    <t>Andy Compas</t>
  </si>
  <si>
    <t>Named Support</t>
  </si>
  <si>
    <t>Behind</t>
  </si>
  <si>
    <t>Negotiation (63)</t>
  </si>
  <si>
    <t>Dallin Madsen</t>
  </si>
  <si>
    <t>Self Support</t>
  </si>
  <si>
    <t>XX*</t>
  </si>
  <si>
    <t>Discovery (170)</t>
  </si>
  <si>
    <t>Will Not Renew</t>
  </si>
  <si>
    <t>Clarke Anderson</t>
  </si>
  <si>
    <t>Live Support</t>
  </si>
  <si>
    <t>Todd Wilkerson</t>
  </si>
  <si>
    <t>Discovery (241)</t>
  </si>
  <si>
    <t>Bryce Bergen</t>
  </si>
  <si>
    <t>Negotiation (45)</t>
  </si>
  <si>
    <t>++*</t>
  </si>
  <si>
    <t>Negotiation (30)</t>
  </si>
  <si>
    <t>Discovery (91)</t>
  </si>
  <si>
    <t>== (R)</t>
  </si>
  <si>
    <t>Undetermined</t>
  </si>
  <si>
    <t>== (BLK)</t>
  </si>
  <si>
    <t>Identified ()</t>
  </si>
  <si>
    <t>== (?)</t>
  </si>
  <si>
    <t>== (Y)</t>
  </si>
  <si>
    <t>blank</t>
  </si>
  <si>
    <t>Received At</t>
  </si>
  <si>
    <t>Text</t>
  </si>
  <si>
    <t>Timestamp</t>
  </si>
  <si>
    <t>Raw JSON</t>
  </si>
  <si>
    <t>@tom.robbins Daniel Coventry logged in on Barclays. This is their first login!</t>
  </si>
  <si>
    <t>{
  "user": "UJ9MY152R",
  "type": "message",
  "ts": "1771350815.876869",
  "edited": {
    "user": "B01EEU3Q4TS",
    "ts": "1771350818.000000"
  },
  "bot_id": "B01EEU3Q4TS",
  "app_id": "AKGPGUFP1",
  "text": "@tom.robbins Daniel Coventry logged in on Barclays. This is their first login!",
  "team": "T04AMCL20",
  "bot_profile": {
    "id": "B01EEU3Q4TS",
    "deleted": false,
    "name": "Salesforce (Legacy)",
    "updated": 1759863343,
    "app_id": "AKGPGUFP1",
    "icons": {
      "image_36": "https://avatars.slack-edge.com/2019-08-29/742984655284_3911bdd1458af62e7ba5_36.png",
      "image_48": "https://avatars.slack-edge.com/2019-08-29/742984655284_3911bdd1458af62e7ba5_48.png",
      "image_72": "https://avatars.slack-edge.com/2019-08-29/742984655284_3911bdd1458af62e7ba5_72.png"
    },
    "team_id": "T04AMCL20"
  },
  "attachments": [
    {
      "from_url": "https://observepoint.my.salesforce.com/a2cVH00001zbiwCYAQ",
      "salesforce_record": {
        "org": {
          "id": "00Dd0000000hSObEAM",
          "name": "ObservePoint",
          "instance_url": "https://observepoint.my.salesforce.com"
        },
        "external_url": "https://observepoint.my.salesforce.com/a2cVH00001zbiwCYAQ",
        "restricted": false,
        "id": "S:00Dd0000000hSObEAM:a2cVH00001zbiwCYAQ",
        "sobject_api_name": "App_User__c",
        "object_label": "App User",
        "name": "AU-12027",
        "fields": [
          {
            "label": "App User Name",
            "type": "String",
            "value": "AU-12027"
          }
        ],
        "ts": 1771350818
      },
      "entity_id": "S:00Dd0000000hSObEAM:a2cVH00001zbiwCYAQ",
      "id": 1,
      "original_url": "https://observepoint.my.salesforce.com/a2cVH00001zbiwCYAQ",
      "fallback": "AU-12027",
      "text": "App User • ObservePoint",
      "title": "AU-12027",
      "title_link": "https://observepoint.my.salesforce.com/a2cVH00001zbiwCYAQ"
    }
  ],
  "blocks": [
    {
      "type": "section",
      "block_id": "kjPYQ",
      "text": {
        "type": "mrkdwn",
        "text": "*Message:* &lt;@U3P1B4MBK&gt; Daniel Coventry logged in on Barclays. This is their first login!",
        "verbatim": false
      }
    },
    {
      "type": "actions",
      "block_id": "+Ynsa",
      "elements": [
        {
          "type": "button",
          "action_id": "edit_alerts_for_record",
          "text": {
            "type": "plain_text",
            "text": "Manage alerts",
            "emoji": true
          },
          "value": "a2cVH00001zbiwCYAQ"
        }
      ]
    },
    {
      "type": "divider",
      "block_id": "QMHFg"
    },
    {
      "type": "context",
      "block_id": "EuKAF",
      "elements": [
        {
          "type": "mrkdwn",
          "text": "*&lt;https://observepoint.my.salesforce.com/a2cVH00001zbiwCYAQ|AU-12027&gt;*",
          "verbatim": false
        }
      ]
    },
    {
      "type": "context",
      "block_id": "v6yyx",
      "elements": [
        {
          "type": "image",
          "image_url": "https://slack.com/interop-apps/salesforce/images/custom_icon.png",
          "alt_text": "images"
        },
        {
          "type": "mrkdwn",
          "text": "*App_User*",
          "verbatim": false
        }
      ]
    }
  ],
  "language": {
    "locale": "en",
    "is_reliable": true
  }
}</t>
  </si>
  <si>
    <t>@masen.sarabia an App User was created for this contact and we have added this person to the New User Flow.</t>
  </si>
  <si>
    <t>{
  "user": "UJ9MY152R",
  "type": "message",
  "ts": "1771349019.047749",
  "edited": {
    "user": "B01EEU3Q4TS",
    "ts": "1771349021.000000"
  },
  "bot_id": "B01EEU3Q4TS",
  "app_id": "AKGPGUFP1",
  "text": "@masen.sarabia an App User was created for this contact and we have added this person to the New User Flow.",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"https://observepoint.my.salesforce.com/003VH00000kdxovYAA",
      "salesforce_record": {
        "org": {
          "id": "00Dd0000000hSObEAM",
          "name": "ObservePoint",
          "instance_url": "https://observepoint.my.salesforce.com"
        },
        "external_url": "https://observepoint.my.salesforce.com/003VH00000kdxovYAA",
        "restricted": false,
        "id": "S:00Dd0000000hSObEAM:003VH00000kdxovYAA",
        "sobject_api_name": "Contact",
        "object_label": "Contact",
        "name": "Sophie Harings",
        "fields": [
          {
            "label": "First Name",
            "type": "String",
            "value": "Sophie"
          },
          {
            "label": "Last Name",
            "type": "String",
            "value": "Harings"
          },
          {
            "label": "Contact Owner",
            "type": "SlackUser",
            "object_api_name": "User",
            "value": "U031CPXBBBK"
          },
          {
            "label": "Account Name",
            "type": "Reference",
            "object_api_name": "Account",
            "value": "Securian Financial Group"
          },
          {
            "label": "Account Type",
            "type": "String",
            "value": "Customer"
          }
        ],
        "ts": 1771349021
      },
      "entity_id": "S:00Dd0000000hSObEAM:003VH00000kdxovYAA",
      "id": 1,
      "original_url": "https://observepoint.my.salesforce.com/003VH00000kdxovYAA",
      "fallback": "Sophie Harings",
      "text": "Contact • ObservePoint",
      "title": "Sophie Harings",
      "title_link": "https://observepoint.my.salesforce.com/003VH00000kdxovYAA"
    }
  ],
  "blocks": [
    {
      "type": "section",
      "block_id": "HqGN1",
      "text": {
        "type": "mrkdwn",
        "text": "*Message:* &lt;@U01HYJL5FD0&gt; an App User was created for this contact and we have added this person to the New User Flow.",
        "verbatim": false
      }
    },
    {
      "type": "actions",
      "block_id": "adkMf",
      "elements": [
        {
          "type": "button",
          "action_id": "edit_alerts_for_record",
          "text": {
            "type": "plain_text",
            "text": "Manage alerts",
            "emoji": true
          },
          "value": "003VH00000kdxovYAA"
        }
      ]
    },
    {
      "type": "divider",
      "block_id": "RYMG7"
    },
    {
      "type": "context",
      "block_id": "SvziK",
      "elements": [
        {
          "type": "mrkdwn",
          "text": "*&lt;https://observepoint.my.salesforce.com/003VH00000kdxovYAA|Sophie Harings&gt;*",
          "verbatim": false
        }
      ]
    },
    {
      "type": "context",
      "block_id": "YOckm",
      "elements": [
        {
          "type": "image",
          "image_url": "https://slack.com/interop-apps/salesforce/images/contact_icon.png",
          "alt_text": "images"
        },
        {
          "type": "mrkdwn",
          "text": "*Contact*",
          "verbatim": false
        },
        {
          "type": "mrkdwn",
          "text": "*Owner:* Misha Terentjev",
          "verbatim": false
        }
      ]
    },
    {
      "type": "section",
      "block_id": "z+lWA",
      "fields": [
        {
          "type": "mrkdwn",
          "text": "*Name:*",
          "verbatim": false
        },
        {
          "type": "mrkdwn",
          "text": "Sophie Harings",
          "verbatim": false
        },
        {
          "type": "mrkdwn",
          "text": "*Email:*",
          "verbatim": false
        },
        {
          "type": "mrkdwn",
          "text": "&lt;mailto:sophie.harings@securian.com|sophie.harings@securian.com&gt;",
          "verbatim": false
        }
      ]
    },
    {
      "type": "section",
      "block_id": "h02vW",
      "fields": [
        {
          "type": "mrkdwn",
          "text": "*Account Name:*",
          "verbatim": false
        },
        {
          "type": "mrkdwn",
          "text": "&lt;https://observepoint.my.salesforce.com/001d000001qtNbFAAU | Securian Financial Group&gt;",
          "verbatim": false
        }
      ]
    }
  ],
  "language": {
    "locale": "en",
    "is_reliable": true
  }
}</t>
  </si>
  <si>
    <t>@mckay.daines Igor Meyerson logged in on PBS for the first time in 30 days.</t>
  </si>
  <si>
    <t>{
  "user": "UJ9MY152R",
  "type": "message",
  "ts": "1771349018.257319",
  "edited": {
    "user": "B01EEU3Q4TS",
    "ts": "1771349021.000000"
  },
  "bot_id": "B01EEU3Q4TS",
  "app_id": "AKGPGUFP1",
  "text": "@mckay.daines Igor Meyerson logged in on PBS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"https://observepoint.my.salesforce.com/a2c6T000005UQWoQAO",
      "salesforce_record": {
        "org": {
          "id": "00Dd0000000hSObEAM",
          "name": "ObservePoint",
          "instance_url": "https://observepoint.my.salesforce.com"
        },
        "external_url": "https://observepoint.my.salesforce.com/a2c6T000005UQWoQAO",
        "restricted": false,
        "id": "S:00Dd0000000hSObEAM:a2c6T000005UQWoQAO",
        "sobject_api_name": "App_User__c",
        "object_label": "App User",
        "name": "AU-00682",
        "fields": [
          {
            "label": "App User Name",
            "type": "String",
            "value": "AU-00682"
          }
        ],
        "ts": 1771349020
      },
      "entity_id": "S:00Dd0000000hSObEAM:a2c6T000005UQWoQAO",
      "id": 1,
      "original_url": "https://observepoint.my.salesforce.com/a2c6T000005UQWoQAO",
      "fallback": "AU-00682",
      "text": "App User • ObservePoint",
      "title": "AU-00682",
      "title_link": "https://observepoint.my.salesforce.com/a2c6T000005UQWoQAO"
    }
  ],
  "blocks": [
    {
      "type": "section",
      "block_id": "kDbPM",
      "text": {
        "type": "mrkdwn",
        "text": "*Message:* &lt;@U08B496M1UP&gt; Igor Meyerson logged in on PBS for the first time in 30 days.",
        "verbatim": false
      }
    },
    {
      "type": "actions",
      "block_id": "oAup5",
      "elements": [
        {
          "type": "button",
          "action_id": "edit_alerts_for_record",
          "text": {
            "type": "plain_text",
            "text": "Manage alerts",
            "emoji": true
          },
          "value": "a2c6T000005UQWoQAO"
        }
      ]
    },
    {
      "type": "divider",
      "block_id": "zU9zb"
    },
    {
      "type": "context",
      "block_id": "B0duu",
      "elements": [
        {
          "type": "mrkdwn",
          "text": "*&lt;https://observepoint.my.salesforce.com/a2c6T000005UQWoQAO|AU-00682&gt;*",
          "verbatim": false
        }
      ]
    },
    {
      "type": "context",
      "block_id": "/ZTv8",
      "elements": [
        {
          "type": "image",
          "image_url": "https://slack.com/interop-apps/salesforce/images/custom_icon.png",
          "alt_text": "images"
        },
        {
          "type": "mrkdwn",
          "text": "*App_User*",
          "verbatim": false
        }
      ]
    }
  ],
  "language": {
    "locale": "en",
    "is_reliable": true
  }
}</t>
  </si>
  <si>
    <t>@masen.sarabia Gary Huang logged in on Securian, and the account hadn't been logged into for 30 days.</t>
  </si>
  <si>
    <t>{
  "user": "UJ9MY152R",
  "type": "message",
  "ts": "1771349018.087759",
  "edited": {
    "user": "B01EEU3Q4TS",
    "ts": "1771349020.000000"
  },
  "bot_id": "B01EEU3Q4TS",
  "app_id": "AKGPGUFP1",
  "text": "@masen.sarabia Gary Huang logged in on Securian, and the account hadn't been logged into for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"https://observepoint.my.salesforce.com/a2c6T000005UQlPQAW",
      "salesforce_record": {
        "org": {
          "id": "00Dd0000000hSObEAM",
          "name": "ObservePoint",
          "instance_url": "https://observepoint.my.salesforce.com"
        },
        "external_url": "https://observepoint.my.salesforce.com/a2c6T000005UQlPQAW",
        "restricted": false,
        "id": "S:00Dd0000000hSObEAM:a2c6T000005UQlPQAW",
        "sobject_api_name": "App_User__c",
        "object_label": "App User",
        "name": "AU-01587",
        "fields": [
          {
            "label": "App User Name",
            "type": "String",
            "value": "AU-01587"
          }
        ],
        "ts": 1771349020
      },
      "entity_id": "S:00Dd0000000hSObEAM:a2c6T000005UQlPQAW",
      "id": 1,
      "original_url": "https://observepoint.my.salesforce.com/a2c6T000005UQlPQAW",
      "fallback": "AU-01587",
      "text": "App User • ObservePoint",
      "title": "AU-01587",
      "title_link": "https://observepoint.my.salesforce.com/a2c6T000005UQlPQAW"
    }
  ],
  "blocks": [
    {
      "type": "section",
      "block_id": "ABDDK",
      "text": {
        "type": "mrkdwn",
        "text": "*Message:* &lt;@U01HYJL5FD0&gt; Gary Huang logged in on Securian, and the account hadn't been logged into for 30 days.",
        "verbatim": false
      }
    },
    {
      "type": "actions",
      "block_id": "daX4c",
      "elements": [
        {
          "type": "button",
          "action_id": "edit_alerts_for_record",
          "text": {
            "type": "plain_text",
            "text": "Manage alerts",
            "emoji": true
          },
          "value": "a2c6T000005UQlPQAW"
        }
      ]
    },
    {
      "type": "divider",
      "block_id": "PTAoR"
    },
    {
      "type": "context",
      "block_id": "0FTdF",
      "elements": [
        {
          "type": "mrkdwn",
          "text": "*&lt;https://observepoint.my.salesforce.com/a2c6T000005UQlPQAW|AU-01587&gt;*",
          "verbatim": false
        }
      ]
    },
    {
      "type": "context",
      "block_id": "RPPlX",
      "elements": [
        {
          "type": "image",
          "image_url": "https://slack.com/interop-apps/salesforce/images/custom_icon.png",
          "alt_text": "images"
        },
        {
          "type": "mrkdwn",
          "text": "*App_User*",
          "verbatim": false
        }
      ]
    }
  ],
  "language": {
    "locale": "en",
    "is_reliable": true
  }
}</t>
  </si>
  <si>
    <t>@dylan.sellers an App User was created for this contact and we have added this person to the New User Flow.</t>
  </si>
  <si>
    <t>{
  "user": "UJ9MY152R",
  "type": "message",
  "ts": "1771347219.830829",
  "edited": {
    "user": "B01EEU3Q4TS",
    "ts": "1771347222.000000"
  },
  "bot_id": "B01EEU3Q4TS",
  "app_id": "AKGPGUFP1",
  "text": "@dylan.sellers an App User was created for this contact and we have added this person to the New User Flow.",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"https://observepoint.my.salesforce.com/003VH00000kdZ1uYAE",
      "salesforce_record": {
        "org": {
          "id": "00Dd0000000hSObEAM",
          "name": "ObservePoint",
          "instance_url": "https://observepoint.my.salesforce.com"
        },
        "external_url": "https://observepoint.my.salesforce.com/003VH00000kdZ1uYAE",
        "restricted": false,
        "id": "S:00Dd0000000hSObEAM:003VH00000kdZ1uYAE",
        "sobject_api_name": "Contact",
        "object_label": "Contact",
        "name": "Tai Nguyen",
        "fields": [
          {
            "label": "First Name",
            "type": "String",
            "value": "Tai"
          },
          {
            "label": "Last Name",
            "type": "String",
            "value": "Nguyen"
          },
          {
            "label": "Contact Owner",
            "type": "SlackUser",
            "object_api_name": "User",
            "value": "U031CPXBBBK"
          },
          {
            "label": "Account Name",
            "type": "Reference",
            "object_api_name": "Account",
            "value": "UnitedHealth Group"
          },
          {
            "label": "Account Type",
            "type": "String",
            "value": "Customer"
          }
        ],
        "ts": 1771347222
      },
      "entity_id": "S:00Dd0000000hSObEAM:003VH00000kdZ1uYAE",
      "id": 1,
      "original_url": "https://observepoint.my.salesforce.com/003VH00000kdZ1uYAE",
      "fallback": "Tai Nguyen",
      "text": "Contact • ObservePoint",
      "title": "Tai Nguyen",
      "title_link": "https://observepoint.my.salesforce.com/003VH00000kdZ1uYAE"
    }
  ],
  "blocks": [
    {
      "type": "section",
      "block_id": "fJvmq",
      "text": {
        "type": "mrkdwn",
        "text": "*Message:* &lt;@UM5UK7Z7Z&gt; an App User was created for this contact and we have added this person to the New User Flow.",
        "verbatim": false
      }
    },
    {
      "type": "actions",
      "block_id": "bwHS+",
      "elements": [
        {
          "type": "button",
          "action_id": "edit_alerts_for_record",
          "text": {
            "type": "plain_text",
            "text": "Manage alerts",
            "emoji": true
          },
          "value": "003VH00000kdZ1uYAE"
        }
      ]
    },
    {
      "type": "divider",
      "block_id": "o8ULL"
    },
    {
      "type": "context",
      "block_id": "2mU6B",
      "elements": [
        {
          "type": "mrkdwn",
          "text": "*&lt;https://observepoint.my.salesforce.com/003VH00000kdZ1uYAE|Tai Nguyen&gt;*",
          "verbatim": false
        }
      ]
    },
    {
      "type": "context",
      "block_id": "xlcMW",
      "elements": [
        {
          "type": "image",
          "image_url": "https://slack.com/interop-apps/salesforce/images/contact_icon.png",
          "alt_text": "images"
        },
        {
          "type": "mrkdwn",
          "text": "*Contact*",
          "verbatim": false
        },
        {
          "type": "mrkdwn",
          "text": "*Owner:* Misha Terentjev",
          "verbatim": false
        }
      ]
    },
    {
      "type": "section",
      "block_id": "o6XR7",
      "fields": [
        {
          "type": "mrkdwn",
          "text": "*Name:*",
          "verbatim": false
        },
        {
          "type": "mrkdwn",
          "text": "Tai Nguyen",
          "verbatim": false
        },
        {
          "type": "mrkdwn",
          "text": "*Email:*",
          "verbatim": false
        },
        {
          "type": "mrkdwn",
          "text": "&lt;mailto:tai_nguyen@uhg.com|tai_nguyen@uhg.com&gt;",
          "verbatim": false
        }
      ]
    },
    {
      "type": "section",
      "block_id": "Gn5kq",
      "fields": [
        {
          "type": "mrkdwn",
          "text": "*Account Name:*",
          "verbatim": false
        },
        {
          "type": "mrkdwn",
          "text": "&lt;https://observepoint.my.salesforce.com/001d000001SO2D7AAL | UnitedHealth Group&gt;",
          "verbatim": false
        }
      ]
    }
  ],
  "language": {
    "locale": "en",
    "is_reliable": true
  }
}</t>
  </si>
  <si>
    <t>@john.davis Charles Coyle logged in on RDO for the first time in 30 days.</t>
  </si>
  <si>
    <t>{
  "user": "UJ9MY152R",
  "type": "message",
  "ts": "1771347219.215789",
  "edited": {
    "user": "B01EEU3Q4TS",
    "ts": "1771347221.000000"
  },
  "bot_id": "B01EEU3Q4TS",
  "app_id": "AKGPGUFP1",
  "text": "@john.davis Charles Coyle logged in on RDO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"https://observepoint.my.salesforce.com/a2cVH00001sqLghYAE",
      "salesforce_record": {
        "org": {
          "id": "00Dd0000000hSObEAM",
          "name": "ObservePoint",
          "instance_url": "https://observepoint.my.salesforce.com"
        },
        "external_url": "https://observepoint.my.salesforce.com/a2cVH00001sqLghYAE",
        "restricted": false,
        "id": "S:00Dd0000000hSObEAM:a2cVH00001sqLghYAE",
        "sobject_api_name": "App_User__c",
        "object_label": "App User",
        "name": "AU-11843",
        "fields": [
          {
            "label": "App User Name",
            "type": "String",
            "value": "AU-11843"
          }
        ],
        "ts": 1771347221
      },
      "entity_id": "S:00Dd0000000hSObEAM:a2cVH00001sqLghYAE",
      "id": 1,
      "original_url": "https://observepoint.my.salesforce.com/a2cVH00001sqLghYAE",
      "fallback": "AU-11843",
      "text": "App User • ObservePoint",
      "title": "AU-11843",
      "title_link": "https://observepoint.my.salesforce.com/a2cVH00001sqLghYAE"
    }
  ],
  "blocks": [
    {
      "type": "section",
      "block_id": "dRo8b",
      "text": {
        "type": "mrkdwn",
        "text": "*Message:* &lt;@U09T16U9Z98&gt; Charles Coyle logged in on RDO for the first time in 30 days.",
        "verbatim": false
      }
    },
    {
      "type": "actions",
      "block_id": "tMfNj",
      "elements": [
        {
          "type": "button",
          "action_id": "edit_alerts_for_record",
          "text": {
            "type": "plain_text",
            "text": "Manage alerts",
            "emoji": true
          },
          "value": "a2cVH00001sqLghYAE"
        }
      ]
    },
    {
      "type": "divider",
      "block_id": "GQQWs"
    },
    {
      "type": "context",
      "block_id": "vU3rG",
      "elements": [
        {
          "type": "mrkdwn",
          "text": "*&lt;https://observepoint.my.salesforce.com/a2cVH00001sqLghYAE|AU-11843&gt;*",
          "verbatim": false
        }
      ]
    },
    {
      "type": "context",
      "block_id": "sIdmM",
      "elements": [
        {
          "type": "image",
          "image_url": "https://slack.com/interop-apps/salesforce/images/custom_icon.png",
          "alt_text": "images"
        },
        {
          "type": "mrkdwn",
          "text": "*App_User*",
          "verbatim": false
        }
      ]
    }
  ],
  "language": {
    "locale": "en",
    "is_reliable": true
  }
}</t>
  </si>
  <si>
    <t>@john.davis Ben Menoza logged in on Amica Mutual Insurance for the first time in 30 days.</t>
  </si>
  <si>
    <t>{
  "user": "UJ9MY152R",
  "type": "message",
  "ts": "1771347218.808169",
  "edited": {
    "user": "B01EEU3Q4TS",
    "ts": "1771347221.000000"
  },
  "bot_id": "B01EEU3Q4TS",
  "app_id": "AKGPGUFP1",
  "text": "@john.davis Ben Menoza logged in on Amica Mutual Insurance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"https://observepoint.my.salesforce.com/a2cVH00000sKC6XYAW",
      "salesforce_record": {
        "org": {
          "id": "00Dd0000000hSObEAM",
          "name": "ObservePoint",
          "instance_url": "https://observepoint.my.salesforce.com"
        },
        "external_url": "https://observepoint.my.salesforce.com/a2cVH00000sKC6XYAW",
        "restricted": false,
        "id": "S:00Dd0000000hSObEAM:a2cVH00000sKC6XYAW",
        "sobject_api_name": "App_User__c",
        "object_label": "App User",
        "name": "AU-09455",
        "fields": [
          {
            "label": "App User Name",
            "type": "String",
            "value": "AU-09455"
          }
        ],
        "ts": 1771347221
      },
      "entity_id": "S:00Dd0000000hSObEAM:a2cVH00000sKC6XYAW",
      "id": 1,
      "original_url": "https://observepoint.my.salesforce.com/a2cVH00000sKC6XYAW",
      "fallback": "AU-09455",
      "text": "App User • ObservePoint",
      "title": "AU-09455",
      "title_link": "https://observepoint.my.salesforce.com/a2cVH00000sKC6XYAW"
    }
  ],
  "blocks": [
    {
      "type": "section",
      "block_id": "U0xjQ",
      "text": {
        "type": "mrkdwn",
        "text": "*Message:* &lt;@U09T16U9Z98&gt; Ben Menoza logged in on Amica Mutual Insurance for the first time in 30 days.",
        "verbatim": false
      }
    },
    {
      "type": "actions",
      "block_id": "Vm49c",
      "elements": [
        {
          "type": "button",
          "action_id": "edit_alerts_for_record",
          "text": {
            "type": "plain_text",
            "text": "Manage alerts",
            "emoji": true
          },
          "value": "a2cVH00000sKC6XYAW"
        }
      ]
    },
    {
      "type": "divider",
      "block_id": "iHir5"
    },
    {
      "type": "context",
      "block_id": "GSLiZ",
      "elements": [
        {
          "type": "mrkdwn",
          "text": "*&lt;https://observepoint.my.salesforce.com/a2cVH00000sKC6XYAW|AU-09455&gt;*",
          "verbatim": false
        }
      ]
    },
    {
      "type": "context",
      "block_id": "VQ4tb",
      "elements": [
        {
          "type": "image",
          "image_url": "https://slack.com/interop-apps/salesforce/images/custom_icon.png",
          "alt_text": "images"
        },
        {
          "type": "mrkdwn",
          "text": "*App_User*",
          "verbatim": false
        }
      ]
    }
  ],
  "language": {
    "locale": "en",
    "is_reliable": true
  }
}</t>
  </si>
  <si>
    <t>@mckay.daines  [not provided] logged in on RBC for the first time in 30 days.</t>
  </si>
  <si>
    <t>{
  "user": "UJ9MY152R",
  "type": "message",
  "ts": "1771345415.945769",
  "edited": {
    "user": "B01EEU3Q4TS",
    "ts": "1771345418.000000"
  },
  "bot_id": "B01EEU3Q4TS",
  "app_id": "AKGPGUFP1",
  "text": "@mckay.daines  [not provided] logged in on RBC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"https://observepoint.my.salesforce.com/a2cVH00001sqLI2YAM",
      "salesforce_record": {
        "org": {
          "id": "00Dd0000000hSObEAM",
          "name": "ObservePoint",
          "instance_url": "https://observepoint.my.salesforce.com"
        },
        "external_url": "https://observepoint.my.salesforce.com/a2cVH00001sqLI2YAM",
        "restricted": false,
        "id": "S:00Dd0000000hSObEAM:a2cVH00001sqLI2YAM",
        "sobject_api_name": "App_User__c",
        "object_label": "App User",
        "name": "AU-11114",
        "fields": [
          {
            "label": "App User Name",
            "type": "String",
            "value": "AU-11114"
          }
        ],
        "ts": 1771345418
      },
      "entity_id": "S:00Dd0000000hSObEAM:a2cVH00001sqLI2YAM",
      "id": 1,
      "original_url": "https://observepoint.my.salesforce.com/a2cVH00001sqLI2YAM",
      "fallback": "AU-11114",
      "text": "App User • ObservePoint",
      "title": "AU-11114",
      "title_link": "https://observepoint.my.salesforce.com/a2cVH00001sqLI2YAM"
    }
  ],
  "blocks": [
    {
      "type": "section",
      "block_id": "hdgdl",
      "text": {
        "type": "mrkdwn",
        "text": "*Message:* &lt;@U08B496M1UP&gt;  [not provided] logged in on RBC for the first time in 30 days.",
        "verbatim": false
      }
    },
    {
      "type": "actions",
      "block_id": "hCW15",
      "elements": [
        {
          "type": "button",
          "action_id": "edit_alerts_for_record",
          "text": {
            "type": "plain_text",
            "text": "Manage alerts",
            "emoji": true
          },
          "value": "a2cVH00001sqLI2YAM"
        }
      ]
    },
    {
      "type": "divider",
      "block_id": "+Z610"
    },
    {
      "type": "context",
      "block_id": "r/HIP",
      "elements": [
        {
          "type": "mrkdwn",
          "text": "*&lt;https://observepoint.my.salesforce.com/a2cVH00001sqLI2YAM|AU-11114&gt;*",
          "verbatim": false
        }
      ]
    },
    {
      "type": "context",
      "block_id": "LtcPT",
      "elements": [
        {
          "type": "image",
          "image_url": "https://slack.com/interop-apps/salesforce/images/custom_icon.png",
          "alt_text": "images"
        },
        {
          "type": "mrkdwn",
          "text": "*App_User*",
          "verbatim": false
        }
      ]
    }
  ],
  "language": {
    "locale": "en",
    "is_reliable": true
  }
}</t>
  </si>
  <si>
    <t>@chris.hawkes Srimanth MacHa logged in on GAP for the first time in 30 days.</t>
  </si>
  <si>
    <t>{
  "user": "UJ9MY152R",
  "type": "message",
  "ts": "1771343621.410059",
  "edited": {
    "user": "B01EEU3Q4TS",
    "ts": "1771343623.000000"
  },
  "bot_id": "B01EEU3Q4TS",
  "app_id": "AKGPGUFP1",
  "text": "@chris.hawkes Srimanth MacHa logged in on GAP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"https://observepoint.my.salesforce.com/a2cVH00000Ok2ilYAB",
      "salesforce_record": {
        "org": {
          "id": "00Dd0000000hSObEAM",
          "name": "ObservePoint",
          "instance_url": "https://observepoint.my.salesforce.com"
        },
        "external_url": "https://observepoint.my.salesforce.com/a2cVH00000Ok2ilYAB",
        "restricted": false,
        "id": "S:00Dd0000000hSObEAM:a2cVH00000Ok2ilYAB",
        "sobject_api_name": "App_User__c",
        "object_label": "App User",
        "name": "AU-07695",
        "fields": [
          {
            "label": "App User Name",
            "type": "String",
            "value": "AU-07695"
          }
        ],
        "ts": 1771343623
      },
      "entity_id": "S:00Dd0000000hSObEAM:a2cVH00000Ok2ilYAB",
      "id": 1,
      "original_url": "https://observepoint.my.salesforce.com/a2cVH00000Ok2ilYAB",
      "fallback": "AU-07695",
      "text": "App User • ObservePoint",
      "title": "AU-07695",
      "title_link": "https://observepoint.my.salesforce.com/a2cVH00000Ok2ilYAB"
    }
  ],
  "blocks": [
    {
      "type": "section",
      "block_id": "xlAGG",
      "text": {
        "type": "mrkdwn",
        "text": "*Message:* &lt;@UJQNGDZC2&gt; Srimanth MacHa logged in on GAP for the first time in 30 days.",
        "verbatim": false
      }
    },
    {
      "type": "actions",
      "block_id": "w+y9C",
      "elements": [
        {
          "type": "button",
          "action_id": "edit_alerts_for_record",
          "text": {
            "type": "plain_text",
            "text": "Manage alerts",
            "emoji": true
          },
          "value": "a2cVH00000Ok2ilYAB"
        }
      ]
    },
    {
      "type": "divider",
      "block_id": "4DyeU"
    },
    {
      "type": "context",
      "block_id": "3UiKV",
      "elements": [
        {
          "type": "mrkdwn",
          "text": "*&lt;https://observepoint.my.salesforce.com/a2cVH00000Ok2ilYAB|AU-07695&gt;*",
          "verbatim": false
        }
      ]
    },
    {
      "type": "context",
      "block_id": "NV7Yd",
      "elements": [
        {
          "type": "image",
          "image_url": "https://slack.com/interop-apps/salesforce/images/custom_icon.png",
          "alt_text": "images"
        },
        {
          "type": "mrkdwn",
          "text": "*App_User*",
          "verbatim": false
        }
      ]
    }
  ],
  "language": {
    "locale": "en",
    "is_reliable": true
  }
}</t>
  </si>
  <si>
    <t>@masen.sarabia Hunar Khanuja logged in on Macy's, Inc. for the first time in 30 days.</t>
  </si>
  <si>
    <t>{
  "user": "UJ9MY152R",
  "type": "message",
  "ts": "1771338223.774129",
  "edited": {
    "user": "B01EEU3Q4TS",
    "ts": "1771338225.000000"
  },
  "bot_id": "B01EEU3Q4TS",
  "app_id": "AKGPGUFP1",
  "text": "@masen.sarabia Hunar Khanuja logged in on Macy's, Inc.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"https://observepoint.my.salesforce.com/a2cVH00001sqLHJYA2",
      "salesforce_record": {
        "org": {
          "id": "00Dd0000000hSObEAM",
          "name": "ObservePoint",
          "instance_url": "https://observepoint.my.salesforce.com"
        },
        "external_url": "https://observepoint.my.salesforce.com/a2cVH00001sqLHJYA2",
        "restricted": false,
        "id": "S:00Dd0000000hSObEAM:a2cVH00001sqLHJYA2",
        "sobject_api_name": "App_User__c",
        "object_label": "App User",
        "name": "AU-11069",
        "fields": [
          {
            "label": "App User Name",
            "type": "String",
            "value": "AU-11069"
          }
        ],
        "ts": 1771338225
      },
      "entity_id": "S:00Dd0000000hSObEAM:a2cVH00001sqLHJYA2",
      "id": 1,
      "original_url": "https://observepoint.my.salesforce.com/a2cVH00001sqLHJYA2",
      "fallback": "AU-11069",
      "text": "App User • ObservePoint",
      "title": "AU-11069",
      "title_link": "https://observepoint.my.salesforce.com/a2cVH00001sqLHJYA2"
    }
  ],
  "blocks": [
    {
      "type": "section",
      "block_id": "pq2on",
      "text": {
        "type": "mrkdwn",
        "text": "*Message:* &lt;@U01HYJL5FD0&gt; Hunar Khanuja logged in on Macy's, Inc. for the first time in 30 days.",
        "verbatim": false
      }
    },
    {
      "type": "actions",
      "block_id": "xhm70",
      "elements": [
        {
          "type": "button",
          "action_id": "edit_alerts_for_record",
          "text": {
            "type": "plain_text",
            "text": "Manage alerts",
            "emoji": true
          },
          "value": "a2cVH00001sqLHJYA2"
        }
      ]
    },
    {
      "type": "divider",
      "block_id": "gSwxo"
    },
    {
      "type": "context",
      "block_id": "1XXsg",
      "elements": [
        {
          "type": "mrkdwn",
          "text": "*&lt;https://observepoint.my.salesforce.com/a2cVH00001sqLHJYA2|AU-11069&gt;*",
          "verbatim": false
        }
      ]
    },
    {
      "type": "context",
      "block_id": "gucCC",
      "elements": [
        {
          "type": "image",
          "image_url": "https://slack.com/interop-apps/salesforce/images/custom_icon.png",
          "alt_text": "images"
        },
        {
          "type": "mrkdwn",
          "text": "*App_User*",
          "verbatim": false
        }
      ]
    }
  ],
  "language": {
    "locale": "en",
    "is_reliable": true
  }
}</t>
  </si>
  <si>
    <t>@mckay.daines Veda Pinapati logged in on Synchrony Financial for the first time in 30 days.</t>
  </si>
  <si>
    <t>{
  "user": "UJ9MY152R",
  "type": "message",
  "ts": "1771338223.443939",
  "edited": {
    "user": "B01EEU3Q4TS",
    "ts": "1771338225.000000"
  },
  "bot_id": "B01EEU3Q4TS",
  "app_id": "AKGPGUFP1",
  "text": "@mckay.daines Veda Pinapati logged in on Synchrony Financial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"https://observepoint.my.salesforce.com/a2cVH00000qunWrYAI",
      "salesforce_record": {
        "org": {
          "id": "00Dd0000000hSObEAM",
          "name": "ObservePoint",
          "instance_url": "https://observepoint.my.salesforce.com"
        },
        "external_url": "https://observepoint.my.salesforce.com/a2cVH00000qunWrYAI",
        "restricted": false,
        "id": "S:00Dd0000000hSObEAM:a2cVH00000qunWrYAI",
        "sobject_api_name": "App_User__c",
        "object_label": "App User",
        "name": "AU-09396",
        "fields": [
          {
            "label": "App User Name",
            "type": "String",
            "value": "AU-09396"
          }
        ],
        "ts": 1771338225
      },
      "entity_id": "S:00Dd0000000hSObEAM:a2cVH00000qunWrYAI",
      "id": 1,
      "original_url": "https://observepoint.my.salesforce.com/a2cVH00000qunWrYAI",
      "fallback": "AU-09396",
      "text": "App User • ObservePoint",
      "title": "AU-09396",
      "title_link": "https://observepoint.my.salesforce.com/a2cVH00000qunWrYAI"
    }
  ],
  "blocks": [
    {
      "type": "section",
      "block_id": "pNjoL",
      "text": {
        "type": "mrkdwn",
        "text": "*Message:* &lt;@U08B496M1UP&gt; Veda Pinapati logged in on Synchrony Financial for the first time in 30 days.",
        "verbatim": false
      }
    },
    {
      "type": "actions",
      "block_id": "Kg/Cx",
      "elements": [
        {
          "type": "button",
          "action_id": "edit_alerts_for_record",
          "text": {
            "type": "plain_text",
            "text": "Manage alerts",
            "emoji": true
          },
          "value": "a2cVH00000qunWrYAI"
        }
      ]
    },
    {
      "type": "divider",
      "block_id": "xaNaf"
    },
    {
      "type": "context",
      "block_id": "hvxNR",
      "elements": [
        {
          "type": "mrkdwn",
          "text": "*&lt;https://observepoint.my.salesforce.com/a2cVH00000qunWrYAI|AU-09396&gt;*",
          "verbatim": false
        }
      ]
    },
    {
      "type": "context",
      "block_id": "m2IR9",
      "elements": [
        {
          "type": "image",
          "image_url": "https://slack.com/interop-apps/salesforce/images/custom_icon.png",
          "alt_text": "images"
        },
        {
          "type": "mrkdwn",
          "text": "*App_User*",
          "verbatim": false
        }
      ]
    }
  ],
  "language": {
    "locale": "en",
    "is_reliable": true
  }
}</t>
  </si>
  <si>
    <t>@callum.bowen Piotr Amarowicz logged in on Kaizen Gaming for the first time in 30 days.</t>
  </si>
  <si>
    <t>{
  "user": "UJ9MY152R",
  "type": "message",
  "ts": "1771338223.106019",
  "edited": {
    "user": "B01EEU3Q4TS",
    "ts": "1771338225.000000"
  },
  "bot_id": "B01EEU3Q4TS",
  "app_id": "AKGPGUFP1",
  "text": "@callum.bowen Piotr Amarowicz logged in on Kaizen Gaming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"https://observepoint.my.salesforce.com/a2cVH00000aqB24YAE",
      "salesforce_record": {
        "org": {
          "id": "00Dd0000000hSObEAM",
          "name": "ObservePoint",
          "instance_url": "https://observepoint.my.salesforce.com"
        },
        "external_url": "https://observepoint.my.salesforce.com/a2cVH00000aqB24YAE",
        "restricted": false,
        "id": "S:00Dd0000000hSObEAM:a2cVH00000aqB24YAE",
        "sobject_api_name": "App_User__c",
        "object_label": "App User",
        "name": "AU-08551",
        "fields": [
          {
            "label": "App User Name",
            "type": "String",
            "value": "AU-08551"
          }
        ],
        "ts": 1771338224
      },
      "entity_id": "S:00Dd0000000hSObEAM:a2cVH00000aqB24YAE",
      "id": 1,
      "original_url": "https://observepoint.my.salesforce.com/a2cVH00000aqB24YAE",
      "fallback": "AU-08551",
      "text": "App User • ObservePoint",
      "title": "AU-08551",
      "title_link": "https://observepoint.my.salesforce.com/a2cVH00000aqB24YAE"
    }
  ],
  "blocks": [
    {
      "type": "section",
      "block_id": "kKtVv",
      "text": {
        "type": "mrkdwn",
        "text": "*Message:* &lt;@U03LPNSATA4&gt; Piotr Amarowicz logged in on Kaizen Gaming for the first time in 30 days.",
        "verbatim": false
      }
    },
    {
      "type": "actions",
      "block_id": "sH0kt",
      "elements": [
        {
          "type": "button",
          "action_id": "edit_alerts_for_record",
          "text": {
            "type": "plain_text",
            "text": "Manage alerts",
            "emoji": true
          },
          "value": "a2cVH00000aqB24YAE"
        }
      ]
    },
    {
      "type": "divider",
      "block_id": "jmewJ"
    },
    {
      "type": "context",
      "block_id": "Dz3WL",
      "elements": [
        {
          "type": "mrkdwn",
          "text": "*&lt;https://observepoint.my.salesforce.com/a2cVH00000aqB24YAE|AU-08551&gt;*",
          "verbatim": false
        }
      ]
    },
    {
      "type": "context",
      "block_id": "298x2",
      "elements": [
        {
          "type": "image",
          "image_url": "https://slack.com/interop-apps/salesforce/images/custom_icon.png",
          "alt_text": "images"
        },
        {
          "type": "mrkdwn",
          "text": "*App_User*",
          "verbatim": false
        }
      ]
    }
  ],
  "language": {
    "locale": "en",
    "is_reliable": true
  }
}</t>
  </si>
  <si>
    <t>@callum.bowen Sai Teja logged in on Walgreens Boots Alliance for the first time in 30 days.</t>
  </si>
  <si>
    <t>{
  "user": "UJ9MY152R",
  "type": "message",
  "ts": "1771336418.099259",
  "edited": {
    "user": "B01EEU3Q4TS",
    "ts": "1771336428.000000"
  },
  "bot_id": "B01EEU3Q4TS",
  "app_id": "AKGPGUFP1",
  "text": "@callum.bowen Sai Teja logged in on Walgreens Boots Alliance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"https://observepoint.my.salesforce.com/a2cVH00000P7ql7YAB",
      "salesforce_record": {
        "org": {
          "id": "00Dd0000000hSObEAM",
          "name": "ObservePoint",
          "instance_url": "https://observepoint.my.salesforce.com"
        },
        "external_url": "https://observepoint.my.salesforce.com/a2cVH00000P7ql7YAB",
        "restricted": false,
        "id": "S:00Dd0000000hSObEAM:a2cVH00000P7ql7YAB",
        "sobject_api_name": "App_User__c",
        "object_label": "App User",
        "name": "AU-07705",
        "fields": [
          {
            "label": "App User Name",
            "type": "String",
            "value": "AU-07705"
          }
        ],
        "ts": 1771336428
      },
      "entity_id": "S:00Dd0000000hSObEAM:a2cVH00000P7ql7YAB",
      "id": 1,
      "original_url": "https://observepoint.my.salesforce.com/a2cVH00000P7ql7YAB",
      "fallback": "AU-07705",
      "text": "App User • ObservePoint",
      "title": "AU-07705",
      "title_link": "https://observepoint.my.salesforce.com/a2cVH00000P7ql7YAB"
    }
  ],
  "blocks": [
    {
      "type": "section",
      "block_id": "SSfpT",
      "text": {
        "type": "mrkdwn",
        "text": "*Message:* &lt;@U03LPNSATA4&gt; Sai Teja logged in on Walgreens Boots Alliance for the first time in 30 days.",
        "verbatim": false
      }
    },
    {
      "type": "actions",
      "block_id": "np61y",
      "elements": [
        {
          "type": "button",
          "action_id": "edit_alerts_for_record",
          "text": {
            "type": "plain_text",
            "text": "Manage alerts",
            "emoji": true
          },
          "value": "a2cVH00000P7ql7YAB"
        }
      ]
    },
    {
      "type": "divider",
      "block_id": "QSt6B"
    },
    {
      "type": "context",
      "block_id": "anTvL",
      "elements": [
        {
          "type": "mrkdwn",
          "text": "*&lt;https://observepoint.my.salesforce.com/a2cVH00000P7ql7YAB|AU-07705&gt;*",
          "verbatim": false
        }
      ]
    },
    {
      "type": "context",
      "block_id": "Ps59l",
      "elements": [
        {
          "type": "image",
          "image_url": "https://slack.com/interop-apps/salesforce/images/custom_icon.png",
          "alt_text": "images"
        },
        {
          "type": "mrkdwn",
          "text": "*App_User*",
          "verbatim": false
        }
      ]
    }
  ],
  "language": {
    "locale": "en",
    "is_reliable": true
  }
}</t>
  </si>
  <si>
    <t>@callum.bowen Margarita Noti logged in on Kaizen Gaming. This is their first login!</t>
  </si>
  <si>
    <t>{
  "user": "UJ9MY152R",
  "type": "message",
  "ts": "1771332825.889969",
  "edited": {
    "user": "B01EEU3Q4TS",
    "ts": "1771332828.000000"
  },
  "bot_id": "B01EEU3Q4TS",
  "app_id": "AKGPGUFP1",
  "text": "@callum.bowen Margarita Noti logged in on Kaizen Gaming. This is their first login!",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"https://observepoint.my.salesforce.com/a2cVH0000270qMdYAI",
      "salesforce_record": {
        "org": {
          "id": "00Dd0000000hSObEAM",
          "name": "ObservePoint",
          "instance_url": "https://observepoint.my.salesforce.com"
        },
        "external_url": "https://observepoint.my.salesforce.com/a2cVH0000270qMdYAI",
        "restricted": false,
        "id": "S:00Dd0000000hSObEAM:a2cVH0000270qMdYAI",
        "sobject_api_name": "App_User__c",
        "object_label": "App User",
        "name": "AU-12417",
        "fields": [
          {
            "label": "App User Name",
            "type": "String",
            "value": "AU-12417"
          }
        ],
        "ts": 1771332828
      },
      "entity_id": "S:00Dd0000000hSObEAM:a2cVH0000270qMdYAI",
      "id": 1,
      "original_url": "https://observepoint.my.salesforce.com/a2cVH0000270qMdYAI",
      "fallback": "AU-12417",
      "text": "App User • ObservePoint",
      "title": "AU-12417",
      "title_link": "https://observepoint.my.salesforce.com/a2cVH0000270qMdYAI"
    }
  ],
  "blocks": [
    {
      "type": "section",
      "block_id": "PTRD/",
      "text": {
        "type": "mrkdwn",
        "text": "*Message:* &lt;@U03LPNSATA4&gt; Margarita Noti logged in on Kaizen Gaming. This is their first login!",
        "verbatim": false
      }
    },
    {
      "type": "actions",
      "block_id": "NKuIT",
      "elements": [
        {
          "type": "button",
          "action_id": "edit_alerts_for_record",
          "text": {
            "type": "plain_text",
            "text": "Manage alerts",
            "emoji": true
          },
          "value": "a2cVH0000270qMdYAI"
        }
      ]
    },
    {
      "type": "divider",
      "block_id": "MRQiI"
    },
    {
      "type": "context",
      "block_id": "Pf0Lc",
      "elements": [
        {
          "type": "mrkdwn",
          "text": "*&lt;https://observepoint.my.salesforce.com/a2cVH0000270qMdYAI|AU-12417&gt;*",
          "verbatim": false
        }
      ]
    },
    {
      "type": "context",
      "block_id": "NdxO+",
      "elements": [
        {
          "type": "image",
          "image_url": "https://slack.com/interop-apps/salesforce/images/custom_icon.png",
          "alt_text": "images"
        },
        {
          "type": "mrkdwn",
          "text": "*App_User*",
          "verbatim": false
        }
      ]
    }
  ],
  "language": {
    "locale": "en",
    "is_reliable": true
  }
}</t>
  </si>
  <si>
    <t>@callum.bowen Pete Ansell logged in on Avon for the first time in 30 days.</t>
  </si>
  <si>
    <t>{
  "user": "UJ9MY152R",
  "type": "message",
  "ts": "1771322013.471839",
  "edited": {
    "user": "B01EEU3Q4TS",
    "ts": "1771322016.000000"
  },
  "bot_id": "B01EEU3Q4TS",
  "app_id": "AKGPGUFP1",
  "text": "@callum.bowen Pete Ansell logged in on Avon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"https://observepoint.my.salesforce.com/a2cVH00001Gu0SPYAZ",
      "salesforce_record": {
        "org": {
          "id": "00Dd0000000hSObEAM",
          "name": "ObservePoint",
          "instance_url": "https://observepoint.my.salesforce.com"
        },
        "external_url": "https://observepoint.my.salesforce.com/a2cVH00001Gu0SPYAZ",
        "restricted": false,
        "id": "S:00Dd0000000hSObEAM:a2cVH00001Gu0SPYAZ",
        "sobject_api_name": "App_User__c",
        "object_label": "App User",
        "name": "AU-10334",
        "fields": [
          {
            "label": "App User Name",
            "type": "String",
            "value": "AU-10334"
          }
        ],
        "ts": 1771322015
      },
      "entity_id": "S:00Dd0000000hSObEAM:a2cVH00001Gu0SPYAZ",
      "id": 1,
      "original_url": "https://observepoint.my.salesforce.com/a2cVH00001Gu0SPYAZ",
      "fallback": "AU-10334",
      "text": "App User • ObservePoint",
      "title": "AU-10334",
      "title_link": "https://observepoint.my.salesforce.com/a2cVH00001Gu0SPYAZ"
    }
  ],
  "blocks": [
    {
      "type": "section",
      "block_id": "BJtag",
      "text": {
        "type": "mrkdwn",
        "text": "*Message:* &lt;@U03LPNSATA4&gt; Pete Ansell logged in on Avon for the first time in 30 days.",
        "verbatim": false
      }
    },
    {
      "type": "actions",
      "block_id": "ot2eH",
      "elements": [
        {
          "type": "button",
          "action_id": "edit_alerts_for_record",
          "text": {
            "type": "plain_text",
            "text": "Manage alerts",
            "emoji": true
          },
          "value": "a2cVH00001Gu0SPYAZ"
        }
      ]
    },
    {
      "type": "divider",
      "block_id": "ccbZ0"
    },
    {
      "type": "context",
      "block_id": "7b8JP",
      "elements": [
        {
          "type": "mrkdwn",
          "text": "*&lt;https://observepoint.my.salesforce.com/a2cVH00001Gu0SPYAZ|AU-10334&gt;*",
          "verbatim": false
        }
      ]
    },
    {
      "type": "context",
      "block_id": "Waehs",
      "elements": [
        {
          "type": "image",
          "image_url": "https://slack.com/interop-apps/salesforce/images/custom_icon.png",
          "alt_text": "images"
        },
        {
          "type": "mrkdwn",
          "text": "*App_User*",
          "verbatim": false
        }
      ]
    }
  ],
  "language": {
    "locale": "en",
    "is_reliable": true
  }
}</t>
  </si>
  <si>
    <t>@tom.robbins Jasmit.Kaur@barclays.Com [not provided] logged in on Barclays for the first time in 30 days.</t>
  </si>
  <si>
    <t>{
  "user": "UJ9MY152R",
  "type": "message",
  "ts": "1771320214.387489",
  "edited": {
    "user": "B01EEU3Q4TS",
    "ts": "1771320217.000000"
  },
  "bot_id": "B01EEU3Q4TS",
  "app_id": "AKGPGUFP1",
  "text": "@tom.robbins Jasmit.Kaur@barclays.Com [not provided] logged in on Barclays for the first time in 30 days.",
  "team": "T04AMCL20",
  "bot_profile": {
    "id": "B01EEU3Q4TS",
    "deleted": false,
    "name": "Salesforce (Legacy)",
    "updated": 1759863343,
    "app_id": "AKGPGUFP1",
    "icons": {
      "image_36": "https://avatars.slack-edge.com/2019-08-29/742984655284_3911bdd1458af62e7ba5_36.png",
      "image_48": "https://avatars.slack-edge.com/2019-08-29/742984655284_3911bdd1458af62e7ba5_48.png",
      "image_72": "https://avatars.slack-edge.com/2019-08-29/742984655284_3911bdd1458af62e7ba5_72.png"
    },
    "team_id": "T04AMCL20"
  },
  "attachments": [
    {
      "from_url": "https://observepoint.my.salesforce.com/a2cVH00001sqLf3YAE",
      "salesforce_record": {
        "org": {
          "id": "00Dd0000000hSObEAM",
          "name": "ObservePoint",
          "instance_url": "https://observepoint.my.salesforce.com"
        },
        "external_url": "https://observepoint.my.salesforce.com/a2cVH00001sqLf3YAE",
        "restricted": false,
        "id": "S:00Dd0000000hSObEAM:a2cVH00001sqLf3YAE",
        "sobject_api_name": "App_User__c",
        "object_label": "App User",
        "name": "AU-11741",
        "fields": [
          {
            "label": "App User Name",
            "type": "String",
            "value": "AU-11741"
          }
        ],
        "ts": 1771320217
      },
      "entity_id": "S:00Dd0000000hSObEAM:a2cVH00001sqLf3YAE",
      "id": 1,
      "original_url": "https://observepoint.my.salesforce.com/a2cVH00001sqLf3YAE",
      "fallback": "AU-11741",
      "text": "App User • ObservePoint",
      "title": "AU-11741",
      "title_link": "https://observepoint.my.salesforce.com/a2cVH00001sqLf3YAE"
    }
  ],
  "blocks": [
    {
      "type": "section",
      "block_id": "TdbPU",
      "text": {
        "type": "mrkdwn",
        "text": "*Message:* &lt;@U3P1B4MBK&gt; Jasmit.Kaur@barclays.Com [not provided] logged in on Barclays for the first time in 30 days.",
        "verbatim": false
      }
    },
    {
      "type": "actions",
      "block_id": "XSSD+",
      "elements": [
        {
          "type": "button",
          "action_id": "edit_alerts_for_record",
          "text": {
            "type": "plain_text",
            "text": "Manage alerts",
            "emoji": true
          },
          "value": "a2cVH00001sqLf3YAE"
        }
      ]
    },
    {
      "type": "divider",
      "block_id": "/saKp"
    },
    {
      "type": "context",
      "block_id": "KDy3l",
      "elements": [
        {
          "type": "mrkdwn",
          "text": "*&lt;https://observepoint.my.salesforce.com/a2cVH00001sqLf3YAE|AU-11741&gt;*",
          "verbatim": false
        }
      ]
    },
    {
      "type": "context",
      "block_id": "nPv6H",
      "elements": [
        {
          "type": "image",
          "image_url": "https://slack.com/interop-apps/salesforce/images/custom_icon.png",
          "alt_text": "images"
        },
        {
          "type": "mrkdwn",
          "text": "*App_User*",
          "verbatim": false
        }
      ]
    }
  ],
  "language": {
    "locale": "en",
    "is_reliable": true
  }
}</t>
  </si>
  <si>
    <t>@tom.robbins David Guillaume logged in on Swisscom for the first time in 30 days.</t>
  </si>
  <si>
    <t>{
  "user": "UJ9MY152R",
  "type": "message",
  "ts": "1771320214.012929",
  "edited": {
    "user": "B01EEU3Q4TS",
    "ts": "1771320216.000000"
  },
  "bot_id": "B01EEU3Q4TS",
  "app_id": "AKGPGUFP1",
  "text": "@tom.robbins David Guillaume logged in on Swisscom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"https://observepoint.my.salesforce.com/a2cVH00000px2WrYAI",
      "salesforce_record": {
        "org": {
          "id": "00Dd0000000hSObEAM",
          "name": "ObservePoint",
          "instance_url": "https://observepoint.my.salesforce.com"
        },
        "external_url": "https://observepoint.my.salesforce.com/a2cVH00000px2WrYAI",
        "restricted": false,
        "id": "S:00Dd0000000hSObEAM:a2cVH00000px2WrYAI",
        "sobject_api_name": "App_User__c",
        "object_label": "App User",
        "name": "AU-09345",
        "fields": [
          {
            "label": "App User Name",
            "type": "String",
            "value": "AU-09345"
          }
        ],
        "ts": 1771320216
      },
      "entity_id": "S:00Dd0000000hSObEAM:a2cVH00000px2WrYAI",
      "id": 1,
      "original_url": "https://observepoint.my.salesforce.com/a2cVH00000px2WrYAI",
      "fallback": "AU-09345",
      "text": "App User • ObservePoint",
      "title": "AU-09345",
      "title_link": "https://observepoint.my.salesforce.com/a2cVH00000px2WrYAI"
    }
  ],
  "blocks": [
    {
      "type": "section",
      "block_id": "6tw//",
      "text": {
        "type": "mrkdwn",
        "text": "*Message:* &lt;@U3P1B4MBK&gt; David Guillaume logged in on Swisscom for the first time in 30 days.",
        "verbatim": false
      }
    },
    {
      "type": "actions",
      "block_id": "ZTu2g",
      "elements": [
        {
          "type": "button",
          "action_id": "edit_alerts_for_record",
          "text": {
            "type": "plain_text",
            "text": "Manage alerts",
            "emoji": true
          },
          "value": "a2cVH00000px2WrYAI"
        }
      ]
    },
    {
      "type": "divider",
      "block_id": "YSjPA"
    },
    {
      "type": "context",
      "block_id": "0e9ES",
      "elements": [
        {
          "type": "mrkdwn",
          "text": "*&lt;https://observepoint.my.salesforce.com/a2cVH00000px2WrYAI|AU-09345&gt;*",
          "verbatim": false
        }
      ]
    },
    {
      "type": "context",
      "block_id": "XUAip",
      "elements": [
        {
          "type": "image",
          "image_url": "https://slack.com/interop-apps/salesforce/images/custom_icon.png",
          "alt_text": "images"
        },
        {
          "type": "mrkdwn",
          "text": "*App_User*",
          "verbatim": false
        }
      ]
    }
  ],
  "language": {
    "locale": "en",
    "is_reliable": true
  }
}</t>
  </si>
  <si>
    <t>@eve.alexander Trakken Trakken logged in on Trakken for the first time in 30 days.</t>
  </si>
  <si>
    <t>{
  "user": "UJ9MY152R",
  "type": "message",
  "ts": "1771320213.661669",
  "edited": {
    "user": "B01EEU3Q4TS",
    "ts": "1771320216.000000"
  },
  "bot_id": "B01EEU3Q4TS",
  "app_id": "AKGPGUFP1",
  "text": "@eve.alexander Trakken Trakken logged in on Trakken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"https://observepoint.my.salesforce.com/a2c6T000005UQMzQAO",
      "salesforce_record": {
        "org": {
          "id": "00Dd0000000hSObEAM",
          "name": "ObservePoint",
          "instance_url": "https://observepoint.my.salesforce.com"
        },
        "external_url": "https://observepoint.my.salesforce.com/a2c6T000005UQMzQAO",
        "restricted": false,
        "id": "S:00Dd0000000hSObEAM:a2c6T000005UQMzQAO",
        "sobject_api_name": "App_User__c",
        "object_label": "App User",
        "name": "AU-00073",
        "fields": [
          {
            "label": "App User Name",
            "type": "String",
            "value": "AU-00073"
          }
        ],
        "ts": 1771320216
      },
      "entity_id": "S:00Dd0000000hSObEAM:a2c6T000005UQMzQAO",
      "id": 1,
      "original_url": "https://observepoint.my.salesforce.com/a2c6T000005UQMzQAO",
      "fallback": "AU-00073",
      "text": "App User • ObservePoint",
      "title": "AU-00073",
      "title_link": "https://observepoint.my.salesforce.com/a2c6T000005UQMzQAO"
    }
  ],
  "blocks": [
    {
      "type": "section",
      "block_id": "u97SJ",
      "text": {
        "type": "mrkdwn",
        "text": "*Message:* &lt;@U02SWMU4T0D&gt; Trakken Trakken logged in on Trakken for the first time in 30 days.",
        "verbatim": false
      }
    },
    {
      "type": "actions",
      "block_id": "cfRUD",
      "elements": [
        {
          "type": "button",
          "action_id": "edit_alerts_for_record",
          "text": {
            "type": "plain_text",
            "text": "Manage alerts",
            "emoji": true
          },
          "value": "a2c6T000005UQMzQAO"
        }
      ]
    },
    {
      "type": "divider",
      "block_id": "150ym"
    },
    {
      "type": "context",
      "block_id": "uk5ZN",
      "elements": [
        {
          "type": "mrkdwn",
          "text": "*&lt;https://observepoint.my.salesforce.com/a2c6T000005UQMzQAO|AU-00073&gt;*",
          "verbatim": false
        }
      ]
    },
    {
      "type": "context",
      "block_id": "WSPlH",
      "elements": [
        {
          "type": "image",
          "image_url": "https://slack.com/interop-apps/salesforce/images/custom_icon.png",
          "alt_text": "images"
        },
        {
          "type": "mrkdwn",
          "text": "*App_User*",
          "verbatim": false
        }
      ]
    }
  ],
  "language": {
    "locale": "en",
    "is_reliable": true
  }
}</t>
  </si>
  <si>
    <t>@eve.alexander Armin Haertl logged in on Conrad for the first time in 30 days.</t>
  </si>
  <si>
    <t>{
  "user": "UJ9MY152R",
  "type": "message",
  "ts": "1771316620.100759",
  "edited": {
    "user": "B01EEU3Q4TS",
    "ts": "1771316622.000000"
  },
  "bot_id": "B01EEU3Q4TS",
  "app_id": "AKGPGUFP1",
  "text": "@eve.alexander Armin Haertl logged in on Conrad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"https://observepoint.my.salesforce.com/a2cVH00000hJgilYAC",
      "salesforce_record": {
        "org": {
          "id": "00Dd0000000hSObEAM",
          "name": "ObservePoint",
          "instance_url": "https://observepoint.my.salesforce.com"
        },
        "external_url": "https://observepoint.my.salesforce.com/a2cVH00000hJgilYAC",
        "restricted": false,
        "id": "S:00Dd0000000hSObEAM:a2cVH00000hJgilYAC",
        "sobject_api_name": "App_User__c",
        "object_label": "App User",
        "name": "AU-08976",
        "fields": [
          {
            "label": "App User Name",
            "type": "String",
            "value": "AU-08976"
          }
        ],
        "ts": 1771316622
      },
      "entity_id": "S:00Dd0000000hSObEAM:a2cVH00000hJgilYAC",
      "id": 1,
      "original_url": "https://observepoint.my.salesforce.com/a2cVH00000hJgilYAC",
      "fallback": "AU-08976",
      "text": "App User • ObservePoint",
      "title": "AU-08976",
      "title_link": "https://observepoint.my.salesforce.com/a2cVH00000hJgilYAC"
    }
  ],
  "blocks": [
    {
      "type": "section",
      "block_id": "JJLC1",
      "text": {
        "type": "mrkdwn",
        "text": "*Message:* &lt;@U02SWMU4T0D&gt; Armin Haertl logged in on Conrad for the first time in 30 days.",
        "verbatim": false
      }
    },
    {
      "type": "actions",
      "block_id": "iXzen",
      "elements": [
        {
          "type": "button",
          "action_id": "edit_alerts_for_record",
          "text": {
            "type": "plain_text",
            "text": "Manage alerts",
            "emoji": true
          },
          "value": "a2cVH00000hJgilYAC"
        }
      ]
    },
    {
      "type": "divider",
      "block_id": "flXY2"
    },
    {
      "type": "context",
      "block_id": "uSW2y",
      "elements": [
        {
          "type": "mrkdwn",
          "text": "*&lt;https://observepoint.my.salesforce.com/a2cVH00000hJgilYAC|AU-08976&gt;*",
          "verbatim": false
        }
      ]
    },
    {
      "type": "context",
      "block_id": "4kqB5",
      "elements": [
        {
          "type": "image",
          "image_url": "https://slack.com/interop-apps/salesforce/images/custom_icon.png",
          "alt_text": "images"
        },
        {
          "type": "mrkdwn",
          "text": "*App_User*",
          "verbatim": false
        }
      ]
    }
  ],
  "language": {
    "locale": "en",
    "is_reliable": true
  }
}</t>
  </si>
  <si>
    <t>Account ID</t>
  </si>
  <si>
    <t>Account Name</t>
  </si>
  <si>
    <t>Notes Content</t>
  </si>
  <si>
    <t>Last Saved</t>
  </si>
  <si>
    <t>0010W00002ZqiEdQAJ</t>
  </si>
  <si>
    <t>Spark New Zealand</t>
  </si>
  <si>
    <t>&lt;ul&gt;&lt;li&gt;&lt;span style="background-color: transparent;"&gt;Scott (Architect)&lt;/span&gt;&lt;/li&gt;&lt;li&gt;&lt;span style="background-color: transparent;"&gt;Krushi (digital optimization, in charge of journeys)&lt;/span&gt;&lt;/li&gt;&lt;li&gt;&lt;span style="background-color: transparent;"&gt;Mycal is Krushis boss&lt;/span&gt;&lt;/li&gt;&lt;li class="ql-indent-1"&gt;&lt;span style="background-color: transparent;"&gt;Wants to expand into maybe some more marketing tags and such&lt;/span&gt;&lt;/li&gt;&lt;li&gt;&lt;span style="background-color: transparent;"&gt;Key retail moment support - “Seasonal Support”&lt;/span&gt;&lt;/li&gt;&lt;li&gt;&lt;span style="background-color: transparent;"&gt;Audits&lt;/span&gt;&lt;/li&gt;&lt;li&gt;&lt;span style="background-color: transparent;"&gt;Marketing tags&lt;/span&gt;&lt;/li&gt;&lt;li&gt;&lt;span style="background-color: transparent;"&gt;Modular Buy design (new system they are implementing?)&lt;/span&gt;&lt;/li&gt;&lt;li&gt;&lt;span style="background-color: transparent;"&gt;Super long onboarding, then team got wiped away, basically new&lt;/span&gt;&lt;/li&gt;&lt;li class="ql-indent-1"&gt;&lt;span style="background-color: transparent;"&gt;Existing use cases are unique and really need the basics setup&lt;/span&gt;&lt;/li&gt;&lt;/ul&gt;&lt;p&gt;&lt;span style="background-color: transparent;"&gt;&lt;span class="ql-cursor"&gt;﻿&lt;/span&gt;&lt;/span&gt;&lt;/p&gt;&lt;p&gt;&lt;br&gt;&lt;/p&gt;</t>
  </si>
  <si>
    <t>001d000001buDIzAAM</t>
  </si>
  <si>
    <t>Prudential</t>
  </si>
  <si>
    <t>&lt;ul&gt;&lt;li&gt;Dec 4th - Steve and large group&lt;/li&gt;&lt;li class="ql-indent-1"&gt;Has a training on Dec 4th with a bunch of people on his team&lt;/li&gt;&lt;li class="ql-indent-1"&gt;Wants to make sure we are prepared for that training&lt;/li&gt;&lt;li class="ql-indent-1"&gt;Use case library page on help docs&lt;/li&gt;&lt;li class="ql-indent-1"&gt;Wants to run through the audits of prudential.com specifically&lt;/li&gt;&lt;li class="ql-indent-1"&gt;Sent a huge list of domains before and Macey premade a bunch of
                audits from that list&lt;/li&gt;&lt;li class="ql-indent-1"&gt;Needs to expand into authenticated sites&lt;/li&gt;&lt;li&gt;Dec 9th - Followup from firestorm last week&lt;/li&gt;&lt;li class="ql-indent-1"&gt;Need to address alerts and maybe some changes to them?&lt;/li&gt;&lt;li class="ql-indent-1"&gt;OP identified # of tags present on the page that would fall under
                this category. Internally, we used Google Consent Mode to block personalized ad or data
                collection.&lt;/li&gt;&lt;li&gt;Go over Prudential Top Trafficked Pages, last ran on Dec 30th&lt;/li&gt;&lt;li class="ql-indent-1"&gt;https://app.observepoint.com/audit/1892419/run/8560521/report/highlights/discovery&lt;/li&gt;&lt;li class="ql-indent-1"&gt;Do not go over cookies, focus on tags&lt;/li&gt;&lt;li&gt;What are the questions that you have about your data after you see
                the data that I am pulling? Use case library to examples:&lt;/li&gt;&lt;li class="ql-indent-1"&gt;They want to create a list of pages to scan more often and they said
                they will do this int he next couple weeks&lt;/li&gt;&lt;/ul&gt;</t>
  </si>
  <si>
    <t>001d000001i8ZU3AAM</t>
  </si>
  <si>
    <t>Athena Health</t>
  </si>
  <si>
    <t>&lt;ul&gt;&lt;li&gt;Jyothish (Joe)&lt;/li&gt;&lt;li&gt;Seems like they have use cases for privacy, analytics, email
                validations and journeys?&lt;/li&gt;&lt;li&gt;Seems like he has been happy about the issues its found so
                far&lt;/li&gt;&lt;li&gt;He thought the learning curve was steep until he got a walkthrough
                from Chris&lt;/li&gt;&lt;li&gt;They are now working on a process to tackle the issues that OP is
                finding&lt;/li&gt;&lt;li class="ql-indent-1"&gt;Privacy compliance&lt;/li&gt;&lt;li class="ql-indent-1"&gt;Page performance&lt;/li&gt;&lt;li class="ql-indent-2"&gt;Heavy images&lt;/li&gt;&lt;li class="ql-indent-2"&gt;Long load times on pages&lt;/li&gt;&lt;li class="ql-indent-1"&gt;He is trying to setup reports to help with this&lt;/li&gt;&lt;li&gt;Wants to maximize the reports&lt;/li&gt;&lt;li class="ql-indent-1"&gt;Privacy compliance&lt;/li&gt;&lt;li class="ql-indent-1"&gt;Analytics validation&lt;/li&gt;&lt;li&gt;Custom Privacy Policy checks&lt;/li&gt;&lt;li class="ql-indent-1"&gt;Seems like the custom code that we setup as the pre-audit action is
                not working perfectly?&lt;/li&gt;&lt;li&gt;Persuade them to do more often scans&lt;/li&gt;&lt;li&gt;Nest steps:&lt;/li&gt;&lt;li class="ql-indent-1"&gt;Categorize the unapproved cookies&lt;/li&gt;&lt;li class="ql-indent-1"&gt;Make sure they are getting value with their own internal
                processes&lt;/li&gt;&lt;li class="ql-indent-1"&gt;Are there other team members that I can meet with?&lt;/li&gt;&lt;/ul&gt;</t>
  </si>
  <si>
    <t>0010W00002dxPBNQA2</t>
  </si>
  <si>
    <t>Merz (BRG was hired by Merz to use OP)</t>
  </si>
  <si>
    <t>&lt;ul&gt;&lt;li&gt;Amy works for BRG&lt;/li&gt;&lt;li&gt;Elvis - development&lt;/li&gt;&lt;li&gt;Preah - Owner of privacy&lt;/li&gt;&lt;li&gt;What is her expected involvement level with Merz?&lt;/li&gt;&lt;li&gt;What is she supposed to be doing and what can we be doing?&lt;/li&gt;&lt;li class="ql-indent-1"&gt;Mostly for privacy&lt;/li&gt;&lt;li class="ql-indent-1"&gt;They liked it but they never really got into it and used it&lt;/li&gt;&lt;li class="ql-indent-1"&gt;3rd party are building their websites&lt;/li&gt;&lt;li&gt;Make a followup call to build some scans and review them with Amy
                for her to take back to Merz that could catch their eye.&lt;/li&gt;&lt;li&gt;How can we continue to build value to make you look good?&lt;/li&gt;&lt;li&gt;Just finished a big accessibility project&lt;/li&gt;&lt;li&gt;Site redesign&lt;/li&gt;&lt;/ul&gt;</t>
  </si>
  <si>
    <t>001d00000234XY8AAM</t>
  </si>
  <si>
    <t>Dignity Health</t>
  </si>
  <si>
    <t>&lt;ul&gt;&lt;li&gt;Stanton - main contact and is an engineer&lt;/li&gt;&lt;li&gt;Purchased through a middle man retailer, called Connection, Casper
                is the contact.&lt;/li&gt;&lt;li&gt;DO NOT SEND CONTRACTS TO DIGNITY, ONLY TO
                CONNECTION!!!!!!!!!!!!&lt;/li&gt;&lt;li&gt;Last year was a huge tags initiative&lt;/li&gt;&lt;li&gt;This next year they want to work on cookies and analytics and
                journeys&lt;/li&gt;&lt;li class="ql-indent-1"&gt;Biggest disconnect: setup and run daily&lt;/li&gt;&lt;li class="ql-indent-1"&gt;There are different parts of the site have different cadence on
                releases&lt;/li&gt;&lt;li class="ql-indent-1"&gt;Adobe analytics should be all sites&lt;/li&gt;&lt;li&gt;Custom solution:&lt;/li&gt;&lt;li class="ql-indent-1"&gt;Pricing transparency is required by healthcare solutions&lt;/li&gt;&lt;li class="ql-indent-1"&gt;.txt file on each page and the solution tests this&lt;/li&gt;&lt;li class="ql-indent-1"&gt;Here is the old thread on this: https://observepoint.slack.com/archives/C51LN1WDP/p1766089902321849?thread_ts=1736284104.482449&amp;amp;cid=C51LN1WDP&lt;/li&gt;&lt;li class="ql-indent-1"&gt;This is their document that they use to track and test this stuff&lt;/li&gt;&lt;li class="ql-indent-1"&gt;https://docs.google.com/spreadsheets/d/11oj8MdOIxLcjjO4LSjXXSkFCBVsqpNyj/edit?gid=2112603528#gid=2112603528&lt;/li&gt;&lt;li class="ql-indent-1"&gt;This is the test audit I built with an on page action to click on
                all the json and xlsx file downloads crawling from the main locations page:&lt;/li&gt;&lt;li class="ql-indent-1"&gt;https://app.observepoint.com/audit/2030973/run/8734616/report/page-summary&lt;/li&gt;&lt;li class="ql-indent-1"&gt;This is the report I use to filter and check the network requests
                for those files:&lt;/li&gt;&lt;li class="ql-indent-1"&gt;https://app.observepoint.com/reports/18546&lt;/li&gt;&lt;/ul&gt;</t>
  </si>
  <si>
    <t>001d000001HbzQ2AAJ</t>
  </si>
  <si>
    <t>Project Management Institute (PMI)</t>
  </si>
  <si>
    <t>&lt;ul&gt;&lt;li&gt;Didn’t have much time to use OP recently.&lt;/li&gt;&lt;li class="ql-indent-1"&gt;Referenced a lot of changes going on.&lt;/li&gt;&lt;li class="ql-indent-1"&gt;What are those changes&lt;/li&gt;&lt;li&gt;There were broken links to the lower envs pages (local)&lt;/li&gt;&lt;li class="ql-indent-1"&gt;This does mean that there are links that exist on higher env pages
                to these lower env pages&lt;/li&gt;&lt;li class="ql-indent-1"&gt;Did we build a report to see where these links exist?&lt;/li&gt;&lt;li&gt;pmjobs subdomain, OP is getting blocked?&lt;/li&gt;&lt;li&gt;There were some broken links that were not getting redirected&lt;/li&gt;&lt;li class="ql-indent-1"&gt;Old blogs?&lt;/li&gt;&lt;li class="ql-indent-1"&gt;Some shop pages that redirected in chrome when tested&lt;/li&gt;&lt;li&gt;Exporting pages that are broken and plugging them back into a new
                audit to “retest” them adhoc&lt;/li&gt;&lt;li&gt;Looking into a new consent banner for next year&lt;/li&gt;&lt;li class="ql-indent-1"&gt;What percentage do people actually opt out?&lt;/li&gt;&lt;li class="ql-indent-1"&gt;Maybe marketing has numbers or reports on this?&lt;/li&gt;&lt;li class="ql-indent-1"&gt;Separate team to manage that&lt;/li&gt;&lt;/ul&gt;</t>
  </si>
  <si>
    <t>001d000001iAhtlAAC</t>
  </si>
  <si>
    <t>Ziff Davis Inc.</t>
  </si>
  <si>
    <t>&lt;ul&gt;&lt;li&gt;Robert - Lawyer&lt;/li&gt;&lt;li&gt;Filippo - Tech guy that actually builds things&lt;/li&gt;&lt;li&gt;Privacy use case seems like they are trying to rely on consent mode
                on purpose?&lt;/li&gt;&lt;li&gt;Mashable -&lt;/li&gt;&lt;li&gt;IGN -&lt;/li&gt;&lt;li&gt;CNET - onetrust&lt;/li&gt;&lt;li&gt;California, then US, then EU&lt;/li&gt;&lt;li&gt;They have a very complex video setup&lt;/li&gt;&lt;li&gt;Create audit for mashable&lt;/li&gt;&lt;li class="ql-indent-1"&gt;Whats happening before and after the consent?&lt;/li&gt;&lt;/ul&gt;</t>
  </si>
  <si>
    <t>001d000001hUe4KAAS</t>
  </si>
  <si>
    <t>Amica</t>
  </si>
  <si>
    <t>&lt;ul&gt;&lt;li&gt;Frank Adobe analytics admin&lt;/li&gt;&lt;li&gt;Paul uses it to look for key variables&lt;/li&gt;&lt;li&gt;Dec 17, 2025&lt;/li&gt;&lt;li class="ql-indent-1"&gt;Frank might want some training sessions with marketing and maybe
                other teams&lt;/li&gt;&lt;li class="ql-indent-1"&gt;Also might need to setup journeys on lower environments and emulate
                users that will change the behavior of the site (woman, 50+, etc)&lt;/li&gt;&lt;li&gt;Dec 23, 2025&lt;/li&gt;&lt;li class="ql-indent-1"&gt;Wants to pull data from adobe and OP and combine it in excel or
                google sheets&lt;/li&gt;&lt;li class="ql-indent-2"&gt;Who is the solutions engineers?&lt;/li&gt;&lt;li class="ql-indent-2"&gt;Maybe check with Mike (product) because his context might be
                helpful&lt;/li&gt;&lt;li class="ql-indent-2"&gt;Tagtation? Something to export adobe rules? http://tagtician.com/&lt;/li&gt;&lt;li class="ql-indent-2"&gt;Sounds like he is talking about the old chrome extension and we
                don't support it anymore. Try and figure out if there is something else that we can do to help with
                this&lt;/li&gt;&lt;li class="ql-indent-1"&gt;Post login&lt;/li&gt;&lt;li class="ql-indent-2"&gt;ps2.amica.com&lt;/li&gt;&lt;/ul&gt;</t>
  </si>
  <si>
    <t>001d000001hSqCBAA0</t>
  </si>
  <si>
    <t>Officeworks</t>
  </si>
  <si>
    <t>&lt;ul&gt;&lt;li&gt;Hayley (audience lead)&lt;/li&gt;&lt;li class="ql-indent-1"&gt;Journey mapping with marketing teams&lt;/li&gt;&lt;li class="ql-indent-1"&gt;Data quality&lt;/li&gt;&lt;li class="ql-indent-1"&gt;Tealium, GTM, and Adobe Launch&lt;/li&gt;&lt;li class="ql-indent-1"&gt;Working with AB testing team&lt;/li&gt;&lt;li class="ql-indent-1"&gt;Use cases:&lt;/li&gt;&lt;li class="ql-indent-2"&gt;What does the data layer look like?&lt;/li&gt;&lt;li class="ql-indent-2"&gt;Monitor the search, checkout process, add to cart Journeys&lt;/li&gt;&lt;li class="ql-indent-2"&gt;digitalData datalayer needs to be found&lt;/li&gt;&lt;li&gt;Renee (on maternity leave)&lt;/li&gt;&lt;li class="ql-indent-1"&gt;Heads tagging team&lt;/li&gt;&lt;li&gt;Bridget -&lt;/li&gt;&lt;li&gt;Ash - Online improvement&lt;/li&gt;&lt;li&gt;Henry - Business requirements&lt;/li&gt;&lt;li&gt;Sites and apps need work&lt;/li&gt;&lt;li class="ql-indent-1"&gt;Site speed&lt;/li&gt;&lt;li class="ql-indent-1"&gt;AEO (SEO for AI)&lt;/li&gt;&lt;li class="ql-indent-1"&gt;Analytics tagging&lt;/li&gt;&lt;li&gt;Email link validation is maybe a space we could help with&lt;/li&gt;&lt;li&gt;Need a followup call with Hayley, Ash (new) and Henry and maybe
                email team?&lt;/li&gt;&lt;li class="ql-indent-1"&gt;Follow up call in Jan: Henry, Ash And Email marketing team
                potentially to review tagging implementation, page performance, email query parameters.&lt;/li&gt;&lt;li class="ql-indent-1"&gt;Forward a marketing email to John&lt;/li&gt;&lt;li class="ql-indent-1"&gt;Example of. Journey experience on your site you would want to
                validate analysis for (subscribe, purchase, download pdf etc).&lt;/li&gt;&lt;/ul&gt;</t>
  </si>
  <si>
    <t>0016T00002mODVyQAO</t>
  </si>
  <si>
    <t>Lumen</t>
  </si>
  <si>
    <t>&lt;ul&gt;&lt;li&gt;Make sure we understand where everyone on the call is when it comes
                to OP, how much do they know about it and/or understand it?&lt;/li&gt;&lt;li&gt;They mostly used it for analytics but Macey ran some reports for
                privacy things to show them to see if there are some use cases that they might be missing.&lt;/li&gt;&lt;li&gt;Validated that their team has a huge responsibility, then talks
                about how OP can help.&lt;/li&gt;&lt;li&gt;Agency partners - Deloitte&lt;/li&gt;&lt;li class="ql-indent-1"&gt;We can work with them directly&lt;/li&gt;&lt;li class="ql-indent-1"&gt;They basically do the professional services that we don’t
                offer&lt;/li&gt;&lt;li class="ql-indent-1"&gt;This can bring up issues if we are not aligned with both the partner
                and the customer&lt;/li&gt;&lt;li class="ql-indent-1"&gt;Customers call them agencies and we call them partner&lt;/li&gt;&lt;li class="ql-indent-1"&gt;Johnny owns most of the partner relationships&lt;/li&gt;&lt;li&gt;Summarizing OP when there are new people, before jumping into some
                specifics&lt;/li&gt;&lt;li&gt;Ask specific questions when diving into the data, there were a bunch of pages
                that were missing adobe analytics tags, mostly apac.lumen.com and
                old blog.lumen.com pages, was that by design? That started a conversation between their team
                members&lt;/li&gt;&lt;li&gt;Carrie asked about using maybe the website content and performance team could
                use OP for page performance and broken links, but Macey did not seem to
                take that opportunity to sell them on that use case, is that because OP is just not going to compete
                with other tools in that space? Or another reason?&lt;/li&gt;&lt;li class="ql-indent-1"&gt;Nope that other team would get a lot of use out of OP&lt;/li&gt;&lt;li&gt;Categorizing cookies is a good starting point for something that
                the end users can work on&lt;/li&gt;&lt;li class="ql-indent-1"&gt;We need to continue to followup with them on this&lt;/li&gt;&lt;li&gt;Sometimes people that are updating onetrust cookies on their end
                sometimes don’t actually apply it because there is a button to click to finish this and it can be
                missed.&lt;/li&gt;&lt;li&gt;OneTrust typically only sees the tags that are loaded into the tag
                manager, so if there are any tags hard coded in the page, or are not in the tag manager, OneTrust has
                these blind spots where they might not be able to see them&lt;/li&gt;&lt;li&gt;Macey think Nic should go visit Kerry from Lumen in NYC in
                Jan&lt;/li&gt;&lt;li&gt;Kerry -&lt;/li&gt;&lt;li&gt;Neil - Has used OP for a while at another company&lt;/li&gt;&lt;li&gt;Arnold -&lt;/li&gt;&lt;li&gt;Kathy - AEM subject matter expert&lt;/li&gt;&lt;li&gt;Wants to automate when lumen launches a new landing page and then
                test it&lt;/li&gt;&lt;li class="ql-indent-1"&gt;Sitemap dates?&lt;/li&gt;&lt;li class="ql-indent-1"&gt;lumen.com/robots.txt -&gt;
            https://www.lumen.com/sitemap-index.xml -&gt;
            https://www.lumen.com/en-us/sitemap.xml&lt;/li&gt;&lt;li class="ql-indent-1"&gt;Those pages should be listed here, maybe do some logic to figure out which are
                new and then run an audit&lt;/li&gt;&lt;li class="ql-indent-1"&gt;You could just use the sitemap url as the starting url&lt;/li&gt;&lt;li class="ql-indent-1"&gt;https://docs.google.com/spreadsheets/d/1DSpRRtTYQD7diwL-JchVUZLt6FBV8tVdcGw2mx8nxjU/edit?gid=1071708912#gid=1071708912&lt;/li&gt;&lt;li&gt;Wants to test in lower environments&lt;/li&gt;&lt;li class="ql-indent-1"&gt;Depends on whether the blocking is through whitelisting, passwords
                or need a vpn&lt;/li&gt;&lt;li class="ql-indent-1"&gt;Merkle is a 3rd party that might need access&lt;/li&gt;&lt;li&gt;Kathy - Manages the website&lt;/li&gt;&lt;li&gt;Edward - Front end dev&lt;/li&gt;&lt;li&gt;Devon - Web experience manager, interested in accessibility&lt;/li&gt;&lt;li&gt;Tessa - Performance&lt;/li&gt;&lt;li&gt;Very manual process with lighthouse looking at accessibility&lt;/li&gt;&lt;/ul&gt;</t>
  </si>
  <si>
    <t>0016T00002tpKTxQAM</t>
  </si>
  <si>
    <t>MongoDB - Arthur</t>
  </si>
  <si>
    <t>&lt;ul&gt;&lt;li&gt;Looked at a journey after talking about an email that he sent
                recently, “highest priority item”&lt;/li&gt;&lt;li class="ql-indent-1"&gt;What is the high level of this Bing pixels problem, I didn’t
                have much context behind what they are talking about so it was a little hard to follow along&lt;/li&gt;&lt;li class="ql-indent-1"&gt;Showcase that OP is correct&lt;/li&gt;&lt;li class="ql-indent-1"&gt;OP is a bot so sometimes things like security can get in the
                way&lt;/li&gt;&lt;li class="ql-indent-1"&gt;OP is a good emulator for an end user of the customer because its an
                outside source, not in their own networks and such&lt;/li&gt;&lt;li&gt;LiveConnect&lt;/li&gt;&lt;li class="ql-indent-1"&gt;Allows a live connection with a mobile device to see the tags while
                you use the device, not much data past tags, use HAR Analyzer for more complete data&lt;/li&gt;&lt;li&gt;Email validation, what is this and what is this use case that he is
                talking about?&lt;/li&gt;&lt;li class="ql-indent-1"&gt;We create a new email that they can send these automated emails to,
                then basically run an audit on the email html&lt;/li&gt;&lt;li class="ql-indent-1"&gt;Need to have it associated with an audit to get full data like an audit&lt;/li&gt;&lt;li class="ql-indent-1"&gt;The rules fail because of a dynamic a tag that sometimes shows up in
                the emails and there is not really easy way to skip it&lt;/li&gt;&lt;li class="ql-indent-1"&gt;The raw html is not formatted correctly but Macey didn’t know
                what to do about that, she could’ve just copied it into an html viewer and auto format it&lt;/li&gt;&lt;li class="ql-indent-1"&gt;He wants solutions that will empower others in his company to self
                serve, like engineers, etc. So he wanted something that would alert this person with a link that would
                take them to a page with all the info they would need to fix it, without having to contact
                Arthur.&lt;/li&gt;&lt;li class="ql-indent-1"&gt;He asked about sending emails with non-visible broken links and how
                that affects spam filters&lt;/li&gt;&lt;li&gt;She showed the Delayed Web Analytics Tags report&lt;/li&gt;&lt;li class="ql-indent-1"&gt;Need to familiarize myself with reports&lt;/li&gt;&lt;li&gt;He talked about getting some data exported using the google sheet
                api&lt;/li&gt;&lt;/ul&gt;</t>
  </si>
  <si>
    <t>001d000001hVcViAAK</t>
  </si>
  <si>
    <t>Questrade</t>
  </si>
  <si>
    <t>&lt;ul&gt;&lt;li&gt;Vpn tunneling took a long time to setup and they probably got
                fatigued from that, should try and get back into a regular cadence (bi-weekly)&lt;/li&gt;&lt;li&gt;They do care about privacy, what can OP do to help with that?&lt;/li&gt;&lt;li&gt;What do you guys need to accomplish?&lt;/li&gt;&lt;li&gt;How can OP help?&lt;/li&gt;&lt;li&gt;Winnie - Connecting the business side of things&lt;/li&gt;&lt;li&gt;Raymond - implementation side of things&lt;/li&gt;&lt;li class="ql-indent-1"&gt;Works with SCRUM teams&lt;/li&gt;&lt;li&gt;KPIs&lt;/li&gt;&lt;li&gt;There was shuffling in 2025&lt;/li&gt;&lt;li&gt;Much more solid on their tech&lt;/li&gt;&lt;li&gt;Google Analytics (GA4)&lt;/li&gt;&lt;li&gt;Amplitude&lt;/li&gt;&lt;li class="ql-indent-1"&gt;Has started to implement in Q3&lt;/li&gt;&lt;li&gt;Brace&lt;/li&gt;&lt;li class="ql-indent-1"&gt;Email journeys&lt;/li&gt;&lt;li class="ql-indent-1"&gt;Etc&lt;/li&gt;&lt;li class="ql-indent-1"&gt;Has not implemented on front end yet, only back end so far&lt;/li&gt;&lt;li&gt;Retiring Adobe&lt;/li&gt;&lt;li&gt;They don’t handle privacy, another team will but we need to
                meet them as well and get them using OP&lt;/li&gt;&lt;li&gt;They are transitioning to a new CMS and it should go live in March,
                need help making sure OP is setup to handle this well and even help with it&lt;/li&gt;&lt;li&gt;Make copies of 1  current audit including prod and pre-prod for
                1. opted in. 2. opted out. 3. GPC signal. 4. Hard coded&lt;/li&gt;&lt;li&gt;Actually no hard coded rn bc they are retiring adobe&lt;/li&gt;&lt;li&gt;Pull in Onetrust categories and apply ALL categories to OPT IN and
                only strictly necessary to OPT OUT and GPC audits&lt;/li&gt;&lt;li&gt;Then run the audits- any uncategorized cookies are a hot topic for
                next call for privacy&lt;/li&gt;&lt;li&gt;Jan 8, 2026&lt;/li&gt;&lt;li class="ql-indent-1"&gt;Showed them how to import consent categories and reprocess
                them&lt;/li&gt;&lt;li class="ql-indent-1"&gt;They asked about mobile devices, I talked a little about HAR and
                LiveConnect. Maybe want to setup a training for those? I will see if they can figure it out on their
                own&lt;/li&gt;&lt;li class="ql-indent-1"&gt;Tried to add another step to their journey that seemed to be broken
                but maybe its not?&lt;/li&gt;&lt;li class="ql-indent-1"&gt;Need to followup with them on that!&lt;/li&gt;&lt;/ul&gt;</t>
  </si>
  <si>
    <t>EDC</t>
  </si>
  <si>
    <t>&lt;ul&gt;&lt;li&gt;Dinika&lt;/li&gt;&lt;li&gt;Kev&lt;/li&gt;&lt;li&gt;Jarred White is Solutions Consultant&lt;/li&gt;&lt;li&gt;Trying to find external links that are “broken”&lt;/li&gt;&lt;li class="ql-indent-1"&gt;This is hard because you are now testing 3rd party services and her
                vanilla js on page action is getting blocked by CORS&lt;/li&gt;&lt;li class="ql-indent-1"&gt;Site Census might be able to help with this&lt;/li&gt;&lt;li class="ql-indent-1"&gt;Created a separate audit for these external urls, then filtered by
                broken urls, then exported both reports:&lt;/li&gt;&lt;li class="ql-indent-2"&gt;https://app.observepoint.com/reports/16009&lt;/li&gt;&lt;li class="ql-indent-2"&gt;https://app.observepoint.com/reports/16008&lt;/li&gt;&lt;li class="ql-indent-1"&gt;Then joined them on link url in this sheet:&lt;/li&gt;&lt;li class="ql-indent-2"&gt;EDC
                    Broken External Links&lt;/li&gt;&lt;li class="ql-indent-1"&gt;Can automate if needed&lt;/li&gt;&lt;/ul&gt;</t>
  </si>
  <si>
    <t>001d000001pPRk5AAG</t>
  </si>
  <si>
    <t>Ross</t>
  </si>
  <si>
    <t>&lt;ul&gt;&lt;li&gt;Tamara -&lt;/li&gt;&lt;li&gt;Fe -&lt;/li&gt;&lt;li&gt;Just getting started in Privacy&lt;/li&gt;&lt;li&gt;There were some unapproved cookies which kind of surprised them so
                something that I can work on with them more&lt;/li&gt;&lt;li&gt;Cannot have a shared doc with them so put success criteria in
                email&lt;/li&gt;&lt;/ul&gt;</t>
  </si>
  <si>
    <t>0010W00002dxSMWQA2</t>
  </si>
  <si>
    <t>RDO - Offut</t>
  </si>
  <si>
    <t>&lt;ul&gt;&lt;li&gt;Eric - RDO Security&lt;/li&gt;&lt;li&gt;Bradley -&lt;/li&gt;&lt;li&gt;Do 1st party cookies need to be approved? Yes, every cookie should
                be categorized, that doesn’t mean that they should be blocked, just need to be categorized so that
                OneTrust knows what they are and has no blindspots.&lt;/li&gt;&lt;li&gt;Is there a report that shows newly added tags? Setup an alert one
                when there are unapproved tags on an audit&lt;/li&gt;&lt;li&gt;Recently we took over privacy, not too familiar with it&lt;/li&gt;&lt;/ul&gt;</t>
  </si>
  <si>
    <t>001d000001X6fERAAZ</t>
  </si>
  <si>
    <t>CDW</t>
  </si>
  <si>
    <t>&lt;ul&gt;&lt;li&gt;Audrey&lt;/li&gt;&lt;li&gt;Wants to get the journey health page to all green Success on the run
                status&lt;/li&gt;&lt;li&gt;Starting some new projects with marketo, adobe, monday.com, etc&lt;/li&gt;&lt;li&gt;Showed her the gpc setting and talked a little about privacy&lt;/li&gt;&lt;li&gt;Cdwtest1&lt;/li&gt;&lt;li&gt;Production1&lt;/li&gt;&lt;li&gt;Goal is to get all these journeys fixed: https://app.observepoint.com/reports/13147&lt;/li&gt;&lt;/ul&gt;</t>
  </si>
  <si>
    <t>001d0000020UAv5AAG</t>
  </si>
  <si>
    <t>Bluebeam</t>
  </si>
  <si>
    <t>&lt;ul&gt;&lt;li&gt;Privacy&lt;/li&gt;&lt;li class="ql-indent-1"&gt;Cali Opt Out - Cookie Inventory&lt;/li&gt;&lt;li class="ql-indent-2"&gt;Its still setting the 3rd part cookies on all the pages
                scanned&lt;/li&gt;&lt;li&gt;Tags&lt;/li&gt;&lt;li class="ql-indent-1"&gt;Top pages - Tag Inventory&lt;/li&gt;&lt;li class="ql-indent-2"&gt;Lots of pages are missing GA4, GTM&lt;/li&gt;&lt;li class="ql-indent-2"&gt;A few pages still have some old technologies: Universal
                Analytics&lt;/li&gt;&lt;li&gt;Nicole&lt;/li&gt;&lt;li class="ql-indent-1"&gt;Marketing&lt;/li&gt;&lt;li class="ql-indent-1"&gt;Wants to champion privacy&lt;/li&gt;&lt;li&gt;Mark&lt;/li&gt;&lt;li class="ql-indent-1"&gt;Going to be the main user&lt;/li&gt;&lt;li&gt;Todo&lt;/li&gt;&lt;li class="ql-indent-1"&gt;Clean up cookie bots&lt;/li&gt;&lt;li class="ql-indent-1"&gt;Setup quick sync right after holidays (week of the 5th)&lt;/li&gt;&lt;li class="ql-indent-1"&gt;Bi-weekly, last week of january&lt;/li&gt;&lt;li class="ql-indent-1"&gt;Need to get a solid answer from them on what interaction needs to
                happen to guarantee that cookiebot will fire&lt;/li&gt;&lt;/ul&gt;</t>
  </si>
  <si>
    <t>001d000001l9P6UAAU</t>
  </si>
  <si>
    <t>Medifast</t>
  </si>
  <si>
    <t>&lt;ul&gt;&lt;li&gt;Chandra - Marketing architect&lt;/li&gt;&lt;li&gt;Sonia - Developer contractor&lt;/li&gt;&lt;li&gt;Mike - client partner&lt;/li&gt;&lt;li&gt;Uses Tealium, Google Analytics&lt;/li&gt;&lt;li&gt;Mostly stable setup right now&lt;/li&gt;&lt;li&gt;Goals&lt;/li&gt;&lt;li class="ql-indent-1"&gt;Get 100% coverage&lt;/li&gt;&lt;li class="ql-indent-1"&gt;About 80% coverage right now&lt;/li&gt;&lt;li class="ql-indent-1"&gt;Going to launch a new site this year and need to get this
                setup&lt;/li&gt;&lt;li&gt;Lean on privacy, Macey seems to think they are not doing very well
                in that space&lt;/li&gt;&lt;/ul&gt;</t>
  </si>
  <si>
    <t>001d000001gytRtAAI</t>
  </si>
  <si>
    <t>Tyson</t>
  </si>
  <si>
    <t>&lt;ul&gt;&lt;li&gt;Send email to schedule a one off meeting with a single person to see
                if they show up&lt;/li&gt;&lt;li&gt;Cancel the recurring meeting&lt;/li&gt;&lt;li&gt;Main decision maker&lt;/li&gt;&lt;/ul&gt;</t>
  </si>
  <si>
    <t>001d000001X9SNEAA3</t>
  </si>
  <si>
    <t>CVS</t>
  </si>
  <si>
    <t>&lt;ul&gt;&lt;li&gt;Maria - Tagging group, privacy was given to this team this
                year&lt;/li&gt;&lt;li&gt;Amy - Tagging specialist&lt;/li&gt;&lt;li&gt;Trying to put together processes around privacy and how to find and
                fix them&lt;/li&gt;&lt;li&gt;Wants to be more proactive&lt;/li&gt;&lt;li&gt;Setup cadence of audits&lt;/li&gt;&lt;li&gt;Make sure whitelisting is setup and ready to go&lt;/li&gt;&lt;li&gt;Working with Danielle Coulsen about these blocking issues&lt;/li&gt;&lt;li&gt;Frontstore is going to be big&lt;/li&gt;&lt;li&gt;We’re put in Archer which should make it easier to whitelist
                us&lt;/li&gt;&lt;li&gt;As soon as we’re whitelisted, we should scan 100k pages for
                analytics, then 100k for privacy, then tweak the follow-up scans based on the findings&lt;/li&gt;&lt;li&gt;I was going to let you all know that we are still waiting for the
                folks who did the review to update Archer so that the other folks who can update/whitelist you for Front
                store can finish their action.&lt;/li&gt;&lt;li&gt;I have reached out to both sides again.... I was out of commission
                last week with a sinus infection&lt;/li&gt;&lt;li&gt;Mike - Aetna side,&lt;/li&gt;&lt;li&gt;Bruce - Martech guy, product office role now&lt;/li&gt;&lt;li&gt;Medicare enrollment process&lt;/li&gt;&lt;/ul&gt;</t>
  </si>
  <si>
    <t>001d000001TPxniAAD</t>
  </si>
  <si>
    <t>Seagate</t>
  </si>
  <si>
    <t>&lt;ul&gt;&lt;li&gt;Dipendra - Use to build the front end sites, now over the marketing
                side of UX, he is a huge swiss army knife&lt;/li&gt;&lt;li&gt;Trying to help with accessibility compliance (now using another
                vendor for this), then learned about how OP can help with that and cookie compliance.&lt;/li&gt;&lt;li&gt;Setup a Journey for black friday for a checkout flow&lt;/li&gt;&lt;li&gt;Broken link reporting - mostly ad hoc&lt;/li&gt;&lt;li&gt;The OneTrust regex is slightly different from our regex when we
                import&lt;/li&gt;&lt;li&gt;We probably need to setup a custom js pre-audit action for opt out
                scans as the onetrust opt outs are not working&lt;/li&gt;&lt;li&gt;Jan 8, 2026&lt;/li&gt;&lt;li class="ql-indent-1"&gt;Get the unapproved list down to zero&lt;/li&gt;&lt;li class="ql-indent-1"&gt;Improve opt out audits&lt;/li&gt;&lt;li class="ql-indent-1"&gt;Talked about extended data retention, he will bring it up with his
                legal team&lt;/li&gt;&lt;/ul&gt;</t>
  </si>
  <si>
    <t>001d000001hT2YNAA0</t>
  </si>
  <si>
    <t>Woolworths</t>
  </si>
  <si>
    <t>&lt;ul&gt;&lt;li&gt;Indhu - Analytics implementation manager&lt;/li&gt;&lt;li&gt;Satpal - Implementation specialist with journeys&lt;/li&gt;&lt;li class="ql-indent-1"&gt;Opening a new site this year&lt;/li&gt;&lt;li&gt;Mouna - Analytics implementation specialist&lt;/li&gt;&lt;li class="ql-indent-1"&gt;Updating the checkout journey in the next year&lt;/li&gt;&lt;li&gt;Wai Kin - Implementation specialist&lt;/li&gt;&lt;li class="ql-indent-1"&gt;Wants to setup some new audits this year&lt;/li&gt;&lt;li&gt;Updating the slack email address for some alerts- Indhu was going to
                look into this&lt;/li&gt;&lt;li&gt;Examples:&lt;/li&gt;&lt;li class="ql-indent-1"&gt;Found js errors&lt;/li&gt;&lt;/ul&gt;</t>
  </si>
  <si>
    <t>001d000001i8bNKAAY</t>
  </si>
  <si>
    <t>DeVry</t>
  </si>
  <si>
    <t>&lt;ul&gt;&lt;li&gt;Charlotte - sr manager of web analytics&lt;/li&gt;&lt;li&gt;David Sals - IT side to help setup tags&lt;/li&gt;&lt;li&gt;Finding legacy tags and remove them&lt;/li&gt;&lt;li&gt;Improving site performance&lt;/li&gt;&lt;li&gt;Using webvitals also for page performance&lt;/li&gt;&lt;li&gt;They are on pace to use up the contracted rate, is that by
                design?&lt;/li&gt;&lt;li&gt;Setup journeys&lt;/li&gt;&lt;li class="ql-indent-1"&gt;There isn’t a lot of consistency&lt;/li&gt;&lt;li&gt;Where are they with privacy cookies&lt;/li&gt;&lt;li&gt;We need whitelisting setup: https://dvu--fullsbox.sandbox.my.salesforce-sites.com/sswa/dvu/us/2&lt;/li&gt;&lt;li&gt;Here are follow ups from Dec 22, 2025:&lt;/li&gt;&lt;li class="ql-indent-1"&gt;David/IT –&lt;/li&gt;&lt;li class="ql-indent-2"&gt;David to confirm whether AEM developers and other development teams
                run automated tests during code deployments, such as Selenium based testing. I am not aware of automated
                coverage for SSWA, given prior launches with broken functionality, but this needs confirmation. Please
                include how automation works for site forms, especially Get Started, including whether tests validate
                individual field behavior and available selections. For example, confirm whether current automation
                would catch issues like the Keller landing pages with missing degree options.&lt;/li&gt;&lt;li class="ql-indent-2"&gt;David to confirm the current level of templating in the Get Started
                forms, including whether they rely on standardized AEM components or custom, page level authoring.
                We’re specifically looking to understand this with Get Started forms.&lt;/li&gt;&lt;li class="ql-indent-1"&gt;Charlotte&lt;/li&gt;&lt;li class="ql-indent-2"&gt;Once confirmed above, we’ll be creating automated journeys
                starting with RFI forms, in order to create rule-based checks for analytics, ad tags, and data layers.
                I’ll define an Action Set where possible to reduce the overall number of steps. I’ll send an
                example over to you @John Davis before I submit to support.&lt;/li&gt;&lt;li class="ql-indent-2"&gt;Also, thank you for the head’s up about the accelerated Audit
                schedule. It looks like a Mobile Audit was launched during our working sessions. This one has been
                paused.&lt;/li&gt;&lt;/ul&gt;</t>
  </si>
  <si>
    <t>001d000001RcsVKAAZ</t>
  </si>
  <si>
    <t>Agilent</t>
  </si>
  <si>
    <t>&lt;ul&gt;&lt;li&gt;Success
                    Criteria&lt;/li&gt;&lt;li&gt;Ragu - just had a baby&lt;/li&gt;&lt;li&gt;Sirius Project, completely transforming their website, just released
                the first prod project around Dec 13th&lt;/li&gt;&lt;li&gt;They have had lower environment issues, but they are apparently past
                this and are ready to get things going&lt;/li&gt;&lt;li&gt;Migrating from Google to Adobe&lt;/li&gt;&lt;li&gt;Shared doc with documentations for journeys&lt;/li&gt;&lt;li&gt;Upsell if they want to expand journeys&lt;/li&gt;&lt;li&gt;Built a ton of audits, but never really scheduled because of the
                switch from Google to Adobe&lt;/li&gt;&lt;li&gt;May have privacy use cases?&lt;/li&gt;&lt;li&gt;Wants us to do a presentation in Jan&lt;/li&gt;&lt;li&gt;This is where ObservePoint can help&lt;/li&gt;&lt;li class="ql-indent-1"&gt;Is consent working?&lt;/li&gt;&lt;li class="ql-indent-1"&gt;Journeys to test&lt;/li&gt;&lt;li class="ql-indent-1"&gt;Help with understanding the tag leads and opportunities&lt;/li&gt;&lt;li class="ql-indent-1"&gt;Cookie management&lt;/li&gt;&lt;li&gt;Web journeys - should start with prod, then go into lower
                environments&lt;/li&gt;&lt;li&gt;https://app.observepoint.com/web-journey/574576/run/66650656/results?action=1&amp;amp;tab=0&lt;/li&gt;&lt;li&gt;Most of the variables I am checking in the rules are just
                checking if they are set for now, hence why a lot of the rules are failing. It seems like some of the
                things in your steps that we need to check are either only accessible in the console using js, and so I
                built a custom tag to find and store these so that we can set rules against them, or I can't find
                them anywhere in your current tags.&lt;/li&gt;&lt;/ul&gt;</t>
  </si>
  <si>
    <t>001d000001MElmOAAT</t>
  </si>
  <si>
    <t>Boston Scientific</t>
  </si>
  <si>
    <t>&lt;ul&gt;&lt;li&gt;Brandi - Champion, came to EDGE, but moves slowly because
                she’s so busy&lt;/li&gt;&lt;li&gt;Struggles to even tell us what they need&lt;/li&gt;&lt;li&gt;Privacy and analytics use cases&lt;/li&gt;&lt;/ul&gt;</t>
  </si>
  <si>
    <t>001d000001hUh0qAAC</t>
  </si>
  <si>
    <t>Biogen</t>
  </si>
  <si>
    <t>&lt;ul&gt;&lt;li&gt;adrian.soto@accenture.com&lt;/li&gt;&lt;li&gt;tim.howland@biogen.com&lt;/li&gt;&lt;li&gt;keinersolano.miranda@biogen.com&lt;/li&gt;&lt;li&gt;Accenture uses this account for adobe analytics for them&lt;/li&gt;&lt;li&gt;We should get more people internally (Biogen) to use OP&lt;/li&gt;&lt;li&gt;Reach out to Tim with our current use cases to get a meeting
                setup&lt;/li&gt;&lt;/ul&gt;</t>
  </si>
  <si>
    <t>001d000001gQQ9cAAG</t>
  </si>
  <si>
    <t>Caesars</t>
  </si>
  <si>
    <t>&lt;ul&gt;&lt;li&gt;Chelsey - QA On Analytics team&lt;/li&gt;&lt;li&gt;Pam - Data Architect, Used OP for a long time&lt;/li&gt;&lt;li&gt;Moving from GTM to Adobe&lt;/li&gt;&lt;li&gt;Currently have weekly audits for analytics and privacy&lt;/li&gt;&lt;li&gt;Privacy is owned by lawyer, they might hire someone else to do this&lt;/li&gt;&lt;li&gt;Wants us to meet other teams, accessibility team?&lt;/li&gt;&lt;li&gt;Maybe will save them money by letting them use it&lt;/li&gt;&lt;li&gt;Not a lot of time to use OP fully&lt;/li&gt;&lt;li&gt;Validating in the app is a high need, using Charles right now for
                vpn?&lt;/li&gt;&lt;li&gt;Wants us to build a data dictionary, Pam wants it&lt;/li&gt;&lt;/ul&gt;</t>
  </si>
  <si>
    <t>001d000001XWAxOAAX</t>
  </si>
  <si>
    <t>WestJet</t>
  </si>
  <si>
    <t>&lt;ul&gt;&lt;li&gt;Chinmay - Based in Toronto, used to be full stack, currently
                implementation, investigation, validation, digital marketing analyst&lt;/li&gt;&lt;li&gt;Journey heavy&lt;/li&gt;&lt;li&gt;Lots of changes in their pages so journeys need to be updated&lt;/li&gt;&lt;/ul&gt;</t>
  </si>
  <si>
    <t>001d000001qtMKFAA2</t>
  </si>
  <si>
    <t>JM Family / SE Toyota</t>
  </si>
  <si>
    <t>&lt;ul&gt;&lt;li&gt;Kendall Papera - Product Owner of website on marketing team&lt;/li&gt;&lt;li&gt;Jack - 22squared tagging team, implementation, server side&lt;/li&gt;&lt;li&gt;Jared - 22squared tagging team, implementation, front end&lt;/li&gt;&lt;li&gt;Robyn - 22squared tagging team, asked about CICD integrations&lt;/li&gt;&lt;li&gt;Wants to make sure the tags are placed correctly and firing
                correctly&lt;/li&gt;&lt;li&gt;Uses Tealium with a 3rd party, 22squared&lt;/li&gt;&lt;li&gt;Uses some kind of custom solution for testing external links&lt;/li&gt;&lt;li class="ql-indent-1"&gt;Links to tons of other dealer site and their different sites, parts,
                tires, etc&lt;/li&gt;&lt;li class="ql-indent-1"&gt;https://docs.google.com/spreadsheets/d/1CnGhTtBKb9RwSP_9m0hqHP91uwdTxI8S6uYx6g8RIYE/edit?gid=1837613534#gid=1837613534&lt;/li&gt;&lt;li&gt;Building out cross inventory&lt;/li&gt;&lt;li class="ql-indent-1"&gt;Data layer to normalize things like paint color&lt;/li&gt;&lt;li&gt;Build out a design system&lt;/li&gt;&lt;li class="ql-indent-1"&gt;Component level tagging&lt;/li&gt;&lt;li class="ql-indent-1"&gt;Chromatic and storybook&lt;/li&gt;&lt;/ul&gt;</t>
  </si>
  <si>
    <t>001d000001qtIN6AAM</t>
  </si>
  <si>
    <t>Robert Wood Johnson Foundation (RWJF)</t>
  </si>
  <si>
    <t>&lt;ul&gt;&lt;li&gt;Phil - Communications (Marketing), owns analytics implementation and
                technical support for salesforce crm, application side of things as well&lt;/li&gt;&lt;li&gt;Uses Adobe, web sdk&lt;/li&gt;&lt;li&gt;Might want to check emails for tracking codes&lt;/li&gt;&lt;li&gt;Start from scratch&lt;/li&gt;&lt;li&gt;Evar13 when you search something on homepage, this is on the data
                layer in the request when you click the search button, evar13 is an array, not a string, need to check
                the string inside the item in the array, not just check if the item is existing in the array&lt;/li&gt;&lt;li&gt;Built this from scratch and he liked the results and wants to build others
                similarly:https://app.observepoint.com/web-journey/569254/run/66588708/results?action=1&lt;/li&gt;&lt;/ul&gt;</t>
  </si>
  <si>
    <t>001d000001XWB0NAAX</t>
  </si>
  <si>
    <t>Darden Restaurants</t>
  </si>
  <si>
    <t>&lt;ul&gt;&lt;li&gt;Brooke - CRM and Digital Analytics, gathers data&lt;/li&gt;&lt;li&gt;Blake - Implementation&lt;/li&gt;&lt;li&gt;CMS Migration - experience manager&lt;/li&gt;&lt;li&gt;Privacy - Onetrust&lt;/li&gt;&lt;li&gt;Journeys&lt;/li&gt;&lt;li class="ql-indent-1"&gt;Setup one per site and they need more bandwidth before they setup
                more&lt;/li&gt;&lt;li&gt;Tags firing in under 500ms and not firing twice&lt;/li&gt;&lt;/ul&gt;</t>
  </si>
  <si>
    <t>0010W00002dxTipQAE</t>
  </si>
  <si>
    <t>Cotiviti</t>
  </si>
  <si>
    <t>&lt;ul&gt;&lt;li&gt;Chris - Web Developer&lt;/li&gt;&lt;li&gt;Walter - Senior director of marketing web services&lt;/li&gt;&lt;li&gt;Shawn Warren - Owns the contract and might want extended data
                retention&lt;/li&gt;&lt;li&gt;Edefex got acquired by Cotiviti recently&lt;/li&gt;&lt;li&gt;Rebuilding edefex into hubspot currently, end of march to
                hopefully&lt;/li&gt;&lt;li&gt;Wants to use it more for accessibility, broken pages, etc&lt;/li&gt;&lt;li&gt;Started the process on a Web Governance survey&lt;/li&gt;&lt;li&gt;There is a team within legal that is aware of the privacy
                stuff&lt;/li&gt;&lt;li class="ql-indent-1"&gt;This past december they came to Walter and wanted some bigger
                changes in this&lt;/li&gt;&lt;/ul&gt;</t>
  </si>
  <si>
    <t>001d0000026TT5sAAG</t>
  </si>
  <si>
    <t>Massachusetts Medical Society - MMS</t>
  </si>
  <si>
    <t>&lt;ul&gt;&lt;li&gt;Mayank - QA guy&lt;/li&gt;&lt;li&gt;Karsit - QA as well&lt;/li&gt;&lt;li&gt;Caryn-Amy - Started as a developer, analyst, then got pulled into
                analytics and business analysis  in the Adobe implementation team&lt;/li&gt;&lt;li&gt;They publish the New England Journal of Medicine&lt;/li&gt;&lt;li&gt;They are managing a data layer&lt;/li&gt;&lt;li&gt;Projects for the year:&lt;/li&gt;&lt;li class="ql-indent-1"&gt;All access project, buy a single subscription for all the
                journals&lt;/li&gt;&lt;/ul&gt;</t>
  </si>
  <si>
    <t>0010W00002HyT70QAF</t>
  </si>
  <si>
    <t>Torrid</t>
  </si>
  <si>
    <t>&lt;ul&gt;&lt;li&gt;Kushank - Director of ecommerce and marketing&lt;/li&gt;&lt;li&gt;Bassem - Software engineer, works over privacy&lt;/li&gt;&lt;li&gt;Brenden -&lt;/li&gt;&lt;li&gt;Senthil - QA Engineer - smani@torrid.com&lt;/li&gt;&lt;li&gt;Starting from scratch&lt;/li&gt;&lt;/ul&gt;</t>
  </si>
  <si>
    <t>001d000001gOaJoAAK</t>
  </si>
  <si>
    <t>World Market</t>
  </si>
  <si>
    <t>&lt;ul&gt;&lt;li&gt;Grant -&lt;/li&gt;&lt;li&gt;John -&lt;/li&gt;&lt;li&gt;Self initiated project, we work on questions that are interesting to
                them&lt;/li&gt;&lt;li&gt;Wants to build chart visualizations from reports to share with
                stakeholders&lt;/li&gt;&lt;li&gt;Hasn’t done much with privacy&lt;/li&gt;&lt;li&gt;Ensighten for CMP, not OneTrust, now its owned by Cheq&lt;/li&gt;&lt;/ul&gt;</t>
  </si>
  <si>
    <t>001d000001h2KniAAE</t>
  </si>
  <si>
    <t>Verisign</t>
  </si>
  <si>
    <t>&lt;ul&gt;&lt;li&gt;Charlie -&lt;/li&gt;&lt;li&gt;Enrique -&lt;/li&gt;&lt;li&gt;Trying to get AWS Lambda setup for cloud computing projects&lt;/li&gt;&lt;li&gt;Ask from the dev team to audit usage of certain tracking
                variables&lt;/li&gt;&lt;li&gt;Approved but not allowed tags and cookie duration script that we can’t
                use anymore because of their security protocols:https://docs.google.com/spreadsheets/d/1HqBJAsHfpWeo7DnVewsBN2o6LoP2HzWTP3oxqCzBGw8/edit?gid=129227418#gid=129227418&lt;/li&gt;&lt;li class="ql-indent-1"&gt;I think I can do the same thing by checking the tags against a hard
                coded list in an on-page action in js, then if there are any, it then creates and saves them to a custom
                OP tag as an array, then we create a rule against this which will trigger if the custom OP tag is
                set.&lt;/li&gt;&lt;li class="ql-indent-1"&gt;Need to test this theory with this audit:https://app.observepoint.com/audit/2040098/run/0/report/live-results&lt;/li&gt;&lt;li&gt;Doing a full rebuild of their marketing products&lt;/li&gt;&lt;li&gt;Super on top of their privacy&lt;/li&gt;&lt;/ul&gt;</t>
  </si>
  <si>
    <t>001d000001qtPDNAA2</t>
  </si>
  <si>
    <t>K. Hovnanian</t>
  </si>
  <si>
    <t>&lt;ul&gt;&lt;li&gt;Padmini - QA web analyst&lt;/li&gt;&lt;li class="ql-indent-1"&gt;Journeys&lt;/li&gt;&lt;li&gt;Jason Carter - Dev&lt;/li&gt;&lt;li&gt;Recently setup some privacy audits&lt;/li&gt;&lt;li&gt;Wants to setup alerting around privacy&lt;/li&gt;&lt;li&gt;Wants help with content security policy&lt;/li&gt;&lt;li&gt;Planning on splitting front end and back of site&lt;/li&gt;&lt;/ul&gt;</t>
  </si>
  <si>
    <t>0010W00002dxRviQAE</t>
  </si>
  <si>
    <t>Brunswick</t>
  </si>
  <si>
    <t>&lt;ul&gt;&lt;li&gt;Brad - Director of digital analytics&lt;/li&gt;&lt;li&gt;Aparna - QA Implementation?&lt;/li&gt;&lt;li&gt;I went ahead and created a rough draft of a rule that probably gets
                us 90% there, then copied your two journeys for those two forms and assigned my rule to the last step in
                both journeys:&lt;/li&gt;&lt;li&gt;https://app.observepoint.com/web-journey/575288/run/66655459/results?action=11&amp;tab=4&lt;/li&gt;&lt;li&gt;https://app.observepoint.com/web-journey/575287/run/66655458/results?action=11&amp;tab=4&lt;/li&gt;&lt;li&gt;Wants to lock down some sort of a playbook to make it easier to make
                more journeys&lt;/li&gt;&lt;/ul&gt;</t>
  </si>
  <si>
    <t>Auto Renewal</t>
  </si>
  <si>
    <t>Engagement Score</t>
  </si>
  <si>
    <t>Days Since Last Contact</t>
  </si>
  <si>
    <t>Email Count (Total)</t>
  </si>
  <si>
    <t>Emails Sent</t>
  </si>
  <si>
    <t>Emails Received</t>
  </si>
  <si>
    <t>Email Count (30d)</t>
  </si>
  <si>
    <t>Email Count (90d)</t>
  </si>
  <si>
    <t>Last Email Date</t>
  </si>
  <si>
    <t>Meetings (Past)</t>
  </si>
  <si>
    <t>Meetings (Future)</t>
  </si>
  <si>
    <t>Meetings (30d)</t>
  </si>
  <si>
    <t>Avg Meeting Attendance %</t>
  </si>
  <si>
    <t>Last Meeting Date</t>
  </si>
  <si>
    <t>Next Meeting Date</t>
  </si>
  <si>
    <t>GitHub Tasks (Total)</t>
  </si>
  <si>
    <t>GitHub Tasks (Open)</t>
  </si>
  <si>
    <t>GitHub Tasks (Closed)</t>
  </si>
  <si>
    <t>Meeting Recaps Count</t>
  </si>
  <si>
    <t>Action Items Count</t>
  </si>
  <si>
    <t>Recent Email Snippets</t>
  </si>
  <si>
    <t>Recent Task Summaries</t>
  </si>
  <si>
    <t>Recent Recap Summaries</t>
  </si>
  <si>
    <t>Tasks</t>
  </si>
  <si>
    <t>Emails</t>
  </si>
  <si>
    <t>Meetings</t>
  </si>
  <si>
    <t>Meeting Recaps</t>
  </si>
  <si>
    <t>Meeting Action Items</t>
  </si>
  <si>
    <t>Account Notes</t>
  </si>
  <si>
    <t>AI Engagement Summary</t>
  </si>
  <si>
    <t>AI Prompt Hash</t>
  </si>
  <si>
    <t>Merz Pharma</t>
  </si>
  <si>
    <t>2026 - REN - Merz Pharma</t>
  </si>
  <si>
    <t>2026-01-29 (OUT): Re: Merz renewal &amp; Extended Data Retention SO — Can I nudge on this?
 Preah, have you had a chance to review and or speak with Elvis?
 If there is anything that you need clarification on please le
2026-01-29 (OUT): Upcoming ObservePoint Renewal on February 28, 2026 - Merz Pharma — [image: ObservePoint Logo_Gray_ON_YEllow_LOGO.jpeg]  A friendly reminder that it's time to renew.   Hi Preah,   The last day of your current term is *
2026-01-20 (OUT): Re: Merz renewal &amp; Extended Data Retention SO — Thank you Elvis
 *Andy Compas* *   |    Account Executive*
   801.361.4079
   *andy.compas@observepoint.com &lt;andy.compas@observepoint.com&gt;</t>
  </si>
  <si>
    <t>["PVTI_lAHOBXQWPs4BLZXmzgjPA-o", "PVTI_lAHOBXQWPs4BLZXmzgjnGkE"]</t>
  </si>
  <si>
    <t>["19c0b136304a058a", "19c0a89954a2ea2a", "19bdd6bf1cab972e", "19bdd6237d4a5ebe", "19bdd56bb36b7169", "19bc8b899956df68", "19b700aa70faa295", "19b2e30a6c7dcf81", "19b2e290f715e280", "19b2e21ba6100ac0", "19b0423c3e33d63c"]</t>
  </si>
  <si>
    <t>["79g8qp0t99f40rllt07vl8s0e4@google.com", "1e9bopu71q61k490itp9hcgft9@google.com"]</t>
  </si>
  <si>
    <t>[]</t>
  </si>
  <si>
    <t>Amy works for BRG
Elvis - development
Preah - Owner of privacy
What is her expected involvement level with Merz?
What is she supposed to be doing and what can we be doing?
Mostly for privacy
They liked it but they never really got into it and used it
3rd party are building their websites
Make a followup call to build some scans and review them with Amy
                for her to take back to Merz that could catch their eye.
How can we continue to build value to make you look good?
Just finished a big accessibility project
Site redesign</t>
  </si>
  <si>
    <t>1cfd2f5b7829cf1246ec739b03c66fc7</t>
  </si>
  <si>
    <t>Amica Mutual Insurance</t>
  </si>
  <si>
    <t>2026 - REN - Amica Mutual Insurance</t>
  </si>
  <si>
    <t>2026-02-03 (OUT): Re: Re: Amica Mutual Single Sign-On configuration — #74079270: Re: Amica Mutual Single Sign-On configuration  Submitted  We'll pick up your ticket soon   Thanks Dallin, I will be your main point of cont
2026-02-03 (OUT): Re: Amica Mutual Single Sign-On configuration — Thanks Dallin,
 I will be your main point of contact for this, but our Support team will be
 setting this up for you, so I have looped them in as we
2026-02-03 (OUT): Re: Amica Mutual Single Sign-On configuration — Thanks Dallin,
 I will be your main point of contact 
 *Regards, *
 John Davis *   |    * *Customer Success Manager*
 Cell: 801.633.6013
 john</t>
  </si>
  <si>
    <t>[OPEN] Send expansion pricing proposals to Frank (In progress)</t>
  </si>
  <si>
    <t>2026-02-06: ObservePoint | Amica Weekly Sync
This meeting transcript covers two separate conversations. In the first conversation, John Davis and Arthur Engelhard discuss the redesigned rule UI for custom tags in ObservePoint's tag database, with Arthur mentioning upcoming needs for custom tag additions and CI/CD automation for their custom tag manager called Pathway, though GitHub Actions aren't currently enabled in their environment. In the second conversation, Frank Ialongo updates John on contract renewal progress, explaining that budg
---
2026-01-30: ObservePoint | Amica Weekly Sync
John Davis and Frank Ialongo discussed organizing ObservePoint journeys and audits, with a focus on creating effective alerting systems for marketing tag monitoring. They worked through setting up folder structures, building custom reports filtered by labels and folders, and establishing rules and alerts to monitor Facebook conversion tags across web pages. The session concluded with creating an alert that would notify the team when more than five pages (or 1% of total pages) are missing the Fac</t>
  </si>
  <si>
    <t>["PVTI_lAHOBXQWPs4BLZXmzgkDvmU", "PVTI_lAHOBXQWPs4BLZXmzgkDvmE", "PVTI_lAHOBXQWPs4BLZXmzgjO8UE", "PVTI_lAHOBXQWPs4BLZXmzgkGshc", "PVTI_lAHOBXQWPs4BLZXmzgkDvnc", "PVTI_lAHOBXQWPs4BLZXmzgkYTmY", "PVTI_lAHOBXQWPs4BLZXmzgkDvnI"]</t>
  </si>
  <si>
    <t>["19c24efaa3f0b447", "19c24ef0288847d4", "19c24be0e637a585", "19c2148b2287538d", "19c1fe32d205c8ed", "19c1f236d8af299a", "19c12b3f29d120e6", "19c12420e35c3004", "19c0a899447c3eaf", "19bec1c945005958", "19bec163937d8bfe", "19be14214b85fc1a", "19bdd27cab4068f7", "19bc81ed3d14c726", "19bc81a00b718b0e", "19bc819cd8086c9e", "19b9afec1cbb3057", "19b9a83c970d343e", "19b9a7fb855dcd9d", "19b9a49b3c1b752f", "19b9a19ef9472ac8", "19b9a189be0d77c7", "19b9a16f062badbc", "19b958ab11e2287f", "19b958a0508bc751", "19b950800854f6c8", "19b700aa7633a1ae", "19b4b8bd98b1ce84", "19b4b157266c573e", "19b4b1568626fb3d", "19b4ab7dc134a575", "19b4ab7cf0927119", "19b47e2ec9b98c66", "19b47e28d3d5ff31", "19b471f5a93d93c9", "19b471df5b9fa092", "19b4707030809384", "19b389160dfde68f", "19b38915b20ef599", "19b386c3868192d1", "19b36e3fd769fe2b", "19b36871c4270e64", "19b368714888144d", "19b3362dac7d1fe6", "19b330e394ec6ce5", "19b32bb1cbc72313", "19b32b916e7dfb61", "19b32b40666eb5ad", "19b32b082346f723", "19b32abdac6977cf", "19b32ab75e178211", "19b2edf36ebec317", "19b2e5ffeb02716b", "19b2e158dbfd04fb", "19b0e6aee316db33", "19b0e63d3a7ea8e2", "19aba33ceccb7c86"]</t>
  </si>
  <si>
    <t>["cai2ugl8dv8pebnrvap7pehlvb@google.com", "cai2ugl8dv8pebnrvap7pehlvb@google.com", "cai2ugl8dv8pebnrvap7pehlvb@google.com", "4fr0l79mbat7il6leru9flijet_R20260120T203000@google.com", "6dgj0pb46cs64b9h6cq64b9kc4s34b9p69h3ab9k6opjadj661j38c1g68@google.com", "4fr0l79mbat7il6leru9flijet@google.com", "4fr0l79mbat7il6leru9flijet@google.com", "f0hcs5u78qgi21gkf2b7drultr_R20251210T203000@google.com", "f0hcs5u78qgi21gkf2b7drultr_R20251210T203000@google.com", "cai2ugl8dv8pebnrvap7pehlvb@google.com", "22tu3clakshp9p7ep74d87oqbl@google.com",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 "cai2ugl8dv8pebnrvap7pehlvb@google.com"]</t>
  </si>
  <si>
    <t>["ngmt_01KFEK95PX2BSCV67P2P5YFY0H", "ngmt_01KFEK962675R0N74NKFN3GZ3X", "ngmt_01KFEK967XDEH47Q818GEEW50D"]</t>
  </si>
  <si>
    <t>["ngmt_01KFEK95PX2BSCV67P2P5YFY0H_0", "ngmt_01KFEK95PX2BSCV67P2P5YFY0H_1", "ngmt_01KFEK95PX2BSCV67P2P5YFY0H_2", "ngmt_01KFEK962675R0N74NKFN3GZ3X_0", "ngmt_01KFEK962675R0N74NKFN3GZ3X_1", "ngmt_01KFEK967XDEH47Q818GEEW50D_0", "ngmt_01KFEK967XDEH47Q818GEEW50D_1", "ngmt_01KFEK967XDEH47Q818GEEW50D_2"]</t>
  </si>
  <si>
    <t>Frank Adobe analytics admin
Paul uses it to look for key variables
Dec 17, 2025
Frank might want some training sessions with marketing and maybe
                other teams
Also might need to setup journeys on lower environments and emulate
                users that will change the behavior of the site (woman, 50+, etc)
Dec 23, 2025
Wants to pull data from adobe and OP and combine it in excel or
                google sheets
Who is the solutions engineers?
Maybe check with Mike (product) because his context might be
                helpful
Tagtation? Something to export adobe rules? http://tagtician.com/
Sounds like he is talking about the old chrome extension and we
                don't support it anymore. Try and figure out if there is something else that we can do to help with
                this
Post login
ps2.amica.com</t>
  </si>
  <si>
    <t>fe71055191dea62203d4edaa71529796</t>
  </si>
  <si>
    <t>Bluebeam Inc.</t>
  </si>
  <si>
    <t>2026 - REN - Bluebeam Inc.</t>
  </si>
  <si>
    <t>2026-01-12 (IN): Example of EBR — Hi all,
 Please see an example of EBR from another vendor we have that demonstrates value to our executives in a helpful way. Granted this tool has 
2026-01-12 (IN): Accepted: ObservePoint | Bluebeam Inc. Sync
2026-01-12 (IN): Accepted: ObservePoint | Bluebeam Inc. Sync</t>
  </si>
  <si>
    <t>[OPEN] Bluebeam - Create an end of year review style presentation before contract is up to show value (Blocked)</t>
  </si>
  <si>
    <t>["PVTI_lAHOBXQWPs4BLZXmzgjkAkE", "PVTI_lAHOBXQWPs4BLZXmzgjPBGU", "PVTI_lAHOBXQWPs4BLZXmzgjPSzk"]</t>
  </si>
  <si>
    <t>["19bb47953557c84d", "19bb396dbb85923d", "19bb38432d77e1cf", "19bb327e71544fd9", "19b8f227fdbe9742", "19b700aa7d46a531", "19b13679183f48a7", "19b040e9973ad5b3"]</t>
  </si>
  <si>
    <t>["48da95uvpj31i9dvvedc8kaf6s@google.com", "kg6dgdtel1c742fskj3sk48tr4@google.com"]</t>
  </si>
  <si>
    <t>Privacy
Cali Opt Out - Cookie Inventory
Its still setting the 3rd part cookies on all the pages
                scanned
Tags
Top pages - Tag Inventory
Lots of pages are missing GA4, GTM
A few pages still have some old technologies: Universal
                Analytics
Nicole
Marketing
Wants to champion privacy
Mark
Going to be the main user
Todo
Clean up cookie bots
Setup quick sync right after holidays (week of the 5th)
Bi-weekly, last week of january
Need to get a solid answer from them on what interaction needs to
                happen to guarantee that cookiebot will fire</t>
  </si>
  <si>
    <t>8231cb10448dcffd11a7bc9306ec5c14</t>
  </si>
  <si>
    <t>Cost Plus World Market</t>
  </si>
  <si>
    <t>2026 - REN - Cost Plus World Market</t>
  </si>
  <si>
    <t>2026-02-04 (OUT): Re: Contract Renewal — Thanks John.
 Grant -- looking forward to speaking on Friday. We've got some ideas to
 help your scanning value take off this year.
 Clarke Ande
2026-02-04 (OUT): Re: Contract Renewal — Hey Grant,
 Yes it is up on March 1st. I have looped Clark Anderson (your AE) into this
 thread for any questions that you might have for him.
 Yo
2026-02-04 (OUT): Re: Contract Renewal — Hey Grant,
 Yes it is up on March 1st. I have looped Clark Anderson (your AE) into this 
 thread for any questions that you might have for him.
 Y</t>
  </si>
  <si>
    <t>[OPEN] Configure 404 error page alerts (In progress)</t>
  </si>
  <si>
    <t>2026-02-06: ObservePoint | World Market - Sync
Grant Menefee and the ObservePoint team discussed their upcoming March 1st contract renewal, with Grant expressing satisfaction with the tool's value delivery to the business, particularly for ecommerce website functionality and performance monitoring. Clark explored opportunities for expanding privacy scanning coverage and optimizing audit configurations, while Grant requested pricing options for a multi-year agreement that could potentially increase capacity or improve pricing. The team identi</t>
  </si>
  <si>
    <t>["PVTI_lAHOBXQWPs4BLZXmzgk-2rU"]</t>
  </si>
  <si>
    <t>["19c2adaa8b3d0af4", "19c2a99fc7dcd49e", "19c2a542e4cbd44e", "19c29a841708cbfb", "19c2996f3cf567db", "19c2936360e4dcb4", "19c113ab857feb23", "19c1132aec3e5e53", "19c0fafdcdcc276d", "19c01117c5950bb2", "19c010f5da85aca2", "19c007bd2c8fca12", "19bfd999745c34df", "19bfc39463a8cbbc", "19bfc237e7aa1362", "19bfc1ee3a110f27", "19bfb0c29674941e", "19bbff667fbaea11", "19b753114ac2c303", "19b068da773542bb", "19aba3543075e9e4"]</t>
  </si>
  <si>
    <t>["5rcafr3f24opbur5nh165hj24g_R20260206T170000@google.com", "5rcafr3f24opbur5nh165hj24g@google.com", "22k19174vd52ms85k5ds56c1oh@google.com",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 "5rcafr3f24opbur5nh165hj24g_R20260206T170000@google.com"]</t>
  </si>
  <si>
    <t>["ngmt_01KFNYFQW5Q91BT3NCWY6EB75A"]</t>
  </si>
  <si>
    <t>["ngmt_01KFNYFQW5Q91BT3NCWY6EB75A_0", "ngmt_01KFNYFQW5Q91BT3NCWY6EB75A_1"]</t>
  </si>
  <si>
    <t>Grant -
John -
Self initiated project, we work on questions that are interesting to
                them
Wants to build chart visualizations from reports to share with
                stakeholders
Hasn’t done much with privacy
Ensighten for CMP, not OneTrust, now its owned by Cheq</t>
  </si>
  <si>
    <t>8c5b742878d0e508860f46a7365d2115</t>
  </si>
  <si>
    <t>2026 - REN - Questrade</t>
  </si>
  <si>
    <t>2026-02-09 (OUT): Skyline Team Connection — Hey Winnie,
 Hope you were able to have some fun during your time off!
 I wanted to reach out before our next scheduled meeting to talk about your
2026-02-04 (OUT): Skyline Team Connection — Hey Winnie,
 Hope you were able to have some fun during your time off!
 I wanted to reach out before our next scheduled meeting to talk about your
2026-02-03 (OUT): Re: Re: Journey Followup — Hi Raymond,     Just checking in to see if you had a chance to review our previous message. Happy to help if you have any questions.     Thank you!</t>
  </si>
  <si>
    <t>2026-02-04: ObservePoint | Questrade Sync
John Davis and Raymond Chau discussed troubleshooting a blocked domain issue in ObservePoint's journey setup, specifically at step 10 involving their UAT portal environment. John agreed to follow up internally with support team member Bogdan to clarify the VPN and network configuration context, as the issue appears related to their Content Security Policy blocking certain tracking pixels like Pinterest. They also explored potential use cases for ObservePoint audits, including marketing pixel val</t>
  </si>
  <si>
    <t>["PVTI_lAHOBXQWPs4BLZXmzgkCF1Q", "PVTI_lAHOBXQWPs4BLZXmzgkDvq4", "PVTI_lAHOBXQWPs4BLZXmzgk2aLY", "PVTI_lAHOBXQWPs4BLZXmzgk2aLs", "PVTI_lAHOBXQWPs4BLZXmzgkDvrM", "PVTI_lAHOBXQWPs4BLZXmzgkDvqc", "PVTI_lAHOBXQWPs4BLZXmzgkGiho"]</t>
  </si>
  <si>
    <t>["19c42eaa5ae7664c", "19c2a9ff37298cec", "19c2443675fa654a", "19c1fe3bc85a2dbf", "19c01ec96109a1a5", "19c0136673e9567e", "19c01361bf451d07", "19be1c245c045b5e", "19be1beedbb05a0e", "19bdca5e4cd40a85", "19bdca5c4e9ac382", "19bd7ca2500e6032", "19bd685ee9894a31", "19bc8570397860ea", "19bc850959231cfd", "19bc84e7dcc3fac4", "19bc8396e1249c35", "19bc26aaa1c71b72", "19bbe7da337ad5f1", "19bbd4a1abfdacee", "19bbd4a1aca064af", "19bb1f359258d98c", "19bb1f34e7a7b039", "19ba4b0835dd5412", "19ba4afecc803ced", "19ba4aadc14e55a3", "19b9fbd8ae97ae05", "19b9a5001de29f3f", "19b8fbdf00379aea", "19b8f9e50c55bab5", "19b8f87d94f5a7af", "19b8e7f5a4d630fe", "19b22cb704f00347", "19b22cb714e9b812", "19b0f53f21c70b1d", "19b0f4998f5ae22e", "19b0f3cabcd4a660", "19b0ea78a871ab99", "19abc158167f7c15", "19abb7fffee257df", "19aba5588da55d8f", "19aba527786e6cd7"]</t>
  </si>
  <si>
    <t>["00dn3utll7te2b1kdcjakfrh26@google.com", "7g60kftr3tnreii8jl2hsi8n4l@google.com", "nft6ithtlhdivdobijigqfb7jo@google.com", "ohc4qofsbi5r27jm8hl1at712c@google.com", "9fegpvrebddsvtfvdffnb7upsg@google.com", "5inu6rdhbaal4kam9lsb4niujj@google.com",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 "dckas4j2hp1q0eola6a9c2rn20_R20260216T200000@google.com"]</t>
  </si>
  <si>
    <t>["ngmt_01KG35KGX47F31J2V3X69CG5DE"]</t>
  </si>
  <si>
    <t>["ngmt_01KG35KGX47F31J2V3X69CG5DE_0", "ngmt_01KG35KGX47F31J2V3X69CG5DE_1"]</t>
  </si>
  <si>
    <t>Vpn tunneling took a long time to setup and they probably got
                fatigued from that, should try and get back into a regular cadence (bi-weekly)
They do care about privacy, what can OP do to help with that?
What do you guys need to accomplish?
How can OP help?
Winnie - Connecting the business side of things
Raymond - implementation side of things
Works with SCRUM teams
KPIs
There was shuffling in 2025
Much more solid on their tech
Google Analytics (GA4)
Amplitude
Has started to implement in Q3
Brace
Email journeys
Etc
Has not implemented on front end yet, only back end so far
Retiring Adobe
They don’t handle privacy, another team will but we need to
                meet them as well and get them using OP
They are transitioning to a new CMS and it should go live in March,
                need help making sure OP is setup to handle this well and even help with it
Make copies of 1  current audit including prod and pre-prod for
                1. opted in. 2. opted out. 3. GPC signal. 4. Hard coded
Actually no hard coded rn bc they are retiring adobe
Pull in Onetrust categories and apply ALL categories to OPT IN and
                only strictly necessary to OPT OUT and GPC audits
Then run the audits- any uncategorized cookies are a hot topic for
                next call for privacy
Jan 8, 2026
Showed them how to import consent categories and reprocess
                them
They asked about mobile devices, I talked a little about HAR and
                LiveConnect. Maybe want to setup a training for those? I will see if they can figure it out on their
                own
Tried to add another step to their journey that seemed to be broken
                but maybe its not?
Need to followup with them on that!</t>
  </si>
  <si>
    <t>89a05ab31629b13dfc4d661d5f318c87</t>
  </si>
  <si>
    <t>Caleres</t>
  </si>
  <si>
    <t>2026 - REN - Caleres</t>
  </si>
  <si>
    <t>2026-01-23 (OUT): Upcoming ObservePoint Renewal on March 24, 2026 - Caleres — [image: ObservePoint Logo_Gray_ON_YEllow_LOGO.jpeg]  A friendly reminder that it's time to renew.   Hi Thor,  Thank you for being an ObservePoint cust
2026-01-20 (IN): Accepted: ObservePoint | Caleres - Monthly Sync
2026-01-20 (IN): Accepted: ObservePoint | Caleres - Monthly Sync</t>
  </si>
  <si>
    <t>["PVTI_lAHOBXQWPs4BLZXmzgjyxaQ"]</t>
  </si>
  <si>
    <t>["19bebc27e0c85b8a", "19bdc2d94d1217ec", "19bdc2d83f12a20f", "19bc8dd373edfa1c", "19bc84faa07cd307", "19bc80dfd59336b5", "19bc80c759e89ac2", "19b51247b225f5f9", "19b14995f0fa3fa8", "19aba38d080d7837"]</t>
  </si>
  <si>
    <t>["ph1mqbtlrjnee56emg8mhj2lv2_R20251219T170000@google.com", "ph1mqbtlrjnee56emg8mhj2lv2_R20250718T160000@google.com", "ph1mqbtlrjnee56emg8mhj2lv2_R20250718T160000@google.com", "ph1mqbtlrjnee56emg8mhj2lv2_R20250718T160000@google.com", "ph1mqbtlrjnee56emg8mhj2lv2_R20250718T160000@google.com", "ph1mqbtlrjnee56emg8mhj2lv2_R20250718T160000@google.com", "ph1mqbtlrjnee56emg8mhj2lv2_R20260220T170000@google.com", "ph1mqbtlrjnee56emg8mhj2lv2_R20260320T160000@google.com", "ph1mqbtlrjnee56emg8mhj2lv2_R20260320T160000@google.com", "ph1mqbtlrjnee56emg8mhj2lv2_R20260320T160000@google.com", "ph1mqbtlrjnee56emg8mhj2lv2_R20260320T160000@google.com", "ph1mqbtlrjnee56emg8mhj2lv2_R20260320T160000@google.com", "ph1mqbtlrjnee56emg8mhj2lv2_R20260320T160000@google.com", "ph1mqbtlrjnee56emg8mhj2lv2_R20260320T160000@google.com", "ph1mqbtlrjnee56emg8mhj2lv2_R20260320T160000@google.com", "ph1mqbtlrjnee56emg8mhj2lv2_R20260320T160000@google.com", "ph1mqbtlrjnee56emg8mhj2lv2_R20260320T160000@google.com", "ph1mqbtlrjnee56emg8mhj2lv2_R20260320T160000@google.com"]</t>
  </si>
  <si>
    <t>42ed7af55e970984c91241db29cf2c68</t>
  </si>
  <si>
    <t>MongoDB Inc.</t>
  </si>
  <si>
    <t>2026 - REN - MongoDB Inc.</t>
  </si>
  <si>
    <t>2026-02-04 (IN): Re: Sync Followup — Thanks for handling this, John. I trust you all to take this across the
 finish line.
 On Wed, Feb 4, 2026, 5:11 PM John Davis &lt;john.davis@observepo
2026-02-04 (OUT): Sync Followup — Hey Wendi and Michaleen,
 It was great to see you two again today!
 Here is a link that talks about integrating Jira with journeys and rules
 and 
2026-02-04 (OUT): (no subject) — *Regards, *
 John Davis *   |    * *Customer Success Manager*
 Cell: 801.633.6013
 john.davis@observepoint.com
 www.observepoint.com 
 &lt;https://gr</t>
  </si>
  <si>
    <t>2026-02-06: ObservePoint | MongoDB Inc. Sync
John Davis and Arthur Engelhard discussed several ObservePoint implementation projects for MongoDB, including email validation, landing page performance tracking, and network request mapping. The email validation project is stalled due to technical challenges with hidden tracking links that create false negatives, while the landing page validator needs iteration to incorporate Core Web Vitals and conversion rate data. Arthur identified network request mapping as a high priority for Q1 to analyze
---
2026-02-04: ObservePoint | MongoDB Inc. Sync
This meeting covered the setup and configuration of ObservePoint journey monitoring for MongoDB's website, focusing on two chat functionality tests (chat now and contact us). John Davis walked the team through the journey actions, including cookie banner handling and iframe verification, explained the usage dashboard showing their 1,500 journey run allocation, and discussed scheduling options and notification settings for automated testing. The team plans to consult with Arthur about optimal run</t>
  </si>
  <si>
    <t>["PVTI_lAHOBXQWPs4BLZXmzgjPNE4", "PVTI_lAHOBXQWPs4BLZXmzgkGYhs"]</t>
  </si>
  <si>
    <t>["19c2abbe371e92e5", "19c2ab5d6acee73b", "19c2aadec29c025f", "19c249608c2a6c4e", "19c249111c21d20c", "19c2487a3c566b93", "19c2396a18c437e2", "19c21eec85a884cf", "19c216718134b48e", "19c216614fd4c9d6", "19c2155bc4f77437", "19c20e633851ba83", "19c20e62bb91195d", "19c1f47605a569e0", "19c1f0b2dcdbff07", "19c1f0b266341545", "19c0fafdcecaca65", "19c0b08936113797", "19bc78918d7cc8e6", "19bc3f4654b7bdf0", "19bb9273c29956ae", "19bb925d9c982500", "19bb8d5cf978a49c", "19bb885efa3a39f7", "19bb86b636c787a7", "19bb801aeaed316e", "19bb7ffafafdd1a5", "19bb448f0f22fd89", "19bb404acb8ee606", "19bb3e834ebff80d", "19bb35d7805f1cc3", "19ba4a26e7eddb4e", "19ba4a0b7283a5bc", "19ba48a0f6cc9573", "19b9eb0e8a600819", "19b98c36b63714bf", "19b9540029757ead", "19b94babca98289d", "19b7531158082db3", "19b4b83b024f3e96", "19b477d69acd7269", "19b4710783f37d4f", "19b466cbcc5927bf", "19b38795d8f7df4f", "19b38767885c285f", "19b3842f31f4498a", "19b381666db611e9", "19b37ed2e72260c7", "19b31bdd41c0bf72", "19b23003884b7ed5", "19b12deeefb1f62f", "19b12decda34aa53", "19b0f6cc2a5ba905", "19b0f3f54e5a50ff", "19b0f36212801f98", "19b0e3fcd611c32e", "19b0e2e52cbb2af5", "19aba3469532a375"]</t>
  </si>
  <si>
    <t>["eg1hqjvd47dbfcn597coeq8f04@google.com", "sph7h8uv1jiqpghv2b0qt33cmo@google.com", "589mgs8ekpllajo6jhf3giq2rc@google.com", "7p4ng5j5j3nj9n4fviamievihn@google.com", "5qlspbrlcotm3r0i66t2t6hukg_R20251211T173000@google.com", "5qlspbrlcotm3r0i66t2t6hukg_R20251211T173000@google.com", "5qlspbrlcotm3r0i66t2t6hukg@google.com", "5qlspbrlcotm3r0i66t2t6hukg@google.com", "5qlspbrlcotm3r0i66t2t6hukg_R20260205T173000@google.com", "5qlspbrlcotm3r0i66t2t6hukg_R20260205T173000@google.com", "5qlspbrlcotm3r0i66t2t6hukg_R20260205T173000@google.com", "5qlspbrlcotm3r0i66t2t6hukg_R20260205T173000@google.com", "5qlspbrlcotm3r0i66t2t6hukg_R20260205T173000@google.com", "5qlspbrlcotm3r0i66t2t6hukg_R20260205T173000@google.com", "5qlspbrlcotm3r0i66t2t6hukg_R20260205T173000@google.com", "5qlspbrlcotm3r0i66t2t6hukg_R20260205T173000@google.com", "5qlspbrlcotm3r0i66t2t6hukg_R20260205T173000@google.com", "5qlspbrlcotm3r0i66t2t6hukg_R20260205T173000@google.com", "5qlspbrlcotm3r0i66t2t6hukg_R20260205T173000@google.com", "5qlspbrlcotm3r0i66t2t6hukg_R20260205T173000@google.com", "5qlspbrlcotm3r0i66t2t6hukg_R20260205T173000@google.com"]</t>
  </si>
  <si>
    <t>["ngmt_01KGJ8MAJND60FTRE8YQ4YN3MP", "ngmt_01KGG0QC5QP22WJVN88HEG3X48"]</t>
  </si>
  <si>
    <t>["ngmt_01KGJ8MAJND60FTRE8YQ4YN3MP_0", "ngmt_01KGJ8MAJND60FTRE8YQ4YN3MP_1", "ngmt_01KGJ8MAJND60FTRE8YQ4YN3MP_2", "ngmt_01KGJ8MAJND60FTRE8YQ4YN3MP_3", "ngmt_01KGG0QC5QP22WJVN88HEG3X48_0", "ngmt_01KGG0QC5QP22WJVN88HEG3X48_1", "ngmt_01KGG0QC5QP22WJVN88HEG3X48_2", "ngmt_01KGG0QC5QP22WJVN88HEG3X48_3", "ngmt_01KGG0QC5QP22WJVN88HEG3X48_4"]</t>
  </si>
  <si>
    <t>Looked at a journey after talking about an email that he sent
                recently, “highest priority item”
What is the high level of this Bing pixels problem, I didn’t
                have much context behind what they are talking about so it was a little hard to follow along
Showcase that OP is correct
OP is a bot so sometimes things like security can get in the
                way
OP is a good emulator for an end user of the customer because its an
                outside source, not in their own networks and such
LiveConnect
Allows a live connection with a mobile device to see the tags while
                you use the device, not much data past tags, use HAR Analyzer for more complete data
Email validation, what is this and what is this use case that he is
                talking about?
We create a new email that they can send these automated emails to,
                then basically run an audit on the email html
Need to have it associated with an audit to get full data like an audit
The rules fail because of a dynamic a tag that sometimes shows up in
                the emails and there is not really easy way to skip it
The raw html is not formatted correctly but Macey didn’t know
                what to do about that, she could’ve just copied it into an html viewer and auto format it
He wants solutions that will empower others in his company to self
                serve, like engineers, etc. So he wanted something that would alert this person with a link that would
                take them to a page with all the info they would need to fix it, without having to contact
                Arthur.
He asked about sending emails with non-visible broken links and how
                that affects spam filters
She showed the Delayed Web Analytics Tags report
Need to familiarize myself with reports
He talked about getting some data exported using the google sheet
                api</t>
  </si>
  <si>
    <t>bc703d3d04f5c6db9f14415bbf2bb9c7</t>
  </si>
  <si>
    <t>Ross Stores Inc.</t>
  </si>
  <si>
    <t>2026 - REN - Ross Stores Inc.</t>
  </si>
  <si>
    <t>2026-01-30 (OUT): Upcoming ObservePoint Renewal on March 31, 2026 - Ross Stores Inc. — [image: ObservePoint Logo_Gray_ON_YEllow_LOGO.jpeg]  A friendly reminder that it's time to renew.   Hi Deepa,  Thank you for being an ObservePoint cus
2026-01-28 (OUT): Re: [EXTERNAL] New data retention policy -- ObservePoint — Sounds great -- I'll disregard the addendum and look forward to hearing
 back from you soon.
 Thanks!
 Clarke Anderson *   |    * *Account Execu
2026-01-28 (IN): RE: [EXTERNAL] New data retention policy -- ObservePoint — Hi Clarke,
 Thanks for the follow up. Unfortunately, we won’t be able to move forward quickly.
 As part of closing out our fiscal year, we are abo</t>
  </si>
  <si>
    <t>["PVTI_lAHOBXQWPs4BLZXmzgjnSEA"]</t>
  </si>
  <si>
    <t>["19c0fafdf654afd9", "19c069dcc9d79ba1", "19c06770b249e722", "19c066af90732c1a", "19c0097701ba882c", "19bfc34addd333ce", "19be679fabdb88d6", "19be676eec938f64", "19be6749902f2591", "19bb988a75c1a0b9", "19bb97c0840e12fa", "19bb974cf6eedde5", "19bb95e7f2ae20cc", "19bb95878481470b", "19bb8c8eef1aabad", "19ba3664db05815f", "19b9e3432135ca4f", "19b9e33c8daa10d6", "19b9e33276bbc88d", "19b9b8a073c9b431", "19b9a947966de017", "19b8f088d69cfaf6", "19b8ee37132cdce9", "19b753117e2d45eb", "19b293b9087b2675", "19b293abb4127807", "19b2932816b97f55", "19b241c7c45a3d55", "19b2401712965c8f", "19b23ff73bdf026b", "19b23ef480214909", "19b0fae0be33650c", "19aba6e2a7634761"]</t>
  </si>
  <si>
    <t>["040000008200E00074C5B7101A82E0080000000050A4FD126F80DC01000000000000000010000000343EB912F3704C46A04FE0A822E18981", "040000008200E00074C5B7101A82E008000000008014F443015EDC010000000000000000100000003D407C1752877C46B73DC87543525CEE"]</t>
  </si>
  <si>
    <t>36691a46cfc3a97bff093ff09e94692f</t>
  </si>
  <si>
    <t>Medifast Inc.</t>
  </si>
  <si>
    <t>2026 - REN - Medifast Inc.</t>
  </si>
  <si>
    <t>2026-01-08 (OUT): Email Links Validation — Hey Chandra,
 Just in case you missed Macey's messages in the chat in our Zoom meeting
 today, here is our latest documentation on the email links v
2025-12-11 (OUT): Updated invitation: ObservePoint | Medifast - Sync @ Thu Dec 18, 2025 8am - 8:30 — This event has been updated
 Changed: time
 ObservePoint | Medifast - Sync
 Thursday Dec 18, 2025 ⋅ 8am – 8:30am
 Mountain Time - Denver
 Joi
2025-12-11 (OUT): Re: New Time Proposed: ObservePoint | Medifast - Sync — Hi Sonia!
 You will actually have a new primary contact in John Davis moving forward
 and I was hoping to introduce him as your new CSM. If this mor</t>
  </si>
  <si>
    <t>2026-02-05: ObservePoint | Medifast - Sync
John Davis met with the Medifast team (Sonia, Chandra, and others) to troubleshoot alerts triggered by recent website audits on their production environment. They identified that approximately half of the scanned pages were returning 404 errors, which was causing multiple alert failures including missing Google Analytics 4 tags. John guided the team through modifying their rules to only flag pages with 200 status codes and demonstrated how to reprocess audits in bulk, recommending that the team
---
2026-01-08: ObservePoint | Medifast - Sync
This meeting focused on establishing success criteria and future plans for the client's ObservePoint usage, with their contract renewal approaching in April 2026. The team discussed expanding their current implementation to include email link validation features and improving privacy compliance coverage, though no major new projects are planned for Q1. Chandra committed to connecting with their client stakeholders and privacy team to explore additional use cases and ensure they're maximizing val</t>
  </si>
  <si>
    <t>["PVTI_lAHOBXQWPs4BLZXmzgk3Rqs", "PVTI_lAHOBXQWPs4BLZXmzgk3RrE", "PVTI_lAHOBXQWPs4BLZXmzgk3Rqg"]</t>
  </si>
  <si>
    <t>["19b9fa31d85268e4", "19b0defaf7886387", "19b0dea803c8a17b", "19aba33fb7bc3545"]</t>
  </si>
  <si>
    <t>["20qnqpl5pfdoc872od9futg97s_R20260205T150000@google.com", "20qnqpl5pfdoc872od9futg97s_R20260108T150000@google.com", "20qnqpl5pfdoc872od9futg97s_R20251211T150000@google.com", "20qnqpl5pfdoc872od9futg97s@google.com", "20qnqpl5pfdoc872od9futg97s_R20260205T150000@google.com", "20qnqpl5pfdoc872od9futg97s_R20260205T150000@google.com", "20qnqpl5pfdoc872od9futg97s_R20260205T150000@google.com", "20qnqpl5pfdoc872od9futg97s_R20260205T150000@google.com", "20qnqpl5pfdoc872od9futg97s_R20260205T150000@google.com", "20qnqpl5pfdoc872od9futg97s_R20260205T150000@google.com", "20qnqpl5pfdoc872od9futg97s_R20260205T150000@google.com", "20qnqpl5pfdoc872od9futg97s_R20260205T150000@google.com", "20qnqpl5pfdoc872od9futg97s_R20260205T150000@google.com", "20qnqpl5pfdoc872od9futg97s_R20260205T150000@google.com", "20qnqpl5pfdoc872od9futg97s_R20260205T150000@google.com", "20qnqpl5pfdoc872od9futg97s_R20260205T150000@google.com", "20qnqpl5pfdoc872od9futg97s_R20260205T150000@google.com"]</t>
  </si>
  <si>
    <t>["ngmt_01KC8R7XCPW464CDKS8B6ZQV7Z", "ngmt_01KEF207073KPXXSEA2PZA4V1E"]</t>
  </si>
  <si>
    <t>["ngmt_01KC8R7XCPW464CDKS8B6ZQV7Z_0", "ngmt_01KC8R7XCPW464CDKS8B6ZQV7Z_1", "ngmt_01KC8R7XCPW464CDKS8B6ZQV7Z_2"]</t>
  </si>
  <si>
    <t>4ab78acf87a3cf6fb747d2e0906fe4b0</t>
  </si>
  <si>
    <t>CVS Pharmacy</t>
  </si>
  <si>
    <t>2026 - REN - CVS Pharmacy</t>
  </si>
  <si>
    <t xml:space="preserve">2026-02-02 (IN): Re: [EXTERNAL] Re: ObservePoint Demo — Fantastic! I'm traveling at that time but Mike we can connect after if you need any support for next steps.
 Danielle Coulson (she/her) | Lead Dir
2026-02-02 (IN): Re: [EXTERNAL] Re: ObservePoint Demo — Yes. Meeting was scheduled 02/05 Thursday 1PM EST.
 Thanks,
 Mike
 From: Coulson, Danielle (Sachs), &lt;CoulsonD@aetna.com&gt;
 Date: Monday, February 2
2026-02-02 (OUT): Out of office Re: Accepted: ObservePoint | CVS Pharmacy Sync — I am out of the office Monday February 2nd, please reach out to
 support@observepoint.com if
 you have something urgent, otherwise I will get back to </t>
  </si>
  <si>
    <t>2026-02-19: ObservePoint | CVS Pharmacy Sync
This meeting discussed the status of whitelisting ObservePoint for CVS's front store segment, with Maria explaining she has given the internal team until end of day Thursday to provide requirements or she will escalate the issue, as ObservePoint is already an approved vendor for other segments. John presented ObservePoint's new "frameworks" feature, which provides implementation recommendations and pre-built reports based on best practices from working with Fortune 1000 companies and consulting
---
2026-02-05: ObservePoint | CVS Pharmacy Sync
This meeting was an introductory call between ObservePoint's CSM John Davis and CVS Health's Aetna team members Mike Tanedo and Bruce to discuss using ObservePoint for automated QA and data validation. Mike, who manages measurement and Adobe implementation for Aetna's authenticated DTC sites, expressed interest in leveraging AI-powered automation to streamline their manual QA processes, particularly for their critical Medicare enrollment funnel where accurate tracking of multi-step forms and err</t>
  </si>
  <si>
    <t>["19c1f2dfb066682c", "19c1f2be47269753", "19c1f23ce2c72573", "19c1f2083a914883", "19c1108a42334de5", "19bc2bb6b77f92a2", "19b7fa5115d8af74", "19b7fa1d4b2f1860", "19b37d06c7087e4b", "19b2facdb6739c09", "19b2edae78075923", "19aba383bfe642f8"]</t>
  </si>
  <si>
    <t>["kif4udoi058csj45nfea48llmk@google.com", "b84fbeqqv581o3pfup83q75100@google.com", "2rhasc8u6n0414kd4ed1stjhtr_R20260129T173000@google.com", "2rhasc8u6n0414kd4ed1stjhtr_R20251218T173000@google.com", "040000008200E00074C5B7101A82E00800000000CDB19E874586DC01000000000000000010000000C241760111A8AE49AC3BF4D21B67A843", "2rhasc8u6n0414kd4ed1stjhtr_R20251218T173000@google.com", "2rhasc8u6n0414kd4ed1stjhtr_R20251218T173000@google.com", "2rhasc8u6n0414kd4ed1stjhtr_R20250814T163000@google.com", "2rhasc8u6n0414kd4ed1stjhtr_R20250814T163000@google.com", "2rhasc8u6n0414kd4ed1stjhtr_R20250814T163000@google.com", "2rhasc8u6n0414kd4ed1stjhtr_R20250814T163000@google.com", "2rhasc8u6n0414kd4ed1stjhtr_R20250814T163000@google.com", "2rhasc8u6n0414kd4ed1stjhtr@google.com",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 "2rhasc8u6n0414kd4ed1stjhtr_R20260212T173000@google.com"]</t>
  </si>
  <si>
    <t>["ngmt_01KF1BQ0E29ZW07WX284EP726C", "ngmt_01KGFJBEWB3AS7HKD3WZZZNPW1", "ngmt_01KH6Z8BAF8NFYDEA4X2C1KG06"]</t>
  </si>
  <si>
    <t>["ngmt_01KF1BQ0E29ZW07WX284EP726C_0", "ngmt_01KGFJBEWB3AS7HKD3WZZZNPW1_0", "ngmt_01KGFJBEWB3AS7HKD3WZZZNPW1_1", "ngmt_01KGFJBEWB3AS7HKD3WZZZNPW1_2", "ngmt_01KGFJBEWB3AS7HKD3WZZZNPW1_3", "ngmt_01KGFJBEWB3AS7HKD3WZZZNPW1_4", "ngmt_01KH6Z8BAF8NFYDEA4X2C1KG06_0", "ngmt_01KH6Z8BAF8NFYDEA4X2C1KG06_1", "ngmt_01KH6Z8BAF8NFYDEA4X2C1KG06_2"]</t>
  </si>
  <si>
    <t>Maria - Tagging group, privacy was given to this team this
                year
Amy - Tagging specialist
Trying to put together processes around privacy and how to find and
                fix them
Wants to be more proactive
Setup cadence of audits
Make sure whitelisting is setup and ready to go
Working with Danielle Coulsen about these blocking issues
Frontstore is going to be big
We’re put in Archer which should make it easier to whitelist
                us
As soon as we’re whitelisted, we should scan 100k pages for
                analytics, then 100k for privacy, then tweak the follow-up scans based on the findings
I was going to let you all know that we are still waiting for the
                folks who did the review to update Archer so that the other folks who can update/whitelist you for Front
                store can finish their action.
I have reached out to both sides again.... I was out of commission
                last week with a sinus infection
Mike - Aetna side,
Bruce - Martech guy, product office role now
Medicare enrollment process</t>
  </si>
  <si>
    <t>c53348a45f194704e0538cbf1f58f8a3</t>
  </si>
  <si>
    <t>2026 - REN - Ziff Davis Inc.</t>
  </si>
  <si>
    <t>2026-01-29 (OUT): Re: Updated invitation: ObservePoint | Ziff Davis Inc. 60 min Sync @ Thu Feb 5,  — Sure I can make that work, you should get an event update in a separate
 email, thanks Robert!
 *Regards, *
 John Davis *   |    * *Customer Succe
2026-01-29 (IN): Re: Updated invitation: ObservePoint | Ziff Davis Inc. 60 min Sync @ Thu Feb 5,  — Hi John,
 I will be travelling for work February 5.  Would it be possible to aim for
 the same time February 12?
 &lt;https://www.ziffdavis.com/&gt; R
2026-01-28 (IN): Proposed new time: ObservePoint | Ziff Davis Inc. 60 min Sync @ Tue Feb 3, 2026  — Filippo Caprioli has accepted this invitation and proposed a new time:
 Thu Feb 5, 2026 2:30pm – 3:30pm
 "Rescheduling due to a conflict"
 ObservePo</t>
  </si>
  <si>
    <t>[OPEN] Ziff Davis - Prepare for meeting on Feb 3rd, maybe ask for help on what to do about their privacy us (Backlog)</t>
  </si>
  <si>
    <t>2026-02-12: ObservePoint | Ziff Davis Inc. 60 min Sync
John Davis from ObservePoint met with Filippo and Robert to discuss setting up privacy compliance audits for their website properties. Robert clarified that while their original urgent need has diminished due to cookie banner improvements, they still want to use ObservePoint to proactively catch compliance issues before they become problems, focusing initially on Mashable, IGN, and CNET for California users. John walked Filippo through creating audits with OneTrust integration to detect unauthor</t>
  </si>
  <si>
    <t>["PVTI_lAHOBXQWPs4BLZXmzgjPFx0"]</t>
  </si>
  <si>
    <t>["19c07e9c0d6482f8", "19c0754bf72aa24c", "19c05e1b83d8b8b1", "19c05cad84e85a1b", "19c05be4d6a37568", "19bdc304566047f8", "19b293eea44104d3", "19b293d0975672d1", "19b2939b6481818a", "19b2927362ce3e83", "19b28e5ee71f4569", "19b28e3bcf2a3a72", "19b28e43afee6dc3", "19b09de746c70dab", "19b09c208fdca116", "19b09c2772d7a14f", "19b09bf5f8181b9b", "19b099099666d62e", "19b0987675dbd6b8", "19ae0d259c47f961", "19abe3d4611ff01c", "19abc0a1b8baf956", "19aba62cf383ad78"]</t>
  </si>
  <si>
    <t>["hut0u1a2uss0b7vff88gvaaidk@google.com", "184jkol9fscdak9nstvo36h4ap@google.com"]</t>
  </si>
  <si>
    <t>["ngmt_01KG3YJJ4381Q2XXN4AJ8AYTFD"]</t>
  </si>
  <si>
    <t>["ngmt_01KG3YJJ4381Q2XXN4AJ8AYTFD_0", "ngmt_01KG3YJJ4381Q2XXN4AJ8AYTFD_1", "ngmt_01KG3YJJ4381Q2XXN4AJ8AYTFD_2", "ngmt_01KG3YJJ4381Q2XXN4AJ8AYTFD_3", "ngmt_01KG3YJJ4381Q2XXN4AJ8AYTFD_4", "ngmt_01KG3YJJ4381Q2XXN4AJ8AYTFD_5"]</t>
  </si>
  <si>
    <t>Robert - Lawyer
Filippo - Tech guy that actually builds things
Privacy use case seems like they are trying to rely on consent mode
                on purpose?
Mashable -
IGN -
CNET - onetrust
California, then US, then EU
They have a very complex video setup
Create audit for mashable
Whats happening before and after the consent?</t>
  </si>
  <si>
    <t>819e6875acb0d8328818bcf1139ebad4</t>
  </si>
  <si>
    <t>2026 - REN - Brunswick</t>
  </si>
  <si>
    <t>2026-01-30 (OUT): Upcoming ObservePoint Renewal on April 30, 2026 - Brunswick — [image: ObservePoint Logo_Gray_ON_YEllow_LOGO.jpeg]  A friendly reminder that it's time to renew.   Hi Brian,   Thank you for being an ObservePoint cu
2026-01-30 (IN): Following: ObservePoint | Brunswick Sync — Preston Tyler is following this meeting
 Learn more about Follow&lt;https://go.microsoft.com/fwlink/?linkid=2252265&gt;
 They can't attend, but they're inte
2026-01-30 (OUT): Re: Brad, let me introduce your new CSM John — Hey Brad,
 Thanks for sending this over! Its super helpful
 I'd love to connect and chat about the rules we need to setup for your
 needs.
 In p</t>
  </si>
  <si>
    <t>[OPEN] Investigate and fix consent category sync bug (In progress)</t>
  </si>
  <si>
    <t>2026-02-18: ObservePoint | Brunswick Sync
This meeting focused on implementing ObservePoint's journey tracking and privacy compliance auditing for Brunswick's websites. John Davis demonstrated how to use custom data layers and JavaScript to capture dynamic form values for journey validation, though Brad ultimately decided to simplify the approach due to limited developer resources and lack of standardized data layers across their sites. The conversation shifted to privacy compliance testing, where John showcased ObservePoint's audit cap
---
2026-02-03: ObservePoint | Brunswick Sync
John Davis met with Brad and Aparna from Brunswick to discuss implementing ObservePoint's journey mapping and rule-building features across their 20+ websites to monitor lead form submissions. The team is struggling to create reusable rules because different forms require specific variable values (like SQL vs. MQL lead status), and using the standard UI would require creating approximately 60+ individual rules across their sites. John proposed using custom JavaScript tags to handle the condition</t>
  </si>
  <si>
    <t>["PVTI_lAHOBXQWPs4BLZXmzgluK_0", "PVTI_lAHOBXQWPs4BLZXmzgkxah8", "PVTI_lAHOBXQWPs4BLZXmzgluLAQ", "PVTI_lAHOBXQWPs4BLZXmzgluLBg"]</t>
  </si>
  <si>
    <t>["19c0fafe1e374bc4", "19c0f7d9e92e8400", "19c0f6b0d8b0ba2a", "19c0d7189154ce4e", "19c0d714c9b4454f", "19c0d60680204df1", "19c0d54ca915c409", "19c0d250bd707266", "19c05de533605acd", "19c05bcabd68c998", "19c05b79c7b7b661", "19c05b09dbeb27fe", "19c059e88358f5b2", "19b9a660cf3498ad", "19b9a45281617d3b", "19b9a41cec80d98b", "19b349e81a0d0185"]</t>
  </si>
  <si>
    <t>["2udct25jn9riar101ckbuvkp9c@google.com", "mrkjr8gp1lndfdm4150t9pc5uk@google.com"]</t>
  </si>
  <si>
    <t>["ngmt_01KG7QE75PTESKSWAG8X12ERY4", "ngmt_01KHKZPWVF2JBHW4CY4JQMD5FZ"]</t>
  </si>
  <si>
    <t>["ngmt_01KG7QE75PTESKSWAG8X12ERY4_0", "ngmt_01KG7QE75PTESKSWAG8X12ERY4_1", "ngmt_01KG7QE75PTESKSWAG8X12ERY4_2", "ngmt_01KHKZPWVF2JBHW4CY4JQMD5FZ_0", "ngmt_01KHKZPWVF2JBHW4CY4JQMD5FZ_1", "ngmt_01KHKZPWVF2JBHW4CY4JQMD5FZ_2", "ngmt_01KHKZPWVF2JBHW4CY4JQMD5FZ_3", "ngmt_01KHKZPWVF2JBHW4CY4JQMD5FZ_4", "ngmt_01KHKZPWVF2JBHW4CY4JQMD5FZ_5", "ngmt_01KHKZPWVF2JBHW4CY4JQMD5FZ_6"]</t>
  </si>
  <si>
    <t>Brad - Director of digital analytics
Aparna - QA Implementation?
I went ahead and created a rough draft of a rule that probably gets
                us 90% there, then copied your two journeys for those two forms and assigned my rule to the last step in
                both journeys:
https://app.observepoint.com/web-journey/575288/run/66655459/results?action=11&amp;tab=4
https://app.observepoint.com/web-journey/575287/run/66655458/results?action=11&amp;tab=4
Wants to lock down some sort of a playbook to make it easier to make
                more journeys</t>
  </si>
  <si>
    <t>8cb5d58d8547a7206200275131733573</t>
  </si>
  <si>
    <t>RDO Equipment</t>
  </si>
  <si>
    <t>2026 - REN - RDO Equipment</t>
  </si>
  <si>
    <t>2026-01-20 (IN): Tentative: ObservePoint | RDO Equipment Sync
2026-01-19 (IN): Tentative: ObservePoint | RDO Equipment Sync
2026-01-19 (IN): Accepted: ObservePoint | RDO Equipment Sync</t>
  </si>
  <si>
    <t>[OPEN] Provide detailed explanation of vulnerable same site policy (Backlog)</t>
  </si>
  <si>
    <t>["PVTI_lAHOBXQWPs4BLZXmzgkGpuo"]</t>
  </si>
  <si>
    <t>["19bdca262fbbe4bc", "19bd719c62a0b800", "19bd6d219506bd33", "19bc866842cf8d8e", "19b29459b057fc04", "19ae466fd750fa6e", "19ae1545baa66648", "19ae14c9e7eaa36b", "19ae13bfb1b87c43", "19ae0d57e7956c04", "19ac2455976b3f65", "19ac23d445141d15", "19ac1cd752893048", "19ac1225a51a5f68", "19ac0e3a00cb16ad", "19ac0e38f4b9568c", "19ac0e0173f07cb5", "19abbf9cf6a6d80c", "19abbda869a1406b", "19aba6d629bebc2c", "19aba6b87258d8ec"]</t>
  </si>
  <si>
    <t>["onn9dgbk5laprh1io1fdsi2rpo@google.com", "6s70rcm8c12vnh646qrm437jai@google.com"]</t>
  </si>
  <si>
    <t>Eric - RDO Security
Bradley -
Do 1st party cookies need to be approved? Yes, every cookie should
                be categorized, that doesn’t mean that they should be blocked, just need to be categorized so that
                OneTrust knows what they are and has no blindspots.
Is there a report that shows newly added tags? Setup an alert one
                when there are unapproved tags on an audit
Recently we took over privacy, not too familiar with it</t>
  </si>
  <si>
    <t>1a4cbf69e536c6ffd0d0ba625ace161a</t>
  </si>
  <si>
    <t>Tyson Foods</t>
  </si>
  <si>
    <t>2026 - REN - Tyson Foods</t>
  </si>
  <si>
    <t>2026-01-29 (OUT): New CSM — Hey Landon,
 I just wanted to introduce myself as your new CSM moving forward.
 I also wanted to check with you because I know that David Neels wa
2026-01-29 (OUT): New CSM — Hey Landon,
 I just wanted to introduce myself as your new CSM moving forward. 
 I also wanted to check with you because I know that David Neels w
2026-01-22 (OUT): Re: ObservePoint | Tyson -Sync — Thanks Todd!
 Hey Tyson Team,
 I would love to meet and talk about your 2026 goals. Please let me know if
 that regular scheduled time works for y</t>
  </si>
  <si>
    <t>["PVTI_lAHOBXQWPs4BLZXmzgkGvy8"]</t>
  </si>
  <si>
    <t>["19c0ba02a902df3d", "19c0b9afb56d051b", "19be7b4ad05a584a", "19be79fd62ddf59a", "19aba388f14aa1f6"]</t>
  </si>
  <si>
    <t>["d0uisk68b3ls2vtn32d8ifsu1c_R20251218T210000@google.com", "d0uisk68b3ls2vtn32d8ifsu1c_R20251218T210000@google.com", "d0uisk68b3ls2vtn32d8ifsu1c_R20251218T210000@google.com", "d0uisk68b3ls2vtn32d8ifsu1c_R20250213T210000@google.com", "d0uisk68b3ls2vtn32d8ifsu1c_R20250213T210000@google.com", "d0uisk68b3ls2vtn32d8ifsu1c_R20250213T210000@google.com", "d0uisk68b3ls2vtn32d8ifsu1c_R20250213T210000@google.com", "d0uisk68b3ls2vtn32d8ifsu1c_R20250213T210000@google.com", "d0uisk68b3ls2vtn32d8ifsu1c_R20250213T210000@google.com", "d0uisk68b3ls2vtn32d8ifsu1c_R20250213T210000@google.com", "d0uisk68b3ls2vtn32d8ifsu1c_R20250213T210000@google.com", "d0uisk68b3ls2vtn32d8ifsu1c_R20250213T210000@google.com", "d0uisk68b3ls2vtn32d8ifsu1c_R20250213T210000@google.com", "d0uisk68b3ls2vtn32d8ifsu1c_R20250213T210000@google.com", "d0uisk68b3ls2vtn32d8ifsu1c_R20250213T210000@google.com", "d0uisk68b3ls2vtn32d8ifsu1c_R20250213T210000@google.com",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 "d0uisk68b3ls2vtn32d8ifsu1c_R20260226T210000@google.com"]</t>
  </si>
  <si>
    <t>Send email to schedule a one off meeting with a single person to see
                if they show up
Cancel the recurring meeting
Main decision maker</t>
  </si>
  <si>
    <t>bff9a1aa60df1ee7abb51a27f050b00d</t>
  </si>
  <si>
    <t>2026 - REN - Seagate</t>
  </si>
  <si>
    <t>2026-01-14 (OUT): OneTrust Regex Issue — Hey Dipendra,
 Following up on our discussion regarding the OneTrust regex issue you
 raised with Macey two meetings ago, I have an update after spe
2026-01-08 (IN): Accepted:  ObservePoint | Seagate Monthly Sync
2025-12-09 (OUT): Updated invitation: ObservePoint | Seagate- Sync @ Thu Dec 18, 2025 12pm - 12:30 — This event has been updated
 Changed: time
 ObservePoint | Seagate- Sync
 Thursday Dec 18, 2025 ⋅ 12pm – 12:30pm
 Mountain Time - Denver
 Joi</t>
  </si>
  <si>
    <t>2026-02-05: ObservePoint | Seagate Monthly Sync
John Davis and Dipendra Bagchee discussed troubleshooting cookie compliance tracking between ObservePoint and OneTrust. They identified that Dipendra's report was incorrectly mixing opt-in and opt-out audit data, causing confusion about which cookies were truly unapproved versus those appropriately flagged in opt-out scenarios. John clarified that cookies showing as "unapproved" in opt-out audits (like targeting cookies) are correctly identified as non-compliant since they shouldn't fire after u</t>
  </si>
  <si>
    <t>["PVTI_lAHOBXQWPs4BLZXmzgjPR1E", "PVTI_lAHOBXQWPs4BLZXmzgjO9e0", "PVTI_lAHOBXQWPs4BLZXmzgk61DY", "PVTI_lAHOBXQWPs4BLZXmzgk61Do", "PVTI_lAHOBXQWPs4BLZXmzgk61EI"]</t>
  </si>
  <si>
    <t>["19bbe7424018d972", "19b9f00cbf41922f", "19b04fa88ee112ac", "19aba34f0745e192"]</t>
  </si>
  <si>
    <t>["6ni42dpds8nfodv5emnkicnel1@google.com", "53eohb9n5u7q7jph9r9efh895t_R20260108T190000@google.com", "53eohb9n5u7q7jph9r9efh895t@google.com", "6ni42dpds8nfodv5emnkicnel1@google.com", "6ni42dpds8nfodv5emnkicnel1@google.com", "6ni42dpds8nfodv5emnkicnel1@google.com", "6ni42dpds8nfodv5emnkicnel1@google.com", "6ni42dpds8nfodv5emnkicnel1@google.com", "6ni42dpds8nfodv5emnkicnel1@google.com", "6ni42dpds8nfodv5emnkicnel1@google.com", "6ni42dpds8nfodv5emnkicnel1@google.com", "6ni42dpds8nfodv5emnkicnel1@google.com", "6ni42dpds8nfodv5emnkicnel1@google.com", "6ni42dpds8nfodv5emnkicnel1@google.com", "6ni42dpds8nfodv5emnkicnel1@google.com", "6ni42dpds8nfodv5emnkicnel1@google.com", "6ni42dpds8nfodv5emnkicnel1@google.com", "6ni42dpds8nfodv5emnkicnel1@google.com", "6ni42dpds8nfodv5emnkicnel1@google.com", "6ni42dpds8nfodv5emnkicnel1@google.com", "6ni42dpds8nfodv5emnkicnel1@google.com", "6ni42dpds8nfodv5emnkicnel1@google.com", "6ni42dpds8nfodv5emnkicnel1@google.com", "6ni42dpds8nfodv5emnkicnel1@google.com", "6ni42dpds8nfodv5emnkicnel1@google.com", "6ni42dpds8nfodv5emnkicnel1@google.com", "6ni42dpds8nfodv5emnkicnel1@google.com", "6ni42dpds8nfodv5emnkicnel1@google.com", "6ni42dpds8nfodv5emnkicnel1@google.com"]</t>
  </si>
  <si>
    <t>["ngmt_01KEFG136E3MYR0C5H7BSESPGW"]</t>
  </si>
  <si>
    <t>["ngmt_01KEFG136E3MYR0C5H7BSESPGW_0", "ngmt_01KEFG136E3MYR0C5H7BSESPGW_1", "ngmt_01KEFG136E3MYR0C5H7BSESPGW_2"]</t>
  </si>
  <si>
    <t>Dipendra - Use to build the front end sites, now over the marketing
                side of UX, he is a huge swiss army knife
Trying to help with accessibility compliance (now using another
                vendor for this), then learned about how OP can help with that and cookie compliance.
Setup a Journey for black friday for a checkout flow
Broken link reporting - mostly ad hoc
The OneTrust regex is slightly different from our regex when we
                import
We probably need to setup a custom js pre-audit action for opt out
                scans as the onetrust opt outs are not working
Jan 8, 2026
Get the unapproved list down to zero
Improve opt out audits
Talked about extended data retention, he will bring it up with his
                legal team</t>
  </si>
  <si>
    <t>322f312a6df6e1891f6990a5baf2fd8b</t>
  </si>
  <si>
    <t>2026 - REN - Verisign</t>
  </si>
  <si>
    <t>2026-02-04 (OUT): Re: Question: Where are we with OP hosting Apps Script webhooks? — Hi Charlie,
 Done!
 Best regards!
 On Wed, Feb 4, 2026 at 8:49 PM Charlie Tysse &lt;
 charlie.tysse@stackedanalytics.com&gt; wrote:
 &gt; Hi Alex,
 &gt;
2026-02-04 (IN): Re: Question: Where are we with OP hosting Apps Script webhooks? — Hi Alex,
 Sorry to bug you — I made a change to the Google sheet again, could you
 redeploy?
 Looping in John Davis, Verisign’s new account rep (r
2026-01-28 (IN): Enrique's email — My email address.</t>
  </si>
  <si>
    <t>2026-01-28: ObservePoint | Verisign - Sync
This meeting transcript captures a brief informal conversation where participants are getting organized at the start of a call. John Davis and others discuss concerns about recording the session, noting that their company has strict policies against it. The conversation involves some confusion about meeting room ownership and how to disable the recording feature, with participants trying to figure out the technical steps to remove the recording bot from the session.</t>
  </si>
  <si>
    <t>["19c2a03ab6d8d6ab", "19c29fd19f4bcae3", "19c065926d8edc8a", "19bdcdfd5fdb6c61", "19bbd281c3178bac"]</t>
  </si>
  <si>
    <t>["1288aq1k0f5eidd7mijrb17vbg_R20260126T203000@google.com", "1288aq1k0f5eidd7mijrb17vbg@google.com", "1288aq1k0f5eidd7mijrb17vbg@google.com", "1288aq1k0f5eidd7mijrb17vbg_R20260223T203000@google.com", "1288aq1k0f5eidd7mijrb17vbg_R20260223T203000@google.com", "1288aq1k0f5eidd7mijrb17vbg_R20260223T203000@google.com", "1288aq1k0f5eidd7mijrb17vbg_R20260223T203000@google.com", "1288aq1k0f5eidd7mijrb17vbg_R20260223T203000@google.com", "1288aq1k0f5eidd7mijrb17vbg_R20260223T203000@google.com", "1288aq1k0f5eidd7mijrb17vbg_R20260223T203000@google.com", "1288aq1k0f5eidd7mijrb17vbg_R20260223T203000@google.com", "1288aq1k0f5eidd7mijrb17vbg_R20260223T203000@google.com", "1288aq1k0f5eidd7mijrb17vbg_R20260223T203000@google.com", "1288aq1k0f5eidd7mijrb17vbg_R20260223T203000@google.com", "1288aq1k0f5eidd7mijrb17vbg_R20260223T203000@google.com", "1288aq1k0f5eidd7mijrb17vbg_R20260223T203000@google.com"]</t>
  </si>
  <si>
    <t>["ngmt_01KFEDZNTX2YHX1C7V0NAVCZVH"]</t>
  </si>
  <si>
    <t>Charlie -
Enrique -
Trying to get AWS Lambda setup for cloud computing projects
Ask from the dev team to audit usage of certain tracking
                variables
Approved but not allowed tags and cookie duration script that we can’t
                use anymore because of their security protocols:https://docs.google.com/spreadsheets/d/1HqBJAsHfpWeo7DnVewsBN2o6LoP2HzWTP3oxqCzBGw8/edit?gid=129227418#gid=129227418
I think I can do the same thing by checking the tags against a hard
                coded list in an on-page action in js, then if there are any, it then creates and saves them to a custom
                OP tag as an array, then we create a rule against this which will trigger if the custom OP tag is
                set.
Need to test this theory with this audit:https://app.observepoint.com/audit/2040098/run/0/report/live-results
Doing a full rebuild of their marketing products
Super on top of their privacy</t>
  </si>
  <si>
    <t>84f1dbf9ef57da17e94ff93e6c449ca5</t>
  </si>
  <si>
    <t>2026 - REN - Officeworks</t>
  </si>
  <si>
    <t>2026-01-29 (OUT): ObservePoint | Officeworks Sync — Look forward to chatting about your 2026 plans and how ObservePoint can  
 help!
 ObservePoint | Officeworks Sync
 Thursday Jan 29, 2026 ⋅ 3:30pm – 
2026-01-29 (IN): Tentative: ObservePoint | Officeworks Sync — ________________________________
 This email and any attachments may contain privileged and confidential information and are intended for the named ad
2026-01-18 (IN): Accepted: ObservePoint | Officeworks Sync — ________________________________
  This email and any attachments may contain privileged and confidential information and are intended for the named a</t>
  </si>
  <si>
    <t>2026-01-29: ObservePoint | Officeworks Sync
This meeting focused on helping Officeworks better utilize ObservePoint for data quality monitoring and governance. The team discussed implementing automated audits to validate their data layer consistency across three tag managers (Tealium, Google Tag Manager, and Adobe Launch), with particular emphasis on monitoring critical conversion events like add-to-cart and checkout processes. Key action items include exploring GitHub integration for automated testing during code releases, scheduling a f</t>
  </si>
  <si>
    <t>["PVTI_lAHOBXQWPs4BLZXmzgkgcG8"]</t>
  </si>
  <si>
    <t>["19c0bcf4107e0732", "19c0baf2fa1cdf02", "19bd32f0e0dcb6f2", "19bd32925254f77e", "19bd32209d83a678", "19bd2f0e7983502a", "19bc81d702401523", "19bc3ccbfe25d0d0", "19bc390d0b596e01", "19b957c206954211", "19b940d7621cd9f9", "19b90fee968269db", "19b8f455408b9824", "19b8f400dcd864fc", "19b0b77fa8a8cedc", "19b0b0843ed9f16f", "19b0b04b60c0206b", "19b0b03c1811e2bb", "19b0a4e9d83cc8ac", "19b0a2d4e3ac2ead", "19b09f4e525ba5fc", "19abf9708f93ef6a", "19abf96b154891c8", "19abc1031222fe26", "19abc0f31928f375", "19aba7ce54feaff4"]</t>
  </si>
  <si>
    <t>["vf6n0s4g0jnf9dr1jiv1bn1u5s@google.com", "69n88k28dl2uorbtabgmu7q9dk@google.com", "9ve5d4629r6g51l12m9terg5rk@google.com", "vf6n0s4g0jnf9dr1jiv1bn1u5s_R20260226T223000@google.com", "vf6n0s4g0jnf9dr1jiv1bn1u5s_R20260226T223000@google.com", "vf6n0s4g0jnf9dr1jiv1bn1u5s_R20260226T223000@google.com", "vf6n0s4g0jnf9dr1jiv1bn1u5s_R20260226T223000@google.com", "vf6n0s4g0jnf9dr1jiv1bn1u5s_R20260226T223000@google.com", "vf6n0s4g0jnf9dr1jiv1bn1u5s_R20260226T223000@google.com", "vf6n0s4g0jnf9dr1jiv1bn1u5s_R20260226T223000@google.com", "vf6n0s4g0jnf9dr1jiv1bn1u5s_R20260226T223000@google.com", "vf6n0s4g0jnf9dr1jiv1bn1u5s_R20260226T223000@google.com", "vf6n0s4g0jnf9dr1jiv1bn1u5s_R20260226T223000@google.com", "vf6n0s4g0jnf9dr1jiv1bn1u5s_R20260226T223000@google.com", "vf6n0s4g0jnf9dr1jiv1bn1u5s_R20260226T223000@google.com", "vf6n0s4g0jnf9dr1jiv1bn1u5s_R20260226T223000@google.com"]</t>
  </si>
  <si>
    <t>["ngmt_01KF9F0WEY837HJD4XH1FDQY0E"]</t>
  </si>
  <si>
    <t>["ngmt_01KF9F0WEY837HJD4XH1FDQY0E_0", "ngmt_01KF9F0WEY837HJD4XH1FDQY0E_1", "ngmt_01KF9F0WEY837HJD4XH1FDQY0E_2"]</t>
  </si>
  <si>
    <t>Hayley (audience lead)
Journey mapping with marketing teams
Data quality
Tealium, GTM, and Adobe Launch
Working with AB testing team
Use cases:
What does the data layer look like?
Monitor the search, checkout process, add to cart Journeys
digitalData datalayer needs to be found
Renee (on maternity leave)
Heads tagging team
Bridget -
Ash - Online improvement
Henry - Business requirements
Sites and apps need work
Site speed
AEO (SEO for AI)
Analytics tagging
Email link validation is maybe a space we could help with
Need a followup call with Hayley, Ash (new) and Henry and maybe
                email team?
Follow up call in Jan: Henry, Ash And Email marketing team
                potentially to review tagging implementation, page performance, email query parameters.
Forward a marketing email to John
Example of. Journey experience on your site you would want to
                validate analysis for (subscribe, purchase, download pdf etc).</t>
  </si>
  <si>
    <t>40acb581c33402052cf3ab48d63ff5fd</t>
  </si>
  <si>
    <t>Project Management Institute</t>
  </si>
  <si>
    <t>2026 - REN - Project Management Institute</t>
  </si>
  <si>
    <t>2026-01-22 (OUT): Re: PMI | ObservePoint Monthly Sync — Hey Tony,
 I would love to connect with you and go over your 2026 goals. Can we find a
 time that works for both of us?
 Here are some slots that 
2026-01-22 (OUT): Re: PMI | ObservePoint Monthly Sync — Hey Tony,
 I would love to connect with you and go over your 2026 goals. Can we find a 
 time that works for both of us? 
 Here are some 
 *Rega
2026-01-22 (OUT): Re: PMI | ObservePoint Monthly Sync — Hey Tony,
 I would love to connect with you and go over your 2026 goals. Can we find a 
 time that works for both of us? 
 *Regards, *
 John Dav</t>
  </si>
  <si>
    <t>["19be812757000fb3", "19be7bbd90601582", "19be7ba86e6cdf66", "19bbd354c205d701", "19aba33945764344"]</t>
  </si>
  <si>
    <t>["un01ms4jb79mju078vj1e2c7bc@google.com", "jt12sfik831sdhu54g7q1pdj0i_R20250514T173000@google.com"]</t>
  </si>
  <si>
    <t>Didn’t have much time to use OP recently.
Referenced a lot of changes going on.
What are those changes
There were broken links to the lower envs pages (local)
This does mean that there are links that exist on higher env pages
                to these lower env pages
Did we build a report to see where these links exist?
pmjobs subdomain, OP is getting blocked?
There were some broken links that were not getting redirected
Old blogs?
Some shop pages that redirected in chrome when tested
Exporting pages that are broken and plugging them back into a new
                audit to “retest” them adhoc
Looking into a new consent banner for next year
What percentage do people actually opt out?
Maybe marketing has numbers or reports on this?
Separate team to manage that</t>
  </si>
  <si>
    <t>d82ed5f909cead247e7c97d9b69d0f00</t>
  </si>
  <si>
    <t>2026 - REN - Cotiviti</t>
  </si>
  <si>
    <t>2026-01-16 (IN): Accepted: ObservePoint | Cotiviti Monthly Sync
2026-01-15 (IN): Our meeting in an hour — Hi,  Looking forward to speaking to you in a short while.  Best,
2026-01-15 (OUT): Updated invitation: ObservePoint | Cotiviti - Sync @ Thu Jan 15, 2026 1:30pm - 2 — This event has been updated
 Changed: title
 ObservePoint | Cotiviti - Sync
 Thursday Jan 15, 2026 ⋅ 1:30pm – 2pm
 Mountain Time - Denver
 Jo</t>
  </si>
  <si>
    <t>2026-02-05: ObservePoint | Cotiviti Monthly Sync
John Davis met with Walter and Chris from Cotivity/EdFX to discuss their ObservePoint implementation while they're in the midst of rebuilding the EdFX website in HubSpot's CMS. John recommended they document their website quality questions and standards in plain English (particularly around accessibility and privacy compliance) to better leverage ObservePoint's capabilities once the migration is complete. He provided resources on whitelisting ObservePoint's crawlers, confirmed they have ample pa
---
2026-01-15: ObservePoint | Cotiviti - Sync
This meeting served as a transition call where Macey Bell introduced John Davis as the new Customer Success Manager for Cotivity's ObservePoint account. The team discussed their current use of ObservePoint for cookie compliance and privacy monitoring, with plans to expand into accessibility scanning and broken link detection, while noting they're in the middle of migrating their edfx.com website from a self-hosted Gatsby JS platform to HubSpot. John and the team agreed to establish monthly recur</t>
  </si>
  <si>
    <t>["19bc87222611de36", "19bc322e5fda1e69", "19bc313f7be399c3", "19bc2415148ae01b", "19b9f92b194b4bc0", "19b9f8696f1b6227", "19b9f85f028458e4", "19b9f2a846b792df"]</t>
  </si>
  <si>
    <t>["28nb5eel1bc59966s4b6q1lcn1@google.com", "ks0214tfbpmsp4j6q4mnsn4abg@google.com", "28nb5eel1bc59966s4b6q1lcn1@google.com", "28nb5eel1bc59966s4b6q1lcn1@google.com", "28nb5eel1bc59966s4b6q1lcn1@google.com", "28nb5eel1bc59966s4b6q1lcn1@google.com", "28nb5eel1bc59966s4b6q1lcn1@google.com", "28nb5eel1bc59966s4b6q1lcn1@google.com", "28nb5eel1bc59966s4b6q1lcn1@google.com", "28nb5eel1bc59966s4b6q1lcn1@google.com", "28nb5eel1bc59966s4b6q1lcn1@google.com", "28nb5eel1bc59966s4b6q1lcn1@google.com", "28nb5eel1bc59966s4b6q1lcn1@google.com", "28nb5eel1bc59966s4b6q1lcn1@google.com", "28nb5eel1bc59966s4b6q1lcn1@google.com"]</t>
  </si>
  <si>
    <t>["ngmt_01KEFRE24YJSXE59XGYCTHE9SP", "ngmt_01KF428S8FM0B92829VP8254FG"]</t>
  </si>
  <si>
    <t>["ngmt_01KEFRE24YJSXE59XGYCTHE9SP_0", "ngmt_01KEFRE24YJSXE59XGYCTHE9SP_1", "ngmt_01KEFRE24YJSXE59XGYCTHE9SP_2", "ngmt_01KEFRE24YJSXE59XGYCTHE9SP_3", "ngmt_01KEFRE24YJSXE59XGYCTHE9SP_4"]</t>
  </si>
  <si>
    <t>Chris - Web Developer
Walter - Senior director of marketing web services
Shawn Warren - Owns the contract and might want extended data
                retention
Edefex got acquired by Cotiviti recently
Rebuilding edefex into hubspot currently, end of march to
                hopefully
Wants to use it more for accessibility, broken pages, etc
Started the process on a Web Governance survey
There is a team within legal that is aware of the privacy
                stuff
This past december they came to Walter and wanted some bigger
                changes in this</t>
  </si>
  <si>
    <t>2eba4292fdc6542cc25dede10045cc89</t>
  </si>
  <si>
    <t>Caesars Entertainment</t>
  </si>
  <si>
    <t>2026 - REN - Caesars Entertainment</t>
  </si>
  <si>
    <t>2026-02-03 (OUT): ObservePoint | Caesars - Sync — Here is the updated zoom link, sorry for the troubles!  
 https://observepoint.zoom.us/j/3628593272?pwd=OfxX2kwpsuA5labBaZXephHbiAXlz9.1&amp;omn=933004512
2025-12-16 (OUT): Invitation: ObservePoint | Caesars - Sync @ Every 4 weeks from 1pm to 1:30pm on  — ObservePoint | Caesars - Sync
 Every 4 weeks from 1pm to 1:30pm on Tuesday
 Mountain Time - Denver
 Join Zoom Meeting
 https://observepoint.zoom.
2025-12-09 (OUT): Updated invitation: ObservePoint | Caesars - Sync @ Fri Dec 12, 2025 12pm - 12:3 — This event has been updated
 Changed: time
 ObservePoint | Caesars - Sync
 Friday Dec 12, 2025 ⋅ 12pm – 12:30pm
 Mountain Time - Denver
 Join</t>
  </si>
  <si>
    <t>["PVTI_lAHOBXQWPs4BLZXmzgjXcLU"]</t>
  </si>
  <si>
    <t>["19c2519e8a20a589", "19b28bd861790815", "19b011e3e3743c23", "19aba31e7b4f3e9a"]</t>
  </si>
  <si>
    <t>["c2au84msovas0nvc43bkvagfec_R20260203T200000@google.com", "c2au84msovas0nvc43bkvagfec_R20260106T200000@google.com", "c2au84msovas0nvc43bkvagfec_R20250624T190000@google.com", "c2au84msovas0nvc43bkvagfec_R20250624T190000@google.com", "c2au84msovas0nvc43bkvagfec_R20250624T190000@google.com", "c2au84msovas0nvc43bkvagfec_R20250624T190000@google.com", "c2au84msovas0nvc43bkvagfec_R20250624T190000@google.com", "c2au84msovas0nvc43bkvagfec_R20260203T200000@google.com", "c2au84msovas0nvc43bkvagfec_R20260203T200000@google.com", "c2au84msovas0nvc43bkvagfec_R20260203T200000@google.com", "c2au84msovas0nvc43bkvagfec_R20260203T200000@google.com", "c2au84msovas0nvc43bkvagfec_R20260203T200000@google.com", "c2au84msovas0nvc43bkvagfec_R20260203T200000@google.com", "c2au84msovas0nvc43bkvagfec_R20260203T200000@google.com", "c2au84msovas0nvc43bkvagfec_R20260203T200000@google.com", "c2au84msovas0nvc43bkvagfec_R20260203T200000@google.com", "c2au84msovas0nvc43bkvagfec_R20260203T200000@google.com", "c2au84msovas0nvc43bkvagfec_R20260203T200000@google.com", "c2au84msovas0nvc43bkvagfec_R20260203T200000@google.com", "c2au84msovas0nvc43bkvagfec_R20260203T200000@google.com"]</t>
  </si>
  <si>
    <t>Chelsey - QA On Analytics team
Pam - Data Architect, Used OP for a long time
Moving from GTM to Adobe
Currently have weekly audits for analytics and privacy
Privacy is owned by lawyer, they might hire someone else to do this
Wants us to meet other teams, accessibility team?
Maybe will save them money by letting them use it
Not a lot of time to use OP fully
Validating in the app is a high need, using Charles right now for
                vpn?
Wants us to build a data dictionary, Pam wants it</t>
  </si>
  <si>
    <t>27cfc808d6c29f1bbace8d60fec54626</t>
  </si>
  <si>
    <t>DeVry University</t>
  </si>
  <si>
    <t>2026 - REN - DeVry University</t>
  </si>
  <si>
    <t>2026-02-04 (OUT): Re: Re: DeVry // Journeys Sample Template — #74288523: Re: DeVry // Journeys Sample Template  Submitted  We'll pick up your ticket soon   Thanks for sending this over Charlotte! I am looping in 
2026-02-04 (OUT): Re: DeVry // Journeys Sample Template — Thanks for sending this over Charlotte!
 I am looping in my journey support team to take a look since it looks
 pretty comprehensive on the forms th
2026-02-04 (OUT): Re: DeVry // Journeys Sample Template — Thanks for sending this over Charlotte!
 I am looping in my journey support team to take a look since it looks 
 pretty comprehensive on the forms t</t>
  </si>
  <si>
    <t>2026-02-16: ObservePoint | DeVry University Sync
John Davis and Charlotte discussed CCPA compliance issues on their website, focusing on cookie consent management. Charlotte wanted to verify compliance using ObservePoint's audit tools, particularly examining their single-page application where legacy tags were loading despite opt-out selections. John explained how to set up consent category audits, import OneTrust categories, and create compliance reports, recommending they establish separate audits for each subdomain and implement proper OneT
---
2026-02-06: ObservePoint | DeVry University Sync
John Davis and Dylan Sellers met with Charlotte to present ObservePoint's new framework initiative, which provides structured documentation and automated checks for validating website governance across analytics, privacy compliance, and site health. Dylan demonstrated comprehensive framework templates for Google Analytics 4 and CCPA compliance that include automated checks, remediation guides, source citations, and pre-built report templates, with plans to deliver polished versions by Tuesday fo</t>
  </si>
  <si>
    <t>["19c2a4fa8f29ae5e", "19c2a4f1e5ef684f", "19c2a4db6c79a72c", "19c2948c1a9af10b", "19c25e6ce211ba5d", "19c208185bfb77c1", "19c20800abab4e57", "19c11224b0bbd58c", "19c111aaf5492940", "19c10f4a97362045", "19c10b1c42fc4d76", "19c10a53620faac7", "19c106e15a2262d7", "19c102d22d9f9343", "19c0fecb4c5a8774", "19c0fb83119730c1", "19bdd3fa8e9f313d", "19bdd3f2eda91f71", "19bdd3d6403cf9c2", "19bdc7f741f3712b", "19bdbe0ca4473a89", "19bdb7d99d1437d2", "19b4bde3d00cd2d7", "19b4bd8581424688", "19b4794c0deca921", "19b4737e0e9a570c", "19b33b37e02d8916", "19b33b227decd5a3", "19b327a8fcdd118a"]</t>
  </si>
  <si>
    <t>["g9lrc05h238amhibgkprgju1dk@google.com", "9n6rm1eo75ch800m2s6nrs4ugc@google.com", "io9541s7gtb1gs4lk7mfhccmb8@google.com", "hvemi50me53da2n6m75e3alq14@google.com"]</t>
  </si>
  <si>
    <t>["ngmt_01KGMM8DW0XK58GWHS0ZTZM0EM", "ngmt_01KH4D0EKWNGAR711GPSXYJ4JM"]</t>
  </si>
  <si>
    <t>["ngmt_01KGMM8DW0XK58GWHS0ZTZM0EM_0", "ngmt_01KGMM8DW0XK58GWHS0ZTZM0EM_1", "ngmt_01KH4D0EKWNGAR711GPSXYJ4JM_0", "ngmt_01KH4D0EKWNGAR711GPSXYJ4JM_1", "ngmt_01KH4D0EKWNGAR711GPSXYJ4JM_2", "ngmt_01KH4D0EKWNGAR711GPSXYJ4JM_3", "ngmt_01KH4D0EKWNGAR711GPSXYJ4JM_4", "ngmt_01KH4D0EKWNGAR711GPSXYJ4JM_5", "ngmt_01KH4D0EKWNGAR711GPSXYJ4JM_6"]</t>
  </si>
  <si>
    <t>Charlotte - sr manager of web analytics
David Sals - IT side to help setup tags
Finding legacy tags and remove them
Improving site performance
Using webvitals also for page performance
They are on pace to use up the contracted rate, is that by
                design?
Setup journeys
There isn’t a lot of consistency
Where are they with privacy cookies
We need whitelisting setup: https://dvu--fullsbox.sandbox.my.salesforce-sites.com/sswa/dvu/us/2
Here are follow ups from Dec 22, 2025:
David/IT –
David to confirm whether AEM developers and other development teams
                run automated tests during code deployments, such as Selenium based testing. I am not aware of automated
                coverage for SSWA, given prior launches with broken functionality, but this needs confirmation. Please
                include how automation works for site forms, especially Get Started, including whether tests validate
                individual field behavior and available selections. For example, confirm whether current automation
                would catch issues like the Keller landing pages with missing degree options.
David to confirm the current level of templating in the Get Started
                forms, including whether they rely on standardized AEM components or custom, page level authoring.
                We’re specifically looking to understand this with Get Started forms.
Charlotte
Once confirmed above, we’ll be creating automated journeys
                starting with RFI forms, in order to create rule-based checks for analytics, ad tags, and data layers.
                I’ll define an Action Set where possible to reduce the overall number of steps. I’ll send an
                example over to you @John Davis before I submit to support.
Also, thank you for the head’s up about the accelerated Audit
                schedule. It looks like a Mobile Audit was launched during our working sessions. This one has been
                paused.</t>
  </si>
  <si>
    <t>102bf8dad38c5ebaea55d1e6ce1b1e48</t>
  </si>
  <si>
    <t>Woolworths Group</t>
  </si>
  <si>
    <t>2026 - REN - Woolworths Group</t>
  </si>
  <si>
    <t>2026-01-29 (OUT): Re: Re: Create Journey for giftcard purchase flow. — #71365801: Re: Create Journey for giftcard purchase flow.  In progress  We're working on your ticket   Hey Satpal, I have looped in our journey suppor
2026-01-29 (IN): Re: Re: Create Journey for giftcard purchase flow. — hi Lucian-Gabriel
 these CTAs are working fine on dev env for me, i have also checked with few
 other people and they never had login issue,
 can 
2026-01-28 (OUT): Re: Re: Create Journey for giftcard purchase flow. — #71365801: Re: Create Journey for giftcard purchase flow.  Waiting on you  We need more information   Hey Satpal, I have looped in our journey support</t>
  </si>
  <si>
    <t>["19c072eca22ff52c", "19c072e6d60d4832", "19c057811584ed2a", "19c0577f900812ef", "19c017fcd37dbd46", "19c017f6ef31573c", "19c0124ee007f99d", "19c0124dacbce7ca", "19c010e9d59750da", "19c010e114827e8e", "19c010cf21b0406c", "19bfcc59b64a27e4", "19aba38973be0ed0"]</t>
  </si>
  <si>
    <t>["h71rjnaol5qh6j4as089cj07uq_R20251219T000000@google.com", "h71rjnaol5qh6j4as089cj07uq_R20251219T000000@google.com", "h71rjnaol5qh6j4as089cj07uq_R20240620T230000@google.com", "h71rjnaol5qh6j4as089cj07uq_R20240620T230000@google.com", "h71rjnaol5qh6j4as089cj07uq_R20240620T230000@google.com", "h71rjnaol5qh6j4as089cj07uq_R20240620T230000@google.com", "h71rjnaol5qh6j4as089cj07uq_R20240620T230000@google.com", "h71rjnaol5qh6j4as089cj07uq_R20240620T230000@google.com", "h71rjnaol5qh6j4as089cj07uq_R20240620T230000@google.com", "h71rjnaol5qh6j4as089cj07uq_R20240620T230000@google.com", "h71rjnaol5qh6j4as089cj07uq_R20260220T000000@google.com", "h71rjnaol5qh6j4as089cj07uq_R20260220T000000@google.com", "h71rjnaol5qh6j4as089cj07uq_R20260220T000000@google.com", "h71rjnaol5qh6j4as089cj07uq_R20260220T000000@google.com", "h71rjnaol5qh6j4as089cj07uq_R20260220T000000@google.com", "h71rjnaol5qh6j4as089cj07uq_R20260220T000000@google.com", "h71rjnaol5qh6j4as089cj07uq_R20260220T000000@google.com", "h71rjnaol5qh6j4as089cj07uq_R20260220T000000@google.com", "h71rjnaol5qh6j4as089cj07uq_R20260220T000000@google.com", "h71rjnaol5qh6j4as089cj07uq_R20260220T000000@google.com", "h71rjnaol5qh6j4as089cj07uq_R20260220T000000@google.com", "h71rjnaol5qh6j4as089cj07uq_R20260220T000000@google.com", "h71rjnaol5qh6j4as089cj07uq_R20260220T000000@google.com"]</t>
  </si>
  <si>
    <t>Indhu - Analytics implementation manager
Satpal - Implementation specialist with journeys
Opening a new site this year
Mouna - Analytics implementation specialist
Updating the checkout journey in the next year
Wai Kin - Implementation specialist
Wants to setup some new audits this year
Updating the slack email address for some alerts- Indhu was going to
                look into this
Examples:
Found js errors</t>
  </si>
  <si>
    <t>98df62bb0ab399c1390e247e0521f2e5</t>
  </si>
  <si>
    <t>2026 - REN - Darden Restaurants</t>
  </si>
  <si>
    <t>2026-01-28 (OUT): Re: [EXTERNAL] Re: Declined: ObservePoint | Darden Restaurants Sync — No worries, see you at the next one!
 *Regards, *
 John Davis *   |    * *Customer Success Manager*
 Cell: 801.633.6013
 john.davis@observepoint
2026-01-28 (IN): RE: [EXTERNAL] Re: Declined: ObservePoint | Darden Restaurants Sync — He probably won’t, I believe he had a conflict.
 Thank you,
 Brooke Tymoniewicz
 Analyst, CRM &amp; Digital Analytics | Darden
 BTymoniewicz@Darden.co
2026-01-28 (OUT): Re: Declined: ObservePoint | Darden Restaurants Sync — No worries, I will show up to the call anyways in case Blake jumps in,
 unless you know that he won't?
 *Regards, *
 John Davis *   |    * *Custom</t>
  </si>
  <si>
    <t>2026-02-19: ObservePoint | Darden Restaurants Sync
John Davis and Brooke Tymoniewicz discussed ObservePoint's new frameworks feature, which provides expert recommendations for Adobe Analytics implementation and monitoring based on collaboration with Adobe and Google. John explained how these frameworks serve as checklists for common use cases and will eventually be productized to automatically generate audits and reports based on selected priorities. Brooke expressed interest in focusing on tag load times, preventing duplicate tag fires, and int</t>
  </si>
  <si>
    <t>["19c063af7806900b", "19c0637e840f9b34", "19c0634c55355f47", "19bc79e817041cb7", "19aba36b0a646896"]</t>
  </si>
  <si>
    <t>["jr0b7d5r685aqclf49b4itid9s@google.com", "kqfrvcuq0v4c8dhoeslgbmjvop_R20260128T200000@google.com", "kqfrvcuq0v4c8dhoeslgbmjvop_R20251217T200000@google.com", "kqfrvcuq0v4c8dhoeslgbmjvop@google.com", "kqfrvcuq0v4c8dhoeslgbmjvop@google.com", "kqfrvcuq0v4c8dhoeslgbmjvop@google.com", "kqfrvcuq0v4c8dhoeslgbmjvop@google.com", "kqfrvcuq0v4c8dhoeslgbmjvop_R20260225T200000@google.com", "kqfrvcuq0v4c8dhoeslgbmjvop_R20260225T200000@google.com", "kqfrvcuq0v4c8dhoeslgbmjvop_R20260225T200000@google.com", "kqfrvcuq0v4c8dhoeslgbmjvop_R20260225T200000@google.com", "kqfrvcuq0v4c8dhoeslgbmjvop_R20260225T200000@google.com", "kqfrvcuq0v4c8dhoeslgbmjvop_R20260225T200000@google.com", "kqfrvcuq0v4c8dhoeslgbmjvop_R20260225T200000@google.com", "kqfrvcuq0v4c8dhoeslgbmjvop_R20260225T200000@google.com", "kqfrvcuq0v4c8dhoeslgbmjvop_R20260225T200000@google.com", "kqfrvcuq0v4c8dhoeslgbmjvop_R20260225T200000@google.com", "kqfrvcuq0v4c8dhoeslgbmjvop_R20260225T200000@google.com", "kqfrvcuq0v4c8dhoeslgbmjvop_R20260225T200000@google.com", "kqfrvcuq0v4c8dhoeslgbmjvop_R20260225T200000@google.com", "kqfrvcuq0v4c8dhoeslgbmjvop_R20260225T200000@google.com", "kqfrvcuq0v4c8dhoeslgbmjvop_R20260225T200000@google.com", "kqfrvcuq0v4c8dhoeslgbmjvop_R20260225T200000@google.com", "kqfrvcuq0v4c8dhoeslgbmjvop_R20260225T200000@google.com", "kqfrvcuq0v4c8dhoeslgbmjvop_R20260225T200000@google.com", "kqfrvcuq0v4c8dhoeslgbmjvop_R20260225T200000@google.com", "kqfrvcuq0v4c8dhoeslgbmjvop_R20260225T200000@google.com", "kqfrvcuq0v4c8dhoeslgbmjvop_R20260225T200000@google.com", "kqfrvcuq0v4c8dhoeslgbmjvop_R20260225T200000@google.com", "kqfrvcuq0v4c8dhoeslgbmjvop_R20260225T200000@google.com", "kqfrvcuq0v4c8dhoeslgbmjvop_R20260225T200000@google.com", "kqfrvcuq0v4c8dhoeslgbmjvop_R20260225T200000@google.com"]</t>
  </si>
  <si>
    <t>["ngmt_01KH41TQ0A5B6FKJ9ZVP18JZWP"]</t>
  </si>
  <si>
    <t>["ngmt_01KH41TQ0A5B6FKJ9ZVP18JZWP_0"]</t>
  </si>
  <si>
    <t>Brooke - CRM and Digital Analytics, gathers data
Blake - Implementation
CMS Migration - experience manager
Privacy - Onetrust
Journeys
Setup one per site and they need more bandwidth before they setup
                more
Tags firing in under 500ms and not firing twice</t>
  </si>
  <si>
    <t>e9285b6da3d1e53846844c707cafc78c</t>
  </si>
  <si>
    <t>2026 - REN - Spark New Zealand</t>
  </si>
  <si>
    <t>2026-01-27 (IN): Re: Accepted: ObservePoint | Spark Bi-Weekly Sync Up — All good we'll catch up on the 9th.
 I hadn't seen Krushi's email when i responded
 Scott Kempster
 He / Him
 Architect
 Spark New Zealand T
2026-01-26 (OUT): Re: Accepted: ObservePoint | Spark Bi-Weekly Sync Up — Hey Scott,
 I guess I forgot that you accepted today's meeting before I got that email
 from Krushi.
 Did you still want to sync today? Or did you
2026-01-26 (IN): Automatic reply: ObservePoint | Spark Bi-Weekly Sync Up — Thank you for your email. Mycal Tamariki is no longer with Spark NZ Ltd.
 If you have an alternative contact within Spark, please reach out to them.</t>
  </si>
  <si>
    <t>["19bfcf471ac51c06", "19bfbeae9d7c3149", "19bfbe6291c30174", "19bfbe4d947bad9b", "19bfbe3ac9d06f4b", "19bfbda60cae1c44", "19bb3f9d742a53bb", "19bb3ed575c186e8", "19bb3eccddd846a0", "19b0a6da0e5ed043", "19b09f9505523928", "19b04bf1f7938058", "19ae2c3770032bc8", "19ae142402a8f859", "19abf92ce62433c1", "19abd5cf71942faa", "19abd54cc232aff5", "19abd50b7765203a", "19abd40312aaa86a", "19abcdec5a869b5d", "19abcac71a37f0a7", "19abc1111e921b34", "19abc104141ceda9", "19aba8b060cd32a5"]</t>
  </si>
  <si>
    <t>["7g33vo676f20oldrlvi27p8tro@google.com", "bvt7g90hml7jhfk2dgjpnb81mh@google.com", "bvt7g90hml7jhfk2dgjpnb81mh@google.com", "bvt7g90hml7jhfk2dgjpnb81mh@google.com", "bvt7g90hml7jhfk2dgjpnb81mh@google.com", "bvt7g90hml7jhfk2dgjpnb81mh@google.com", "bvt7g90hml7jhfk2dgjpnb81mh@google.com", "bvt7g90hml7jhfk2dgjpnb81mh@google.com", "bvt7g90hml7jhfk2dgjpnb81mh@google.com", "bvt7g90hml7jhfk2dgjpnb81mh@google.com", "bvt7g90hml7jhfk2dgjpnb81mh@google.com", "bvt7g90hml7jhfk2dgjpnb81mh@google.com", "bvt7g90hml7jhfk2dgjpnb81mh@google.com", "bvt7g90hml7jhfk2dgjpnb81mh@google.com"]</t>
  </si>
  <si>
    <t>Scott (Architect)
Krushi (digital optimization, in charge of journeys)
Mycal is Krushis boss
Wants to expand into maybe some more marketing tags and such
Key retail moment support - “Seasonal Support”
Audits
Marketing tags
Modular Buy design (new system they are implementing?)
Super long onboarding, then team got wiped away, basically new
Existing use cases are unique and really need the basics setup</t>
  </si>
  <si>
    <t>22d3cabddb3fe43e064192d9b879eb2c</t>
  </si>
  <si>
    <t>2026 - REN - WestJet</t>
  </si>
  <si>
    <t xml:space="preserve">2026-01-15 (IN): Our meeting in an hour — Hi,  Looking forward to speaking to you in a short while.  Best,
2025-12-15 (OUT): WestJet | ObservePoint Monthly Sync — Can we reschedule this? We are out of office between Christmas and New  
 Years. Use this link to schedule something before the holidays that works  
2025-12-11 (IN): Re: Request to Skip Today’s Connect - WestJet (Chinmay) — Hi Macey,
 Sounds perfect, we can meet in new year and also will be prepared with our 2026 goals and objectives.
 Thanks,
 Chinmay Satam | Int. </t>
  </si>
  <si>
    <t>2026-01-08: WestJet | ObservePoint Monthly Sync
This meeting introduced John Davis as Chinmay Satam's new Customer Success Manager at ObservePoint, transitioning from Macey Bell who is taking on a new book of business. Chinmay, an analyst at WestJet responsible for implementation, validation, and investigation, outlined his roadmap through May 2026, which includes rebuilding all journeys due to a major brand refresh, shifting journey focus from alerting to QA purposes, implementing privacy compliance monitoring (planned for end of January), a</t>
  </si>
  <si>
    <t>["PVTI_lAHOBXQWPs4BLZXmzgk3UGU", "PVTI_lAHOBXQWPs4BLZXmzgk3UGg", "PVTI_lAHOBXQWPs4BLZXmzgk3UG0", "PVTI_lAHOBXQWPs4BLZXmzgk3UHA"]</t>
  </si>
  <si>
    <t>["19bc2d083d2fe287", "19b2319eeb873857", "19b0e24e53199b66", "19b0dee33e33278d", "19aba344c2b95eb8"]</t>
  </si>
  <si>
    <t>["jg3k4b3c6kglt1ptm9u9ctc9mc_R20260205T163000@google.com", "jg3k4b3c6kglt1ptm9u9ctc9mc_R20251204T163000@google.com", "jg3k4b3c6kglt1ptm9u9ctc9mc_R20241107T163000@google.com", "jg3k4b3c6kglt1ptm9u9ctc9mc_R20241107T163000@google.com", "jg3k4b3c6kglt1ptm9u9ctc9mc_R20241107T163000@google.com", "jg3k4b3c6kglt1ptm9u9ctc9mc_R20241107T163000@google.com", "jg3k4b3c6kglt1ptm9u9ctc9mc_R20241107T163000@google.com", "jg3k4b3c6kglt1ptm9u9ctc9mc_R20241107T163000@google.com", "jg3k4b3c6kglt1ptm9u9ctc9mc_R20260205T163000@google.com", "jg3k4b3c6kglt1ptm9u9ctc9mc_R20260205T163000@google.com", "jg3k4b3c6kglt1ptm9u9ctc9mc_R20260205T163000@google.com", "jg3k4b3c6kglt1ptm9u9ctc9mc_R20260205T163000@google.com", "jg3k4b3c6kglt1ptm9u9ctc9mc_R20260205T163000@google.com", "jg3k4b3c6kglt1ptm9u9ctc9mc_R20260205T163000@google.com", "jg3k4b3c6kglt1ptm9u9ctc9mc_R20260205T163000@google.com", "jg3k4b3c6kglt1ptm9u9ctc9mc_R20260205T163000@google.com", "jg3k4b3c6kglt1ptm9u9ctc9mc_R20260205T163000@google.com", "jg3k4b3c6kglt1ptm9u9ctc9mc_R20260205T163000@google.com", "jg3k4b3c6kglt1ptm9u9ctc9mc_R20260205T163000@google.com", "jg3k4b3c6kglt1ptm9u9ctc9mc_R20260205T163000@google.com"]</t>
  </si>
  <si>
    <t>["ngmt_01KDE2ES3KZVEFZC1SXKH83N46"]</t>
  </si>
  <si>
    <t>["ngmt_01KDE2ES3KZVEFZC1SXKH83N46_0", "ngmt_01KDE2ES3KZVEFZC1SXKH83N46_1", "ngmt_01KDE2ES3KZVEFZC1SXKH83N46_2", "ngmt_01KDE2ES3KZVEFZC1SXKH83N46_3"]</t>
  </si>
  <si>
    <t>Chinmay - Based in Toronto, used to be full stack, currently
                implementation, investigation, validation, digital marketing analyst
Journey heavy
Lots of changes in their pages so journeys need to be updated</t>
  </si>
  <si>
    <t>2f95fd592cd612c8cdb634e84d3521cc</t>
  </si>
  <si>
    <t>2026 - REN - Boston Scientific</t>
  </si>
  <si>
    <t>2025-11-25 (OUT): Invitation: ObservePoint | Boston Scientific - Sync @ Monthly from 9:30am to 10a — ObservePoint | Boston Scientific - Sync
 Monthly from 9:30am to 10am on the first Friday
 Mountain Time - Denver
 Join Zoom Meeting
 https://obse</t>
  </si>
  <si>
    <t>["19aba352f6572763"]</t>
  </si>
  <si>
    <t>["1lsim3m34srfoke6q0nml3bqvu_R20260102T163000@google.com", "1lsim3m34srfoke6q0nml3bqvu_R20260102T163000@google.com", "1lsim3m34srfoke6q0nml3bqvu_R20251205T163000@google.com", "1lsim3m34srfoke6q0nml3bqvu_R20250502T153000@google.com", "1lsim3m34srfoke6q0nml3bqvu_R20250502T153000@google.com", "1lsim3m34srfoke6q0nml3bqvu_R20250502T153000@google.com", "1lsim3m34srfoke6q0nml3bqvu_R20250502T153000@google.com", "1lsim3m34srfoke6q0nml3bqvu_R20250207T163000@google.com", "1lsim3m34srfoke6q0nml3bqvu_R20250207T163000@google.com", "1lsim3m34srfoke6q0nml3bqvu_R20260306T163000@google.com", "1lsim3m34srfoke6q0nml3bqvu_R20260306T163000@google.com", "1lsim3m34srfoke6q0nml3bqvu_R20260306T163000@google.com", "1lsim3m34srfoke6q0nml3bqvu_R20260306T163000@google.com", "1lsim3m34srfoke6q0nml3bqvu_R20260306T163000@google.com", "1lsim3m34srfoke6q0nml3bqvu_R20260306T163000@google.com", "1lsim3m34srfoke6q0nml3bqvu_R20260306T163000@google.com", "1lsim3m34srfoke6q0nml3bqvu_R20260306T163000@google.com", "1lsim3m34srfoke6q0nml3bqvu_R20260306T163000@google.com", "1lsim3m34srfoke6q0nml3bqvu_R20260306T163000@google.com", "1lsim3m34srfoke6q0nml3bqvu_R20260306T163000@google.com", "1lsim3m34srfoke6q0nml3bqvu_R20260306T163000@google.com"]</t>
  </si>
  <si>
    <t>Brandi - Champion, came to EDGE, but moves slowly because
                she’s so busy
Struggles to even tell us what they need
Privacy and analytics use cases</t>
  </si>
  <si>
    <t>018ac3d4498fcadf5f6543c4fddcee14</t>
  </si>
  <si>
    <t>Robert Wood Johnson Foundation</t>
  </si>
  <si>
    <t>2026 - REN - Robert Wood Johnson Foundation</t>
  </si>
  <si>
    <t>2026-02-03 (OUT): Re: ObservePoint | RWJF - Sync — Hey Phil,
 Here are some slots that work for me on Thursday in *Eastern Time*, feel
 free to grab one or we can wait until Tuesday, either way works
2026-02-03 (IN): RE: ObservePoint | RWJF - Sync — John, I need to either reschedule or cancel for today.  If your schedule allows for Thursday, lets reschedule.  If not, next tues will do.
 My goal 
2026-01-21 (OUT): Re: evar13 Journey — Hey Phil,
 No worries, this can definitely be confusing in the beginning, but before
 you know it, you will be a full fledged QA Automation Engineer</t>
  </si>
  <si>
    <t>2026-02-18: ObservePoint | RWJF - Sync
John Davis and Phil Hagerty discussed ObservePoint implementation strategy, deciding that Phil should create separate journeys for each user interaction or conversion event rather than combining multiple tests into single journeys to avoid cascading failures and maintain clarity. They reviewed Phil's progress on setting up audits and journeys for tracking analytics variables, with John explaining best practices for structuring end-to-end tests and offering support from ObservePoint's journey-bui
---
2026-02-10: ObservePoint | RWJF - Sync
John and Phil discussed setting up ObservePoint rules to validate Adobe Analytics variables on page loads, with Phil creating a comprehensive rule to check multiple eVars using ObservePoint's browser extension to capture variable names. They encountered a challenge with eVar2 (site section two), which isn't always set on top-level pages like the homepage, and explored potential solutions including URL filtering and using query parameters with on-page actions to dynamically validate the variable.</t>
  </si>
  <si>
    <t>["PVTI_lAHOBXQWPs4BLZXmzgkW_qA", "PVTI_lAHOBXQWPs4BLZXmzgkW_qI", "PVTI_lAHOBXQWPs4BLZXmzgkDvps", "PVTI_lAHOBXQWPs4BLZXmzgkDvoM", "PVTI_lAHOBXQWPs4BLZXmzgk636U", "PVTI_lAHOBXQWPs4BLZXmzgkW_q0", "PVTI_lAHOBXQWPs4BLZXmzgk6354", "PVTI_lAHOBXQWPs4BLZXmzgkW_qY"]</t>
  </si>
  <si>
    <t>["19c246e3f31d630f", "19c2460ca63d3df8", "19be1ad321e846cf", "19be10f891498667", "19be10d6900ecf7a", "19be0ff74eb7eb52", "19bdd16dfd4b7f51", "19bdcf7a3d1b7b34", "19bdcf33195beadb", "19bdcdbbe53667da", "19bc7f5f480b89d4", "19bc7201abc70446", "19bc25d588f55063", "19bbe7f53817c749", "19bbe5bec0fbef84", "19bbdc832e2fc673", "19bba0856ad957de", "19bb904be724a897", "19b27aa9f411280f", "19aba36743a8ad8f", "19aba31a84ba1e0c"]</t>
  </si>
  <si>
    <t>["6epdb3m8ejuhmntrlt32200rh2_R20260217T190000@google.com", "6epdb3m8ejuhmntrlt32200rh2_R20260203T190000@google.com", "hifm833ilv8g938o95pflqbe3s@google.com", "6epdb3m8ejuhmntrlt32200rh2_R20260127T190000@google.com", "6lecmo3jqmr3moes21l8g865f3@google.com", "6epdb3m8ejuhmntrlt32200rh2_R20251216T190000@google.com", "6epdb3m8ejuhmntrlt32200rh2_R20251216T190000@google.com", "6epdb3m8ejuhmntrlt32200rh2_R20251216T190000@google.com", "6epdb3m8ejuhmntrlt32200rh2_R20241119T190000@google.com", "6epdb3m8ejuhmntrlt32200rh2_R20241119T190000@google.com", "6epdb3m8ejuhmntrlt32200rh2_R20241119T190000@google.com", "6epdb3m8ejuhmntrlt32200rh2_R20241119T190000@google.com", "6epdb3m8ejuhmntrlt32200rh2_R20241119T190000@google.com", "6epdb3m8ejuhmntrlt32200rh2_R20241119T190000@google.com", "6epdb3m8ejuhmntrlt32200rh2_R20241119T190000@google.com", "6epdb3m8ejuhmntrlt32200rh2_R20241119T190000@google.com", "6epdb3m8ejuhmntrlt32200rh2_R20241119T190000@google.com", "6epdb3m8ejuhmntrlt32200rh2_R20241119T190000@google.com", "6epdb3m8ejuhmntrlt32200rh2_R20241119T190000@google.com", "6epdb3m8ejuhmntrlt32200rh2_R20241119T190000@google.com", "6epdb3m8ejuhmntrlt32200rh2_R20241119T190000@google.com",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 "6epdb3m8ejuhmntrlt32200rh2_R20260217T190000@google.com"]</t>
  </si>
  <si>
    <t>["ngmt_01KDSNSC3TKRAJ78GP98R39FV8", "ngmt_01KGJKEFSJJK5FCKS9BRE4HBP5", "ngmt_01KEXQBSH1G37NWSHGZ52AEVMA", "ngmt_01KHPDYG9050NCE3F2N9CJDTTZ"]</t>
  </si>
  <si>
    <t>["ngmt_01KGJKEFSJJK5FCKS9BRE4HBP5_0", "ngmt_01KGJKEFSJJK5FCKS9BRE4HBP5_1", "ngmt_01KEXQBSH1G37NWSHGZ52AEVMA_0", "ngmt_01KHPDYG9050NCE3F2N9CJDTTZ_0"]</t>
  </si>
  <si>
    <t>Phil - Communications (Marketing), owns analytics implementation and
                technical support for salesforce crm, application side of things as well
Uses Adobe, web sdk
Might want to check emails for tracking codes
Start from scratch
Evar13 when you search something on homepage, this is on the data
                layer in the request when you click the search button, evar13 is an array, not a string, need to check
                the string inside the item in the array, not just check if the item is existing in the array
Built this from scratch and he liked the results and wants to build others
                similarly:https://app.observepoint.com/web-journey/569254/run/66588708/results?action=1</t>
  </si>
  <si>
    <t>3fff73486c64b87d395dbe636d745aba</t>
  </si>
  <si>
    <t>2026 - REN - Dignity Health</t>
  </si>
  <si>
    <t>2026-02-03 (OUT): Meeting — Sorry Stanton,
 My waiting room hasn't worked today for some reason, you can join here:
 https://observepoint.zoom.us/j/3628593272?pwd=OfxX2kwpsuA
2026-01-22 (IN): Re: help with an audit — Hey John,
 Great points and that's pretty much what I told my boss, except for the
 point about it being better as a Journey.  I'll convey what you 
2026-01-21 (OUT): Re: help with an audit — Hey Stanton,
 I took a look at this and my first question is, do we need to actually
 click all the "Bio video" buttons for all the providers that h</t>
  </si>
  <si>
    <t>[OPEN] Dignity Health - Build example journey (Backlog)
[OPEN] Dignity Health - Work on automating txt file checks (In progress)</t>
  </si>
  <si>
    <t>2026-02-03: ObservePoint | Dignity Health - Monthly Sync
The team discussed organizing and cleaning up CDW website validation journeys, identifying that they were missing an order version for cdw.com while having duplicates of other journeys. They determined that one unlabeled journey was actually an order flow (not a quote) based on its steps, and decided to rename it accordingly and delete unnecessary duplicate entries from their tracking spreadsheet. The team agreed to increase their meeting cadence from biweekly to weekly temporarily to expedite t</t>
  </si>
  <si>
    <t>["PVTI_lAHOBXQWPs4BLZXmzgjO8tI", "PVTI_lAHOBXQWPs4BLZXmzgjO8N8", "PVTI_lAHOBXQWPs4BLZXmzgjjtA8"]</t>
  </si>
  <si>
    <t>["19c2551dacbf0e3e", "19be5d532ced1c49", "19be1a82475c5bcc", "19be0e8a86fed736", "19bb43b255cc54a1", "19bb41a7936ae4b9", "19bb3beb443c7060", "19ba4c8d9926078b", "19ba425413a6330d", "19ba348cf5bb6771", "19ba33b294db50ef", "19b9e878574a7022", "19b9df6fbe12fa87", "19b9df2f4ae358c1", "19b9a79a151bd5fe", "19b98a8cf56f4799", "19b9521460cf7e19", "19b900448f3f2bca", "19b8fdd305e4386f", "19aba320fd5cd5ad"]</t>
  </si>
  <si>
    <t>["er6cviq9baaj38817rf2m9c1ek_R20260203T210000@google.com", "7mb4th83potb3cqtgb7oaaaeuc@google.com", "er6cviq9baaj38817rf2m9c1ek_R20260106T210000@google.com", "er6cviq9baaj38817rf2m9c1ek_R20250204T210000@google.com", "er6cviq9baaj38817rf2m9c1ek_R20250204T210000@google.com", "er6cviq9baaj38817rf2m9c1ek_R20250204T210000@google.com", "er6cviq9baaj38817rf2m9c1ek_R20250204T210000@google.com", "er6cviq9baaj38817rf2m9c1ek_R20250204T210000@google.com", "er6cviq9baaj38817rf2m9c1ek_R20250204T210000@google.com", "er6cviq9baaj38817rf2m9c1ek_R20250204T210000@google.com", "er6cviq9baaj38817rf2m9c1ek_R20250204T210000@google.com", "er6cviq9baaj38817rf2m9c1ek_R20250204T210000@google.com", "er6cviq9baaj38817rf2m9c1ek_R20260203T210000@google.com", "er6cviq9baaj38817rf2m9c1ek_R20260203T210000@google.com", "er6cviq9baaj38817rf2m9c1ek_R20260203T210000@google.com", "er6cviq9baaj38817rf2m9c1ek_R20260203T210000@google.com", "er6cviq9baaj38817rf2m9c1ek_R20260203T210000@google.com", "er6cviq9baaj38817rf2m9c1ek_R20260203T210000@google.com", "er6cviq9baaj38817rf2m9c1ek_R20260203T210000@google.com", "er6cviq9baaj38817rf2m9c1ek_R20260203T210000@google.com", "er6cviq9baaj38817rf2m9c1ek_R20260203T210000@google.com", "er6cviq9baaj38817rf2m9c1ek_R20260203T210000@google.com", "er6cviq9baaj38817rf2m9c1ek_R20260203T210000@google.com", "er6cviq9baaj38817rf2m9c1ek_R20260203T210000@google.com"]</t>
  </si>
  <si>
    <t>["ngmt_01KEAJAKCXK762QNZSNP6K5MHA"]</t>
  </si>
  <si>
    <t>["ngmt_01KEAJAKCXK762QNZSNP6K5MHA_0", "ngmt_01KEAJAKCXK762QNZSNP6K5MHA_1"]</t>
  </si>
  <si>
    <t>Stanton - main contact and is an engineer
Purchased through a middle man retailer, called Connection, Casper
                is the contact.
DO NOT SEND CONTRACTS TO DIGNITY, ONLY TO
                CONNECTION!!!!!!!!!!!!
Last year was a huge tags initiative
This next year they want to work on cookies and analytics and
                journeys
Biggest disconnect: setup and run daily
There are different parts of the site have different cadence on
                releases
Adobe analytics should be all sites
Custom solution:
Pricing transparency is required by healthcare solutions
.txt file on each page and the solution tests this
Here is the old thread on this: https://observepoint.slack.com/archives/C51LN1WDP/p1766089902321849?thread_ts=1736284104.482449&amp;cid=C51LN1WDP
This is their document that they use to track and test this stuff
https://docs.google.com/spreadsheets/d/11oj8MdOIxLcjjO4LSjXXSkFCBVsqpNyj/edit?gid=2112603528#gid=2112603528
This is the test audit I built with an on page action to click on
                all the json and xlsx file downloads crawling from the main locations page:
https://app.observepoint.com/audit/2030973/run/8734616/report/page-summary
This is the report I use to filter and check the network requests
                for those files:
https://app.observepoint.com/reports/18546</t>
  </si>
  <si>
    <t>a6bf66df9fd3ef2ae5653e49d2514abe</t>
  </si>
  <si>
    <t>Zenfolio</t>
  </si>
  <si>
    <t>2026 - REN - Zenfolio</t>
  </si>
  <si>
    <t>2026-01-12 (OUT): Re: CSM Introduction — Thanks Jarrod
 Hey Gavin and Bill,
 I agree with Jarrod, great job setting up your account! Let me know how I
 can help you in 2026.
 You can al
2026-01-12 (OUT): CSM Introduction — Hi Gavin and Bill,
 I wanted to introduce John Davis, your Customer Success Manager and primary
 point of contact at ObservePoint. John is highly te</t>
  </si>
  <si>
    <t>["19bb43c6577bfc16", "19bb4092e46f6496"]</t>
  </si>
  <si>
    <t>eba8aa3ca77a45dbac859d89b758c58a</t>
  </si>
  <si>
    <t>2026 - REN - K. Hovnanian</t>
  </si>
  <si>
    <t>2025-12-15 (OUT): K. Hovnanian | ObservePoint Monthly Sync — Can we reschedule this? We are out of office between Christmas and New  
 Years. Use this link to schedule something before the holidays that works  
2025-11-25 (OUT): Invitation: K. Hovnanian | ObservePoint Monthly Sync @ Monthly from 1pm to 1:30p — K. Hovnanian | ObservePoint Monthly Sync
 Monthly from 1pm to 1:30pm on the last Friday
 Mountain Time - Denver
 Join Zoom Meeting
 https://obser</t>
  </si>
  <si>
    <t>["19b2316d256f5010", "19aba35f33ff3015"]</t>
  </si>
  <si>
    <t>["218mor5missl9pp5a4l5h8bptl_R20251226T200000@google.com", "218mor5missl9pp5a4l5h8bptl_R20251128T200000@google.com", "218mor5missl9pp5a4l5h8bptl_R20240426T190000@google.com", "218mor5missl9pp5a4l5h8bptl_R20240426T190000@google.com", "218mor5missl9pp5a4l5h8bptl_R20240426T190000@google.com", "218mor5missl9pp5a4l5h8bptl_R20240426T190000@google.com", "218mor5missl9pp5a4l5h8bptl_R20240426T190000@google.com", "218mor5missl9pp5a4l5h8bptl_R20240426T190000@google.com", "2crka6p8av0so0e268e56pht5o@google.com", "2crka6p8av0so0e268e56pht5o@google.com", "2crka6p8av0so0e268e56pht5o@google.com", "2crka6p8av0so0e268e56pht5o@google.com", "2crka6p8av0so0e268e56pht5o@google.com", "2crka6p8av0so0e268e56pht5o@google.com", "2crka6p8av0so0e268e56pht5o@google.com", "2crka6p8av0so0e268e56pht5o@google.com", "2crka6p8av0so0e268e56pht5o@google.com", "2crka6p8av0so0e268e56pht5o@google.com", "2crka6p8av0so0e268e56pht5o@google.com", "2crka6p8av0so0e268e56pht5o@google.com"]</t>
  </si>
  <si>
    <t>Padmini - QA web analyst
Journeys
Jason Carter - Dev
Recently setup some privacy audits
Wants to setup alerting around privacy
Wants help with content security policy
Planning on splitting front end and back of site</t>
  </si>
  <si>
    <t>ac841886f44cb6c2726fcfca0990d494</t>
  </si>
  <si>
    <t>Prudential Financial Inc.</t>
  </si>
  <si>
    <t>2026 - REN - Prudential Financial Inc.</t>
  </si>
  <si>
    <t>2026-02-03 (OUT): Re: Sync Meeting — Sure thing, Steve.
 Next week is our quarterly summit so I don't have a ton of slots available,
 so I will include the this week and the next two we
2026-02-03 (IN): RE: Sync Meeting — Hi John,
 Good meeting today.
 Can we have similar call with PGIM team?  Can you send availability for this week and next week?  If you can includ
2026-01-30 (OUT): Re: ObservePoint &amp; Prudential Sync — Hey Steve, are you able to make our meeting right now?
 *Regards, *
 John Davis *   |    * *Customer Success Manager*
 Cell: 801.633.6013
 john.</t>
  </si>
  <si>
    <t>2026-02-03: Review ObservePoint Audit of Pru.com
The meeting focused on establishing a formal process for ObservePoint website audits at Prudential. The team discussed creating a tiered scanning approach (tier 1: high-traffic pages scanned biweekly, tier 2: monthly, tier 3: quarterly) within their 70,000 annual page scan limit, with the goal of identifying approximately 40 tier-1 pages representing 1% or more of site traffic. Lauren committed to working with the content team over the next few weeks to audit and categorize pages across all Prud
---
2026-01-30: ObservePoint &amp; Prudential Sync
John Davis and Steve Choi discussed formalizing ObservePoint's audit process for Prudential's websites using a three-tier system aligned with their biweekly release cadence. They planned an upcoming Tuesday meeting where John will demonstrate audit capabilities and gather specific use cases and questions from the team to configure appropriate monitoring rules and alerts. Steve needs to collect tier-specific URLs from both the .com and PGIM teams, with their annual contract allowing approximately</t>
  </si>
  <si>
    <t>["PVTI_lAHOBXQWPs4BLZXmzgkkOv8", "PVTI_lAHOBXQWPs4BLZXmzgkkOwk", "PVTI_lAHOBXQWPs4BLZXmzgkxPmY", "PVTI_lAHOBXQWPs4BLZXmzgkxPmI"]</t>
  </si>
  <si>
    <t>["19c25bbe66ddbb1b", "19c25b6e5f0a3a4f", "19c10673b1a9ac00", "19c064230db002e9", "19c063e82032f9d4", "19c063b527cb59d9", "19c0638d0cd3c14c", "19c0632ef9c8b17c", "19c06315701d0014", "19c05c56d9378559", "19c05373e76f5fe5", "19c052fdf81d32a1", "19c052e6ff438ad5", "19c052db6205eb8e", "19bfc69c290a1727", "19bfc54d200c6a33", "19bfc3b4b8607944", "19bfc39124155978", "19bc85ec7b4891de", "19bc858dda381b5e", "19bc841b92d2408d", "19bbd105a636f568", "19bbd0c67ef9c535", "19bbd040d3297fe1", "19bbd03a5408fedb", "19bb8eb3f5c03248", "19bb8dea8befd711", "19bb8d72a97ba783", "19bb7f6a19213ea4", "19bb328c1147f9c4", "19bb2da131c4b74a", "19bb2d9ab2c92057", "19b9eaa2bb9049d2", "19b9b86a1ac38294", "19b9ad415d83e38e", "19b98f60ec04223b", "19b98f416b273619", "19b98bb0c5386545", "19b95636fda1d584", "19b95506b06f9f57", "19b953fad6158c29", "19b953a59da29837", "19b951b9c59b0ccf", "19b9519567e24b98", "19b8f26727270f59", "19b8f1e8164a9586", "19b8ec6eee4dbe68", "19b8ead16be22a44", "19b8eaa46d146958", "19b8e9362af1f03f", "19b8e3e341d65284", "19b8d994646b19bb", "19b7f59284a3c22e", "19b7f3a6724b2e69", "19b7f008115355f5", "19b7f00195c1f1da", "19b7c8f378cb9027", "19b75b07a9286ddc", "19b75ab91c2d12c9", "19b75a7cccbcd836", "19b75a10f4fe40d4", "19b754d4b56eed3d", "19b754c7c15174fc", "19b754c04141ff1b", "19b7549b1918ca0f", "19b7199214c65787", "19b715435bcd0ddc", "19b71312ae8c102e", "19b71310178c53bf", "19b6c0a8d178bc2f", "19b6b55dff16adc2", "19b6a6ee301c347f", "19b5d1ecd1128cfb", "19b5be1ba0a77b1f", "19b5be16617d3b6a", "19b5bb9ed1eef131", "19b5b8f4ab0ceea0", "19b5b472fccb9a92", "19b5b33a4ffae283", "19b53f099915f7c3", "19b5287f91555d37", "19b51f3652ba0ffb", "19b51f1babce316c", "19b512ed7bc81760", "19b512c344c37003", "19b512af0e9474e5", "19b51226f5e3b90e", "19b5115f9dfcc877", "19b51159590d5b6f", "19b47c023b60cb60", "19b2746cc77da990", "19b24c9608e8e948", "19b24c1dede1f3b5", "19b24c161499d2f2", "19b24c1043e94118", "19b24ac66e6b1259", "19b24a01ddd652b8", "19b2499c4ec212d5", "19b248419d3a8d34", "19b247fd3c23ad91", "19b24432918dca6d", "19b241555262f0f3", "19b23f2b71336bad", "19b23b4b2f46e9a1", "19b14930e0ac4398", "19b1493094d828c3", "19b0e686282c4361", "19b0991d61d5523a", "19b08e2e924f8296", "19b08b75e98d3e47", "19b050ce521c9ba3", "19afe699a12fdcd6", "19afe2672c620e12", "19af00751602feac", "19af000fd12f2246", "19aeff9e31036db5", "19aef90c825a715e", "19aef24d19f5e723", "19aef1c2e9752cdb", "19aeee9d3d088010", "19aeee6307c80ca0", "19aeee36345b672c", "19aeede542feb4bd", "19aeecddef0e6199", "19aec0f2b0816bc3", "19aebfe81f3eac51", "19aebfcd7fd6fd9b", "19aebb8e2b371be3", "19aeb56ea2fc52d5", "19aeae02eae4854c", "19aead1a7219fe03", "19aead140ed27e49", "19aeabc571b0c881", "19ae9f717cd45a4c", "19ae9d59b99bf083", "19ae9d1b67849dbd", "19ae97bbb1cbd5b7", "19ae6692bf848814", "19ae665f07f7b6d1", "19ae660c2b9464f1", "19ae65cfd67ed6a6", "19ae6575a8e5250d", "19ae6319e4b981b1", "19ae6262593b2ca0", "19ae625284d0e0e6", "19ae541141f10d53", "19ae47346e68fea6", "19abbb234aaf00f1", "19aba35aa932ecbb", "19ab6d82f4e2e9b8", "19a9d6cb9f751180", "19a9d12a5eb462de", "19a9d0c27cd45c75"]</t>
  </si>
  <si>
    <t>["1bvk5eiq08cq176uh2nc9gaup8_R20260216T213000@google.com", "1bvk5eiq08cq176uh2nc9gaup8_R20260126T213000@google.com", "040000008200E00074C5B7101A82E008000000007080CFE83D90DC010000000000000000100000008E66E74553C2CF44A4EEE8858CEE2355", "1bvk5eiq08cq176uh2nc9gaup8_R20260126T213000@google.com", "1bvk5eiq08cq176uh2nc9gaup8@google.com", "1bvk5eiq08cq176uh2nc9gaup8@google.com", "040000008200E00074C5B7101A82E0080000000040AE9DB4F56DDC010000000000000000100000006643B1A6D41240479C20EFE7C6210F4E", "1bvk5eiq08cq176uh2nc9gaup8@google.com", "1darincepu653ssg0b98bjagb5_R20251212T170000@google.com", "040000008200E00074C5B7101A82E00800000000F09FF114F365DC01000000000000000010000000A1AFFBE86DBB0A468B1DA30A11D3E4EB", "040000008200E00074C5B7101A82E00800000000E06073F73865DC010000000000000000100000004A87FE838627624587D220CF0995C28C", "8dj710ggpfmp405n9q9cfq827s@google.com", "040000008200E00074C5B7101A82E00800000000A0D046288058DC01000000000000000010000000CF50F3752AA29A46865B640392404CBD", "5idbp8jkqt7f1tjhmcddjonb7g@google.com",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 "1bvk5eiq08cq176uh2nc9gaup8_R20260216T213000@google.com"]</t>
  </si>
  <si>
    <t>["ngmt_01KG344FKECYTPWS2RT83HZ169", "ngmt_01KG33HV388QED9QCDZC26JAJ1"]</t>
  </si>
  <si>
    <t>["ngmt_01KG344FKECYTPWS2RT83HZ169_0", "ngmt_01KG344FKECYTPWS2RT83HZ169_1", "ngmt_01KG344FKECYTPWS2RT83HZ169_2", "ngmt_01KG344FKECYTPWS2RT83HZ169_3", "ngmt_01KG33HV388QED9QCDZC26JAJ1_0", "ngmt_01KG33HV388QED9QCDZC26JAJ1_1", "ngmt_01KG33HV388QED9QCDZC26JAJ1_2", "ngmt_01KG33HV388QED9QCDZC26JAJ1_3", "ngmt_01KG33HV388QED9QCDZC26JAJ1_4", "ngmt_01KG33HV388QED9QCDZC26JAJ1_5"]</t>
  </si>
  <si>
    <t>Dec 4th - Steve and large group
Has a training on Dec 4th with a bunch of people on his team
Wants to make sure we are prepared for that training
Use case library page on help docs
Wants to run through the audits of prudential.com specifically
Sent a huge list of domains before and Macey premade a bunch of
                audits from that list
Needs to expand into authenticated sites
Dec 9th - Followup from firestorm last week
Need to address alerts and maybe some changes to them?
OP identified # of tags present on the page that would fall under
                this category. Internally, we used Google Consent Mode to block personalized ad or data
                collection.
Go over Prudential Top Trafficked Pages, last ran on Dec 30th
https://app.observepoint.com/audit/1892419/run/8560521/report/highlights/discovery
Do not go over cookies, focus on tags
What are the questions that you have about your data after you see
                the data that I am pulling? Use case library to examples:
They want to create a list of pages to scan more often and they said
                they will do this int he next couple weeks</t>
  </si>
  <si>
    <t>582ba68d4e740bc31befec89302cb1a9</t>
  </si>
  <si>
    <t>2026 - REN - CDW</t>
  </si>
  <si>
    <t xml:space="preserve">2026-02-03 (OUT): (no subject) — *Regards, *
 John Davis *   |    * *Customer Success Manager*
 Cell: 801.633.6013
 john.davis@observepoint.com
 www.observepoint.com 
 &lt;https://gr
2026-02-02 (OUT): Out of office Re: Accepted: ObservePoint | CDW Sync — I am out of the office Monday February 2nd, please reach out to
 support@observepoint.com if
 you have something urgent, otherwise I will get back to 
2026-01-29 (IN): FW: New Invoice #INV8103997 from ObservePoint — Bharat Sarma Gandikota
 Please find PO 17564 with the additional $200 to pay the attached invoice from ObservePoint for $22,200,00.
 Thank you,
</t>
  </si>
  <si>
    <t>2026-02-17: ObservePoint | CDW Sync
John and Tatyana discussed the status of CDW's journey monitoring in ObservePoint, reviewing action failures (yellow indicators) and rules failures (red indicators) across their order and quote journeys. John explained that his team would fix the action failures and enabled the "monitored journey" feature on their six most critical journeys, which automatically notifies support when issues occur, while Tatyana agreed to follow up on rules failures with her analytics team. They also discussed exp
---
2026-02-03: ObservePoint | CDW Sync
The meeting focused on coordinating accessibility feature demonstrations for ObservePoint's platform. While John Davis acknowledged that accessibility auditing is available in their tool but not their primary specialty, the team agreed to schedule a walkthrough for Chelsey's center of excellence team. Now that SSO access issues have been resolved, PFrei and Chelsey will coordinate with John to arrange a demonstration of the accessibility audit features for their team members.</t>
  </si>
  <si>
    <t>["PVTI_lAHOBXQWPs4BLZXmzgkxpRw", "PVTI_lAHOBXQWPs4BLZXmzglpEj4"]</t>
  </si>
  <si>
    <t>["19c2534e09b55ac0", "19c1f4a08de3f818", "19c0acaa6b9c7ce9", "19c0a277d40dc638", "19c06c926de7d02d", "19bffd4d411cf85f", "19bfcd62483b68a9", "19bfcb37d74e8403", "19bfc1c9e5f18c09", "19bfb3698a5ebff8", "19bfb30b0e8d301f", "19bb9983cc4de3e6", "19b9f672277b6d88", "19b9f6426af7c045", "19b47e998c9761f7", "19b47e639a399888", "19b47c6550c99512", "19b47bee78945ad4", "19b479b969ea4244", "19b4705e6c4a03bd", "19b28feb01c410ad", "19b28fe5ab489f86", "19b28a8f49a9aec8", "19b28a8b7053ce0c", "19b28a89a94357a9", "19b287cc456d933d", "19b287cbcb08afc4", "19b2863856a47545", "19b28632ecfe5591", "19aba3631d895b4b"]</t>
  </si>
  <si>
    <t>["5ljad0al1ms9rlu1k4m5nohanu_R20260217T203000@google.com", "5ljad0al1ms9rlu1k4m5nohanu@google.com", "68r36p1gc5h62bb46osjcb9k6hi34b9pc8o3cbb6ckrmcd9h6kpm2p34cg@google.com", "8b8llbppcfai75mtkng25k58pb_R20251216T180000@google.com", "8b8llbppcfai75mtkng25k58pb@google.com", "8b8llbppcfai75mtkng25k58pb@google.com", "8b8llbppcfai75mtkng25k58pb@google.com", "8b8llbppcfai75mtkng25k58pb@google.com", "8b8llbppcfai75mtkng25k58pb@google.com", "8b8llbppcfai75mtkng25k58pb@google.com", "8b8llbppcfai75mtkng25k58pb@google.com", "8b8llbppcfai75mtkng25k58pb@google.com", "8b8llbppcfai75mtkng25k58pb@google.com", "8b8llbppcfai75mtkng25k58pb@google.com", "8b8llbppcfai75mtkng25k58pb@google.com", "8b8llbppcfai75mtkng25k58pb@google.com", "8b8llbppcfai75mtkng25k58pb@google.com", "8b8llbppcfai75mtkng25k58pb@google.com", "8b8llbppcfai75mtkng25k58pb@google.com", "aniatqb43lg57kbnk2t2b3fecc@google.com",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 "5ljad0al1ms9rlu1k4m5nohanu_R20260217T203000@google.com"]</t>
  </si>
  <si>
    <t>["ngmt_01KFXVPRTKA1W0FQ2G69K7NNXQ", "ngmt_01KHM71EMSMBYJKN0AX6Z35BQ6"]</t>
  </si>
  <si>
    <t>["ngmt_01KFXVPRTKA1W0FQ2G69K7NNXQ_0", "ngmt_01KHM71EMSMBYJKN0AX6Z35BQ6_0", "ngmt_01KHM71EMSMBYJKN0AX6Z35BQ6_1"]</t>
  </si>
  <si>
    <t>Audrey
Wants to get the journey health page to all green Success on the run
                status
Starting some new projects with marketo, adobe, monday.com, etc
Showed her the gpc setting and talked a little about privacy
Cdwtest1
Production1
Goal is to get all these journeys fixed: https://app.observepoint.com/reports/13147</t>
  </si>
  <si>
    <t>248617054b8f752336e26487b67c7b48</t>
  </si>
  <si>
    <t>Crowdstrike</t>
  </si>
  <si>
    <t>2027 - REN - Crowdstrike</t>
  </si>
  <si>
    <t>2026-01-06 (OUT): Re: [External] Re: New CSM Introduction — Hey Zack,
 Here are some updated slots to meet next week, now that we are past the
 holidays. Feel free to grab one that works for you:
 Meeting l
2025-12-09 (OUT): Re: [External] Re: New CSM Introduction — Hey Zack,
 Here is an updated list of times that should work for myself and Macey over
 the next week or so. Feel free to grab one that works for yo
2025-12-02 (IN): Re: [External] Re: New CSM Introduction — Hey Macey, and hello John, nice to meet you.
 Let me see if I can find some time for us after AWS re:invent this week, will circle back once able. T</t>
  </si>
  <si>
    <t>["PVTI_lAHOBXQWPs4BLZXmzgjVsQc"]</t>
  </si>
  <si>
    <t>["19b94bbdee0ffedb", "19b045ae54745969", "19adf1098e28f93c", "19abc0df3a8374dc", "19aba775d935f0b7"]</t>
  </si>
  <si>
    <t>14f3ddad925e5f7cdc76c2f9cf9550ae</t>
  </si>
  <si>
    <t>2027 - REN - Biogen</t>
  </si>
  <si>
    <t>2026-01-01 (OUT): Upcoming ObservePoint Renewal on January 31, 2026 - Biogen — [image: ObservePoint Logo_Gray_ON_YEllow_LOGO.jpeg]  A friendly reminder that it's time to renew.   Hi Paul,   The last day of your current term is *J</t>
  </si>
  <si>
    <t>["PVTI_lAHOBXQWPs4BLZXmzgjPnes"]</t>
  </si>
  <si>
    <t>["19b7a575c63b165c"]</t>
  </si>
  <si>
    <t>adrian.soto@accenture.com
tim.howland@biogen.com
keinersolano.miranda@biogen.com
Accenture uses this account for adobe analytics for them
We should get more people internally (Biogen) to use OP
Reach out to Tim with our current use cases to get a meeting
                setup</t>
  </si>
  <si>
    <t>d3e734e313058fd837bf2d7cb309614d</t>
  </si>
  <si>
    <t>Massachusetts Medical Society</t>
  </si>
  <si>
    <t>2027 - REN - Massachusetts Medical Society</t>
  </si>
  <si>
    <t xml:space="preserve">2026-01-27 (OUT): Re: Custom Audit Scheduler Code Example — Hey Mayank,
 As another followup on this, I just heard about a new feature that we just
 released that might help with this use case.
 We now can 
2026-01-22 (OUT): Custom Audit Scheduler Code Example — Hey Mayank,
 Here is an example to do a custom schedule for running audits using a
 windows task scheduler on a local machine. Let me know what you 
2026-01-01 (OUT): Upcoming ObservePoint Renewal on January 31, 2026 - Massachusetts Medical Societ — [image: ObservePoint Logo_Gray_ON_YEllow_LOGO.jpeg]  A friendly reminder that it's time to renew.   Hi Caryn-Amy,   The last day of your current term </t>
  </si>
  <si>
    <t>["PVTI_lAHOBXQWPs4BLZXmzgkHC3o", "PVTI_lAHOBXQWPs4BLZXmzgkHC3Y"]</t>
  </si>
  <si>
    <t>["19c014c71fd779b5", "19be781abf76ae8c", "19b7a575d864b9ee", "19b711bc14100706", "19b379996c65eec2", "19aba3991c84326c"]</t>
  </si>
  <si>
    <t>["9p5mdeli8r0roecg8pohlvakfh_R20251225T153000@google.com", "68fmm61ldbpc0o9dmi49gd81nl@google.com", "68fmm61ldbpc0o9dmi49gd81nl@google.com", "68fmm61ldbpc0o9dmi49gd81nl@google.com", "68fmm61ldbpc0o9dmi49gd81nl@google.com", "68fmm61ldbpc0o9dmi49gd81nl@google.com", "68fmm61ldbpc0o9dmi49gd81nl@google.com", "68fmm61ldbpc0o9dmi49gd81nl@google.com", "68fmm61ldbpc0o9dmi49gd81nl@google.com", "68fmm61ldbpc0o9dmi49gd81nl@google.com", "68fmm61ldbpc0o9dmi49gd81nl@google.com", "68fmm61ldbpc0o9dmi49gd81nl@google.com", "68fmm61ldbpc0o9dmi49gd81nl@google.com", "68fmm61ldbpc0o9dmi49gd81nl@google.com"]</t>
  </si>
  <si>
    <t>Mayank - QA guy
Karsit - QA as well
Caryn-Amy - Started as a developer, analyst, then got pulled into
                analytics and business analysis  in the Adobe implementation team
They publish the New England Journal of Medicine
They are managing a data layer
Projects for the year:
All access project, buy a single subscription for all the
                journals</t>
  </si>
  <si>
    <t>adb1bf742815684d3efdf22e28980da7</t>
  </si>
  <si>
    <t>Accent Group</t>
  </si>
  <si>
    <t>2027 - REN - Accent Group</t>
  </si>
  <si>
    <t>2026-01-27 (IN): RE: Upcoming ObservePoint Renewal on February 11, 2026 - Accent Group — Nope - we’re all set.
 Speak soon 😊
 Stuart Heggie
 Head of Marketing Technology
 [cid:image001.jpg@01DC903A.AC363990]
 Tel: +61 3 9427 9422 
2026-01-27 (OUT): Re: Upcoming ObservePoint Renewal on February 11, 2026 - Accent Group — Wonderful.  Thank you.
 Is there anything you need from me?
 Todd
 On Tue, Jan 27, 2026 at 3:33 PM Stuart Heggie &lt;Stuart.Heggie@accentgr.com.au&gt;
2026-01-27 (IN): RE: Upcoming ObservePoint Renewal on February 11, 2026 - Accent Group — Hi Todd, contract all signed.
 Thanks, Stu.
 Stuart Heggie
 Head of Marketing Technology
 [cid:image001.jpg@01DC9038.E9B035C0]
 Tel: +61 3 942</t>
  </si>
  <si>
    <t>[OPEN] Send intro email to Stuart and try to schedule first meeting (In progress)</t>
  </si>
  <si>
    <t>2026-01-28: ObservePoint | Accent Group - Sync
Todd and Macey met to discuss a call with Stu, who didn't attend and hasn't responded to John's rescheduling request. Todd is working to close a $130,000 deal with Bank of America before month-end after an 18-month sales cycle, holding brief check-in calls three times per week to push the deal forward. If the deal closes this month, it would help the team hit their ACV goal and impact JD's quota number four position.</t>
  </si>
  <si>
    <t>["PVTI_lAHOBXQWPs4BLZXmzgjPA7s"]</t>
  </si>
  <si>
    <t>["19c01a2beae8c31b", "19c019e7e74d83b6", "19c0196d90c7f94b", "19bfccd855786e79", "19bdd5caa5486fd0", "19bd3507ad3f53f8", "19bc870cc7370770", "19bc86dcec1d6e85", "19bc85c25785220c", "19bb40ca9aacb1a4", "19bb2fd5a2cd8b70", "19b9b06cd0087878", "19b43a0f0228d154", "19b38ac99d9bbc3a", "19b388e04bd1b1c7", "19b340e3b6ba1754", "19b34027ab866255", "19b33f71e8854cb8", "19b33b4e1dd9e328"]</t>
  </si>
  <si>
    <t>["u2h6o9rdn7mb4dnmhu71mp7osi_R20260128T223000@google.com", "f5cnjnugbq9ik2iac58nlaut90@google.com", "f5cnjnugbq9ik2iac58nlaut90@google.com", "f5cnjnugbq9ik2iac58nlaut90@google.com", "f5cnjnugbq9ik2iac58nlaut90@google.com", "f5cnjnugbq9ik2iac58nlaut90@google.com", "f5cnjnugbq9ik2iac58nlaut90@google.com", "f5cnjnugbq9ik2iac58nlaut90@google.com", "f5cnjnugbq9ik2iac58nlaut90@google.com", "f5cnjnugbq9ik2iac58nlaut90@google.com", "f5cnjnugbq9ik2iac58nlaut90@google.com", "f5cnjnugbq9ik2iac58nlaut90@google.com", "f5cnjnugbq9ik2iac58nlaut90@google.com", "f5cnjnugbq9ik2iac58nlaut90@google.com"]</t>
  </si>
  <si>
    <t>["ngmt_01KDW869DG4H1DFY42A46YPE54"]</t>
  </si>
  <si>
    <t>d527fe0d35c0e683f86b6714e12f4ee5</t>
  </si>
  <si>
    <t>2027 - REN - Lumen</t>
  </si>
  <si>
    <t>2026-02-02 (OUT): Out of office Re: Accepted: ObservePoint | Lumen Sync — I am out of the office Monday February 2nd, please reach out to
 support@observepoint.com if
 you have something urgent, otherwise I will get back to 
2026-02-02 (OUT): Out of office Re: Following: Observepoint | Lumen - Sync — I am out of the office Monday February 2nd, please reach out to
 support@observepoint.com if
 you have something urgent, otherwise I will get back to 
2026-02-02 (IN): Following: Observepoint | Lumen - Sync — ----------------------------------------------------------------------
 This communication is the property of Lumen Technologies and may contain confi</t>
  </si>
  <si>
    <t>2026-02-19: Observepoint | Lumen - Sync
John and Arnold discussed upcoming automation projects to validate HTML attributes and data layer elements on newly launched pages using ObservePoint's journey or audit features. Arnold plans to set up automated checks for approximately 10-25 key pages representing different page types, with John recommending he leverage ObservePoint's journey support team for implementation assistance. John also shared product updates about new SEO and page content features launching in Q1 2026, along with plan
---
2026-02-05: Observepoint | Lumen - Sync
John Davis conducted a meeting with the Lumen team to discuss ObservePoint's capabilities and address their implementation needs. The conversation covered automated quality assurance through rules-based monitoring, with Mike Tanedo expressing interest in using ObservePoint to track missed app submissions and conversion data discrepancies. John explained how ObservePoint can automate audits and journeys on customizable schedules, set quality standards with automated alerts, and integrate with too</t>
  </si>
  <si>
    <t>["PVTI_lAHOBXQWPs4BLZXmzgkHC2o", "PVTI_lAHOBXQWPs4BLZXmzgkHC2s", "PVTI_lAHOBXQWPs4BLZXmzgk100Q", "PVTI_lAHOBXQWPs4BLZXmzgk101I", "PVTI_lAHOBXQWPs4BLZXmzglyjaA", "PVTI_lAHOBXQWPs4BLZXmzgk10zw", "PVTI_lAHOBXQWPs4BLZXmzgk6vEk", "PVTI_lAHOBXQWPs4BLZXmzgkGYhU", "PVTI_lAHOBXQWPs4BLZXmzgk103o", "PVTI_lAHOBXQWPs4BLZXmzgk103A", "PVTI_lAHOBXQWPs4BLZXmzgk6vEo", "PVTI_lAHOBXQWPs4BLZXmzgk6vDw", "PVTI_lAHOBXQWPs4BLZXmzgk6vEc"]</t>
  </si>
  <si>
    <t>["19c1ecb085203ada", "19c1ebf3c0b0314c", "19c1ebf3403367bb", "19c0f8a04901fc27", "19c01640daba56a3", "19c015f7812f7ab9", "19bec3bc7abfead6", "19bec37281b659df", "19bec2ddd9572af8", "19be77397adfbd5e", "19be7499043207d2", "19be6e644bfb6836", "19be181c89457228", "19be1645e0270dc3", "19bb80826c97f4ab", "19bb43c2e8fa3324", "19b9ee041a4165a5", "19b702718423c558", "19b700aa6a0fe186", "19b4c19f9e0793cb", "19b4a4479dddb534", "19b481ddf9b8646d", "19b31dd1eeca845b", "19b28156192ebb63", "19b2813a7b03b8ec", "19b0f491227cc3af", "19ae6845612d26bd", "19aba349ba40c0d4"]</t>
  </si>
  <si>
    <t>["7vcrrjggo9trq8cj6durraehab_R20260122T183000@google.com", "7vcrrjggo9trq8cj6durraehab_R20260122T183000@google.com", "ipq4vnps57qiqtno69mpr5dmh8@google.com", "7vcrrjggo9trq8cj6durraehab_R20260122T183000@google.com", "7vcrrjggo9trq8cj6durraehab_R20260108T183000@google.com", "7vcrrjggo9trq8cj6durraehab@google.com",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 "7vcrrjggo9trq8cj6durraehab_R20260122T183000@google.com"]</t>
  </si>
  <si>
    <t>["ngmt_01KG7RJZMDZHNJGA3ARPBT3T7N", "ngmt_01KEFE1FR4ZYKF8AC7ZMCQ1G4G", "ngmt_01KFNSQ7HM07ZJ8MA73VC477DB"]</t>
  </si>
  <si>
    <t>["ngmt_01KG7RJZMDZHNJGA3ARPBT3T7N_0", "ngmt_01KG7RJZMDZHNJGA3ARPBT3T7N_1", "ngmt_01KG7RJZMDZHNJGA3ARPBT3T7N_2", "ngmt_01KG7RJZMDZHNJGA3ARPBT3T7N_3", "ngmt_01KG7RJZMDZHNJGA3ARPBT3T7N_4", "ngmt_01KG7RJZMDZHNJGA3ARPBT3T7N_5", "ngmt_01KEFE1FR4ZYKF8AC7ZMCQ1G4G_0", "ngmt_01KEFE1FR4ZYKF8AC7ZMCQ1G4G_1", "ngmt_01KEFE1FR4ZYKF8AC7ZMCQ1G4G_2", "ngmt_01KEFE1FR4ZYKF8AC7ZMCQ1G4G_3", "ngmt_01KEFE1FR4ZYKF8AC7ZMCQ1G4G_4", "ngmt_01KEFE1FR4ZYKF8AC7ZMCQ1G4G_5", "ngmt_01KFNSQ7HM07ZJ8MA73VC477DB_0"]</t>
  </si>
  <si>
    <t>Make sure we understand where everyone on the call is when it comes
                to OP, how much do they know about it and/or understand it?
They mostly used it for analytics but Macey ran some reports for
                privacy things to show them to see if there are some use cases that they might be missing.
Validated that their team has a huge responsibility, then talks
                about how OP can help.
Agency partners - Deloitte
We can work with them directly
They basically do the professional services that we don’t
                offer
This can bring up issues if we are not aligned with both the partner
                and the customer
Customers call them agencies and we call them partner
Johnny owns most of the partner relationships
Summarizing OP when there are new people, before jumping into some
                specifics
Ask specific questions when diving into the data, there were a bunch of pages
                that were missing adobe analytics tags, mostly apac.lumen.com and
                old blog.lumen.com pages, was that by design? That started a conversation between their team
                members
Carrie asked about using maybe the website content and performance team could
                use OP for page performance and broken links, but Macey did not seem to
                take that opportunity to sell them on that use case, is that because OP is just not going to compete
                with other tools in that space? Or another reason?
Nope that other team would get a lot of use out of OP
Categorizing cookies is a good starting point for something that
                the end users can work on
We need to continue to followup with them on this
Sometimes people that are updating onetrust cookies on their end
                sometimes don’t actually apply it because there is a button to click to finish this and it can be
                missed.
OneTrust typically only sees the tags that are loaded into the tag
                manager, so if there are any tags hard coded in the page, or are not in the tag manager, OneTrust has
                these blind spots where they might not be able to see them
Macey think Nic should go visit Kerry from Lumen in NYC in
                Jan
Kerry -
Neil - Has used OP for a while at another company
Arnold -
Kathy - AEM subject matter expert
Wants to automate when lumen launches a new landing page and then
                test it
Sitemap dates?
lumen.com/robots.txt -&gt;
            https://www.lumen.com/sitemap-index.xml -&gt;
            https://www.lumen.com/en-us/sitemap.xml
Those pages should be listed here, maybe do some logic to figure out which are
                new and then run an audit
You could just use the sitemap url as the starting url
https://docs.google.com/spreadsheets/d/1DSpRRtTYQD7diwL-JchVUZLt6FBV8tVdcGw2mx8nxjU/edit?gid=1071708912#gid=1071708912
Wants to test in lower environments
Depends on whether the blocking is through whitelisting, passwords
                or need a vpn
Merkle is a 3rd party that might need access
Kathy - Manages the website
Edward - Front end dev
Devon - Web experience manager, interested in accessibility
Tessa - Performance
Very manual process with lighthouse looking at accessibility</t>
  </si>
  <si>
    <t>a2f1aad73aaf31024146c9e297883f7a</t>
  </si>
  <si>
    <t>Export Development Canada</t>
  </si>
  <si>
    <t>2027 - REN - Export Development Canada</t>
  </si>
  <si>
    <t>2026-01-20 (OUT): Re: [External] Re: Set up Observepoint audit scan to identify broken external li — Actually I got confused here about the renewal. I apologize for that, your
 renewal isn't until March 2027, so please disregard that!
 *Regards, *
2026-01-20 (IN): RE: [External] Re: Set up Observepoint audit scan to identify broken external li — Hi John,
 Thank you for sharing the step-by-step guide, it’s quite helpful!
 Looping in @Adamson, Peter&lt;mailto:padamson@edc.ca&gt; from EDC who would
2026-01-20 (OUT): Re: [External] Re: Set up Observepoint audit scan to identify broken external li — Hey Dinika,
 Yes you are correct, that is the correct audit that is going to be used to
 check the external links.
 So there are 4 things that thi</t>
  </si>
  <si>
    <t>["PVTI_lAHOBXQWPs4BLZXmzgjPM5Q"]</t>
  </si>
  <si>
    <t>["19bdd4a9f827c572", "19bdd3fbe0e35a4a", "19bdc700cb07eabe", "19bdbdb4b4515d02", "19bbcfe783ecd0a8", "19b955f843e0a23f", "19b41f7a7ccdae8c", "19b38369959321cf", "19b324ce3b786657", "19b321a268b767b4", "19b320fb51577a94", "19b31f999bc8be85", "19b23cbf9e02b179", "19b2362f87c8c65c", "19b236256b4d1afa", "19b0e36f1f1beefb", "19b0e368c7d54ba7", "19b0e34ad27981be", "19b0e32466648a1f", "19b0de53d86f266b"]</t>
  </si>
  <si>
    <t>["f40hj8t4t84bgp14e712j3l5ds@google.com", "h9m86au7bo5r715811akv05618@google.com"]</t>
  </si>
  <si>
    <t>ff70573ae2eb57b22841e6df176af30b</t>
  </si>
  <si>
    <t>2027 - REN - Agilent</t>
  </si>
  <si>
    <t xml:space="preserve">2026-01-30 (OUT): Upcoming ObservePoint Renewal on April 30, 2026 - Agilent — [image: ObservePoint Logo_Gray_ON_YEllow_LOGO.jpeg]  A friendly reminder that it's time to renew.   Hi Venkata,   Thank you for being an ObservePoint 
2026-01-30 (OUT): Re: Engagement-Homepage — Sounds great, see you next week!
 *Regards, *
 John Davis *   |    * *Customer Success Manager*
 Cell: 801.633.6013
 john.davis@observepoint.com
2026-01-29 (IN): RE: Engagement-Homepage — Hi John,
 Thank you for the update. I scheduled a call for Tuesday at 10AM Mountain Time.
 In the meantime, I shall try to review the steps I wrote </t>
  </si>
  <si>
    <t>[OPEN] Rerun consent audit after whitelisting complete (In progress)
[OPEN] Build example web journey from Raghu's requirements (In progress)
[OPEN] Reformat journey documentation for ObservePoint support team (Blocked)
[OPEN] Create script to automate audit creation (Blocked)</t>
  </si>
  <si>
    <t>2026-02-03: ObservePoint | Agilent Sync
John Davis and Raj discussed progress on setting up ObservePoint journeys to validate Adobe Analytics implementation, focusing on the engagement homepage journey with steps to verify data layer variables and component IDs. They identified that custom tags won't impact site performance since they run after page load, discovered the Adobe data layer was already accessible (eliminating the need for custom tags), and determined that ObservePoint's browser captures the entire page without scrolling s
---
2026-01-28: ObservePoint | Agilent - Sync
John Davis and Raghu discussed implementing ObservePoint audits and web journeys to validate e-commerce flows, engagement tracking, and data quality across multiple regions. They agreed to start with a proof-of-concept approach, with John creating a scripted solution to automate audit setup and building an initial journey example that can be replicated across different scenarios. John will transform Raghu's existing test steps into ObservePoint-compatible formats and explore new features like Gi</t>
  </si>
  <si>
    <t>["PVTI_lAHOBXQWPs4BLZXmzgkHCzw", "PVTI_lAHOBXQWPs4BLZXmzgkbH3o", "PVTI_lAHOBXQWPs4BLZXmzgkHC0g", "PVTI_lAHOBXQWPs4BLZXmzgkbH4U", "PVTI_lAHOBXQWPs4BLZXmzgjPujQ", "PVTI_lAHOBXQWPs4BLZXmzgjuj_Y", "PVTI_lAHOBXQWPs4BLZXmzgkbH4o", "PVTI_lAHOBXQWPs4BLZXmzgkbH5E", "PVTI_lAHOBXQWPs4BLZXmzgkw3j4"]</t>
  </si>
  <si>
    <t>["19c0fafe00e36724", "19c0f6b0cf261357", "19c0b149843336bf", "19c0ace810dc9c18", "19c0836d6df0f37a", "19c05ca8a4ecb59f", "19c01796706885c9", "19c017578c9eee73", "19c015ba7c8e39e4", "19c014a916968573", "19c011a0ad835c8b", "19be82e55bb821c7", "19be8245381fb46c", "19bc83ce5cf3f6fe", "19bc8316f26458b9", "19bb7fffd339c0d0", "19b471fb2eb09fad", "19b38ac51364226a", "19aba3091277b66d"]</t>
  </si>
  <si>
    <t>["b7ov3mvhv65crhajuigb2gijps@google.com", "7uk2udsdcu4tu728l981dr0rho_R20260105T210000@google.com", "nf6gjq200j2druilrvu3gp5lj4@google.com", "7uk2udsdcu4tu728l981dr0rho_R20260105T210000@google.com", "7uk2udsdcu4tu728l981dr0rho@google.com", "7uk2udsdcu4tu728l981dr0rho@google.com", "7uk2udsdcu4tu728l981dr0rho@google.com", "7uk2udsdcu4tu728l981dr0rho@google.com", "7uk2udsdcu4tu728l981dr0rho@google.com", "7uk2udsdcu4tu728l981dr0rho@google.com", "7uk2udsdcu4tu728l981dr0rho@google.com", "7uk2udsdcu4tu728l981dr0rho@google.com", "7uk2udsdcu4tu728l981dr0rho@google.com", "27vnh0k5na7qlbpq1slvdsjnbc@google.com",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 "7uk2udsdcu4tu728l981dr0rho_R20260302T210000@google.com"]</t>
  </si>
  <si>
    <t>["ngmt_01KFM0VY51YQRV6HA8HFJ37MEH", "ngmt_01KG5H6T8HYARVT3A9CRTT3S4H"]</t>
  </si>
  <si>
    <t>["ngmt_01KFM0VY51YQRV6HA8HFJ37MEH_0", "ngmt_01KFM0VY51YQRV6HA8HFJ37MEH_1", "ngmt_01KFM0VY51YQRV6HA8HFJ37MEH_2", "ngmt_01KFM0VY51YQRV6HA8HFJ37MEH_3", "ngmt_01KFM0VY51YQRV6HA8HFJ37MEH_4", "ngmt_01KFM0VY51YQRV6HA8HFJ37MEH_5", "ngmt_01KG5H6T8HYARVT3A9CRTT3S4H_0", "ngmt_01KG5H6T8HYARVT3A9CRTT3S4H_1", "ngmt_01KG5H6T8HYARVT3A9CRTT3S4H_2", "ngmt_01KG5H6T8HYARVT3A9CRTT3S4H_3"]</t>
  </si>
  <si>
    <t>Success
                    Criteria
Ragu - just had a baby
Sirius Project, completely transforming their website, just released
                the first prod project around Dec 13th
They have had lower environment issues, but they are apparently past
                this and are ready to get things going
Migrating from Google to Adobe
Shared doc with documentations for journeys
Upsell if they want to expand journeys
Built a ton of audits, but never really scheduled because of the
                switch from Google to Adobe
May have privacy use cases?
Wants us to do a presentation in Jan
This is where ObservePoint can help
Is consent working?
Journeys to test
Help with understanding the tag leads and opportunities
Cookie management
Web journeys - should start with prod, then go into lower
                environments
https://app.observepoint.com/web-journey/574576/run/66650656/results?action=1&amp;tab=0
Most of the variables I am checking in the rules are just
                checking if they are set for now, hence why a lot of the rules are failing. It seems like some of the
                things in your steps that we need to check are either only accessible in the console using js, and so I
                built a custom tag to find and store these so that we can set rules against them, or I can't find
                them anywhere in your current tags.</t>
  </si>
  <si>
    <t>8514a0d8a4b1607e7b090ea157994c28</t>
  </si>
  <si>
    <t>Athenahealth</t>
  </si>
  <si>
    <t>2027 - REN - Athenahealth</t>
  </si>
  <si>
    <t>2025-12-02 (OUT): Re: ObservePoint CSM Introduction — Thank you for the introduction, Chris.
 It's great to meet you all. I'm taking over as your Customer Success
 Manager and am here to make this trans
2025-12-01 (OUT): ObservePoint CSM Introduction — Hi all,
 As promised, I wanted to make a formal introduction to your Customer
 Success Manager, John Davis, as we have concluded onboarding. I've ad
2025-11-25 (OUT): Invitation: ObservePoint &amp; Athena Health || Business Review &amp; CSM Han... @ Tue N — ObservePoint &amp; Athena Health || Business Review &amp; CSM Handoff
 Tuesday Nov 25, 2025 ⋅ 9am – 9:50am
 Mountain Time - Denver
 Location
 https://observ</t>
  </si>
  <si>
    <t>[OPEN] Athena Health - Look into some custom code that was setup as the pre-audit action that is not workin (Ready)</t>
  </si>
  <si>
    <t>["PVTI_lAHOBXQWPs4BLZXmzgjPEnA"]</t>
  </si>
  <si>
    <t>["19ae150485371dbc", "19adb0ddd4bdb654", "19abbba06dc66096"]</t>
  </si>
  <si>
    <t>["fn8d7jjpfj23avnd76o8isv4kk@google.com"]</t>
  </si>
  <si>
    <t>a792619810fccb95e53dbea77ffb72f1</t>
  </si>
  <si>
    <t>Mediacorp Pte Ltd</t>
  </si>
  <si>
    <t>2027 - REN - Mediacorp Pte Ltd</t>
  </si>
  <si>
    <t>1b3918123a5d33adc6a88cb28776b57e</t>
  </si>
  <si>
    <t>JM Family Enterprises</t>
  </si>
  <si>
    <t>2027 - REN - JM Family Enterprises</t>
  </si>
  <si>
    <t xml:space="preserve">2026-01-27 (OUT): Reschedule Next Sync — Hey SE Toyota Team,
 I have a conflict for our sync up on Monday Feb 2nd unfortunately, can we
 find another time to meet that works later in the we
2026-01-15 (IN): Our meeting in an hour — Hi,  Looking forward to speaking to you in a short while.  Best,
2026-01-12 (IN): Accepted: ObservePoint | SE Toyota - Sync — This e-mail transmission contains information intended only for the use of the recipient(s) named above. Further, it contains information that may be </t>
  </si>
  <si>
    <t>2026-02-03: ObservePoint | JM Family Enterprises Sync
John Davis introduced himself as the new CSM taking over from Macy and met with the ObservePoint team at Toyota, including Kendall Papera and their implementation partners at Twenty Two Squared (Robin, Jared, and Jack). The team discussed their current use of ObservePoint for regression testing, link validation across 177 dealer websites, and tagging QA through journeys and audits. Key upcoming projects include building cross-series inventory filtering with new data layer attributes and potentia</t>
  </si>
  <si>
    <t>["19c013abdfa35eba", "19bc299944a53403", "19bb38aaf6c770fb", "19bb35c2686ad289", "19bb31cede676844", "19bb31bfcdeefaff", "19b99e1fa36d8f0f"]</t>
  </si>
  <si>
    <t>["hh36taf82209611hru9o1540gg@google.com", "18ok8sj3modsb4rgi6rmla8qj0@google.com", "1ulu353n372filfsdcif2a5mlc_R20241104T203000@google.com", "1ulu353n372filfsdcif2a5mlc_R20241104T203000@google.com", "1ulu353n372filfsdcif2a5mlc_R20241104T203000@google.com", "1ulu353n372filfsdcif2a5mlc_R20260202T203000@google.com", "1ulu353n372filfsdcif2a5mlc_R20260202T203000@google.com", "1ulu353n372filfsdcif2a5mlc_R20260202T203000@google.com", "1ulu353n372filfsdcif2a5mlc_R20260202T203000@google.com"]</t>
  </si>
  <si>
    <t>["ngmt_01KG3ANAC2G8DAYYXAM9WRB33V"]</t>
  </si>
  <si>
    <t>["ngmt_01KG3ANAC2G8DAYYXAM9WRB33V_0", "ngmt_01KG3ANAC2G8DAYYXAM9WRB33V_1"]</t>
  </si>
  <si>
    <t>fc57ae8884bc56de8b6d5727ecd2ebe3</t>
  </si>
  <si>
    <t>Id</t>
  </si>
  <si>
    <t>Name</t>
  </si>
  <si>
    <t>0060W00000vXhBUQA0</t>
  </si>
  <si>
    <t>2017 Renewal/Upsell - CVS</t>
  </si>
  <si>
    <t>0060W00000wyHW4QAM</t>
  </si>
  <si>
    <t>2018 Renewal - Southwest Airlines</t>
  </si>
  <si>
    <t>0060W00000y6gNrQAI</t>
  </si>
  <si>
    <t>2019-REN-Southwest - Script Maintenance</t>
  </si>
  <si>
    <t>0060W00000y6I0yQAE</t>
  </si>
  <si>
    <t>2020 Renewal - Adobe Business Intelligence project</t>
  </si>
  <si>
    <t>0060W00000zNhTiQAK</t>
  </si>
  <si>
    <t>2019 Renewal - ProSiebenSat.1 Media AG</t>
  </si>
  <si>
    <t>0060W00000zOxHaQAK</t>
  </si>
  <si>
    <t>2019 Renewal - Southwest Airlines</t>
  </si>
  <si>
    <t>0060W000010qCcdQAE</t>
  </si>
  <si>
    <t>2020 Renewal - Tesco Bank</t>
  </si>
  <si>
    <t>0060W0000121iiKQAQ</t>
  </si>
  <si>
    <t>2020 Renewal - Southwest Airlines</t>
  </si>
  <si>
    <t>0060W0000121JtZQAU</t>
  </si>
  <si>
    <t>2020-REN-ProSiebenSat.1 Media AG</t>
  </si>
  <si>
    <t>0060W000012KhuoQAC</t>
  </si>
  <si>
    <t>2021 Renewal - Adobe Business Intelligence project</t>
  </si>
  <si>
    <t>0060W000012L1XwQAK</t>
  </si>
  <si>
    <t>2021-REN-Tesco Bank</t>
  </si>
  <si>
    <t>0060W000012tGTrQAM</t>
  </si>
  <si>
    <t>2020-REN-International Cruise (I.C.E.) -- STR</t>
  </si>
  <si>
    <t>0060W00001371hDQAQ</t>
  </si>
  <si>
    <t>2020-REN-WorldPay US/UK - STR</t>
  </si>
  <si>
    <t>0060W000014cr2CQAQ</t>
  </si>
  <si>
    <t>2021 - REN - Southwest Airlines</t>
  </si>
  <si>
    <t>0060W000015ObrYQAS</t>
  </si>
  <si>
    <t>2021-REN-Macy's</t>
  </si>
  <si>
    <t>0066T00001698jUQAQ</t>
  </si>
  <si>
    <t>2022-REN-Tesco Bank</t>
  </si>
  <si>
    <t>0066T000016lAc4QAE</t>
  </si>
  <si>
    <t>2022-REN-Macy's</t>
  </si>
  <si>
    <t>0066T000016lLtRQAU</t>
  </si>
  <si>
    <t>2022 - REN - Southwest Airlines</t>
  </si>
  <si>
    <t>0066T000017wWfsQAE</t>
  </si>
  <si>
    <t>2024 - REN - Schroders</t>
  </si>
  <si>
    <t>0066T000017WXADQA4</t>
  </si>
  <si>
    <t>2024-REN-Tesco Bank</t>
  </si>
  <si>
    <t>0066T000018F2NwQAK</t>
  </si>
  <si>
    <t>2023 - REN - Tyson Foods</t>
  </si>
  <si>
    <t>0066T000018yb79QAA</t>
  </si>
  <si>
    <t>2023 - REN - Rodan + Fields</t>
  </si>
  <si>
    <t>0066T00001ACuiDQAT</t>
  </si>
  <si>
    <t>2023 - REN - ABN AMRO Bank</t>
  </si>
  <si>
    <t>0066T00001DZI5JQAX</t>
  </si>
  <si>
    <t>2026 - REN - Blue Cross &amp; Blue Shield of North Carolina</t>
  </si>
  <si>
    <t>006d000000b3dgsAAA</t>
  </si>
  <si>
    <t>2015 Renewal - Beachbody</t>
  </si>
  <si>
    <t>006d000000dwLyeAAE</t>
  </si>
  <si>
    <t>2015 #2 Renewal - Beachbody</t>
  </si>
  <si>
    <t>006d000000e5DpPAAU</t>
  </si>
  <si>
    <t>2014 Renewal - iCrossing</t>
  </si>
  <si>
    <t>006d000000e5YgmAAE</t>
  </si>
  <si>
    <t>2016 Renewal - W. Atlee Burpee Company</t>
  </si>
  <si>
    <t>006d000000howHqAAI</t>
  </si>
  <si>
    <t>2016 Renewal - Viator</t>
  </si>
  <si>
    <t>006d000000hp0taAAA</t>
  </si>
  <si>
    <t>2016 Renewal - Las Vegas Sands</t>
  </si>
  <si>
    <t>006d000000hpAs3AAE</t>
  </si>
  <si>
    <t>2016 Renewal - ATG Stores</t>
  </si>
  <si>
    <t>006d000000hpcTKAAY</t>
  </si>
  <si>
    <t>2016 Renewal - The Church of Jesus Christ of Latter-Day Saints</t>
  </si>
  <si>
    <t>006d000000hpDm3AAE</t>
  </si>
  <si>
    <t>2016 Renewal - Stage Stores</t>
  </si>
  <si>
    <t>006d000000hsb4eAAA</t>
  </si>
  <si>
    <t>2016 Renewal - Capella</t>
  </si>
  <si>
    <t>006d000000hylQ8AAI</t>
  </si>
  <si>
    <t>2016 Renewal - Dave Ramsey</t>
  </si>
  <si>
    <t>006d000000hzTvPAAU</t>
  </si>
  <si>
    <t>2016 Renewal - Beachbody</t>
  </si>
  <si>
    <t>006d000000ltUOkAAM</t>
  </si>
  <si>
    <t>2017 Renewal - Viator</t>
  </si>
  <si>
    <t>006d000000mhMstAAE</t>
  </si>
  <si>
    <t>2017 Renewal - ATG Stores</t>
  </si>
  <si>
    <t>006d000000moiwxAAA</t>
  </si>
  <si>
    <t>2017 Renewal - Stage Stores</t>
  </si>
  <si>
    <t>006d000000oEQ8UAAW</t>
  </si>
  <si>
    <t>2017 Renewal - Hello Bank</t>
  </si>
  <si>
    <t>006d000000pdlepAAA</t>
  </si>
  <si>
    <t>2017 Renewal - The Church of Jesus Christ of Latter-Day Saints</t>
  </si>
  <si>
    <t>006d000000ph76iAAA</t>
  </si>
  <si>
    <t>2017 Renewal - Ubisoft NCSA</t>
  </si>
  <si>
    <t>006d000000Sra8aAAB</t>
  </si>
  <si>
    <t>2015 Renewal - Stage Stores</t>
  </si>
  <si>
    <t>006d000000Sra8PAAR</t>
  </si>
  <si>
    <t>2015 Renewal - Las Vegas Sands</t>
  </si>
  <si>
    <t>006d000000VQaTKAA1</t>
  </si>
  <si>
    <t>2014 Renewal - Dave Ramsey</t>
  </si>
  <si>
    <t>006d000000YAUfLAAX</t>
  </si>
  <si>
    <t>2015 Renewal - Hibu</t>
  </si>
  <si>
    <t>006d000000YB39DAAT</t>
  </si>
  <si>
    <t>2015 Renewal - Manheim</t>
  </si>
  <si>
    <t>006d000000Yd5mnAAB</t>
  </si>
  <si>
    <t>2015 Renewal - Dave Ramsey</t>
  </si>
  <si>
    <t>006d000000ZOI93AAH</t>
  </si>
  <si>
    <t>2015 Renewal - Capella</t>
  </si>
  <si>
    <t>006d000000ZWbScAAL</t>
  </si>
  <si>
    <t>2014 Renewal - Beachbody</t>
  </si>
  <si>
    <t>006VH000002GZtVYAW</t>
  </si>
  <si>
    <t>2026 - REN - Deutsche Bahn</t>
  </si>
  <si>
    <t>006VH000003sUKLYA2</t>
  </si>
  <si>
    <t>2026 - REN - Vodafone Group</t>
  </si>
  <si>
    <t>006VH000003XVmoYAG</t>
  </si>
  <si>
    <t>2027 - REN - Qualcomm</t>
  </si>
  <si>
    <t>006VH000004sghaYAA</t>
  </si>
  <si>
    <t>006VH000005rrCzYAI</t>
  </si>
  <si>
    <t>2027 - REN - The Hartford</t>
  </si>
  <si>
    <t>006VH00000Dk02LYAR</t>
  </si>
  <si>
    <t>2027 - REN - PNC</t>
  </si>
  <si>
    <t>006VH00000EyE4rYAF</t>
  </si>
  <si>
    <t>2026 - REN - Hugo Boss</t>
  </si>
  <si>
    <t>006VH00000FU8SXYA1</t>
  </si>
  <si>
    <t>2027 - REN - Stanford Health Care</t>
  </si>
  <si>
    <t>006VH00000GXJU5YAP</t>
  </si>
  <si>
    <t>2026 - REN - Penumbra</t>
  </si>
  <si>
    <t>006VH00000I02p3YAB</t>
  </si>
  <si>
    <t>2027 - REN - CIBC</t>
  </si>
  <si>
    <t>006VH00000ILKXfYAP</t>
  </si>
  <si>
    <t>2027 - REN - Texas Instruments</t>
  </si>
  <si>
    <t>006VH00000LQ8E1YAL</t>
  </si>
  <si>
    <t>2026 - REN - Hard Rock Cafe</t>
  </si>
  <si>
    <t>006VH00000LXpSiYAL</t>
  </si>
  <si>
    <t>2027 - REN - Discovery Ltd</t>
  </si>
  <si>
    <t>006VH00000LYAqTYAX</t>
  </si>
  <si>
    <t>2026 - REN - Bwin</t>
  </si>
  <si>
    <t>006VH00000Nvv17YAB</t>
  </si>
  <si>
    <t>2027 - REN - Mattress Firm</t>
  </si>
  <si>
    <t>006VH00000QrCgoYAF</t>
  </si>
  <si>
    <t>2025 - REN - Klick (Apellis)</t>
  </si>
  <si>
    <t>0066T000016nRZdQAM</t>
  </si>
  <si>
    <t>2022-REN-PepsiCo</t>
  </si>
  <si>
    <t>0060W00000zP6y4QAC</t>
  </si>
  <si>
    <t>2019 Renewal - Ebiquity OBO Levi Strauss</t>
  </si>
  <si>
    <t>0060W0000121FsSQAU</t>
  </si>
  <si>
    <t>2021 Renewal - M&amp;T Bank</t>
  </si>
  <si>
    <t>0066T000017WAqvQAG</t>
  </si>
  <si>
    <t>2023-REN-BRP - Web</t>
  </si>
  <si>
    <t>0060W000015PUoeQAG</t>
  </si>
  <si>
    <t>2022-REN-BRP - Web</t>
  </si>
  <si>
    <t>006d000000tuqP6AAI</t>
  </si>
  <si>
    <t>2017 Renewal - Swisscom &amp; Webalyse</t>
  </si>
  <si>
    <t>006d000000i1bmNAAQ</t>
  </si>
  <si>
    <t>2016 Renewal - Swisscom &amp; Webalyse</t>
  </si>
  <si>
    <t>0060W00000y837CQAQ</t>
  </si>
  <si>
    <t>2018 Renewal part 2 -VW</t>
  </si>
  <si>
    <t>0066T000016llwLQAQ</t>
  </si>
  <si>
    <t>2022-REN-ABN AMRO</t>
  </si>
  <si>
    <t>0060W000014mZBcQAM</t>
  </si>
  <si>
    <t>2021-REN-ABN AMRO</t>
  </si>
  <si>
    <t>0060W0000122eRuQAI</t>
  </si>
  <si>
    <t>2020 Renewal - ABN AMRO</t>
  </si>
  <si>
    <t>0060W00000zP6lAQAS</t>
  </si>
  <si>
    <t>2019 Renewal - ABN AMRO</t>
  </si>
  <si>
    <t>0060W000014oMcwQAE</t>
  </si>
  <si>
    <t>2021-REN-OpenBank</t>
  </si>
  <si>
    <t>0060W000011SfPWQA0</t>
  </si>
  <si>
    <t>2020 Renewal - OpenBank</t>
  </si>
  <si>
    <t>0060W000014b5JlQAI</t>
  </si>
  <si>
    <t>2022 - REN - Reynolds American</t>
  </si>
  <si>
    <t>006VH000003UGGvYAO</t>
  </si>
  <si>
    <t>2025 - REN - DMPG OBO Virgin Australia Airlines</t>
  </si>
  <si>
    <t>0066T000016mG0sQAE</t>
  </si>
  <si>
    <t>2023 - REN - DMPG OBO Virgin Australia Airlines</t>
  </si>
  <si>
    <t>0066T000016kHcmQAE</t>
  </si>
  <si>
    <t>2023-REN-Goldman Sachs</t>
  </si>
  <si>
    <t>0060W0000121P37QAE</t>
  </si>
  <si>
    <t>2021-REN-Goldman Sachs</t>
  </si>
  <si>
    <t>0060W000010O5xZQAS</t>
  </si>
  <si>
    <t>2020 Renewal - DoublePositive</t>
  </si>
  <si>
    <t>0066T000016H13zQAC</t>
  </si>
  <si>
    <t>2021-REN-United States Agency for Global Media</t>
  </si>
  <si>
    <t>0066T000015r99sQAA</t>
  </si>
  <si>
    <t>2022-REN-United States Agency for Global Media</t>
  </si>
  <si>
    <t>0060W000011VatTQAS</t>
  </si>
  <si>
    <t>2020-REN-United States Agency for Global Media</t>
  </si>
  <si>
    <t>006VH00000UfSC8YAN</t>
  </si>
  <si>
    <t>2026 - REN - JVCKENWOOD</t>
  </si>
  <si>
    <t>006VH000007EurBYAS</t>
  </si>
  <si>
    <t>2025 - REN - Recruit</t>
  </si>
  <si>
    <t>006VH000005JWFpYAO</t>
  </si>
  <si>
    <t>2025 - REN - Exture OBO JVCKENWOOD</t>
  </si>
  <si>
    <t>0060W00000y4k8tQAA</t>
  </si>
  <si>
    <t>2019 Renewal - Ford MEA</t>
  </si>
  <si>
    <t>0060W000015PkXFQA0</t>
  </si>
  <si>
    <t>2022-REN-GTB OBO Ford MEA</t>
  </si>
  <si>
    <t>0060W000010RTsFQAW</t>
  </si>
  <si>
    <t>2020 Renewal - Ford MEA</t>
  </si>
  <si>
    <t>0060W00000y88pOQAQ</t>
  </si>
  <si>
    <t>2019 Renewal - Smuckers Company</t>
  </si>
  <si>
    <t>006d000000uGcwYAAS</t>
  </si>
  <si>
    <t>2018 Renewal - Healthgrades</t>
  </si>
  <si>
    <t>0060W000010PbWHQA0</t>
  </si>
  <si>
    <t>2022 Renewal - Equifax</t>
  </si>
  <si>
    <t>006d000000k7MfOAAU</t>
  </si>
  <si>
    <t>2019 Renewal - Equifax</t>
  </si>
  <si>
    <t>0066T000016lLpjQAE</t>
  </si>
  <si>
    <t>2022-REN-MYOB</t>
  </si>
  <si>
    <t>0060W000014oPNbQAM</t>
  </si>
  <si>
    <t>2021-REN-MYOB</t>
  </si>
  <si>
    <t>0060W000011WDugQAG</t>
  </si>
  <si>
    <t>2020-REN-MYOB</t>
  </si>
  <si>
    <t>0066T0000168CKlQAM</t>
  </si>
  <si>
    <t>2022-REN-Adobe - Federal</t>
  </si>
  <si>
    <t>0060W000010wkmPQAQ</t>
  </si>
  <si>
    <t>2021 Renewal - Adobe - Federal</t>
  </si>
  <si>
    <t>0060W000010R618QAC</t>
  </si>
  <si>
    <t>2020 Renewal - The Children's Place - March 2019</t>
  </si>
  <si>
    <t>0066T000015q2eBQAQ</t>
  </si>
  <si>
    <t>2023-REN-Eurostar</t>
  </si>
  <si>
    <t>0060W000010pp2ZQAQ</t>
  </si>
  <si>
    <t>2021 - REN - Eurostar</t>
  </si>
  <si>
    <t>0066T00001ADVSjQAP</t>
  </si>
  <si>
    <t>2023 - REN - AbbVie</t>
  </si>
  <si>
    <t>0066T000016kOczQAE</t>
  </si>
  <si>
    <t>2022 - REN - AbbVie</t>
  </si>
  <si>
    <t>0060W000014nQxRQAU</t>
  </si>
  <si>
    <t>2021 - REN - AbbVie</t>
  </si>
  <si>
    <t>0060W00001243lZQAQ</t>
  </si>
  <si>
    <t>2020-REN-AbbVie</t>
  </si>
  <si>
    <t>0060W000011SiBfQAK</t>
  </si>
  <si>
    <t>2020 Renewal - Kroger</t>
  </si>
  <si>
    <t>006d000000upBZcAAM</t>
  </si>
  <si>
    <t>2019 Renewal - Overstock</t>
  </si>
  <si>
    <t>0060W0000121JbVQAU</t>
  </si>
  <si>
    <t>2020-REN-Cdiscount</t>
  </si>
  <si>
    <t>0060W000014daDEQAY</t>
  </si>
  <si>
    <t>2021-REN-Sirius XM</t>
  </si>
  <si>
    <t>0060W0000122lhKQAQ</t>
  </si>
  <si>
    <t>2020-REN-Sirius XM</t>
  </si>
  <si>
    <t>0060W000011Sf3GQAS</t>
  </si>
  <si>
    <t>2021 Renewal LPL Financial</t>
  </si>
  <si>
    <t>0060W00000y86tVQAQ</t>
  </si>
  <si>
    <t>2021 Renewal - Comparethemarket</t>
  </si>
  <si>
    <t>0066T000015opKCQAY</t>
  </si>
  <si>
    <t>2023 - REN - Comparethemarket</t>
  </si>
  <si>
    <t>0060W000011pq6TQAQ</t>
  </si>
  <si>
    <t>2021-REN-Annalect Tag Governance Project</t>
  </si>
  <si>
    <t>0060W000010wkroQAA</t>
  </si>
  <si>
    <t>2020 Renewal - Amgen</t>
  </si>
  <si>
    <t>0060W00000y5cfGQAQ</t>
  </si>
  <si>
    <t>2019 Renewal - HCA Healthcare</t>
  </si>
  <si>
    <t>0060W00000y51dLQAQ</t>
  </si>
  <si>
    <t>2019 Renewal - Hyundai-Innocean USA</t>
  </si>
  <si>
    <t>0066T000017WbGoQAK</t>
  </si>
  <si>
    <t>2023 - REN - Innocean OBO Kia Motors</t>
  </si>
  <si>
    <t>0066T000015RpD0QAK</t>
  </si>
  <si>
    <t>2022 - REN - Wehkamp - LiveConnect</t>
  </si>
  <si>
    <t>0060W000010ySORQA2</t>
  </si>
  <si>
    <t>2020 Renewal - USAA</t>
  </si>
  <si>
    <t>0066T00001C9MIwQAN</t>
  </si>
  <si>
    <t>2024 - REN - Choice Hotels</t>
  </si>
  <si>
    <t>0066T000015o7d9QAA</t>
  </si>
  <si>
    <t>2022-REN-CDK Global</t>
  </si>
  <si>
    <t>0060W000011UOjnQAG</t>
  </si>
  <si>
    <t>2021-REN-CDK Global</t>
  </si>
  <si>
    <t>0060W000010yU22QAE</t>
  </si>
  <si>
    <t>2021 Renewal - Adobe - Target project</t>
  </si>
  <si>
    <t>006VH00000X6lpFYAR</t>
  </si>
  <si>
    <t>2027 - REN - Kohler</t>
  </si>
  <si>
    <t>0060W000010yBOVQA2</t>
  </si>
  <si>
    <t>2021 Renewal - Univ. of Phoenix</t>
  </si>
  <si>
    <t>0060W000010wrncQAA</t>
  </si>
  <si>
    <t>2021 Renewal - Aetna</t>
  </si>
  <si>
    <t>0060W000010pofqQAA</t>
  </si>
  <si>
    <t>2020 Renewal - Warner Bros.</t>
  </si>
  <si>
    <t>0060W000013lL0sQAE</t>
  </si>
  <si>
    <t>2021-REN-WarnerMedia</t>
  </si>
  <si>
    <t>0066T00001CM73BQAT</t>
  </si>
  <si>
    <t>2024 - REN - 3 Day Blinds</t>
  </si>
  <si>
    <t>0066T000018E7KAQA0</t>
  </si>
  <si>
    <t>2023 - REN - 3 Day Blinds</t>
  </si>
  <si>
    <t>0066T000016GrY8QAK</t>
  </si>
  <si>
    <t>2022-REN-3 Day Blinds</t>
  </si>
  <si>
    <t>0060W000012YFyCQAW</t>
  </si>
  <si>
    <t>2021-REN-3 Day Blinds</t>
  </si>
  <si>
    <t>0060W000010yBSrQAM</t>
  </si>
  <si>
    <t>2020-REN-3 Day Blinds</t>
  </si>
  <si>
    <t>0060W000012T0cqQAC</t>
  </si>
  <si>
    <t>2021-REN-Hermes International</t>
  </si>
  <si>
    <t>0060W000010voctQAA</t>
  </si>
  <si>
    <t>2020 Renewal - Hermes International</t>
  </si>
  <si>
    <t>0066T000018zmqTQAQ</t>
  </si>
  <si>
    <t>2023 - REN - The Co-operators</t>
  </si>
  <si>
    <t>0060W000010q9mkQAA</t>
  </si>
  <si>
    <t>2020 Renewal - Visible &amp; Upsell</t>
  </si>
  <si>
    <t>0066T000015QZFWQA4</t>
  </si>
  <si>
    <t>2022-REN-Publix</t>
  </si>
  <si>
    <t>0060W000013IU9eQAG</t>
  </si>
  <si>
    <t>2021-REN-Publix</t>
  </si>
  <si>
    <t>0060W0000123PurQAE</t>
  </si>
  <si>
    <t>2022-REN-Talpa Network</t>
  </si>
  <si>
    <t>0066T000016jsCQQAY</t>
  </si>
  <si>
    <t>2022-REN-Immobilien Scout</t>
  </si>
  <si>
    <t>0060W000013su7NQAQ</t>
  </si>
  <si>
    <t>2021-REN-AutoScout24 - Germany</t>
  </si>
  <si>
    <t>0060W0000121paPQAQ</t>
  </si>
  <si>
    <t>2020-REN-AutoScout24 - Germany</t>
  </si>
  <si>
    <t>006VH000001Is1QYAS</t>
  </si>
  <si>
    <t>2024 - REN - K. Hovnanian</t>
  </si>
  <si>
    <t>0066T000017WWrfQAG</t>
  </si>
  <si>
    <t>2023-REN-Citadel Federal Credit Union</t>
  </si>
  <si>
    <t>0066T00001BB9GSQA1</t>
  </si>
  <si>
    <t>2024 - REN - Citadel Federal Credit Union</t>
  </si>
  <si>
    <t>0066T00001AEtpzQAD</t>
  </si>
  <si>
    <t>2024 - REN - Chain IQ_OBO_UBS</t>
  </si>
  <si>
    <t>0060W000012Yi4QQAS</t>
  </si>
  <si>
    <t>2023-REN-Chain IQ_OBO_UBS</t>
  </si>
  <si>
    <t>0066T000016mBz8QAE</t>
  </si>
  <si>
    <t>2022-REN-Deluxe Corp.</t>
  </si>
  <si>
    <t>0060W000015O994QAC</t>
  </si>
  <si>
    <t>2021-REN-Deluxe Corp.</t>
  </si>
  <si>
    <t>0060W0000121qGTQAY</t>
  </si>
  <si>
    <t>2020-REN-Deluxe Corp.</t>
  </si>
  <si>
    <t>0066T0000169EflQAE</t>
  </si>
  <si>
    <t>2022-REN-Special Broadcasting Services (SBS) Australia</t>
  </si>
  <si>
    <t>0060W000012KkJ4QAK</t>
  </si>
  <si>
    <t>2021-REN-Special Broadcasting Services (SBS) Australia</t>
  </si>
  <si>
    <t>0066T000015r3pVQAQ</t>
  </si>
  <si>
    <t>2023-REN-Lima Consulting OBO Vivo</t>
  </si>
  <si>
    <t>0060W000011VNNWQA4</t>
  </si>
  <si>
    <t>2021-REN-Lima Consulting OBO Vivo</t>
  </si>
  <si>
    <t>0060W00000y71N7QAI</t>
  </si>
  <si>
    <t>2019 Renewal - Discover</t>
  </si>
  <si>
    <t>0060W0000123M3AQAU</t>
  </si>
  <si>
    <t>2020-REN-Discover</t>
  </si>
  <si>
    <t>0066T000015Rz56QAC</t>
  </si>
  <si>
    <t>2023 - REN - BAT</t>
  </si>
  <si>
    <t>0060W000011UcoaQAC</t>
  </si>
  <si>
    <t>2021 Renewal BAT</t>
  </si>
  <si>
    <t>0060W00000vvCCeQAM</t>
  </si>
  <si>
    <t>2019 Renewal - Fidelity</t>
  </si>
  <si>
    <t>0060W000013K2o6QAC</t>
  </si>
  <si>
    <t>2021-REN-Fidelity</t>
  </si>
  <si>
    <t>0060W000011Sd99QAC</t>
  </si>
  <si>
    <t>2020 Renewal - Fidelity</t>
  </si>
  <si>
    <t>0060W00000zOCgVQAW</t>
  </si>
  <si>
    <t>2019 Renewal - AutoZone</t>
  </si>
  <si>
    <t>0060W000014avSHQAY</t>
  </si>
  <si>
    <t>2021 - REN - AutoZone</t>
  </si>
  <si>
    <t>0060W000011WIKCQA4</t>
  </si>
  <si>
    <t>2020 Renewal - AutoZone</t>
  </si>
  <si>
    <t>0060W0000121Fb7QAE</t>
  </si>
  <si>
    <t>2021 - REN - JM Family</t>
  </si>
  <si>
    <t>0066T000016lg47QAA</t>
  </si>
  <si>
    <t>2022-REN-H-E-B, LP</t>
  </si>
  <si>
    <t>0060W0000120lSfQAI</t>
  </si>
  <si>
    <t>2021-REN-H-E-B, LP</t>
  </si>
  <si>
    <t>0060W0000122YoyQAE</t>
  </si>
  <si>
    <t>2020 - REN - RMIT (CampaignAssurance)</t>
  </si>
  <si>
    <t>0060W00000vuZ2KQAU</t>
  </si>
  <si>
    <t>2019 Renewal - Kohler Company</t>
  </si>
  <si>
    <t>0066T0000168KrGQAU</t>
  </si>
  <si>
    <t>2023-REN-Kohler Company</t>
  </si>
  <si>
    <t>0060W000011TbxXQAS</t>
  </si>
  <si>
    <t>2021 Renewal - Kohler Company</t>
  </si>
  <si>
    <t>0066T00001ACFFDQA5</t>
  </si>
  <si>
    <t>2024 - REN - Thermo Fisher Scientific</t>
  </si>
  <si>
    <t>006VH00000TJiO1YAL</t>
  </si>
  <si>
    <t>2026 - REN - Thermo Fisher Scientific</t>
  </si>
  <si>
    <t>006VH00000grCu5YAE</t>
  </si>
  <si>
    <t>2027 - REN - Thermo Fisher Scientific</t>
  </si>
  <si>
    <t>0060W000014dNGIQA2</t>
  </si>
  <si>
    <t>2023 - REN - Shell</t>
  </si>
  <si>
    <t>0060W0000120FHuQAM</t>
  </si>
  <si>
    <t>2020 Renewal - Shell</t>
  </si>
  <si>
    <t>006VH000002x3YbYAI</t>
  </si>
  <si>
    <t>2025 - REN - GSK</t>
  </si>
  <si>
    <t>0066T00001AES2sQAH</t>
  </si>
  <si>
    <t>2024 - REN - Finning Cat</t>
  </si>
  <si>
    <t>0060W000012seBGQAY</t>
  </si>
  <si>
    <t>2021-REN-GTB OBO Ford MEA</t>
  </si>
  <si>
    <t>0060W00000zOxBcQAK</t>
  </si>
  <si>
    <t>2019-REN-SpringerNature</t>
  </si>
  <si>
    <t>006VH00000IDloLYAT</t>
  </si>
  <si>
    <t>2025 - REN - Springer Nature</t>
  </si>
  <si>
    <t>0060W000012YFoCQAW</t>
  </si>
  <si>
    <t>2020-REN-SpringerNature</t>
  </si>
  <si>
    <t>006VH00000XuXntYAF</t>
  </si>
  <si>
    <t>2026 - REN - The Walt Disney Company - EMEA</t>
  </si>
  <si>
    <t>0066T000016mqw3QAA</t>
  </si>
  <si>
    <t>2023 - REN - Sage - Tech Gov</t>
  </si>
  <si>
    <t>0060W0000122GDTQA2</t>
  </si>
  <si>
    <t>2020 - REN - IG</t>
  </si>
  <si>
    <t>0060W000014anNYQAY</t>
  </si>
  <si>
    <t>2021 - REN - IG</t>
  </si>
  <si>
    <t>006VH00000BmWFNYA3</t>
  </si>
  <si>
    <t>2025 - REN - EPSON</t>
  </si>
  <si>
    <t>0066T000016lTdAQAU</t>
  </si>
  <si>
    <t>2022-REN-K. Hovnanian Homes</t>
  </si>
  <si>
    <t>006VH00000QoQA1YAN</t>
  </si>
  <si>
    <t>2025 - REN - K. Hovnanian</t>
  </si>
  <si>
    <t>006VH00000gFGh2YAG</t>
  </si>
  <si>
    <t>0066T000017wWiuQAE</t>
  </si>
  <si>
    <t>2023 - REN - K. Hovnanian</t>
  </si>
  <si>
    <t>0060W000012XwJKQA0</t>
  </si>
  <si>
    <t>2020-REN-Barclays UK</t>
  </si>
  <si>
    <t>0066T000018GzkFQAS</t>
  </si>
  <si>
    <t>2025 - REN - Rent</t>
  </si>
  <si>
    <t>0066T000016meO1QAI</t>
  </si>
  <si>
    <t>2022-REN-UPMC</t>
  </si>
  <si>
    <t>006VH00000QIoiZYAT</t>
  </si>
  <si>
    <t>2025 - REN - UPMC</t>
  </si>
  <si>
    <t>0066T00001CNwvfQAD</t>
  </si>
  <si>
    <t>2024 - REN - UPMC</t>
  </si>
  <si>
    <t>0066T000017wB3LQAU</t>
  </si>
  <si>
    <t>2023 - REN - UPMC</t>
  </si>
  <si>
    <t>0060W00000zPiKjQAK</t>
  </si>
  <si>
    <t>2020-Renewal-Bouygues-WebAssurance</t>
  </si>
  <si>
    <t>0060W000012ZMyiQAG</t>
  </si>
  <si>
    <t>2021-REN-Bouygues</t>
  </si>
  <si>
    <t>0066T000015Q2lEQAS</t>
  </si>
  <si>
    <t>2023 - REN - Merkle OBO Petco</t>
  </si>
  <si>
    <t>0060W00000zNpJWQA0</t>
  </si>
  <si>
    <t>2019 Renewal - Darden</t>
  </si>
  <si>
    <t>0066T000016lzjqQAA</t>
  </si>
  <si>
    <t>2022-REN-Darden</t>
  </si>
  <si>
    <t>0060W000013suFBQAY</t>
  </si>
  <si>
    <t>2021-REN-Darden</t>
  </si>
  <si>
    <t>0060W000012bBgOQAU</t>
  </si>
  <si>
    <t>2020-REN-Darden</t>
  </si>
  <si>
    <t>0060W0000121JkDQAU</t>
  </si>
  <si>
    <t>2020-REN-Jet2.com</t>
  </si>
  <si>
    <t>0060W000014dJiiQAE</t>
  </si>
  <si>
    <t>2022-REN-Jet2.com</t>
  </si>
  <si>
    <t>006VH00000UMXqUYAX</t>
  </si>
  <si>
    <t>2027 - REN - Sallie Mae</t>
  </si>
  <si>
    <t>006VH0000068LYsYAM</t>
  </si>
  <si>
    <t>2025 - REN - The Walt Disney Company - EMEA</t>
  </si>
  <si>
    <t>0066T00001CMnO1QAL</t>
  </si>
  <si>
    <t>2024 - REN - The Walt Disney Company - EMEA</t>
  </si>
  <si>
    <t>0066T000018GIYmQAO</t>
  </si>
  <si>
    <t>2023 - REN - The Walt Disney Company - EMEA</t>
  </si>
  <si>
    <t>0060W0000121FFuQAM</t>
  </si>
  <si>
    <t>2020 Renewal - Qualtrics</t>
  </si>
  <si>
    <t>006VH00000RAFr4YAH</t>
  </si>
  <si>
    <t>2025 - REN - Bristol-Myers Squibb (2nd of 3 year Deal)</t>
  </si>
  <si>
    <t>006VH00000gBAdNYAW</t>
  </si>
  <si>
    <t>2026 - REN - Bristol-Myers Squibb (3rd of 3 year deal)</t>
  </si>
  <si>
    <t>0066T000017U1qqQAC</t>
  </si>
  <si>
    <t>2024 - REN - Bristol-Myers Squibb</t>
  </si>
  <si>
    <t>0066T000016kAtYQAU</t>
  </si>
  <si>
    <t>2021 - REN - Bristol-Myers Squibb</t>
  </si>
  <si>
    <t>0060W000011UMPqQAO</t>
  </si>
  <si>
    <t>2019-NB-Ricoh UK Ltd OBO Vodafone Ltd</t>
  </si>
  <si>
    <t>0060W000011Uc1kQAC</t>
  </si>
  <si>
    <t>2020 Renewal - Enterprise Holdings</t>
  </si>
  <si>
    <t>006d000000rps32AAA</t>
  </si>
  <si>
    <t>2019 Renewal - Enterprise Holdings</t>
  </si>
  <si>
    <t>0060W00000zNN4tQAG</t>
  </si>
  <si>
    <t>2019 Renewal - Sage/Jellyfish</t>
  </si>
  <si>
    <t>0066T000017VDOUQA4</t>
  </si>
  <si>
    <t>2023 - REN - JPMC - Asset Management</t>
  </si>
  <si>
    <t>0060W000015P6yCQAS</t>
  </si>
  <si>
    <t>2022 - REN - JPMC - Asset Management</t>
  </si>
  <si>
    <t>0060W0000136kQDQAY</t>
  </si>
  <si>
    <t>2021 - REN - JPMC - Asset Management</t>
  </si>
  <si>
    <t>0066T000018Hi2TQAS</t>
  </si>
  <si>
    <t>2023 - REN - Project Management Institute</t>
  </si>
  <si>
    <t>006VH00000J3aTpYAJ</t>
  </si>
  <si>
    <t>2025 - REN - Project Management Institute</t>
  </si>
  <si>
    <t>0060W000014mRr6QAE</t>
  </si>
  <si>
    <t>2022-REN-Alticor aka Amway</t>
  </si>
  <si>
    <t>0060W0000123l7WQAQ</t>
  </si>
  <si>
    <t>2020-REN-Alticor aka Amway</t>
  </si>
  <si>
    <t>0066T000016l85kQAA</t>
  </si>
  <si>
    <t>2022-REN-Bloomberg Industry Group</t>
  </si>
  <si>
    <t>0060W000014dWmoQAE</t>
  </si>
  <si>
    <t>2021-REN-Bloomberg Industry Group</t>
  </si>
  <si>
    <t>0066T000015qGq7QAE</t>
  </si>
  <si>
    <t>2023-REN-Pure Storage</t>
  </si>
  <si>
    <t>0060W000013sgmDQAQ</t>
  </si>
  <si>
    <t>2021-REN-Pure Storage</t>
  </si>
  <si>
    <t>0060W0000120kRlQAI</t>
  </si>
  <si>
    <t>2020-REN-Pure Storage</t>
  </si>
  <si>
    <t>0066T00001AEtmqQAD</t>
  </si>
  <si>
    <t>2023 - REN - Express Scripts</t>
  </si>
  <si>
    <t>006d000000hylVWAAY</t>
  </si>
  <si>
    <t>2016 Renewal - Slack</t>
  </si>
  <si>
    <t>0060W0000120L7aQAE</t>
  </si>
  <si>
    <t>2021-REN-Bank of Montreal</t>
  </si>
  <si>
    <t>0060W000014oVG0QAM</t>
  </si>
  <si>
    <t>2022-REN-Attribute Data OBO Enterprise Singapore</t>
  </si>
  <si>
    <t>0060W00001219Q2QAI</t>
  </si>
  <si>
    <t>2020-REN-Attribute Data OBO Enterprise Singapore</t>
  </si>
  <si>
    <t>0060W000011phJsQAI</t>
  </si>
  <si>
    <t>2020 Renewal - Int'l Rhino Foundation</t>
  </si>
  <si>
    <t>0066T000015qaEaQAI</t>
  </si>
  <si>
    <t>2022-REN-Int'l Rhino Foundation</t>
  </si>
  <si>
    <t>0060W000013sDb2QAE</t>
  </si>
  <si>
    <t>2021-REN-Int'l Rhino Foundation</t>
  </si>
  <si>
    <t>0060W000012ZVnuQAG</t>
  </si>
  <si>
    <t>2022-NB-Chewy, Inc.</t>
  </si>
  <si>
    <t>0066T000016n4EXQAY</t>
  </si>
  <si>
    <t>2024-REN-Keurig Dr Pepper</t>
  </si>
  <si>
    <t>0060W000012ZFTsQAO</t>
  </si>
  <si>
    <t>2022-REN-Keurig Dr Pepper</t>
  </si>
  <si>
    <t>0060W0000122EiBQAU</t>
  </si>
  <si>
    <t>2021 - REN - Merck UK - Web &amp; App</t>
  </si>
  <si>
    <t>0060W000012ZGLaQAO</t>
  </si>
  <si>
    <t>2022-REN-Zenni Optical</t>
  </si>
  <si>
    <t>006VH0000096G6fYAE</t>
  </si>
  <si>
    <t>2026 - REN - PBS</t>
  </si>
  <si>
    <t>0060W00000wyriMQAQ</t>
  </si>
  <si>
    <t>2020 Renewal - Just Eat</t>
  </si>
  <si>
    <t>0060W000012ZG6fQAG</t>
  </si>
  <si>
    <t>2021-REN-Just Eat</t>
  </si>
  <si>
    <t>0066T000016nSUZQA2</t>
  </si>
  <si>
    <t>2024-REN-Lavazza VIA Bitbang</t>
  </si>
  <si>
    <t>0060W000014oOozQAE</t>
  </si>
  <si>
    <t>2022-OPT IN-REN-Lavazza VIA Bitbang</t>
  </si>
  <si>
    <t>0060W000012ZGEoQAO</t>
  </si>
  <si>
    <t>2021-REN-BitBang_OBO_Lavazza</t>
  </si>
  <si>
    <t>0060W000012sf3wQAA</t>
  </si>
  <si>
    <t>2022-REN-Credit One Bank NA</t>
  </si>
  <si>
    <t>0060W000011pqmiQAA</t>
  </si>
  <si>
    <t>2020-REN-Farfetch</t>
  </si>
  <si>
    <t>0066T000016lfw0QAA</t>
  </si>
  <si>
    <t>2022-REN-Farfetch</t>
  </si>
  <si>
    <t>0060W000014m8eBQAQ</t>
  </si>
  <si>
    <t>2021-REN-Farfetch</t>
  </si>
  <si>
    <t>0060W00000zOTMPQA4</t>
  </si>
  <si>
    <t>2019 Renewal Agency55 OBO Renault WebAssurance</t>
  </si>
  <si>
    <t>0066T000016liysQAA</t>
  </si>
  <si>
    <t>2022-REN-Unipol</t>
  </si>
  <si>
    <t>0060W000014mcyEQAQ</t>
  </si>
  <si>
    <t>2021-REN-Unipol</t>
  </si>
  <si>
    <t>0060W00000zP81TQAS</t>
  </si>
  <si>
    <t>2020 Renewal - Unipol</t>
  </si>
  <si>
    <t>0060W00000zMVtvQAG</t>
  </si>
  <si>
    <t>2019 Renewal - UnipolSai</t>
  </si>
  <si>
    <t>0060W00000vXztVQAS</t>
  </si>
  <si>
    <t>2019 Renewal - Ferguson</t>
  </si>
  <si>
    <t>0060W00000vINU9QAO</t>
  </si>
  <si>
    <t>2019 Renewal - Follett</t>
  </si>
  <si>
    <t>0066T000016HLqGQAW</t>
  </si>
  <si>
    <t>2022 - REN - Follett</t>
  </si>
  <si>
    <t>0060W000011Sd4nQAC</t>
  </si>
  <si>
    <t>2021 Renewal - Follett</t>
  </si>
  <si>
    <t>0060W00000vX7tVQAS</t>
  </si>
  <si>
    <t>2017 Renewal/Upsell - Follett</t>
  </si>
  <si>
    <t>0060W00000w6mjTQAQ</t>
  </si>
  <si>
    <t>2019 Renewal - Pitney Bowes</t>
  </si>
  <si>
    <t>0066T000018yb4oQAA</t>
  </si>
  <si>
    <t>2023 - REN - Office Depot</t>
  </si>
  <si>
    <t>0060W000013q9dKQAQ</t>
  </si>
  <si>
    <t>2022-REN-Office Depot, Inc.</t>
  </si>
  <si>
    <t>006d000000i0BNqAAM</t>
  </si>
  <si>
    <t>2016 Renewal - AutoNation</t>
  </si>
  <si>
    <t>006d000000uEvOWAA0</t>
  </si>
  <si>
    <t>2017 Renewal - AutoNation</t>
  </si>
  <si>
    <t>0060W00000vIY5zQAG</t>
  </si>
  <si>
    <t>2017 Renewal/Upsell - Grainger</t>
  </si>
  <si>
    <t>0060W00000vwbRzQAI</t>
  </si>
  <si>
    <t>2018 Renewal - Your Favourite Story OBO Mercedes-Benz UK</t>
  </si>
  <si>
    <t>0060W00000zMTeOQAW</t>
  </si>
  <si>
    <t>2019 Renewal - Your Favourite Story OBO Mercedes-Benz UK</t>
  </si>
  <si>
    <t>0066T000017UkblQAC</t>
  </si>
  <si>
    <t>2023-REN-Zions Bank</t>
  </si>
  <si>
    <t>0060W000011Sd1BQAS</t>
  </si>
  <si>
    <t>2020 Renewal - Overstock</t>
  </si>
  <si>
    <t>0066T000017TxowQAC</t>
  </si>
  <si>
    <t>2023-REN-Overstock</t>
  </si>
  <si>
    <t>0066T000015PzG7QAK</t>
  </si>
  <si>
    <t>2022-REN-Overstock</t>
  </si>
  <si>
    <t>0060W000012a3ISQAY</t>
  </si>
  <si>
    <t>2021-REN-Overstock</t>
  </si>
  <si>
    <t>0060W00000zNpUFQA0</t>
  </si>
  <si>
    <t>2019 Renewal - PostNL</t>
  </si>
  <si>
    <t>0060W000011Saz1QAC</t>
  </si>
  <si>
    <t>2021 - REN - Capital Group</t>
  </si>
  <si>
    <t>006VH00000Z7kQTYAZ</t>
  </si>
  <si>
    <t>2027 - REN - American Funds</t>
  </si>
  <si>
    <t>0066T00001C98gEQAR</t>
  </si>
  <si>
    <t>2025 - REN - American Funds</t>
  </si>
  <si>
    <t>0066T0000168ucPQAQ</t>
  </si>
  <si>
    <t>2023 - REN - Capital Group (American Funds)</t>
  </si>
  <si>
    <t>0060W0000123LPFQA2</t>
  </si>
  <si>
    <t>2022-REN-Express Scripts</t>
  </si>
  <si>
    <t>0060W00000wwwnfQAA</t>
  </si>
  <si>
    <t>2019 Renewal - Express Scripts</t>
  </si>
  <si>
    <t>006d000000uoPFuAAM</t>
  </si>
  <si>
    <t>2017 Renewal - DigitasLBi OBO The Goodyear Tire &amp; Rubber Company</t>
  </si>
  <si>
    <t>0060W00000wyFREQA2</t>
  </si>
  <si>
    <t>2019 Renewal - Sainsbury's</t>
  </si>
  <si>
    <t>006d000000tw35qAAA</t>
  </si>
  <si>
    <t>2017 Renewal - La Poste</t>
  </si>
  <si>
    <t>0060W000014UlwRQAS</t>
  </si>
  <si>
    <t>2021 DEC-REN-UPMC</t>
  </si>
  <si>
    <t>0060W000012seIMQAY</t>
  </si>
  <si>
    <t>2021 MAR-REN-UPMC</t>
  </si>
  <si>
    <t>0060W000010PovKQAS</t>
  </si>
  <si>
    <t>2020 Renewal - UPMC</t>
  </si>
  <si>
    <t>0060W00000zPmnCQAS</t>
  </si>
  <si>
    <t>2020-REN-Legal &amp; General</t>
  </si>
  <si>
    <t>0066T00001DnhLSQAZ</t>
  </si>
  <si>
    <t>2026 - REN - Legal &amp; General</t>
  </si>
  <si>
    <t>0060W000014ogofQAA</t>
  </si>
  <si>
    <t>2023-REN-Legal &amp; General</t>
  </si>
  <si>
    <t>0060W0000122C8RQAU</t>
  </si>
  <si>
    <t>2021-REN-Extra Space Storage</t>
  </si>
  <si>
    <t>0060W00000wyNkDQAU</t>
  </si>
  <si>
    <t>2019 Renewal - Extra Space Storage</t>
  </si>
  <si>
    <t>0066T00001BC38yQAD</t>
  </si>
  <si>
    <t>2025 - REN - Consumer Reports</t>
  </si>
  <si>
    <t>006VH00000YLxhRYAT</t>
  </si>
  <si>
    <t>2026 - REN - Consumer Reports</t>
  </si>
  <si>
    <t>0060W000010R6BmQAK</t>
  </si>
  <si>
    <t>2019 Renewal - Gap (New)</t>
  </si>
  <si>
    <t>0066T00001AD3fwQAD</t>
  </si>
  <si>
    <t>2023 - REN - Perficient</t>
  </si>
  <si>
    <t>006VH000001UsdVYAS</t>
  </si>
  <si>
    <t>2024 - REN - Perficient</t>
  </si>
  <si>
    <t>006VH00000Ppo2nYAB</t>
  </si>
  <si>
    <t>2025 - REN - dp6</t>
  </si>
  <si>
    <t>006VH00000dNjUGYA0</t>
  </si>
  <si>
    <t>2026 - REN - dp6</t>
  </si>
  <si>
    <t>0066T00001CzLrAQAV</t>
  </si>
  <si>
    <t>2024 - REN - dp6</t>
  </si>
  <si>
    <t>0060W00000y4vCAQAY</t>
  </si>
  <si>
    <t>2019 Renewal - Sky</t>
  </si>
  <si>
    <t>0060W000014oEuAQAU</t>
  </si>
  <si>
    <t>2021-REN-Deseret Digital</t>
  </si>
  <si>
    <t>0060W0000121zi3QAA</t>
  </si>
  <si>
    <t>2020-REN-Deseret Digital</t>
  </si>
  <si>
    <t>0060W00000wyRp6QAE</t>
  </si>
  <si>
    <t>2020 Renewal - Global Opp</t>
  </si>
  <si>
    <t>0066T00001Dk4PaQAJ</t>
  </si>
  <si>
    <t>2024 - REN - OptumRx</t>
  </si>
  <si>
    <t>006VH00000TTsqjYAD</t>
  </si>
  <si>
    <t>2026 - REN - Massachusetts Medical Society</t>
  </si>
  <si>
    <t>006VH00000hSNozYAG</t>
  </si>
  <si>
    <t>0066T00001ADf1KQAT</t>
  </si>
  <si>
    <t>2024 - REN - Massachusetts Medical Society</t>
  </si>
  <si>
    <t>0066T000016nIGYQA2</t>
  </si>
  <si>
    <t>2023-REN-MMS</t>
  </si>
  <si>
    <t>0060W0000123v06QAA</t>
  </si>
  <si>
    <t>2022-REN-MMS</t>
  </si>
  <si>
    <t>0060W00000zH5GaQAK</t>
  </si>
  <si>
    <t>2020 Renewal - NEJM</t>
  </si>
  <si>
    <t>0060W000013pbNuQAI</t>
  </si>
  <si>
    <t>2021-REN-Project Management Institute</t>
  </si>
  <si>
    <t>006VH00000aMoUTYA0</t>
  </si>
  <si>
    <t>0066T00001CN14wQAD</t>
  </si>
  <si>
    <t>2024 - REN - Project Management Institute</t>
  </si>
  <si>
    <t>0066T000015q1XYQAY</t>
  </si>
  <si>
    <t>2022-REN-Project Management Institute</t>
  </si>
  <si>
    <t>0060W00000y6fPyQAI</t>
  </si>
  <si>
    <t>2020 Renewal - Synchrony Financial</t>
  </si>
  <si>
    <t>0060W00000wyaN6QAI</t>
  </si>
  <si>
    <t>2018 Renewal - Cardinal Health</t>
  </si>
  <si>
    <t>0060W0000135oiTQAQ</t>
  </si>
  <si>
    <t>2022-REN-Cardinal Health</t>
  </si>
  <si>
    <t>0060W00000y7AZmQAM</t>
  </si>
  <si>
    <t>2020 Renewal - Cardinal Health</t>
  </si>
  <si>
    <t>0060W00000vwwRDQAY</t>
  </si>
  <si>
    <t>2018 Renewal - A&amp;E Networks</t>
  </si>
  <si>
    <t>0066T00001B9IhXQAV</t>
  </si>
  <si>
    <t>2024 - REN - Export Development Canada</t>
  </si>
  <si>
    <t>0066T000015pHtuQAE</t>
  </si>
  <si>
    <t>2022-REN-Sherwin-Williams (Web)</t>
  </si>
  <si>
    <t>0066T00001BBI7fQAH</t>
  </si>
  <si>
    <t>2024 - REN - Agilent</t>
  </si>
  <si>
    <t>0066T000017WlJZQA0</t>
  </si>
  <si>
    <t>2023-REN-Merck &amp; Co.</t>
  </si>
  <si>
    <t>0060W000015PJYnQAO</t>
  </si>
  <si>
    <t>2022-REN-Merck &amp; Co.</t>
  </si>
  <si>
    <t>0060W000012SfNiQAK</t>
  </si>
  <si>
    <t>2021-REN-Merck &amp; Co.</t>
  </si>
  <si>
    <t>0060W000014mkFdQAI</t>
  </si>
  <si>
    <t>2022-REN-CDW</t>
  </si>
  <si>
    <t>0066T000017x8bZQAQ</t>
  </si>
  <si>
    <t>2023 - REN - CDW</t>
  </si>
  <si>
    <t>006VH00000iWMfBYAW</t>
  </si>
  <si>
    <t>2027 - REN - NBCUniversal</t>
  </si>
  <si>
    <t>006VH00000WL3GcYAL</t>
  </si>
  <si>
    <t>2026 - REN - EMC Corporation</t>
  </si>
  <si>
    <t>006VH00000969EqYAI</t>
  </si>
  <si>
    <t>2025 - REN - EMC Corporation</t>
  </si>
  <si>
    <t>0066T00001B9huUQAR</t>
  </si>
  <si>
    <t>2024 - REN - EMC Corporation</t>
  </si>
  <si>
    <t>0066T0000191Y1tQAE</t>
  </si>
  <si>
    <t>2023 - REN - EMC Corporation</t>
  </si>
  <si>
    <t>0060W000014oGjnQAE</t>
  </si>
  <si>
    <t>2022 - REN - Dell EMC</t>
  </si>
  <si>
    <t>0060W000012Yy5ZQAS</t>
  </si>
  <si>
    <t>2021 - REN - Dell EMC</t>
  </si>
  <si>
    <t>0060W00000vvLO3QAM</t>
  </si>
  <si>
    <t>2018 Renewal - IKEA</t>
  </si>
  <si>
    <t>006d000000n6KW6AAM</t>
  </si>
  <si>
    <t>2017 Renewal - IKEA</t>
  </si>
  <si>
    <t>0066T000015QfADQA0</t>
  </si>
  <si>
    <t>2022-REN-IKEA</t>
  </si>
  <si>
    <t>0060W000012Ju7EQAS</t>
  </si>
  <si>
    <t>2021-REN-IKEA</t>
  </si>
  <si>
    <t>0060W000010wky6QAA</t>
  </si>
  <si>
    <t>2020 Renewal - IKEA</t>
  </si>
  <si>
    <t>0060W00000y5mAqQAI</t>
  </si>
  <si>
    <t>2019 Renewal - IKEA</t>
  </si>
  <si>
    <t>0060W00000vQlwsQAC</t>
  </si>
  <si>
    <t>2018 Renewal - Dick's Sporting Goods</t>
  </si>
  <si>
    <t>0066T000016meEGQAY</t>
  </si>
  <si>
    <t>2022 - REN - CCMA - Tech Gov</t>
  </si>
  <si>
    <t>0060W00000xobvaQAA</t>
  </si>
  <si>
    <t>2019 Renewal - Silver Star Brands</t>
  </si>
  <si>
    <t>006d000000vGCAbAAO</t>
  </si>
  <si>
    <t>2018 Renewal - Silver Star Brands</t>
  </si>
  <si>
    <t>006d000000ulZ4PAAU</t>
  </si>
  <si>
    <t>2018 Renewal - Digitas Health Brands OBO Humira</t>
  </si>
  <si>
    <t>006VH00000W1OaaYAF</t>
  </si>
  <si>
    <t>2026 - REN - Brisa - Auto-Estradas de Portugal</t>
  </si>
  <si>
    <t>006VH00000hYLxJYAW</t>
  </si>
  <si>
    <t>2026 - REN - Banco BPI</t>
  </si>
  <si>
    <t>006VH000005hPtEYAU</t>
  </si>
  <si>
    <t>2025 - REN - Brisa - Auto-Estradas de Portugal</t>
  </si>
  <si>
    <t>006VH000002D86hYAC</t>
  </si>
  <si>
    <t>2024 - REN - Banco BPI</t>
  </si>
  <si>
    <t>006VH000001aJwSYAU</t>
  </si>
  <si>
    <t>2024 - REN - Clínica Cuf Alvalade</t>
  </si>
  <si>
    <t>0066T00001ADTjmQAH</t>
  </si>
  <si>
    <t>2023 - REN - Banco BPI</t>
  </si>
  <si>
    <t>0066T00001ADTbJQAX</t>
  </si>
  <si>
    <t>2023 - REN - Clínica Cuf Alvalade</t>
  </si>
  <si>
    <t>0066T00001DNcMCQA1</t>
  </si>
  <si>
    <t>2024 - REN - Experian US</t>
  </si>
  <si>
    <t>006VH00000P7U30YAF</t>
  </si>
  <si>
    <t>2025 - REN - E-CENS</t>
  </si>
  <si>
    <t>006VH00000TX8XZYA1</t>
  </si>
  <si>
    <t>2026 - REN - Land O'Lakes</t>
  </si>
  <si>
    <t>0066T000016mC2lQAE</t>
  </si>
  <si>
    <t>2022-REN-Manulife - TouchPoints</t>
  </si>
  <si>
    <t>0060W000014mW3QQAU</t>
  </si>
  <si>
    <t>2021-REN-Manulife - TouchPoints</t>
  </si>
  <si>
    <t>0060W0000120bP6QAI</t>
  </si>
  <si>
    <t>2020 Renewal - Smuckers Company</t>
  </si>
  <si>
    <t>0060W000012uPRaQAM</t>
  </si>
  <si>
    <t>2022-REN-Smuckers Company</t>
  </si>
  <si>
    <t>006d000000hzTQyAAM</t>
  </si>
  <si>
    <t>2016 Renewal - El Corte Inglés</t>
  </si>
  <si>
    <t>0060W00000y6V8pQAE</t>
  </si>
  <si>
    <t>2020 Renewal - MasterCard</t>
  </si>
  <si>
    <t>0066T000017WsdTQAS</t>
  </si>
  <si>
    <t>2023-REN-MasterCard</t>
  </si>
  <si>
    <t>0060W000013ITe2QAG</t>
  </si>
  <si>
    <t>2022-REN-MasterCard</t>
  </si>
  <si>
    <t>0060W000013t1UrQAI</t>
  </si>
  <si>
    <t>2022-REN-ALDI</t>
  </si>
  <si>
    <t>0060W000012bCWUQA2</t>
  </si>
  <si>
    <t>2021-REN-Comcast Corporation</t>
  </si>
  <si>
    <t>0060W000014UhwgQAC</t>
  </si>
  <si>
    <t>2022-REN-Comcast Corporation</t>
  </si>
  <si>
    <t>0060W000014b2h4QAA</t>
  </si>
  <si>
    <t>2022-REN-Schroders-Web</t>
  </si>
  <si>
    <t>006VH00000FBV36YAH</t>
  </si>
  <si>
    <t>2025 - REN - RBC</t>
  </si>
  <si>
    <t>006VH000001J0OjYAK</t>
  </si>
  <si>
    <t>2024 - REN - H E B</t>
  </si>
  <si>
    <t>006VH00000gU1zNYAS</t>
  </si>
  <si>
    <t>2026 - REN - H E B</t>
  </si>
  <si>
    <t>0066T000015Q0A5QAK</t>
  </si>
  <si>
    <t>2022-REN-Agilent</t>
  </si>
  <si>
    <t>0060W000013IBRtQAO</t>
  </si>
  <si>
    <t>2021-REN-Agilent</t>
  </si>
  <si>
    <t>006VH00000iJRw1YAG</t>
  </si>
  <si>
    <t>2027 - REN - Financial Times</t>
  </si>
  <si>
    <t>006VH000000gpxPYAQ</t>
  </si>
  <si>
    <t>2024 - REN - Healthgrades</t>
  </si>
  <si>
    <t>006VH00000gKG0TYAW</t>
  </si>
  <si>
    <t>2026 - REN - Healthgrades</t>
  </si>
  <si>
    <t>0060W00000w6mhmQAA</t>
  </si>
  <si>
    <t>2019 Renewal - Royal Caribbean Cruises, Ltd.</t>
  </si>
  <si>
    <t>0060W00001246h1QAA</t>
  </si>
  <si>
    <t>2021-REN-PANDORA</t>
  </si>
  <si>
    <t>0060W000011SdGFQA0</t>
  </si>
  <si>
    <t>2020 Renewal - PANDORA</t>
  </si>
  <si>
    <t>0060W00000vxaTPQAY</t>
  </si>
  <si>
    <t>2019 Renewal - PANDORA</t>
  </si>
  <si>
    <t>006d000000hrb6rAAA</t>
  </si>
  <si>
    <t>2018 Renewal - StarHub</t>
  </si>
  <si>
    <t>0060W000015OeEdQAK</t>
  </si>
  <si>
    <t>2022-REN-StarHub</t>
  </si>
  <si>
    <t>0060W000012T02HQAS</t>
  </si>
  <si>
    <t>2021-REN-StarHub</t>
  </si>
  <si>
    <t>0060W000010QFqYQAW</t>
  </si>
  <si>
    <t>2020 Renewal - StarHub</t>
  </si>
  <si>
    <t>0060W00000wrBdVQAU</t>
  </si>
  <si>
    <t>2019 Renewal - StarHub</t>
  </si>
  <si>
    <t>0060W000014nBjAQAU</t>
  </si>
  <si>
    <t>2023 - REN - Centene Corporation</t>
  </si>
  <si>
    <t>0060W00000xoK8TQAU</t>
  </si>
  <si>
    <t>2020 Renewal - Honda - North America</t>
  </si>
  <si>
    <t>0066T000017WfENQA0</t>
  </si>
  <si>
    <t>2023 - REN - Honda - North America</t>
  </si>
  <si>
    <t>0060W000012Ko18QAC</t>
  </si>
  <si>
    <t>2022 Renewal - Honda - North America</t>
  </si>
  <si>
    <t>0060W000010wkeIQAQ</t>
  </si>
  <si>
    <t>Renewal 2021 - Madison Square Gardens</t>
  </si>
  <si>
    <t>006VH00000atRE9YAM</t>
  </si>
  <si>
    <t>2026 - REN - The National Trust</t>
  </si>
  <si>
    <t>006VH00000OdK5uYAF</t>
  </si>
  <si>
    <t>2025 - REN - The National Trust</t>
  </si>
  <si>
    <t>006VH00000ajQWHYA2</t>
  </si>
  <si>
    <t>0060W000012bBZ8QAM</t>
  </si>
  <si>
    <t>2021-REN-GEICO</t>
  </si>
  <si>
    <t>0066T000017Txi5QAC</t>
  </si>
  <si>
    <t>2023-REN-GEICO</t>
  </si>
  <si>
    <t>0060W000014mZEwQAM</t>
  </si>
  <si>
    <t>2022-REN-GEICO</t>
  </si>
  <si>
    <t>0060W000014av66QAA</t>
  </si>
  <si>
    <t>2021 - REN - Audible</t>
  </si>
  <si>
    <t>0066T0000190LthQAE</t>
  </si>
  <si>
    <t>2023 - REN - WestJet</t>
  </si>
  <si>
    <t>0066T00001DnwLzQAJ</t>
  </si>
  <si>
    <t>2024 - REN - WestJet</t>
  </si>
  <si>
    <t>0060W000012KYbGQAW</t>
  </si>
  <si>
    <t>2021-REN-Rodan + Fields</t>
  </si>
  <si>
    <t>0066T00001AEWiYQAX</t>
  </si>
  <si>
    <t>2024 - REN - GEICO</t>
  </si>
  <si>
    <t>0066T000016lLm1QAE</t>
  </si>
  <si>
    <t>2022 - REN - Ace Group (Chubb Limited)</t>
  </si>
  <si>
    <t>0060W000014mnemQAA</t>
  </si>
  <si>
    <t>2021 - REN - Ace Group (Chubb Limited)</t>
  </si>
  <si>
    <t>0060W00000wyHVuQAM</t>
  </si>
  <si>
    <t>2018 Renewal - Renault</t>
  </si>
  <si>
    <t>0060W000010q3MDQAY</t>
  </si>
  <si>
    <t>2020 Renewal - Strayer</t>
  </si>
  <si>
    <t>0060W000013qF2RQAU</t>
  </si>
  <si>
    <t>2021-REN-Strayer</t>
  </si>
  <si>
    <t>0060W00000zPYlFQAW</t>
  </si>
  <si>
    <t>2020 Renewal - Webalyse OBO Allianz Suisse</t>
  </si>
  <si>
    <t>0060W00000ww3FJQAY</t>
  </si>
  <si>
    <t>2019 Renewal - Lush Cosmetics North America</t>
  </si>
  <si>
    <t>0066T00001B8uKjQAJ</t>
  </si>
  <si>
    <t>2024 - REN - Versace</t>
  </si>
  <si>
    <t>0066T000017VldOQAS</t>
  </si>
  <si>
    <t>2023 - REN - Versace - Web</t>
  </si>
  <si>
    <t>0066T000016mrB8QAI</t>
  </si>
  <si>
    <t>2023 - REN 2- Brunello Cucinelli VIA Bitbang - Tech Gov &amp; Privacy</t>
  </si>
  <si>
    <t>0060W000015OiAKQA0</t>
  </si>
  <si>
    <t>2022 - REN - Versace - Web</t>
  </si>
  <si>
    <t>006VH00000SaYcXYAV</t>
  </si>
  <si>
    <t>2025 - REN - Adobe (MASTER ACCOUNT) (Consulting)</t>
  </si>
  <si>
    <t>0060W00000zPYnGQAW</t>
  </si>
  <si>
    <t>2020-Renewal - Realtor.com</t>
  </si>
  <si>
    <t>006d000000unW40AAE</t>
  </si>
  <si>
    <t>2019 Renewal - Realtor.com</t>
  </si>
  <si>
    <t>0060W000014np01QAA</t>
  </si>
  <si>
    <t>2022-REN-Realtor.com</t>
  </si>
  <si>
    <t>0060W0000123KmmQAE</t>
  </si>
  <si>
    <t>2021-REN-Realtor.com</t>
  </si>
  <si>
    <t>0060W00000vISUjQAO</t>
  </si>
  <si>
    <t>2018 Renewal - Bayer</t>
  </si>
  <si>
    <t>0060W00000y5G78QAE</t>
  </si>
  <si>
    <t>2018 Renewal - Betsson #2</t>
  </si>
  <si>
    <t>0060W00000ww4v3QAA</t>
  </si>
  <si>
    <t>2018 Renewal - Betsson</t>
  </si>
  <si>
    <t>0060W00000y6fUKQAY</t>
  </si>
  <si>
    <t>2020 Renewal - Save The Children</t>
  </si>
  <si>
    <t>0060W000010yTfRQAU</t>
  </si>
  <si>
    <t>2020 Renewal - Canon Europe</t>
  </si>
  <si>
    <t>006VH00000HAY1pYAH</t>
  </si>
  <si>
    <t>2025 - REN - Canon Europe</t>
  </si>
  <si>
    <t>0066T00001BBQGCQA5</t>
  </si>
  <si>
    <t>2024 - REN - RCS MediaGroup</t>
  </si>
  <si>
    <t>0060W00000ww9TJQAY</t>
  </si>
  <si>
    <t>2018 Renewal - Children's Place</t>
  </si>
  <si>
    <t>006d000000tu0wAAAQ</t>
  </si>
  <si>
    <t>2017 Renewal - Children's Place</t>
  </si>
  <si>
    <t>0060W00000vIS2pQAG</t>
  </si>
  <si>
    <t>2018 Renewal - American Express</t>
  </si>
  <si>
    <t>006d000000twhyMAAQ</t>
  </si>
  <si>
    <t>2016 Renewal - American Express</t>
  </si>
  <si>
    <t>0060W00000zMb33QAC</t>
  </si>
  <si>
    <t>2019 Renewal - Scotts Miracle-Gro</t>
  </si>
  <si>
    <t>006d000000vFRqZAAW</t>
  </si>
  <si>
    <t>2017 Renewal - Scotts Miracle-Gro Enterprise License Upsell</t>
  </si>
  <si>
    <t>006d000000hsW2TAAU</t>
  </si>
  <si>
    <t>2016 Renewal - Scotts Miracle-Gro</t>
  </si>
  <si>
    <t>0060W00000wwiEfQAI</t>
  </si>
  <si>
    <t>2018 Renewal - ProSiebenSat.1 Media AG</t>
  </si>
  <si>
    <t>006d000000uEZx3AAG</t>
  </si>
  <si>
    <t>2017 Renewal - ProSiebenSat.1 Media AG</t>
  </si>
  <si>
    <t>0066T00001EJmSfQAL</t>
  </si>
  <si>
    <t>2025 - REN - SevenOne Media</t>
  </si>
  <si>
    <t>0066T000016l1DqQAI</t>
  </si>
  <si>
    <t>2023-REN-ProSiebenSat.1 Media AG</t>
  </si>
  <si>
    <t>0060W000014dZlPQAU</t>
  </si>
  <si>
    <t>2021-REN-ProSiebenSat.1 Media AG</t>
  </si>
  <si>
    <t>0060W00000vWa2RQAS</t>
  </si>
  <si>
    <t>2017 Renewal - Frontier Communications/ Enterprise Upsell</t>
  </si>
  <si>
    <t>0060W000012TQYyQAO</t>
  </si>
  <si>
    <t>2021-REN-Frontier Communications</t>
  </si>
  <si>
    <t>0060W000010vww1QAA</t>
  </si>
  <si>
    <t>2020 Renewal - Frontier Communications</t>
  </si>
  <si>
    <t>0060W00000y5vKiQAI</t>
  </si>
  <si>
    <t>2019 Renewal - Frontier Communications</t>
  </si>
  <si>
    <t>0060W00000vYDdyQAG</t>
  </si>
  <si>
    <t>2018 Renewal - Frontier Communications</t>
  </si>
  <si>
    <t>0066T00001DNcXyQAL</t>
  </si>
  <si>
    <t>2024 - REN - Officeworks</t>
  </si>
  <si>
    <t>006VH00000Zjfm3YAB</t>
  </si>
  <si>
    <t>006VH00000I0rYDYAZ</t>
  </si>
  <si>
    <t>2025 - REN - Officeworks</t>
  </si>
  <si>
    <t>0060W00000xoI3OQAU</t>
  </si>
  <si>
    <t>2019 Renewal - Ringcentral</t>
  </si>
  <si>
    <t>006d000000lVZ5hAAG</t>
  </si>
  <si>
    <t>2017 Renewal - Las Vegas Sands</t>
  </si>
  <si>
    <t>0060W00000wy7rDQAQ</t>
  </si>
  <si>
    <t>2020 Renewal - NAPA</t>
  </si>
  <si>
    <t>0060W00000wvx4VQAQ</t>
  </si>
  <si>
    <t>2018 Renewal - British Telecom</t>
  </si>
  <si>
    <t>006d000000tuFTYAA2</t>
  </si>
  <si>
    <t>2017 Renewal - British Telecom</t>
  </si>
  <si>
    <t>0060W00000zNpW1QAK</t>
  </si>
  <si>
    <t>2019 Renewal - British Telecom</t>
  </si>
  <si>
    <t>0066T000016mEgpQAE</t>
  </si>
  <si>
    <t>2022-REN-General Motors via MRM - Chevrolet</t>
  </si>
  <si>
    <t>0060W000013IZdGQAW</t>
  </si>
  <si>
    <t>2022-REN-PNC</t>
  </si>
  <si>
    <t>0060W000010ws55QAA</t>
  </si>
  <si>
    <t>2020 Renewal - PNC</t>
  </si>
  <si>
    <t>0060W00000vx7vHQAQ</t>
  </si>
  <si>
    <t>2019 Renewal - Crackle</t>
  </si>
  <si>
    <t>0060W00000vwPgDQAU</t>
  </si>
  <si>
    <t>2018 Renewal - Ubisoft NCSA</t>
  </si>
  <si>
    <t>0060W00000y6Vg8QAE</t>
  </si>
  <si>
    <t>2018 Q4 MS Upsell - Ubisoft NCSA</t>
  </si>
  <si>
    <t>006d000000rps5TAAQ</t>
  </si>
  <si>
    <t>2018 Renewal - Ford MEA</t>
  </si>
  <si>
    <t>006VH00000cMIurYAG</t>
  </si>
  <si>
    <t>2026 - REN - Indegene</t>
  </si>
  <si>
    <t>0066T000018z37SQAQ</t>
  </si>
  <si>
    <t>2023 - REN - Indegene</t>
  </si>
  <si>
    <t>0060W00000y8qdRQAQ</t>
  </si>
  <si>
    <t>2019 Renewal - Station10-Legal&amp;General</t>
  </si>
  <si>
    <t>0060W00000ww51aQAA</t>
  </si>
  <si>
    <t>2018 Renewal - Station10-Legal&amp;General - 2017</t>
  </si>
  <si>
    <t>0060W00000y86yVQAQ</t>
  </si>
  <si>
    <t>2019 Renewal - Sanofi OBO Cognizant</t>
  </si>
  <si>
    <t>0060W00000wvTYFQA2</t>
  </si>
  <si>
    <t>2018 Renewal - Marvel</t>
  </si>
  <si>
    <t>0060W00000wyjPNQAY</t>
  </si>
  <si>
    <t>2018 Renewal - Comparethemarket</t>
  </si>
  <si>
    <t>0060W000011TXvsQAG</t>
  </si>
  <si>
    <t>2020 Renewal - Illumina</t>
  </si>
  <si>
    <t>0060W00000zOEo8QAG</t>
  </si>
  <si>
    <t>2019 Renewal - Sport1</t>
  </si>
  <si>
    <t>0060W00000wyfy4QAA</t>
  </si>
  <si>
    <t>2018 Renewal - Sport1</t>
  </si>
  <si>
    <t>0060W000010Q84lQAC</t>
  </si>
  <si>
    <t>2020 Renewal - MANGO</t>
  </si>
  <si>
    <t>0060W00000y58grQAA</t>
  </si>
  <si>
    <t>2019 Renewal - MANGO</t>
  </si>
  <si>
    <t>006VH000001plHGYAY</t>
  </si>
  <si>
    <t>2024 - REN - Endress+Hauser AG</t>
  </si>
  <si>
    <t>0060W00000wwX4aQAE</t>
  </si>
  <si>
    <t>2018 Renewal - Cadillac Fairview</t>
  </si>
  <si>
    <t>0060W00000wynvqQAA</t>
  </si>
  <si>
    <t>2019-REN-Wal-Mart Canada</t>
  </si>
  <si>
    <t>0060W000014b4dnQAA</t>
  </si>
  <si>
    <t>2021 - REN - Dignity Health</t>
  </si>
  <si>
    <t>0060W0000121qWKQAY</t>
  </si>
  <si>
    <t>2020 - REN - Dignity Health</t>
  </si>
  <si>
    <t>0060W0000121qGiQAI</t>
  </si>
  <si>
    <t>Dignity Health - Script Services Upsell</t>
  </si>
  <si>
    <t>0060W00000zNrhFQAS</t>
  </si>
  <si>
    <t>2019 Renewal - Dignity Health</t>
  </si>
  <si>
    <t>0060W00000wyn8IQAQ</t>
  </si>
  <si>
    <t>2019 Renewal - Dice</t>
  </si>
  <si>
    <t>0060W00000zPYQ2QAO</t>
  </si>
  <si>
    <t>2020 Renewal - Discovery Communications</t>
  </si>
  <si>
    <t>0066T000015qQHwQAM</t>
  </si>
  <si>
    <t>2022 - REN - Richards Group OBO Salvation Army</t>
  </si>
  <si>
    <t>0060W000013m46MQAQ</t>
  </si>
  <si>
    <t>2021 - REN - Richards Group OBO Salvation Army</t>
  </si>
  <si>
    <t>0060W000013rWZfQAM</t>
  </si>
  <si>
    <t>2021-REN-Sherwin-Williams (Web)</t>
  </si>
  <si>
    <t>0060W000011WIV5QAO</t>
  </si>
  <si>
    <t>2020-REN-Sage/Jellyfish</t>
  </si>
  <si>
    <t>006VH000003KSuTYAW</t>
  </si>
  <si>
    <t>2026 - REN - BAUHAUS</t>
  </si>
  <si>
    <t>0060W000014oghZQAQ</t>
  </si>
  <si>
    <t>2024 - REN - BAHAG AG</t>
  </si>
  <si>
    <t>0066T000016kvYEQAY</t>
  </si>
  <si>
    <t>2023 - REN - Oracle</t>
  </si>
  <si>
    <t>0060W000014msKwQAI</t>
  </si>
  <si>
    <t>2021 - REN - Oracle</t>
  </si>
  <si>
    <t>0060W000013r7IkQAI</t>
  </si>
  <si>
    <t>2022-REN-FindLaw (Thomsen Reuters)</t>
  </si>
  <si>
    <t>0060W00000zMb0JQAS</t>
  </si>
  <si>
    <t>2020 Renewal - FindLaw (Thomsen Reuters)</t>
  </si>
  <si>
    <t>0066T000018zhBeQAI</t>
  </si>
  <si>
    <t>2025 - REN - FindLaw</t>
  </si>
  <si>
    <t>0060W00000wwgvAQAQ</t>
  </si>
  <si>
    <t>2017 Extension - Nielsen</t>
  </si>
  <si>
    <t>006d000000tvmvvAAA</t>
  </si>
  <si>
    <t>2017 Renewal - Nielsen</t>
  </si>
  <si>
    <t>0060W000010vnXNQAY</t>
  </si>
  <si>
    <t>2020 Renewal - Via Varejo</t>
  </si>
  <si>
    <t>0060W00000y6RWfQAM</t>
  </si>
  <si>
    <t>2019 Renewal - Via Varejo</t>
  </si>
  <si>
    <t>006d000000ula86AAA</t>
  </si>
  <si>
    <t>2017 Renewal - Air Canada</t>
  </si>
  <si>
    <t>0060W00000y7OBCQA2</t>
  </si>
  <si>
    <t>2019 Renewal - TUI UK</t>
  </si>
  <si>
    <t>0066T000015oA2NQAU</t>
  </si>
  <si>
    <t>2022-REN-The National Trust</t>
  </si>
  <si>
    <t>0060W000013qF3jQAE</t>
  </si>
  <si>
    <t>2021-REN-The National Trust</t>
  </si>
  <si>
    <t>0060W000011Tbo1QAC</t>
  </si>
  <si>
    <t>2020 Renewal - The National Trust</t>
  </si>
  <si>
    <t>0060W00000zMb3XQAS</t>
  </si>
  <si>
    <t>2019 Renewal - The National Trust</t>
  </si>
  <si>
    <t>0060W000010OVnsQAG</t>
  </si>
  <si>
    <t>2020 Renewal - Deva Concepts</t>
  </si>
  <si>
    <t>0060W00000y5GtMQAU</t>
  </si>
  <si>
    <t>2019 Renewal - Deva Concepts</t>
  </si>
  <si>
    <t>0060W0000121JqGQAU</t>
  </si>
  <si>
    <t>2021-REN-Moody's Corporation</t>
  </si>
  <si>
    <t>0060W00000zO7I2QAK</t>
  </si>
  <si>
    <t>2019 Renewal - Moody's Corporation</t>
  </si>
  <si>
    <t>0060W00000wy0ryQAA</t>
  </si>
  <si>
    <t>2018 Renewal - Moody's Corporation</t>
  </si>
  <si>
    <t>0060W000012ZN21QAG</t>
  </si>
  <si>
    <t>2020-REN+UP-VMware</t>
  </si>
  <si>
    <t>0060W0000123XfWQAU</t>
  </si>
  <si>
    <t>2021-REN-Woolworths LTD OBO EDG</t>
  </si>
  <si>
    <t>0066T000018HNdEQAW</t>
  </si>
  <si>
    <t>2023 - REN - Universal Orlando</t>
  </si>
  <si>
    <t>006VH000003oLUCYA2</t>
  </si>
  <si>
    <t>2025 - REN - Alcon</t>
  </si>
  <si>
    <t>006VH00000TJhDRYA1</t>
  </si>
  <si>
    <t>2026 - REN - Alcon</t>
  </si>
  <si>
    <t>006VH00000iSeIvYAK</t>
  </si>
  <si>
    <t>2027 - REN - Alcon</t>
  </si>
  <si>
    <t>0060W000013suJNQAY</t>
  </si>
  <si>
    <t>2021-REN-Coastal Contacts</t>
  </si>
  <si>
    <t>0060W000014aYrBQAU</t>
  </si>
  <si>
    <t>2022 - REN -  Tapestry (Web)</t>
  </si>
  <si>
    <t>0060W000013r6meQAA</t>
  </si>
  <si>
    <t>2023-REN-Mary Kay</t>
  </si>
  <si>
    <t>006VH00000gYLQ6YAO</t>
  </si>
  <si>
    <t>2026 - REN - Google (ANALYTICS)</t>
  </si>
  <si>
    <t>006VH000005rjAcYAI</t>
  </si>
  <si>
    <t>2025 - REN - Google (Analytics)</t>
  </si>
  <si>
    <t>0066T000016njvGQAQ</t>
  </si>
  <si>
    <t>2023 - REN - Google Cloud</t>
  </si>
  <si>
    <t>0060W000014op8dQAA</t>
  </si>
  <si>
    <t>2022 - REN - Google Cloud</t>
  </si>
  <si>
    <t>0060W000011UrowQAC</t>
  </si>
  <si>
    <t>2020 - REN - Hewlett-Packard Enterprise</t>
  </si>
  <si>
    <t>0060W00000wxhKnQAI</t>
  </si>
  <si>
    <t>Cheil UK-2017 Part 2</t>
  </si>
  <si>
    <t>0060W00000zP8QnQAK</t>
  </si>
  <si>
    <t>2019 Renewal - Cheil UK</t>
  </si>
  <si>
    <t>0060W00000y6ZJFQA2</t>
  </si>
  <si>
    <t>2018 Renewal - Cheil UK</t>
  </si>
  <si>
    <t>0060W00000wr4jWQAQ</t>
  </si>
  <si>
    <t>2019 Renewal - Export Development Canada</t>
  </si>
  <si>
    <t>0066T000016mrGSQAY</t>
  </si>
  <si>
    <t>2023-REN-Export Development Canada</t>
  </si>
  <si>
    <t>0060W000015OyyTQAS</t>
  </si>
  <si>
    <t>2022-REN-Export Development Canada</t>
  </si>
  <si>
    <t>0060W000012uBtwQAE</t>
  </si>
  <si>
    <t>2021-REN-Export Development Canada</t>
  </si>
  <si>
    <t>0060W00000zHAhmQAG</t>
  </si>
  <si>
    <t>2020 Renewal - Export Development Canada</t>
  </si>
  <si>
    <t>0066T000018E7UPQA0</t>
  </si>
  <si>
    <t>2023-REN-Home Depot of Canada</t>
  </si>
  <si>
    <t>0066T000015RjbIQAS</t>
  </si>
  <si>
    <t>2022-REN-Home Depot of Canada</t>
  </si>
  <si>
    <t>0060W000010wfizQAA</t>
  </si>
  <si>
    <t>2021 Renewal - Home Depot of Canada</t>
  </si>
  <si>
    <t>0060W0000120FQcQAM</t>
  </si>
  <si>
    <t>2020 Renewal - YOOX NET-A-PORTER-2017</t>
  </si>
  <si>
    <t>0066T000015q1eKQAQ</t>
  </si>
  <si>
    <t>2023-REN-Citizens Bank</t>
  </si>
  <si>
    <t>0060W000013sgkqQAA</t>
  </si>
  <si>
    <t>2021-REN-Citizens Bank</t>
  </si>
  <si>
    <t>0060W00000zNMxOQAW</t>
  </si>
  <si>
    <t>2020 Renewal - Citizens Bank</t>
  </si>
  <si>
    <t>0060W00000wyTruQAE</t>
  </si>
  <si>
    <t>2018 Renewal - Beachbody</t>
  </si>
  <si>
    <t>006d000000ula6GAAQ</t>
  </si>
  <si>
    <t>2017 Renewal - Beachbody</t>
  </si>
  <si>
    <t>0060W00000zP7LcQAK</t>
  </si>
  <si>
    <t>2019 Renewal - Beachbody</t>
  </si>
  <si>
    <t>0060W00000wy9GdQAI</t>
  </si>
  <si>
    <t>2018 Renewal - TMZ Enterprise+AppAssurance</t>
  </si>
  <si>
    <t>006d000000umqXTAAY</t>
  </si>
  <si>
    <t>2017 Renewal - TMZ Enterprise+AppAssurance</t>
  </si>
  <si>
    <t>0060W0000123PwEQAU</t>
  </si>
  <si>
    <t>2020-REN-TMZ</t>
  </si>
  <si>
    <t>0060W00000zP7MGQA0</t>
  </si>
  <si>
    <t>2019 Renewal - TMZ</t>
  </si>
  <si>
    <t>0060W000014nordQAA</t>
  </si>
  <si>
    <t>2023 - REN - Dave Ramsey</t>
  </si>
  <si>
    <t>0060W000011UmtYQAS</t>
  </si>
  <si>
    <t>2020 - REN - Azul</t>
  </si>
  <si>
    <t>0066T000015qQD2QAM</t>
  </si>
  <si>
    <t>2022-REN-Azul</t>
  </si>
  <si>
    <t>0060W000013sgoYQAQ</t>
  </si>
  <si>
    <t>2021-REN-Azul</t>
  </si>
  <si>
    <t>0060W000014o17wQAA</t>
  </si>
  <si>
    <t>2022 - REN - Shutterfly</t>
  </si>
  <si>
    <t>006VH00000WL2PPYA1</t>
  </si>
  <si>
    <t>2026 - REN - Shutterfly</t>
  </si>
  <si>
    <t>0060W000014oMiLQAU</t>
  </si>
  <si>
    <t>2023-REN-Wal-Mart Canada Corp</t>
  </si>
  <si>
    <t>0066T000016lfpJQAQ</t>
  </si>
  <si>
    <t>2022 - REN - Hertz via AKQ</t>
  </si>
  <si>
    <t>0066T00001ADMP9QAP</t>
  </si>
  <si>
    <t>2023 - REN - Frontdoor</t>
  </si>
  <si>
    <t>0066T000016m26QQAQ</t>
  </si>
  <si>
    <t>2022 - REN - Frontdoor</t>
  </si>
  <si>
    <t>006VH00000S0B9rYAF</t>
  </si>
  <si>
    <t>2025 - REN - Shiseido 2</t>
  </si>
  <si>
    <t>0066T00001BA5jZQAT</t>
  </si>
  <si>
    <t>2024 - REN - Acceleration</t>
  </si>
  <si>
    <t>0066T000017XfelQAC</t>
  </si>
  <si>
    <t>2023 - REN - Acceleration</t>
  </si>
  <si>
    <t>0066T000018z39OQAQ</t>
  </si>
  <si>
    <t>2023 - REN - The National Trust</t>
  </si>
  <si>
    <t>0066T00001DI5DPQA1</t>
  </si>
  <si>
    <t>2024 - REN - The National Trust</t>
  </si>
  <si>
    <t>0066T000016nRA4QAM</t>
  </si>
  <si>
    <t>2023 - REN - Asurion (Web)</t>
  </si>
  <si>
    <t>0060W000014mtKdQAI</t>
  </si>
  <si>
    <t>2021 - REN + EXT - Asurion (Web)</t>
  </si>
  <si>
    <t>0060W000013sE02QAE</t>
  </si>
  <si>
    <t>2022-REN-AutoNation</t>
  </si>
  <si>
    <t>0066T000017UVvBQAW</t>
  </si>
  <si>
    <t>2023 - REN - Owens Corning (Web)</t>
  </si>
  <si>
    <t>0060W000015PAyJQAW</t>
  </si>
  <si>
    <t>2022 - REN - Owens Corning (Web)</t>
  </si>
  <si>
    <t>006VH00000ZSb8aYAD</t>
  </si>
  <si>
    <t>0060W0000120lLAQAY</t>
  </si>
  <si>
    <t>2020 Renewal - Odin Agency GmbH</t>
  </si>
  <si>
    <t>0060W00000y72OpQAI</t>
  </si>
  <si>
    <t>2019 Renewal - Odin Agency GmbH</t>
  </si>
  <si>
    <t>0060W00000y5LZ5QAM</t>
  </si>
  <si>
    <t>2020 Renewal - Adobe - AEM</t>
  </si>
  <si>
    <t>0066T0000168urFQAQ</t>
  </si>
  <si>
    <t>2023-REN-Essendant</t>
  </si>
  <si>
    <t>0060W000012L1ZdQAK</t>
  </si>
  <si>
    <t>2021-REN-Essendant</t>
  </si>
  <si>
    <t>0060W000010wUdLQAU</t>
  </si>
  <si>
    <t>2020 Renewal - Essendant</t>
  </si>
  <si>
    <t>0060W00000y70PoQAI</t>
  </si>
  <si>
    <t>2019 Renewal - Essendant</t>
  </si>
  <si>
    <t>0060W00000y7OI8QAM</t>
  </si>
  <si>
    <t>2019 Renewal - NowTV</t>
  </si>
  <si>
    <t>0060W00000wz8hWQAQ</t>
  </si>
  <si>
    <t>2019 Renewal - VMware</t>
  </si>
  <si>
    <t>0060W00001243y9QAA</t>
  </si>
  <si>
    <t>2021-REN-Ahold Delhaize</t>
  </si>
  <si>
    <t>0060W00000zP6pRQAS</t>
  </si>
  <si>
    <t>2019 Renewal - Ahold Delhaize</t>
  </si>
  <si>
    <t>0066T000016H6J4QAK</t>
  </si>
  <si>
    <t>2022-REN-Mayo Clinic</t>
  </si>
  <si>
    <t>0060W000013J51bQAC</t>
  </si>
  <si>
    <t>2021-REN-Mayo Clinic</t>
  </si>
  <si>
    <t>0060W000010yqGcQAI</t>
  </si>
  <si>
    <t>2020 Renewal - Mayo Clinic</t>
  </si>
  <si>
    <t>0060W00000y6dEZQAY</t>
  </si>
  <si>
    <t>2019 Renewal - Mayo Clinic</t>
  </si>
  <si>
    <t>0060W00001230SNQAY</t>
  </si>
  <si>
    <t>2021-REN-Biogen</t>
  </si>
  <si>
    <t>0066T000017TxbxQAC</t>
  </si>
  <si>
    <t>2023-REN-Biogen</t>
  </si>
  <si>
    <t>0060W000014mZDnQAM</t>
  </si>
  <si>
    <t>2022-REN-Biogen</t>
  </si>
  <si>
    <t>0066T000016jwFXQAY</t>
  </si>
  <si>
    <t>2022 - REN - William Hill - Web</t>
  </si>
  <si>
    <t>0060W000013sSsTQAU</t>
  </si>
  <si>
    <t>2023-REN-Schneider Electric - Web</t>
  </si>
  <si>
    <t>0066T000016logQQAQ</t>
  </si>
  <si>
    <t>2022 - REN - Boston Scientific</t>
  </si>
  <si>
    <t>0066T000015RjZ7QAK</t>
  </si>
  <si>
    <t>2022-REN-Ferguson</t>
  </si>
  <si>
    <t>0060W0000120kb7QAA</t>
  </si>
  <si>
    <t>2020 Renewal - Aberdeen Asset Management</t>
  </si>
  <si>
    <t>0060W000013t1aGQAQ</t>
  </si>
  <si>
    <t>2021-REN-Aberdeen Asset Management</t>
  </si>
  <si>
    <t>0060W00000wyIcjQAE</t>
  </si>
  <si>
    <t>2018 Renewal - Carmichael Lynch OBO Subaru - WebAssurance</t>
  </si>
  <si>
    <t>006d000000uFr43AAC</t>
  </si>
  <si>
    <t>2017 Renewal - Carmichael Lynch OBO Subaru - WebAssurance</t>
  </si>
  <si>
    <t>0060W000013rWVnQAM</t>
  </si>
  <si>
    <t>2021-REN-Priceline</t>
  </si>
  <si>
    <t>0060W00000y8gUGQAY</t>
  </si>
  <si>
    <t>2020 Renewal - Priceline</t>
  </si>
  <si>
    <t>0060W00000xoIXnQAM</t>
  </si>
  <si>
    <t>2020 Renewal - Hawaiian Airlines</t>
  </si>
  <si>
    <t>0060W000012YFq8QAG</t>
  </si>
  <si>
    <t>2021-REN-Hawaiian Airlines</t>
  </si>
  <si>
    <t>0066T000016klnBQAQ</t>
  </si>
  <si>
    <t>2023-REN-Carhartt</t>
  </si>
  <si>
    <t>0066T000016lxyAQAQ</t>
  </si>
  <si>
    <t>2022-REN-Carmichael Lynch</t>
  </si>
  <si>
    <t>0060W000014mkDrQAI</t>
  </si>
  <si>
    <t>2021-REN-Carmichael Lynch</t>
  </si>
  <si>
    <t>006VH00000b6v9bYAA</t>
  </si>
  <si>
    <t>2028 - REN - Mary Kay</t>
  </si>
  <si>
    <t>0066T00001CyvrEQAR</t>
  </si>
  <si>
    <t>2025 - REN - Mary Kay</t>
  </si>
  <si>
    <t>0060W000010OVbDQAW</t>
  </si>
  <si>
    <t>2020-REN-Endurance International</t>
  </si>
  <si>
    <t>0060W000014da8EQAQ</t>
  </si>
  <si>
    <t>2022-REN-Newfold Digital</t>
  </si>
  <si>
    <t>0066T00001B9IuRQAV</t>
  </si>
  <si>
    <t>2024 - REN - The Church of Jesus Christ of Latter-day Saints</t>
  </si>
  <si>
    <t>006VH00000WZKflYAH</t>
  </si>
  <si>
    <t>2028 - REN - The Church of Jesus Christ of Latter-day Saints</t>
  </si>
  <si>
    <t>006VH000004z0c2YAA</t>
  </si>
  <si>
    <t>2025 - REN - The Church of Jesus Christ of Latter-day Saints</t>
  </si>
  <si>
    <t>0066T0000191jYLQAY</t>
  </si>
  <si>
    <t>2023 - REN - Citi (Singapore)</t>
  </si>
  <si>
    <t>0066T000015q1cEQAQ</t>
  </si>
  <si>
    <t>2022-REN-Citigroup (Singapore)</t>
  </si>
  <si>
    <t>0060W00000wr2qrQAA</t>
  </si>
  <si>
    <t>2019 Renewal - PETCO</t>
  </si>
  <si>
    <t>0066T00001Do30hQAB</t>
  </si>
  <si>
    <t>2025 - REN - Citizens Financial Group</t>
  </si>
  <si>
    <t>0060W0000123M9XQAU</t>
  </si>
  <si>
    <t>2020-REN-Vodafone-UK</t>
  </si>
  <si>
    <t>0066T00001CMnP4QAL</t>
  </si>
  <si>
    <t>2024 - REN - Mayo Clinic</t>
  </si>
  <si>
    <t>006VH00000ZqTTBYA3</t>
  </si>
  <si>
    <t>2026 - REN - Mayo Clinic</t>
  </si>
  <si>
    <t>006VH00000E19PQYAZ</t>
  </si>
  <si>
    <t>2025 - REN - Mayo Clinic</t>
  </si>
  <si>
    <t>006VH000002nbRtYAI</t>
  </si>
  <si>
    <t>2025 - REN - Thermo Fisher Scientific</t>
  </si>
  <si>
    <t>0066T000016mW3FQAU</t>
  </si>
  <si>
    <t>2023-REN-ThermoFisher</t>
  </si>
  <si>
    <t>0060W000014noarQAA</t>
  </si>
  <si>
    <t>2022-REN-ThermoFisher</t>
  </si>
  <si>
    <t>0060W000014mfFMQAY</t>
  </si>
  <si>
    <t>2022 - REN - Mercedes-Benz AG - Web</t>
  </si>
  <si>
    <t>0066T00001ABrjqQAD</t>
  </si>
  <si>
    <t>2023 - REN - Bloomberg</t>
  </si>
  <si>
    <t>0060W0000136s0bQAA</t>
  </si>
  <si>
    <t>2022-REN-Manulife Singapore-WA</t>
  </si>
  <si>
    <t>0066T00001BAT2hQAH</t>
  </si>
  <si>
    <t>2024 - REN - Manulife</t>
  </si>
  <si>
    <t>0066T000017VqYWQA0</t>
  </si>
  <si>
    <t>2023-REN-Manulife Singapore-WA</t>
  </si>
  <si>
    <t>006VH000006PlRhYAK</t>
  </si>
  <si>
    <t>2025 - REN - Gap</t>
  </si>
  <si>
    <t>0066T00001B910fQAB</t>
  </si>
  <si>
    <t>2024 - REN - Gap</t>
  </si>
  <si>
    <t>0066T000017V78gQAC</t>
  </si>
  <si>
    <t>2023 - REN - Gap, Inc.</t>
  </si>
  <si>
    <t>006VH00000UkOXWYA3</t>
  </si>
  <si>
    <t>2026 - REN - GEICO</t>
  </si>
  <si>
    <t>0060W000012TQjHQAW</t>
  </si>
  <si>
    <t>2021-REN-Workday</t>
  </si>
  <si>
    <t>0060W00000y5fEMQAY</t>
  </si>
  <si>
    <t>2020 Renewal - Workday</t>
  </si>
  <si>
    <t>0060W000010R5YQQA0</t>
  </si>
  <si>
    <t>2020 Renewal - Hotwire</t>
  </si>
  <si>
    <t>0060W00000y6ksEQAQ</t>
  </si>
  <si>
    <t>2019 Renewal - Hotwire</t>
  </si>
  <si>
    <t>0060W0000122emEQAQ</t>
  </si>
  <si>
    <t>2020-REN-UBM</t>
  </si>
  <si>
    <t>0060W00000zPCcNQAW</t>
  </si>
  <si>
    <t>2020 Renewal - Healthgrades</t>
  </si>
  <si>
    <t>0066T000015qCdKQAU</t>
  </si>
  <si>
    <t>2022 - REN - Not On The Hight Street - Web</t>
  </si>
  <si>
    <t>0060W000010QLVeQAO</t>
  </si>
  <si>
    <t>2021 Renewal - Ulta Salon</t>
  </si>
  <si>
    <t>0066T000017UXWKQA4</t>
  </si>
  <si>
    <t>2023-REN-Ulta Salon</t>
  </si>
  <si>
    <t>0060W000015PjEOQA0</t>
  </si>
  <si>
    <t>2022-REN-Ulta Salon</t>
  </si>
  <si>
    <t>0060W00000wy5MDQAY</t>
  </si>
  <si>
    <t>2018 Renewal - AIA Singapore</t>
  </si>
  <si>
    <t>0066T000015RUJaQAO</t>
  </si>
  <si>
    <t>2021-REN- AIA Singapore</t>
  </si>
  <si>
    <t>0060W00000zNDVqQAO</t>
  </si>
  <si>
    <t>2020 Renewal - AIA Singapore</t>
  </si>
  <si>
    <t>0060W000010QELeQAO</t>
  </si>
  <si>
    <t>2020 Renewal - Hyundai-Innocean USA</t>
  </si>
  <si>
    <t>0060W000013pnvAQAQ</t>
  </si>
  <si>
    <t>2021-REN-TD Ameritrade</t>
  </si>
  <si>
    <t>0060W00000y7xmfQAA</t>
  </si>
  <si>
    <t>2020-REN-TD Ameritrade</t>
  </si>
  <si>
    <t>0060W00000vIS7uQAG</t>
  </si>
  <si>
    <t>2018 Renewal - Australia Post</t>
  </si>
  <si>
    <t>0060W00000y52VXQAY</t>
  </si>
  <si>
    <t>2019 Renewal - Australia Post</t>
  </si>
  <si>
    <t>0060W00000vIYOrQAO</t>
  </si>
  <si>
    <t>2019 Renewal - Grainger</t>
  </si>
  <si>
    <t>006VH00000UvcnHYAR</t>
  </si>
  <si>
    <t>2027 - REN - Grainger</t>
  </si>
  <si>
    <t>0066T00001BAp48QAD</t>
  </si>
  <si>
    <t>2024 - REN - Grainger</t>
  </si>
  <si>
    <t>0060W000015PnAqQAK</t>
  </si>
  <si>
    <t>2023-REN-Grainger</t>
  </si>
  <si>
    <t>0060W000010wrxGQAQ</t>
  </si>
  <si>
    <t>2021 Renewal - Grainger - XSELL Privacy</t>
  </si>
  <si>
    <t>0060W00000y55ENQAY</t>
  </si>
  <si>
    <t>Verizon Wireless</t>
  </si>
  <si>
    <t>0060W000010qDBcQAM</t>
  </si>
  <si>
    <t>2019-Dec Renewal - Verizon Wireless</t>
  </si>
  <si>
    <t>0060W00000y89vJQAQ</t>
  </si>
  <si>
    <t>2019-Jun Renewal - Verizon Wireless</t>
  </si>
  <si>
    <t>0060W000013rWqbQAE</t>
  </si>
  <si>
    <t>2021 - REN - OptumRx</t>
  </si>
  <si>
    <t>0060W0000121ikVQAQ</t>
  </si>
  <si>
    <t>2020-REN-OptumRx</t>
  </si>
  <si>
    <t>0060W00000zMzNPQA0</t>
  </si>
  <si>
    <t>2019 Renewal - Wunderman OBO OptumRx</t>
  </si>
  <si>
    <t>0060W00000y6HzMQAU</t>
  </si>
  <si>
    <t>2020 Renewal - Amplifon</t>
  </si>
  <si>
    <t>006d000000k7MVuAAM</t>
  </si>
  <si>
    <t>2018 Renewal - HSBC</t>
  </si>
  <si>
    <t>006VH00000W1FU5YAN</t>
  </si>
  <si>
    <t>2026 - REN - Cox Automotive</t>
  </si>
  <si>
    <t>0060W00000y6vs4QAA</t>
  </si>
  <si>
    <t>2019-Jun Renewal - Script Maintenance Cognetik OBO McDonald's</t>
  </si>
  <si>
    <t>0060W00000vxc68QAA</t>
  </si>
  <si>
    <t>2018 Renewal - Adobe</t>
  </si>
  <si>
    <t>0066T00001B9Ic3QAF</t>
  </si>
  <si>
    <t>2024 - REN - FLEETCOR</t>
  </si>
  <si>
    <t>0066T000017XU9DQAW</t>
  </si>
  <si>
    <t>2023 - REN - Ferguson</t>
  </si>
  <si>
    <t>0060W00001236VXQAY</t>
  </si>
  <si>
    <t>2020-REN-Pfizer</t>
  </si>
  <si>
    <t>0066T000016n1ZrQAI</t>
  </si>
  <si>
    <t>2022-REN-Pfizer</t>
  </si>
  <si>
    <t>0060W000014ndeoQAA</t>
  </si>
  <si>
    <t>2021-REN-Pfizer</t>
  </si>
  <si>
    <t>006VH00000huHn2YAE</t>
  </si>
  <si>
    <t>2027 - REN - Travelers</t>
  </si>
  <si>
    <t>006VH000002kBx0YAE</t>
  </si>
  <si>
    <t>2025 - REN - Travelers</t>
  </si>
  <si>
    <t>0060W00000zPmHzQAK</t>
  </si>
  <si>
    <t>2021 Renewal - Finning</t>
  </si>
  <si>
    <t>0060W000014oCFmQAM</t>
  </si>
  <si>
    <t>2023-REN-Finning</t>
  </si>
  <si>
    <t>0060W000010yBZJQA2</t>
  </si>
  <si>
    <t>2021 Renewal - Ferguson</t>
  </si>
  <si>
    <t>0066T000016mC4wQAE</t>
  </si>
  <si>
    <t>2023 - REN - Cheil OBO Raiffeisen - Web</t>
  </si>
  <si>
    <t>0060W000014ms2TQAQ</t>
  </si>
  <si>
    <t>2022 - REN - Cheil OBO Raiffeisen - Web</t>
  </si>
  <si>
    <t>0060W000012KvSkQAK</t>
  </si>
  <si>
    <t>2021-REN-GlaxoSmithKline</t>
  </si>
  <si>
    <t>0066T000016llfPQAQ</t>
  </si>
  <si>
    <t>2023-REN-GlaxoSmithKline</t>
  </si>
  <si>
    <t>0060W000014mpACQAY</t>
  </si>
  <si>
    <t>2022-REN-GlaxoSmithKline</t>
  </si>
  <si>
    <t>0066T00001ACmg8QAD</t>
  </si>
  <si>
    <t>2024 - REN - CarMax</t>
  </si>
  <si>
    <t>0060W00000zOxOHQA0</t>
  </si>
  <si>
    <t>2021 Renewal - Rank Group</t>
  </si>
  <si>
    <t>0060W000014oVJdQAM</t>
  </si>
  <si>
    <t>2022-REN-Rank Group</t>
  </si>
  <si>
    <t>0060W00001243xaQAA</t>
  </si>
  <si>
    <t>2021-REN-Webalyse OBO Allianz Suisse</t>
  </si>
  <si>
    <t>0066T000016mjlHQAQ</t>
  </si>
  <si>
    <t>2023-REN-Allianz Suisse</t>
  </si>
  <si>
    <t>0060W000014mrzPQAQ</t>
  </si>
  <si>
    <t>2022-REN-Webalyse OBO Allianz Suisse</t>
  </si>
  <si>
    <t>006VH00000Thi1vYAB</t>
  </si>
  <si>
    <t>2025 - REN - Inspire Brands</t>
  </si>
  <si>
    <t>006d000000hpo81AAA</t>
  </si>
  <si>
    <t>2016 Renewal - Adobe</t>
  </si>
  <si>
    <t>006d000000UE4FfAAL</t>
  </si>
  <si>
    <t>2015 Renewal - Adobe</t>
  </si>
  <si>
    <t>006d000000s22jVAAQ</t>
  </si>
  <si>
    <t>2017 Renewal - Adobe</t>
  </si>
  <si>
    <t>0060W00000zPknZQAS</t>
  </si>
  <si>
    <t>2020 Renewal - Lending Tree</t>
  </si>
  <si>
    <t>0066T000018Fc8hQAC</t>
  </si>
  <si>
    <t>2024 - REN - PNC</t>
  </si>
  <si>
    <t>0060W00000vWXPcQAO</t>
  </si>
  <si>
    <t>2018 Renewal - Boehringer Ingelheim</t>
  </si>
  <si>
    <t>0060W000015PB4vQAG</t>
  </si>
  <si>
    <t>2024 - REN - Boehringer Ingelheim</t>
  </si>
  <si>
    <t>0060W000010pqUpQAI</t>
  </si>
  <si>
    <t>2021 Renewal - Boehringer Ingelheim</t>
  </si>
  <si>
    <t>0060W00000wz4d3QAA</t>
  </si>
  <si>
    <t>2019 Renewal - Boehringer Ingelheim</t>
  </si>
  <si>
    <t>006VH00000BuagqYAB</t>
  </si>
  <si>
    <t>2025 - REN - European Union</t>
  </si>
  <si>
    <t>0066T00001BBGfSQAX</t>
  </si>
  <si>
    <t>2024 - REN - European Union</t>
  </si>
  <si>
    <t>0066T000017XUWlQAO</t>
  </si>
  <si>
    <t>2023 - REN - Mainstrat</t>
  </si>
  <si>
    <t>0066T000015QfH9QAK</t>
  </si>
  <si>
    <t>2022-REN-MainStrat OBO Publications Office of the EU</t>
  </si>
  <si>
    <t>0060W000012Ju87QAC</t>
  </si>
  <si>
    <t>2021-REN-MainStrat OBO Publications Office of the EU</t>
  </si>
  <si>
    <t>0060W000010wrtJQAQ</t>
  </si>
  <si>
    <t>2020 Renewal - MainStrat OBO Publications Office of the EU</t>
  </si>
  <si>
    <t>0060W00000y5cerQAA</t>
  </si>
  <si>
    <t>2019 Renewal - MainStrat OBO Publications Office of the EU</t>
  </si>
  <si>
    <t>0060W00000vXGRAQA4</t>
  </si>
  <si>
    <t>Verizon.com</t>
  </si>
  <si>
    <t>0060W00000zOYQCQA4</t>
  </si>
  <si>
    <t>2019 Renewal - Verizon.com</t>
  </si>
  <si>
    <t>0060W00000wyTu0QAE</t>
  </si>
  <si>
    <t>2018 Renewal - Verizon.com</t>
  </si>
  <si>
    <t>0060W000010wkToQAI</t>
  </si>
  <si>
    <t>2020 Renewal - Domestic &amp; General</t>
  </si>
  <si>
    <t>0060W000010P4CUQA0</t>
  </si>
  <si>
    <t>2020 Renewal - BMC Software</t>
  </si>
  <si>
    <t>0060W000010xXVqQAM</t>
  </si>
  <si>
    <t>2020 Renewal - Delta Air lines</t>
  </si>
  <si>
    <t>0060W00000y7YSMQA2</t>
  </si>
  <si>
    <t>2019 Renewal - Delta Air lines</t>
  </si>
  <si>
    <t>0060W00000ww3QbQAI</t>
  </si>
  <si>
    <t>2019 Renewal - GlaxoSmithKline</t>
  </si>
  <si>
    <t>006d000000to3xDAAQ</t>
  </si>
  <si>
    <t>2017 Renewal - GlaxoSmithKline</t>
  </si>
  <si>
    <t>0060W0000121iYoQAI</t>
  </si>
  <si>
    <t>2020 Renewal - GlaxoSmithKline - 6mo opt out part 2 NO ORDER</t>
  </si>
  <si>
    <t>0060W00000zOjvXQAS</t>
  </si>
  <si>
    <t>2019 Renewal - GlaxoSmithKline - 6mo opt out part 1</t>
  </si>
  <si>
    <t>006VH000001a3jfYAA</t>
  </si>
  <si>
    <t>2024 - REN - Deutsche Bank (APP ID: 17380)</t>
  </si>
  <si>
    <t>0066T00001C9MCUQA3</t>
  </si>
  <si>
    <t>2024 - REN - Deutsche Bank (Postbank) VIA Mapp Digital (APP ID: 1229)</t>
  </si>
  <si>
    <t>0060W00000zPiLDQA0</t>
  </si>
  <si>
    <t>2020 Renewal - Odin-Agency OBO PBC Deutsche Bank</t>
  </si>
  <si>
    <t>0060W00000zPCjsQAG</t>
  </si>
  <si>
    <t>2020 Renewal - Odin Agency OBO CIB Deutsche Bank</t>
  </si>
  <si>
    <t>0060W00000y6EJwQAM</t>
  </si>
  <si>
    <t>Abbott</t>
  </si>
  <si>
    <t>006VH000002x1jkYAA</t>
  </si>
  <si>
    <t>2024 - REN - Abbott</t>
  </si>
  <si>
    <t>0060W000013rgSmQAI</t>
  </si>
  <si>
    <t>2021-REN-Abbott</t>
  </si>
  <si>
    <t>0060W000010yaLtQAI</t>
  </si>
  <si>
    <t>2020 Renewal - Abbott</t>
  </si>
  <si>
    <t>0060W00000y835VQAQ</t>
  </si>
  <si>
    <t>2019 Renewal - Abbott</t>
  </si>
  <si>
    <t>0060W00000wxW7KQAU</t>
  </si>
  <si>
    <t>2018 Renewal - UBM</t>
  </si>
  <si>
    <t>0060W00000zOZprQAG</t>
  </si>
  <si>
    <t>2019 Renewal - UBM</t>
  </si>
  <si>
    <t>0066T000015qTGHQA2</t>
  </si>
  <si>
    <t>2024-REN-Cisco</t>
  </si>
  <si>
    <t>0060W000014Za0KQAS</t>
  </si>
  <si>
    <t>2022-REN-Cisco</t>
  </si>
  <si>
    <t>0060W0000121q8jQAA</t>
  </si>
  <si>
    <t>2021-REN-Cisco</t>
  </si>
  <si>
    <t>0060W00000zPYiBQAW</t>
  </si>
  <si>
    <t>2020 Renewal - Cisco</t>
  </si>
  <si>
    <t>0060W0000121nlvQAA</t>
  </si>
  <si>
    <t>2020-REN-Shangri-La</t>
  </si>
  <si>
    <t>0066T000018GiXTQA0</t>
  </si>
  <si>
    <t>2023 - REN - Lululemon Athletica</t>
  </si>
  <si>
    <t>0066T00001C9RyIQAV</t>
  </si>
  <si>
    <t>2024 - REN - Lululemon Athletica</t>
  </si>
  <si>
    <t>0060W000012tvGzQAI</t>
  </si>
  <si>
    <t>2020-REN-Attribute Data OBO Singapore Economic Development Board</t>
  </si>
  <si>
    <t>0060W00000zMq42QAC</t>
  </si>
  <si>
    <t>2019 Renewal - Attribute Data OBO Singapore Economic Development Board</t>
  </si>
  <si>
    <t>0060W000014VJlkQAG</t>
  </si>
  <si>
    <t>2023 - REN - Endurance Warranty</t>
  </si>
  <si>
    <t>0066T000016GVrAQAW</t>
  </si>
  <si>
    <t>2022-REN- BlueMoon Digital OBO Astellas Pharma US</t>
  </si>
  <si>
    <t>0066T000017WAnXQAW</t>
  </si>
  <si>
    <t>2024 - REN - Anthem Blue Cross and Blue Shield - Web</t>
  </si>
  <si>
    <t>006VH000003gIV5YAM</t>
  </si>
  <si>
    <t>2026 - REN - Anthem Blue Cross &amp; Blue Shield</t>
  </si>
  <si>
    <t>0060W00000zMb1gQAC</t>
  </si>
  <si>
    <t>2019 Renewal - SYFY</t>
  </si>
  <si>
    <t>0066T000016lg50QAA</t>
  </si>
  <si>
    <t>2022-REN-Saxo Bank</t>
  </si>
  <si>
    <t>0060W000014ndjtQAA</t>
  </si>
  <si>
    <t>2021-REN-Saxo Bank</t>
  </si>
  <si>
    <t>0060W0000122fp4QAA</t>
  </si>
  <si>
    <t>2020-REN-Saxo Bank</t>
  </si>
  <si>
    <t>0060W00000zP6ipQAC</t>
  </si>
  <si>
    <t>2019 Renewal - Saxo Bank</t>
  </si>
  <si>
    <t>0060W000010wVFgQAM</t>
  </si>
  <si>
    <t>2020 Renewal - HelloFresh</t>
  </si>
  <si>
    <t>0060W00000y7NuaQAE</t>
  </si>
  <si>
    <t>2019 Renewal - HelloFresh</t>
  </si>
  <si>
    <t>0060W00000vvRN5QAM</t>
  </si>
  <si>
    <t>2018 Renewal - Nike.net</t>
  </si>
  <si>
    <t>0060W00000zNN1VQAW</t>
  </si>
  <si>
    <t>2019 Renewal - Nike.net</t>
  </si>
  <si>
    <t>0060W00000zNxuGQAS</t>
  </si>
  <si>
    <t>2019 Renewal - Kindred Group</t>
  </si>
  <si>
    <t>0060W00000wxaKFQAY</t>
  </si>
  <si>
    <t>2018 Renewal - Kindred Group</t>
  </si>
  <si>
    <t>0060W00000wy9NAQAY</t>
  </si>
  <si>
    <t>2018 Renewal - Air Canada</t>
  </si>
  <si>
    <t>0060W0000121id5QAA</t>
  </si>
  <si>
    <t>2020 Renewal - Air Canada</t>
  </si>
  <si>
    <t>0060W00000zNYDYQA4</t>
  </si>
  <si>
    <t>2019 Renewal - Air Canada</t>
  </si>
  <si>
    <t>0060W00000zP6byQAC</t>
  </si>
  <si>
    <t>2021 Renewal - Telegraph</t>
  </si>
  <si>
    <t>0060W00000vXEluQAG</t>
  </si>
  <si>
    <t>2017 Renewal Upsell - Hilton</t>
  </si>
  <si>
    <t>0060W000012tUjhQAE</t>
  </si>
  <si>
    <t>2022-REN-Hilton</t>
  </si>
  <si>
    <t>0060W000010PR0QQAW</t>
  </si>
  <si>
    <t>2020 Renewal - Hilton</t>
  </si>
  <si>
    <t>0060W00000y5WDIQA2</t>
  </si>
  <si>
    <t>2019 Renewal - Hilton</t>
  </si>
  <si>
    <t>0060W00000vXW9sQAG</t>
  </si>
  <si>
    <t>2018 Renewal - Hilton</t>
  </si>
  <si>
    <t>006VH00000iOzyfYAC</t>
  </si>
  <si>
    <t>2027 - REN - Exture - CASIO</t>
  </si>
  <si>
    <t>006VH00000fh8YzYAI</t>
  </si>
  <si>
    <t>2026 - REN - Exture Technology, Inc. - Sony</t>
  </si>
  <si>
    <t>0060W000013pbPqQAI</t>
  </si>
  <si>
    <t>2022-REN-Exture Technology, Inc. OBO All Nippon Airways</t>
  </si>
  <si>
    <t>0060W0000136wrIQAQ</t>
  </si>
  <si>
    <t>2021-REN-Exture OBO Tipness</t>
  </si>
  <si>
    <t>0060W00000vvKyDQAU</t>
  </si>
  <si>
    <t>2018 Renewal - Tesco PLC</t>
  </si>
  <si>
    <t>006d000000phDNgAAM</t>
  </si>
  <si>
    <t>2017 Renewal - Tesco PLC</t>
  </si>
  <si>
    <t>006d000000ciacoAAA</t>
  </si>
  <si>
    <t>2016 Renewal - Tesco PLC</t>
  </si>
  <si>
    <t>0060W00000wr0WeQAI</t>
  </si>
  <si>
    <t>2019 Renewal - Tesco PLC</t>
  </si>
  <si>
    <t>0060W00000w72AOQAY</t>
  </si>
  <si>
    <t>2018 Renewal - Disney Parks</t>
  </si>
  <si>
    <t>006d000000sSp8CAAS</t>
  </si>
  <si>
    <t>2017 Renewal - Disney Parks</t>
  </si>
  <si>
    <t>0066T00001ACruRQAT</t>
  </si>
  <si>
    <t>2023 - REN - The Walt Disney</t>
  </si>
  <si>
    <t>0066T000015pHwjQAE</t>
  </si>
  <si>
    <t>2022-REN-Disney Parks</t>
  </si>
  <si>
    <t>0060W000013rAEAQA2</t>
  </si>
  <si>
    <t>2021-REN-Disney Parks</t>
  </si>
  <si>
    <t>0060W0000120Ev5QAE</t>
  </si>
  <si>
    <t>2020 Renewal - Disney Parks</t>
  </si>
  <si>
    <t>0060W00000zMW2sQAG</t>
  </si>
  <si>
    <t>2019 Renewal - Disney Parks</t>
  </si>
  <si>
    <t>006VH00000fMzoPYAS</t>
  </si>
  <si>
    <t>2028 - REN - Securian Financial Group</t>
  </si>
  <si>
    <t>0066T00001Cycv2QAB</t>
  </si>
  <si>
    <t>2025 - REN - Securian Financial Group</t>
  </si>
  <si>
    <t>0066T000016lAX4QAM</t>
  </si>
  <si>
    <t>2023-REN-Securian Financial</t>
  </si>
  <si>
    <t>0060W000011pHtPQAU</t>
  </si>
  <si>
    <t>2021-REN-Securian Financial</t>
  </si>
  <si>
    <t>006VH00000SLsenYAD</t>
  </si>
  <si>
    <t>2026 - REN - SAP</t>
  </si>
  <si>
    <t>006VH00000hpX7dYAE</t>
  </si>
  <si>
    <t>2027 - REN - SAP</t>
  </si>
  <si>
    <t>0060W00000vvXKKQA2</t>
  </si>
  <si>
    <t>2018 Renewal - NFL</t>
  </si>
  <si>
    <t>0066T0000168vgBQAQ</t>
  </si>
  <si>
    <t>2022-REN-NFL</t>
  </si>
  <si>
    <t>0060W000013K2l2QAC</t>
  </si>
  <si>
    <t>2021-REN-NFL</t>
  </si>
  <si>
    <t>0060W000010yP8NQAU</t>
  </si>
  <si>
    <t>2020 Renewal - NFL</t>
  </si>
  <si>
    <t>0060W000010yP5iQAE</t>
  </si>
  <si>
    <t>2019-UP-NFL - CampaignAssurance</t>
  </si>
  <si>
    <t>0060W00000y7AapQAE</t>
  </si>
  <si>
    <t>2019 Renewal - NFL</t>
  </si>
  <si>
    <t>0066T00001AEKYQQA5</t>
  </si>
  <si>
    <t>2023 - REN - ST</t>
  </si>
  <si>
    <t>0066T000016mW30QAE</t>
  </si>
  <si>
    <t>2022-REN-STMicro</t>
  </si>
  <si>
    <t>0066T000015QAoiQAG</t>
  </si>
  <si>
    <t>2021-REN-STMicro_WebAssurance Enterprise</t>
  </si>
  <si>
    <t>0060W0000123Q7PQAU</t>
  </si>
  <si>
    <t>2020-REN-STMicro_WebAssurance Enterprise</t>
  </si>
  <si>
    <t>0060W00000zORTHQA4</t>
  </si>
  <si>
    <t>2019-RENEWAL-STMicro_WebAssurance Enterprise</t>
  </si>
  <si>
    <t>006VH00000A5Q5lYAF</t>
  </si>
  <si>
    <t>2025 - REN - Optum</t>
  </si>
  <si>
    <t>006d000000sXv9BAAS</t>
  </si>
  <si>
    <t>2016 Renewal Fidelity</t>
  </si>
  <si>
    <t>0060W000013IntGQAS</t>
  </si>
  <si>
    <t>2021-REN-American Airlines</t>
  </si>
  <si>
    <t>0060W00000y5lMRQAY</t>
  </si>
  <si>
    <t>2020 Renewal - American Airlines</t>
  </si>
  <si>
    <t>0066T000016987aQAA</t>
  </si>
  <si>
    <t>2024 - REN - CIBC</t>
  </si>
  <si>
    <t>0060W00000y6In9QAE</t>
  </si>
  <si>
    <t>2021 Renewal + Upsell - CIBC</t>
  </si>
  <si>
    <t>0066T000015pxzfQAA</t>
  </si>
  <si>
    <t>2022-REN-Roche Holding AG</t>
  </si>
  <si>
    <t>0060W000013suFuQAI</t>
  </si>
  <si>
    <t>2021-REN-Roche Holding AG</t>
  </si>
  <si>
    <t>0060W0000121P95QAE</t>
  </si>
  <si>
    <t>2020-REN-Roche Holding AG</t>
  </si>
  <si>
    <t>0060W00000zNS52QAG</t>
  </si>
  <si>
    <t>2019 Renewal - Roche Holding AG</t>
  </si>
  <si>
    <t>0060W000013pnNhQAI</t>
  </si>
  <si>
    <t>2023-REN-Experian</t>
  </si>
  <si>
    <t>0060W00000y74rIQAQ</t>
  </si>
  <si>
    <t>2020 Renewal - Experian</t>
  </si>
  <si>
    <t>006d000000YdEp9AAF</t>
  </si>
  <si>
    <t>2015 Renewal - Fandango</t>
  </si>
  <si>
    <t>006d000000hzTuHAAU</t>
  </si>
  <si>
    <t>2016 Renewal - Fandango</t>
  </si>
  <si>
    <t>0060W00000zNKroQAG</t>
  </si>
  <si>
    <t>2020 Renewal - Michael J. Fox</t>
  </si>
  <si>
    <t>0060W00000zN6C9QAK</t>
  </si>
  <si>
    <t>2020 Renewal - Rogers Communications</t>
  </si>
  <si>
    <t>0066T000016k58NQAQ</t>
  </si>
  <si>
    <t>2023 - REN - Blue Cross &amp; Blue Shield of North Carolina</t>
  </si>
  <si>
    <t>0066T000017XUSoQAO</t>
  </si>
  <si>
    <t>2023 - REN - Adobe (Federal)</t>
  </si>
  <si>
    <t>006VH00000XIlBzYAL</t>
  </si>
  <si>
    <t>2026 - REN - Adobe (Federal)</t>
  </si>
  <si>
    <t>0066T00001CMyxsQAD</t>
  </si>
  <si>
    <t>2024 - REN - Adobe (Federal)</t>
  </si>
  <si>
    <t>006VH00000ShcukYAB</t>
  </si>
  <si>
    <t>2026 - REN - ANZ</t>
  </si>
  <si>
    <t>006VH00000gWoBFYA0</t>
  </si>
  <si>
    <t>2027 - REN - ANZ</t>
  </si>
  <si>
    <t>006VH000002eQQtYAM</t>
  </si>
  <si>
    <t>2025 - REN - ANZ</t>
  </si>
  <si>
    <t>0066T00001AEKVCQA5</t>
  </si>
  <si>
    <t>2024 - REN - ANZ</t>
  </si>
  <si>
    <t>0060W00000y51eYQAQ</t>
  </si>
  <si>
    <t>2018 Upsell - Red Hat</t>
  </si>
  <si>
    <t>0060W00000y88rAQAQ</t>
  </si>
  <si>
    <t>2020 Renewal - Red Hat</t>
  </si>
  <si>
    <t>0060W00000zN5q8QAC</t>
  </si>
  <si>
    <t>2020 Renewal - Intuit Canada</t>
  </si>
  <si>
    <t>0066T000016H5zVQAS</t>
  </si>
  <si>
    <t>2022 - REN - Unity Technologies</t>
  </si>
  <si>
    <t>0060W000012sfAEQAY</t>
  </si>
  <si>
    <t>2021-REN-RSA (Part 1 of 2)</t>
  </si>
  <si>
    <t>0060W000015PjcNQAS</t>
  </si>
  <si>
    <t>2021-REN-RSA (Part 2 of 2)</t>
  </si>
  <si>
    <t>0060W00000zMVuyQAG</t>
  </si>
  <si>
    <t>2019 Renewal - Barceló Hotel Group</t>
  </si>
  <si>
    <t>0066T000017UknhQAC</t>
  </si>
  <si>
    <t>2023-REN-Oriental Trading</t>
  </si>
  <si>
    <t>0060W000012tUTOQA2</t>
  </si>
  <si>
    <t>2022-REN-Oriental Trading</t>
  </si>
  <si>
    <t>0060W00000wy35rQAA</t>
  </si>
  <si>
    <t>2018 Renewal - Westpac</t>
  </si>
  <si>
    <t>006d000000vEoZgAAK</t>
  </si>
  <si>
    <t>2018 Renewal - Westpac NZ</t>
  </si>
  <si>
    <t>006d000000ulZpjAAE</t>
  </si>
  <si>
    <t>2017 Renewal - Westpac</t>
  </si>
  <si>
    <t>0060W000014mkHwQAI</t>
  </si>
  <si>
    <t>2022-REN-Westpac</t>
  </si>
  <si>
    <t>0060W00001236bQQAQ</t>
  </si>
  <si>
    <t>2021-REN-Westpac</t>
  </si>
  <si>
    <t>0060W00000zPYmSQAW</t>
  </si>
  <si>
    <t>2020-REN-Westpac NZ</t>
  </si>
  <si>
    <t>0060W00000zPYm8QAG</t>
  </si>
  <si>
    <t>2019 Renewal - Westpac</t>
  </si>
  <si>
    <t>0060W00000wyS7ZQAU</t>
  </si>
  <si>
    <t>2019-REN-Westpac NZ</t>
  </si>
  <si>
    <t>0060W00000zNzXfQAK</t>
  </si>
  <si>
    <t>2019 Renewal - Kingfisher</t>
  </si>
  <si>
    <t>006VH000005XubdYAC</t>
  </si>
  <si>
    <t>2025 - REN - 1&amp;1 Internet</t>
  </si>
  <si>
    <t>0066T00001B9hrkQAB</t>
  </si>
  <si>
    <t>2024 - REN - 1&amp;1 Internet</t>
  </si>
  <si>
    <t>0066T000018FqTsQAK</t>
  </si>
  <si>
    <t>2023 - REN - 1&amp;1 Internet</t>
  </si>
  <si>
    <t>0060W000015PCfmQAG</t>
  </si>
  <si>
    <t>2022 - REN - 1&amp;1</t>
  </si>
  <si>
    <t>0060W000010vC2QQAU</t>
  </si>
  <si>
    <t>2021 Renewal - 1&amp;1</t>
  </si>
  <si>
    <t>006VH00000TnENhYAN</t>
  </si>
  <si>
    <t>0066T00001B9IkHQAV</t>
  </si>
  <si>
    <t>2024 - REN - Questrade</t>
  </si>
  <si>
    <t>0066T000017UkVdQAK</t>
  </si>
  <si>
    <t>2023-REN-Questrade</t>
  </si>
  <si>
    <t>0060W000015Ow9uQAC</t>
  </si>
  <si>
    <t>2022-REN-Questrade</t>
  </si>
  <si>
    <t>0060W000012TQo2QAG</t>
  </si>
  <si>
    <t>2021-REN-Questrade</t>
  </si>
  <si>
    <t>0060W00000zOVYdQAO</t>
  </si>
  <si>
    <t>2020 Renewal - Questrade</t>
  </si>
  <si>
    <t>006VH000003rdXlYAI</t>
  </si>
  <si>
    <t>2025 - REN - Sam's Club</t>
  </si>
  <si>
    <t>0066T00001AEndoQAD</t>
  </si>
  <si>
    <t>2024 - REN - Sam's Club</t>
  </si>
  <si>
    <t>0066T000015rEjgQAE</t>
  </si>
  <si>
    <t>2023 - REN - Sam's Club</t>
  </si>
  <si>
    <t>0066T000016mGfAQAU</t>
  </si>
  <si>
    <t>2022 - REN - Shiseido</t>
  </si>
  <si>
    <t>0060W00000y5EsKQAU</t>
  </si>
  <si>
    <t>2019 Renewal - Paul Fredrick</t>
  </si>
  <si>
    <t>006d000000vFBfFAAW</t>
  </si>
  <si>
    <t>2018 Renewal - Paul Fredrick</t>
  </si>
  <si>
    <t>0060W000010O65rQAC</t>
  </si>
  <si>
    <t>2020 Renewal - Paul Fredrick</t>
  </si>
  <si>
    <t>0060W00000vXh6CQAS</t>
  </si>
  <si>
    <t>2018 Renewal - Scotts Miracle-Gro</t>
  </si>
  <si>
    <t>0066T000015qQ3uQAE</t>
  </si>
  <si>
    <t>2022-REN-Scotts Miracle-Gro</t>
  </si>
  <si>
    <t>0060W000013sE9nQAE</t>
  </si>
  <si>
    <t>2021-REN-Scotts Miracle-Gro</t>
  </si>
  <si>
    <t>0060W0000120KyOQAU</t>
  </si>
  <si>
    <t>2020 Renewal - Scotts Miracle-Gro</t>
  </si>
  <si>
    <t>0066T000016mn5oQAA</t>
  </si>
  <si>
    <t>2023-REN-Carmax</t>
  </si>
  <si>
    <t>0060W000014oEnYQAU</t>
  </si>
  <si>
    <t>2022-REN-Carmax</t>
  </si>
  <si>
    <t>0060W000012YFpFQAW</t>
  </si>
  <si>
    <t>2021-REN-Carmax</t>
  </si>
  <si>
    <t>0060W00000zOx8JQAS</t>
  </si>
  <si>
    <t>2020 Renewal - Carmax</t>
  </si>
  <si>
    <t>0060W00000y7O0iQAE</t>
  </si>
  <si>
    <t>2019 Renewal - MasterControl</t>
  </si>
  <si>
    <t>0066T00001EJktrQAD</t>
  </si>
  <si>
    <t>2024 - REN - J.M. Smucker</t>
  </si>
  <si>
    <t>0066T0000190nZjQAI</t>
  </si>
  <si>
    <t>2023 - REN - Smucker Retail Foods, Inc.</t>
  </si>
  <si>
    <t>0060W000010RU39QAG</t>
  </si>
  <si>
    <t>2020 - Renewal Accenture OBO BMW Group</t>
  </si>
  <si>
    <t>0060W000012wfSZQAY</t>
  </si>
  <si>
    <t>2021-REN-Janssen Pharma</t>
  </si>
  <si>
    <t>0060W00000zOx2QQAS</t>
  </si>
  <si>
    <t>2020 Renewal - Janssen Pharma</t>
  </si>
  <si>
    <t>0060W00000y7ETIQA2</t>
  </si>
  <si>
    <t>Ideal Living</t>
  </si>
  <si>
    <t>0060W00000y7uVzQAI</t>
  </si>
  <si>
    <t>2020 Renewal Ideal Living</t>
  </si>
  <si>
    <t>0060W00000zNqaoQAC</t>
  </si>
  <si>
    <t>2019 Renewal - IG</t>
  </si>
  <si>
    <t>0066T000016GbzHQAS</t>
  </si>
  <si>
    <t>2022 - REN - GVC (BWIN)</t>
  </si>
  <si>
    <t>0060W00000y88ofQAA</t>
  </si>
  <si>
    <t>2021 Renewal - GVC (BWIN)</t>
  </si>
  <si>
    <t>0060W00000y8o5dQAA</t>
  </si>
  <si>
    <t>2020 Renewal - NGS</t>
  </si>
  <si>
    <t>0060W000011otbxQAA</t>
  </si>
  <si>
    <t>2022 Renewal - US Cellular</t>
  </si>
  <si>
    <t>0060W00000y8oEkQAI</t>
  </si>
  <si>
    <t>2019 Renewal - US Cellular</t>
  </si>
  <si>
    <t>0060W00000y7qCnQAI</t>
  </si>
  <si>
    <t>2019-REN-Experian</t>
  </si>
  <si>
    <t>0060W000012KkzZQAS</t>
  </si>
  <si>
    <t>2021-REN-Tyson Food Company</t>
  </si>
  <si>
    <t>0066T0000168dddQAA</t>
  </si>
  <si>
    <t>2022-REN-Tyson Food Company</t>
  </si>
  <si>
    <t>006VH00000SaN2pYAF</t>
  </si>
  <si>
    <t>2028 - REN - Brunello Cucinelli</t>
  </si>
  <si>
    <t>0060W000015P7nYQAS</t>
  </si>
  <si>
    <t>2021 - UP - Goldman Sachs - Technology</t>
  </si>
  <si>
    <t>006VH000000gvrVYAQ</t>
  </si>
  <si>
    <t>2025 - REN - Goldman Sachs</t>
  </si>
  <si>
    <t>0060W000012uPxCQAU</t>
  </si>
  <si>
    <t>2021-REN-ServiceMaster</t>
  </si>
  <si>
    <t>0060W000015PJaoQAG</t>
  </si>
  <si>
    <t>2022-REN-ServiceMaster</t>
  </si>
  <si>
    <t>0066T00001DOBsKQAX</t>
  </si>
  <si>
    <t>2024 - REN - Accenture</t>
  </si>
  <si>
    <t>006VH00000SaHlOYAV</t>
  </si>
  <si>
    <t>2026 - REN - Merck KGaA</t>
  </si>
  <si>
    <t>006VH00000hjEndYAE</t>
  </si>
  <si>
    <t>2027 - REN - Merck KGaA</t>
  </si>
  <si>
    <t>006VH000001aOxmYAE</t>
  </si>
  <si>
    <t>2025 - REN - Merck KGaA</t>
  </si>
  <si>
    <t>0066T00001ABvLxQAL</t>
  </si>
  <si>
    <t>2024 - REN - Merck KGaA</t>
  </si>
  <si>
    <t>0060W00000zOCcOQAW</t>
  </si>
  <si>
    <t>2020 Renewal - Exxon</t>
  </si>
  <si>
    <t>0060W0000122L5KQAU</t>
  </si>
  <si>
    <t>2020-REN-SHRM</t>
  </si>
  <si>
    <t>0060W00000zP6nLQAS</t>
  </si>
  <si>
    <t>2019 Renewal - SHRM</t>
  </si>
  <si>
    <t>0060W00000ztL9aQAE</t>
  </si>
  <si>
    <t>2020 Renewal - GEICO</t>
  </si>
  <si>
    <t>0060W000010NiViQAK</t>
  </si>
  <si>
    <t>2020 Renewal - IQVIA</t>
  </si>
  <si>
    <t>0060W00000zNcRGQA0</t>
  </si>
  <si>
    <t>2019 Renewal - Vacasa</t>
  </si>
  <si>
    <t>0060W000015PVUaQAO</t>
  </si>
  <si>
    <t>2022-REN-Thalys-WebAssurance</t>
  </si>
  <si>
    <t>0066T000016js4CQAQ</t>
  </si>
  <si>
    <t>2022-REN-MediaMonks</t>
  </si>
  <si>
    <t>0066T00001DNmUgQAL</t>
  </si>
  <si>
    <t>2024 - REN - Canadian Tire Corporation</t>
  </si>
  <si>
    <t>0066T000015o7aoQAA</t>
  </si>
  <si>
    <t>2022 - REN - Canadian Tire</t>
  </si>
  <si>
    <t>0060W00000zPEW1QAO</t>
  </si>
  <si>
    <t>2021-REN-Royal &amp; Sun Alliance Insurance (Middle East) B.S.C.</t>
  </si>
  <si>
    <t>0060W000015PnJiQAK</t>
  </si>
  <si>
    <t>2022-REN-Royal &amp; Sun Alliance Insurance (Middle East) B.S.C.</t>
  </si>
  <si>
    <t>0066T000016mR8NQAU</t>
  </si>
  <si>
    <t>2023 - REN - Walgreens</t>
  </si>
  <si>
    <t>006VH00000ZPUA5YAP</t>
  </si>
  <si>
    <t>2026 - REN - SBS</t>
  </si>
  <si>
    <t>006VH00000HHkz7YAD</t>
  </si>
  <si>
    <t>2025 - REN - SBS</t>
  </si>
  <si>
    <t>0066T00001C9MOuQAN</t>
  </si>
  <si>
    <t>2024 - REN - SBS</t>
  </si>
  <si>
    <t>0066T000018FcB2QAK</t>
  </si>
  <si>
    <t>2023 - REN - SBS</t>
  </si>
  <si>
    <t>0060W00000zNrscQAC</t>
  </si>
  <si>
    <t>2019 Renewal - The Trainline</t>
  </si>
  <si>
    <t>006d000000qXHHoAAO</t>
  </si>
  <si>
    <t>2018 Renewal - The Trainline</t>
  </si>
  <si>
    <t>0066T000016GtIDQA0</t>
  </si>
  <si>
    <t>2022-REN-The Trainline</t>
  </si>
  <si>
    <t>0060W000013pbM3QAI</t>
  </si>
  <si>
    <t>2021-REN-The Trainline</t>
  </si>
  <si>
    <t>0060W000011TXWTQA4</t>
  </si>
  <si>
    <t>2020 Renewal - The Trainline</t>
  </si>
  <si>
    <t>0060W000015PnNfQAK</t>
  </si>
  <si>
    <t>2022-REN-Disney International</t>
  </si>
  <si>
    <t>0060W000012JcdqQAC</t>
  </si>
  <si>
    <t>2021-REN-Disney International</t>
  </si>
  <si>
    <t>0060W000010QYRnQAO</t>
  </si>
  <si>
    <t>2020 Renewal - Disney International</t>
  </si>
  <si>
    <t>0060W00000zPkffQAC</t>
  </si>
  <si>
    <t>2021 Renewal - Bed Bath &amp; Beyond</t>
  </si>
  <si>
    <t>0066T000016lg1DQAQ</t>
  </si>
  <si>
    <t>2022-REN-Endress Gruppe</t>
  </si>
  <si>
    <t>0060W000014mZ7LQAU</t>
  </si>
  <si>
    <t>2021-REN-Endress Gruppe</t>
  </si>
  <si>
    <t>0060W0000120kJrQAI</t>
  </si>
  <si>
    <t>2020 Renewal - Endress Gruppe</t>
  </si>
  <si>
    <t>0060W00000zNDdfQAG</t>
  </si>
  <si>
    <t>2019 Renewal - Endress Gruppe</t>
  </si>
  <si>
    <t>0060W00000zPmcTQAS</t>
  </si>
  <si>
    <t>2020 Renewal - Cardinal Path OBO Chevron</t>
  </si>
  <si>
    <t>006d000000uEhzlAAC</t>
  </si>
  <si>
    <t>2017 Renewal - Michigan Lottery</t>
  </si>
  <si>
    <t>006d000000uDZR5AAO</t>
  </si>
  <si>
    <t>2016 Renewal - Michigan Lottery</t>
  </si>
  <si>
    <t>0060W00000wwiOBQAY</t>
  </si>
  <si>
    <t>2018 Renewal - Michigan Lottery</t>
  </si>
  <si>
    <t>0060W000012T07HQAS</t>
  </si>
  <si>
    <t>2021-REN-GE Healthcare</t>
  </si>
  <si>
    <t>0060W000010PBIPQA4</t>
  </si>
  <si>
    <t>2020 Renewal - GE Healthcare</t>
  </si>
  <si>
    <t>0060W00000zHAXXQA4</t>
  </si>
  <si>
    <t>2020 Renewal - Radio-Canada</t>
  </si>
  <si>
    <t>0066T000015qQ7SQAU</t>
  </si>
  <si>
    <t>2022-REN-Rent Group Inc.</t>
  </si>
  <si>
    <t>0060W000013r66YQAQ</t>
  </si>
  <si>
    <t>2021-REN-RentPath</t>
  </si>
  <si>
    <t>0060W00000zMzIKQA0</t>
  </si>
  <si>
    <t>2020 Renewal - RentPath</t>
  </si>
  <si>
    <t>0060W0000133uAWQAY</t>
  </si>
  <si>
    <t>2021-REN-SBB-WebAssurance</t>
  </si>
  <si>
    <t>0060W000010Q7oJQAS</t>
  </si>
  <si>
    <t>2020 Renewal - SBB-WebAssurance</t>
  </si>
  <si>
    <t>006VH00000ZhZ4pYAF</t>
  </si>
  <si>
    <t>2026 - REN - Lenovo</t>
  </si>
  <si>
    <t>006VH00000LQGufYAH</t>
  </si>
  <si>
    <t>2025 - REN - Lenovo</t>
  </si>
  <si>
    <t>0066T000016HLlzQAG</t>
  </si>
  <si>
    <t>2022-REN-TE Connectivity</t>
  </si>
  <si>
    <t>0060W000013rgPtQAI</t>
  </si>
  <si>
    <t>2021-REN-TE Connectivity</t>
  </si>
  <si>
    <t>0060W000011SfVtQAK</t>
  </si>
  <si>
    <t>2020 Renewal - TE Connectivity</t>
  </si>
  <si>
    <t>0060W000013tNAWQA2</t>
  </si>
  <si>
    <t>2021-REN-Logitech</t>
  </si>
  <si>
    <t>0060W00000zNDZiQAO</t>
  </si>
  <si>
    <t>2020 Renewal - Logitech</t>
  </si>
  <si>
    <t>0060W00000zNE9RQAW</t>
  </si>
  <si>
    <t>2019 Renewal - 1-800 Contacts</t>
  </si>
  <si>
    <t>006VH00000BIOQYYA5</t>
  </si>
  <si>
    <t>2026 - REN - Fiserv</t>
  </si>
  <si>
    <t>0066T000018FCPIQA4</t>
  </si>
  <si>
    <t>2024 - REN - Fiserv</t>
  </si>
  <si>
    <t>0060W000013JUyBQAW</t>
  </si>
  <si>
    <t>2022-REN-Fiserv Inc</t>
  </si>
  <si>
    <t>0060W00000zONs0QAG</t>
  </si>
  <si>
    <t>2019 Renewal - Wilson Electronics</t>
  </si>
  <si>
    <t>0066T000017VtvrQAC</t>
  </si>
  <si>
    <t>2024-REN- NYU Langone Medical</t>
  </si>
  <si>
    <t>0066T000017Wo06QAC</t>
  </si>
  <si>
    <t>2023-REN-Alcon</t>
  </si>
  <si>
    <t>0060W000014oOofQAE</t>
  </si>
  <si>
    <t>2022-REN-Alcon</t>
  </si>
  <si>
    <t>0060W00001243zWQAQ</t>
  </si>
  <si>
    <t>2021-REN-Alcon</t>
  </si>
  <si>
    <t>0060W00000zPceuQAC</t>
  </si>
  <si>
    <t>2020 Renewal - Alcon</t>
  </si>
  <si>
    <t>0066T000016lsdzQAA</t>
  </si>
  <si>
    <t>2022-REN-Capital One US</t>
  </si>
  <si>
    <t>0060W000014md3OQAQ</t>
  </si>
  <si>
    <t>2021-REN-Capital One US</t>
  </si>
  <si>
    <t>0060W0000121pfNQAQ</t>
  </si>
  <si>
    <t>2020 Renewal - Capital One US</t>
  </si>
  <si>
    <t>0060W00000zOwynQAC</t>
  </si>
  <si>
    <t>2019 Renewal - Capital One US</t>
  </si>
  <si>
    <t>0066T000016Gj7uQAC</t>
  </si>
  <si>
    <t>2023-REN-Officeworks</t>
  </si>
  <si>
    <t>0060W000013mYLcQAM</t>
  </si>
  <si>
    <t>2021-REN-Officeworks-WA</t>
  </si>
  <si>
    <t>0060W00000zO7GLQA0</t>
  </si>
  <si>
    <t>2019 Renewal - EliteSEM obo Terminix</t>
  </si>
  <si>
    <t>006VH00000bATWYYA4</t>
  </si>
  <si>
    <t>2026 - REN - Canadian Tire Corporation</t>
  </si>
  <si>
    <t>0066T000017VtyvQAC</t>
  </si>
  <si>
    <t>2023 - REN - Panera Bread - Web</t>
  </si>
  <si>
    <t>0066T000015QW63QAG</t>
  </si>
  <si>
    <t>2022 - REN - Panera Bread - Web</t>
  </si>
  <si>
    <t>0066T000017U0gaQAC</t>
  </si>
  <si>
    <t>2023 - REN - Puma - Technology Governance &amp; Privacy Compliance</t>
  </si>
  <si>
    <t>006VH00000aMrYpYAK</t>
  </si>
  <si>
    <t>2026 - REN - ERGO Group</t>
  </si>
  <si>
    <t>006VH00000GrCBVYA3</t>
  </si>
  <si>
    <t>2025 - REN - ERGO Group</t>
  </si>
  <si>
    <t>0066T000017vpi9QAA</t>
  </si>
  <si>
    <t>2023 - REN - Boston Scientific</t>
  </si>
  <si>
    <t>006VH00000eaxP7YAI</t>
  </si>
  <si>
    <t>0066T00001DkFdtQAF</t>
  </si>
  <si>
    <t>2024 - REN - Darden Restaurants</t>
  </si>
  <si>
    <t>006VH00000OSbVAYA1</t>
  </si>
  <si>
    <t>2025 - REN - Darden Restaurants</t>
  </si>
  <si>
    <t>006VH00000dNgg2YAC</t>
  </si>
  <si>
    <t>0066T000016jt2kQAA</t>
  </si>
  <si>
    <t>2022-REN-Allergan Aesthetics</t>
  </si>
  <si>
    <t>0066T000017URRcQAO</t>
  </si>
  <si>
    <t>2023 - REN - Kingfisher tech &amp; privacy</t>
  </si>
  <si>
    <t>0060W000013ITyHQAW</t>
  </si>
  <si>
    <t>2021-REN-Visible</t>
  </si>
  <si>
    <t>0066T000015o7lDQAQ</t>
  </si>
  <si>
    <t>2022-REN-Visible</t>
  </si>
  <si>
    <t>0066T000015RxxkQAC</t>
  </si>
  <si>
    <t>2024 - REN - Macmillan Cancer Support</t>
  </si>
  <si>
    <t>0066T000018z5QuQAI</t>
  </si>
  <si>
    <t>2023 - REN - Hello bank</t>
  </si>
  <si>
    <t>0066T000016nT36QAE</t>
  </si>
  <si>
    <t>2022 - REN OPT IN - Providence St. Joseph Health</t>
  </si>
  <si>
    <t>0066T000015qQ9dQAE</t>
  </si>
  <si>
    <t>2022 - REN - Exact Sciences - Tech Governance</t>
  </si>
  <si>
    <t>0066T000018H2aTQAS</t>
  </si>
  <si>
    <t>2024 - REN - Wyndham Hotels &amp; Resorts</t>
  </si>
  <si>
    <t>006VH00000P7dCjYAJ</t>
  </si>
  <si>
    <t>2025 - REN - Avis Budget Group</t>
  </si>
  <si>
    <t>006VH00000hNq8RYAS</t>
  </si>
  <si>
    <t>2026 - REN - Avis Budget Group</t>
  </si>
  <si>
    <t>0066T00001EJmgrQAD</t>
  </si>
  <si>
    <t>2024 - REN - Avis Budget Group</t>
  </si>
  <si>
    <t>0060W0000134xwkQAA</t>
  </si>
  <si>
    <t>2021-REN-Schibsted Group</t>
  </si>
  <si>
    <t>0066T000016GV8tQAG</t>
  </si>
  <si>
    <t>2022-REN-Schibsted Group</t>
  </si>
  <si>
    <t>0066T00001BAYiwQAH</t>
  </si>
  <si>
    <t>2024 - REN - Honda Motor Company</t>
  </si>
  <si>
    <t>0066T00001BA5aXQAT</t>
  </si>
  <si>
    <t>2024 - REN - Telstra</t>
  </si>
  <si>
    <t>0060W000011SfJEQA0</t>
  </si>
  <si>
    <t>2021 Renewal - MediaCorp</t>
  </si>
  <si>
    <t>0066T000016nSdvQAE</t>
  </si>
  <si>
    <t>2023-REN-MediaCorp</t>
  </si>
  <si>
    <t>006VH00000SaPnlYAF</t>
  </si>
  <si>
    <t>2026 - REN - Virgin Australia Airlines</t>
  </si>
  <si>
    <t>0066T00001AE4DGQA1</t>
  </si>
  <si>
    <t>2024 - REN - DMPG OBO Virgin Australia Airlines</t>
  </si>
  <si>
    <t>0066T000016nSuXQAU</t>
  </si>
  <si>
    <t>2023-REN-Dotdash</t>
  </si>
  <si>
    <t>0066T000017WgJeQAK</t>
  </si>
  <si>
    <t>2024 - REN - Dropbox</t>
  </si>
  <si>
    <t>006VH00000S9tLJYAZ</t>
  </si>
  <si>
    <t>2026 - REN - El Arte De Medir</t>
  </si>
  <si>
    <t>0066T00001921dbQAA</t>
  </si>
  <si>
    <t>2023 - REN - ROI-DNA</t>
  </si>
  <si>
    <t>0066T000018ICdOQAW</t>
  </si>
  <si>
    <t>2023 - REN - Woolworths Group</t>
  </si>
  <si>
    <t>0066T000016lrlTQAQ</t>
  </si>
  <si>
    <t>2022 - REN - On Running</t>
  </si>
  <si>
    <t>0066T00001DnwLxQAJ</t>
  </si>
  <si>
    <t>2025 - REN - Kurt Geiger</t>
  </si>
  <si>
    <t>0066T000016k3y8QAA</t>
  </si>
  <si>
    <t>2023 - REN - Kurt Geiger - Tech Governance &amp; Privacy</t>
  </si>
  <si>
    <t>0066T00001CzLmjQAF</t>
  </si>
  <si>
    <t>2024 - REN - Volkswagen</t>
  </si>
  <si>
    <t>0060W000013suHqQAI</t>
  </si>
  <si>
    <t>2021-REN-Norwegian Cruise Line</t>
  </si>
  <si>
    <t>0066T000015qPxcQAE</t>
  </si>
  <si>
    <t>2022-REN-Norwegian Cruise Line</t>
  </si>
  <si>
    <t>0066T000017Vtt2QAC</t>
  </si>
  <si>
    <t>2024 - REN - Dow</t>
  </si>
  <si>
    <t>006VH00000DeR0RYAV</t>
  </si>
  <si>
    <t>2025 - REN - Walker Analytics</t>
  </si>
  <si>
    <t>0066T000016nRb1QAE</t>
  </si>
  <si>
    <t>2023 - REN - Wilko - Tech Gov</t>
  </si>
  <si>
    <t>0060W000014oVMDQA2</t>
  </si>
  <si>
    <t>2021-REN-Carnival Corporation &amp; plc</t>
  </si>
  <si>
    <t>0066T000016mW3jQAE</t>
  </si>
  <si>
    <t>2022-REN-Carnival Corporation &amp; plc</t>
  </si>
  <si>
    <t>006VH00000PZm6bYAD</t>
  </si>
  <si>
    <t>2025 - REN - Roots Analytics</t>
  </si>
  <si>
    <t>006VH00000dYpknYAC</t>
  </si>
  <si>
    <t>2026 - REN - Roots Analytics</t>
  </si>
  <si>
    <t>0066T00001EJqoLQAT</t>
  </si>
  <si>
    <t>2024 - REN - Roots Analytics</t>
  </si>
  <si>
    <t>0066T0000190EQqQAM</t>
  </si>
  <si>
    <t>2023 - REN - Roots Analytics</t>
  </si>
  <si>
    <t>0066T000016k0daQAA</t>
  </si>
  <si>
    <t>2022 - REN - Roots Analytics</t>
  </si>
  <si>
    <t>0066T000017UayhQAC</t>
  </si>
  <si>
    <t>2023 - REN - H&amp;M Group - 1yr with 6mo opt out part 1</t>
  </si>
  <si>
    <t>0066T000016nRnpQAE</t>
  </si>
  <si>
    <t>2023-REN-Sotheby's</t>
  </si>
  <si>
    <t>006VH00000WL0XHYA1</t>
  </si>
  <si>
    <t>2026 - REN - Truist</t>
  </si>
  <si>
    <t>006VH000008HTiZYAW</t>
  </si>
  <si>
    <t>2025 - REN - Truist (year 3 of 3)</t>
  </si>
  <si>
    <t>0066T00001BB26jQAD</t>
  </si>
  <si>
    <t>2024 - REN - Truist - YEAR 2 of 3</t>
  </si>
  <si>
    <t>0066T000018HiLzQAK</t>
  </si>
  <si>
    <t>2023 - REN - PUBLICIS MEDIA ASIA PACIFIC REGIONAL CENTRE</t>
  </si>
  <si>
    <t>0066T000016kB2uQAE</t>
  </si>
  <si>
    <t>2022 - REN - Publicis Groupe (Singapore)</t>
  </si>
  <si>
    <t>0066T000017vm9qQAA</t>
  </si>
  <si>
    <t>2023 - REN - Vision Service Plan</t>
  </si>
  <si>
    <t>0066T00001Cz9EfQAJ</t>
  </si>
  <si>
    <t>2024 - REN - Indegene</t>
  </si>
  <si>
    <t>0066T000016kHYkQAM</t>
  </si>
  <si>
    <t>2022 - REN - Indegene</t>
  </si>
  <si>
    <t>0066T000016nRfbQAE</t>
  </si>
  <si>
    <t>2023 - REN - Land O' Lakes</t>
  </si>
  <si>
    <t>006VH000000xeflYAA</t>
  </si>
  <si>
    <t>2025 - REN - Frontdoor</t>
  </si>
  <si>
    <t>0066T000016mw6yQAA</t>
  </si>
  <si>
    <t>2024-REN-Elsevier "Global"</t>
  </si>
  <si>
    <t>006VH00000RSTfUYAX</t>
  </si>
  <si>
    <t>2025 - REN - RELX Group</t>
  </si>
  <si>
    <t>006VH00000gF6JVYA0</t>
  </si>
  <si>
    <t>2026 - REN - RELX Group</t>
  </si>
  <si>
    <t>0066T000017Txm2QAC</t>
  </si>
  <si>
    <t>2023 - REN - Lumen</t>
  </si>
  <si>
    <t>0060W000014nR1IQAU</t>
  </si>
  <si>
    <t>2021-REN- Sub Zero via H3 Insights</t>
  </si>
  <si>
    <t>0066T000016mE3cQAE</t>
  </si>
  <si>
    <t>2022-REN- Sub Zero via H3 Insights</t>
  </si>
  <si>
    <t>0066T000018zHXNQA2</t>
  </si>
  <si>
    <t>2023 - REN - Apple</t>
  </si>
  <si>
    <t>006VH00000PYOsmYAH</t>
  </si>
  <si>
    <t>2025 - REN - Apple</t>
  </si>
  <si>
    <t>0066T00001CNG92QAH</t>
  </si>
  <si>
    <t>2024 - REN - Apple</t>
  </si>
  <si>
    <t>006VH000002Fvw8YAC</t>
  </si>
  <si>
    <t>2024 - REN - Navy Federal Credit Union</t>
  </si>
  <si>
    <t>0066T000016mqtOQAQ</t>
  </si>
  <si>
    <t>2024 - REN - Security Service Federal Credit Union</t>
  </si>
  <si>
    <t>006VH00000Pxda1YAB</t>
  </si>
  <si>
    <t>2025 - REN - Dignity Health</t>
  </si>
  <si>
    <t>0066T000017woRDQAY</t>
  </si>
  <si>
    <t>2023 - REN - Dignity Health</t>
  </si>
  <si>
    <t>006VH00000ei9dFYAQ</t>
  </si>
  <si>
    <t>0066T00001EK2rPQAT</t>
  </si>
  <si>
    <t>2024 - REN - Dignity Health</t>
  </si>
  <si>
    <t>0066T00001C9QniQAF</t>
  </si>
  <si>
    <t>2025 - REN - Ferguson</t>
  </si>
  <si>
    <t>0066T000017V1vnQAC</t>
  </si>
  <si>
    <t>2023 - REN - ASICS via Tealium</t>
  </si>
  <si>
    <t>0060W00000zOeGGQA0</t>
  </si>
  <si>
    <t>2021-REN-Michigan Lottery</t>
  </si>
  <si>
    <t>006VH00000f9sO9YAI</t>
  </si>
  <si>
    <t>2027 - REN - SevenOne Media</t>
  </si>
  <si>
    <t>0066T00001Cya9nQAB</t>
  </si>
  <si>
    <t>2024 - REN - MSC Industrial Supply</t>
  </si>
  <si>
    <t>006VH00000Omhw5YAB</t>
  </si>
  <si>
    <t>2025 - REN - MSC Industrial Supply</t>
  </si>
  <si>
    <t>006VH00000cCO8jYAG</t>
  </si>
  <si>
    <t>2026 - REN - MSC Industrial Supply</t>
  </si>
  <si>
    <t>0060W0000136rvgQAA</t>
  </si>
  <si>
    <t>2022 - REN - LDS Church</t>
  </si>
  <si>
    <t>0066T000017VkHlQAK</t>
  </si>
  <si>
    <t>2023 - REN - LDS Church</t>
  </si>
  <si>
    <t>0066T000017VYncQAG</t>
  </si>
  <si>
    <t>2023 - REN - FTX</t>
  </si>
  <si>
    <t>006VH000002hMhBYAU</t>
  </si>
  <si>
    <t>2025 - REN - Direct Line Group</t>
  </si>
  <si>
    <t>006VH00000BeDEjYAN</t>
  </si>
  <si>
    <t>2025 - REN - HP Inc - 6mo Ext</t>
  </si>
  <si>
    <t>006VH00000XXiIiYAL</t>
  </si>
  <si>
    <t>2025 - REN - HP Inc</t>
  </si>
  <si>
    <t>006VH000001a2AnYAI</t>
  </si>
  <si>
    <t>2024 - REN - Cambia Health Solutions</t>
  </si>
  <si>
    <t>0066T00001ACufYQAT</t>
  </si>
  <si>
    <t>2023 - REN - Ace Group</t>
  </si>
  <si>
    <t>006VH000001UaLjYAK</t>
  </si>
  <si>
    <t>2024 - REN - Ace Group</t>
  </si>
  <si>
    <t>0066T000016lispQAA</t>
  </si>
  <si>
    <t>2022-REN-American Century</t>
  </si>
  <si>
    <t>006VH00000aeWFlYAM</t>
  </si>
  <si>
    <t>2026 - REN - Civic Data</t>
  </si>
  <si>
    <t>0066T000017XqT3QAK</t>
  </si>
  <si>
    <t>2023 - REN - Barclays US - Tech Gov &amp; Privacy</t>
  </si>
  <si>
    <t>0066T00001B9NzRQAV</t>
  </si>
  <si>
    <t>2023 - REN - H&amp;M Group - 1yr with 6mo opt out Part 2</t>
  </si>
  <si>
    <t>0066T00001AEEeJQAX</t>
  </si>
  <si>
    <t>2024 - REN - Financial Times</t>
  </si>
  <si>
    <t>0066T000018zdmVQAQ</t>
  </si>
  <si>
    <t>2023 - REN - Microsoft</t>
  </si>
  <si>
    <t>006VH00000V6Gt4YAF</t>
  </si>
  <si>
    <t>2026 - REN - 1&amp;1 Internet</t>
  </si>
  <si>
    <t>0066T000017vtphQAA</t>
  </si>
  <si>
    <t>2023 - REN - Citi</t>
  </si>
  <si>
    <t>006VH00000ShfChYAJ</t>
  </si>
  <si>
    <t>2025 - REN - Citi (APP: 601)</t>
  </si>
  <si>
    <t>0066T000017VaDFQA0</t>
  </si>
  <si>
    <t>2023 - REN - Room &amp; Board</t>
  </si>
  <si>
    <t>006VH0000036dbFYAQ</t>
  </si>
  <si>
    <t>2026 - REN - Room &amp; Board</t>
  </si>
  <si>
    <t>006VH00000iLNTLYA4</t>
  </si>
  <si>
    <t>2027 - REN - Room &amp; Board</t>
  </si>
  <si>
    <t>0060W000012T0gxQAC</t>
  </si>
  <si>
    <t>2022 - REN - Optum.com - Web</t>
  </si>
  <si>
    <t>0066T000017W2vJQAS</t>
  </si>
  <si>
    <t>2024 - REN - Optum.com - Web</t>
  </si>
  <si>
    <t>0066T00001AEtxhQAD</t>
  </si>
  <si>
    <t>2023 - REN - Volkswagen</t>
  </si>
  <si>
    <t>006VH00000P7Sm0YAF</t>
  </si>
  <si>
    <t>2025 - REN - Volkswagen</t>
  </si>
  <si>
    <t>006VH00000hjF29YAE</t>
  </si>
  <si>
    <t>2026 - REN - Volkswagen</t>
  </si>
  <si>
    <t>0066T000017WnBoQAK</t>
  </si>
  <si>
    <t>2025 - REN - Sallie Mae</t>
  </si>
  <si>
    <t>006VH00000U45sfYAB</t>
  </si>
  <si>
    <t>2026 - REN - Target</t>
  </si>
  <si>
    <t>0066T00001BB9DnQAL</t>
  </si>
  <si>
    <t>2024 - REN - Robert Half International</t>
  </si>
  <si>
    <t>006VH00000W3o14YAB</t>
  </si>
  <si>
    <t>2026 - REN - Robert Half International</t>
  </si>
  <si>
    <t>006VH000008xk5RYAQ</t>
  </si>
  <si>
    <t>2025 - REN - Robert Half International</t>
  </si>
  <si>
    <t>0066T00001BA5XOQA1</t>
  </si>
  <si>
    <t>2024 - REN - JPMorgan Chase</t>
  </si>
  <si>
    <t>006VH00000Wha2bYAB</t>
  </si>
  <si>
    <t>2026 - REN - JPMorgan Chase</t>
  </si>
  <si>
    <t>0066T00001AEUO0QAP</t>
  </si>
  <si>
    <t>2024 - REN - Brittany Ferries</t>
  </si>
  <si>
    <t>006VH000002ezIBYAY</t>
  </si>
  <si>
    <t>2025 - REN - Brittany Ferries</t>
  </si>
  <si>
    <t>0066T00001BBK1kQAH</t>
  </si>
  <si>
    <t>2024 - REN - MSG Networks</t>
  </si>
  <si>
    <t>006VH00000Yal8EYAR</t>
  </si>
  <si>
    <t>2026 - REN - Canon Europe</t>
  </si>
  <si>
    <t>006VH00000QIt5VYAT</t>
  </si>
  <si>
    <t>2025 - REN - Three</t>
  </si>
  <si>
    <t>006VH00000RjzW1YAJ</t>
  </si>
  <si>
    <t>2025 - REN - Alliance for Audited Media</t>
  </si>
  <si>
    <t>006VH0000025GUTYA2</t>
  </si>
  <si>
    <t>2024 - REN - UNICEF</t>
  </si>
  <si>
    <t>006VH00000gFSWrYAO</t>
  </si>
  <si>
    <t>2026 - REN - Protiviti</t>
  </si>
  <si>
    <t>006VH00000c6fPEYAY</t>
  </si>
  <si>
    <t>2026 - REN - Otsuka</t>
  </si>
  <si>
    <t>006VH000000NfP3YAK</t>
  </si>
  <si>
    <t>2024 - REN - UnitedHealth Group</t>
  </si>
  <si>
    <t>0066T000016GbpvQAC</t>
  </si>
  <si>
    <t>2022-REN-Rodan + Fields</t>
  </si>
  <si>
    <t>006VH00000JsxpoYAB</t>
  </si>
  <si>
    <t>2025 - REN - Okta</t>
  </si>
  <si>
    <t>0066T00001AEWgmQAH</t>
  </si>
  <si>
    <t>2024 - REN - Alcon</t>
  </si>
  <si>
    <t>006VH00000BA6diYAD</t>
  </si>
  <si>
    <t>2025 - REN - Salesforce</t>
  </si>
  <si>
    <t>006VH00000WiJsaYAF</t>
  </si>
  <si>
    <t>2026 - REN - Salesforce</t>
  </si>
  <si>
    <t>0066T000017XfFZQA0</t>
  </si>
  <si>
    <t>2023 - REN - MSG Networks</t>
  </si>
  <si>
    <t>0066T000017Xn2PQAS</t>
  </si>
  <si>
    <t>2023 - REN - Western Union</t>
  </si>
  <si>
    <t>0066T00001ACdPMQA1</t>
  </si>
  <si>
    <t>2023 - REN - MediaMonks</t>
  </si>
  <si>
    <t>0066T000017UNyLQAW</t>
  </si>
  <si>
    <t>2023-REN-REI</t>
  </si>
  <si>
    <t>0066T00001AE4GoQAL</t>
  </si>
  <si>
    <t>2024 - REN - REI</t>
  </si>
  <si>
    <t>0060W000014oOONQA2</t>
  </si>
  <si>
    <t>2023 - REN - Torrid</t>
  </si>
  <si>
    <t>006VH000003rewsYAA</t>
  </si>
  <si>
    <t>2025 - REN - Torrid</t>
  </si>
  <si>
    <t>0066T00001ACGJEQA5</t>
  </si>
  <si>
    <t>2024 - REN - Torrid</t>
  </si>
  <si>
    <t>0066T00001BB1C2QAL</t>
  </si>
  <si>
    <t>2024 - REN - Eli Lilly</t>
  </si>
  <si>
    <t>006VH00000VaVMnYAN</t>
  </si>
  <si>
    <t>2026 - REN - Eli Lilly - EXPIRING</t>
  </si>
  <si>
    <t>0066T00001CMnCAQA1</t>
  </si>
  <si>
    <t>2024 - REN - DMPG</t>
  </si>
  <si>
    <t>0066T000018HnFSQA0</t>
  </si>
  <si>
    <t>2023 - REN - K12</t>
  </si>
  <si>
    <t>0066T000018GeWAQA0</t>
  </si>
  <si>
    <t>2024 - REN - Springer Nature</t>
  </si>
  <si>
    <t>0066T000018HHVSQA4</t>
  </si>
  <si>
    <t>2023 - REN - Follett</t>
  </si>
  <si>
    <t>006VH00000Be74UYAR</t>
  </si>
  <si>
    <t>2025 - REN - Eli Lilly</t>
  </si>
  <si>
    <t>0066T000017vy1WQAQ</t>
  </si>
  <si>
    <t>2023 - REN - Laughlin Constable</t>
  </si>
  <si>
    <t>0066T00001EK7fyQAD</t>
  </si>
  <si>
    <t>2024 - REN - Laughlin Constable</t>
  </si>
  <si>
    <t>006VH000001IymjYAC</t>
  </si>
  <si>
    <t>2024 - REN - PGA TOUR</t>
  </si>
  <si>
    <t>006VH00000RezV4YAJ</t>
  </si>
  <si>
    <t>2025 - REN - PGA TOUR</t>
  </si>
  <si>
    <t>006VH00000gFR7lYAG</t>
  </si>
  <si>
    <t>2026 - REN - PGA TOUR</t>
  </si>
  <si>
    <t>0066T000016GVceQAG</t>
  </si>
  <si>
    <t>2022-REN-Lululemon Athletica Inc</t>
  </si>
  <si>
    <t>0066T000018H3K2QAK</t>
  </si>
  <si>
    <t>2023 - REN - The Swiss Colony</t>
  </si>
  <si>
    <t>0066T00001ACyUQQA1</t>
  </si>
  <si>
    <t>2023 - REN - Sub-Zero, Wolf, &amp; Cove</t>
  </si>
  <si>
    <t>006VH00000PZlthYAD</t>
  </si>
  <si>
    <t>2025 - REN - The Salvation Army International</t>
  </si>
  <si>
    <t>006VH00000hYRmdYAG</t>
  </si>
  <si>
    <t>2027 - REN - Drumline</t>
  </si>
  <si>
    <t>006VH000003U8xkYAC</t>
  </si>
  <si>
    <t>2025 - REN - Drumline</t>
  </si>
  <si>
    <t>0066T00001Do7x6QAB</t>
  </si>
  <si>
    <t>2024 - REN - Lerma</t>
  </si>
  <si>
    <t>0066T00001AFpllQAD</t>
  </si>
  <si>
    <t>2024 - REN - Drumline</t>
  </si>
  <si>
    <t>006VH000002eWknYAE</t>
  </si>
  <si>
    <t>2025 - REN - Home Depot</t>
  </si>
  <si>
    <t>0066T000016lrgJQAQ</t>
  </si>
  <si>
    <t>2022-REN-Genentech</t>
  </si>
  <si>
    <t>006VH00000ROOzKYAX</t>
  </si>
  <si>
    <t>2025 - REN - Genentech</t>
  </si>
  <si>
    <t>006VH00000h44kDYAQ</t>
  </si>
  <si>
    <t>2026 - REN - Genentech</t>
  </si>
  <si>
    <t>006VH000005KA8PYAW</t>
  </si>
  <si>
    <t>2026 - REN - Bread Financial</t>
  </si>
  <si>
    <t>0066T00001B8ZY3QAN</t>
  </si>
  <si>
    <t>2024 - REN - Bread Financial</t>
  </si>
  <si>
    <t>0066T000017URU2QAO</t>
  </si>
  <si>
    <t>2023 - REN -Bread Financial</t>
  </si>
  <si>
    <t>0060W000014oOJ8QAM</t>
  </si>
  <si>
    <t>2022 - REN -Alliance Data -  Comenity</t>
  </si>
  <si>
    <t>0066T00001AEaEtQAL</t>
  </si>
  <si>
    <t>2024 - REN - Reo</t>
  </si>
  <si>
    <t>0066T000015qaG7QAI</t>
  </si>
  <si>
    <t>2022 - REN - Dignity Health</t>
  </si>
  <si>
    <t>0066T000017vqP4QAI</t>
  </si>
  <si>
    <t>2023 - REN - Darden Restaurants</t>
  </si>
  <si>
    <t>006VH00000eKXiLYAW</t>
  </si>
  <si>
    <t>2026 - REN - UPMC</t>
  </si>
  <si>
    <t>006VH00000TtLmHYAV</t>
  </si>
  <si>
    <t>2026 - REN - The Scotts Co. LLC</t>
  </si>
  <si>
    <t>006VH00000ioeAbYAI</t>
  </si>
  <si>
    <t>2027 - REN - The Scotts Co. LLC</t>
  </si>
  <si>
    <t>0066T000018zD3pQAE</t>
  </si>
  <si>
    <t>2023 - REN - McDonald's</t>
  </si>
  <si>
    <t>006VH00000c6dNNYAY</t>
  </si>
  <si>
    <t>2026 - REN - FindLaw</t>
  </si>
  <si>
    <t>006VH000004zOnuYAE</t>
  </si>
  <si>
    <t>2025 - REN - Merz Pharma</t>
  </si>
  <si>
    <t>006VH00000UMli9YAD</t>
  </si>
  <si>
    <t>0066T000018HnXkQAK</t>
  </si>
  <si>
    <t>2023 - REN - Canadian Tire Corporation</t>
  </si>
  <si>
    <t>006VH00000LQ8ibYAD</t>
  </si>
  <si>
    <t>2025 - REN - Canadian Tire Corporation</t>
  </si>
  <si>
    <t>0066T000016lOAxQAM</t>
  </si>
  <si>
    <t>2022-REN-Marsh &amp; McLennan Companies</t>
  </si>
  <si>
    <t>0066T00001ACEM2QAP</t>
  </si>
  <si>
    <t>2023 - REN - Saxo Bank</t>
  </si>
  <si>
    <t>006VH00000iVBVhYAO</t>
  </si>
  <si>
    <t>2026 - REN - Saxo Bank</t>
  </si>
  <si>
    <t>006VH000001jwX7YAI</t>
  </si>
  <si>
    <t>2024 - REN - Saxo Bank</t>
  </si>
  <si>
    <t>006VH00000YM1Y9YAL</t>
  </si>
  <si>
    <t>2026 - REN - The Home Depot of Canada</t>
  </si>
  <si>
    <t>0066T000016lTDqQAM</t>
  </si>
  <si>
    <t>2022-REN-Extra Space Storage</t>
  </si>
  <si>
    <t>0066T00001BC0l2QAD</t>
  </si>
  <si>
    <t>2024 - REN - Merck</t>
  </si>
  <si>
    <t>0066T00001B8wa5QAB</t>
  </si>
  <si>
    <t>2023 - REN - Thalys International</t>
  </si>
  <si>
    <t>0066T000017Y2TzQAK</t>
  </si>
  <si>
    <t>2024 - REN - RS Components</t>
  </si>
  <si>
    <t>006VH0000096LcUYAU</t>
  </si>
  <si>
    <t>2025 - REN - RS Components</t>
  </si>
  <si>
    <t>0060W00000vWnouQAC</t>
  </si>
  <si>
    <t>2018 - REN - Acceleration - Wunderman Contract</t>
  </si>
  <si>
    <t>006d000000ZgE4UAAV</t>
  </si>
  <si>
    <t>2014 Renewal - Acceleration</t>
  </si>
  <si>
    <t>006d000000hzTaxAAE</t>
  </si>
  <si>
    <t>2016 Renewal - Acceleration</t>
  </si>
  <si>
    <t>0066T000017Ty6RQAS</t>
  </si>
  <si>
    <t>2023-REN-Acceleration-Wunderman Contract</t>
  </si>
  <si>
    <t>0060W000014UljhQAC</t>
  </si>
  <si>
    <t>2022 - REN - Acceleration - Wunderman Contract</t>
  </si>
  <si>
    <t>0060W000012bBqdQAE</t>
  </si>
  <si>
    <t>2021 - REN - Acceleration - Wunderman Contract</t>
  </si>
  <si>
    <t>0060W00000ztjk1QAA</t>
  </si>
  <si>
    <t>2020 - REN - Acceleration - Wunderman Contract</t>
  </si>
  <si>
    <t>0060W00000wz0E4QAI</t>
  </si>
  <si>
    <t>2019 - REN - Acceleration - Wunderman Contract</t>
  </si>
  <si>
    <t>006VH00000E8FZhYAN</t>
  </si>
  <si>
    <t>0066T000016n7DdQAI</t>
  </si>
  <si>
    <t>2023-REN-Sirius XM</t>
  </si>
  <si>
    <t>0066T00001AE8ACQA1</t>
  </si>
  <si>
    <t>2024 - REN - Land O'Lakes</t>
  </si>
  <si>
    <t>006VH00000hj8YXYAY</t>
  </si>
  <si>
    <t>2027 - REN - Land O'Lakes</t>
  </si>
  <si>
    <t>006VH000002GapZYAS</t>
  </si>
  <si>
    <t>2025 - REN - Land O'Lakes</t>
  </si>
  <si>
    <t>0066T00001DI5HbQAL</t>
  </si>
  <si>
    <t>2024 - REN - H&amp;M Group PART 1 of 6mo opt out</t>
  </si>
  <si>
    <t>006VH00000FZhcbYAD</t>
  </si>
  <si>
    <t>2024 - REN - H&amp;M Group Part 2 of 6mo opt out</t>
  </si>
  <si>
    <t>0060W000014nZp8QAE</t>
  </si>
  <si>
    <t>2024 - REN - Qualcomm</t>
  </si>
  <si>
    <t>0066T000017XxLeQAK</t>
  </si>
  <si>
    <t>2024 - REN - EPSON</t>
  </si>
  <si>
    <t>006VH00000YLr7QYAT</t>
  </si>
  <si>
    <t>2026 - REN - EPSON</t>
  </si>
  <si>
    <t>0060W0000121qRyQAI</t>
  </si>
  <si>
    <t>2020-REN- Sub Zero Wolf Inc</t>
  </si>
  <si>
    <t>0066T000017wkFRQAY</t>
  </si>
  <si>
    <t>2023 - REN - Capital One Financial</t>
  </si>
  <si>
    <t>0066T000018z5I2QAI</t>
  </si>
  <si>
    <t>2024 - REN - CenturyLink</t>
  </si>
  <si>
    <t>0066T00001Do36bQAB</t>
  </si>
  <si>
    <t>2024 - REN - AutoZone</t>
  </si>
  <si>
    <t>0066T0000190wTlQAI</t>
  </si>
  <si>
    <t>2023 - REN - AutoZone</t>
  </si>
  <si>
    <t>0066T000015q8U3QAI</t>
  </si>
  <si>
    <t>2022 - REN - AutoZone</t>
  </si>
  <si>
    <t>0066T00001Dk4LiQAJ</t>
  </si>
  <si>
    <t>2024 - REN - Centers for Medicare &amp; Medicaid Services</t>
  </si>
  <si>
    <t>006VH00000ZN5kWYAT</t>
  </si>
  <si>
    <t>2026 - REN - Astellas Pharma</t>
  </si>
  <si>
    <t>006VH000001jSFkYAM</t>
  </si>
  <si>
    <t>2024 - REN - Swinburne University of Technology</t>
  </si>
  <si>
    <t>006VH00000Pn6FaYAJ</t>
  </si>
  <si>
    <t>2027 - REN - Norwegian Cruise Line</t>
  </si>
  <si>
    <t>006VH00000HgX2bYAF</t>
  </si>
  <si>
    <t>2025 - REN - Deloitte</t>
  </si>
  <si>
    <t>006VH00000QLXGYYA5</t>
  </si>
  <si>
    <t>2026 - REN - Mercedes-Benz AG</t>
  </si>
  <si>
    <t>0066T000018zrJZQAY</t>
  </si>
  <si>
    <t>2023 - REN - The Stable</t>
  </si>
  <si>
    <t>006VH00000RjohAYAR</t>
  </si>
  <si>
    <t>2025 - REN - American Century Investments</t>
  </si>
  <si>
    <t>006VH00000AhoF7YAJ</t>
  </si>
  <si>
    <t>2025 - REN - Lufthansa</t>
  </si>
  <si>
    <t>0066T00001CN1blQAD</t>
  </si>
  <si>
    <t>2024 - REN - Bwin</t>
  </si>
  <si>
    <t>006VH000003UvjtYAC</t>
  </si>
  <si>
    <t>2025 - REN - Massachusetts Medical Society</t>
  </si>
  <si>
    <t>0066T00001BAT0WQAX</t>
  </si>
  <si>
    <t>2024 - REN - Analytics Intelligence</t>
  </si>
  <si>
    <t>0066T0000191Po9QAE</t>
  </si>
  <si>
    <t>2023 - REN - Rolex</t>
  </si>
  <si>
    <t>0066T0000190QksQAE</t>
  </si>
  <si>
    <t>2023 - REN - Discovery Ltd</t>
  </si>
  <si>
    <t>006VH0000027xdKYAQ</t>
  </si>
  <si>
    <t>2026 - REN - Keurig Dr Pepper</t>
  </si>
  <si>
    <t>0066T00001CzLXqQAN</t>
  </si>
  <si>
    <t>2024 - REN - Citi (App 601)</t>
  </si>
  <si>
    <t>0066T00001CMcjlQAD</t>
  </si>
  <si>
    <t>2026 - REN - Mastercard</t>
  </si>
  <si>
    <t>006VH0000055Lh0YAE</t>
  </si>
  <si>
    <t>2025 - REN - Grainger</t>
  </si>
  <si>
    <t>006VH00000c6mIbYAI</t>
  </si>
  <si>
    <t>2026 - REN - Cardinal Path</t>
  </si>
  <si>
    <t>0066T000017voXnQAI</t>
  </si>
  <si>
    <t>2023 - REN - Endress+Hauser AG</t>
  </si>
  <si>
    <t>006VH00000h3ljCYAQ</t>
  </si>
  <si>
    <t>2026 - REN - Pollard Banknote</t>
  </si>
  <si>
    <t>006VH000002AXpZYAW</t>
  </si>
  <si>
    <t>2024 - REN - PBL OBO The North Carolina Education Lottery</t>
  </si>
  <si>
    <t>0066T00001AEnn0QAD</t>
  </si>
  <si>
    <t>2023 - REN - PBL OBO The North Carolina Education Lottery</t>
  </si>
  <si>
    <t>006VH0000024XdlYAE</t>
  </si>
  <si>
    <t>2025 - REN - Mediacorp Pte Ltd</t>
  </si>
  <si>
    <t>0066T00001DI593QAD</t>
  </si>
  <si>
    <t>2026 - REN - Dassault Systèmes</t>
  </si>
  <si>
    <t>0066T000017Xq0BQAS</t>
  </si>
  <si>
    <t>2023 - REN - Liberty Global</t>
  </si>
  <si>
    <t>006VH00000BnUwHYAV</t>
  </si>
  <si>
    <t>2025 - REN - GroupM Nexus</t>
  </si>
  <si>
    <t>006VH00000hYNZMYA4</t>
  </si>
  <si>
    <t>2027 - REN - Transparent Partners</t>
  </si>
  <si>
    <t>006VH00000TmjevYAB</t>
  </si>
  <si>
    <t>2026 - REN - Transparent Partners</t>
  </si>
  <si>
    <t>006VH00000ADOEtYAP</t>
  </si>
  <si>
    <t>2025 - REN - Sotheby's</t>
  </si>
  <si>
    <t>006VH00000TTkJmYAL</t>
  </si>
  <si>
    <t>2026 - REN - Sotheby's</t>
  </si>
  <si>
    <t>0066T00001BAQnYQAX</t>
  </si>
  <si>
    <t>2024 - REN - ULTA</t>
  </si>
  <si>
    <t>006VH00000iLrmOYAS</t>
  </si>
  <si>
    <t>2026 - REN - Walgreens</t>
  </si>
  <si>
    <t>0066T0000191e7KQAQ</t>
  </si>
  <si>
    <t>2022 - REN - Bain &amp; Company (After 3mo Extension)</t>
  </si>
  <si>
    <t>006VH00000THEM5YAP</t>
  </si>
  <si>
    <t>2025 - REN - Bain &amp; Company</t>
  </si>
  <si>
    <t>006VH00000gcYy9YAE</t>
  </si>
  <si>
    <t>2026 - REN - Bain &amp; Company</t>
  </si>
  <si>
    <t>006VH0000036cKDYAY</t>
  </si>
  <si>
    <t>2024 - REN - Bain &amp; Company</t>
  </si>
  <si>
    <t>0066T000018HbHIQA0</t>
  </si>
  <si>
    <t>2023 - REN - Suncorp Group</t>
  </si>
  <si>
    <t>0066T00001EK2MzQAL</t>
  </si>
  <si>
    <t>2024 - REN - Cornerstone Brands</t>
  </si>
  <si>
    <t>006VH00000PFscnYAD</t>
  </si>
  <si>
    <t>2025 - REN - Cornerstone Brands</t>
  </si>
  <si>
    <t>0066T000018Gc9nQAC</t>
  </si>
  <si>
    <t>2023 - REN - Bwin</t>
  </si>
  <si>
    <t>0066T00001B9IqeQAF</t>
  </si>
  <si>
    <t>2024 - REN - Room &amp; Board</t>
  </si>
  <si>
    <t>0066T0000190d4YQAQ</t>
  </si>
  <si>
    <t>2023 - REN - Centers for Medicare &amp; Medicaid Services</t>
  </si>
  <si>
    <t>0066T00001ABrnJQAT</t>
  </si>
  <si>
    <t>2023 - REN - Adobe (Target) - 4561</t>
  </si>
  <si>
    <t>0066T000018yK7mQAE</t>
  </si>
  <si>
    <t>2022 - REN EXP - Adobe (Target)</t>
  </si>
  <si>
    <t>006VH000000xDvhYAE</t>
  </si>
  <si>
    <t>2024 - REN - Adobe (TARGET) - 4561</t>
  </si>
  <si>
    <t>0066T0000191LULQA2</t>
  </si>
  <si>
    <t>2023 - REN - 120Feet</t>
  </si>
  <si>
    <t>0066T0000190ncsQAA</t>
  </si>
  <si>
    <t>2023 - REN - Roche</t>
  </si>
  <si>
    <t>006VH00000bY2eqYAC</t>
  </si>
  <si>
    <t>2026 - REN - Roche</t>
  </si>
  <si>
    <t>0066T00001DORnxQAH</t>
  </si>
  <si>
    <t>2024 - REN - Roche</t>
  </si>
  <si>
    <t>0066T000018I3NnQAK</t>
  </si>
  <si>
    <t>2023 - REN - Sarani</t>
  </si>
  <si>
    <t>0066T00001DHn4pQAD</t>
  </si>
  <si>
    <t>2024 - REN - Sarani</t>
  </si>
  <si>
    <t>0066T00001CMuajQAD</t>
  </si>
  <si>
    <t>2024 - REN - Duke Health</t>
  </si>
  <si>
    <t>0060W0000123Br8QAE</t>
  </si>
  <si>
    <t>2021 Renewal - Co-operative Bank</t>
  </si>
  <si>
    <t>0060W00000wyHYyQAM</t>
  </si>
  <si>
    <t>2020 Renewal - Co-operative Bank</t>
  </si>
  <si>
    <t>006VH00000ZeZm5YAF</t>
  </si>
  <si>
    <t>2026 - REN - Harvard Business Review</t>
  </si>
  <si>
    <t>0066T00001ACdbCQAT</t>
  </si>
  <si>
    <t>2023 - REN - Bain &amp; Company</t>
  </si>
  <si>
    <t>0066T00001EK2p9QAD</t>
  </si>
  <si>
    <t>2024 - REN - Inspire Brands</t>
  </si>
  <si>
    <t>006VH00000GJIPpYAP</t>
  </si>
  <si>
    <t>2025 - REN - Cotiviti</t>
  </si>
  <si>
    <t>006VH00000Ahd6nYAB</t>
  </si>
  <si>
    <t>2024 - REN - Capital One Financial</t>
  </si>
  <si>
    <t>006VH00000SaLtqYAF</t>
  </si>
  <si>
    <t>2025 - REN - Saxo Bank</t>
  </si>
  <si>
    <t>0066T00001Cz9EeQAJ</t>
  </si>
  <si>
    <t>2024 - REN - Boston Scientific</t>
  </si>
  <si>
    <t>006VH00000KKLG7YAP</t>
  </si>
  <si>
    <t>2024 - REN - AstraZeneca PRIVACY</t>
  </si>
  <si>
    <t>006VH0000045lP3YAI</t>
  </si>
  <si>
    <t>2026 - REN - AstraZeneca</t>
  </si>
  <si>
    <t>0066T00001DnqGaQAJ</t>
  </si>
  <si>
    <t>2024 - REN - 120Feet</t>
  </si>
  <si>
    <t>006VH00000Q3v9GYAR</t>
  </si>
  <si>
    <t>2025 - REN - 120Feet</t>
  </si>
  <si>
    <t>0066T000017wx5oQAA</t>
  </si>
  <si>
    <t>2023 - REN - Genentech</t>
  </si>
  <si>
    <t>0066T00001EK2sDQAT</t>
  </si>
  <si>
    <t>2024 - REN - Genentech</t>
  </si>
  <si>
    <t>006VH00000WpK0hYAF</t>
  </si>
  <si>
    <t>2026 - REN - Adobe (APP ID: 10672) Adobe Digital Strategies and Solutions</t>
  </si>
  <si>
    <t>0060W00000zNz0lQAC</t>
  </si>
  <si>
    <t>2020 Renewal - Elanco Europe</t>
  </si>
  <si>
    <t>006VH00000cCRcrYAG</t>
  </si>
  <si>
    <t>2027 - REN - Elanco</t>
  </si>
  <si>
    <t>0066T00001EJklxQAD</t>
  </si>
  <si>
    <t>2025 - REN - Elanco</t>
  </si>
  <si>
    <t>0060W000014aqzwQAA</t>
  </si>
  <si>
    <t>2023 - REN - Elanco Europe</t>
  </si>
  <si>
    <t>0066T00001Do39KQAR</t>
  </si>
  <si>
    <t>2025 - REN - Financial Times</t>
  </si>
  <si>
    <t>0066T000016nR8cQAE</t>
  </si>
  <si>
    <t>2023-REN-Whitbread</t>
  </si>
  <si>
    <t>0066T00001B9Pq1QAF</t>
  </si>
  <si>
    <t>2024 - REN - Whitbread Group</t>
  </si>
  <si>
    <t>006VH000003XXziYAG</t>
  </si>
  <si>
    <t>2025 - REN - Adobe (TAM 10588)</t>
  </si>
  <si>
    <t>0066T00001ACme7QAD</t>
  </si>
  <si>
    <t>2023 - REN - Deluxe</t>
  </si>
  <si>
    <t>006VH00000PZmWPYA1</t>
  </si>
  <si>
    <t>2025 - REN - Deluxe</t>
  </si>
  <si>
    <t>006VH00000h45egYAA</t>
  </si>
  <si>
    <t>2026 - REN - Deluxe</t>
  </si>
  <si>
    <t>006VH000000SA7hYAG</t>
  </si>
  <si>
    <t>2024 - REN - Deluxe</t>
  </si>
  <si>
    <t>0066T00001ACrzgQAD</t>
  </si>
  <si>
    <t>2024 - REN - Ramsey</t>
  </si>
  <si>
    <t>0066T000016kiwZQAQ</t>
  </si>
  <si>
    <t>2022 - REN - ESI Media</t>
  </si>
  <si>
    <t>0060W00000zNxtSQAS</t>
  </si>
  <si>
    <t>2021 Renewal - ESI Media</t>
  </si>
  <si>
    <t>006VH00000grCUHYA2</t>
  </si>
  <si>
    <t>2027 - REN - UBS</t>
  </si>
  <si>
    <t>006VH00000UWbKwYAL</t>
  </si>
  <si>
    <t>2026 - REN - UBS</t>
  </si>
  <si>
    <t>006VH000003LUKnYAO</t>
  </si>
  <si>
    <t>2025 - REN - Allianz</t>
  </si>
  <si>
    <t>006VH00000bJ7TXYA0</t>
  </si>
  <si>
    <t>2027 - REN - SolarWinds</t>
  </si>
  <si>
    <t>0066T0000190w6MQAQ</t>
  </si>
  <si>
    <t>2023 - REN - Emeritus</t>
  </si>
  <si>
    <t>0066T00001AFpvCQAT</t>
  </si>
  <si>
    <t>2024 - REN - AT&amp;T</t>
  </si>
  <si>
    <t>006VH0000027xYUYAY</t>
  </si>
  <si>
    <t>2025 - REN - Ramsey</t>
  </si>
  <si>
    <t>0066T00001EK2QmQAL</t>
  </si>
  <si>
    <t>2024 - REN - Protiviti</t>
  </si>
  <si>
    <t>0066T00001Dk4MmQAJ</t>
  </si>
  <si>
    <t>2024 - REN - The Salvation Army International</t>
  </si>
  <si>
    <t>006VH00000QLbVUYA1</t>
  </si>
  <si>
    <t>2025 - REN - Healthgrades</t>
  </si>
  <si>
    <t>0066T000017wVWpQAM</t>
  </si>
  <si>
    <t>2023 - REN - ALDI Süd</t>
  </si>
  <si>
    <t>0066T000018HNhVQAW</t>
  </si>
  <si>
    <t>2023 - REN - Astellas Pharma</t>
  </si>
  <si>
    <t>0066T000015qFroQAE</t>
  </si>
  <si>
    <t>2022 - REN - OptumRx</t>
  </si>
  <si>
    <t>0066T00001ACsA5QAL</t>
  </si>
  <si>
    <t>2023 - REN - OptumRx</t>
  </si>
  <si>
    <t>0066T000016kJAgQAM</t>
  </si>
  <si>
    <t>2023 - REN - JM Family</t>
  </si>
  <si>
    <t>006VH00000e3aEPYAY</t>
  </si>
  <si>
    <t>0066T00001DnsEJQAZ</t>
  </si>
  <si>
    <t>2025 - REN - JM Family Enterprises</t>
  </si>
  <si>
    <t>0066T00001ACsPJQA1</t>
  </si>
  <si>
    <t>2023 - REN - Carmichael Lynch OBO Subaru</t>
  </si>
  <si>
    <t>006VH00000iqL0bYAE</t>
  </si>
  <si>
    <t>2026 - REN - Carmichael Lynch OBO Butterball</t>
  </si>
  <si>
    <t>0066T00001C9SLCQA3</t>
  </si>
  <si>
    <t>2024 - REN - Astellas Pharma</t>
  </si>
  <si>
    <t>006VH00000ONys5YAD</t>
  </si>
  <si>
    <t>2025 - REN - Otsuka</t>
  </si>
  <si>
    <t>0066T00001EK2jaQAD</t>
  </si>
  <si>
    <t>2024 - REN - Otsuka</t>
  </si>
  <si>
    <t>006VH000005PH4RYAW</t>
  </si>
  <si>
    <t>2025 - REN - Four Seasons Hotels</t>
  </si>
  <si>
    <t>006VH00000V9vN1YAJ</t>
  </si>
  <si>
    <t>2026 - REN - Four Seasons Hotels</t>
  </si>
  <si>
    <t>006VH00000iod1eYAA</t>
  </si>
  <si>
    <t>2027 - REN - Four Seasons Hotels</t>
  </si>
  <si>
    <t>0066T000017VqsvQAC</t>
  </si>
  <si>
    <t>2023-REN-Agilent</t>
  </si>
  <si>
    <t>006VH00000WSqCYYA1</t>
  </si>
  <si>
    <t>2026 - REN - Agilent</t>
  </si>
  <si>
    <t>006VH00000iVUjfYAG</t>
  </si>
  <si>
    <t>006VH000008HXXdYAO</t>
  </si>
  <si>
    <t>2025 - REN - Agilent</t>
  </si>
  <si>
    <t>0066T00001AEe9cQAD</t>
  </si>
  <si>
    <t>2023 - REN - FCA Group</t>
  </si>
  <si>
    <t>006VH00000T98CBYAZ</t>
  </si>
  <si>
    <t>2025 - REN - FCA Group</t>
  </si>
  <si>
    <t>006VH00000gz12DYAQ</t>
  </si>
  <si>
    <t>2026 - REN - FCA Group</t>
  </si>
  <si>
    <t>006VH00000YLz1hYAD</t>
  </si>
  <si>
    <t>2027 - REN - Ferguson</t>
  </si>
  <si>
    <t>0066T00001BBU1QQAX</t>
  </si>
  <si>
    <t>2024 - REN - HP Inc</t>
  </si>
  <si>
    <t>006VH00000iDKZ5YAO</t>
  </si>
  <si>
    <t>2027 - REN - Insuramatch</t>
  </si>
  <si>
    <t>006VH00000h3fIqYAI</t>
  </si>
  <si>
    <t>2026 - REN - Mutual of Omaha</t>
  </si>
  <si>
    <t>006VH00000ApQfSYAV</t>
  </si>
  <si>
    <t>2025 - REN - Accenture BRAZIL</t>
  </si>
  <si>
    <t>006VH00000WKyf8YAD</t>
  </si>
  <si>
    <t>2026 - REN - Accenture</t>
  </si>
  <si>
    <t>0066T00001CNXIeQAP</t>
  </si>
  <si>
    <t>2024 - REN - Follett</t>
  </si>
  <si>
    <t>006VH00000T9aunYAB</t>
  </si>
  <si>
    <t>0066T000018yb66QAA</t>
  </si>
  <si>
    <t>2023 - REN - Trainline</t>
  </si>
  <si>
    <t>0066T00001DHnbjQAD</t>
  </si>
  <si>
    <t>2024 - REN - Wunderman Thompson</t>
  </si>
  <si>
    <t>0060W000014oEzjQAE</t>
  </si>
  <si>
    <t>2023-REN-Vodafone-UK</t>
  </si>
  <si>
    <t>006VH00000hp4C6YAI</t>
  </si>
  <si>
    <t>2026 - REN - Inspire Brands</t>
  </si>
  <si>
    <t>006VH00000UvWQ5YAN</t>
  </si>
  <si>
    <t>2026 - REN - Malwarebytes Inc.</t>
  </si>
  <si>
    <t>006VH00000ajWLZYA2</t>
  </si>
  <si>
    <t>2028 - REN - SPIE</t>
  </si>
  <si>
    <t>006VH00000LfzWTYAZ</t>
  </si>
  <si>
    <t>2025 - REN - SPIE</t>
  </si>
  <si>
    <t>0066T00001ADf5vQAD</t>
  </si>
  <si>
    <t>2024 - REN - Direct Line Group</t>
  </si>
  <si>
    <t>006VH00000TTo2OYAT</t>
  </si>
  <si>
    <t>2026 - REN - Direct Line Group</t>
  </si>
  <si>
    <t>0066T000018zD0gQAE</t>
  </si>
  <si>
    <t>2023 - REN - Norwegian Cruise Line</t>
  </si>
  <si>
    <t>0066T00001Dk46FQAR</t>
  </si>
  <si>
    <t>2024 - REN - Norwegian Cruise Line</t>
  </si>
  <si>
    <t>0066T000017vongQAA</t>
  </si>
  <si>
    <t>2024 - REN - Sage</t>
  </si>
  <si>
    <t>0066T000017XUUuQAO</t>
  </si>
  <si>
    <t>2023 - REN - Trakken Web Services</t>
  </si>
  <si>
    <t>006VH00000YM0QnYAL</t>
  </si>
  <si>
    <t>2026 - REN - Trakken</t>
  </si>
  <si>
    <t>006VH00000GQGnvYAH</t>
  </si>
  <si>
    <t>2025 - REN - Trakken</t>
  </si>
  <si>
    <t>0066T00001ACO19QAH</t>
  </si>
  <si>
    <t>2024 - REN - Trakken</t>
  </si>
  <si>
    <t>0066T00001BBTOOQA5</t>
  </si>
  <si>
    <t>2024 - REN - Walgreens Boots Alliance</t>
  </si>
  <si>
    <t>006VH00000Z0WWqYAN</t>
  </si>
  <si>
    <t>2026 - REN - Walgreens Boots Alliance</t>
  </si>
  <si>
    <t>006VH00000FBZmbYAH</t>
  </si>
  <si>
    <t>2025 - REN - Walgreens Boots Alliance</t>
  </si>
  <si>
    <t>0066T00001CNX3JQAX</t>
  </si>
  <si>
    <t>2024 - REN - Verisign</t>
  </si>
  <si>
    <t>006VH00000J2fgsYAB</t>
  </si>
  <si>
    <t>2025 - REN - Verisign</t>
  </si>
  <si>
    <t>0066T0000190nEJQAY</t>
  </si>
  <si>
    <t>2023 - REN - OMD</t>
  </si>
  <si>
    <t>0066T00001CzIYRQA3</t>
  </si>
  <si>
    <t>2024 - REN - OMD</t>
  </si>
  <si>
    <t>0066T00001CyceVQAR</t>
  </si>
  <si>
    <t>2026 - REN - Pure Storage</t>
  </si>
  <si>
    <t>0060W00000y5V4PQAU</t>
  </si>
  <si>
    <t>2019 Renewal - iProspect OBO Specsavers</t>
  </si>
  <si>
    <t>0066T000017wB1jQAE</t>
  </si>
  <si>
    <t>2023 - REN - William Hill</t>
  </si>
  <si>
    <t>006VH000000MPb1YAG</t>
  </si>
  <si>
    <t>2024 - REN - William Hill</t>
  </si>
  <si>
    <t>0066T00001BBIMfQAP</t>
  </si>
  <si>
    <t>2024 - REN - CVS Pharmacy</t>
  </si>
  <si>
    <t>006VH00000ApjTZYAZ</t>
  </si>
  <si>
    <t>0066T000018FKMaQAO</t>
  </si>
  <si>
    <t>2025 - REN - GORE</t>
  </si>
  <si>
    <t>006VH00000Z7e1NYAR</t>
  </si>
  <si>
    <t>2027 - REN - GORE</t>
  </si>
  <si>
    <t>006VH00000gEDYHYA4</t>
  </si>
  <si>
    <t>2026 - REN - Chartis</t>
  </si>
  <si>
    <t>006VH000001pnanYAA</t>
  </si>
  <si>
    <t>2024 - REN - Chartis</t>
  </si>
  <si>
    <t>006VH00000dF3dXYAS</t>
  </si>
  <si>
    <t>2026 - REN - Western Governors University</t>
  </si>
  <si>
    <t>0066T0000190L9UQAU</t>
  </si>
  <si>
    <t>2024 - REN - UPS</t>
  </si>
  <si>
    <t>0066T00001ADjNYQA1</t>
  </si>
  <si>
    <t>2025 - REN - Providence Health &amp; Services</t>
  </si>
  <si>
    <t>006VH00000UFNnpYAH</t>
  </si>
  <si>
    <t>2028 - REN - Providence Health &amp; Services</t>
  </si>
  <si>
    <t>0066T000018zHbZQAU</t>
  </si>
  <si>
    <t>2023 - REN - MSC Industrial Supply</t>
  </si>
  <si>
    <t>006VH000003HScWYAW</t>
  </si>
  <si>
    <t>2024 - REN - FCA Group</t>
  </si>
  <si>
    <t>0066T00001CNSDAQA5</t>
  </si>
  <si>
    <t>2024 - REN - Discovery Ltd</t>
  </si>
  <si>
    <t>0066T00001Dk4EcQAJ</t>
  </si>
  <si>
    <t>2024 - REN - The Co-operators</t>
  </si>
  <si>
    <t>006VH00000OSoIbYAL</t>
  </si>
  <si>
    <t>2025 - REN - The Co-operators</t>
  </si>
  <si>
    <t>006VH00000OCgNTYA1</t>
  </si>
  <si>
    <t>2025 - REN - McDonald's</t>
  </si>
  <si>
    <t>0066T000018zHTGQA2</t>
  </si>
  <si>
    <t>2023 - REN - PetSmart</t>
  </si>
  <si>
    <t>0066T00001DI5GdQAL</t>
  </si>
  <si>
    <t>2024 - REN - PetSmart</t>
  </si>
  <si>
    <t>0066T00001ACO4DQAX</t>
  </si>
  <si>
    <t>2024 - REN - Allianz</t>
  </si>
  <si>
    <t>006VH00000Shkp4YAB</t>
  </si>
  <si>
    <t>2026 - REN - Allianz</t>
  </si>
  <si>
    <t>006VH00000ApgfPYAR</t>
  </si>
  <si>
    <t>2025 - REN - Lumen</t>
  </si>
  <si>
    <t>006VH00000THPKfYAP</t>
  </si>
  <si>
    <t>2026 - REN - Lumen</t>
  </si>
  <si>
    <t>0066T000015RFZfQAO</t>
  </si>
  <si>
    <t>2023 - REN - FedEx</t>
  </si>
  <si>
    <t>0066T00001C8yIZQAZ</t>
  </si>
  <si>
    <t>2024 - REN - FedEx</t>
  </si>
  <si>
    <t>006VH0000024tMgYAI</t>
  </si>
  <si>
    <t>2025 - REN - Amazon Web Services</t>
  </si>
  <si>
    <t>0066T00001926lKQAQ</t>
  </si>
  <si>
    <t>2023 - REN - Allergan</t>
  </si>
  <si>
    <t>0066T000018Gk5gQAC</t>
  </si>
  <si>
    <t>2023 - REN - Okta</t>
  </si>
  <si>
    <t>0066T00001CzLXpQAN</t>
  </si>
  <si>
    <t>2025 - REN - Compare the Market</t>
  </si>
  <si>
    <t>006VH00000cMGg9YAG</t>
  </si>
  <si>
    <t>2027 - REN - Compare the Market</t>
  </si>
  <si>
    <t>0066T00001AC5qoQAD</t>
  </si>
  <si>
    <t>2023 - REN - PepsiCo</t>
  </si>
  <si>
    <t>006VH000001pmmnYAA</t>
  </si>
  <si>
    <t>2024 - REN - PepsiCo</t>
  </si>
  <si>
    <t>0066T00001BBUWaQAP</t>
  </si>
  <si>
    <t>2024 - REN - Adobe (Business.com)</t>
  </si>
  <si>
    <t>0066T000017vplcQAA</t>
  </si>
  <si>
    <t>2023 - REN - 8th Layer Marketing</t>
  </si>
  <si>
    <t>0066T00001BB66GQAT</t>
  </si>
  <si>
    <t>2024 - REN - La Prairie Group</t>
  </si>
  <si>
    <t>006VH00000ApksgYAB</t>
  </si>
  <si>
    <t>2025 - REN - La Prairie Group</t>
  </si>
  <si>
    <t>0066T00001Dk4NZQAZ</t>
  </si>
  <si>
    <t>2024 - REN - ROI-DNA</t>
  </si>
  <si>
    <t>006VH00000RvPWyYAN</t>
  </si>
  <si>
    <t>2027 - REN - Chubb</t>
  </si>
  <si>
    <t>0066T000018zILLQA2</t>
  </si>
  <si>
    <t>2024 - REN - Mercedes-Benz AG</t>
  </si>
  <si>
    <t>006VH00000XU3bmYAD</t>
  </si>
  <si>
    <t>2026 - REN - Under Armour</t>
  </si>
  <si>
    <t>0066T00001CydbBQAR</t>
  </si>
  <si>
    <t>2024 - REN - SONY 2</t>
  </si>
  <si>
    <t>006VH0000036nifYAA</t>
  </si>
  <si>
    <t>2025 - REN - FSA Store</t>
  </si>
  <si>
    <t>006VH00000BvGmWYAV</t>
  </si>
  <si>
    <t>2025 - REN - BlackRock</t>
  </si>
  <si>
    <t>0066T00001AEqa8QAD</t>
  </si>
  <si>
    <t>2024 - REN - Adobe (TAM)</t>
  </si>
  <si>
    <t>006VH00000THMcxYAH</t>
  </si>
  <si>
    <t>2026 - REN - Adobe (TAM 10588)</t>
  </si>
  <si>
    <t>006VH00000hYUkUYAW</t>
  </si>
  <si>
    <t>2027 - REN - Adobe (TAM 10588)</t>
  </si>
  <si>
    <t>006VH00000hYV2FYAW</t>
  </si>
  <si>
    <t>2027 - REN - Brittany Ferries</t>
  </si>
  <si>
    <t>006VH00000S0OF7YAN</t>
  </si>
  <si>
    <t>2026 - REN - Brittany Ferries</t>
  </si>
  <si>
    <t>0066T00001B8u9SQAR</t>
  </si>
  <si>
    <t>2024 - REN - Lumen</t>
  </si>
  <si>
    <t>006VH00000A5WW9YAN</t>
  </si>
  <si>
    <t>2025 - REN - Adobe Team Digital Strategy &amp; Solutions</t>
  </si>
  <si>
    <t>0066T00001BBUWfQAP</t>
  </si>
  <si>
    <t>2024 - REN - Adobe Team Digital Strategy &amp; Solutions</t>
  </si>
  <si>
    <t>006VH00000TaMZCYA3</t>
  </si>
  <si>
    <t>2027 - REN - Abbott</t>
  </si>
  <si>
    <t>006VH00000gKl93YAC</t>
  </si>
  <si>
    <t>2026 - REN - Sub-Zero, Wolf, &amp; Cove</t>
  </si>
  <si>
    <t>0066T00001ACEHvQAP</t>
  </si>
  <si>
    <t>2023 - REN - The Salvation Army International</t>
  </si>
  <si>
    <t>006VH00000KdvhGYAR</t>
  </si>
  <si>
    <t>2025 - REN - Lululemon Athletica</t>
  </si>
  <si>
    <t>0066T00001CNGFUQA5</t>
  </si>
  <si>
    <t>2024 - REN - Together Financial Services</t>
  </si>
  <si>
    <t>006VH00000KKCr7YAH</t>
  </si>
  <si>
    <t>2025 - REN - Together Financial Services</t>
  </si>
  <si>
    <t>006VH00000fixxdYAA</t>
  </si>
  <si>
    <t>2026 - REN - Carhartt</t>
  </si>
  <si>
    <t>0066T00001CN7BQQA1</t>
  </si>
  <si>
    <t>2024 - REN - WarnerMedia Services, LLC  (Warner Bros. Entertainment)</t>
  </si>
  <si>
    <t>006VH00000XU5AXYA1</t>
  </si>
  <si>
    <t>2026 - REN - European Union</t>
  </si>
  <si>
    <t>0066T00001CN3ZPQA1</t>
  </si>
  <si>
    <t>2025 - REN - The Sun</t>
  </si>
  <si>
    <t>0066T0000190gdYQAQ</t>
  </si>
  <si>
    <t>2023 - REN - Sherwin-Williams</t>
  </si>
  <si>
    <t>006VH00000ONsecYAD</t>
  </si>
  <si>
    <t>2025 - REN - Sherwin-Williams</t>
  </si>
  <si>
    <t>006VH00000bJ9IPYA0</t>
  </si>
  <si>
    <t>2026 - REN - Sherwin-Williams</t>
  </si>
  <si>
    <t>0066T00001DNctzQAD</t>
  </si>
  <si>
    <t>2024 - REN - Sherwin-Williams</t>
  </si>
  <si>
    <t>0066T00001AEwwtQAD</t>
  </si>
  <si>
    <t>2024 - REN - MJH Life Sciences</t>
  </si>
  <si>
    <t>006VH000002eTv1YAE</t>
  </si>
  <si>
    <t>2025 - REN - MJH Life Sciences</t>
  </si>
  <si>
    <t>0066T00001AC5wuQAD</t>
  </si>
  <si>
    <t>2023 - REN - Charles Schwab</t>
  </si>
  <si>
    <t>006VH00000FU8vZYAT</t>
  </si>
  <si>
    <t>2025 - REN - Charles Schwab</t>
  </si>
  <si>
    <t>006VH00000ONvnvYAD</t>
  </si>
  <si>
    <t>2025 - REN - ROI-DNA</t>
  </si>
  <si>
    <t>0066T0000191noUQAQ</t>
  </si>
  <si>
    <t>2023 - REN - PGA TOUR</t>
  </si>
  <si>
    <t>0066T00001CN3bkQAD</t>
  </si>
  <si>
    <t>2024 - REN - BRP</t>
  </si>
  <si>
    <t>006VH00000gz1NBYAY</t>
  </si>
  <si>
    <t>2027 - REN - Zenni Optical</t>
  </si>
  <si>
    <t>0066T00001DkFgYQAV</t>
  </si>
  <si>
    <t>2024 - REN - ALDI Süd</t>
  </si>
  <si>
    <t>0066T000017x5YFQAY</t>
  </si>
  <si>
    <t>2023 - REN - Visible Systems</t>
  </si>
  <si>
    <t>0066T00001CyvUUQAZ</t>
  </si>
  <si>
    <t>2024 - REN - Citi</t>
  </si>
  <si>
    <t>0066T00001AC8qAQAT</t>
  </si>
  <si>
    <t>2024 - REN - GlaxoSmithKline</t>
  </si>
  <si>
    <t>006VH00000WKuV5YAL</t>
  </si>
  <si>
    <t>2026 - REN - Analytics Intelligence</t>
  </si>
  <si>
    <t>0060W000013r6r5QAA</t>
  </si>
  <si>
    <t>2023-REN-Dassault Systemes-WebAssurance</t>
  </si>
  <si>
    <t>006VH000002Aff7YAC</t>
  </si>
  <si>
    <t>2024 - REN - Chipotle Mexican Grill</t>
  </si>
  <si>
    <t>0066T00001BABF3QAP</t>
  </si>
  <si>
    <t>2024 - REN - Dotdash</t>
  </si>
  <si>
    <t>006VH00000GC2G9YAL</t>
  </si>
  <si>
    <t>2025 - REN - Harvard Business Review</t>
  </si>
  <si>
    <t>006VH00000gFFeWYAW</t>
  </si>
  <si>
    <t>2026 - REN - NP Digital</t>
  </si>
  <si>
    <t>006VH000001UtjFYAS</t>
  </si>
  <si>
    <t>2024 - REN - NP Digital</t>
  </si>
  <si>
    <t>0066T00001BBKWYQA5</t>
  </si>
  <si>
    <t>2024 - REN - Mitsubishi Motors</t>
  </si>
  <si>
    <t>0066T00001CzLlMQAV</t>
  </si>
  <si>
    <t>2024 - REN - Immobilien Scout</t>
  </si>
  <si>
    <t>006VH00000Rf4bBYAR</t>
  </si>
  <si>
    <t>2025 - REN - NP Digital</t>
  </si>
  <si>
    <t>006VH00000A5Y6ZYAV</t>
  </si>
  <si>
    <t>2025 - REN - Solvation</t>
  </si>
  <si>
    <t>006VH00000aeVJhYAM</t>
  </si>
  <si>
    <t>2026 - REN - Aktion Mensch</t>
  </si>
  <si>
    <t>006VH00000Zhb3NYAR</t>
  </si>
  <si>
    <t>2026 - REN - Okta</t>
  </si>
  <si>
    <t>006VH00000iLGEvYAO</t>
  </si>
  <si>
    <t>2027 - REN - Berkeley Research Group</t>
  </si>
  <si>
    <t>006VH0000045vOMYAY</t>
  </si>
  <si>
    <t>2025 - REN - Berkeley Research Group</t>
  </si>
  <si>
    <t>006VH000007abD9YAI</t>
  </si>
  <si>
    <t>2025 - REN - RCS MediaGroup</t>
  </si>
  <si>
    <t>006VH00000VuN4yYAF</t>
  </si>
  <si>
    <t>2026 - REN - RCS MediaGroup</t>
  </si>
  <si>
    <t>006VH00000WKzrLYAT</t>
  </si>
  <si>
    <t>2026 - REN - Solvation</t>
  </si>
  <si>
    <t>0066T00001C8yctQAB</t>
  </si>
  <si>
    <t>2024 - REN - Walker Analytics</t>
  </si>
  <si>
    <t>0066T00001DnwLyQAJ</t>
  </si>
  <si>
    <t>2024 - REN - Adobe (Experience League Domains)</t>
  </si>
  <si>
    <t>006VH00000SuK3xYAF</t>
  </si>
  <si>
    <t>2025 - REN - Prudential Financial Inc.</t>
  </si>
  <si>
    <t>006VH00000gKc8zYAC</t>
  </si>
  <si>
    <t>006VH00000TpsVWYAZ</t>
  </si>
  <si>
    <t>2026 - REN - Puma</t>
  </si>
  <si>
    <t>006VH00000Rxu6fYAB</t>
  </si>
  <si>
    <t>2025 - REN - Banco BPI</t>
  </si>
  <si>
    <t>0066T00001BBQpJQAX</t>
  </si>
  <si>
    <t>2024 - REN - Cox Automotive</t>
  </si>
  <si>
    <t>006VH0000076nurYAA</t>
  </si>
  <si>
    <t>2025 - REN - Cox Automotive</t>
  </si>
  <si>
    <t>0066T00001DkNg2QAF</t>
  </si>
  <si>
    <t>2024 - REN - Google (Marketing - 15134)</t>
  </si>
  <si>
    <t>006VH000004sbGSYAY</t>
  </si>
  <si>
    <t>2024 - REN - Google (Cloud - 1467)</t>
  </si>
  <si>
    <t>0066T00001CNvcRQAT</t>
  </si>
  <si>
    <t>2024 - REN - GM Financial</t>
  </si>
  <si>
    <t>006VH00000JzGGDYA3</t>
  </si>
  <si>
    <t>2025 - REN - GM Financial</t>
  </si>
  <si>
    <t>006VH00000a9jIvYAI</t>
  </si>
  <si>
    <t>2026 - REN - GM Financial</t>
  </si>
  <si>
    <t>0066T00001BB4efQAD</t>
  </si>
  <si>
    <t>2024 - REN - Under Armour</t>
  </si>
  <si>
    <t>0066T000018HCUdQAO</t>
  </si>
  <si>
    <t>2024 - REN - British Airways</t>
  </si>
  <si>
    <t>0066T00001AFFGLQA5</t>
  </si>
  <si>
    <t>2024 - REN - Puma</t>
  </si>
  <si>
    <t>006VH000004VEfVYAW</t>
  </si>
  <si>
    <t>2025 - REN - Puma</t>
  </si>
  <si>
    <t>0066T00001C9QogQAF</t>
  </si>
  <si>
    <t>2024 - REN - REA Group</t>
  </si>
  <si>
    <t>0066T00001CO8l1QAD</t>
  </si>
  <si>
    <t>2024 - REN - Cotiviti</t>
  </si>
  <si>
    <t>0066T00001DnqAhQAJ</t>
  </si>
  <si>
    <t>2024 - REN - Whirlpool</t>
  </si>
  <si>
    <t>0066T00001CN1XZQA1</t>
  </si>
  <si>
    <t>2024 - REN - Microsoft</t>
  </si>
  <si>
    <t>006VH00000akD2LYAU</t>
  </si>
  <si>
    <t>2026 - REN - Microsoft</t>
  </si>
  <si>
    <t>0066T00001BAQtlQAH</t>
  </si>
  <si>
    <t>2025 - REN - Centene</t>
  </si>
  <si>
    <t>0066T00001CNq7CQAT</t>
  </si>
  <si>
    <t>2024 - REN - McDonald's</t>
  </si>
  <si>
    <t>0066T00001EJyTpQAL</t>
  </si>
  <si>
    <t>2024 - REN - Three</t>
  </si>
  <si>
    <t>006VH000000pCgmYAE</t>
  </si>
  <si>
    <t>2024 - REN - Encompass Health</t>
  </si>
  <si>
    <t>006VH00000QoPVhYAN</t>
  </si>
  <si>
    <t>2025 - REN - Encompass Health</t>
  </si>
  <si>
    <t>0066T00001DNcimQAD</t>
  </si>
  <si>
    <t>2024 - REN - Woolworths Group</t>
  </si>
  <si>
    <t>006VH00000M7t1VYAR</t>
  </si>
  <si>
    <t>2025 - REN - Woolworths Group</t>
  </si>
  <si>
    <t>006VH00000aMlQ9YAK</t>
  </si>
  <si>
    <t>006VH00000aQgrhYAC</t>
  </si>
  <si>
    <t>2026 - REN - Together Financial Services</t>
  </si>
  <si>
    <t>0066T00001EJtAHQA1</t>
  </si>
  <si>
    <t>2024 - REN - Latchmill</t>
  </si>
  <si>
    <t>006VH00000OzOikYAF</t>
  </si>
  <si>
    <t>2025 - REN - Latchmill</t>
  </si>
  <si>
    <t>006VH00000gTzuLYAS</t>
  </si>
  <si>
    <t>2026 - REN - Latchmill</t>
  </si>
  <si>
    <t>0066T000018FRwkQAG</t>
  </si>
  <si>
    <t>2024 - REN - Amazon Web Services</t>
  </si>
  <si>
    <t>0066T00001DORpkQAH</t>
  </si>
  <si>
    <t>2025 - REN - Neiman Marcus</t>
  </si>
  <si>
    <t>006VH00000c6lmLYAQ</t>
  </si>
  <si>
    <t>2026 - REN - Neiman Marcus</t>
  </si>
  <si>
    <t>006VH00000PYFpSYAX</t>
  </si>
  <si>
    <t>2025 - REN - AuditBoard Inc.</t>
  </si>
  <si>
    <t>006VH00000V60ySYAR</t>
  </si>
  <si>
    <t>2026 - REN - Kia Corporation</t>
  </si>
  <si>
    <t>006VH00000VugCPYAZ</t>
  </si>
  <si>
    <t>2026 - REN - Klick - ITCI</t>
  </si>
  <si>
    <t>006VH00000eKa6jYAC</t>
  </si>
  <si>
    <t>2026 - REN - Klick</t>
  </si>
  <si>
    <t>006VH00000aKd3hYAC</t>
  </si>
  <si>
    <t>0066T00001DORjWQAX</t>
  </si>
  <si>
    <t>2025 - REN - Swisscom</t>
  </si>
  <si>
    <t>006VH00000c6ka9YAA</t>
  </si>
  <si>
    <t>2027 - REN - Swisscom</t>
  </si>
  <si>
    <t>006VH00000T26FCYAZ</t>
  </si>
  <si>
    <t>2025 - REN - Protiviti</t>
  </si>
  <si>
    <t>006VH00000f7RBxYAM</t>
  </si>
  <si>
    <t>2026 - REN - OMD</t>
  </si>
  <si>
    <t>0066T00001DNd6eQAD</t>
  </si>
  <si>
    <t>2024 - REN - Tv2/Danmark</t>
  </si>
  <si>
    <t>006VH00000e0HwHYAU</t>
  </si>
  <si>
    <t>2026 - REN - Cambia Health Solutions</t>
  </si>
  <si>
    <t>006VH00000dFJtVYAW</t>
  </si>
  <si>
    <t>2026 - REN - Tv2/Danmark</t>
  </si>
  <si>
    <t>006VH00000Omfz8YAB</t>
  </si>
  <si>
    <t>2025 - REN - Tv2/Danmark</t>
  </si>
  <si>
    <t>006VH00000RxvFdYAJ</t>
  </si>
  <si>
    <t>2027 - REN - CUF, S.A.</t>
  </si>
  <si>
    <t>006VH00000PxeELYAZ</t>
  </si>
  <si>
    <t>2025 - REN - Boston Scientific</t>
  </si>
  <si>
    <t>006VH00000cCQ5hYAG</t>
  </si>
  <si>
    <t>2026 - REN - The Salvation Army International</t>
  </si>
  <si>
    <t>006VH00000d4JKBYA2</t>
  </si>
  <si>
    <t>2026 - REN - Cornerstone Brands</t>
  </si>
  <si>
    <t>006VH00000UWgxJYAT</t>
  </si>
  <si>
    <t>2026 - REN - Kingfisher</t>
  </si>
  <si>
    <t>0066T00001B9hpPQAR</t>
  </si>
  <si>
    <t>2024 - REN - Kingfisher</t>
  </si>
  <si>
    <t>006VH0000067hmOYAQ</t>
  </si>
  <si>
    <t>2025 - REN - Kingfisher</t>
  </si>
  <si>
    <t>006VH00000cZSOaYAO</t>
  </si>
  <si>
    <t>2026 - REN - Mars</t>
  </si>
  <si>
    <t>006VH00000KynggYAB</t>
  </si>
  <si>
    <t>2025 - REN - Mars</t>
  </si>
  <si>
    <t>006VH00000ZjgrlYAB</t>
  </si>
  <si>
    <t>2026 - REN - Viking Cruises</t>
  </si>
  <si>
    <t>0066T00001BBcX1QAL</t>
  </si>
  <si>
    <t>2024 - REN - Western Union</t>
  </si>
  <si>
    <t>0066T00001ACd2FQAT</t>
  </si>
  <si>
    <t>2025 - REN - Southwest Airlines</t>
  </si>
  <si>
    <t>006VH00000gTydJYAS</t>
  </si>
  <si>
    <t>2028 - REN - Southwest Airlines</t>
  </si>
  <si>
    <t>0066T00001BAXV6QAP</t>
  </si>
  <si>
    <t>2024 - REN - Kia</t>
  </si>
  <si>
    <t>0066T000015qRUIQA2</t>
  </si>
  <si>
    <t>2022-REN-Bank of Montreal</t>
  </si>
  <si>
    <t>0066T00001CzLaAQAV</t>
  </si>
  <si>
    <t>2025 - REN - BMO Bank of Montreal</t>
  </si>
  <si>
    <t>006VH00000eiW6nYAE</t>
  </si>
  <si>
    <t>2026 - REN - Invesco</t>
  </si>
  <si>
    <t>0066T00001BBIJHQA5</t>
  </si>
  <si>
    <t>2024 - REN - SAP Concur</t>
  </si>
  <si>
    <t>006VH000004SgWiYAK</t>
  </si>
  <si>
    <t>2025 - REN - SAP Concur</t>
  </si>
  <si>
    <t>006VH00000ZbQ93YAF</t>
  </si>
  <si>
    <t>2026 - REN - Softcrylic</t>
  </si>
  <si>
    <t>006VH00000Kcod1YAB</t>
  </si>
  <si>
    <t>2025 - REN - Crowdstrike</t>
  </si>
  <si>
    <t>006VH0000045xJhYAI</t>
  </si>
  <si>
    <t>2025 - REN - Accent Group</t>
  </si>
  <si>
    <t>006VH000002f2skYAA</t>
  </si>
  <si>
    <t>2024 - REN - United Healthcare-Services-M&amp;R</t>
  </si>
  <si>
    <t>006VH000002uPKLYA2</t>
  </si>
  <si>
    <t>2025 - REN - Kemin</t>
  </si>
  <si>
    <t>0066T00001BC0K6QAL</t>
  </si>
  <si>
    <t>2024 - REN - Hopkins</t>
  </si>
  <si>
    <t>0066T00001Cz99iQAB</t>
  </si>
  <si>
    <t>2024 - REN - Inspired Thinking Group</t>
  </si>
  <si>
    <t>006VH000008HDVjYAO</t>
  </si>
  <si>
    <t>2025 - REN - Analytics Intelligence</t>
  </si>
  <si>
    <t>006VH00000YnUKkYAN</t>
  </si>
  <si>
    <t>2026 - REN - DMPG</t>
  </si>
  <si>
    <t>0066T0000191qjNQAQ</t>
  </si>
  <si>
    <t>2023 - REN - Whirlpool</t>
  </si>
  <si>
    <t>006VH000001plAnYAI</t>
  </si>
  <si>
    <t>2025 - REN - Sage</t>
  </si>
  <si>
    <t>006VH00000PHx8YYAT</t>
  </si>
  <si>
    <t>2025 - REN - Indegene</t>
  </si>
  <si>
    <t>006VH00000OoOu9YAF</t>
  </si>
  <si>
    <t>2025 - REN - Inspired Thinking Group</t>
  </si>
  <si>
    <t>006VH00000QAzxhYAD</t>
  </si>
  <si>
    <t>006VH00000dNuflYAC</t>
  </si>
  <si>
    <t>2026 - REN - Conrad Electronic International GmbH and Co KG</t>
  </si>
  <si>
    <t>006VH000003KU9uYAG</t>
  </si>
  <si>
    <t>2025 - REN - Tulos</t>
  </si>
  <si>
    <t>0066T00001CNfvwQAD</t>
  </si>
  <si>
    <t>2026 - REN - Hello bank</t>
  </si>
  <si>
    <t>006VH00000RjfYwYAJ</t>
  </si>
  <si>
    <t>2025 - REN - Adobe (MASTER ACCOUNT) - 12941</t>
  </si>
  <si>
    <t>006VH00000gcKIUYA2</t>
  </si>
  <si>
    <t>2026 - REN - Adobe - Experience League - 12491</t>
  </si>
  <si>
    <t>006VH00000cMeQkYAK</t>
  </si>
  <si>
    <t>2026 - REN - Citizens Financial Group</t>
  </si>
  <si>
    <t>0066T00001EK1T1QAL</t>
  </si>
  <si>
    <t>2024 - REN - New York Post</t>
  </si>
  <si>
    <t>006VH00000PbEgmYAF</t>
  </si>
  <si>
    <t>2025 - REN - New York Post</t>
  </si>
  <si>
    <t>006VH00000gFQmnYAG</t>
  </si>
  <si>
    <t>2026 - REN - Alliance for Audited Media</t>
  </si>
  <si>
    <t>0066T00001EK1NIQA1</t>
  </si>
  <si>
    <t>2024 - REN - Alliance for Audited Media</t>
  </si>
  <si>
    <t>006d000000dPl4mAAC</t>
  </si>
  <si>
    <t>2015 Renewal - Lenovo</t>
  </si>
  <si>
    <t>006d000000ZcnLLAAZ</t>
  </si>
  <si>
    <t>2015 Autorenewal - Nielsen</t>
  </si>
  <si>
    <t>006d000000VQaUJAA1</t>
  </si>
  <si>
    <t>2014 Renewal - Nielsen Online</t>
  </si>
  <si>
    <t>0066T00001ACdokQAD</t>
  </si>
  <si>
    <t>2023 - REN - Adobe (Customer Success)</t>
  </si>
  <si>
    <t>006VH00000RjsnvYAB</t>
  </si>
  <si>
    <t>2025 - REN - Adobe (MASTER ACCOUNT) - 9654 (Customer Success)</t>
  </si>
  <si>
    <t>006VH00000exNzFYAU</t>
  </si>
  <si>
    <t>2026 - REN - Adobe - 9654 (Customer Success)</t>
  </si>
  <si>
    <t>006VH000002zfmnYAA</t>
  </si>
  <si>
    <t>2024 - REN - Adobe (Customer Success)</t>
  </si>
  <si>
    <t>006d000000ctAptAAE</t>
  </si>
  <si>
    <t>2015 Renewal - BitBang</t>
  </si>
  <si>
    <t>0060W00000wwHS1QAM</t>
  </si>
  <si>
    <t>2018 Renewal - BPA Worldwide</t>
  </si>
  <si>
    <t>006d000000Yi4XKAAZ</t>
  </si>
  <si>
    <t>2015 Renewal - BPA Worldwide</t>
  </si>
  <si>
    <t>006d000000VQaRnAAL</t>
  </si>
  <si>
    <t>2014 Renewal - BPA Worldwide</t>
  </si>
  <si>
    <t>006d000000ttipqAAA</t>
  </si>
  <si>
    <t>2017 Renewal - BPA Worldwide</t>
  </si>
  <si>
    <t>006d000000hsc9PAAQ</t>
  </si>
  <si>
    <t>2016 Renewal - BPA Worldwide</t>
  </si>
  <si>
    <t>0066T000015qQL0QAM</t>
  </si>
  <si>
    <t>2022-REN-BPA Worldwide</t>
  </si>
  <si>
    <t>0060W000013suDeQAI</t>
  </si>
  <si>
    <t>2021-REN-BPA Worldwide</t>
  </si>
  <si>
    <t>0060W000011UuRLQA0</t>
  </si>
  <si>
    <t>2020 Renewal - BPA Worldwide</t>
  </si>
  <si>
    <t>0060W00000zMgFYQA0</t>
  </si>
  <si>
    <t>2019 Renewal - BPA Worldwide</t>
  </si>
  <si>
    <t>006d000000ZkdSlAAJ</t>
  </si>
  <si>
    <t>2014 Renewal - Datalicious</t>
  </si>
  <si>
    <t>006d000000hzTniAAE</t>
  </si>
  <si>
    <t>2016 Renewal - Datalicious</t>
  </si>
  <si>
    <t>006d000000Yd54oAAB</t>
  </si>
  <si>
    <t>2016 Critical Mass Renewal</t>
  </si>
  <si>
    <t>006d000000VQaXxAAL</t>
  </si>
  <si>
    <t>2014 Renewal - Critical Mass</t>
  </si>
  <si>
    <t>006d000000i04emAAA</t>
  </si>
  <si>
    <t>2017 Renewal - Critical Mass</t>
  </si>
  <si>
    <t>006d000000b9kC4AAI</t>
  </si>
  <si>
    <t>2015 Critical Mass Renewal</t>
  </si>
  <si>
    <t>006d000000ctCCZAA2</t>
  </si>
  <si>
    <t>2015 Renewal - Mirum</t>
  </si>
  <si>
    <t>0060W00000vvWVtQAM</t>
  </si>
  <si>
    <t>Genentech Upsell</t>
  </si>
  <si>
    <t>006d000000ZWbShAAL</t>
  </si>
  <si>
    <t>2014 Renewal - Genentech</t>
  </si>
  <si>
    <t>006d000000Yd5EDAAZ</t>
  </si>
  <si>
    <t>2015 Renewal - Genentech</t>
  </si>
  <si>
    <t>006d000000mSHbtAAG</t>
  </si>
  <si>
    <t>Genetech Managed Services</t>
  </si>
  <si>
    <t>006d000000i1boEAAQ</t>
  </si>
  <si>
    <t>2016 Renewal - Genentech</t>
  </si>
  <si>
    <t>0060W000014oPNlQAM</t>
  </si>
  <si>
    <t>2021-REN-Genentech</t>
  </si>
  <si>
    <t>0060W0000121JxqQAE</t>
  </si>
  <si>
    <t>2020-REN-Genentech - Dec31</t>
  </si>
  <si>
    <t>0060W000010qS2bQAE</t>
  </si>
  <si>
    <t>2019-REN-Genentech - Dec31</t>
  </si>
  <si>
    <t>0060W00000vx0oqQAA</t>
  </si>
  <si>
    <t>2018 Renewal - Genentech</t>
  </si>
  <si>
    <t>006d000000bECAlAAO</t>
  </si>
  <si>
    <t>2015 Renewal - J&amp;J</t>
  </si>
  <si>
    <t>006d000000ZVn7vAAD</t>
  </si>
  <si>
    <t>2015 Renewal - Johnson &amp; Johnson</t>
  </si>
  <si>
    <t>006d000000lVEiyAAG</t>
  </si>
  <si>
    <t>2017 Renewal - Lima-America Interactiva</t>
  </si>
  <si>
    <t>006d000000VQqZsAAL</t>
  </si>
  <si>
    <t>2014 Renewal - News Digital Media</t>
  </si>
  <si>
    <t>0060W00000vIPVAQA4</t>
  </si>
  <si>
    <t>2018 Renewal - Red Hat</t>
  </si>
  <si>
    <t>006d000000oy0dSAAQ</t>
  </si>
  <si>
    <t>2017 Renewal - Red Hat</t>
  </si>
  <si>
    <t>006d000000fQQ0QAAW</t>
  </si>
  <si>
    <t>2016 Renewal - Red Hat</t>
  </si>
  <si>
    <t>006d000000e4XjAAAU</t>
  </si>
  <si>
    <t>2015 Renewal - Red Hat</t>
  </si>
  <si>
    <t>006d000000ZmBTNAA3</t>
  </si>
  <si>
    <t>2014 Renewal - Rise Interactive</t>
  </si>
  <si>
    <t>006d000000UpB0WAAV</t>
  </si>
  <si>
    <t>2015 Renewal - Rise Interactive</t>
  </si>
  <si>
    <t>006d000000Yd67IAAR</t>
  </si>
  <si>
    <t>2015 Renewal - The World Bank</t>
  </si>
  <si>
    <t>006d000000VQaSCAA1</t>
  </si>
  <si>
    <t>2014 Renewal - The World Bank</t>
  </si>
  <si>
    <t>006d000000ct4vwAAA</t>
  </si>
  <si>
    <t>2015 Renewal - Website Behavior Specialists</t>
  </si>
  <si>
    <t>006d000000ZVxSjAAL</t>
  </si>
  <si>
    <t>2015 Renewal - Starwood Hotels &amp; Resorts</t>
  </si>
  <si>
    <t>006d000000ZVwAZAA1</t>
  </si>
  <si>
    <t>2014 Renewal - Starwood Hotels &amp; Resorts Worldwide</t>
  </si>
  <si>
    <t>006d000000mpOXMAA2</t>
  </si>
  <si>
    <t>2017 Renewal - Starwood Hotels &amp; Resorts</t>
  </si>
  <si>
    <t>006d000000VQaU4AAL</t>
  </si>
  <si>
    <t>2014 Renewal - Turner Broadcasting System</t>
  </si>
  <si>
    <t>006d000000hzTfnAAE</t>
  </si>
  <si>
    <t>2016 Renewal - Turner Broadcasting System</t>
  </si>
  <si>
    <t>006d000000ct4xnAAA</t>
  </si>
  <si>
    <t>2015 Renewal - Turner Broadcasting System</t>
  </si>
  <si>
    <t>006d000000VQaSqAAL</t>
  </si>
  <si>
    <t>2014 Renewal - The Hearst Corporation</t>
  </si>
  <si>
    <t>006d000000d26qeAAA</t>
  </si>
  <si>
    <t>2015 Renewal - Web Analytics Central</t>
  </si>
  <si>
    <t>006d000000eP04hAAC</t>
  </si>
  <si>
    <t>2015 Renewal - iDimension</t>
  </si>
  <si>
    <t>006d000000Yd7VHAAZ</t>
  </si>
  <si>
    <t>2015 Renewal - Carbonite</t>
  </si>
  <si>
    <t>006d000000VQaVCAA1</t>
  </si>
  <si>
    <t>2014 Renewal - Carbonite</t>
  </si>
  <si>
    <t>006VH00000OSm8mYAD</t>
  </si>
  <si>
    <t>2025 - REN - Optimal Ways</t>
  </si>
  <si>
    <t>006VH00000cOTsbYAG</t>
  </si>
  <si>
    <t>2026 - REN - Optimal Ways</t>
  </si>
  <si>
    <t>006d000000ct4pIAAQ</t>
  </si>
  <si>
    <t>2015 Renewal - Optimal Ways</t>
  </si>
  <si>
    <t>0066T00001Cycv3QAB</t>
  </si>
  <si>
    <t>2024 - REN - Optimal Ways</t>
  </si>
  <si>
    <t>0066T0000190EEGQA2</t>
  </si>
  <si>
    <t>2023 - REN - Optimal Ways</t>
  </si>
  <si>
    <t>006d000000VQaRiAAL</t>
  </si>
  <si>
    <t>2014 Renewal - Hotwire</t>
  </si>
  <si>
    <t>006d000000UYWgIAAX</t>
  </si>
  <si>
    <t>2015 Renewal - Telenor Group</t>
  </si>
  <si>
    <t>0060W00000vvLL3QAM</t>
  </si>
  <si>
    <t>2019 Renewal - Trakken</t>
  </si>
  <si>
    <t>006d000000VQaX4AAL</t>
  </si>
  <si>
    <t>2015 Renewal - Trakken</t>
  </si>
  <si>
    <t>006d000000VQaW0AAL</t>
  </si>
  <si>
    <t>2014 Renewal - Trakken</t>
  </si>
  <si>
    <t>006d000000i0BXvAAM</t>
  </si>
  <si>
    <t>2017 Renewal - Trakken</t>
  </si>
  <si>
    <t>0066T000015QfIlQAK</t>
  </si>
  <si>
    <t>2022-REN-Trakken</t>
  </si>
  <si>
    <t>0060W000012KFQIQA4</t>
  </si>
  <si>
    <t>2021-REN-Trakken</t>
  </si>
  <si>
    <t>0060W000010wkyzQAA</t>
  </si>
  <si>
    <t>2020 Renewal - Trakken</t>
  </si>
  <si>
    <t>0060W00000vIMKIQA4</t>
  </si>
  <si>
    <t>2018 Renewal - Comcast Corporation</t>
  </si>
  <si>
    <t>006d000000Sra8bAAB</t>
  </si>
  <si>
    <t>2015 Renewal - Comcast</t>
  </si>
  <si>
    <t>006d000000gbGbDAAU</t>
  </si>
  <si>
    <t>2017 Renewal - Comcast Corporation</t>
  </si>
  <si>
    <t>006d000000cFn0mAAC</t>
  </si>
  <si>
    <t>2016 Renewal - Comcast Corporation</t>
  </si>
  <si>
    <t>0060W000010qDEHQA2</t>
  </si>
  <si>
    <t>2020 Renewal - Comcast Corporation</t>
  </si>
  <si>
    <t>0060W00000wypJpQAI</t>
  </si>
  <si>
    <t>2019 Renewal - Comcast Corporation</t>
  </si>
  <si>
    <t>006d000000cFmwhAAC</t>
  </si>
  <si>
    <t>2016 Renewal - Bankrate, Inc.</t>
  </si>
  <si>
    <t>006d000000Sra8JAAR</t>
  </si>
  <si>
    <t>2015 Renewal - Bankrate</t>
  </si>
  <si>
    <t>0060W00000wyyyKQAQ</t>
  </si>
  <si>
    <t>2019 Renewal - Nationwide Insurance Company</t>
  </si>
  <si>
    <t>006d000000Yd5NSAAZ</t>
  </si>
  <si>
    <t>2015 Renewal - Nationwide Insurance Company</t>
  </si>
  <si>
    <t>006d000000VQoOdAAL</t>
  </si>
  <si>
    <t>2014 Renewal - Nationwide Insurance Company</t>
  </si>
  <si>
    <t>006d000000vEoOsAAK</t>
  </si>
  <si>
    <t>2017 Renewal - Nationwide Insurance Company</t>
  </si>
  <si>
    <t>006d000000uE5olAAC</t>
  </si>
  <si>
    <t>2016 Renewal - Nationwide Insurance Company</t>
  </si>
  <si>
    <t>006VH00000aeY33YAE</t>
  </si>
  <si>
    <t>2027 - REN - US Bancorp</t>
  </si>
  <si>
    <t>006d000000YdOLlAAN</t>
  </si>
  <si>
    <t>2015 Renewal - US Bancorp</t>
  </si>
  <si>
    <t>006d000000hzTtiAAE</t>
  </si>
  <si>
    <t>2016 Renewal - US Bancorp</t>
  </si>
  <si>
    <t>0066T000016HAYvQAO</t>
  </si>
  <si>
    <t>2022 - REN - U.S. Bank</t>
  </si>
  <si>
    <t>0066T00001AEdjOQAT</t>
  </si>
  <si>
    <t>2024 - REN - The Home Depot</t>
  </si>
  <si>
    <t>0066T000016meQHQAY</t>
  </si>
  <si>
    <t>2023 - REN - Home Depot</t>
  </si>
  <si>
    <t>0060W000014oPQpQAM</t>
  </si>
  <si>
    <t>2022 - REN - Home Depot</t>
  </si>
  <si>
    <t>0060W00000zGt05QAC</t>
  </si>
  <si>
    <t>2021 - REN - Home Depot</t>
  </si>
  <si>
    <t>006d000000e5YfZAAU</t>
  </si>
  <si>
    <t>2016 Renewal - Agilent Technologies, Inc.</t>
  </si>
  <si>
    <t>006d000000Sra8MAAR</t>
  </si>
  <si>
    <t>2015 Renewal - Toys R Us</t>
  </si>
  <si>
    <t>006d000000e5YlXAAU</t>
  </si>
  <si>
    <t>2016 Renewal - Digi-Key Electronics</t>
  </si>
  <si>
    <t>006d000000Sra8UAAR</t>
  </si>
  <si>
    <t>2015 Renewal - Digi-Key</t>
  </si>
  <si>
    <t>0066T000018HFF1QAO</t>
  </si>
  <si>
    <t>2022 - REN - Abbott</t>
  </si>
  <si>
    <t>006d000000umpUBAAY</t>
  </si>
  <si>
    <t>2017 Renewal - Abbott</t>
  </si>
  <si>
    <t>006d000000Sra8LAAR</t>
  </si>
  <si>
    <t>2015 Renewal - Abbott</t>
  </si>
  <si>
    <t>006d000000i0BOeAAM</t>
  </si>
  <si>
    <t>2016 Renewal - Abbott</t>
  </si>
  <si>
    <t>006d000000bEDKAAA4</t>
  </si>
  <si>
    <t>2015 #2 Renewal - Abbott</t>
  </si>
  <si>
    <t>0066T00001AERW2QAP</t>
  </si>
  <si>
    <t>2023 - REN - Abbott</t>
  </si>
  <si>
    <t>006d000000cFmzlAAC</t>
  </si>
  <si>
    <t>2016 Renewal - Inetasia Solutions</t>
  </si>
  <si>
    <t>006d000000vEoBJAA0</t>
  </si>
  <si>
    <t>2018 Renewal - Inetasia Solutions</t>
  </si>
  <si>
    <t>006d000000Sra8KAAR</t>
  </si>
  <si>
    <t>2015 Renewal - Inetasia</t>
  </si>
  <si>
    <t>006d000000kWiE6AAK</t>
  </si>
  <si>
    <t>2017 Renewal - Inetasia Solutions</t>
  </si>
  <si>
    <t>006d000000Yd532AAB</t>
  </si>
  <si>
    <t>2015 Renewal - Air Canada</t>
  </si>
  <si>
    <t>006d000000VQabrAAD</t>
  </si>
  <si>
    <t>2014 Renewal - Air Canada</t>
  </si>
  <si>
    <t>006d000000hzTe1AAE</t>
  </si>
  <si>
    <t>2016 Renewal - Air Canada</t>
  </si>
  <si>
    <t>006d000000e5YmBAAU</t>
  </si>
  <si>
    <t>2016 Renewal - GameStop</t>
  </si>
  <si>
    <t>006d000000Sra8XAAR</t>
  </si>
  <si>
    <t>2015 Renewal - Gamestop</t>
  </si>
  <si>
    <t>0060W00000vQnbzQAC</t>
  </si>
  <si>
    <t>2018 Renewal - Illumina</t>
  </si>
  <si>
    <t>006d000000ZWbSXAA1</t>
  </si>
  <si>
    <t>2014 Renewal - Illumina</t>
  </si>
  <si>
    <t>006d000000VQaREAA1</t>
  </si>
  <si>
    <t>2015 Renewal - Illumina</t>
  </si>
  <si>
    <t>006d000000s23UqAAI</t>
  </si>
  <si>
    <t>2017 Renewal - Illumina</t>
  </si>
  <si>
    <t>006d000000hrjb2AAA</t>
  </si>
  <si>
    <t>2016 Renewal - Illumina</t>
  </si>
  <si>
    <t>0066T00001ABrKlQAL</t>
  </si>
  <si>
    <t>2024 - REN - Illumina</t>
  </si>
  <si>
    <t>0060W00000y8RowQAE</t>
  </si>
  <si>
    <t>2019 Renewal - Illumina</t>
  </si>
  <si>
    <t>006d000000Sra8WAAR</t>
  </si>
  <si>
    <t>2015 Renewal - Salmon</t>
  </si>
  <si>
    <t>0060W00000vvmBtQAI</t>
  </si>
  <si>
    <t>2018 Renewal - TXU</t>
  </si>
  <si>
    <t>006d000000hpcSWAAY</t>
  </si>
  <si>
    <t>2016 Renewal - TXU</t>
  </si>
  <si>
    <t>0060W00000y72iDQAQ</t>
  </si>
  <si>
    <t>2019 Renewal - TXU</t>
  </si>
  <si>
    <t>006d000000hsXTUAA2</t>
  </si>
  <si>
    <t>2016 Renewal - News Digital Media</t>
  </si>
  <si>
    <t>006d000000ZStaJAAT</t>
  </si>
  <si>
    <t>2015 Renewal - News Digital Media</t>
  </si>
  <si>
    <t>006d000000uEX94AAG</t>
  </si>
  <si>
    <t>2017 Renewal - News Corp Australia</t>
  </si>
  <si>
    <t>0066T0000190hQfQAI</t>
  </si>
  <si>
    <t>2025 - REN - TIAA</t>
  </si>
  <si>
    <t>006VH00000e0Ih3YAE</t>
  </si>
  <si>
    <t>2028 - REN - TIAA</t>
  </si>
  <si>
    <t>006d000000Sra8OAAR</t>
  </si>
  <si>
    <t>2015 Renewal - Safeway</t>
  </si>
  <si>
    <t>0060W00000wvp0YQAQ</t>
  </si>
  <si>
    <t>2018 Renewal - Cox Media Group</t>
  </si>
  <si>
    <t>006d000000YAUNcAAP</t>
  </si>
  <si>
    <t>2015 Renewal - Cox Media Group</t>
  </si>
  <si>
    <t>006d000000VQaSbAAL</t>
  </si>
  <si>
    <t>2014 Renewal - Cox Media Group</t>
  </si>
  <si>
    <t>006d000000tuygNAAQ</t>
  </si>
  <si>
    <t>2017 Renewal - Cox Media Group</t>
  </si>
  <si>
    <t>006d000000hsS8sAAE</t>
  </si>
  <si>
    <t>2016 Renewal - Cox Media Group</t>
  </si>
  <si>
    <t>0060W0000120L2uQAE</t>
  </si>
  <si>
    <t>2020 Renewal - Cox Media Group</t>
  </si>
  <si>
    <t>0060W00000zMzXUQA0</t>
  </si>
  <si>
    <t>2019 Renewal - Cox Media Group</t>
  </si>
  <si>
    <t>006d000000Yd5pYAAR</t>
  </si>
  <si>
    <t>2015 Renewal -Trend Micro</t>
  </si>
  <si>
    <t>006d000000VQaSHAA1</t>
  </si>
  <si>
    <t>2014 Renewal - Trend Micro</t>
  </si>
  <si>
    <t>006d000000ulaX8AAI</t>
  </si>
  <si>
    <t>2017 Renewal -Trend Micro</t>
  </si>
  <si>
    <t>006d000000hzTubAAE</t>
  </si>
  <si>
    <t>2016 Renewal -Trend Micro</t>
  </si>
  <si>
    <t>006d000000hpciPAAQ</t>
  </si>
  <si>
    <t>2016 Renewal - Aunica (Submarino Viagens)</t>
  </si>
  <si>
    <t>0060W00000wzAwgQAE</t>
  </si>
  <si>
    <t>2018 Renewal - Marriott</t>
  </si>
  <si>
    <t>006d000000vFBmgAAG</t>
  </si>
  <si>
    <t>2017 Renewal - Marriott</t>
  </si>
  <si>
    <t>006d000000uFJvaAAG</t>
  </si>
  <si>
    <t>2016 Renewal - Marriott</t>
  </si>
  <si>
    <t>0060W000014ndh9QAA</t>
  </si>
  <si>
    <t>2021-REN-Marriott</t>
  </si>
  <si>
    <t>0060W0000123qkvQAA</t>
  </si>
  <si>
    <t>2020-REN-Marriott</t>
  </si>
  <si>
    <t>0060W00000zP8HMQA0</t>
  </si>
  <si>
    <t>2019 Renewal - Marriott</t>
  </si>
  <si>
    <t>006d000000VQaTPAA1</t>
  </si>
  <si>
    <t>2014 Renewal - Hibu</t>
  </si>
  <si>
    <t>006d000000umRMQAA2</t>
  </si>
  <si>
    <t>2016 Renewal - Chrysler</t>
  </si>
  <si>
    <t>006d000000Y2ureAAB</t>
  </si>
  <si>
    <t>2015 Renewal - The American Institute of Architects</t>
  </si>
  <si>
    <t>006d000000TFLhdAAH</t>
  </si>
  <si>
    <t>2015 Renewal - Autodesk</t>
  </si>
  <si>
    <t>006d000000UYce8AAD</t>
  </si>
  <si>
    <t>2015 Renewal - News UK 2015 Renewal</t>
  </si>
  <si>
    <t>006d000000hsno6AAA</t>
  </si>
  <si>
    <t>2016 Renewal - WestJet Airlines</t>
  </si>
  <si>
    <t>0060W00000wwFEAQA2</t>
  </si>
  <si>
    <t>2018 Renewal - Darden</t>
  </si>
  <si>
    <t>006d000000tvmsuAAA</t>
  </si>
  <si>
    <t>2017 Renewal - Darden</t>
  </si>
  <si>
    <t>006d000000hsa8FAAQ</t>
  </si>
  <si>
    <t>2016 Renewal - Darden</t>
  </si>
  <si>
    <t>006d000000c14zpAAA</t>
  </si>
  <si>
    <t>2015 Renewal - Darden</t>
  </si>
  <si>
    <t>006d000000ZWbSNAA1</t>
  </si>
  <si>
    <t>2014 Renewal - Target</t>
  </si>
  <si>
    <t>006d000000YjGWHAA3</t>
  </si>
  <si>
    <t>2015 Renewal - Target</t>
  </si>
  <si>
    <t>0060W00000y5xgXQAQ</t>
  </si>
  <si>
    <t>2021 Renewal - The Hartford Financial</t>
  </si>
  <si>
    <t>006d000000jcHFzAAM</t>
  </si>
  <si>
    <t>2018 Renewal - The Hartford Financial</t>
  </si>
  <si>
    <t>0060W000015P0nFQAS</t>
  </si>
  <si>
    <t>2024-REN-The Hartford Financial</t>
  </si>
  <si>
    <t>006d000000hzTraAAE</t>
  </si>
  <si>
    <t>2016 Renewal - Adidas 2</t>
  </si>
  <si>
    <t>006d000000YdBbjAAF</t>
  </si>
  <si>
    <t>2015 Renewal - Adidas 2</t>
  </si>
  <si>
    <t>006d000000ZLCGKAA5</t>
  </si>
  <si>
    <t>2015 Renewal - The Hearst Corportation</t>
  </si>
  <si>
    <t>006d000000hpGEkAAM</t>
  </si>
  <si>
    <t>2016 Renewal - Merkle</t>
  </si>
  <si>
    <t>0060W00000xoDWhQAM</t>
  </si>
  <si>
    <t>2019 Renewal - Bluestem Brands</t>
  </si>
  <si>
    <t>006d000000vEo65AAC</t>
  </si>
  <si>
    <t>2018 Renewal - Bluestem Brands</t>
  </si>
  <si>
    <t>006d000000ghfvrAAA</t>
  </si>
  <si>
    <t>2017 Renewal - Bluestem Brands</t>
  </si>
  <si>
    <t>006d000000cFmvPAAS</t>
  </si>
  <si>
    <t>2016 Renewal - Bluestem Brands</t>
  </si>
  <si>
    <t>0060W000012bBjhQAE</t>
  </si>
  <si>
    <t>2021-REN-Bluestem Brands</t>
  </si>
  <si>
    <t>0060W00000ztjV6QAI</t>
  </si>
  <si>
    <t>2020 Renewal - Bluestem Brands</t>
  </si>
  <si>
    <t>006d000000i1bfnAAA</t>
  </si>
  <si>
    <t>2016 Renewal - T-Mobile</t>
  </si>
  <si>
    <t>006d000000UP7kLAAT</t>
  </si>
  <si>
    <t>2015 Renewal - T-Mobile</t>
  </si>
  <si>
    <t>006d000000hsgQIAAY</t>
  </si>
  <si>
    <t>2016 Renewal - Guitar Center</t>
  </si>
  <si>
    <t>006d000000YdGHGAA3</t>
  </si>
  <si>
    <t>2015 Renewal - Guitar Center</t>
  </si>
  <si>
    <t>006d000000bEDM1AAO</t>
  </si>
  <si>
    <t>2015 #2 Renewal - EMC</t>
  </si>
  <si>
    <t>006d000000umpXBAAY</t>
  </si>
  <si>
    <t>2017 Renewal - EMC</t>
  </si>
  <si>
    <t>006d000000Sra8cAAB</t>
  </si>
  <si>
    <t>2015 Renewal - EMC</t>
  </si>
  <si>
    <t>006d000000i0BPXAA2</t>
  </si>
  <si>
    <t>2016 Renewal - EMC</t>
  </si>
  <si>
    <t>006d000000UKeM2AAL</t>
  </si>
  <si>
    <t>2015 Renewal - Time Warner Cable</t>
  </si>
  <si>
    <t>006d000000VQaUiAAL</t>
  </si>
  <si>
    <t>2014 Renewal - Time Warner Cable</t>
  </si>
  <si>
    <t>0060W00000wwmOkQAI</t>
  </si>
  <si>
    <t>2018 Renewal - Hyatt Contract</t>
  </si>
  <si>
    <t>006d000000ttiRVAAY</t>
  </si>
  <si>
    <t>2017 Renewal - Hyatt Contract</t>
  </si>
  <si>
    <t>0066T000017x1bXQAQ</t>
  </si>
  <si>
    <t>2023 - REN - Healthgrades Marketplace, LLC</t>
  </si>
  <si>
    <t>0066T000016meKnQAI</t>
  </si>
  <si>
    <t>2022 - REN - Healthgrades</t>
  </si>
  <si>
    <t>0060W000014nIpUQAU</t>
  </si>
  <si>
    <t>2021 - REN - Healthgrades</t>
  </si>
  <si>
    <t>0060W00000vuyeeQAA</t>
  </si>
  <si>
    <t>2018 Renewal - Deloitte</t>
  </si>
  <si>
    <t>006VH00000YAn77YAD</t>
  </si>
  <si>
    <t>2026 - REN - Deloitte</t>
  </si>
  <si>
    <t>006d000000lS20HAAS</t>
  </si>
  <si>
    <t>2017 Renewal - Deloitte</t>
  </si>
  <si>
    <t>0066T00001B8d1MQAR</t>
  </si>
  <si>
    <t>2024 - REN - Deloitte</t>
  </si>
  <si>
    <t>0066T000017Vqd7QAC</t>
  </si>
  <si>
    <t>2023-REN-Deloitte</t>
  </si>
  <si>
    <t>0066T000015PzmXQAS</t>
  </si>
  <si>
    <t>2022-REN-Deloitte</t>
  </si>
  <si>
    <t>0060W000012Ju6aQAC</t>
  </si>
  <si>
    <t>2021-REN-Deloitte-XSELL Privacy</t>
  </si>
  <si>
    <t>0060W000010xXXwQAM</t>
  </si>
  <si>
    <t>2020 Renewal - Deloitte</t>
  </si>
  <si>
    <t>0060W00000y5wQXQAY</t>
  </si>
  <si>
    <t>2019 Renewal - Deloitte</t>
  </si>
  <si>
    <t>0060W00000zOxTHQA0</t>
  </si>
  <si>
    <t>2019 Renewal - Elsevier "Global"</t>
  </si>
  <si>
    <t>006d000000rpbGaAAI</t>
  </si>
  <si>
    <t>2018 Renewal - Elsevier "Global"</t>
  </si>
  <si>
    <t>0060W000014m8HRQAY</t>
  </si>
  <si>
    <t>2021-REN-Elsevier "Global"</t>
  </si>
  <si>
    <t>0060W0000121qMyQAI</t>
  </si>
  <si>
    <t>2020 Renewal - Elsevier "Global"</t>
  </si>
  <si>
    <t>006d000000hylXSAAY</t>
  </si>
  <si>
    <t>2016 Renewal - Adobe Systems - Acrobat &amp; EchoSign</t>
  </si>
  <si>
    <t>006d000000YdNUeAAN</t>
  </si>
  <si>
    <t>2015 Renewal - Adobe Systems - Acrobat &amp; EchoSign</t>
  </si>
  <si>
    <t>006d000000un2MEAAY</t>
  </si>
  <si>
    <t>2016 Upsell Adobe Systems - Acrobat &amp; EchoSign</t>
  </si>
  <si>
    <t>006d000000uDZvlAAG</t>
  </si>
  <si>
    <t>2017 Renewal - Adobe Systems - Acrobat &amp; EchoSign</t>
  </si>
  <si>
    <t>006d000000hpcf6AAA</t>
  </si>
  <si>
    <t>2016 Renewal - eBay</t>
  </si>
  <si>
    <t>006d000000Vp0MIAAZ</t>
  </si>
  <si>
    <t>2015 Renewal - eBay</t>
  </si>
  <si>
    <t>006d000000ZVrTvAAL</t>
  </si>
  <si>
    <t>2015 Renewal - Hotels.com</t>
  </si>
  <si>
    <t>006d000000ZVkWWAA1</t>
  </si>
  <si>
    <t>2014 Renewal - Hotels.com</t>
  </si>
  <si>
    <t>006d000000eLYQxAAO</t>
  </si>
  <si>
    <t>2016 Renewal - Hotels.com</t>
  </si>
  <si>
    <t>006d000000hsS9WAAU</t>
  </si>
  <si>
    <t>2016 Renewal - HUGE, LLC</t>
  </si>
  <si>
    <t>006d000000W34eKAAR</t>
  </si>
  <si>
    <t>2015 Renewal - Project Management Institute</t>
  </si>
  <si>
    <t>0060W00000zNGL8QAO</t>
  </si>
  <si>
    <t>2019 Renewal - TIAA CREF</t>
  </si>
  <si>
    <t>006d000000Yd5oVAAR</t>
  </si>
  <si>
    <t>2015  Renewal - TIAA-CREF</t>
  </si>
  <si>
    <t>006d000000VQbxFAAT</t>
  </si>
  <si>
    <t>2014 Renewal - TIAA CREF</t>
  </si>
  <si>
    <t>006d000000tw3c4AAA</t>
  </si>
  <si>
    <t>2018 Renewal - TIAA CREF</t>
  </si>
  <si>
    <t>006d000000tuzrVAAQ</t>
  </si>
  <si>
    <t>2016 Renewal - TIAA CREF</t>
  </si>
  <si>
    <t>0066T000015qQ5MQAU</t>
  </si>
  <si>
    <t>2022-REN-TIAA CREF</t>
  </si>
  <si>
    <t>0060W000014ZtWEQA0</t>
  </si>
  <si>
    <t>2021-REN-TIAA CREF</t>
  </si>
  <si>
    <t>0060W0000120wfJQAQ</t>
  </si>
  <si>
    <t>2020 Renewal - TIAA CREF</t>
  </si>
  <si>
    <t>006d000000aesK2AAI</t>
  </si>
  <si>
    <t>2015 Renewal - Nordstrom</t>
  </si>
  <si>
    <t>006d000000cFmuHAAS</t>
  </si>
  <si>
    <t>2016 Renewal - Humana</t>
  </si>
  <si>
    <t>006d000000Sra8QAAR</t>
  </si>
  <si>
    <t>2015 Renewal - Humana</t>
  </si>
  <si>
    <t>006d000000i0BQtAAM</t>
  </si>
  <si>
    <t>2017 Renewal - Humana</t>
  </si>
  <si>
    <t>0060W00000vXzZGQA0</t>
  </si>
  <si>
    <t>2018 Renewal - Quest Software</t>
  </si>
  <si>
    <t>006d000000Yd5CTAAZ</t>
  </si>
  <si>
    <t>2015 Renewal - Dell Software</t>
  </si>
  <si>
    <t>006d000000VQaT0AAL</t>
  </si>
  <si>
    <t>2014 Renewal - Dell Software</t>
  </si>
  <si>
    <t>0060W00000wrACcQAM</t>
  </si>
  <si>
    <t>2019 Renewal - Quest Software</t>
  </si>
  <si>
    <t>006d000000YdM9zAAF</t>
  </si>
  <si>
    <t>2015 Renewal - Benefit Cosmetics</t>
  </si>
  <si>
    <t>0060W00000wwHA7QAM</t>
  </si>
  <si>
    <t>2018 Renewal - Staples</t>
  </si>
  <si>
    <t>006d000000VQaUsAAL</t>
  </si>
  <si>
    <t>2014 Renewal - Staples</t>
  </si>
  <si>
    <t>006d000000umRXOAA2</t>
  </si>
  <si>
    <t>2017 Renewal - Staples</t>
  </si>
  <si>
    <t>006d000000d1zs5AAA</t>
  </si>
  <si>
    <t>2015 Renewal - Staples</t>
  </si>
  <si>
    <t>0060W00000wyDbgQAE</t>
  </si>
  <si>
    <t>2018 Renewal - GE-Power</t>
  </si>
  <si>
    <t>006d000000uGS7dAAG</t>
  </si>
  <si>
    <t>2017 Renewal - GE-Power</t>
  </si>
  <si>
    <t>0066T000016llc6QAA</t>
  </si>
  <si>
    <t>2022-REN-GE Power</t>
  </si>
  <si>
    <t>0060W000014mnhCQAQ</t>
  </si>
  <si>
    <t>2021-REN-GE Power</t>
  </si>
  <si>
    <t>0060W000012YeMoQAK</t>
  </si>
  <si>
    <t>2020-REN-GE Power</t>
  </si>
  <si>
    <t>0060W00000zOxSYQA0</t>
  </si>
  <si>
    <t>2019 Renewal - GE-Power</t>
  </si>
  <si>
    <t>006d000000e5DPrAAM</t>
  </si>
  <si>
    <t>2016 Renewal - British Telecom Company- Anthony Magee/Karmarama</t>
  </si>
  <si>
    <t>006d000000nCtE1AAK</t>
  </si>
  <si>
    <t>2017 Renewal - 1-800 Contacts</t>
  </si>
  <si>
    <t>006VH000001srgIYAQ</t>
  </si>
  <si>
    <t>2024 - REN - Disneyland &amp; Disney Resort</t>
  </si>
  <si>
    <t>0060W00000vuvY8QAI</t>
  </si>
  <si>
    <t>2018 Renewal - St. Jude</t>
  </si>
  <si>
    <t>006d000000oBqwdAAC</t>
  </si>
  <si>
    <t>2017-UP-St. Jude Children's Research Hospital - 2017 Managed Services</t>
  </si>
  <si>
    <t>0060W00000y76zwQAA</t>
  </si>
  <si>
    <t>2019 Renewal - St. Jude</t>
  </si>
  <si>
    <t>0060W00000vXEmxQAG</t>
  </si>
  <si>
    <t>2017 Renewal Upsell - St. Jude</t>
  </si>
  <si>
    <t>0060W00000wxZ4pQAE</t>
  </si>
  <si>
    <t>2018 Renewal - Shutterfly</t>
  </si>
  <si>
    <t>0060W00000zOxFKQA0</t>
  </si>
  <si>
    <t>2020 - REN - Shutterfly</t>
  </si>
  <si>
    <t>006d000000kRnY4AAK</t>
  </si>
  <si>
    <t>2018 Renewal - Tumi</t>
  </si>
  <si>
    <t>0060W00000zPClKQAW</t>
  </si>
  <si>
    <t>2019 Renewal - Cancer Treatment Centers of America</t>
  </si>
  <si>
    <t>0060W00000xoDdJQAU</t>
  </si>
  <si>
    <t>2018 Renewal - Cancer Treatment Centers of America</t>
  </si>
  <si>
    <t>0060W00000vvGZTQA2</t>
  </si>
  <si>
    <t>2019 Renewal - Morgan Stanley</t>
  </si>
  <si>
    <t>006d000000uoOTuAAM</t>
  </si>
  <si>
    <t>2017 Renewal - Liberty Mutual</t>
  </si>
  <si>
    <t>006d000000ZkWu2AAF</t>
  </si>
  <si>
    <t>AMAA 2014 Renewal</t>
  </si>
  <si>
    <t>006d000000uEhIXAA0</t>
  </si>
  <si>
    <t>2017 Renewal - AMAA</t>
  </si>
  <si>
    <t>006d000000hzTXnAAM</t>
  </si>
  <si>
    <t>2016 Renewal - AMAA</t>
  </si>
  <si>
    <t>006d000000buuZwAAI</t>
  </si>
  <si>
    <t>2015 Renewal - AMAA</t>
  </si>
  <si>
    <t>0060W00000wytMsQAI</t>
  </si>
  <si>
    <t>2019 Renewal - NBCNews/ MSNBC / Today</t>
  </si>
  <si>
    <t>006d000000r3ZLZAA2</t>
  </si>
  <si>
    <t>2017 Renewal - NBCNews/ MSNBC / Today</t>
  </si>
  <si>
    <t>006d000000i1biIAAQ</t>
  </si>
  <si>
    <t>2016 Renewal - NBCNews/ MSNBC / Today</t>
  </si>
  <si>
    <t>0066T000016ndFfQAI</t>
  </si>
  <si>
    <t>2023-REN-New York Life</t>
  </si>
  <si>
    <t>0060W000014oOlRQAU</t>
  </si>
  <si>
    <t>2022-REN-New York Life</t>
  </si>
  <si>
    <t>0060W000012ZGjDQAW</t>
  </si>
  <si>
    <t>2021-REN-New York Life</t>
  </si>
  <si>
    <t>0060W00000zPmkDQAS</t>
  </si>
  <si>
    <t>2020 Renewal - New York Life</t>
  </si>
  <si>
    <t>0060W00000wz9rVQAQ</t>
  </si>
  <si>
    <t>2019 Renewal - New York Life</t>
  </si>
  <si>
    <t>006d000000bmW4mAAE</t>
  </si>
  <si>
    <t>2016 Renewal - TrueCar</t>
  </si>
  <si>
    <t>006d000000oqauhAAA</t>
  </si>
  <si>
    <t>2017 Renewal - TrueCar</t>
  </si>
  <si>
    <t>0066T000016lrWJQAY</t>
  </si>
  <si>
    <t>2022 - REN - Verisk - ISO.com</t>
  </si>
  <si>
    <t>0066T00001C8xxlQAB</t>
  </si>
  <si>
    <t>2026 - REN - Verisk Analytics</t>
  </si>
  <si>
    <t>0066T00001AESjNQAX</t>
  </si>
  <si>
    <t>2023 - REN - Verisk</t>
  </si>
  <si>
    <t>0066T000016HCu4QAG</t>
  </si>
  <si>
    <t>2022-REN-Xactware</t>
  </si>
  <si>
    <t>0060W000013pnVqQAI</t>
  </si>
  <si>
    <t>2021-REN-Xactware</t>
  </si>
  <si>
    <t>0060W000011SfTyQAK</t>
  </si>
  <si>
    <t>2020 Renewal - Xactware</t>
  </si>
  <si>
    <t>0060W00000y7REvQAM</t>
  </si>
  <si>
    <t>2019 Renewal - Xactware</t>
  </si>
  <si>
    <t>0060W00000wyKE5QAM</t>
  </si>
  <si>
    <t>2018 Renewal - Xactware</t>
  </si>
  <si>
    <t>0060W00000vwza7QAA</t>
  </si>
  <si>
    <t>Xactware Part 2 (Months 7-12)</t>
  </si>
  <si>
    <t>0060W00000vIMRnQAO</t>
  </si>
  <si>
    <t>2018 Renewal - Vivint</t>
  </si>
  <si>
    <t>0060W00000vXPbXQAW</t>
  </si>
  <si>
    <t>2017 Renewal/Upsell - Vivint</t>
  </si>
  <si>
    <t>0060W00000zNY9WQAW</t>
  </si>
  <si>
    <t>2020 Renewal - National Geographic</t>
  </si>
  <si>
    <t>0060W00000vXQ2WQAW</t>
  </si>
  <si>
    <t>2017 Renewal/Upsell - Managed Services</t>
  </si>
  <si>
    <t>006d000000lVY4GAAW</t>
  </si>
  <si>
    <t>2016 Managed Services Renewal - Charles Schwab</t>
  </si>
  <si>
    <t>006d000000lS1ZaAAK</t>
  </si>
  <si>
    <t>2018 Renewal - Charles Schwab</t>
  </si>
  <si>
    <t>006d000000hpGJuAAM</t>
  </si>
  <si>
    <t>2016 Renewal - Charles Schwab</t>
  </si>
  <si>
    <t>0060W000013lcTgQAI</t>
  </si>
  <si>
    <t>2022-REN-Charles Schwab + TD Ameritrade</t>
  </si>
  <si>
    <t>0060W000010x7UEQAY</t>
  </si>
  <si>
    <t>2019 Built in Upsell - Charles Schwab Quota Placeholder</t>
  </si>
  <si>
    <t>0060W00000y7RBSQA2</t>
  </si>
  <si>
    <t>2020 Renewal - Charles Schwab</t>
  </si>
  <si>
    <t>006VH00000ZIUy0YAH</t>
  </si>
  <si>
    <t>0060W0000121qKuQAI</t>
  </si>
  <si>
    <t>2021 Renewal - Advance Auto Parts</t>
  </si>
  <si>
    <t>0060W000010wu3QQAQ</t>
  </si>
  <si>
    <t>2020-REN-Advance Auto Parts (including 2019 upsell)</t>
  </si>
  <si>
    <t>0060W00000vwC9sQAE</t>
  </si>
  <si>
    <t>2019 Renewal - Advance Auto Parts</t>
  </si>
  <si>
    <t>0066T00001CMC9SQAX</t>
  </si>
  <si>
    <t>2024 - REN - Charles Schwab</t>
  </si>
  <si>
    <t>006d000000uDZeEAAW</t>
  </si>
  <si>
    <t>2018 Renewal - Fossil Group</t>
  </si>
  <si>
    <t>0060W0000122eXTQAY</t>
  </si>
  <si>
    <t>2021 Renewal - Fossil Group</t>
  </si>
  <si>
    <t>0060W000011pgtLQAQ</t>
  </si>
  <si>
    <t>2020 Renewal - Fossil Group</t>
  </si>
  <si>
    <t>006d000000hzTm6AAE</t>
  </si>
  <si>
    <t>2016 Renewal - Rosetta Stone</t>
  </si>
  <si>
    <t>0060W0000121T52QAE</t>
  </si>
  <si>
    <t>2020-REN-IHG</t>
  </si>
  <si>
    <t>006d000000hp2bNAAQ</t>
  </si>
  <si>
    <t>2016 Renewal - Farmers Insurance Group</t>
  </si>
  <si>
    <t>006d000000mGhG8AAK</t>
  </si>
  <si>
    <t>2017 Renewal - Farmers Insurance Group</t>
  </si>
  <si>
    <t>0060W00000wySGaQAM</t>
  </si>
  <si>
    <t>2019 Renewal - Endurance International</t>
  </si>
  <si>
    <t>0060W00000y5ZGGQA2</t>
  </si>
  <si>
    <t>2020 Renewal - Converse</t>
  </si>
  <si>
    <t>006VH00000TnDZhYAN</t>
  </si>
  <si>
    <t>0060W00000vId39QAC</t>
  </si>
  <si>
    <t>2018 Renewal - Western Union</t>
  </si>
  <si>
    <t>006d000000i0BYKAA2</t>
  </si>
  <si>
    <t>2017 Renewal - Western Union</t>
  </si>
  <si>
    <t>0066T000015Rz0QQAS</t>
  </si>
  <si>
    <t>2022 - REN -Western Union</t>
  </si>
  <si>
    <t>0060W000012KnynQAC</t>
  </si>
  <si>
    <t>2021 Renewal - Western Union</t>
  </si>
  <si>
    <t>0060W000010wEn8QAE</t>
  </si>
  <si>
    <t>2020 Renewal - Western Union</t>
  </si>
  <si>
    <t>0060W00000y6bfUQAQ</t>
  </si>
  <si>
    <t>2019 Renewal - Western Union</t>
  </si>
  <si>
    <t>0060W00000vxaZ3QAI</t>
  </si>
  <si>
    <t>2018 Renewal - Intouch Solutions</t>
  </si>
  <si>
    <t>006d000000tILDRAA4</t>
  </si>
  <si>
    <t>2017 Renewal - Intouch Solutions</t>
  </si>
  <si>
    <t>006d000000hsS1EAAU</t>
  </si>
  <si>
    <t>2016 Renewal - Intouch Solutions</t>
  </si>
  <si>
    <t>0060W000011Uc6QQAS</t>
  </si>
  <si>
    <t>2020 Renewal - Intouch Solutions</t>
  </si>
  <si>
    <t>0060W00000y8RlYQAU</t>
  </si>
  <si>
    <t>2019 Renewal - Intouch Solutions</t>
  </si>
  <si>
    <t>0060W000011UmyJQAS</t>
  </si>
  <si>
    <t>2020 Renewal - Norwegian Cruise Line</t>
  </si>
  <si>
    <t>0060W00000zMz9OQAS</t>
  </si>
  <si>
    <t>2019 Renewal - Norwegian Cruise Line</t>
  </si>
  <si>
    <t>006d000000hpGHAAA2</t>
  </si>
  <si>
    <t>2016 Renewal - Carnival Cruise</t>
  </si>
  <si>
    <t>006d000000ndsoeAAA</t>
  </si>
  <si>
    <t>2017 Renewal - Carnival Cruise</t>
  </si>
  <si>
    <t>0060W00000wxspsQAA</t>
  </si>
  <si>
    <t>2018 Renewal - Allstate</t>
  </si>
  <si>
    <t>006d000000uDZtfAAG</t>
  </si>
  <si>
    <t>2017 Renewal - Allstate</t>
  </si>
  <si>
    <t>006d000000i1bRLAAY</t>
  </si>
  <si>
    <t>2016 Renewal - Allstate</t>
  </si>
  <si>
    <t>0060W00000zORjpQAG</t>
  </si>
  <si>
    <t>2019 Renewal - Allstate</t>
  </si>
  <si>
    <t>0066T000015q1zIQAQ</t>
  </si>
  <si>
    <t>2022-REN-Optum-STR</t>
  </si>
  <si>
    <t>0060W000014cqv0QAA</t>
  </si>
  <si>
    <t>2021-REN-OptumRx - STR</t>
  </si>
  <si>
    <t>0060W000013K6pXQAS</t>
  </si>
  <si>
    <t>2020-REN-OptumRx Strategic - Pharmacy Engagement / Communications - Platform &amp; Services-STR</t>
  </si>
  <si>
    <t>0060W00000wxCVfQAM</t>
  </si>
  <si>
    <t>2018 Renewal - Quicken Loans</t>
  </si>
  <si>
    <t>006d000000i1QBSAA2</t>
  </si>
  <si>
    <t>2017 Renewal - Quicken Loans</t>
  </si>
  <si>
    <t>0060W00000zNxu1QAC</t>
  </si>
  <si>
    <t>2019 Renewal - Quicken Loans</t>
  </si>
  <si>
    <t>006d000000fXkiEAAS</t>
  </si>
  <si>
    <t>2016 Renewal - Australia Post</t>
  </si>
  <si>
    <t>006d000000kdKJhAAM</t>
  </si>
  <si>
    <t>2017 Renewal - Australia Post</t>
  </si>
  <si>
    <t>006d000000exoAJAAY</t>
  </si>
  <si>
    <t>2016 Renewal - TELUS</t>
  </si>
  <si>
    <t>006d000000e5YjlAAE</t>
  </si>
  <si>
    <t>2016 Renewal - Lazada Group</t>
  </si>
  <si>
    <t>006d000000i0OKnAAM</t>
  </si>
  <si>
    <t>2016-UP-Rolex Managed Services</t>
  </si>
  <si>
    <t>0060W000014m8N0QAI</t>
  </si>
  <si>
    <t>2021-REN-Lloyds Bank</t>
  </si>
  <si>
    <t>0060W000012tUJiQAM</t>
  </si>
  <si>
    <t>2020-REN-Lloyds Bank</t>
  </si>
  <si>
    <t>0060W00000zOIBYQA4</t>
  </si>
  <si>
    <t>2019 Renewal - Lloyds Bank</t>
  </si>
  <si>
    <t>0060W00000vXKebQAG</t>
  </si>
  <si>
    <t>2019 Renewal - Business.LinkedIn</t>
  </si>
  <si>
    <t>0066T000017WXQcQAO</t>
  </si>
  <si>
    <t>2024-REN-Business LinkedIn</t>
  </si>
  <si>
    <t>0060W000015OHJhQAO</t>
  </si>
  <si>
    <t>2022-REN-Business LinkedIn</t>
  </si>
  <si>
    <t>0060W000012bB3LQAU</t>
  </si>
  <si>
    <t>2021-REN-Business LinkedIn-XSELL Privacy</t>
  </si>
  <si>
    <t>0060W00000zPmyoQAC</t>
  </si>
  <si>
    <t>2020 Renewal - Business.LinkedIn</t>
  </si>
  <si>
    <t>0060W0000122w8KQAQ</t>
  </si>
  <si>
    <t>2020-REN-Sun Life</t>
  </si>
  <si>
    <t>0060W00000vwp6RQAQ</t>
  </si>
  <si>
    <t>2018 Renewal - Chegg</t>
  </si>
  <si>
    <t>0060W00000vwYuZQAU</t>
  </si>
  <si>
    <t>Chegg Upsell</t>
  </si>
  <si>
    <t>0060W00000vv9hIQAQ</t>
  </si>
  <si>
    <t>2019 Renewal - Marks &amp; Spencer</t>
  </si>
  <si>
    <t>0066T000015QfK3QAK</t>
  </si>
  <si>
    <t>2022-REN-Marks &amp; Spencer</t>
  </si>
  <si>
    <t>0060W000012JcWkQAK</t>
  </si>
  <si>
    <t>2021-REN-Marks &amp; Spencer</t>
  </si>
  <si>
    <t>0060W000010wkznQAA</t>
  </si>
  <si>
    <t>2020 Renewal - Marks &amp; Spencer</t>
  </si>
  <si>
    <t>006d000000VQaPcAAL</t>
  </si>
  <si>
    <t>2014 Renewal - PMI</t>
  </si>
  <si>
    <t>0066T000017WXbQQAW</t>
  </si>
  <si>
    <t>2024-REN-PBS</t>
  </si>
  <si>
    <t>0060W000015PEXMQA4</t>
  </si>
  <si>
    <t>2022-REN-PBS</t>
  </si>
  <si>
    <t>0060W000012TQebQAG</t>
  </si>
  <si>
    <t>2021-REN-PBS</t>
  </si>
  <si>
    <t>0060W000010RW7hQAG</t>
  </si>
  <si>
    <t>2020 Renewal - PBS</t>
  </si>
  <si>
    <t>0060W00000wvVPjQAM</t>
  </si>
  <si>
    <t>2018 Renewal - Fifth Third Bank</t>
  </si>
  <si>
    <t>0066T000015qQMhQAM</t>
  </si>
  <si>
    <t>2022-REN-Fifth Third Bank</t>
  </si>
  <si>
    <t>0060W000013suHRQAY</t>
  </si>
  <si>
    <t>2021-REN-Fifth Third Bank</t>
  </si>
  <si>
    <t>0060W000011Wi9uQAC</t>
  </si>
  <si>
    <t>2020-REN-Fifth Third Bank</t>
  </si>
  <si>
    <t>0060W00000zMqEHQA0</t>
  </si>
  <si>
    <t>2019 Renewal - Fifth Third Bank</t>
  </si>
  <si>
    <t>006d000000hMTcQAAW</t>
  </si>
  <si>
    <t>2017 Renewal - Moz</t>
  </si>
  <si>
    <t>006d000000j1QAnAAM</t>
  </si>
  <si>
    <t>2017 Renewal - Silver Star Brands</t>
  </si>
  <si>
    <t>0060W00000y5ExeQAE</t>
  </si>
  <si>
    <t>2019 Renewal - America First Credit Union</t>
  </si>
  <si>
    <t>006d000000kFFdZAAW</t>
  </si>
  <si>
    <t>2018 Renewal - America First Credit Union</t>
  </si>
  <si>
    <t>0060W00000wvrVLQAY</t>
  </si>
  <si>
    <t>2019 Renewal - Argos</t>
  </si>
  <si>
    <t>006d000000uH6XQAA0</t>
  </si>
  <si>
    <t>2017 Renewal - Argos</t>
  </si>
  <si>
    <t>006d000000hzTSBAA2</t>
  </si>
  <si>
    <t>2016 Renewal - Argos</t>
  </si>
  <si>
    <t>0060W0000121nxwQAA</t>
  </si>
  <si>
    <t>2020-REN-Argos</t>
  </si>
  <si>
    <t>006d000000buuciAAA</t>
  </si>
  <si>
    <t>2015  Renewal - Hotwire</t>
  </si>
  <si>
    <t>006d000000buudCAAQ</t>
  </si>
  <si>
    <t>2015 Renewal - Ideal Living Management</t>
  </si>
  <si>
    <t>006d000000hzTjlAAE</t>
  </si>
  <si>
    <t>2016 Renewal - Ideal Living Management</t>
  </si>
  <si>
    <t>006d000000dPl4SAAS</t>
  </si>
  <si>
    <t>2015 Renewal - FedEx</t>
  </si>
  <si>
    <t>0060W00000vwbIEQAY</t>
  </si>
  <si>
    <t>2019 Renewal - Save The Children Fun</t>
  </si>
  <si>
    <t>006d000000phDUeAAM</t>
  </si>
  <si>
    <t>2017 Renewal - Save The Children Fun</t>
  </si>
  <si>
    <t>006d000000hpcYOAAY</t>
  </si>
  <si>
    <t>2016 Renewal - Save The Children Fun</t>
  </si>
  <si>
    <t>006d000000hylUEAAY</t>
  </si>
  <si>
    <t>2016 Renewal - Breather</t>
  </si>
  <si>
    <t>006d000000tvL48AAE</t>
  </si>
  <si>
    <t>2017 Renewal - Capella</t>
  </si>
  <si>
    <t>006d000000ZcnJZAAZ</t>
  </si>
  <si>
    <t>2015 Auto-renewal Numeric</t>
  </si>
  <si>
    <t>0060W00000vId3dQAC</t>
  </si>
  <si>
    <t>2018 Renewal - HCA Healthcare</t>
  </si>
  <si>
    <t>006d000000mGW7nAAG</t>
  </si>
  <si>
    <t>2017 Renewal - HCA Healthcare</t>
  </si>
  <si>
    <t>0060W00001213WAQAY</t>
  </si>
  <si>
    <t>2020 Renewal - Ciena</t>
  </si>
  <si>
    <t>0060W00000vXCbAQAW</t>
  </si>
  <si>
    <t>2018 Renewal - AMP</t>
  </si>
  <si>
    <t>006d000000kaLi0AAE</t>
  </si>
  <si>
    <t>2017 Renewal - AMP</t>
  </si>
  <si>
    <t>006d000000e5Yc3AAE</t>
  </si>
  <si>
    <t>2016 Renewal - AMP</t>
  </si>
  <si>
    <t>006VH00000PnBVNYA3</t>
  </si>
  <si>
    <t>2025 - REN - Automobile Club of Southern California</t>
  </si>
  <si>
    <t>0066T00001EK6vVQAT</t>
  </si>
  <si>
    <t>2024 - REN - Automobile Club of Southern California</t>
  </si>
  <si>
    <t>0066T00001ACsBcQAL</t>
  </si>
  <si>
    <t>2023 - REN - Automobile Club of Southern California</t>
  </si>
  <si>
    <t>0066T000016lfsDQAQ</t>
  </si>
  <si>
    <t>2022 - REN - AAA - So Cal</t>
  </si>
  <si>
    <t>0060W000014mngJQAQ</t>
  </si>
  <si>
    <t>2021-REN-AAA - So Cal</t>
  </si>
  <si>
    <t>0060W000012309QQAQ</t>
  </si>
  <si>
    <t>2020 Renewal - AAA - So Cal</t>
  </si>
  <si>
    <t>0060W00000zOeK3QAK</t>
  </si>
  <si>
    <t>2019 Renewal - AAA - So Cal</t>
  </si>
  <si>
    <t>0060W00000wwQcXQAU</t>
  </si>
  <si>
    <t>2018 Renewal - AAA - So Cal</t>
  </si>
  <si>
    <t>006d000000ctPOPAA2</t>
  </si>
  <si>
    <t>2015 Renewal IIH Nordic</t>
  </si>
  <si>
    <t>0060W00000vxajSQAQ</t>
  </si>
  <si>
    <t>2018 Renewal - American Medical</t>
  </si>
  <si>
    <t>006d000000Sra8SAAR</t>
  </si>
  <si>
    <t>2015 Renewal - American Medical</t>
  </si>
  <si>
    <t>006d000000hougzAAA</t>
  </si>
  <si>
    <t>2017 Renewal - American Medical</t>
  </si>
  <si>
    <t>006d000000bOG67AAG</t>
  </si>
  <si>
    <t>2016 Renewal - American Medical</t>
  </si>
  <si>
    <t>0060W000012bBn0QAE</t>
  </si>
  <si>
    <t>2021-REN-eHealth</t>
  </si>
  <si>
    <t>0060W00000wz8YRQAY</t>
  </si>
  <si>
    <t>2020 Renewal - eHealth</t>
  </si>
  <si>
    <t>0060W00000vXsV5QAK</t>
  </si>
  <si>
    <t>2018 Renewal - ESPN</t>
  </si>
  <si>
    <t>0060W00000zMzWvQAK</t>
  </si>
  <si>
    <t>2019 Renewal - ESPN</t>
  </si>
  <si>
    <t>0060W00000vIMLfQAO</t>
  </si>
  <si>
    <t>2018 Renewal - Ford EMEA (BlueHive)</t>
  </si>
  <si>
    <t>006d000000i0BSpAAM</t>
  </si>
  <si>
    <t>2017 Renewal - Ford EMEA (BlueHive)</t>
  </si>
  <si>
    <t>0066T000015QMnrQAG</t>
  </si>
  <si>
    <t>2022-REN-Ford EMEA (BlueHive)</t>
  </si>
  <si>
    <t>0060W000013piPBQAY</t>
  </si>
  <si>
    <t>2021-REN-Ford EMEA (BlueHive)</t>
  </si>
  <si>
    <t>0060W000012a4n9QAA</t>
  </si>
  <si>
    <t>2020-REN-Ford EMEA (BlueHive)</t>
  </si>
  <si>
    <t>0060W00000wzZGLQA2</t>
  </si>
  <si>
    <t>2019 Renewal - Ford EMEA (BlueHive)</t>
  </si>
  <si>
    <t>006d000000s9YAlAAM</t>
  </si>
  <si>
    <t>2017 Renewal - Dick's Sporting Goods</t>
  </si>
  <si>
    <t>0060W00000wxuVpQAI</t>
  </si>
  <si>
    <t>2018 Renewal - Harley-Davidson</t>
  </si>
  <si>
    <t>006d000000Yd4yGAAR</t>
  </si>
  <si>
    <t>2015 Renewal - Harley-Davidson</t>
  </si>
  <si>
    <t>006d000000uFr6UAAS</t>
  </si>
  <si>
    <t>2017 Renewal - Harley-Davidson</t>
  </si>
  <si>
    <t>006d000000hzTbRAAU</t>
  </si>
  <si>
    <t>2016 Renewal - Harley-Davidson</t>
  </si>
  <si>
    <t>0060W000011pHMEQA2</t>
  </si>
  <si>
    <t>2020 Renewal - Harley-Davidson</t>
  </si>
  <si>
    <t>0060W00000zOcf1QAC</t>
  </si>
  <si>
    <t>2019 Renewal - Harley-Davidson</t>
  </si>
  <si>
    <t>0066T000015o7VFQAY</t>
  </si>
  <si>
    <t>2023 - REN - Neiman Marcus</t>
  </si>
  <si>
    <t>0060W000011UO9RQAW</t>
  </si>
  <si>
    <t>Renewal 2021 - Neiman Marcus</t>
  </si>
  <si>
    <t>0060W00000wy5uoQAA</t>
  </si>
  <si>
    <t>2018 Renewal - Purch, Inc</t>
  </si>
  <si>
    <t>006d000000umpNKAAY</t>
  </si>
  <si>
    <t>2017 Renewal - Purch, Inc</t>
  </si>
  <si>
    <t>006d000000i02r0AAA</t>
  </si>
  <si>
    <t>2016 Renewal - Purch, Inc</t>
  </si>
  <si>
    <t>0060W00000wyScvQAE</t>
  </si>
  <si>
    <t>2019-REN-Whitbread</t>
  </si>
  <si>
    <t>006d000000uo98rAAA</t>
  </si>
  <si>
    <t>2018-REN-Whitbread</t>
  </si>
  <si>
    <t>006d000000i08eHAAQ</t>
  </si>
  <si>
    <t>2017-REN-Whitbread</t>
  </si>
  <si>
    <t>0060W00000zPbmPQAS</t>
  </si>
  <si>
    <t>2020-REN-Whitbread</t>
  </si>
  <si>
    <t>0066T000016GVVsQAO</t>
  </si>
  <si>
    <t>2022 - REN - Liberty Global</t>
  </si>
  <si>
    <t>0060W000015O0YqQAK</t>
  </si>
  <si>
    <t>2021 - REN - Liberty Global</t>
  </si>
  <si>
    <t>0060W000011pSIoQAM</t>
  </si>
  <si>
    <t>2020 Renewal - Liberty Global</t>
  </si>
  <si>
    <t>0060W00000y8oMZQAY</t>
  </si>
  <si>
    <t>2019 Renewal - Liberty Global</t>
  </si>
  <si>
    <t>0060W00000vx7UyQAI</t>
  </si>
  <si>
    <t>2018 Renewal - Liberty Global</t>
  </si>
  <si>
    <t>006d000000i1bLUAAY</t>
  </si>
  <si>
    <t>2017 Renewal - Classic Industries</t>
  </si>
  <si>
    <t>0066T000018H43AQAS</t>
  </si>
  <si>
    <t>2023 - REN - SPIE</t>
  </si>
  <si>
    <t>0066T00001CNGD4QAP</t>
  </si>
  <si>
    <t>2024 - REN - SPIE</t>
  </si>
  <si>
    <t>0066T000015RXPSQA4</t>
  </si>
  <si>
    <t>2022-REN-Epson America</t>
  </si>
  <si>
    <t>0060W000012KhlDQAS</t>
  </si>
  <si>
    <t>2021-REN-Epson America</t>
  </si>
  <si>
    <t>0060W000010wUWeQAM</t>
  </si>
  <si>
    <t>2020 Renewal - Epson America</t>
  </si>
  <si>
    <t>0060W00000vwrMmQAI</t>
  </si>
  <si>
    <t>2018 Renewal - Project Management Institute</t>
  </si>
  <si>
    <t>006d000000pLs0vAAC</t>
  </si>
  <si>
    <t>2017 Renewal - Project Management Institute</t>
  </si>
  <si>
    <t>006d000000hpcjNAAQ</t>
  </si>
  <si>
    <t>2016 Renewal - Project Management Institute</t>
  </si>
  <si>
    <t>0060W000010yCFtQAM</t>
  </si>
  <si>
    <t>2020 Renewal - Project Management Institute</t>
  </si>
  <si>
    <t>0060W00000y7c7rQAA</t>
  </si>
  <si>
    <t>2019 Renewal - Project Management Institute</t>
  </si>
  <si>
    <t>0060W00000vXVZvQAO</t>
  </si>
  <si>
    <t>2018 Renewal - iDimension_Partner</t>
  </si>
  <si>
    <t>006VH00000W3oIoYAJ</t>
  </si>
  <si>
    <t>2028 - REN - iDimension</t>
  </si>
  <si>
    <t>006VH0000045mZeYAI</t>
  </si>
  <si>
    <t>2025 - REN - iDimension</t>
  </si>
  <si>
    <t>006d000000uFbzrAAC</t>
  </si>
  <si>
    <t>2017 Renewal/Upsell - iDimension_Partner</t>
  </si>
  <si>
    <t>006d000000hzTt4AAE</t>
  </si>
  <si>
    <t>2016 Renewal - iDimension_Partner</t>
  </si>
  <si>
    <t>0066T00001ADjUeQAL</t>
  </si>
  <si>
    <t>2024 - REN - iDimension</t>
  </si>
  <si>
    <t>0066T000017V1hbQAC</t>
  </si>
  <si>
    <t>2023-REN-iDimension_Partner</t>
  </si>
  <si>
    <t>0060W000015PbndQAC</t>
  </si>
  <si>
    <t>2022-REN-iDimension_Partner</t>
  </si>
  <si>
    <t>0060W000012uCOJQA2</t>
  </si>
  <si>
    <t>2021-REN-iDimension_Partner</t>
  </si>
  <si>
    <t>0060W000010O5z3QAC</t>
  </si>
  <si>
    <t>2020 Renewal - iDimension_Partner</t>
  </si>
  <si>
    <t>0060W00000xoFqEQAU</t>
  </si>
  <si>
    <t>2019 Renewal - iDimension_Partner</t>
  </si>
  <si>
    <t>0060W0000122VSOQA2</t>
  </si>
  <si>
    <t>2021-REN-UHC</t>
  </si>
  <si>
    <t>0066T000016mW1nQAE</t>
  </si>
  <si>
    <t>2023-REN-UHC-Services-M&amp;R</t>
  </si>
  <si>
    <t>0060W000013mQaaQAE</t>
  </si>
  <si>
    <t>2021-REN-Lowe's</t>
  </si>
  <si>
    <t>0066T00001ADeeWQAT</t>
  </si>
  <si>
    <t>2025 - REN - Brunello Cucinelli</t>
  </si>
  <si>
    <t>006VH00000QhRaiYAF</t>
  </si>
  <si>
    <t>2025 - REN - Moncler SpA</t>
  </si>
  <si>
    <t>006VH00000OSioIYAT</t>
  </si>
  <si>
    <t>2025 - REN - Explora Journeys</t>
  </si>
  <si>
    <t>006VH00000ioesAYAQ</t>
  </si>
  <si>
    <t>2027 - REN - VF Corporation (Part 2)</t>
  </si>
  <si>
    <t>006VH00000IDeZxYAL</t>
  </si>
  <si>
    <t>2025 - REN - BitBang</t>
  </si>
  <si>
    <t>006d000000uElXJAA0</t>
  </si>
  <si>
    <t>2017 Renewal - Manheim</t>
  </si>
  <si>
    <t>006d000000hsYmiAAE</t>
  </si>
  <si>
    <t>2016 Renewal - Manheim</t>
  </si>
  <si>
    <t>0066T000017XrgpQAC</t>
  </si>
  <si>
    <t>2023 - REN - Consumer Reports</t>
  </si>
  <si>
    <t>0060W00000vXSPEQA4</t>
  </si>
  <si>
    <t>2018 Renewal - Vodafone</t>
  </si>
  <si>
    <t>006d000000kUlk3AAC</t>
  </si>
  <si>
    <t>2017 Renewal - Vodafone</t>
  </si>
  <si>
    <t>006d000000eLfCHAA0</t>
  </si>
  <si>
    <t>2016 Renewal - Vodafone</t>
  </si>
  <si>
    <t>0060W00000wvbdrQAA</t>
  </si>
  <si>
    <t>2019 Renewal - Bose WebAssurance</t>
  </si>
  <si>
    <t>0060W00000vvmARQAY</t>
  </si>
  <si>
    <t>2018 Renewal - Career Education</t>
  </si>
  <si>
    <t>0060W00000vwmHOQAY</t>
  </si>
  <si>
    <t>2018 Renewal - Synopsys</t>
  </si>
  <si>
    <t>0060W00000wvrOUQAY</t>
  </si>
  <si>
    <t>2018 Renewal - MD Anderson Cancer Center</t>
  </si>
  <si>
    <t>006d000000ttylSAAQ</t>
  </si>
  <si>
    <t>2017 Renewal - MD Anderson Cancer Center</t>
  </si>
  <si>
    <t>006d000000hsS3FAAU</t>
  </si>
  <si>
    <t>2016 Renewal - MD Anderson Cancer Center</t>
  </si>
  <si>
    <t>0060W000011otfGQAQ</t>
  </si>
  <si>
    <t>2022 Renewal - MD Anderson Cancer Center</t>
  </si>
  <si>
    <t>0060W00000zMWAIQA4</t>
  </si>
  <si>
    <t>2019 Renewal - MD Anderson Cancer Center</t>
  </si>
  <si>
    <t>006d000000qprpUAAQ</t>
  </si>
  <si>
    <t>2017 Renewal - Salesforce Marketing Cloud</t>
  </si>
  <si>
    <t>006d000000i0TwPAAU</t>
  </si>
  <si>
    <t>2017 Renewal - Direct General</t>
  </si>
  <si>
    <t>0060W00000vxDeuQAE</t>
  </si>
  <si>
    <t>2018 Renewal - Sears</t>
  </si>
  <si>
    <t>006d000000riKBKAA2</t>
  </si>
  <si>
    <t>2017 Renewal - Sears</t>
  </si>
  <si>
    <t>0060W00000vviDgQAI</t>
  </si>
  <si>
    <t>2018 Renewal - Vanguard</t>
  </si>
  <si>
    <t>006d000000phcC8AAI</t>
  </si>
  <si>
    <t>2017 Renewal - Vanguard</t>
  </si>
  <si>
    <t>0060W000010yUCWQA2</t>
  </si>
  <si>
    <t>2020 Renewal - Vanguard</t>
  </si>
  <si>
    <t>0060W00000y7EHCQA2</t>
  </si>
  <si>
    <t>2019 Renewal - Vanguard</t>
  </si>
  <si>
    <t>0060W00000wwQdVQAU</t>
  </si>
  <si>
    <t>2018 Renewal - Air New Zealand</t>
  </si>
  <si>
    <t>006d000000uEhFxAAK</t>
  </si>
  <si>
    <t>2017 Renewal - Air New Zealand</t>
  </si>
  <si>
    <t>006d000000hzTTnAAM</t>
  </si>
  <si>
    <t>2016 Renewal - Air New Zealand</t>
  </si>
  <si>
    <t>0060W00000wxYEoQAM</t>
  </si>
  <si>
    <t>2018 Renewal - Deluxe Corporation</t>
  </si>
  <si>
    <t>006d000000i1bCZAAY</t>
  </si>
  <si>
    <t>2017 Renewal - Deluxe Corporation</t>
  </si>
  <si>
    <t>0060W00000vvLkSQAU</t>
  </si>
  <si>
    <t>2020 Renewal - Stanford Health Care</t>
  </si>
  <si>
    <t>006d000000jcHJMAA2</t>
  </si>
  <si>
    <t>2017 Renewal - Stanford Health Care</t>
  </si>
  <si>
    <t>006d000000hpFjlAAE</t>
  </si>
  <si>
    <t>2016 Renewal - Stanford Health Care</t>
  </si>
  <si>
    <t>0066T0000168AoFQAU</t>
  </si>
  <si>
    <t>2024-REN-Stanford Health Care</t>
  </si>
  <si>
    <t>0060W000012KYSdQAO</t>
  </si>
  <si>
    <t>2021-REN-Stanford Health Care</t>
  </si>
  <si>
    <t>006d000000hzTs9AAE</t>
  </si>
  <si>
    <t>2016 Renewal - Imagitas inc- Move.com</t>
  </si>
  <si>
    <t>006d000000fXkvXAAS</t>
  </si>
  <si>
    <t>2016 Renewal - Digitas - Renault-Nissan</t>
  </si>
  <si>
    <t>006d000000kWki3AAC</t>
  </si>
  <si>
    <t>2017 Renewal - Digitas - Renault-Nissan</t>
  </si>
  <si>
    <t>0060W00000vxDbgQAE</t>
  </si>
  <si>
    <t>2018 Renewal - IMS - Colony Brands</t>
  </si>
  <si>
    <t>006d000000i0BaKAAU</t>
  </si>
  <si>
    <t>2017 Renewal - IMS - Colony Brands</t>
  </si>
  <si>
    <t>0060W000013qAOzQAM</t>
  </si>
  <si>
    <t>2021-REN-IMS - Colony Brands</t>
  </si>
  <si>
    <t>0060W000010yZeHQAU</t>
  </si>
  <si>
    <t>2020 Renewal - IMS - Colony Brands</t>
  </si>
  <si>
    <t>0060W00000y7r2bQAA</t>
  </si>
  <si>
    <t>2019 Renewal - IMS - Colony Brands</t>
  </si>
  <si>
    <t>006d000000kRnLzAAK</t>
  </si>
  <si>
    <t>2018 Renewal - 22squared OBO Publix Supermarkets</t>
  </si>
  <si>
    <t>0060W00000y88mRQAQ</t>
  </si>
  <si>
    <t>2019 Renewal - TaxSlayer</t>
  </si>
  <si>
    <t>0066T000017U0lLQAS</t>
  </si>
  <si>
    <t>2022 - REN - Volkswagen AG - Web</t>
  </si>
  <si>
    <t>0060W000014mlDSQAY</t>
  </si>
  <si>
    <t>2021 - REN - Volkswagen AG - Web</t>
  </si>
  <si>
    <t>0060W00000zP755QAC</t>
  </si>
  <si>
    <t>2019 Renewal - Toll Brothers</t>
  </si>
  <si>
    <t>0060W00000wyJybQAE</t>
  </si>
  <si>
    <t>2018 Renewal - Toll Brothers</t>
  </si>
  <si>
    <t>0060W000010P45IQAS</t>
  </si>
  <si>
    <t>2020 Renewal - Zions Bank</t>
  </si>
  <si>
    <t>0060W000015PjLjQAK</t>
  </si>
  <si>
    <t>2022-REN-Zions Bank</t>
  </si>
  <si>
    <t>0060W0000137BqJQAU</t>
  </si>
  <si>
    <t>2021-REN-Zions Bank</t>
  </si>
  <si>
    <t>006d000000i0IqHAAU</t>
  </si>
  <si>
    <t>2017 Renewal - The Globe and Mail</t>
  </si>
  <si>
    <t>006d000000tuXx0AAE</t>
  </si>
  <si>
    <t>2018 Renewal - The Toronto Dominion Bank</t>
  </si>
  <si>
    <t>006d000000tuXz1AAE</t>
  </si>
  <si>
    <t>2017 MS Renewal - The Toronto Dominion Bank</t>
  </si>
  <si>
    <t>0060W00000vwLroQAE</t>
  </si>
  <si>
    <t>2017 Renewal - Charter/ Spectrum</t>
  </si>
  <si>
    <t>006d000000hpcPFAAY</t>
  </si>
  <si>
    <t>2016 Renewal - Time Warner Cable</t>
  </si>
  <si>
    <t>0066T00001CMyOTQA1</t>
  </si>
  <si>
    <t>2026 - REN - Charter Communications Operating, LLC</t>
  </si>
  <si>
    <t>0066T0000168YjCQAU</t>
  </si>
  <si>
    <t>2023-REN-Charter - Spectrum</t>
  </si>
  <si>
    <t>0060W000010q4XBQAY</t>
  </si>
  <si>
    <t>2021 Renewal - Charter/ Spectrum</t>
  </si>
  <si>
    <t>0060W00000wxEAuQAM</t>
  </si>
  <si>
    <t>2019 Renewal - Charter/ Spectrum</t>
  </si>
  <si>
    <t>006d000000hrjVmAAI</t>
  </si>
  <si>
    <t>2016 Renewal - RentPath- Rent.com</t>
  </si>
  <si>
    <t>006d000000umpSPAAY</t>
  </si>
  <si>
    <t>2017 Renewal - Burberry</t>
  </si>
  <si>
    <t>006d000000i0BPDAA2</t>
  </si>
  <si>
    <t>2016 Renewal - Burberry</t>
  </si>
  <si>
    <t>006VH00000XOatlYAD</t>
  </si>
  <si>
    <t>2026 - REN - The Vanguard Group</t>
  </si>
  <si>
    <t>0066T00001CMAYrQAP</t>
  </si>
  <si>
    <t>2025 - REN - The Vanguard Group</t>
  </si>
  <si>
    <t>0066T000018GVV9QAO</t>
  </si>
  <si>
    <t>2023 - REN - The Vanguard Group</t>
  </si>
  <si>
    <t>0066T0000168Yo2QAE</t>
  </si>
  <si>
    <t>2022-REN-Vanguard</t>
  </si>
  <si>
    <t>0060W000012KiDlQAK</t>
  </si>
  <si>
    <t>2021 Renewal - Vanguard</t>
  </si>
  <si>
    <t>006d000000hzTc0AAE</t>
  </si>
  <si>
    <t>2016 Renewal - PennyMac Loan Services</t>
  </si>
  <si>
    <t>006d000000i0BX2AAM</t>
  </si>
  <si>
    <t>2017 Renewal - Strayer University</t>
  </si>
  <si>
    <t>006d000000i0BRDAA2</t>
  </si>
  <si>
    <t>2017 Renewal - Progress Software</t>
  </si>
  <si>
    <t>0060W00000vw370QAA</t>
  </si>
  <si>
    <t>2017 Renewal/Upsell - Accenture Ltd</t>
  </si>
  <si>
    <t>0066T000015pmMFQAY</t>
  </si>
  <si>
    <t>2023 Renewal - Accenture Ltd</t>
  </si>
  <si>
    <t>0060W000011WDnRQAW</t>
  </si>
  <si>
    <t>2021 Renewal - Accenture Ltd</t>
  </si>
  <si>
    <t>0060W00000y8Q1PQAU</t>
  </si>
  <si>
    <t>2019 Renewal - Accenture Ltd</t>
  </si>
  <si>
    <t>0060W00000vwdYiQAI</t>
  </si>
  <si>
    <t>2018 Renewal - Accenture Ltd</t>
  </si>
  <si>
    <t>0060W00000vxVEOQA2</t>
  </si>
  <si>
    <t>2018 Renewal - Viacom - Nick Jr Addition</t>
  </si>
  <si>
    <t>006d000000sAn7bAAC</t>
  </si>
  <si>
    <t>2017 Renewal - Viacom - Nick Jr Addition</t>
  </si>
  <si>
    <t>0060W000011WeewQAC</t>
  </si>
  <si>
    <t>2020-REN-Elevate</t>
  </si>
  <si>
    <t>0060W00000zMbJVQA0</t>
  </si>
  <si>
    <t>2019 Renewal - Elevate</t>
  </si>
  <si>
    <t>0060W00000vvjdHQAQ</t>
  </si>
  <si>
    <t>2018 Renewal - Bonneville Communications</t>
  </si>
  <si>
    <t>006d000000oSS81AAG</t>
  </si>
  <si>
    <t>2017 Renewal - Bonneville Communications</t>
  </si>
  <si>
    <t>006d000000hpcWvAAI</t>
  </si>
  <si>
    <t>2016 Renewal - Bonneville Communications</t>
  </si>
  <si>
    <t>0060W000010xXaMQAU</t>
  </si>
  <si>
    <t>2020 Renewal - Bonneville Communications</t>
  </si>
  <si>
    <t>0060W00000y7OJ6QAM</t>
  </si>
  <si>
    <t>2019 Renewal - Bonneville Communications</t>
  </si>
  <si>
    <t>0060W0000121potQAA</t>
  </si>
  <si>
    <t>2020 Renewal - Coastal Contacts</t>
  </si>
  <si>
    <t>0060W00000zNpMGQA0</t>
  </si>
  <si>
    <t>2019 Renewal - Coastal Contacts</t>
  </si>
  <si>
    <t>006VH000003dCArYAM</t>
  </si>
  <si>
    <t>2025 - REN - GEICO</t>
  </si>
  <si>
    <t>0066T000015PzkCQAS</t>
  </si>
  <si>
    <t>2022-REN-Sallie Mae</t>
  </si>
  <si>
    <t>0060W0000133tkOQAQ</t>
  </si>
  <si>
    <t>2021-REN-Sallie Mae</t>
  </si>
  <si>
    <t>0060W000010vKkmQAE</t>
  </si>
  <si>
    <t>2020 Renewal - Sallie Mae</t>
  </si>
  <si>
    <t>0060W00000wxuUhQAI</t>
  </si>
  <si>
    <t>2018 Renewal - AARP</t>
  </si>
  <si>
    <t>006d000000i1bEkAAI</t>
  </si>
  <si>
    <t>2017 Renewal - AARP</t>
  </si>
  <si>
    <t>0060W00000vvrQVQAY</t>
  </si>
  <si>
    <t>2018 Renewal - Esri Opp</t>
  </si>
  <si>
    <t>0060W00000y74n1QAA</t>
  </si>
  <si>
    <t>2019 Renewal - Esri Opp</t>
  </si>
  <si>
    <t>0060W00000wxkrgQAA</t>
  </si>
  <si>
    <t>2018 Renewal - Yard Digital</t>
  </si>
  <si>
    <t>006d000000i1bBbAAI</t>
  </si>
  <si>
    <t>2017 Renewal - Yard Digital</t>
  </si>
  <si>
    <t>0060W00000zOXkVQAW</t>
  </si>
  <si>
    <t>2019 Renewal - Yard Digital</t>
  </si>
  <si>
    <t>0060W00000vwRHKQA2</t>
  </si>
  <si>
    <t>2018 Renewal - TracFone Wireless</t>
  </si>
  <si>
    <t>006d000000oqVmxAAE</t>
  </si>
  <si>
    <t>2017 Renewal - TracFone Wireless</t>
  </si>
  <si>
    <t>006VH00000Oo6AsYAJ</t>
  </si>
  <si>
    <t>2025 - REN - UPS</t>
  </si>
  <si>
    <t>0066T00001B8ZaJQAV</t>
  </si>
  <si>
    <t>2024 - REN - Shutterfly</t>
  </si>
  <si>
    <t>006VH000006PgrvYAC</t>
  </si>
  <si>
    <t>2025 - REN - Shutterfly</t>
  </si>
  <si>
    <t>006VH000003sbH2YAI</t>
  </si>
  <si>
    <t>2025 - REN - Frontier Communications</t>
  </si>
  <si>
    <t>006VH00000QfSJ7YAN</t>
  </si>
  <si>
    <t>2025 - REN - Conrad Electronic International GmbH and Co KG</t>
  </si>
  <si>
    <t>0066T000016l80BQAQ</t>
  </si>
  <si>
    <t>2022-REN-Citigroup</t>
  </si>
  <si>
    <t>0060W000014b5cIQAQ</t>
  </si>
  <si>
    <t>2021-REN-Citigroup</t>
  </si>
  <si>
    <t>006d000000i0BQUAA2</t>
  </si>
  <si>
    <t>2016 Renewal - Astound Commerce - LLX/Jimmy Choo</t>
  </si>
  <si>
    <t>006d000000umpZcAAI</t>
  </si>
  <si>
    <t>2017 Renewal - Astound Commerce - LLX/Jimmy Choo</t>
  </si>
  <si>
    <t>0060W00000xojtHQAQ</t>
  </si>
  <si>
    <t>2020 Renewal - REI</t>
  </si>
  <si>
    <t>006d000000i1bNJAAY</t>
  </si>
  <si>
    <t>2018 Renewal - REI</t>
  </si>
  <si>
    <t>0060W000012T0YjQAK</t>
  </si>
  <si>
    <t>2022-REN-REI</t>
  </si>
  <si>
    <t>006d000000cFn0AAAS</t>
  </si>
  <si>
    <t>2016 Renewal - Eddie Bauer</t>
  </si>
  <si>
    <t>006d000000Sra8VAAR</t>
  </si>
  <si>
    <t>2015 Renewal - Eddie Bauer</t>
  </si>
  <si>
    <t>0060W00000vvlFzQAI</t>
  </si>
  <si>
    <t>2017 Upsell/Renewal - Texas Instruments</t>
  </si>
  <si>
    <t>006d000000ZWbSDAA1</t>
  </si>
  <si>
    <t>2014 Renewal - Texas Instruments</t>
  </si>
  <si>
    <t>006d000000Sra8ZAAR</t>
  </si>
  <si>
    <t>2015 Renewal - Texas Instruments</t>
  </si>
  <si>
    <t>006d000000i1bX1AAI</t>
  </si>
  <si>
    <t>2016 Renewal - Texas Instruments</t>
  </si>
  <si>
    <t>0066T000018FvCKQA0</t>
  </si>
  <si>
    <t>2024 - REN - Texas Instruments</t>
  </si>
  <si>
    <t>0060W000012Ki8bQAC</t>
  </si>
  <si>
    <t>2022 Renewal - Texas Instruments</t>
  </si>
  <si>
    <t>0060W000010yCKjQAM</t>
  </si>
  <si>
    <t>2020 Renewal - Texas Instruments</t>
  </si>
  <si>
    <t>0060W00000y7lrxQAA</t>
  </si>
  <si>
    <t>2019 Renewal - Texas Instruments</t>
  </si>
  <si>
    <t>0060W00000vwYruQAE</t>
  </si>
  <si>
    <t>2018 Renewal - Texas Instruments</t>
  </si>
  <si>
    <t>0060W00000y5Te4QAE</t>
  </si>
  <si>
    <t>2018 Renewal - Suncorp</t>
  </si>
  <si>
    <t>006d000000sjYtiAAE</t>
  </si>
  <si>
    <t>2017 Renewal - Suncorp</t>
  </si>
  <si>
    <t>006d000000hrja9AAA</t>
  </si>
  <si>
    <t>2016 Renewal - Suncorp</t>
  </si>
  <si>
    <t>0060W0000120UxhQAE</t>
  </si>
  <si>
    <t>2019-REN-Suncorp-Script Services</t>
  </si>
  <si>
    <t>0060W00000zMmoOQAS</t>
  </si>
  <si>
    <t>2019 Renewal - Suncorp</t>
  </si>
  <si>
    <t>006d000000hsnnNAAQ</t>
  </si>
  <si>
    <t>2016 Renewal - GlaxoSmithKline</t>
  </si>
  <si>
    <t>0066T00001ACmcBQAT</t>
  </si>
  <si>
    <t>2023 - REN - Immobilien Scout</t>
  </si>
  <si>
    <t>006d000000t16OwAAI</t>
  </si>
  <si>
    <t>2016 Renewal - STYLEPIT</t>
  </si>
  <si>
    <t>0060W00000vuvYmQAI</t>
  </si>
  <si>
    <t>2018 Renewal - Tinkoff Bank</t>
  </si>
  <si>
    <t>006d000000orTO9AAM</t>
  </si>
  <si>
    <t>2017 Renewal - Tinkoff Bank</t>
  </si>
  <si>
    <t>0060W00000zMmrcQAC</t>
  </si>
  <si>
    <t>2019 Renewal - Tinkoff Bank</t>
  </si>
  <si>
    <t>0060W00000xo2EQQAY</t>
  </si>
  <si>
    <t>2019 Renewal - CNBC</t>
  </si>
  <si>
    <t>006d000000umRfgAAE</t>
  </si>
  <si>
    <t>2017 Renewal - CNBC</t>
  </si>
  <si>
    <t>0066T000016nZ8hQAE</t>
  </si>
  <si>
    <t>2023-REN-CNBC</t>
  </si>
  <si>
    <t>0060W000014oGg0QAE</t>
  </si>
  <si>
    <t>2022-REN-CNBC</t>
  </si>
  <si>
    <t>0060W000012ZN00QAG</t>
  </si>
  <si>
    <t>2021-REN-CNBC</t>
  </si>
  <si>
    <t>0060W00000zPl3wQAC</t>
  </si>
  <si>
    <t>2020 Renewal - CNBC</t>
  </si>
  <si>
    <t>006d000000hpcb4AAA</t>
  </si>
  <si>
    <t>2016 Renewal - The Aldo Group</t>
  </si>
  <si>
    <t>006d000000hpcR2AAI</t>
  </si>
  <si>
    <t>2016 Renewal - SmarterHQ</t>
  </si>
  <si>
    <t>0060W00000zPHvdQAG</t>
  </si>
  <si>
    <t>2020 Renewal - NBCNews/ MSNBC / Today / Telemundo</t>
  </si>
  <si>
    <t>006d000000ultayAAA</t>
  </si>
  <si>
    <t>NBC ENT+AppAssurance (Today.com - iOS &amp; Android)</t>
  </si>
  <si>
    <t>0060W000014oOlqQAE</t>
  </si>
  <si>
    <t>2022-REN-NBCNews/ MSNBC / Today / Telemundo</t>
  </si>
  <si>
    <t>0060W0000121aKCQAY</t>
  </si>
  <si>
    <t>2021 Renewal - NBCNews/ MSNBC / Today / Telemundo</t>
  </si>
  <si>
    <t>006d000000hpcjmAAA</t>
  </si>
  <si>
    <t>2016 Renewal - Anglian Group</t>
  </si>
  <si>
    <t>006d000000i1bpbAAA</t>
  </si>
  <si>
    <t>2016 Managed Services Renewal</t>
  </si>
  <si>
    <t>006d000000i1xUaAAI</t>
  </si>
  <si>
    <t>2016 Renewal - Kate Spade</t>
  </si>
  <si>
    <t>006d000000hpce3AAA</t>
  </si>
  <si>
    <t>2016 Renewal - Insurance Australia Group</t>
  </si>
  <si>
    <t>006d000000hpGIIAA2</t>
  </si>
  <si>
    <t>2016 Renewal - Telstra</t>
  </si>
  <si>
    <t>006d000000hpcehAAA</t>
  </si>
  <si>
    <t>2016 Renewal - Webtrends</t>
  </si>
  <si>
    <t>006d000000phBbEAAU</t>
  </si>
  <si>
    <t>2017 Renewal - Webtrends</t>
  </si>
  <si>
    <t>006d000000YiBwwAAF</t>
  </si>
  <si>
    <t>2015 Renewal - A&amp;E Television</t>
  </si>
  <si>
    <t>006d000000hplYXAAY</t>
  </si>
  <si>
    <t>2016 Renewal - CBS Interactive</t>
  </si>
  <si>
    <t>006d000000rb8EnAAI</t>
  </si>
  <si>
    <t>2018 Renewal - CBS Interactive</t>
  </si>
  <si>
    <t>006d000000hpjXrAAI</t>
  </si>
  <si>
    <t>2016 Renewal - Hallmark</t>
  </si>
  <si>
    <t>006d000000Wust2AAB</t>
  </si>
  <si>
    <t>2015 Renewal - Hallmark</t>
  </si>
  <si>
    <t>006d000000c1OnIAAU</t>
  </si>
  <si>
    <t>2015 Renewal - United Airlines</t>
  </si>
  <si>
    <t>006d000000i1U3XAAU</t>
  </si>
  <si>
    <t>2018 Renewal - Amway</t>
  </si>
  <si>
    <t>006d000000hpclsAAA</t>
  </si>
  <si>
    <t>2016 Renewal - Verizon Wireless</t>
  </si>
  <si>
    <t>006d000000TFLhbAAH</t>
  </si>
  <si>
    <t>2015 Renewal - Verizon Wireless</t>
  </si>
  <si>
    <t>0060W00000vwbsgQAA</t>
  </si>
  <si>
    <t>2018 Renewal - Lululemon Athletica Inc</t>
  </si>
  <si>
    <t>006d000000i0BayAAE</t>
  </si>
  <si>
    <t>2017 Renewal - Lululemon Athletica Inc</t>
  </si>
  <si>
    <t>0060W000013piRaQAI</t>
  </si>
  <si>
    <t>2021-REN-Lululemon Athletica Inc</t>
  </si>
  <si>
    <t>0060W000010pqQTQAY</t>
  </si>
  <si>
    <t>2020 Renewal - Lululemon Athletica Inc</t>
  </si>
  <si>
    <t>0060W00000y7qytQAA</t>
  </si>
  <si>
    <t>2019 Renewal - Lululemon Athletica Inc</t>
  </si>
  <si>
    <t>006d000000ct6k6AAA</t>
  </si>
  <si>
    <t>2015 Renewal - PWC</t>
  </si>
  <si>
    <t>0060W00000vxTESQA2</t>
  </si>
  <si>
    <t>Placeholder - EHI 2nd year upsell</t>
  </si>
  <si>
    <t>0060W00000vXQlWQAW</t>
  </si>
  <si>
    <t>2020 Renewal - RS Components</t>
  </si>
  <si>
    <t>006d000000kcYucAAE</t>
  </si>
  <si>
    <t>2017 Renewal - RS Components</t>
  </si>
  <si>
    <t>0060W000012uP1JQAU</t>
  </si>
  <si>
    <t>2022-REN-RS Components</t>
  </si>
  <si>
    <t>0060W000010xGMjQAM</t>
  </si>
  <si>
    <t>2020 Renewal - O2</t>
  </si>
  <si>
    <t>006d000000kRnUtAAK</t>
  </si>
  <si>
    <t>2017 Renewal - TBC</t>
  </si>
  <si>
    <t>0060W000012aS1XQAU</t>
  </si>
  <si>
    <t>2023-REN-Radisson Global</t>
  </si>
  <si>
    <t>0060W00000wxa7BQAQ</t>
  </si>
  <si>
    <t>2018 Renewal - La Capitale</t>
  </si>
  <si>
    <t>006d000000uEaIpAAK</t>
  </si>
  <si>
    <t>2017 Renewal - La Capitale</t>
  </si>
  <si>
    <t>006d000000hzTeVAAU</t>
  </si>
  <si>
    <t>2016 Renewal - La Capitale</t>
  </si>
  <si>
    <t>0066T000015RXxjQAG</t>
  </si>
  <si>
    <t>2022-REN-La Capitale</t>
  </si>
  <si>
    <t>0060W0000122CASQA2</t>
  </si>
  <si>
    <t>2020-REN-La Capitale</t>
  </si>
  <si>
    <t>0060W00000zOxRuQAK</t>
  </si>
  <si>
    <t>2019 Renewal - La Capitale</t>
  </si>
  <si>
    <t>0060W00000vXSRZQA4</t>
  </si>
  <si>
    <t>2018 Renewal - Cablevision</t>
  </si>
  <si>
    <t>006d000000iFUE4AAO</t>
  </si>
  <si>
    <t>2017 Renewal - Cablevision</t>
  </si>
  <si>
    <t>0060W00000wxaITQAY</t>
  </si>
  <si>
    <t>2019 Renewal - Azul</t>
  </si>
  <si>
    <t>0066T000017UCK4QAO</t>
  </si>
  <si>
    <t>2023-REN-Lloyds Bank</t>
  </si>
  <si>
    <t>0060W00000wxsmKQAQ</t>
  </si>
  <si>
    <t>2018 Renewal - Orvis</t>
  </si>
  <si>
    <t>006d000000rbezMAAQ</t>
  </si>
  <si>
    <t>2017 Renewal - Orvis</t>
  </si>
  <si>
    <t>0060W0000122L2zQAE</t>
  </si>
  <si>
    <t>2020-REN-Orvis</t>
  </si>
  <si>
    <t>0060W00000zP7MfQAK</t>
  </si>
  <si>
    <t>2019 Renewal - Orvis</t>
  </si>
  <si>
    <t>0060W00000vX925QAC</t>
  </si>
  <si>
    <t>2017 Renewal/Upsell - RBC AppAssurance</t>
  </si>
  <si>
    <t>0066T000015qdahQAA</t>
  </si>
  <si>
    <t>2022-REN-RBC</t>
  </si>
  <si>
    <t>0060W000014bs45QAA</t>
  </si>
  <si>
    <t>2021-REN-RBC</t>
  </si>
  <si>
    <t>0060W000011VhCTQA0</t>
  </si>
  <si>
    <t>2020 Renewal - RBC</t>
  </si>
  <si>
    <t>0060W00000zNKnDQAW</t>
  </si>
  <si>
    <t>2019 Renewal - RBC</t>
  </si>
  <si>
    <t>0060W00000xoU7jQAE</t>
  </si>
  <si>
    <t>2018 Renewal - RBC</t>
  </si>
  <si>
    <t>0066T00001ADVMuQAP</t>
  </si>
  <si>
    <t>2024 - REN - Selfridges &amp; Co.</t>
  </si>
  <si>
    <t>0060W000014UlkkQAC</t>
  </si>
  <si>
    <t>2023-REN-Selfridges</t>
  </si>
  <si>
    <t>0060W0000123qnGQAQ</t>
  </si>
  <si>
    <t>2021-REN-Selfridges</t>
  </si>
  <si>
    <t>0060W00000zNr7iQAC</t>
  </si>
  <si>
    <t>2020 Renewal - Selfridges</t>
  </si>
  <si>
    <t>006d000000hrjXdAAI</t>
  </si>
  <si>
    <t>2016 Renewal - Intheswim.com</t>
  </si>
  <si>
    <t>0060W00000vvjWkQAI</t>
  </si>
  <si>
    <t>2017 Renewal - Bank of Nova Scotia</t>
  </si>
  <si>
    <t>0060W00000y6lVpQAI</t>
  </si>
  <si>
    <t>2019 Renewal - Bank of Nova Scotia</t>
  </si>
  <si>
    <t>0060W00000vvRbRQAU</t>
  </si>
  <si>
    <t>2018 Renewal - Bank of Nova Scotia</t>
  </si>
  <si>
    <t>0060W00000vx0tAQAQ</t>
  </si>
  <si>
    <t>2019 Renewal - EE</t>
  </si>
  <si>
    <t>0066T000016HLgfQAG</t>
  </si>
  <si>
    <t>2022-REN-SPIE</t>
  </si>
  <si>
    <t>0060W000013pntOQAQ</t>
  </si>
  <si>
    <t>2021-REN-SPIE</t>
  </si>
  <si>
    <t>0060W000010yZbSQAU</t>
  </si>
  <si>
    <t>2020 Renewal - SPIE</t>
  </si>
  <si>
    <t>0060W00000y8o8rQAA</t>
  </si>
  <si>
    <t>2019 Renewal - SPIE</t>
  </si>
  <si>
    <t>006d000000raqHxAAI</t>
  </si>
  <si>
    <t>2018 Renewal - Mezzo Labs</t>
  </si>
  <si>
    <t>0060W00000wyJAHQA2</t>
  </si>
  <si>
    <t>2018 Renewal - Direct Line Group</t>
  </si>
  <si>
    <t>0066T000016nSoKQAU</t>
  </si>
  <si>
    <t>2023-REN-Direct Line Group</t>
  </si>
  <si>
    <t>0060W0000121ivsQAA</t>
  </si>
  <si>
    <t>2021-REN-Direct Line Group</t>
  </si>
  <si>
    <t>0060W00000zOcewQAC</t>
  </si>
  <si>
    <t>2019 Renewal - Direct Line Group</t>
  </si>
  <si>
    <t>0060W00000zONp6QAG</t>
  </si>
  <si>
    <t>2019 Renewal - Barclays UK</t>
  </si>
  <si>
    <t>006d000000uEhgoAAC</t>
  </si>
  <si>
    <t>2017 Renewal - Rolex</t>
  </si>
  <si>
    <t>0066T000016js7BQAQ</t>
  </si>
  <si>
    <t>2022-REN-Rolex</t>
  </si>
  <si>
    <t>0060W000013sE2SQAU</t>
  </si>
  <si>
    <t>2021-REN-Rolex</t>
  </si>
  <si>
    <t>0060W0000120L1NQAU</t>
  </si>
  <si>
    <t>2020 Renewal - Rolex</t>
  </si>
  <si>
    <t>0060W00000zMmtdQAC</t>
  </si>
  <si>
    <t>2019 Renewal - Rolex</t>
  </si>
  <si>
    <t>0060W00000wvm6RQAQ</t>
  </si>
  <si>
    <t>2018 Renewal - Rolex</t>
  </si>
  <si>
    <t>0060W000010yOqxQAE</t>
  </si>
  <si>
    <t>2020 Renewal - Eventim</t>
  </si>
  <si>
    <t>0066T0000168YrZQAU</t>
  </si>
  <si>
    <t>2022-REN-Eventim</t>
  </si>
  <si>
    <t>0060W000013lKwlQAE</t>
  </si>
  <si>
    <t>2021-REN-Eventim</t>
  </si>
  <si>
    <t>0060W00000y7cARQAY</t>
  </si>
  <si>
    <t>2019 Renewal - Eventim</t>
  </si>
  <si>
    <t>0060W00000wwgwGQAQ</t>
  </si>
  <si>
    <t>2018 Renewal - Netapp</t>
  </si>
  <si>
    <t>0060W00000y8XlYQAU</t>
  </si>
  <si>
    <t>2019 Renewal - Netapp</t>
  </si>
  <si>
    <t>006d000000i1XrOAAU</t>
  </si>
  <si>
    <t>2018 Renewal - AT&amp;T</t>
  </si>
  <si>
    <t>0066T000017Wf7CQAS</t>
  </si>
  <si>
    <t>2023 - REN - Robert Half International</t>
  </si>
  <si>
    <t>0066T000015PzCyQAK</t>
  </si>
  <si>
    <t>2022 - REN - Robert Half International</t>
  </si>
  <si>
    <t>0060W000010R5mJQAS</t>
  </si>
  <si>
    <t>2020 Renewal - Robert Half</t>
  </si>
  <si>
    <t>0060W00000wwHCrQAM</t>
  </si>
  <si>
    <t>2018 Renewal - Jet2.com</t>
  </si>
  <si>
    <t>006d000000rXZhDAAW</t>
  </si>
  <si>
    <t>2017 Renewal - Jet2.com</t>
  </si>
  <si>
    <t>006d000000hylWUAAY</t>
  </si>
  <si>
    <t>2016 Renewal - Jet2.com</t>
  </si>
  <si>
    <t>0060W00000zN6BBQA0</t>
  </si>
  <si>
    <t>2019 Renewal - Jet2.com</t>
  </si>
  <si>
    <t>0066T00001CNGBDQA5</t>
  </si>
  <si>
    <t>2024 - REN - The Swiss Colony</t>
  </si>
  <si>
    <t>006d000000hsS74AAE</t>
  </si>
  <si>
    <t>2016 Renewal - Children's Place</t>
  </si>
  <si>
    <t>0060W00000vX0H6QAK</t>
  </si>
  <si>
    <t>2018 Renewal - Kaspersky</t>
  </si>
  <si>
    <t>006d000000XWN2sAAH</t>
  </si>
  <si>
    <t>Kaspersky - Renewal &amp; Upsell</t>
  </si>
  <si>
    <t>006d000000vEzJpAAK</t>
  </si>
  <si>
    <t>2017 Renewal/Upsell - Kaspersky</t>
  </si>
  <si>
    <t>0060W00000xog0QQAQ</t>
  </si>
  <si>
    <t>2019 Renewal - Kaspersky</t>
  </si>
  <si>
    <t>0060W00000xoiEsQAI</t>
  </si>
  <si>
    <t>2019 Renewal - Bell Canada Enterprises</t>
  </si>
  <si>
    <t>0060W00000y5AQXQA2</t>
  </si>
  <si>
    <t>2019 Renewal - T4Media OBO Mercedes</t>
  </si>
  <si>
    <t>006d000000kiou2AAA</t>
  </si>
  <si>
    <t>2018 Renewal - T4Media OBO Mercedes</t>
  </si>
  <si>
    <t>0060W000012SzscQAC</t>
  </si>
  <si>
    <t>2021-REN-T4Media OBO Mercedes</t>
  </si>
  <si>
    <t>0060W000010Q88dQAC</t>
  </si>
  <si>
    <t>2020 Renewal - T4Media OBO Mercedes</t>
  </si>
  <si>
    <t>0060W00000wypMjQAI</t>
  </si>
  <si>
    <t>2019-REN-Biogen</t>
  </si>
  <si>
    <t>006d000000uo9L2AAI</t>
  </si>
  <si>
    <t>2018-REN-Biogen</t>
  </si>
  <si>
    <t>0060W00000zPINNQA4</t>
  </si>
  <si>
    <t>2020-REN-Biogen</t>
  </si>
  <si>
    <t>0060W00000wyBLVQA2</t>
  </si>
  <si>
    <t>2018-REN-FCA</t>
  </si>
  <si>
    <t>0066T000016mW3AQAU</t>
  </si>
  <si>
    <t>2022-REN-FCA</t>
  </si>
  <si>
    <t>0060W000014UdjEQAS</t>
  </si>
  <si>
    <t>2021-REN-FCA</t>
  </si>
  <si>
    <t>0060W0000123Q14QAE</t>
  </si>
  <si>
    <t>2020-REN-FCA</t>
  </si>
  <si>
    <t>0060W00000zPnCRQA0</t>
  </si>
  <si>
    <t>2019 Renewal - FCA</t>
  </si>
  <si>
    <t>0060W00000vXXb3QAG</t>
  </si>
  <si>
    <t>2017 Renewal/Upsell - Bayer</t>
  </si>
  <si>
    <t>0066T000016lfkYQAQ</t>
  </si>
  <si>
    <t>2022 - REN - Oysho - Tech Gov</t>
  </si>
  <si>
    <t>0060W000013sS1oQAE</t>
  </si>
  <si>
    <t>2021-REN-Oysho(Inditex)</t>
  </si>
  <si>
    <t>0060W000011WdZlQAK</t>
  </si>
  <si>
    <t>2020-REN-Oysho(Inditex)</t>
  </si>
  <si>
    <t>006d000000nc5YuAAI</t>
  </si>
  <si>
    <t>2017 Renewal - Tailor Brands</t>
  </si>
  <si>
    <t>0060W00000vwROGQA2</t>
  </si>
  <si>
    <t>2018 Renewal - RWJF</t>
  </si>
  <si>
    <t>006VH00000QdhhFYAR</t>
  </si>
  <si>
    <t>2025 - REN - Robert Wood Johnson Foundation</t>
  </si>
  <si>
    <t>006VH00000eXhS9YAK</t>
  </si>
  <si>
    <t>006d000000qWoRqAAK</t>
  </si>
  <si>
    <t>2017 Renewal - RWJF</t>
  </si>
  <si>
    <t>0066T00001CzLhAQAV</t>
  </si>
  <si>
    <t>2024 - REN - Robert Wood Johnson Foundation</t>
  </si>
  <si>
    <t>0066T000017wAzgQAE</t>
  </si>
  <si>
    <t>2023 - REN - Robert Wood Johnson Foundation</t>
  </si>
  <si>
    <t>0066T000016Gc60QAC</t>
  </si>
  <si>
    <t>2022-REN-RWJF</t>
  </si>
  <si>
    <t>0060W000013pnsaQAA</t>
  </si>
  <si>
    <t>2021-REN-RWJF + Touchpoints XSELL-POC Dylan</t>
  </si>
  <si>
    <t>0060W000011SewZQAS</t>
  </si>
  <si>
    <t>2020 Renewal - RWJF</t>
  </si>
  <si>
    <t>0060W00000y863jQAA</t>
  </si>
  <si>
    <t>2019 Renewal - RWJF</t>
  </si>
  <si>
    <t>0060W000011SacMQAS</t>
  </si>
  <si>
    <t>2019 Renewal - Ubisoft</t>
  </si>
  <si>
    <t>0066T000016GmwkQAC</t>
  </si>
  <si>
    <t>2023-REN-Ubisoft</t>
  </si>
  <si>
    <t>0060W000012bDI4QAM</t>
  </si>
  <si>
    <t>2021-REN-Ubisoft</t>
  </si>
  <si>
    <t>006d000000tud29AAA</t>
  </si>
  <si>
    <t>2019 Renewal - BB&amp;T</t>
  </si>
  <si>
    <t>006d000000tud4KAAQ</t>
  </si>
  <si>
    <t>2017 Renewal/Upsell - BB&amp;T</t>
  </si>
  <si>
    <t>0060W00000vXC3cQAG</t>
  </si>
  <si>
    <t>2017 Renewal/Upsell - FedEx</t>
  </si>
  <si>
    <t>0060W000010wVXBQA2</t>
  </si>
  <si>
    <t>2021 Renewal - FedEx</t>
  </si>
  <si>
    <t>0060W00000y5chlQAA</t>
  </si>
  <si>
    <t>2019 Renewal - FedEx</t>
  </si>
  <si>
    <t>0060W00000vXKi8QAG</t>
  </si>
  <si>
    <t>2018 Renewal - FedEx</t>
  </si>
  <si>
    <t>0060W00000y55jfQAA</t>
  </si>
  <si>
    <t>2019 Renewal - Jet.com</t>
  </si>
  <si>
    <t>0060W000010QLg8QAG</t>
  </si>
  <si>
    <t>2020 Renewal - Jet.com</t>
  </si>
  <si>
    <t>0060W00000vvm3zQAA</t>
  </si>
  <si>
    <t>2018 Renewal - E! Online</t>
  </si>
  <si>
    <t>006d000000oC0kGAAS</t>
  </si>
  <si>
    <t>2017 Renewal - E! Online</t>
  </si>
  <si>
    <t>006d000000ltU0hAAE</t>
  </si>
  <si>
    <t>2017 Renewal - Chegg</t>
  </si>
  <si>
    <t>0066T00001AFFHhQAP</t>
  </si>
  <si>
    <t>2024 - REN - Biogen</t>
  </si>
  <si>
    <t>006VH00000SuX9KYAV</t>
  </si>
  <si>
    <t>2026 - REN - Biogen</t>
  </si>
  <si>
    <t>006VH00000hYYPtYAO</t>
  </si>
  <si>
    <t>006VH000000xFsfYAE</t>
  </si>
  <si>
    <t>2025 - REN - Biogen</t>
  </si>
  <si>
    <t>0066T0000190wCFQAY</t>
  </si>
  <si>
    <t>2025 - REN - TE Connectivity</t>
  </si>
  <si>
    <t>006VH00000eYPJVYA4</t>
  </si>
  <si>
    <t>2026 - REN - TE Connectivity</t>
  </si>
  <si>
    <t>006VH00000Qhf4BYAR</t>
  </si>
  <si>
    <t>2025 - REN - Navy Federal Credit Union</t>
  </si>
  <si>
    <t>006VH00000d4NCTYA2</t>
  </si>
  <si>
    <t>2026 - REN - Navy Federal Credit Union</t>
  </si>
  <si>
    <t>006d000000qprkVAAQ</t>
  </si>
  <si>
    <t>2018 Renewal - Kaiser Permanente</t>
  </si>
  <si>
    <t>0060W000010x7dQQAQ</t>
  </si>
  <si>
    <t>2019 Built in upsell - Kaiser Permanente Quota Placeholder</t>
  </si>
  <si>
    <t>0060W00000zMW6kQAG</t>
  </si>
  <si>
    <t>2021 Renewal - Kaiser Permanente</t>
  </si>
  <si>
    <t>0060W00000vvf8FQAQ</t>
  </si>
  <si>
    <t>2019 Renewal - American Century</t>
  </si>
  <si>
    <t>0060W000014nx96QAA</t>
  </si>
  <si>
    <t>2021-REN-American Century</t>
  </si>
  <si>
    <t>0060W000012YxJBQA0</t>
  </si>
  <si>
    <t>2020-REN-American Century</t>
  </si>
  <si>
    <t>0060W00000zORbCQAW</t>
  </si>
  <si>
    <t>2020 Renewal - American Century</t>
  </si>
  <si>
    <t>0060W00000vvUT4QAM</t>
  </si>
  <si>
    <t>American Century 2nd Term</t>
  </si>
  <si>
    <t>0066T00001AEEyiQAH</t>
  </si>
  <si>
    <t>2023 - REN - Verizon</t>
  </si>
  <si>
    <t>006VH00000SzUp4YAF</t>
  </si>
  <si>
    <t>2025 - REN - Verizon</t>
  </si>
  <si>
    <t>006VH00000hdXTBYA2</t>
  </si>
  <si>
    <t>2026 - REN - Verizon</t>
  </si>
  <si>
    <t>006VH000002AJg9YAG</t>
  </si>
  <si>
    <t>2024 - REN - Verizon</t>
  </si>
  <si>
    <t>0060W00000vvWNuQAM</t>
  </si>
  <si>
    <t>Cardinal Health Part 2</t>
  </si>
  <si>
    <t>0060W000013rWbgQAE</t>
  </si>
  <si>
    <t>2021-REN-Intouch Solutions</t>
  </si>
  <si>
    <t>006VH00000Rjs9dYAB</t>
  </si>
  <si>
    <t>2025 - REN - Intouch Solutions</t>
  </si>
  <si>
    <t>006VH00000gFPXNYA4</t>
  </si>
  <si>
    <t>2026 - REN - Intouch Solutions</t>
  </si>
  <si>
    <t>006VH000002uG91YAE</t>
  </si>
  <si>
    <t>2024 - REN - Intouch Solutions</t>
  </si>
  <si>
    <t>0066T00001ACGH8QAP</t>
  </si>
  <si>
    <t>2023 - REN - Eversana Intouch</t>
  </si>
  <si>
    <t>0066T000016mC0uQAE</t>
  </si>
  <si>
    <t>2022-REN-Eversana Intouch</t>
  </si>
  <si>
    <t>0060W00000vWdkZQAS</t>
  </si>
  <si>
    <t>Fiat - Upsell and Partner Change</t>
  </si>
  <si>
    <t>0060W00000wwwflQAA</t>
  </si>
  <si>
    <t>2019 Renewal - Fiat</t>
  </si>
  <si>
    <t>0066T000018zmuzQAA</t>
  </si>
  <si>
    <t>2023 - REN - American Century Investments</t>
  </si>
  <si>
    <t>006VH000001ItGsYAK</t>
  </si>
  <si>
    <t>2024 - REN - American Century Investments</t>
  </si>
  <si>
    <t>0066T00001Dk4MlQAJ</t>
  </si>
  <si>
    <t>2024 - REN - Rolex</t>
  </si>
  <si>
    <t>006d000000uEWuiAAG</t>
  </si>
  <si>
    <t>2018 Renewal - Anthem Health Plan</t>
  </si>
  <si>
    <t>0060W00000zOYP9QAO</t>
  </si>
  <si>
    <t>2019 Renewal - Anthem Health Plan</t>
  </si>
  <si>
    <t>006d000000n6KbLAAU</t>
  </si>
  <si>
    <t>2018 Renewal - MasterCard</t>
  </si>
  <si>
    <t>0060W000012Xx3UQAS</t>
  </si>
  <si>
    <t>2021-REN-Whitbread</t>
  </si>
  <si>
    <t>0060W000014oMoJQAU</t>
  </si>
  <si>
    <t>2022-REN-Whitbread</t>
  </si>
  <si>
    <t>0060W00000wyUpBQAU</t>
  </si>
  <si>
    <t>2018 Renewal - Dixons Carphone</t>
  </si>
  <si>
    <t>006d000000i0E2UAAU</t>
  </si>
  <si>
    <t>2017 Renewal - Dixons Carphone</t>
  </si>
  <si>
    <t>0060W00000y8ccaQAA</t>
  </si>
  <si>
    <t>2020 Renewal - Dixons Carphone</t>
  </si>
  <si>
    <t>0060W00000y6M6CQAU</t>
  </si>
  <si>
    <t>2019 Renewal - ConsumerReports</t>
  </si>
  <si>
    <t>006d000000kaLmtAAE</t>
  </si>
  <si>
    <t>2018 Renewal - ConsumerReports</t>
  </si>
  <si>
    <t>0060W000015P0tSQAS</t>
  </si>
  <si>
    <t>2022-REN-ConsumerReports</t>
  </si>
  <si>
    <t>0060W000012KFORQA4</t>
  </si>
  <si>
    <t>2021-REN-ConsumerReports</t>
  </si>
  <si>
    <t>0060W000010vtGUQAY</t>
  </si>
  <si>
    <t>2020 Renewal - ConsumerReports</t>
  </si>
  <si>
    <t>0066T000015r3uVQAQ</t>
  </si>
  <si>
    <t>2022-REN-McDonald's</t>
  </si>
  <si>
    <t>0060W000014anXJQAY</t>
  </si>
  <si>
    <t>2021-REN-McDonald's</t>
  </si>
  <si>
    <t>0060W0000121QNSQA2</t>
  </si>
  <si>
    <t>2020-REN-McDonald's</t>
  </si>
  <si>
    <t>0060W00000ww7QSQAY</t>
  </si>
  <si>
    <t>2019-Sep Renewal - McDonald's</t>
  </si>
  <si>
    <t>006d000000i0BZRAA2</t>
  </si>
  <si>
    <t>2017 Renewal - American Cancer Society</t>
  </si>
  <si>
    <t>0066T000018FCJAQA4</t>
  </si>
  <si>
    <t>2023 - REN - Marks and Spencer</t>
  </si>
  <si>
    <t>006VH00000FT189YAD</t>
  </si>
  <si>
    <t>2025 - REN - Marks and Spencer</t>
  </si>
  <si>
    <t>0066T00001C984tQAB</t>
  </si>
  <si>
    <t>2024 - REN - Marks and Spencer</t>
  </si>
  <si>
    <t>0060W00000vx0vuQAA</t>
  </si>
  <si>
    <t>2018 Renewal - Melaleuca</t>
  </si>
  <si>
    <t>006d000000nUZNRAA4</t>
  </si>
  <si>
    <t>2017 Renewal - Melaleuca</t>
  </si>
  <si>
    <t>006d000000hpGFxAAM</t>
  </si>
  <si>
    <t>2016 Renewal - Melaleuca</t>
  </si>
  <si>
    <t>0060W00000vWoPsQAK</t>
  </si>
  <si>
    <t>2018 Renewal - ActiveNetwork</t>
  </si>
  <si>
    <t>0060W000010OVj2QAG</t>
  </si>
  <si>
    <t>2020 Renewal - ActiveNetwork</t>
  </si>
  <si>
    <t>0060W00000y5aj3QAA</t>
  </si>
  <si>
    <t>2019 Renewal - ActiveNetwork</t>
  </si>
  <si>
    <t>006d000000rI8epAAC</t>
  </si>
  <si>
    <t>2017 Renewal - CHIP Digital GmbH-</t>
  </si>
  <si>
    <t>006d000000q5pAQAAY</t>
  </si>
  <si>
    <t>2018 Renewal - MicroFocus- Novell</t>
  </si>
  <si>
    <t>006d000000kFFkaAAG</t>
  </si>
  <si>
    <t>2017 Renewal - Vivo Brazil POC</t>
  </si>
  <si>
    <t>0066T00001Cz9MSQAZ</t>
  </si>
  <si>
    <t>2024 - REN - MultiMinds</t>
  </si>
  <si>
    <t>006VH00000Q1BbxYAF</t>
  </si>
  <si>
    <t>2025 - REN - MultiMinds</t>
  </si>
  <si>
    <t>006d000000uEh9uAAC</t>
  </si>
  <si>
    <t>2017 Renewal - Multiminds</t>
  </si>
  <si>
    <t>006d000000hzTVwAAM</t>
  </si>
  <si>
    <t>2016 Renewal - Multiminds</t>
  </si>
  <si>
    <t>0060W00000vQtVaQAK</t>
  </si>
  <si>
    <t>2018-UP-Recruit Co</t>
  </si>
  <si>
    <t>006VH00000W1GLHYA3</t>
  </si>
  <si>
    <t>2026 - REN - Recruit</t>
  </si>
  <si>
    <t>0066T00001B9wllQAB</t>
  </si>
  <si>
    <t>2024 - REN - Recruit Holdings</t>
  </si>
  <si>
    <t>0066T000017Wf5BQAS</t>
  </si>
  <si>
    <t>2023-REN-Recruit Co</t>
  </si>
  <si>
    <t>0060W000015PTAqQAO</t>
  </si>
  <si>
    <t>2022-REN-Recruit Co</t>
  </si>
  <si>
    <t>0060W0000136kSOQAY</t>
  </si>
  <si>
    <t>2021-REN-Recruit Co</t>
  </si>
  <si>
    <t>0060W000010QLkyQAG</t>
  </si>
  <si>
    <t>2020 Renewal - Recruit Co</t>
  </si>
  <si>
    <t>0060W00000y4zvwQAA</t>
  </si>
  <si>
    <t>2019 Renewal - Recruit Co</t>
  </si>
  <si>
    <t>0060W00000wxU4SQAU</t>
  </si>
  <si>
    <t>2018 Renewal - Adobe Consulting Group</t>
  </si>
  <si>
    <t>006d000000tvmwoAAA</t>
  </si>
  <si>
    <t>2017 Renewal - Adobe Consulting Group</t>
  </si>
  <si>
    <t>006d000000hzTYMAA2</t>
  </si>
  <si>
    <t>2016 Renewal - Adobe Consulting Group</t>
  </si>
  <si>
    <t>0066T00001ADnCJQA1</t>
  </si>
  <si>
    <t>2023 - REN - Adobe (Consulting) - 133</t>
  </si>
  <si>
    <t>0060W000014bpEkQAI</t>
  </si>
  <si>
    <t>2021-REN-Adobe Consulting Group</t>
  </si>
  <si>
    <t>0060W0000121KCbQAM</t>
  </si>
  <si>
    <t>2020-REN-Adobe Consulting Group</t>
  </si>
  <si>
    <t>0060W00000zONjcQAG</t>
  </si>
  <si>
    <t>2019 Renewal - Adobe Consulting Group</t>
  </si>
  <si>
    <t>0060W000012sea1QAA</t>
  </si>
  <si>
    <t>2022-REN-Analog Devices</t>
  </si>
  <si>
    <t>006d000000hzTctAAE</t>
  </si>
  <si>
    <t>2016 Renewal - Cars.com</t>
  </si>
  <si>
    <t>006d000000uDZv2AAG</t>
  </si>
  <si>
    <t>2017 Renewal - Cars.com</t>
  </si>
  <si>
    <t>0066T000016HLaxQAG</t>
  </si>
  <si>
    <t>2022-REN-IMS - Colony Brands</t>
  </si>
  <si>
    <t>0060W00000vId2GQAS</t>
  </si>
  <si>
    <t>2018 Renewal - Resolution Media EMEA</t>
  </si>
  <si>
    <t>006d000000lUG66AAG</t>
  </si>
  <si>
    <t>2017 Renewal - Resolution Media EMEA</t>
  </si>
  <si>
    <t>0060W000010RUBrQAO</t>
  </si>
  <si>
    <t>2020 Renewal - Resolution Media EMEA</t>
  </si>
  <si>
    <t>0060W00000y5PEyQAM</t>
  </si>
  <si>
    <t>2019 Renewal - Resolution Media EMEA</t>
  </si>
  <si>
    <t>0060W00000wx9AeQAI</t>
  </si>
  <si>
    <t>2018 Renewal - AutoZone</t>
  </si>
  <si>
    <t>0066T00001ADVUfQAP</t>
  </si>
  <si>
    <t>2023 - REN - H‑E‑B</t>
  </si>
  <si>
    <t>0060W00000wxA8oQAE</t>
  </si>
  <si>
    <t>2017 Renewal - AutoZone</t>
  </si>
  <si>
    <t>0060W0000120KXXQA2</t>
  </si>
  <si>
    <t>2020 Renewal - City Of Hope</t>
  </si>
  <si>
    <t>0060W00000zNsaRQAS</t>
  </si>
  <si>
    <t>2019 Renewal - City Of Hope</t>
  </si>
  <si>
    <t>0060W00000vwyfpQAA</t>
  </si>
  <si>
    <t>2018 Renewal - Jump Start Auto</t>
  </si>
  <si>
    <t>006d000000i0BXRAA2</t>
  </si>
  <si>
    <t>2017 Renewal - Jump Start Auto</t>
  </si>
  <si>
    <t>0060W00000y6BSoQAM</t>
  </si>
  <si>
    <t>2019 Renewal - Jump Start Auto</t>
  </si>
  <si>
    <t>006VH00000PIV0XYAX</t>
  </si>
  <si>
    <t>2025 - REN - Centers for Medicare &amp; Medicaid Services</t>
  </si>
  <si>
    <t>006d000000hsS7aAAE</t>
  </si>
  <si>
    <t>2016 Renewal - Nielsen</t>
  </si>
  <si>
    <t>0060W00000wvZBBQA2</t>
  </si>
  <si>
    <t>2018 Renewal - Murad</t>
  </si>
  <si>
    <t>006d000000qWqV4AAK</t>
  </si>
  <si>
    <t>2017 Renewal - Murad</t>
  </si>
  <si>
    <t>006d000000hrjYcAAI</t>
  </si>
  <si>
    <t>2016 Renewal - Murad</t>
  </si>
  <si>
    <t>0060W000013rWVEQA2</t>
  </si>
  <si>
    <t>2021-REN-Murad</t>
  </si>
  <si>
    <t>0060W000011TbjLQAS</t>
  </si>
  <si>
    <t>2020 Renewal - Murad</t>
  </si>
  <si>
    <t>0060W00000y8Rr7QAE</t>
  </si>
  <si>
    <t>2019 Renewal - Murad</t>
  </si>
  <si>
    <t>0060W00000zP84DQAS</t>
  </si>
  <si>
    <t>2019 Renewal - TSB- not renewing.</t>
  </si>
  <si>
    <t>0060W00000wypBvQAI</t>
  </si>
  <si>
    <t>2018 Renewal - TSB</t>
  </si>
  <si>
    <t>0060W00000y8RqTQAU</t>
  </si>
  <si>
    <t>2019 Renewal - Swanson Health</t>
  </si>
  <si>
    <t>0060W00000vxmT4QAI</t>
  </si>
  <si>
    <t>2018 Renewal - Swanson Health</t>
  </si>
  <si>
    <t>006VH000000xFHZYA2</t>
  </si>
  <si>
    <t>2024 - REN - Adobe (Consulting) - 133</t>
  </si>
  <si>
    <t>0060W00000vX0F5QAK</t>
  </si>
  <si>
    <t>2018 Renewal Hotels.com</t>
  </si>
  <si>
    <t>006d000000up0NfAAI</t>
  </si>
  <si>
    <t>2017 Renewal/Upsell Hotels.com</t>
  </si>
  <si>
    <t>0060W00000wytRJQAY</t>
  </si>
  <si>
    <t>2019 Renewal Hotels.com</t>
  </si>
  <si>
    <t>0060W00000xoKLhQAM</t>
  </si>
  <si>
    <t>2019 Renewal - Ryanair</t>
  </si>
  <si>
    <t>0060W00000vxaXgQAI</t>
  </si>
  <si>
    <t>SL1 Upgrade - Suncorp</t>
  </si>
  <si>
    <t>0066T000015pYnJQAU</t>
  </si>
  <si>
    <t>2022-REN-Suncorp</t>
  </si>
  <si>
    <t>0060W000013r75RQAQ</t>
  </si>
  <si>
    <t>2021-REN-Suncorp</t>
  </si>
  <si>
    <t>0060W000011UuXiQAK</t>
  </si>
  <si>
    <t>2020 Renewal - Suncorp</t>
  </si>
  <si>
    <t>006VH00000ddVBxYAM</t>
  </si>
  <si>
    <t>2026 - REN - Automobile Club of Southern California</t>
  </si>
  <si>
    <t>006d000000uEuyQAAS</t>
  </si>
  <si>
    <t>2018 Renewal - Rank Group</t>
  </si>
  <si>
    <t>0060W00000vx2ifQAA</t>
  </si>
  <si>
    <t>2019 Renewal - Brother Industries USA</t>
  </si>
  <si>
    <t>006d000000n6KXxAAM</t>
  </si>
  <si>
    <t>2017 Renewal - CBC.ca</t>
  </si>
  <si>
    <t>0060W00000vQll1QAC</t>
  </si>
  <si>
    <t>2018 Renewal - Showtime</t>
  </si>
  <si>
    <t>006d000000rX9hLAAS</t>
  </si>
  <si>
    <t>2017 Renewal - Showtime</t>
  </si>
  <si>
    <t>0060W00000y8qePQAQ</t>
  </si>
  <si>
    <t>2020 Renewal - Showtime</t>
  </si>
  <si>
    <t>0060W00000vvlDAQAY</t>
  </si>
  <si>
    <t>2017 Renewal - Medifast, Inc.</t>
  </si>
  <si>
    <t>0060W00000y865BQAQ</t>
  </si>
  <si>
    <t>2019 Renewal - Medifast, Inc.</t>
  </si>
  <si>
    <t>0060W00000vx0wJQAQ</t>
  </si>
  <si>
    <t>2018 Renewal - Medifast, Inc.</t>
  </si>
  <si>
    <t>0060W00000wx7iUQAQ</t>
  </si>
  <si>
    <t>2019 Renewal - Whirlpool Corporation</t>
  </si>
  <si>
    <t>0066T000015rEm1QAE</t>
  </si>
  <si>
    <t>2022-REN-Whirlpool Corporation</t>
  </si>
  <si>
    <t>0060W0000121K8FQAU</t>
  </si>
  <si>
    <t>2021-REN-Whirlpool Corporation</t>
  </si>
  <si>
    <t>0060W00000wx4RQQAY</t>
  </si>
  <si>
    <t>2018 Renewal - Sanofi OBO Cognizant</t>
  </si>
  <si>
    <t>0060W00000zPn9XQAS</t>
  </si>
  <si>
    <t>2020 Renewal - Stage Stores</t>
  </si>
  <si>
    <t>0060W00000vwGwQQAU</t>
  </si>
  <si>
    <t>2018 Renewal - The Church of Jesus Christ of Latter-Day Saints</t>
  </si>
  <si>
    <t>0060W00000y6lWnQAI</t>
  </si>
  <si>
    <t>2019 Renewal - The Church of Jesus Christ of Latter-Day Saints</t>
  </si>
  <si>
    <t>0060W00000vYANyQAO</t>
  </si>
  <si>
    <t>2017 Renewal/Upsell - T-Mobile MetroPCS</t>
  </si>
  <si>
    <t>0066T000015qCWyQAM</t>
  </si>
  <si>
    <t>2022 - REN - T-Mobile</t>
  </si>
  <si>
    <t>0060W000013r7HXQAY</t>
  </si>
  <si>
    <t>2021 - REN - T-Mobile</t>
  </si>
  <si>
    <t>0060W000013r7DkQAI</t>
  </si>
  <si>
    <t>2019-UP-T-Mobile-LiveConnect</t>
  </si>
  <si>
    <t>0060W000010vIKrQAM</t>
  </si>
  <si>
    <t>2020 Renewal - T-Mobile</t>
  </si>
  <si>
    <t>0060W00000zNMy7QAG</t>
  </si>
  <si>
    <t>2019 Renewal - T-Mobile</t>
  </si>
  <si>
    <t>0060W00000wwi9VQAQ</t>
  </si>
  <si>
    <t>2018 Renewal - T-Mobile</t>
  </si>
  <si>
    <t>006d000000oERg0AAG</t>
  </si>
  <si>
    <t>2017 Renewal - NewEnergyMind OBO Sky Italy</t>
  </si>
  <si>
    <t>006d000000twZONAA2</t>
  </si>
  <si>
    <t>2017 Renewal - APJ Symantec</t>
  </si>
  <si>
    <t>0060W00000zNMz5QAG</t>
  </si>
  <si>
    <t>2019 Renewal - Ancestry.com</t>
  </si>
  <si>
    <t>006d000000to47lAAA</t>
  </si>
  <si>
    <t>2018 Renewal - Ancestry.com</t>
  </si>
  <si>
    <t>0060W00000wzET6QAM</t>
  </si>
  <si>
    <t>2018 Renewal - Pfizer</t>
  </si>
  <si>
    <t>006d000000uGd1vAAC</t>
  </si>
  <si>
    <t>2017 Renewal - Pfizer</t>
  </si>
  <si>
    <t>0060W00000zPj4oQAC</t>
  </si>
  <si>
    <t>2019 Renewal - Pfizer</t>
  </si>
  <si>
    <t>0066T000018GoWWQA0</t>
  </si>
  <si>
    <t>2023 - REN - GM Financial</t>
  </si>
  <si>
    <t>0066T000016H6G0QAK</t>
  </si>
  <si>
    <t>2022-REN-GM Financial</t>
  </si>
  <si>
    <t>0060W000013qAUYQA2</t>
  </si>
  <si>
    <t>2021-REN-GM Financial</t>
  </si>
  <si>
    <t>0060W000011SaAXQA0</t>
  </si>
  <si>
    <t>2020 Renewal - GM Financial</t>
  </si>
  <si>
    <t>0060W00000vvGqjQAE</t>
  </si>
  <si>
    <t>2018 Renewal - BBVA</t>
  </si>
  <si>
    <t>0060W000011TXzfQAG</t>
  </si>
  <si>
    <t>2020 Renewal - BBVA</t>
  </si>
  <si>
    <t>0060W00000y6WmBQAU</t>
  </si>
  <si>
    <t>2018 Upsell - BBVA</t>
  </si>
  <si>
    <t>0060W00000y5ZIqQAM</t>
  </si>
  <si>
    <t>2019 Renewal - BBVA</t>
  </si>
  <si>
    <t>006d000000teDBtAAM</t>
  </si>
  <si>
    <t>2017 Renewal - Edmunds.com</t>
  </si>
  <si>
    <t>0060W000010uxmoQAA</t>
  </si>
  <si>
    <t>2020 Renewal - Macy's</t>
  </si>
  <si>
    <t>0060W00000y5Z9tQAE</t>
  </si>
  <si>
    <t>2019 Renewal - Macy's</t>
  </si>
  <si>
    <t>0066T00001ACNqFQAX</t>
  </si>
  <si>
    <t>2023 - REN - Trend Micro - US</t>
  </si>
  <si>
    <t>0066T000016livPQAQ</t>
  </si>
  <si>
    <t>2022-REN-Trend Micro</t>
  </si>
  <si>
    <t>0060W000014nMWlQAM</t>
  </si>
  <si>
    <t>2021-REN-Trend Micro</t>
  </si>
  <si>
    <t>0060W0000122L0PQAU</t>
  </si>
  <si>
    <t>2020-REN-Trend Micro</t>
  </si>
  <si>
    <t>0060W00000zP7MVQA0</t>
  </si>
  <si>
    <t>2019 Renewal -Trend Micro</t>
  </si>
  <si>
    <t>0060W00000wxskEQAQ</t>
  </si>
  <si>
    <t>2018 Renewal -Trend Micro</t>
  </si>
  <si>
    <t>0060W00000y8BIOQA2</t>
  </si>
  <si>
    <t>2020 Renewal - CBS</t>
  </si>
  <si>
    <t>0066T000015ojkkQAA</t>
  </si>
  <si>
    <t>2022-REN-CBS</t>
  </si>
  <si>
    <t>0060W000014crHfQAI</t>
  </si>
  <si>
    <t>2021-REN-CBS</t>
  </si>
  <si>
    <t>0060W00000wvwySQAQ</t>
  </si>
  <si>
    <t>2018 Renewal - BBG</t>
  </si>
  <si>
    <t>0060W00000wwHQoQAM</t>
  </si>
  <si>
    <t>2018 Renewal - National Appraisal Guide</t>
  </si>
  <si>
    <t>006d000000rbgPeAAI</t>
  </si>
  <si>
    <t>2017 Renewal - National Appraisal Guide</t>
  </si>
  <si>
    <t>0060W000012t6iXQAQ</t>
  </si>
  <si>
    <t>2021-REN-TMBI</t>
  </si>
  <si>
    <t>0060W000010QTZkQAO</t>
  </si>
  <si>
    <t>2020 Renewal - TMBI</t>
  </si>
  <si>
    <t>0060W00000y5GAMQA2</t>
  </si>
  <si>
    <t>2019 Renewal - TMBI</t>
  </si>
  <si>
    <t>006d000000twhqmAAA</t>
  </si>
  <si>
    <t>2017 Renewal - GoDaddy</t>
  </si>
  <si>
    <t>0066T000017XeyxQAC</t>
  </si>
  <si>
    <t>2023 - REN - Hugo Boss</t>
  </si>
  <si>
    <t>0066T00001BC34SQAT</t>
  </si>
  <si>
    <t>2024 - REN - Hugo Boss</t>
  </si>
  <si>
    <t>0066T00001CN7GzQAL</t>
  </si>
  <si>
    <t>2025 - REN - British American Tobacco</t>
  </si>
  <si>
    <t>006VH00000aidlhYAA</t>
  </si>
  <si>
    <t>2027 - REN - British American Tobacco</t>
  </si>
  <si>
    <t>006d000000uHXO8AAO</t>
  </si>
  <si>
    <t>2017 Renewal - ABC - News</t>
  </si>
  <si>
    <t>006d000000ttiuvAAA</t>
  </si>
  <si>
    <t>2018 Renewal - Ford Mexico (GTB)</t>
  </si>
  <si>
    <t>006d000000tw2lhAAA</t>
  </si>
  <si>
    <t>2017 Renewal - Dollar Shave Club</t>
  </si>
  <si>
    <t>0060W00000zNKwUQAW</t>
  </si>
  <si>
    <t>2019 Renewal - moo.com</t>
  </si>
  <si>
    <t>006d000000tvFzxAAE</t>
  </si>
  <si>
    <t>2018 Renewal - moo.com</t>
  </si>
  <si>
    <t>0060W0000122uZhQAI</t>
  </si>
  <si>
    <t>2020-REN-moo.com</t>
  </si>
  <si>
    <t>0066T00001CN7FXQA1</t>
  </si>
  <si>
    <t>2025 - REN - Kohler</t>
  </si>
  <si>
    <t>0060W00000vISAtQAO</t>
  </si>
  <si>
    <t>2018 Renewal - HSN</t>
  </si>
  <si>
    <t>0060W00000y5hBqQAI</t>
  </si>
  <si>
    <t>2019 Renewal - HSN</t>
  </si>
  <si>
    <t>0060W00000wwUx6QAE</t>
  </si>
  <si>
    <t>2018 Renewal - Bourne Leisure Group</t>
  </si>
  <si>
    <t>006d000000uF4MgAAK</t>
  </si>
  <si>
    <t>2017 Renewal - Bourne Leisure Group</t>
  </si>
  <si>
    <t>0060W00000zNpVcQAK</t>
  </si>
  <si>
    <t>2019 Renewal - Bourne Leisure Group</t>
  </si>
  <si>
    <t>0060W00000vX8vzQAC</t>
  </si>
  <si>
    <t>2018 Renewal - Epsilon OBO Teva Pharma</t>
  </si>
  <si>
    <t>0060W00000wxPmVQAU</t>
  </si>
  <si>
    <t>2018 Renewal - Aberdeen Asset Management</t>
  </si>
  <si>
    <t>006d000000tvV5oAAE</t>
  </si>
  <si>
    <t>2017 NDGC Upsel - Aberdeen Asset Management</t>
  </si>
  <si>
    <t>0060W00000zN7xsQAC</t>
  </si>
  <si>
    <t>2019 Renewal - Aberdeen Asset Management</t>
  </si>
  <si>
    <t>0060W00000wx9F5QAI</t>
  </si>
  <si>
    <t>2018 Renewal - BT Financial</t>
  </si>
  <si>
    <t>006d000000uEldvAAC</t>
  </si>
  <si>
    <t>2017 Renewal - BT Financial</t>
  </si>
  <si>
    <t>0060W0000120LBKQA2</t>
  </si>
  <si>
    <t>2020-REN-BT Financial</t>
  </si>
  <si>
    <t>0060W00000zNpVIQA0</t>
  </si>
  <si>
    <t>2019 Renewal - BT Financial</t>
  </si>
  <si>
    <t>006d000000qprgOAAQ</t>
  </si>
  <si>
    <t>2018 Renewal - Discover</t>
  </si>
  <si>
    <t>0060W00000y4qu0QAA</t>
  </si>
  <si>
    <t>Carrefour - Upsell - 2018</t>
  </si>
  <si>
    <t>0060W0000137BxFQAU</t>
  </si>
  <si>
    <t>2021-REN-Carrefour- WebAssurance</t>
  </si>
  <si>
    <t>0060W000010QXiYQAW</t>
  </si>
  <si>
    <t>2020 Renewal - Carrefour- WebAssurance</t>
  </si>
  <si>
    <t>0060W00000y686gQAA</t>
  </si>
  <si>
    <t>2019 Renewal - Carrefour</t>
  </si>
  <si>
    <t>006d000000twXVKAA2</t>
  </si>
  <si>
    <t>2018 Renewal - JC Penney</t>
  </si>
  <si>
    <t>006VH000000XdFVYA0</t>
  </si>
  <si>
    <t>2024 - REN - Western Governors University</t>
  </si>
  <si>
    <t>006d000000tq93HAAQ</t>
  </si>
  <si>
    <t>2018 Renewal - Western Governors University</t>
  </si>
  <si>
    <t>0066T00001ABrCIQA1</t>
  </si>
  <si>
    <t>2023 - REN - Western Governors University</t>
  </si>
  <si>
    <t>0060W000014oF6LQAU</t>
  </si>
  <si>
    <t>2022-REN-Western Governors University</t>
  </si>
  <si>
    <t>0060W00000zOCjjQAG</t>
  </si>
  <si>
    <t>2020 Renewal - Western Governors University - WEB and STR</t>
  </si>
  <si>
    <t>0060W00000y62q3QAA</t>
  </si>
  <si>
    <t>2017 Renewal - VW</t>
  </si>
  <si>
    <t>006d000000ttiAjAAI</t>
  </si>
  <si>
    <t>2018 Renewal -VW</t>
  </si>
  <si>
    <t>0060W000010R5cSQAS</t>
  </si>
  <si>
    <t>2022 Renewal -VW</t>
  </si>
  <si>
    <t>0060W00000zP7MQQA0</t>
  </si>
  <si>
    <t>2019 Renewal -VW</t>
  </si>
  <si>
    <t>0066T000015r3xZQAQ</t>
  </si>
  <si>
    <t>2022 - REN - Ancestry.com</t>
  </si>
  <si>
    <t>0060W000013suIAQAY</t>
  </si>
  <si>
    <t>2021 - REN - Ancestry.com</t>
  </si>
  <si>
    <t>0060W0000120KTzQAM</t>
  </si>
  <si>
    <t>2020 - REN - Ancestry.com</t>
  </si>
  <si>
    <t>0066T000016l84mQAA</t>
  </si>
  <si>
    <t>2022-REN-Express</t>
  </si>
  <si>
    <t>0060W000014mx4QQAQ</t>
  </si>
  <si>
    <t>2021-REN-Express</t>
  </si>
  <si>
    <t>0060W00000zOcYPQA0</t>
  </si>
  <si>
    <t>2020 Renewal - Express</t>
  </si>
  <si>
    <t>0066T00001698e5QAA</t>
  </si>
  <si>
    <t>2023 - REN - News UK</t>
  </si>
  <si>
    <t>0060W00000vIRoTQAW</t>
  </si>
  <si>
    <t>2018 Renewal - Jet.com</t>
  </si>
  <si>
    <t>0060W00000wvtgQQAQ</t>
  </si>
  <si>
    <t>2017 Renewal - Medhost</t>
  </si>
  <si>
    <t>006d000000uEvChAAK</t>
  </si>
  <si>
    <t>2018 Renewal - WebMD / Medscape</t>
  </si>
  <si>
    <t>0060W000014mK5RQAU</t>
  </si>
  <si>
    <t>2021-REN-K. Hovnanian Homes</t>
  </si>
  <si>
    <t>0060W0000121pdlQAA</t>
  </si>
  <si>
    <t>2020 Renewal - K. Hovnanian Homes</t>
  </si>
  <si>
    <t>0060W00000zOeDqQAK</t>
  </si>
  <si>
    <t>2019 Renewal - K. Hovnanian Homes</t>
  </si>
  <si>
    <t>0060W00000wwtlSQAQ</t>
  </si>
  <si>
    <t>2018 Renewal - K. Hovnanian Homes</t>
  </si>
  <si>
    <t>0060W00000wx9xRQAQ</t>
  </si>
  <si>
    <t>2018 Renewal - The Zimmerman Agency OBO Nissan</t>
  </si>
  <si>
    <t>006d000000ulg1pAAA</t>
  </si>
  <si>
    <t>2017 Renewal - The Zimmerman Agency OBO Nissan</t>
  </si>
  <si>
    <t>0060W000014nMXoQAM</t>
  </si>
  <si>
    <t>2022 - REN - OMD, LLC OBO Nissan</t>
  </si>
  <si>
    <t>0060W0000123KbeQAE</t>
  </si>
  <si>
    <t>2020 REN - OMD, LLC OBO Nissan</t>
  </si>
  <si>
    <t>0060W00000zOjt7QAC</t>
  </si>
  <si>
    <t>2019 Renewal - The Zimmerman Agency OBO Nissan</t>
  </si>
  <si>
    <t>006d000000unyIfAAI</t>
  </si>
  <si>
    <t>2017 Renewal - ABC - Free Form</t>
  </si>
  <si>
    <t>0060W00000vxab4QAA</t>
  </si>
  <si>
    <t>2018 Renewal - WestJet Airlines</t>
  </si>
  <si>
    <t>006d000000tuCgWAAU</t>
  </si>
  <si>
    <t>2017 Renewal - WestJet Airlines</t>
  </si>
  <si>
    <t>0066T000016jwHdQAI</t>
  </si>
  <si>
    <t>2022 - REN - WestJet Airlines</t>
  </si>
  <si>
    <t>0060W000014mx5iQAA</t>
  </si>
  <si>
    <t>2021 - REN - WestJet Airlines</t>
  </si>
  <si>
    <t>0060W0000121qKfQAI</t>
  </si>
  <si>
    <t>2020 Renewal - WestJet Airlines</t>
  </si>
  <si>
    <t>0060W00000zMqGIQA0</t>
  </si>
  <si>
    <t>2019 Renewal - WestJet Airlines</t>
  </si>
  <si>
    <t>006VH00000Qf4ogYAB</t>
  </si>
  <si>
    <t>2025 - REN - Pollard Banknote</t>
  </si>
  <si>
    <t>006d000000twaM2AAI</t>
  </si>
  <si>
    <t>2017 Renewal - Dave Ramsey</t>
  </si>
  <si>
    <t>0060W00000vwylnQAA</t>
  </si>
  <si>
    <t>2019 Renewal - Cigna</t>
  </si>
  <si>
    <t>0060W000010yUAGQA2</t>
  </si>
  <si>
    <t>2021 Renewal - Cigna</t>
  </si>
  <si>
    <t>0066T000016mh5TQAQ</t>
  </si>
  <si>
    <t>2022-REN-Canon Europe - Script Services</t>
  </si>
  <si>
    <t>0066T0000168uiOQAQ</t>
  </si>
  <si>
    <t>2024-REN-Canon Europe</t>
  </si>
  <si>
    <t>0060W000013lKxjQAE</t>
  </si>
  <si>
    <t>2021-REN-Canon Europe</t>
  </si>
  <si>
    <t>0066T00001EJkrgQAD</t>
  </si>
  <si>
    <t>2025 - REN - Eurostar</t>
  </si>
  <si>
    <t>0060W00000wzCGZQA2</t>
  </si>
  <si>
    <t>2019 Renewal - Stepstone</t>
  </si>
  <si>
    <t>006d000000vFMlBAAW</t>
  </si>
  <si>
    <t>2018 Renewal - Stepstone</t>
  </si>
  <si>
    <t>0060W00000wxKHPQA2</t>
  </si>
  <si>
    <t>2018 Renewal - Sage/Jellyfish</t>
  </si>
  <si>
    <t>0060W000010voEHQAY</t>
  </si>
  <si>
    <t>2020 Renewal - Caterpillar</t>
  </si>
  <si>
    <t>0060W000012T0TSQA0</t>
  </si>
  <si>
    <t>2021-REN-Caterpillar</t>
  </si>
  <si>
    <t>0060W00000vwE8WQAU</t>
  </si>
  <si>
    <t>2018 Renewal - Tele2</t>
  </si>
  <si>
    <t>0060W000012KhMDQA0</t>
  </si>
  <si>
    <t>2021-REN-Tele2</t>
  </si>
  <si>
    <t>0060W000010x5zNQAQ</t>
  </si>
  <si>
    <t>2020 Renewal - Tele2</t>
  </si>
  <si>
    <t>0060W00000y6XRJQA2</t>
  </si>
  <si>
    <t>2019 Renewal - Tele2</t>
  </si>
  <si>
    <t>006d000000uEvKtAAK</t>
  </si>
  <si>
    <t>2017 Renewal - Smart Digital GmbH on Behalf of VW</t>
  </si>
  <si>
    <t>006d000000umRdkAAE</t>
  </si>
  <si>
    <t>2017 Renewal - Delivery Hero</t>
  </si>
  <si>
    <t>006d000000uFbrTAAS</t>
  </si>
  <si>
    <t>2017 Renewal - Six Pack Shortcuts</t>
  </si>
  <si>
    <t>006d000000hzTvjAAE</t>
  </si>
  <si>
    <t>2016 Renewal - Satsuma Loans</t>
  </si>
  <si>
    <t>006d000000umpYYAAY</t>
  </si>
  <si>
    <t>2017 Renewal - Satsuma Loans</t>
  </si>
  <si>
    <t>0060W00000vQlr4QAC</t>
  </si>
  <si>
    <t>2018 Renewal - Investor's Business Daily</t>
  </si>
  <si>
    <t>0066T000015pHypQAE</t>
  </si>
  <si>
    <t>2022-REN-Investor's Business Daily</t>
  </si>
  <si>
    <t>0060W000013rgNwQAI</t>
  </si>
  <si>
    <t>2021-REN-Investor's Business Daily</t>
  </si>
  <si>
    <t>0060W000010yw7PQAQ</t>
  </si>
  <si>
    <t>2020 Renewal - Investor's Business Daily</t>
  </si>
  <si>
    <t>0060W00000zMeawQAC</t>
  </si>
  <si>
    <t>2019 Renewal - Investor's Business Daily</t>
  </si>
  <si>
    <t>0060W00000wynwtQAA</t>
  </si>
  <si>
    <t>2018 Renewal - J&amp;J</t>
  </si>
  <si>
    <t>006d000000uoPEwAAM</t>
  </si>
  <si>
    <t>2018 Renewal &amp; Ent License- J&amp;J</t>
  </si>
  <si>
    <t>006d000000i0BOFAA2</t>
  </si>
  <si>
    <t>2017 Renewal &amp; Ent License- J&amp;J</t>
  </si>
  <si>
    <t>0060W000012ZN0oQAG</t>
  </si>
  <si>
    <t>2021-REN-Johnson&amp;Johnson</t>
  </si>
  <si>
    <t>0060W00000zP7MpQAK</t>
  </si>
  <si>
    <t>2020 Renewal - J&amp;J</t>
  </si>
  <si>
    <t>0060W00000y5PudQAE</t>
  </si>
  <si>
    <t>2020 Renewal - Bloomberg</t>
  </si>
  <si>
    <t>006d000000vFMqGAAW</t>
  </si>
  <si>
    <t>2019 Renewal - Palliser Furniture</t>
  </si>
  <si>
    <t>0060W00000y8oP9QAI</t>
  </si>
  <si>
    <t>2019 Renewal - ABC - Disney</t>
  </si>
  <si>
    <t>0060W00000wx9RQQAY</t>
  </si>
  <si>
    <t>2017 Renewal - Shutterfly</t>
  </si>
  <si>
    <t>0060W00000y5AiqQAE</t>
  </si>
  <si>
    <t>2020 Renewal - HSBC</t>
  </si>
  <si>
    <t>0066T000015QYqlQAG</t>
  </si>
  <si>
    <t>2024-REN-HSBC</t>
  </si>
  <si>
    <t>0060W000013lp4qQAA</t>
  </si>
  <si>
    <t>2021-REN-HSBC</t>
  </si>
  <si>
    <t>006d000000mY2e6AAC</t>
  </si>
  <si>
    <t>2018 Renewal - Catherines</t>
  </si>
  <si>
    <t>0060W00000wySHOQA2</t>
  </si>
  <si>
    <t>2018 Renewal - Adidas</t>
  </si>
  <si>
    <t>006d000000umRQFAA2</t>
  </si>
  <si>
    <t>2017 Renewal - Adidas</t>
  </si>
  <si>
    <t>006VH000009MBviYAG</t>
  </si>
  <si>
    <t>2026 - REN - Rubrik</t>
  </si>
  <si>
    <t>006d000000tEl3vAAC</t>
  </si>
  <si>
    <t>2017 Renewal - Waste Management</t>
  </si>
  <si>
    <t>0060W00000y86psQAA</t>
  </si>
  <si>
    <t>2020 Renewal - Universal Orlando</t>
  </si>
  <si>
    <t>006VH000004zN0cYAE</t>
  </si>
  <si>
    <t>2025 - REN - Amica Mutual Insurance</t>
  </si>
  <si>
    <t>006d000000kioqtAAA</t>
  </si>
  <si>
    <t>2018 Renewal - Universal Orlando</t>
  </si>
  <si>
    <t>0060W000013Mab4QAC</t>
  </si>
  <si>
    <t>2022-REN-Universal Orlando</t>
  </si>
  <si>
    <t>0060W00000y74pqQAA</t>
  </si>
  <si>
    <t>2019 Renewal - Paypal</t>
  </si>
  <si>
    <t>006d000000q5pHGAAY</t>
  </si>
  <si>
    <t>2018 Renewal - Paypal</t>
  </si>
  <si>
    <t>0060W000011ScxSQAS</t>
  </si>
  <si>
    <t>2020 Renewal - Paypal</t>
  </si>
  <si>
    <t>0066T00001ACsSNQA1</t>
  </si>
  <si>
    <t>2023 - REN - Pfizer</t>
  </si>
  <si>
    <t>006d000000uoFoCAAU</t>
  </si>
  <si>
    <t>2017 Renewal/Upsell - Maurices</t>
  </si>
  <si>
    <t>006d000000sveDyAAI</t>
  </si>
  <si>
    <t>2017 Renewal - Lexmark International</t>
  </si>
  <si>
    <t>0060W000013rWeVQAU</t>
  </si>
  <si>
    <t>2021-REN-Illumina</t>
  </si>
  <si>
    <t>0066T000016n1bTQAQ</t>
  </si>
  <si>
    <t>2022-REN-Illumina</t>
  </si>
  <si>
    <t>0060W00000vuydvQAA</t>
  </si>
  <si>
    <t>2018 Renewal - Hello Bank</t>
  </si>
  <si>
    <t>0060W00000y60nQQAQ</t>
  </si>
  <si>
    <t>2019 Renewal - Hello Bank</t>
  </si>
  <si>
    <t>0060W000012KKw7QAG</t>
  </si>
  <si>
    <t>2022-REN-Hello Bank</t>
  </si>
  <si>
    <t>0060W000011UPBSQA4</t>
  </si>
  <si>
    <t>2020-REN-Hello Bank</t>
  </si>
  <si>
    <t>006d000000i1bK7AAI</t>
  </si>
  <si>
    <t>2017 Renewal - Havas Belgium</t>
  </si>
  <si>
    <t>0060W00000vxadPQAQ</t>
  </si>
  <si>
    <t>2018 Renewal - Hewlett-Packard Enterprise</t>
  </si>
  <si>
    <t>006d000000ttjKZAAY</t>
  </si>
  <si>
    <t>2017 Renewal - Hewlett-Packard Enterprise</t>
  </si>
  <si>
    <t>0060W00000zN0rcQAC</t>
  </si>
  <si>
    <t>2019 Renewal - Hewlett-Packard Enterprise</t>
  </si>
  <si>
    <t>0060W00000vIRMwQAO</t>
  </si>
  <si>
    <t>2017 Renewal / Upsell- Ford Asia Pacific #3</t>
  </si>
  <si>
    <t>0060W00000y5fElQAI</t>
  </si>
  <si>
    <t>2019 Renewal - Ford Asia Pacific</t>
  </si>
  <si>
    <t>0060W00000vWccEQAS</t>
  </si>
  <si>
    <t>2017 Renewal / Upsell- Ford Asia Pacific #2</t>
  </si>
  <si>
    <t>0060W00000vIVAjQAO</t>
  </si>
  <si>
    <t>2018 Renewal - Ford Asia Pacific</t>
  </si>
  <si>
    <t>0060W00000vIRN1QAO</t>
  </si>
  <si>
    <t>2017 Renewal / Upsell- Ford Asia Pacific #1</t>
  </si>
  <si>
    <t>0060W00000vwGebQAE</t>
  </si>
  <si>
    <t>2019 Renewal - CVS</t>
  </si>
  <si>
    <t>0066T000015QY5uQAG</t>
  </si>
  <si>
    <t>2023-REN-CVS</t>
  </si>
  <si>
    <t>0060W000010wrrSQAQ</t>
  </si>
  <si>
    <t>2021 Renewal - CVS</t>
  </si>
  <si>
    <t>0060W00000y5OLuQAM</t>
  </si>
  <si>
    <t>2019 Renewal - Concur</t>
  </si>
  <si>
    <t>0066T000017Wf3KQAS</t>
  </si>
  <si>
    <t>2023-REN-Concur</t>
  </si>
  <si>
    <t>0060W000014da2aQAA</t>
  </si>
  <si>
    <t>2022-REN-Concur</t>
  </si>
  <si>
    <t>0060W000012tvK8QAI</t>
  </si>
  <si>
    <t>2021-REN-Concur</t>
  </si>
  <si>
    <t>0060W000010voYHQAY</t>
  </si>
  <si>
    <t>2020 Renewal - Concur</t>
  </si>
  <si>
    <t>0060W00000vvJdUQAU</t>
  </si>
  <si>
    <t>2019 Renewal - CA Technologies</t>
  </si>
  <si>
    <t>006d000000uEa5WAAS</t>
  </si>
  <si>
    <t>2017 Renewal - Turner Broadcasting System</t>
  </si>
  <si>
    <t>0060W00001236dWQAQ</t>
  </si>
  <si>
    <t>2020-REN-Turner Broadcasting System</t>
  </si>
  <si>
    <t>0060W00000zP76rQAC</t>
  </si>
  <si>
    <t>2019 Renewal - Turner Broadcasting System</t>
  </si>
  <si>
    <t>0060W00000wz7YeQAI</t>
  </si>
  <si>
    <t>2018 Renewal - Turner Broadcasting System</t>
  </si>
  <si>
    <t>006VH00000hpo3dYAA</t>
  </si>
  <si>
    <t>2026 - REN - Marriott</t>
  </si>
  <si>
    <t>0060W00000vISPZQA4</t>
  </si>
  <si>
    <t>2018 Renewal - Cognizant OBO Nissan</t>
  </si>
  <si>
    <t>0060W00000vvGKEQA2</t>
  </si>
  <si>
    <t>2018 Renewal True Local AU</t>
  </si>
  <si>
    <t>0060W00000y5wRaQAI</t>
  </si>
  <si>
    <t>2019 Renewal - True Local AU</t>
  </si>
  <si>
    <t>0060W00000vIMerQAG</t>
  </si>
  <si>
    <t>2018 Renewal - TELUS</t>
  </si>
  <si>
    <t>0060W00000wqxRjQAI</t>
  </si>
  <si>
    <t>2019 Renewal - TELUS</t>
  </si>
  <si>
    <t>0060W00000vXXbIQAW</t>
  </si>
  <si>
    <t>2017 Renewal/Upsell - TELUS</t>
  </si>
  <si>
    <t>0060W00000vwcxhQAA</t>
  </si>
  <si>
    <t>2018 Renewal - Destination Canada</t>
  </si>
  <si>
    <t>0060W000011WiCeQAK</t>
  </si>
  <si>
    <t>2020-REN-Destination Canada</t>
  </si>
  <si>
    <t>0060W00000y84cbQAA</t>
  </si>
  <si>
    <t>2019 Renewal - Destination Canada</t>
  </si>
  <si>
    <t>0060W00000y72PTQAY</t>
  </si>
  <si>
    <t>2019 Renewal - Westgate Resorts</t>
  </si>
  <si>
    <t>0060W00000vw1JiQAI</t>
  </si>
  <si>
    <t>2018 Renewal - Westgate Resorts</t>
  </si>
  <si>
    <t>0060W00000wvkMHQAY</t>
  </si>
  <si>
    <t>2018 Renewal - Blast Analytics OBO CMS</t>
  </si>
  <si>
    <t>0066T000015qQ1FQAU</t>
  </si>
  <si>
    <t>2022-REN-Blast Analytics OBO CMS</t>
  </si>
  <si>
    <t>0060W000013sXgZQAU</t>
  </si>
  <si>
    <t>2021-REN-Blast Analytics OBO CMS</t>
  </si>
  <si>
    <t>0060W000011WYOUQA4</t>
  </si>
  <si>
    <t>2020 Renewal - Blast Analytics OBO CMS</t>
  </si>
  <si>
    <t>0060W00000zNHFLQA4</t>
  </si>
  <si>
    <t>2019 Renewal - Blast Analytics OBO CMS</t>
  </si>
  <si>
    <t>006VH000000lS7JYAU</t>
  </si>
  <si>
    <t>2024 - REN - MetaRouter</t>
  </si>
  <si>
    <t>006VH000005AVUHYA4</t>
  </si>
  <si>
    <t>2025 - REN - Questrade</t>
  </si>
  <si>
    <t>0066T00001CzLoLQAV</t>
  </si>
  <si>
    <t>2024 - REN - Neutrogena</t>
  </si>
  <si>
    <t>006VH00000RA5znYAD</t>
  </si>
  <si>
    <t>2025 - REN - MetaRouter</t>
  </si>
  <si>
    <t>0066T00001CNq7BQAT</t>
  </si>
  <si>
    <t>2024 - REN - Okta</t>
  </si>
  <si>
    <t>0066T0000190gYnQAI</t>
  </si>
  <si>
    <t>2024 - REN - Currys PC World</t>
  </si>
  <si>
    <t>006VH00000PSBILYA5</t>
  </si>
  <si>
    <t>2026 - REN - Currys PC World</t>
  </si>
  <si>
    <t>0066T000017vpk5QAA</t>
  </si>
  <si>
    <t>2023 - REN - Carnival Cruise Lines</t>
  </si>
  <si>
    <t>0066T000018HObQQAW</t>
  </si>
  <si>
    <t>2025 - REN - US Bancorp</t>
  </si>
  <si>
    <t>006VH000002eGzNYAU</t>
  </si>
  <si>
    <t>2025 - REN - CarMax</t>
  </si>
  <si>
    <t>0066T00001AC4HtQAL</t>
  </si>
  <si>
    <t>2023 - REN - Shiseido</t>
  </si>
  <si>
    <t>006VH000001sjUJYAY</t>
  </si>
  <si>
    <t>2024 - REN - Shiseido 2</t>
  </si>
  <si>
    <t>006VH00000DdFMMYA3</t>
  </si>
  <si>
    <t>2025 - REN - Hike &amp; Foxter</t>
  </si>
  <si>
    <t>006VH00000Rf2pVYAR</t>
  </si>
  <si>
    <t>2025 - REN - UNICEF</t>
  </si>
  <si>
    <t>006VH000005JXrpYAG</t>
  </si>
  <si>
    <t>2025 - REN - Pipedrive UK Limited</t>
  </si>
  <si>
    <t>006VH00000de0u5YAA</t>
  </si>
  <si>
    <t>2026 - REN - Stryker Corporation</t>
  </si>
  <si>
    <t>006VH00000RjZZyYAN</t>
  </si>
  <si>
    <t>2025 - REN - Stryker Corporation</t>
  </si>
  <si>
    <t>006VH00000gU19lYAC</t>
  </si>
  <si>
    <t>2026 - REN - Disneyland &amp; Disney Resort</t>
  </si>
  <si>
    <t>0066T00001CMAN0QAP</t>
  </si>
  <si>
    <t>2024 - REN - Novartis</t>
  </si>
  <si>
    <t>0066T00001DO7R4QAL</t>
  </si>
  <si>
    <t>2024 - REN - Hard Rock Cafe</t>
  </si>
  <si>
    <t>006VH00000DeTOoYAN</t>
  </si>
  <si>
    <t>2025 - REN - Hopkins</t>
  </si>
  <si>
    <t>0066T000016mjiIQAQ</t>
  </si>
  <si>
    <t>2025-REN-Zenni Optical</t>
  </si>
  <si>
    <t>006VH00000WsJeMYAV</t>
  </si>
  <si>
    <t>2026 - REN - Charles Schwab</t>
  </si>
  <si>
    <t>006VH00000cREYrYAO</t>
  </si>
  <si>
    <t>2026 - REN - Centers for Medicare &amp; Medicaid Services</t>
  </si>
  <si>
    <t>006VH00000RvVtyYAF</t>
  </si>
  <si>
    <t>2025 - REN - H E B</t>
  </si>
  <si>
    <t>006VH00000Rex3RYAR</t>
  </si>
  <si>
    <t>2025 - REN - Chartis</t>
  </si>
  <si>
    <t>006VH000003su57YAA</t>
  </si>
  <si>
    <t>2025 - REN - WPROMOTE</t>
  </si>
  <si>
    <t>0066T00001BBS6NQAX</t>
  </si>
  <si>
    <t>2026 - REN - Zions Bancorporation</t>
  </si>
  <si>
    <t>006VH00000aichcYAA</t>
  </si>
  <si>
    <t>006VH000002v1ENYAY</t>
  </si>
  <si>
    <t>2025 - REN - Courier Newsroom</t>
  </si>
  <si>
    <t>0060W000014aLLRQA2</t>
  </si>
  <si>
    <t>2023 - REN - Hewlett-Packard Enterprise</t>
  </si>
  <si>
    <t>006VH00000TQ8u5YAD</t>
  </si>
  <si>
    <t>2026 - REN - Berkeley Research Group</t>
  </si>
  <si>
    <t>006VH00000bgdfZYAQ</t>
  </si>
  <si>
    <t>006VH00000OABUDYA5</t>
  </si>
  <si>
    <t>2025 - REN - Accenture (app id 341)</t>
  </si>
  <si>
    <t>0066T000017wWhNQAU</t>
  </si>
  <si>
    <t>2023 - REN - Macy's</t>
  </si>
  <si>
    <t>006VH00000PpkooYAB</t>
  </si>
  <si>
    <t>2025 - REN - Macy's</t>
  </si>
  <si>
    <t>006VH00000dpA0UYAU</t>
  </si>
  <si>
    <t>2026 - REN - Macy's</t>
  </si>
  <si>
    <t>0066T00001Cz3GzQAJ</t>
  </si>
  <si>
    <t>2024 - REN - Macy's</t>
  </si>
  <si>
    <t>006VH00000SaHtRYAV</t>
  </si>
  <si>
    <t>2025 - REN - Harley-Davidson Inc.</t>
  </si>
  <si>
    <t>006VH00000efkO6YAI</t>
  </si>
  <si>
    <t>2026 - REN - Harley-Davidson Inc.</t>
  </si>
  <si>
    <t>006VH00000TTtoPYAT</t>
  </si>
  <si>
    <t>2026 - REN - Zenni Optical</t>
  </si>
  <si>
    <t>006VH000000XarEYAS</t>
  </si>
  <si>
    <t>2024 - REN - ST</t>
  </si>
  <si>
    <t>006VH00000TCpneYAD</t>
  </si>
  <si>
    <t>2025 - REN - ST</t>
  </si>
  <si>
    <t>006VH00000fiDWeYAM</t>
  </si>
  <si>
    <t>2026 - REN - ST</t>
  </si>
  <si>
    <t>006VH00000hYZIjYAO</t>
  </si>
  <si>
    <t>2027 - REN - Tulos</t>
  </si>
  <si>
    <t>006VH00000SufA2YAJ</t>
  </si>
  <si>
    <t>2026 - REN - Tulos</t>
  </si>
  <si>
    <t>006VH0000035lG0YAI</t>
  </si>
  <si>
    <t>2024 - REN - Hewlett Packard Enterprise</t>
  </si>
  <si>
    <t>006VH00000GQG4jYAH</t>
  </si>
  <si>
    <t>2025 - REN - Tyson Foods</t>
  </si>
  <si>
    <t>006VH00000Ysz9OYAR</t>
  </si>
  <si>
    <t>006VH00000Ahfi6YAB</t>
  </si>
  <si>
    <t>2026 - REN - Novo Nordisk</t>
  </si>
  <si>
    <t>006VH00000JzANoYAN</t>
  </si>
  <si>
    <t>2025 - REN - Tesco Bank</t>
  </si>
  <si>
    <t>006VH000007EuO8YAK</t>
  </si>
  <si>
    <t>2025 - REN - EssenceMediacom</t>
  </si>
  <si>
    <t>006VH00000Tt7kvYAB</t>
  </si>
  <si>
    <t>2026 - REN - Synchrony Bank</t>
  </si>
  <si>
    <t>006VH00000iIQdpYAG</t>
  </si>
  <si>
    <t>2027 - REN - Synchrony Bank</t>
  </si>
  <si>
    <t>006VH000004IQ6gYAG</t>
  </si>
  <si>
    <t>2025 - REN - VML Map</t>
  </si>
  <si>
    <t>006VH00000SukUhYAJ</t>
  </si>
  <si>
    <t>2026 - REN - VML Map</t>
  </si>
  <si>
    <t>0066T00001DO8zRQAT</t>
  </si>
  <si>
    <t>2024 - REN - Money and Pensions Service</t>
  </si>
  <si>
    <t>006VH00000BemPPYAZ</t>
  </si>
  <si>
    <t>2025 - REN - Duke Health</t>
  </si>
  <si>
    <t>006VH00000ds8mvYAA</t>
  </si>
  <si>
    <t>2026 - REN - Discover Financial Services - 3rd year of 3 year deal</t>
  </si>
  <si>
    <t>006VH00000SueFaYAJ</t>
  </si>
  <si>
    <t>2026 - REN - WPROMOTE</t>
  </si>
  <si>
    <t>006VH00000fzbmDYAQ</t>
  </si>
  <si>
    <t>006VH000003tF6LYAU</t>
  </si>
  <si>
    <t>2025 - REN - Cost Plus World Market</t>
  </si>
  <si>
    <t>006VH00000UfM6tYAF</t>
  </si>
  <si>
    <t>2026 - REN - Pipedrive UK Limited</t>
  </si>
  <si>
    <t>006VH00000WT9ohYAD</t>
  </si>
  <si>
    <t>2026 - REN - Standard Chartered</t>
  </si>
  <si>
    <t>006VH00000FBaXNYA1</t>
  </si>
  <si>
    <t>2025 - REN - Western Union</t>
  </si>
  <si>
    <t>0066T00001B8YywQAF</t>
  </si>
  <si>
    <t>2024 - REN - Sotheby's</t>
  </si>
  <si>
    <t>006VH00000SaKo6YAF</t>
  </si>
  <si>
    <t>2026 - REN - Kemin</t>
  </si>
  <si>
    <t>006VH00000A5LiwYAF</t>
  </si>
  <si>
    <t>2025 - REN - Target</t>
  </si>
  <si>
    <t>0066T00001BBd08QAD</t>
  </si>
  <si>
    <t>2024 - REN - The Home Depot of Canada</t>
  </si>
  <si>
    <t>006VH00000Dk4E7YAJ</t>
  </si>
  <si>
    <t>2026 - REN - HSBC</t>
  </si>
  <si>
    <t>006VH00000a4H5ZYAU</t>
  </si>
  <si>
    <t>2026 - REN - American Express (Consumer)</t>
  </si>
  <si>
    <t>006VH00000GBzi5YAD</t>
  </si>
  <si>
    <t>2025 - REN - American Express (Consumer)</t>
  </si>
  <si>
    <t>006VH00000Q3iK9YAJ</t>
  </si>
  <si>
    <t>2025 - REN - OMD</t>
  </si>
  <si>
    <t>006VH00000iRqIvYAK</t>
  </si>
  <si>
    <t>006VH00000UfTmMYAV</t>
  </si>
  <si>
    <t>2026 - REN - Accent Group</t>
  </si>
  <si>
    <t>006VH00000WL1oHYAT</t>
  </si>
  <si>
    <t>2026 - REN - Kaizen Gaming</t>
  </si>
  <si>
    <t>0066T00001CMnM0QAL</t>
  </si>
  <si>
    <t>2024 - REN - Tyson Foods</t>
  </si>
  <si>
    <t>006VH00000ajT9BYAU</t>
  </si>
  <si>
    <t>2026 - REN - Innocean</t>
  </si>
  <si>
    <t>006VH00000jBMkrYAG</t>
  </si>
  <si>
    <t>2027 - REN - Prophet</t>
  </si>
  <si>
    <t>006VH00000ajElGYAU</t>
  </si>
  <si>
    <t>2026 - REN - UniSalute Spa</t>
  </si>
  <si>
    <t>006VH00000UvY5JYAV</t>
  </si>
  <si>
    <t>2026 - REN - Softcat PLC (OBO ADECCO GROUP)</t>
  </si>
  <si>
    <t>006VH00000BesUrYAJ</t>
  </si>
  <si>
    <t>2025 - REN - VertoDigital</t>
  </si>
  <si>
    <t>006VH00000WL0k9YAD</t>
  </si>
  <si>
    <t>2026 - REN - VertoDigital</t>
  </si>
  <si>
    <t>006VH00000S8QbVYAV</t>
  </si>
  <si>
    <t>2025 - REN - Disneyland &amp; Disney Resort</t>
  </si>
  <si>
    <t>0066T00001ACdfYQAT</t>
  </si>
  <si>
    <t>2024 - REN - Newfold Digital</t>
  </si>
  <si>
    <t>006VH00000QIi3hYAD</t>
  </si>
  <si>
    <t>2026 - REN - Newfold Digital</t>
  </si>
  <si>
    <t>006VH00000Z0dWgYAJ</t>
  </si>
  <si>
    <t>2026 - REN - Marks and Spencer</t>
  </si>
  <si>
    <t>006VH00000YP1YQYA1</t>
  </si>
  <si>
    <t>2026 - REN - Loop Horizon</t>
  </si>
  <si>
    <t>0066T00001B9ssCQAR</t>
  </si>
  <si>
    <t>2024 - REN - K12</t>
  </si>
  <si>
    <t>006VH00000ZggA1YAJ</t>
  </si>
  <si>
    <t>2026 - REN - K12</t>
  </si>
  <si>
    <t>006VH00000I0NX6YAN</t>
  </si>
  <si>
    <t>2025 - REN - K12</t>
  </si>
  <si>
    <t>006VH00000JsH49YAF</t>
  </si>
  <si>
    <t>2025 - REN - Booking.com</t>
  </si>
  <si>
    <t>006VH00000A5GL0YAN</t>
  </si>
  <si>
    <t>2025 - REN - Under Armour</t>
  </si>
  <si>
    <t>006VH00000DJQydYAH</t>
  </si>
  <si>
    <t>2025 - REN - Bethlehem Shared Services</t>
  </si>
  <si>
    <t>006VH00000WzWOkYAN</t>
  </si>
  <si>
    <t>2026 - REN - Bethlehem Shared Services</t>
  </si>
  <si>
    <t>006VH00000RvO4VYAV</t>
  </si>
  <si>
    <t>2025 - REN - UHC M&amp;R</t>
  </si>
  <si>
    <t>006VH00000gFMhaYAG</t>
  </si>
  <si>
    <t>2026 - REN - CultHealth</t>
  </si>
  <si>
    <t>006VH00000SHFXBYA5</t>
  </si>
  <si>
    <t>2025 - REN - CultHealth</t>
  </si>
  <si>
    <t>006VH00000OVeubYAD</t>
  </si>
  <si>
    <t>2025 - REN - Cardinal Path</t>
  </si>
  <si>
    <t>006VH00000EEQqcYAH</t>
  </si>
  <si>
    <t>2025 - REN - Zelst</t>
  </si>
  <si>
    <t>006VH00000Xq0FbYAJ</t>
  </si>
  <si>
    <t>2026 - REN - Hopkins</t>
  </si>
  <si>
    <t>006VH00000agtBSYAY</t>
  </si>
  <si>
    <t>2028 - REN - The Standard</t>
  </si>
  <si>
    <t>006VH00000PxbYDYAZ</t>
  </si>
  <si>
    <t>2025 - REN - Hotspex</t>
  </si>
  <si>
    <t>006VH00000Xpy5cYAB</t>
  </si>
  <si>
    <t>2026 - REN - Hike &amp; Foxter</t>
  </si>
  <si>
    <t>006VH00000WteYfYAJ</t>
  </si>
  <si>
    <t>006VH00000EU6BBYA1</t>
  </si>
  <si>
    <t>2025 - REN - WarnerMedia Services</t>
  </si>
  <si>
    <t>006VH000000xBKVYA2</t>
  </si>
  <si>
    <t>2024 - REN - CDW</t>
  </si>
  <si>
    <t>0066T00001Cyd07QAB</t>
  </si>
  <si>
    <t>2024 - REN - Authentic Digital</t>
  </si>
  <si>
    <t>006VH00000hlvriYAA</t>
  </si>
  <si>
    <t>2026 - REN - Perficient</t>
  </si>
  <si>
    <t>006VH00000fzPrbYAE</t>
  </si>
  <si>
    <t>2026 - REN - Frontdoor</t>
  </si>
  <si>
    <t>006VH00000c6aVxYAI</t>
  </si>
  <si>
    <t>2026 - REN - NetNut</t>
  </si>
  <si>
    <t>006VH00000RmW4TYAV</t>
  </si>
  <si>
    <t>2026 - REN - Travelers</t>
  </si>
  <si>
    <t>0066T00001DnsuVQAR</t>
  </si>
  <si>
    <t>2024 - REN - Schneider Electric</t>
  </si>
  <si>
    <t>006VH00000hpLJNYA2</t>
  </si>
  <si>
    <t>2027 - REN - Sewell Automotive</t>
  </si>
  <si>
    <t>006VH00000WzX33YAF</t>
  </si>
  <si>
    <t>2026 - REN - Mazda Motor Corporation</t>
  </si>
  <si>
    <t>006VH00000eh3EwYAI</t>
  </si>
  <si>
    <t>2026 - REN - Ally</t>
  </si>
  <si>
    <t>006VH0000076fu8YAA</t>
  </si>
  <si>
    <t>2026 - REN - Dow</t>
  </si>
  <si>
    <t>0066T000017wWk2QAE</t>
  </si>
  <si>
    <t>2025 - REN - Corebridge Financial</t>
  </si>
  <si>
    <t>006VH00000gB6A1YAK</t>
  </si>
  <si>
    <t>2026 - REN - Corebridge Financial</t>
  </si>
  <si>
    <t>006VH00000hpMfFYAU</t>
  </si>
  <si>
    <t>2027 - REN - Lerma</t>
  </si>
  <si>
    <t>0066T0000191LHrQAM</t>
  </si>
  <si>
    <t>2025 - REN - Exact Sciences</t>
  </si>
  <si>
    <t>006VH00000fhFDtYAM</t>
  </si>
  <si>
    <t>2026 - REN - LA Jolla Beach and Tennis Club</t>
  </si>
  <si>
    <t>006VH00000XIo6cYAD</t>
  </si>
  <si>
    <t>2027 - REN - Optum</t>
  </si>
  <si>
    <t>006VH000001IxHBYA0</t>
  </si>
  <si>
    <t>2024 - REN - Carnival Corporation &amp; plc</t>
  </si>
  <si>
    <t>006VH00000dMqw0YAC</t>
  </si>
  <si>
    <t>2026 - REN - Hewlett Packard Enterprise</t>
  </si>
  <si>
    <t>006VH00000cCGEQYA4</t>
  </si>
  <si>
    <t>2026 - REN - Broadridge</t>
  </si>
  <si>
    <t>006VH00000cCLKXYA4</t>
  </si>
  <si>
    <t>2026 - REN - GroupM Netherlands</t>
  </si>
  <si>
    <t>006VH00000QBPNVYA5</t>
  </si>
  <si>
    <t>2025 - REN - Western Governors University</t>
  </si>
  <si>
    <t>006VH00000HBckvYAD</t>
  </si>
  <si>
    <t>2025 - REN - University of New South Wales</t>
  </si>
  <si>
    <t>006VH00000YLwWrYAL</t>
  </si>
  <si>
    <t>2026 - REN - University of New South Wales</t>
  </si>
  <si>
    <t>0060W000010yP33QAE</t>
  </si>
  <si>
    <t>2020 Renewal - Maurices</t>
  </si>
  <si>
    <t>006d000000pdwpSAAQ</t>
  </si>
  <si>
    <t>2019 Renewal - Maurices</t>
  </si>
  <si>
    <t>006VH00000atQUzYAM</t>
  </si>
  <si>
    <t>2026 - REN - Vital Farms</t>
  </si>
  <si>
    <t>006VH00000MW43tYAD</t>
  </si>
  <si>
    <t>2025 - REN - Vital Farms</t>
  </si>
  <si>
    <t>006VH00000PSNXxYAP</t>
  </si>
  <si>
    <t>2025 - REN - Citi</t>
  </si>
  <si>
    <t>006VH00000a01fJYAQ</t>
  </si>
  <si>
    <t>2026 - REN - Sky Group Limited</t>
  </si>
  <si>
    <t>006VH00000db1RhYAI</t>
  </si>
  <si>
    <t>2050 - REN - Observepoint</t>
  </si>
  <si>
    <t>006VH00000efmw8YAA</t>
  </si>
  <si>
    <t>2026 - REN - Wheelhouse Digital Marketing Group</t>
  </si>
  <si>
    <t>006VH00000Q18URYAZ</t>
  </si>
  <si>
    <t>2025 - REN - Wheelhouse Digital Marketing Group</t>
  </si>
  <si>
    <t>006VH00000e9cblYAA</t>
  </si>
  <si>
    <t>2026 - REN - Henkel</t>
  </si>
  <si>
    <t>006VH00000TsCoIYAV</t>
  </si>
  <si>
    <t>2026 - REN - Versace</t>
  </si>
  <si>
    <t>006VH00000Y6PrOYAV</t>
  </si>
  <si>
    <t>2026 - REN - RBC</t>
  </si>
  <si>
    <t>006VH00000iSPWpYAO</t>
  </si>
  <si>
    <t>2027 - REN - Bright Horizons Family Solutions Inc.</t>
  </si>
  <si>
    <t>006VH000005rARSYA2</t>
  </si>
  <si>
    <t>2025 - REN - Kia Corporation</t>
  </si>
  <si>
    <t>006VH00000QLcmTYAT</t>
  </si>
  <si>
    <t>2025 - REN - Cambia Health Solutions</t>
  </si>
  <si>
    <t>006VH00000aaIEbYAM</t>
  </si>
  <si>
    <t>2025 - REN - British Airways (Part 2)</t>
  </si>
  <si>
    <t>006VH00000iJT9pYAG</t>
  </si>
  <si>
    <t>2027 - REN - British Airways</t>
  </si>
  <si>
    <t>006VH00000gYVQzYAO</t>
  </si>
  <si>
    <t>006VH00000Y6HFaYAN</t>
  </si>
  <si>
    <t>2026 - EXT - Crowdstrike - 7 months</t>
  </si>
  <si>
    <t>006VH00000iVGVSYA4</t>
  </si>
  <si>
    <t>2026 - REN - Versant Media</t>
  </si>
  <si>
    <t>006VH00000TtIDJYA3</t>
  </si>
  <si>
    <t>2026 - REN - NBCUniversal</t>
  </si>
  <si>
    <t>006VH000000x1g3YAA</t>
  </si>
  <si>
    <t>2024 - REN - Wish</t>
  </si>
  <si>
    <t>006VH00000RX2DGYA1</t>
  </si>
  <si>
    <t>2025 - REN - Wish</t>
  </si>
  <si>
    <t>006VH00000i2URLYA2</t>
  </si>
  <si>
    <t>2026 - REN - Wish</t>
  </si>
  <si>
    <t>006VH0000024T2HYAU</t>
  </si>
  <si>
    <t>2024 - REN - AbbVie</t>
  </si>
  <si>
    <t>006VH00000S0R3LYAV</t>
  </si>
  <si>
    <t>2025 - REN - AbbVie</t>
  </si>
  <si>
    <t>006VH00000dNuRFYA0</t>
  </si>
  <si>
    <t>2026 - REN - Hotspex</t>
  </si>
  <si>
    <t>006VH00000LYHNJYA5</t>
  </si>
  <si>
    <t>2025 - REN - Astellas Pharma</t>
  </si>
  <si>
    <t>006VH00000PZlorYAD</t>
  </si>
  <si>
    <t>2025 - REN - Schneider Electric</t>
  </si>
  <si>
    <t>006VH00000fpCkLYAU</t>
  </si>
  <si>
    <t>006VH00000Tt7Y6YAJ</t>
  </si>
  <si>
    <t>2025 - REN - CDW</t>
  </si>
  <si>
    <t>006VH00000PZmJVYA1</t>
  </si>
  <si>
    <t>2025 - REN - Immobilien Scout</t>
  </si>
  <si>
    <t>006VH00000eKWUXYA4</t>
  </si>
  <si>
    <t>2026 - REN - BMO Bank of Montreal</t>
  </si>
  <si>
    <t>006VH00000iDLi4YAG</t>
  </si>
  <si>
    <t>2027 - REN - Motorola Solutions</t>
  </si>
  <si>
    <t>006VH00000cMKDVYA4</t>
  </si>
  <si>
    <t>2026 - REN - Money and Pensions Service</t>
  </si>
  <si>
    <t>006VH00000e8w6EYAQ</t>
  </si>
  <si>
    <t>2026 - REN - Sapient Daisy</t>
  </si>
  <si>
    <t>006VH00000NDYrRYAX</t>
  </si>
  <si>
    <t>2025 - REN - Sarani</t>
  </si>
  <si>
    <t>006VH00000en6wTYAQ</t>
  </si>
  <si>
    <t>2026 - REN - Axeno</t>
  </si>
  <si>
    <t>006VH00000gr9plYAA</t>
  </si>
  <si>
    <t>2026 - REN - William Hill</t>
  </si>
  <si>
    <t>006VH00000SHEKzYAP</t>
  </si>
  <si>
    <t>2025 - REN - William Hill</t>
  </si>
  <si>
    <t>006VH00000g1qh7YAA</t>
  </si>
  <si>
    <t>006VH00000XQMBbYAP</t>
  </si>
  <si>
    <t>006VH00000a9Z54YAE</t>
  </si>
  <si>
    <t>2026 - REN - Booking.com</t>
  </si>
  <si>
    <t>006VH000002CsGRYA0</t>
  </si>
  <si>
    <t>2025 - REN - Walgreens</t>
  </si>
  <si>
    <t>006VH00000TX869YAD</t>
  </si>
  <si>
    <t>2026 - REN - Financial Times</t>
  </si>
  <si>
    <t>006VH00000ff7CPYAY</t>
  </si>
  <si>
    <t>2026 - REN - Cvrx</t>
  </si>
  <si>
    <t>006VH00000iVkmpYAC</t>
  </si>
  <si>
    <t>2027 - REN - Versant Media</t>
  </si>
  <si>
    <t>006VH00000TZj6PYAT</t>
  </si>
  <si>
    <t>2026 - REN - Sam's Club</t>
  </si>
  <si>
    <t>006VH00000hphgTYAQ</t>
  </si>
  <si>
    <t>006VH00000aPRpyYAG</t>
  </si>
  <si>
    <t>2026 - REN - TDECU</t>
  </si>
  <si>
    <t>006VH00000OSkrjYAD</t>
  </si>
  <si>
    <t>2025 - REN - TDECU</t>
  </si>
  <si>
    <t>006VH00000QP3WpYAL</t>
  </si>
  <si>
    <t>2025 - REN - Kellanova</t>
  </si>
  <si>
    <t>006VH00000de0hBYAQ</t>
  </si>
  <si>
    <t>2026 - REN - Kellanova</t>
  </si>
  <si>
    <t>0066T00001DnsKqQAJ</t>
  </si>
  <si>
    <t>2024 - REN - Spark New Zealand</t>
  </si>
  <si>
    <t>006VH00000OmgFFYAZ</t>
  </si>
  <si>
    <t>2025 - REN - Spark New Zealand</t>
  </si>
  <si>
    <t>006VH00000d4Bb9YAE</t>
  </si>
  <si>
    <t>006VH00000gTttmYAC</t>
  </si>
  <si>
    <t>2026 - REN - Nasdaq</t>
  </si>
  <si>
    <t>006VH00000SXXwMYAX</t>
  </si>
  <si>
    <t>2025 - REN - Nasdaq</t>
  </si>
  <si>
    <t>0060W000014mp6oQAA</t>
  </si>
  <si>
    <t>2025-REN-Barclays UK</t>
  </si>
  <si>
    <t>006VH00000fhFtrYAE</t>
  </si>
  <si>
    <t>2026 - REN - Barclays (UK Division)</t>
  </si>
  <si>
    <t>006VH00000fvTSKYA2</t>
  </si>
  <si>
    <t>2026 - REN - Green Arrow Consultancy</t>
  </si>
  <si>
    <t>006VH00000S8HgIYAV</t>
  </si>
  <si>
    <t>2025 - REN - Sub-Zero, Wolf, &amp; Cove</t>
  </si>
  <si>
    <t>006VH00000hmaurYAA</t>
  </si>
  <si>
    <t>2027 - REN - Sorenson - (2nd of 2 year)</t>
  </si>
  <si>
    <t>006VH00000gyzy5YAA</t>
  </si>
  <si>
    <t>2026 - REN - Kiewit</t>
  </si>
  <si>
    <t>006VH0000025JGzYAM</t>
  </si>
  <si>
    <t>2024 - REN - Carmichael Lynch OBO Subaru</t>
  </si>
  <si>
    <t>006VH00000gFNSMYA4</t>
  </si>
  <si>
    <t>2026 - REN - Carmichael Lynch</t>
  </si>
  <si>
    <t>006VH0000032xn8YAA</t>
  </si>
  <si>
    <t>2025 - REN - SAP</t>
  </si>
  <si>
    <t>006VH00000YsxifYAB</t>
  </si>
  <si>
    <t>2026 - REN - Avon</t>
  </si>
  <si>
    <t>006VH00000eVF8bYAG</t>
  </si>
  <si>
    <t>2026 - REN - UnitedHealth Group</t>
  </si>
  <si>
    <t>006VH00000Q18asYAB</t>
  </si>
  <si>
    <t>2025 - REN - UnitedHealth Group</t>
  </si>
  <si>
    <t>006VH00000gB3nHYAS</t>
  </si>
  <si>
    <t>2028 - REN - Lloyds Bank</t>
  </si>
  <si>
    <t>006VH00000hNx6gYAC</t>
  </si>
  <si>
    <t>2027 - REN - Klick</t>
  </si>
  <si>
    <t>006VH00000S7p9QYAR</t>
  </si>
  <si>
    <t>2026 - REN - Klick (Apellis)</t>
  </si>
  <si>
    <t>006VH00000UFRoDYAX</t>
  </si>
  <si>
    <t>2026 - REN - Bright Horizons Family Solutions Inc.</t>
  </si>
  <si>
    <t>006VH00000A5PzKYAV</t>
  </si>
  <si>
    <t>2025 - REN - Kaizen Gaming</t>
  </si>
  <si>
    <t>006VH00000AhXmBYAV</t>
  </si>
  <si>
    <t>2026 - REN - New York University</t>
  </si>
  <si>
    <t>006VH00000Z7oXUYAZ</t>
  </si>
  <si>
    <t>2026 - REN - BitBang</t>
  </si>
  <si>
    <t>006VH00000RAdlJYAT</t>
  </si>
  <si>
    <t>2025 - REN - State of Utah</t>
  </si>
  <si>
    <t>006VH00000f3n6DYAQ</t>
  </si>
  <si>
    <t>2026 - REN - State of Utah</t>
  </si>
  <si>
    <t>006VH00000RjsJGYAZ</t>
  </si>
  <si>
    <t>2025 - REN - Perficient</t>
  </si>
  <si>
    <t>006VH0000096RTNYA2</t>
  </si>
  <si>
    <t>2026 - REN - ULTA</t>
  </si>
  <si>
    <t>006VH00000hYUfdYAG</t>
  </si>
  <si>
    <t>2027 - REN - Sage</t>
  </si>
  <si>
    <t>006VH00000RxtaRYAR</t>
  </si>
  <si>
    <t>2026 - REN - Sage</t>
  </si>
  <si>
    <t>006VH00000ROOxhYAH</t>
  </si>
  <si>
    <t>2025 - REN - Carnival Corporation &amp; plc</t>
  </si>
  <si>
    <t>006VH00000dOqF8YAK</t>
  </si>
  <si>
    <t>2026 - REN - E-CENS</t>
  </si>
  <si>
    <t>006VH00000afYYsYAM</t>
  </si>
  <si>
    <t>006VH00000Xiq9ZYAR</t>
  </si>
  <si>
    <t>2026 - REN - Institute of Chartered Accountants in England and Wales</t>
  </si>
  <si>
    <t>006VH00000Y4haiYAB</t>
  </si>
  <si>
    <t>2026 - REN - Novo Nordisk Inc.</t>
  </si>
  <si>
    <t>006VH00000iUdcHYAS</t>
  </si>
  <si>
    <t>2028 - REN - Selfridges &amp; Co.</t>
  </si>
  <si>
    <t>006VH00000iKxIpYAK</t>
  </si>
  <si>
    <t>2027 - REN - Direct Line Group</t>
  </si>
  <si>
    <t>006VH00000WSoDyYAL</t>
  </si>
  <si>
    <t>2026 - REN - BDO USA LLP</t>
  </si>
  <si>
    <t>0066T000017vvD0QAI</t>
  </si>
  <si>
    <t>2024 - REN - AutoNation</t>
  </si>
  <si>
    <t>006VH00000RAnCnYAL</t>
  </si>
  <si>
    <t>2026 - REN - AutoNation</t>
  </si>
  <si>
    <t>006VH00000SukRRYAZ</t>
  </si>
  <si>
    <t>2026 - REN - Drumline</t>
  </si>
  <si>
    <t>006VH00000eXNtLYAW</t>
  </si>
  <si>
    <t>006VH00000Vun19YAB</t>
  </si>
  <si>
    <t>006VH00000VugdtYAB</t>
  </si>
  <si>
    <t>006VH00000iOxf7YAC</t>
  </si>
  <si>
    <t>2027 - REN - Strategic 7</t>
  </si>
  <si>
    <t>006VH00000RLyfzYAD</t>
  </si>
  <si>
    <t>2027 - REN - Endress+Hauser AG</t>
  </si>
  <si>
    <t>006VH00000j9zn7YAA</t>
  </si>
  <si>
    <t>2027 - REN - Kingfisher</t>
  </si>
  <si>
    <t>006VH00000ewiuUYAQ</t>
  </si>
  <si>
    <t>2026 - REN - Workday</t>
  </si>
  <si>
    <t>006VH00000PyBtVYAV</t>
  </si>
  <si>
    <t>2025 - REN - Discover Financial Services - 2nd of 3 year deal</t>
  </si>
  <si>
    <t>0066T000016jsAKQAY</t>
  </si>
  <si>
    <t>2024 - REN - M&amp;T Bank</t>
  </si>
  <si>
    <t>006VH00000P1mx4YAB</t>
  </si>
  <si>
    <t>2027 - REN - M&amp;T Bank</t>
  </si>
  <si>
    <t>0066T000018GrDwQAK</t>
  </si>
  <si>
    <t>2023 - REN - Mayo Clinic</t>
  </si>
  <si>
    <t>006VH000002kCrRYAU</t>
  </si>
  <si>
    <t>2026 - REN - Selfridges &amp; Co.</t>
  </si>
  <si>
    <t>006VH00000VfQUXYA3</t>
  </si>
  <si>
    <t>2026 - REN - Holafly</t>
  </si>
  <si>
    <t>006VH00000C2W3LYAV</t>
  </si>
  <si>
    <t>2025 - REN - Choice Hotels</t>
  </si>
  <si>
    <t>006VH00000DeW1hYAF</t>
  </si>
  <si>
    <t>2025 - REN - Adobe (Federal)</t>
  </si>
  <si>
    <t>006VH00000NvylNYAR</t>
  </si>
  <si>
    <t>2027 - REN - PetSmart</t>
  </si>
  <si>
    <t>006VH00000YoIPZYA3</t>
  </si>
  <si>
    <t>0066T00001B9yLVQAZ</t>
  </si>
  <si>
    <t>2025 - REN - United Healthcare (Providers Operations)</t>
  </si>
  <si>
    <t>006VH00000VIJn7YAH</t>
  </si>
  <si>
    <t>2027 - REN - UHC Provider Operations</t>
  </si>
  <si>
    <t>006VH00000M7tr8YAB</t>
  </si>
  <si>
    <t>2025 - REN - Money and Pensions Service</t>
  </si>
  <si>
    <t>006VH00000N6iqjYAB</t>
  </si>
  <si>
    <t>2026 - REN - ALDI Süd</t>
  </si>
  <si>
    <t>006VH00000AhjqaYAB</t>
  </si>
  <si>
    <t>2025 - REN - AT&amp;T</t>
  </si>
  <si>
    <t>006VH000008QOuvYAG</t>
  </si>
  <si>
    <t>2026 - REN - Honda Motor Company</t>
  </si>
  <si>
    <t>006VH0000045inoYAA</t>
  </si>
  <si>
    <t>2025 - REN - Versace</t>
  </si>
  <si>
    <t>006VH000003KPdFYAW</t>
  </si>
  <si>
    <t>2025 - REN - V Shred</t>
  </si>
  <si>
    <t>006VH00000S8N5oYAF</t>
  </si>
  <si>
    <t>2026 - REN - V Shred</t>
  </si>
  <si>
    <t>006VH00000ONyDlYAL</t>
  </si>
  <si>
    <t>2025 - REN - Roche</t>
  </si>
  <si>
    <t>006VH00000SLBDJYA5</t>
  </si>
  <si>
    <t>2025 - REN - America's Credit Unions</t>
  </si>
  <si>
    <t>006VH00000XHzvNYAT</t>
  </si>
  <si>
    <t>2026 - REN - Big Orange Lab</t>
  </si>
  <si>
    <t>006VH00000GrpzFYAR</t>
  </si>
  <si>
    <t>2025 - REN - Microsoft</t>
  </si>
  <si>
    <t>006VH000002eHc8YAE</t>
  </si>
  <si>
    <t>2024 - REN - Sub-Zero, Wolf, &amp; Cove</t>
  </si>
  <si>
    <t>006VH00000WwRTeYAN</t>
  </si>
  <si>
    <t>0066T00001AEsnbQAD</t>
  </si>
  <si>
    <t>2025 - REN - New York Life Insurance</t>
  </si>
  <si>
    <t>006VH00000Ts7OnYAJ</t>
  </si>
  <si>
    <t>2027 - REN - New York Life Insurance</t>
  </si>
  <si>
    <t>006VH00000WkPaVYAV</t>
  </si>
  <si>
    <t>2026 - REN - GroupM Danmark</t>
  </si>
  <si>
    <t>006VH00000gcXu1YAE</t>
  </si>
  <si>
    <t>2026 - REN - Shiseido 2</t>
  </si>
  <si>
    <t>006VH00000ThkbdYAB</t>
  </si>
  <si>
    <t>2026 - REN - Hookflash Analytics Limited</t>
  </si>
  <si>
    <t>006VH00000hdYHBYA2</t>
  </si>
  <si>
    <t>2027 - REN - Hookflash Analytics Limited</t>
  </si>
  <si>
    <t>006VH00000WhZRVYA3</t>
  </si>
  <si>
    <t>0066T00001ADMwIQAX</t>
  </si>
  <si>
    <t>2025 - REN - CNBC International</t>
  </si>
  <si>
    <t>006VH000003ZrxNYAS</t>
  </si>
  <si>
    <t>2025 - REN - UBS</t>
  </si>
  <si>
    <t>006VH00000VuWoAYAV</t>
  </si>
  <si>
    <t>2026 - REN - Prophet</t>
  </si>
  <si>
    <t>006VH00000IDbNZYA1</t>
  </si>
  <si>
    <t>2025 - REN - General Motors Company</t>
  </si>
  <si>
    <t>006VH00000efrnjYAA</t>
  </si>
  <si>
    <t>2026 - REN - HP Inc</t>
  </si>
  <si>
    <t>006VH00000A5Va5YAF</t>
  </si>
  <si>
    <t>2025 - REN - Citadel Federal Credit Union</t>
  </si>
  <si>
    <t>006VH00000XDNLaYAP</t>
  </si>
  <si>
    <t>2026 - REN - Citadel Federal Credit Union</t>
  </si>
  <si>
    <t>006VH00000bvibiYAA</t>
  </si>
  <si>
    <t>2026 - REN - Travel Guard</t>
  </si>
  <si>
    <t>006VH00000a58Q1YAI</t>
  </si>
  <si>
    <t>2026 - REN - Ricoh</t>
  </si>
  <si>
    <t>006VH00000E2BfIYAV</t>
  </si>
  <si>
    <t>2025 - REN - The Home Depot of Canada</t>
  </si>
  <si>
    <t>006VH00000V65mOYAR</t>
  </si>
  <si>
    <t>2027 - REN - Gap</t>
  </si>
  <si>
    <t>006VH00000ak4geYAA</t>
  </si>
  <si>
    <t>2026 - REN - Arc'Teryx</t>
  </si>
  <si>
    <t>006VH00000VZgnMYAT</t>
  </si>
  <si>
    <t>2027 - REN - Staysure Ltd.</t>
  </si>
  <si>
    <t>006VH00000iPkZNYA0</t>
  </si>
  <si>
    <t>2027 - REN - S&amp;P Global</t>
  </si>
  <si>
    <t>006VH00000Vure5YAB</t>
  </si>
  <si>
    <t>2026 - REN - CSA Latam</t>
  </si>
  <si>
    <t>006VH00000DJt4XYAT</t>
  </si>
  <si>
    <t>2025 - REN - Novartis</t>
  </si>
  <si>
    <t>006VH00000VuR6yYAF</t>
  </si>
  <si>
    <t>2026 - REN - Novartis</t>
  </si>
  <si>
    <t>006VH00000aMvXaYAK</t>
  </si>
  <si>
    <t>2026 - REN - Volvo Car</t>
  </si>
  <si>
    <t>006VH00000hphGfYAI</t>
  </si>
  <si>
    <t>2027 - REN - Frontier Communications</t>
  </si>
  <si>
    <t>006VH00000SaJ7IYAV</t>
  </si>
  <si>
    <t>2026 - REN - Frontier Communications</t>
  </si>
  <si>
    <t>006VH0000074O1MYAU</t>
  </si>
  <si>
    <t>2025 - REN - Caleres</t>
  </si>
  <si>
    <t>006VH00000VufGLYAZ</t>
  </si>
  <si>
    <t>006VH000007ZvXFYA0</t>
  </si>
  <si>
    <t>2025 - REN - Prophet</t>
  </si>
  <si>
    <t>006VH00000hrJlJYAU</t>
  </si>
  <si>
    <t>2026 - REN - Eli Lilly</t>
  </si>
  <si>
    <t>006VH00000WKqbAYAT</t>
  </si>
  <si>
    <t>2027 - REN - Jet2.COM Ltd.</t>
  </si>
  <si>
    <t>006VH00000i9EC7YAM</t>
  </si>
  <si>
    <t>2027 - REN - Owens Corning</t>
  </si>
  <si>
    <t>006VH00000WL0gxYAD</t>
  </si>
  <si>
    <t>2026 - REN - Owens Corning</t>
  </si>
  <si>
    <t>006VH00000WodGfYAJ</t>
  </si>
  <si>
    <t>2026 - REN - Kaufland E-Commerce</t>
  </si>
  <si>
    <t>006VH0000076aT3YAI</t>
  </si>
  <si>
    <t>2025 - REN - Standard Chartered</t>
  </si>
  <si>
    <t>006VH00000P1xFlYAJ</t>
  </si>
  <si>
    <t>2025 - REN - JPMorgan Chase</t>
  </si>
  <si>
    <t>006VH00000jA0McYAK</t>
  </si>
  <si>
    <t>2026 - REN - Genuine Parts Co.</t>
  </si>
  <si>
    <t>006VH00000Tq0T3YAJ</t>
  </si>
  <si>
    <t>2027 - REN - Centene</t>
  </si>
  <si>
    <t>006VH00000XU30fYAD</t>
  </si>
  <si>
    <t>2026 - REN - Mouser Electronics</t>
  </si>
  <si>
    <t>006VH00000LPw9jYAD</t>
  </si>
  <si>
    <t>2025 - REN - American Express (Merchant)</t>
  </si>
  <si>
    <t>006VH00000fzalJYAQ</t>
  </si>
  <si>
    <t>2026 - REN - Signet Jewelers</t>
  </si>
  <si>
    <t>006VH00000ajztpYAA</t>
  </si>
  <si>
    <t>006VH00000eD3YvYAK</t>
  </si>
  <si>
    <t>2027 - REN - Whirlpool</t>
  </si>
  <si>
    <t>006VH00000QBKE9YAP</t>
  </si>
  <si>
    <t>2025 - REN - Whirlpool</t>
  </si>
  <si>
    <t>006VH00000ex0D3YAI</t>
  </si>
  <si>
    <t>2026 - REN - Moncler SpA</t>
  </si>
  <si>
    <t>006VH00000WsFXWYA3</t>
  </si>
  <si>
    <t>2026 - REN - GroupM Nexus</t>
  </si>
  <si>
    <t>006VH00000gAmHlYAK</t>
  </si>
  <si>
    <t>2027 - REN - Goldman Sachs</t>
  </si>
  <si>
    <t>006VH00000KJwkjYAD</t>
  </si>
  <si>
    <t>2025 - REN - British Airways (6 months)</t>
  </si>
  <si>
    <t>006VH00000h3ZQKYA2</t>
  </si>
  <si>
    <t>2027 - REN - Capital One Financial</t>
  </si>
  <si>
    <t>006VH00000RmWSfYAN</t>
  </si>
  <si>
    <t>2026 - REN - Capital One Financial</t>
  </si>
  <si>
    <t>006VH00000T9GmRYAV</t>
  </si>
  <si>
    <t>2026 - REN - Torrid</t>
  </si>
  <si>
    <t>006VH00000hNw94YAC</t>
  </si>
  <si>
    <t>2027 - REN - Advocate Health - (year 2 of 3)</t>
  </si>
  <si>
    <t>006VH00000RjyQHYAZ</t>
  </si>
  <si>
    <t>2025 - REN - Carmichael Lynch OBO Subaru</t>
  </si>
  <si>
    <t>006VH00000ZgceEYAR</t>
  </si>
  <si>
    <t>2026 - REN - Sanitas Companies</t>
  </si>
  <si>
    <t>006VH000000S6vJYAS</t>
  </si>
  <si>
    <t>2025 - REN - Carhartt</t>
  </si>
  <si>
    <t>006VH00000e0JlBYAU</t>
  </si>
  <si>
    <t>2026 - REN - Apple</t>
  </si>
  <si>
    <t>006VH00000aaazgYAA</t>
  </si>
  <si>
    <t>2026 - REN - Google (Marketing)</t>
  </si>
  <si>
    <t>006VH00000KzvXKYAZ</t>
  </si>
  <si>
    <t>2025 - REN - Google (Marketing)</t>
  </si>
  <si>
    <t>006VH00000YM2cHYAT</t>
  </si>
  <si>
    <t>2026 - REN - American Express (Merchant)</t>
  </si>
  <si>
    <t>006VH00000gKfYMYA0</t>
  </si>
  <si>
    <t>2026 - REN - PepsiCo</t>
  </si>
  <si>
    <t>006VH00000RxwRpYAJ</t>
  </si>
  <si>
    <t>2025 - REN - PepsiCo</t>
  </si>
  <si>
    <t>006VH00000auem1YAA</t>
  </si>
  <si>
    <t>2026 - REN - Parallel Path</t>
  </si>
  <si>
    <t>006VH000002u6HiYAI</t>
  </si>
  <si>
    <t>2025 - REN - Lloyds Bank</t>
  </si>
  <si>
    <t>006VH00000a43tqYAA</t>
  </si>
  <si>
    <t>2026 - REN - Tesco Bank</t>
  </si>
  <si>
    <t>006VH00000fhHArYAM</t>
  </si>
  <si>
    <t>2026 - REN - Croud</t>
  </si>
  <si>
    <t>0066T00001DO7GpQAL</t>
  </si>
  <si>
    <t>2025 - REN - SolarWinds</t>
  </si>
  <si>
    <t>0066T00001ACEX0QAP</t>
  </si>
  <si>
    <t>2025 - REN - Owens Corning</t>
  </si>
  <si>
    <t>006VH00000aapX8YAI</t>
  </si>
  <si>
    <t>2026 - REN - Reckitt</t>
  </si>
  <si>
    <t>006VH00000HzvyuYAB</t>
  </si>
  <si>
    <t>2025 - REN - Reckitt</t>
  </si>
  <si>
    <t>006VH00000HgUZNYA3</t>
  </si>
  <si>
    <t>2025 - REN - DMPG</t>
  </si>
  <si>
    <t>006VH00000acOMPYA2</t>
  </si>
  <si>
    <t>2026 - REN - Accenture - Stategy &amp; Consulting</t>
  </si>
  <si>
    <t>006VH00000Lf93FYAR</t>
  </si>
  <si>
    <t>2025 - REN - Caesars Entertainment</t>
  </si>
  <si>
    <t>006VH00000ISTKrYAP</t>
  </si>
  <si>
    <t>2025 - REN - Sky UK</t>
  </si>
  <si>
    <t>006VH00000ZbvcfYAB</t>
  </si>
  <si>
    <t>2026 - REN - WarnerMedia Services</t>
  </si>
  <si>
    <t>006VH00000XPJFlYAP</t>
  </si>
  <si>
    <t>2026 - REN - Intuit</t>
  </si>
  <si>
    <t>006VH00000XNWgvYAH</t>
  </si>
  <si>
    <t>2026 - REN - Lufthansa</t>
  </si>
  <si>
    <t>006VH00000jN4p1YAC</t>
  </si>
  <si>
    <t>2027 - REN - Geonetric</t>
  </si>
  <si>
    <t>006VH00000dNtwbYAC</t>
  </si>
  <si>
    <t>2026 - REN - McDonald's</t>
  </si>
  <si>
    <t>006VH00000ZsO61YAF</t>
  </si>
  <si>
    <t>2028 - REN - The Sun</t>
  </si>
  <si>
    <t>006VH00000bjBBhYAM</t>
  </si>
  <si>
    <t>2026 - REN - Diamond Website Conversion</t>
  </si>
  <si>
    <t>006VH00000ZPyT5YAL</t>
  </si>
  <si>
    <t>2026 - REN - Springer Nature</t>
  </si>
  <si>
    <t>0066T00001BAEwSQAX</t>
  </si>
  <si>
    <t>2024 - REN - RingCentral</t>
  </si>
  <si>
    <t>006VH000007aNmtYAE</t>
  </si>
  <si>
    <t>2025 - REN - RingCentral</t>
  </si>
  <si>
    <t>006VH00000atMJKYA2</t>
  </si>
  <si>
    <t>2026 - REN - AuditBoard Inc.</t>
  </si>
  <si>
    <t>006VH00000Ysu1hYAB</t>
  </si>
  <si>
    <t>2026 - REN - Third and Grove</t>
  </si>
  <si>
    <t>006VH00000TpppOYAR</t>
  </si>
  <si>
    <t>006VH00000csnqgYAA</t>
  </si>
  <si>
    <t>2027 - REN - Cloudera</t>
  </si>
  <si>
    <t>006VH00000WKt9EYAT</t>
  </si>
  <si>
    <t>Auto_Renewal__c</t>
  </si>
  <si>
    <t>next_renewal_opportunity_id</t>
  </si>
  <si>
    <t>0016T00002rVOvnQAG</t>
  </si>
  <si>
    <t>Zahlen Solutions</t>
  </si>
  <si>
    <t>0010W00002cBeLdQAK</t>
  </si>
  <si>
    <t>Inspire Brands</t>
  </si>
  <si>
    <t>0010W00002CiZRtQAN</t>
  </si>
  <si>
    <t>New York University</t>
  </si>
  <si>
    <t>0010W00002diNNfQAM</t>
  </si>
  <si>
    <t>Drumline</t>
  </si>
  <si>
    <t>0010W00002dxOmFQAU</t>
  </si>
  <si>
    <t>University of New South Wales</t>
  </si>
  <si>
    <t>0010W00002dxPkqQAE</t>
  </si>
  <si>
    <t>Softcat PLC</t>
  </si>
  <si>
    <t>0010W00002dxPyQQAU</t>
  </si>
  <si>
    <t>Kiewit</t>
  </si>
  <si>
    <t>0010W00002dxQcmQAE</t>
  </si>
  <si>
    <t>Penumbra</t>
  </si>
  <si>
    <t>0010W00002dxQNGQA2</t>
  </si>
  <si>
    <t>Moncler SpA</t>
  </si>
  <si>
    <t>0010W00002dxQr5QAE</t>
  </si>
  <si>
    <t>Brittany Ferries</t>
  </si>
  <si>
    <t>0010W00002dxQUdQAM</t>
  </si>
  <si>
    <t>Frontdoor</t>
  </si>
  <si>
    <t>0010W00002dxQx1QAE</t>
  </si>
  <si>
    <t>Deutsche Bahn</t>
  </si>
  <si>
    <t>0010W00002dxRaHQAU</t>
  </si>
  <si>
    <t>Sky Group Limited</t>
  </si>
  <si>
    <t>0010W00002dxRfnQAE</t>
  </si>
  <si>
    <t>JVCKENWOOD</t>
  </si>
  <si>
    <t>0010W00002dxRxIQAU</t>
  </si>
  <si>
    <t>Swisscom</t>
  </si>
  <si>
    <t>0010W00002dxSBLQA2</t>
  </si>
  <si>
    <t>Bain &amp; Company</t>
  </si>
  <si>
    <t>0010W00002dxSf7QAE</t>
  </si>
  <si>
    <t>Brunello Cucinelli</t>
  </si>
  <si>
    <t>0010W00002dxSGSQA2</t>
  </si>
  <si>
    <t>Banco BPI</t>
  </si>
  <si>
    <t>0010W00002dxTMPQA2</t>
  </si>
  <si>
    <t>Brisa - Auto-Estradas de Portugal</t>
  </si>
  <si>
    <t>0010W00002dxTO4QAM</t>
  </si>
  <si>
    <t>0010W00002FHrNrQAL</t>
  </si>
  <si>
    <t>Indegene</t>
  </si>
  <si>
    <t>0010W00002FIYx5QAH</t>
  </si>
  <si>
    <t>Legal &amp; General</t>
  </si>
  <si>
    <t>0010W00002gEqN1QAK</t>
  </si>
  <si>
    <t>DMPG</t>
  </si>
  <si>
    <t>0010W00002HaKncQAF</t>
  </si>
  <si>
    <t>European Union</t>
  </si>
  <si>
    <t>0010W00002L08pJQAR</t>
  </si>
  <si>
    <t>Pure Storage</t>
  </si>
  <si>
    <t>0010W00002Mx4NUQAZ</t>
  </si>
  <si>
    <t>Novartis</t>
  </si>
  <si>
    <t>0010W00002MyvWcQAJ</t>
  </si>
  <si>
    <t>Endress+Hauser AG</t>
  </si>
  <si>
    <t>0010W00002OJ30cQAD</t>
  </si>
  <si>
    <t>Springer Nature</t>
  </si>
  <si>
    <t>0010W00002OzRcnQAF</t>
  </si>
  <si>
    <t>Okta</t>
  </si>
  <si>
    <t>0010W00002OzRdlQAF</t>
  </si>
  <si>
    <t>Barclays (UK Division)</t>
  </si>
  <si>
    <t>0010W00002OzRgfQAF</t>
  </si>
  <si>
    <t>Walgreens Boots Alliance</t>
  </si>
  <si>
    <t>0010W00002OzRiRQAV</t>
  </si>
  <si>
    <t>Ricoh</t>
  </si>
  <si>
    <t>0010W00002OzRsvQAF</t>
  </si>
  <si>
    <t>Mazda Motor Corporation</t>
  </si>
  <si>
    <t>0010W00002Pl4DtQAJ</t>
  </si>
  <si>
    <t>Rubrik</t>
  </si>
  <si>
    <t>0010W00002QIfUXQA1</t>
  </si>
  <si>
    <t>Hugo Boss</t>
  </si>
  <si>
    <t>0010W00002RgwSQQAZ</t>
  </si>
  <si>
    <t>Exture Technology, Inc.</t>
  </si>
  <si>
    <t>0010W00002RhS2nQAF</t>
  </si>
  <si>
    <t>Transparent Partners</t>
  </si>
  <si>
    <t>0010W00002TgpdrQAB</t>
  </si>
  <si>
    <t>British American Tobacco</t>
  </si>
  <si>
    <t>0010W00002UrzeyQAB</t>
  </si>
  <si>
    <t>0010W00002VpN2bQAF</t>
  </si>
  <si>
    <t>Klick</t>
  </si>
  <si>
    <t>0010W00002Vwn2uQAB</t>
  </si>
  <si>
    <t>Tv2/Danmark</t>
  </si>
  <si>
    <t>0010W00002VwnJfQAJ</t>
  </si>
  <si>
    <t>Conrad Electronic International GmbH and Co KG</t>
  </si>
  <si>
    <t>0010W00002VytlpQAB</t>
  </si>
  <si>
    <t>Merck KGaA</t>
  </si>
  <si>
    <t>0010W00002YBpoZQAT</t>
  </si>
  <si>
    <t>Analytics Intelligence</t>
  </si>
  <si>
    <t>0010W00002YBv1sQAD</t>
  </si>
  <si>
    <t>CUF, S.A.</t>
  </si>
  <si>
    <t>0010W00002YCJDeQAP</t>
  </si>
  <si>
    <t>E-CENS</t>
  </si>
  <si>
    <t>0010W00002YCWggQAH</t>
  </si>
  <si>
    <t>Discovery Ltd</t>
  </si>
  <si>
    <t>0010W00002ZJLgdQAH</t>
  </si>
  <si>
    <t>The Standard</t>
  </si>
  <si>
    <t>0010W00002ZTGWoQAP</t>
  </si>
  <si>
    <t>Truist</t>
  </si>
  <si>
    <t>0016T00002jkwx0QAA</t>
  </si>
  <si>
    <t>Loop Horizon</t>
  </si>
  <si>
    <t>0016T00002jmmtYQAQ</t>
  </si>
  <si>
    <t>Staysure Ltd.</t>
  </si>
  <si>
    <t>0016T00002lBRENQA4</t>
  </si>
  <si>
    <t>Roots Analytics</t>
  </si>
  <si>
    <t>0016T00002lDCrqQAG</t>
  </si>
  <si>
    <t>Civic Data</t>
  </si>
  <si>
    <t>0016T00002lvc6GQAQ</t>
  </si>
  <si>
    <t>Hopkins</t>
  </si>
  <si>
    <t>0016T00002lvu9dQAA</t>
  </si>
  <si>
    <t>ICAEW</t>
  </si>
  <si>
    <t>0016T00002mODFlQAO</t>
  </si>
  <si>
    <t>Pollard Banknote</t>
  </si>
  <si>
    <t>0016T00002mOP9yQAG</t>
  </si>
  <si>
    <t>Together Financial Services</t>
  </si>
  <si>
    <t>0016T00002mzfDuQAI</t>
  </si>
  <si>
    <t>NP Digital</t>
  </si>
  <si>
    <t>0016T00002n1FuOQAU</t>
  </si>
  <si>
    <t>Malwarebytes Inc.</t>
  </si>
  <si>
    <t>0016T00002quWSsQAM</t>
  </si>
  <si>
    <t>Hike &amp; Foxter</t>
  </si>
  <si>
    <t>0016T000030mDHZQA2</t>
  </si>
  <si>
    <t>Berkeley Research Group</t>
  </si>
  <si>
    <t>0016T000030nJr7QAE</t>
  </si>
  <si>
    <t>Solvation</t>
  </si>
  <si>
    <t>0016T000031siTrQAI</t>
  </si>
  <si>
    <t>Aktion Mensch</t>
  </si>
  <si>
    <t>0016T000031tHvhQAE</t>
  </si>
  <si>
    <t>AuditBoard Inc.</t>
  </si>
  <si>
    <t>0016T000034EAQOQA4</t>
  </si>
  <si>
    <t>Money and Pensions Service</t>
  </si>
  <si>
    <t>0016T000034gmmAQAQ</t>
  </si>
  <si>
    <t>Lerma</t>
  </si>
  <si>
    <t>0016T000034SPyVQAW</t>
  </si>
  <si>
    <t>Latchmill</t>
  </si>
  <si>
    <t>0016T000035ZtXyQAK</t>
  </si>
  <si>
    <t>Kaizen Gaming</t>
  </si>
  <si>
    <t>0016T0000370hJ1QAI</t>
  </si>
  <si>
    <t>Prophet</t>
  </si>
  <si>
    <t>0016T000037Fr6TQAS</t>
  </si>
  <si>
    <t>VertoDigital</t>
  </si>
  <si>
    <t>0016T000037UTrpQAG</t>
  </si>
  <si>
    <t>Tulos</t>
  </si>
  <si>
    <t>0016T000038DSg6QAG</t>
  </si>
  <si>
    <t>Chartis</t>
  </si>
  <si>
    <t>001d000000vhmucAAA</t>
  </si>
  <si>
    <t>Trakken</t>
  </si>
  <si>
    <t>001d000000VO7iMAAT</t>
  </si>
  <si>
    <t>Target</t>
  </si>
  <si>
    <t>001d000000VOc86AAD</t>
  </si>
  <si>
    <t>The Church of Jesus Christ of Latter-day Saints</t>
  </si>
  <si>
    <t>001d000000VOLPRAA5</t>
  </si>
  <si>
    <t>BitBang</t>
  </si>
  <si>
    <t>001d000000VOQibAAH</t>
  </si>
  <si>
    <t>iDimension</t>
  </si>
  <si>
    <t>001d000000W5avlAAB</t>
  </si>
  <si>
    <t>Harley-Davidson Inc.</t>
  </si>
  <si>
    <t>001d000000W6ISjAAN</t>
  </si>
  <si>
    <t>Volkswagen</t>
  </si>
  <si>
    <t>001d000000XnXbcAAF</t>
  </si>
  <si>
    <t>Optimal Ways</t>
  </si>
  <si>
    <t>001d00000105PplAAE</t>
  </si>
  <si>
    <t>Saxo Bank</t>
  </si>
  <si>
    <t>001d000001aSHgOAAW</t>
  </si>
  <si>
    <t>Alliance for Audited Media</t>
  </si>
  <si>
    <t>001d000001dKAOzAAO</t>
  </si>
  <si>
    <t>PNC</t>
  </si>
  <si>
    <t>001d000001dLn7JAAS</t>
  </si>
  <si>
    <t>Healthgrades</t>
  </si>
  <si>
    <t>001d000001dMZ1nAAG</t>
  </si>
  <si>
    <t>Deloitte</t>
  </si>
  <si>
    <t>001d000001eAbd9AAC</t>
  </si>
  <si>
    <t>Mars</t>
  </si>
  <si>
    <t>001d000001eAQacAAG</t>
  </si>
  <si>
    <t>Southwest Airlines</t>
  </si>
  <si>
    <t>001d000001ezcwzAAA</t>
  </si>
  <si>
    <t>Canadian Tire Corporation</t>
  </si>
  <si>
    <t>001d000001eziBmAAI</t>
  </si>
  <si>
    <t>PetSmart</t>
  </si>
  <si>
    <t>001d000001ezk5tAAA</t>
  </si>
  <si>
    <t>Sherwin-Williams</t>
  </si>
  <si>
    <t>001d000001ezp64AAA</t>
  </si>
  <si>
    <t>ULTA</t>
  </si>
  <si>
    <t>001d000001ezRezAAE</t>
  </si>
  <si>
    <t>Kingfisher</t>
  </si>
  <si>
    <t>001d000001ezRF3AAM</t>
  </si>
  <si>
    <t>H E B</t>
  </si>
  <si>
    <t>001d000001ezRkOAAU</t>
  </si>
  <si>
    <t>Marks and Spencer</t>
  </si>
  <si>
    <t>001d000001ezRksAAE</t>
  </si>
  <si>
    <t>Currys PC World</t>
  </si>
  <si>
    <t>001d000001f0QvMAAU</t>
  </si>
  <si>
    <t>Vodafone Group</t>
  </si>
  <si>
    <t>001d000001fiz8gAAA</t>
  </si>
  <si>
    <t>Avon</t>
  </si>
  <si>
    <t>001d000001fj7YtAAI</t>
  </si>
  <si>
    <t>Under Armour</t>
  </si>
  <si>
    <t>001d000001fj8i1AAA</t>
  </si>
  <si>
    <t>Signet Jewelers</t>
  </si>
  <si>
    <t>001d000001fj9BuAAI</t>
  </si>
  <si>
    <t>001d000001fjMCuAAM</t>
  </si>
  <si>
    <t>Carhartt</t>
  </si>
  <si>
    <t>001d000001fjMD9AAM</t>
  </si>
  <si>
    <t>The Scotts Co. LLC</t>
  </si>
  <si>
    <t>001d000001FmM0rAAF</t>
  </si>
  <si>
    <t>Texas Instruments</t>
  </si>
  <si>
    <t>001d000001gO0rjAAC</t>
  </si>
  <si>
    <t>M&amp;T Bank</t>
  </si>
  <si>
    <t>001d000001gPBaDAAW</t>
  </si>
  <si>
    <t>Room &amp; Board</t>
  </si>
  <si>
    <t>001d000001gPzWxAAK</t>
  </si>
  <si>
    <t>Mastercard</t>
  </si>
  <si>
    <t>001d000001gQ0DSAA0</t>
  </si>
  <si>
    <t>PGA TOUR</t>
  </si>
  <si>
    <t>001d000001gQEqUAAW</t>
  </si>
  <si>
    <t>Selfridges &amp; Co.</t>
  </si>
  <si>
    <t>001d000001gQH3fAAG</t>
  </si>
  <si>
    <t>Mary Kay</t>
  </si>
  <si>
    <t>001d000001gQXw6AAG</t>
  </si>
  <si>
    <t>Financial Times</t>
  </si>
  <si>
    <t>001d000001gQZo2AAG</t>
  </si>
  <si>
    <t>Discover Financial Services</t>
  </si>
  <si>
    <t>001d000001gyl5WAAQ</t>
  </si>
  <si>
    <t>Mayo Clinic</t>
  </si>
  <si>
    <t>001d000001gyl8VAAQ</t>
  </si>
  <si>
    <t>Goldman Sachs</t>
  </si>
  <si>
    <t>001d000001gyrE9AAI</t>
  </si>
  <si>
    <t>Workday</t>
  </si>
  <si>
    <t>001d000001gyrjcAAA</t>
  </si>
  <si>
    <t>UBS</t>
  </si>
  <si>
    <t>001d000001gywGSAAY</t>
  </si>
  <si>
    <t>Thermo Fisher Scientific</t>
  </si>
  <si>
    <t>001d000001gz7TGAAY</t>
  </si>
  <si>
    <t>Ally</t>
  </si>
  <si>
    <t>001d000001gzb3OAAQ</t>
  </si>
  <si>
    <t>AstraZeneca</t>
  </si>
  <si>
    <t>001d000001gzYmpAAE</t>
  </si>
  <si>
    <t>Verisk Analytics</t>
  </si>
  <si>
    <t>001d000001gzYnJAAU</t>
  </si>
  <si>
    <t>Bristol-Myers Squibb</t>
  </si>
  <si>
    <t>001d000001gzYwuAAE</t>
  </si>
  <si>
    <t>JPMorgan Chase</t>
  </si>
  <si>
    <t>001d000001h1fCyAAI</t>
  </si>
  <si>
    <t>BMO Bank of Montreal</t>
  </si>
  <si>
    <t>001d000001h1j1fAAA</t>
  </si>
  <si>
    <t>Accenture</t>
  </si>
  <si>
    <t>001d000001h1YQ6AAM</t>
  </si>
  <si>
    <t>William Hill</t>
  </si>
  <si>
    <t>001d000001h2BWjAAM</t>
  </si>
  <si>
    <t>RBC</t>
  </si>
  <si>
    <t>001d000001h2JsUAAU</t>
  </si>
  <si>
    <t>Kohler</t>
  </si>
  <si>
    <t>001d000001hS0BGAA0</t>
  </si>
  <si>
    <t>Roche</t>
  </si>
  <si>
    <t>001d000001hS85fAAC</t>
  </si>
  <si>
    <t>ANZ</t>
  </si>
  <si>
    <t>001d000001hS8dSAAS</t>
  </si>
  <si>
    <t>Qualcomm</t>
  </si>
  <si>
    <t>001d000001hSdntAAC</t>
  </si>
  <si>
    <t>Navy Federal Credit Union</t>
  </si>
  <si>
    <t>001d000001hSh4fAAC</t>
  </si>
  <si>
    <t>Avis Budget Group</t>
  </si>
  <si>
    <t>001d000001hSKVVAA4</t>
  </si>
  <si>
    <t>Invesco</t>
  </si>
  <si>
    <t>001d000001hUc1BAAS</t>
  </si>
  <si>
    <t>Alcon</t>
  </si>
  <si>
    <t>001d000001hV12yAAC</t>
  </si>
  <si>
    <t>Travelers</t>
  </si>
  <si>
    <t>001d000001hVdPVAA0</t>
  </si>
  <si>
    <t>SBS</t>
  </si>
  <si>
    <t>001d000001hVEBdAAO</t>
  </si>
  <si>
    <t>Norwegian Cruise Line</t>
  </si>
  <si>
    <t>001d000001hVEw9AAG</t>
  </si>
  <si>
    <t>Perficient</t>
  </si>
  <si>
    <t>001d000001hVeY4AAK</t>
  </si>
  <si>
    <t>AutoNation</t>
  </si>
  <si>
    <t>001d000001hVFfdAAG</t>
  </si>
  <si>
    <t>Citadel Federal Credit Union</t>
  </si>
  <si>
    <t>001d000001hVnNnAAK</t>
  </si>
  <si>
    <t>Frontier Communications</t>
  </si>
  <si>
    <t>001d000001hVYsPAAW</t>
  </si>
  <si>
    <t>Novo Nordisk</t>
  </si>
  <si>
    <t>001d000001hW3i9AAC</t>
  </si>
  <si>
    <t>001d000001hW4ZqAAK</t>
  </si>
  <si>
    <t>PepsiCo</t>
  </si>
  <si>
    <t>001d000001i8blnAAA</t>
  </si>
  <si>
    <t>Centene</t>
  </si>
  <si>
    <t>001d000001i8XFyAAM</t>
  </si>
  <si>
    <t>Motorola Solutions</t>
  </si>
  <si>
    <t>Stanford Health Care</t>
  </si>
  <si>
    <t>001d000001i9vL3AAI</t>
  </si>
  <si>
    <t>PBS</t>
  </si>
  <si>
    <t>001d000001iAAszAAG</t>
  </si>
  <si>
    <t>CIBC</t>
  </si>
  <si>
    <t>001d000001iAHXzAAO</t>
  </si>
  <si>
    <t>Western Governors University</t>
  </si>
  <si>
    <t>001d000001ikmKuAAI</t>
  </si>
  <si>
    <t>RCS MediaGroup</t>
  </si>
  <si>
    <t>001d000001ikoYyAAI</t>
  </si>
  <si>
    <t>Ferguson</t>
  </si>
  <si>
    <t>001d000001ikpedAAA</t>
  </si>
  <si>
    <t>The Salvation Army International</t>
  </si>
  <si>
    <t>001d000001ikzE3AAI</t>
  </si>
  <si>
    <t>Synchrony Bank</t>
  </si>
  <si>
    <t>001d000001iljYrAAI</t>
  </si>
  <si>
    <t>Cloudera</t>
  </si>
  <si>
    <t>001d000001IYGjgAAH</t>
  </si>
  <si>
    <t>TIAA</t>
  </si>
  <si>
    <t>001d000001je1qLAAQ</t>
  </si>
  <si>
    <t>ALDI Süd</t>
  </si>
  <si>
    <t>001d000001jeVvNAAU</t>
  </si>
  <si>
    <t>Booking.com</t>
  </si>
  <si>
    <t>001d000001kBTbiAAG</t>
  </si>
  <si>
    <t>Charter Communications</t>
  </si>
  <si>
    <t>001d000001l9FWMAA2</t>
  </si>
  <si>
    <t>Viking Cruises</t>
  </si>
  <si>
    <t>ST</t>
  </si>
  <si>
    <t>001d000001lsJGaAAM</t>
  </si>
  <si>
    <t>Astellas Pharma</t>
  </si>
  <si>
    <t>001d000001mk3RAAAY</t>
  </si>
  <si>
    <t>SolarWinds</t>
  </si>
  <si>
    <t>001d000001mk4jKAAQ</t>
  </si>
  <si>
    <t>Dow</t>
  </si>
  <si>
    <t>001d000001mk4ZLAAY</t>
  </si>
  <si>
    <t>Mattress Firm</t>
  </si>
  <si>
    <t>001d000001mmtWRAAY</t>
  </si>
  <si>
    <t>TE Connectivity</t>
  </si>
  <si>
    <t>001d000001noLxfAAE</t>
  </si>
  <si>
    <t>Eli Lilly</t>
  </si>
  <si>
    <t>001d000001npvMlAAI</t>
  </si>
  <si>
    <t>Softcrylic</t>
  </si>
  <si>
    <t>001d000001npWDXAA2</t>
  </si>
  <si>
    <t>Mutual of Omaha</t>
  </si>
  <si>
    <t>Blue Cross &amp; Blue Shield of North Carolina</t>
  </si>
  <si>
    <t>001d000001pPY3CAAW</t>
  </si>
  <si>
    <t>Direct Line Group</t>
  </si>
  <si>
    <t>001d000001pPYPsAAO</t>
  </si>
  <si>
    <t>HSBC</t>
  </si>
  <si>
    <t>001d000001pQafEAAS</t>
  </si>
  <si>
    <t>Robert Half International</t>
  </si>
  <si>
    <t>001d000001Qad7AAAR</t>
  </si>
  <si>
    <t>001d000001QaOm5AAF</t>
  </si>
  <si>
    <t>US Bancorp</t>
  </si>
  <si>
    <t>001d000001qslNWAAY</t>
  </si>
  <si>
    <t>001d000001qtacXAAQ</t>
  </si>
  <si>
    <t>Dassault Systèmes</t>
  </si>
  <si>
    <t>001d000001qtadqAAA</t>
  </si>
  <si>
    <t>Versace</t>
  </si>
  <si>
    <t>001d000001qtahhAAA</t>
  </si>
  <si>
    <t>SPIE</t>
  </si>
  <si>
    <t>001d000001qtahTAAQ</t>
  </si>
  <si>
    <t>Sewell Automotive</t>
  </si>
  <si>
    <t>001d000001qtIBmAAM</t>
  </si>
  <si>
    <t>Consumer Reports</t>
  </si>
  <si>
    <t>001d000001qtIFcAAM</t>
  </si>
  <si>
    <t>K12</t>
  </si>
  <si>
    <t>001d000001qtIHSAA2</t>
  </si>
  <si>
    <t>Nasdaq</t>
  </si>
  <si>
    <t>001d000001qtILeAAM</t>
  </si>
  <si>
    <t>Owens Corning</t>
  </si>
  <si>
    <t>001d000001qtIN9AAM</t>
  </si>
  <si>
    <t>001d000001qtIOeAAM</t>
  </si>
  <si>
    <t>Stryker Corporation</t>
  </si>
  <si>
    <t>001d000001qtIOSAA2</t>
  </si>
  <si>
    <t>S&amp;P Global</t>
  </si>
  <si>
    <t>001d000001qtIQjAAM</t>
  </si>
  <si>
    <t>UPMC</t>
  </si>
  <si>
    <t>001d000001qtIRUAA2</t>
  </si>
  <si>
    <t>GORE</t>
  </si>
  <si>
    <t>001d000001qtMfvAAE</t>
  </si>
  <si>
    <t>FCA Group</t>
  </si>
  <si>
    <t>Bright Horizons Family Solutions Inc.</t>
  </si>
  <si>
    <t>001d000001qtMMMAA2</t>
  </si>
  <si>
    <t>Cambia Health Solutions</t>
  </si>
  <si>
    <t>001d000001qtMQMAA2</t>
  </si>
  <si>
    <t>Citizens Financial Group</t>
  </si>
  <si>
    <t>001d000001qtMymAAE</t>
  </si>
  <si>
    <t>001d000001qtN2tAAE</t>
  </si>
  <si>
    <t>Land O'Lakes</t>
  </si>
  <si>
    <t>001d000001qtN8uAAE</t>
  </si>
  <si>
    <t>McDonald's</t>
  </si>
  <si>
    <t>001d000001qtN9GAAU</t>
  </si>
  <si>
    <t>001d000001qtNbFAAU</t>
  </si>
  <si>
    <t>Securian Financial Group</t>
  </si>
  <si>
    <t>001d000001qtNF9AAM</t>
  </si>
  <si>
    <t>The National Trust</t>
  </si>
  <si>
    <t>001d000001qtNfPAAU</t>
  </si>
  <si>
    <t>Sorenson</t>
  </si>
  <si>
    <t>001d000001qtNh9AAE</t>
  </si>
  <si>
    <t>Standard Chartered</t>
  </si>
  <si>
    <t>001d000001qtNYqAAM</t>
  </si>
  <si>
    <t>Sage</t>
  </si>
  <si>
    <t>001d000001qtO0GAAU</t>
  </si>
  <si>
    <t>State of Utah</t>
  </si>
  <si>
    <t>001d000001qtO8LAAU</t>
  </si>
  <si>
    <t>Zions Bancorporation</t>
  </si>
  <si>
    <t>001d000001qtOxXAAU</t>
  </si>
  <si>
    <t>Puma</t>
  </si>
  <si>
    <t>001d000001qtP8fAAE</t>
  </si>
  <si>
    <t>001d000001qtP8jAAE</t>
  </si>
  <si>
    <t>Sub-Zero, Wolf, &amp; Cove</t>
  </si>
  <si>
    <t>001d000001QZVqaAAH</t>
  </si>
  <si>
    <t>Sallie Mae</t>
  </si>
  <si>
    <t>001d000001RczW1AAJ</t>
  </si>
  <si>
    <t>RELX Group</t>
  </si>
  <si>
    <t>001d000001RdPBTAA3</t>
  </si>
  <si>
    <t>NBCUniversal</t>
  </si>
  <si>
    <t>001d000001RdQ9FAAV</t>
  </si>
  <si>
    <t>Apple</t>
  </si>
  <si>
    <t>001d000001RdR33AAF</t>
  </si>
  <si>
    <t>Microsoft</t>
  </si>
  <si>
    <t>001d000001RdT1hAAF</t>
  </si>
  <si>
    <t>Hewlett Packard Enterprise</t>
  </si>
  <si>
    <t>001d000001RdTG3AAN</t>
  </si>
  <si>
    <t>Intuit</t>
  </si>
  <si>
    <t>001d000001RdTLhAAN</t>
  </si>
  <si>
    <t>Grainger</t>
  </si>
  <si>
    <t>001d000001RdTV8AAN</t>
  </si>
  <si>
    <t>Macy's</t>
  </si>
  <si>
    <t>001d000001RdTYMAA3</t>
  </si>
  <si>
    <t>Gap</t>
  </si>
  <si>
    <t>001d000001RdU2gAAF</t>
  </si>
  <si>
    <t>Verizon</t>
  </si>
  <si>
    <t>001d000001RemPSAAZ</t>
  </si>
  <si>
    <t>Shutterfly</t>
  </si>
  <si>
    <t>001d000001RemRSAAZ</t>
  </si>
  <si>
    <t>Salesforce</t>
  </si>
  <si>
    <t>001d000001RemTNAAZ</t>
  </si>
  <si>
    <t>American Express</t>
  </si>
  <si>
    <t>001d000001ReohoAAB</t>
  </si>
  <si>
    <t>Honda Motor Company</t>
  </si>
  <si>
    <t>001d000001ReoYNAAZ</t>
  </si>
  <si>
    <t>GEICO</t>
  </si>
  <si>
    <t>001d000001rfjZCAAY</t>
  </si>
  <si>
    <t>Chubb</t>
  </si>
  <si>
    <t>001d000001rfvy8AAA</t>
  </si>
  <si>
    <t>Recruit</t>
  </si>
  <si>
    <t>001d000001rgTbzAAE</t>
  </si>
  <si>
    <t>Adobe</t>
  </si>
  <si>
    <t>001d000001rhMlyAAE</t>
  </si>
  <si>
    <t>Zenni Optical</t>
  </si>
  <si>
    <t>001d000001SO2D7AAL</t>
  </si>
  <si>
    <t>UnitedHealth Group</t>
  </si>
  <si>
    <t>001d000001SO2EyAAL</t>
  </si>
  <si>
    <t>Whirlpool</t>
  </si>
  <si>
    <t>001d000001SO2igAAD</t>
  </si>
  <si>
    <t>Deluxe</t>
  </si>
  <si>
    <t>001d000001SO2JUAA1</t>
  </si>
  <si>
    <t>The Hartford</t>
  </si>
  <si>
    <t>001d000001tOikuAAC</t>
  </si>
  <si>
    <t>Dell Technologies Inc.</t>
  </si>
  <si>
    <t>001d000001TPxu1AAD</t>
  </si>
  <si>
    <t>MSC Industrial Supply</t>
  </si>
  <si>
    <t>001d000001TQZ6yAAH</t>
  </si>
  <si>
    <t>Marriott</t>
  </si>
  <si>
    <t>001d000001TsTmnAAF</t>
  </si>
  <si>
    <t>Capital One Financial</t>
  </si>
  <si>
    <t>001d000001u534eAAA</t>
  </si>
  <si>
    <t>SAP</t>
  </si>
  <si>
    <t>001d000001uofWIAAY</t>
  </si>
  <si>
    <t>Shiseido 2</t>
  </si>
  <si>
    <t>001d000001VcaBmAAJ</t>
  </si>
  <si>
    <t>New York Life Insurance</t>
  </si>
  <si>
    <t>001d000001VdOD4AAN</t>
  </si>
  <si>
    <t>The Sun</t>
  </si>
  <si>
    <t>001d000001wNH0NAAW</t>
  </si>
  <si>
    <t>HP Inc</t>
  </si>
  <si>
    <t>001d000001xQAnqAAG</t>
  </si>
  <si>
    <t>Broadridge</t>
  </si>
  <si>
    <t>001d000001yKegKAAS</t>
  </si>
  <si>
    <t>Croud</t>
  </si>
  <si>
    <t>001d000001yKer2AAC</t>
  </si>
  <si>
    <t>OMD</t>
  </si>
  <si>
    <t>001d000001Yq4yIAAR</t>
  </si>
  <si>
    <t>Charles Schwab</t>
  </si>
  <si>
    <t>001d000001zaZcpAAE</t>
  </si>
  <si>
    <t>Providence Health &amp; Services</t>
  </si>
  <si>
    <t>001d000001zb04GAAQ</t>
  </si>
  <si>
    <t>Fiserv</t>
  </si>
  <si>
    <t>001d000001ze83KAAQ</t>
  </si>
  <si>
    <t>Four Seasons Hotels</t>
  </si>
  <si>
    <t>001d000001ZwPfKAAV</t>
  </si>
  <si>
    <t>VF Corporation</t>
  </si>
  <si>
    <t>001d0000020jGPkAAM</t>
  </si>
  <si>
    <t>Wellpoint</t>
  </si>
  <si>
    <t>001d00000247756AAA</t>
  </si>
  <si>
    <t>Henkel</t>
  </si>
  <si>
    <t>001d0000024k0ScAAI</t>
  </si>
  <si>
    <t>Reckitt</t>
  </si>
  <si>
    <t>001d0000025QLNJAA4</t>
  </si>
  <si>
    <t>Genuine Parts Co.</t>
  </si>
  <si>
    <t>001d0000027WiOlAAK</t>
  </si>
  <si>
    <t>Newfold Digital</t>
  </si>
  <si>
    <t>001VH000001Dn5aYAC</t>
  </si>
  <si>
    <t>Hotspex</t>
  </si>
  <si>
    <t>001VH000001edtRYAQ</t>
  </si>
  <si>
    <t>Bread Financial</t>
  </si>
  <si>
    <t>001VH000002AwT3YAK</t>
  </si>
  <si>
    <t>Axeno Consulting</t>
  </si>
  <si>
    <t>001VH00000386CzYAI</t>
  </si>
  <si>
    <t>Kellanova</t>
  </si>
  <si>
    <t>001VH00000b2I6nYAE</t>
  </si>
  <si>
    <t>Parallel Path</t>
  </si>
  <si>
    <t>001VH00000BMd1MYAT</t>
  </si>
  <si>
    <t>TDECU</t>
  </si>
  <si>
    <t>001VH00000btL8MYAU</t>
  </si>
  <si>
    <t>NetNut</t>
  </si>
  <si>
    <t>001VH00000DilOmYAJ</t>
  </si>
  <si>
    <t>Holafly</t>
  </si>
  <si>
    <t>001VH00000Dln4IYAR</t>
  </si>
  <si>
    <t>Vital Farms</t>
  </si>
  <si>
    <t>001VH00000F8cNiYAJ</t>
  </si>
  <si>
    <t>Wheelhouse Digital Marketing Group</t>
  </si>
  <si>
    <t>001VH00000fbNkTYAU</t>
  </si>
  <si>
    <t>Diamond Website Conversion</t>
  </si>
  <si>
    <t>001VH00000g98hPYAQ</t>
  </si>
  <si>
    <t>LA Jolla Beach and Tennis Club</t>
  </si>
  <si>
    <t>001VH00000GiK5MYAV</t>
  </si>
  <si>
    <t>Hookflash Analytics Limited</t>
  </si>
  <si>
    <t>001VH00000jcCUXYA2</t>
  </si>
  <si>
    <t>Sapient Daisy</t>
  </si>
  <si>
    <t>001VH00000kcYqzYAE</t>
  </si>
  <si>
    <t>001VH00000lmbi9YAA</t>
  </si>
  <si>
    <t>Green Arrow Consultancy</t>
  </si>
  <si>
    <t>001VH00000lVWBqYAO</t>
  </si>
  <si>
    <t>Cvrx</t>
  </si>
  <si>
    <t>001VH00000NXVJQYA5</t>
  </si>
  <si>
    <t>Kaufland E-Commerce</t>
  </si>
  <si>
    <t>001VH00000ONly7YAD</t>
  </si>
  <si>
    <t>Advocate Health</t>
  </si>
  <si>
    <t>001VH00000otxfNYAQ</t>
  </si>
  <si>
    <t>Strategic 7</t>
  </si>
  <si>
    <t>001VH00000QYZMEYA5</t>
  </si>
  <si>
    <t>Big Orange Lab</t>
  </si>
  <si>
    <t>001VH00000T67qxYAB</t>
  </si>
  <si>
    <t>Volvo Car</t>
  </si>
  <si>
    <t>001VH00000UGWNeYAP</t>
  </si>
  <si>
    <t>UniSalute Spa</t>
  </si>
  <si>
    <t>001VH00000WYFs0YAH</t>
  </si>
  <si>
    <t>Third and Grove</t>
  </si>
  <si>
    <t>0010W00002QJVd6QAH</t>
  </si>
  <si>
    <t>Adobe (Federal)</t>
  </si>
  <si>
    <t>001d000001gOUjTAAW</t>
  </si>
  <si>
    <t>Disneyland &amp; Disney Resort</t>
  </si>
  <si>
    <t>0010W00002dxRfjQAE</t>
  </si>
  <si>
    <t>BDO USA LLP</t>
  </si>
  <si>
    <t>0010W00002dxShlQAE</t>
  </si>
  <si>
    <t>Hard Rock Cafe</t>
  </si>
  <si>
    <t>0010W00002dxTOiQAM</t>
  </si>
  <si>
    <t>Otsuka</t>
  </si>
  <si>
    <t>0010W00002f3EAzQAM</t>
  </si>
  <si>
    <t>Mercedes-Benz AG</t>
  </si>
  <si>
    <t>0010W00002L1onRQAR</t>
  </si>
  <si>
    <t>Elanco</t>
  </si>
  <si>
    <t>0010W00002MypIbQAJ</t>
  </si>
  <si>
    <t>The Walt Disney Company - EMEA</t>
  </si>
  <si>
    <t>0010W00002OKh7OQAT</t>
  </si>
  <si>
    <t>Optum</t>
  </si>
  <si>
    <t>0010W00002OzRgLQAV</t>
  </si>
  <si>
    <t>Cox Automotive</t>
  </si>
  <si>
    <t>0010W00002OzSBiQAN</t>
  </si>
  <si>
    <t>Innocean</t>
  </si>
  <si>
    <t>0010W00002VzNumQAF</t>
  </si>
  <si>
    <t>United Healthcare</t>
  </si>
  <si>
    <t>0010W00002YBLKsQAP</t>
  </si>
  <si>
    <t>Wish</t>
  </si>
  <si>
    <t>0010W00002YBLLVQA5</t>
  </si>
  <si>
    <t>Corebridge Financial</t>
  </si>
  <si>
    <t>0010W00002ZuVFoQAN</t>
  </si>
  <si>
    <t>Protiviti</t>
  </si>
  <si>
    <t>0016T00002mPXyiQAG</t>
  </si>
  <si>
    <t>WarnerMedia Services</t>
  </si>
  <si>
    <t>0016T00002sln5PQAQ</t>
  </si>
  <si>
    <t>Pipedrive UK Limited</t>
  </si>
  <si>
    <t>0016T000035Z9hUQAS</t>
  </si>
  <si>
    <t>GroupM Danmark</t>
  </si>
  <si>
    <t>001d000000VOLPfAAP</t>
  </si>
  <si>
    <t>Genentech</t>
  </si>
  <si>
    <t>001d000000VOLPJAA5</t>
  </si>
  <si>
    <t>Lenovo</t>
  </si>
  <si>
    <t>001d000000VOLPmAAP</t>
  </si>
  <si>
    <t>Cardinal Path</t>
  </si>
  <si>
    <t>001d000001ezJ3bAAE</t>
  </si>
  <si>
    <t>Walgreens</t>
  </si>
  <si>
    <t>001d000001fioeBAAQ</t>
  </si>
  <si>
    <t>Tesco Bank</t>
  </si>
  <si>
    <t>001d000001gOUoYAAW</t>
  </si>
  <si>
    <t>Sam's Club</t>
  </si>
  <si>
    <t>001d000001gP5szAAC</t>
  </si>
  <si>
    <t>Cornerstone Brands</t>
  </si>
  <si>
    <t>001d000001gQEduAAG</t>
  </si>
  <si>
    <t>EPSON</t>
  </si>
  <si>
    <t>001d000001gyeK6AAI</t>
  </si>
  <si>
    <t>Sanitas Companies</t>
  </si>
  <si>
    <t>001d000001gysD8AAI</t>
  </si>
  <si>
    <t>Intouch Solutions</t>
  </si>
  <si>
    <t>001d000001hT7UgAAK</t>
  </si>
  <si>
    <t>Kia Corporation</t>
  </si>
  <si>
    <t>001d000001hTYXNAA4</t>
  </si>
  <si>
    <t>Harvard Business Review</t>
  </si>
  <si>
    <t>001d000001hULQWAA4</t>
  </si>
  <si>
    <t>Lloyds Bank</t>
  </si>
  <si>
    <t>001d000001hUnCHAA0</t>
  </si>
  <si>
    <t>Arc'Teryx</t>
  </si>
  <si>
    <t>001d000001hV493AAC</t>
  </si>
  <si>
    <t>Mouser Electronics</t>
  </si>
  <si>
    <t>001d000001hVzDKAA0</t>
  </si>
  <si>
    <t>British Airways</t>
  </si>
  <si>
    <t>001d000001i8OcbAAE</t>
  </si>
  <si>
    <t>1&amp;1 Internet</t>
  </si>
  <si>
    <t>001d000001ijufNAAQ</t>
  </si>
  <si>
    <t>Compare the Market</t>
  </si>
  <si>
    <t>001d000001iknk6AAA</t>
  </si>
  <si>
    <t>Automobile Club of Southern California</t>
  </si>
  <si>
    <t>001d000001pQXdlAAG</t>
  </si>
  <si>
    <t>Jet2.COM Ltd.</t>
  </si>
  <si>
    <t>001d000001qroSHAAY</t>
  </si>
  <si>
    <t>SevenOne Media</t>
  </si>
  <si>
    <t>001d000001qtIQJAA2</t>
  </si>
  <si>
    <t>Travel Guard</t>
  </si>
  <si>
    <t>001d000001qtMdpAAE</t>
  </si>
  <si>
    <t>ERGO Group</t>
  </si>
  <si>
    <t>001d000001qtMLcAAM</t>
  </si>
  <si>
    <t>Bwin</t>
  </si>
  <si>
    <t>001d000001qtMMdAAM</t>
  </si>
  <si>
    <t>Canon Europe</t>
  </si>
  <si>
    <t>001d000001qtOx0AAE</t>
  </si>
  <si>
    <t>FindLaw</t>
  </si>
  <si>
    <t>001d000001RdQ9ZAAV</t>
  </si>
  <si>
    <t>Google</t>
  </si>
  <si>
    <t>001d000001sa50vAAA</t>
  </si>
  <si>
    <t>Hello bank</t>
  </si>
  <si>
    <t>001d000001SQDx3AAH</t>
  </si>
  <si>
    <t>American Funds</t>
  </si>
  <si>
    <t>001d000001sZVHYAA4</t>
  </si>
  <si>
    <t>The Home Depot of Canada</t>
  </si>
  <si>
    <t>001d000001u3VEmAAM</t>
  </si>
  <si>
    <t>Lufthansa</t>
  </si>
  <si>
    <t>001d000001VcbkzAAB</t>
  </si>
  <si>
    <t>dp6</t>
  </si>
  <si>
    <t>001d000001VfKncAAF</t>
  </si>
  <si>
    <t>The Vanguard Group</t>
  </si>
  <si>
    <t>001d000001YoGDQAA3</t>
  </si>
  <si>
    <t>Neiman Marcus</t>
  </si>
  <si>
    <t>001d0000021NjZEAA0</t>
  </si>
  <si>
    <t>GM Financial</t>
  </si>
  <si>
    <t>001d00000236In7AAE</t>
  </si>
  <si>
    <t>Centers for Medicare &amp; Medicaid Services</t>
  </si>
  <si>
    <t>001d0000028pilmAAA</t>
  </si>
  <si>
    <t>Carmichael Lynch</t>
  </si>
  <si>
    <t>001VH000001zLAOYA2</t>
  </si>
  <si>
    <t>VML Map</t>
  </si>
  <si>
    <t>001VH000008jFWJYA2</t>
  </si>
  <si>
    <t>GroupM Nexus</t>
  </si>
  <si>
    <t>001VH00000BbsMeYAJ</t>
  </si>
  <si>
    <t>Bethlehem Shared Services</t>
  </si>
  <si>
    <t>001VH00000BuwWBYAZ</t>
  </si>
  <si>
    <t>CultHealth</t>
  </si>
  <si>
    <t>001VH00000gBmpNYAS</t>
  </si>
  <si>
    <t>GroupM Netherlands</t>
  </si>
  <si>
    <t>001VH00000i5yVFYAY</t>
  </si>
  <si>
    <t>Versant Media</t>
  </si>
  <si>
    <t>001VH00000il4GkYAI</t>
  </si>
  <si>
    <t>Insuramatch</t>
  </si>
  <si>
    <t>001VH00000NMqJ2YAL</t>
  </si>
  <si>
    <t>Novo Nordisk Inc.</t>
  </si>
  <si>
    <t>001VH00000P9kiCYAR</t>
  </si>
  <si>
    <t>CSA Latam</t>
  </si>
  <si>
    <t>sk-apik_01KHCM2B6MAXJ2ZF4CWBBEYAF8.68c285bd808f84b28d82c096f20df68f71e8788bc67d80ab98c9226832bfa9b8</t>
  </si>
  <si>
    <t>Email Domains</t>
  </si>
  <si>
    <t>accentgr.com.au</t>
  </si>
  <si>
    <t>agilent.com</t>
  </si>
  <si>
    <t>amica.com</t>
  </si>
  <si>
    <t>athenahealth.com</t>
  </si>
  <si>
    <t>biogen.com</t>
  </si>
  <si>
    <t>bluebeam.com</t>
  </si>
  <si>
    <t>bsci.com</t>
  </si>
  <si>
    <t>brunswick.com</t>
  </si>
  <si>
    <t>caesars.com</t>
  </si>
  <si>
    <t>caleres.com</t>
  </si>
  <si>
    <t>cdw.com</t>
  </si>
  <si>
    <t>worldmarket.com</t>
  </si>
  <si>
    <t>cotiviti.com</t>
  </si>
  <si>
    <t>crowdstrike.com</t>
  </si>
  <si>
    <t>cvshealth.com</t>
  </si>
  <si>
    <t>darden.com</t>
  </si>
  <si>
    <t>devry.edu</t>
  </si>
  <si>
    <t>commonspirit.org</t>
  </si>
  <si>
    <t>accenture.com</t>
  </si>
  <si>
    <t>setoyota.com, 22squared.com</t>
  </si>
  <si>
    <t>khov.com</t>
  </si>
  <si>
    <t>lumen.com</t>
  </si>
  <si>
    <t>mms.org</t>
  </si>
  <si>
    <t>mediacorp.com.sg</t>
  </si>
  <si>
    <t>optavia.com, contractor.optavia.com</t>
  </si>
  <si>
    <t>thinkbrg.com, merz.com</t>
  </si>
  <si>
    <t>mongodb.com</t>
  </si>
  <si>
    <t>officeworks.com.au</t>
  </si>
  <si>
    <t>pmi.org</t>
  </si>
  <si>
    <t>prudential.com, pgim.com</t>
  </si>
  <si>
    <t>questrade.com</t>
  </si>
  <si>
    <t>rdoffutt.com</t>
  </si>
  <si>
    <t>rwjf.org</t>
  </si>
  <si>
    <t>ros.com</t>
  </si>
  <si>
    <t>seagate.com</t>
  </si>
  <si>
    <t>spark.co.nz</t>
  </si>
  <si>
    <t>tyson.com</t>
  </si>
  <si>
    <t>verisign.com</t>
  </si>
  <si>
    <t>westjet.com</t>
  </si>
  <si>
    <t>woolworths.com.au</t>
  </si>
  <si>
    <t>zenfolioinc.com</t>
  </si>
  <si>
    <t>ziffdavis.com</t>
  </si>
  <si>
    <t>Last Sync Date</t>
  </si>
  <si>
    <t>Email Count</t>
  </si>
  <si>
    <t>Event ID</t>
  </si>
  <si>
    <t>Title</t>
  </si>
  <si>
    <t>Start Time</t>
  </si>
  <si>
    <t>End Time</t>
  </si>
  <si>
    <t>Duration (hours)</t>
  </si>
  <si>
    <t>Location</t>
  </si>
  <si>
    <t>Description</t>
  </si>
  <si>
    <t>Is All Day</t>
  </si>
  <si>
    <t>My Status</t>
  </si>
  <si>
    <t>Creator</t>
  </si>
  <si>
    <t>Is Recurring</t>
  </si>
  <si>
    <t>Attendee Count</t>
  </si>
  <si>
    <t>Attendee Emails</t>
  </si>
  <si>
    <t>Attendee Names</t>
  </si>
  <si>
    <t>Attendee Statuses</t>
  </si>
  <si>
    <t>Accepted Count</t>
  </si>
  <si>
    <t>Declined Count</t>
  </si>
  <si>
    <t>Tentative Count</t>
  </si>
  <si>
    <t>No Response Count</t>
  </si>
  <si>
    <t>Meeting Recap ID</t>
  </si>
  <si>
    <t>h71rjnaol5qh6j4as089cj07uq_R20240620T230000@google.com</t>
  </si>
  <si>
    <t>OP | Woolworths - Sync</t>
  </si>
  <si>
    <t>&lt;a href="https://docs.google.com/document/d/1kYtv8zq72-3sL1CLE6MdMCK9W1UuRnvNRJFm6RvE7gs/edit?usp=sharing" class="pastedDriveLink-0"&gt;https://docs.google.com/document/d/1kYtv8zq72-3sL1CLE6MdMCK9W1UuRnvNRJFm6RvE7gs/edit?usp=sharing&lt;/a&gt;</t>
  </si>
  <si>
    <t>No</t>
  </si>
  <si>
    <t>UNKNOWN</t>
  </si>
  <si>
    <t>masen.sarabia@observepoint.com</t>
  </si>
  <si>
    <t>Yes</t>
  </si>
  <si>
    <t>mfalley1@woolworths.com.au, wwan5@woolworths.com.au, schandrahasan1@woolworths.com.au, aphilip1@woolworths.com.au, anandrajog1@woolworths.com.au, jzhang15@woolworths.com.au, rsaraf@woolworths.com.au, macey.bell@observepoint.com, jalcantara3@woolworths.com.au, ikannan@woolworths.com.au, ssingh60@woolworths.com.au, jalcantara1@woolworths.com.au, todd.wilkerson@observepoint.com, zzhang4@woolworths.com.au, mmuthe@woolworths.com.au</t>
  </si>
  <si>
    <t>mfalley1@woolworths.com.au, wwan5@woolworths.com.au, schandrahasan1@woolworths.com.au, aphilip1@woolworths.com.au, anandrajog1@woolworths.com.au, jzhang15@woolworths.com.au, Ravi Saraf, macey.bell@observepoint.com, jalcantara3@woolworths.com.au, Indhu Kannan, ssingh60@woolworths.com.au, jalcantara1@woolworths.com.au, todd.wilkerson@observepoint.com, zzhang4@woolworths.com.au, mmuthe@woolworths.com.au</t>
  </si>
  <si>
    <t>YES, YES, INVITED, MAYBE, YES, INVITED, YES, YES, INVITED, MAYBE, YES, INVITED, YES, INVITED, YES</t>
  </si>
  <si>
    <t>8b8llbppcfai75mtkng25k58pb@google.com</t>
  </si>
  <si>
    <t>ObservePoint | CDW - Sync</t>
  </si>
  <si>
    <t>&lt;a href="https://observepoint.zoom.us/j/3742631971?pwd=Z2JhWG1yV1ZtOVBnMVZaRDR0bjVDZz09&amp;omn=97098763634" target="_blank"&gt;&lt;u&gt;https://observepoint.zoom.us/j/3742631971?pwd=Z2JhWG1yV1ZtOVBnMVZaRDR0bjVDZz09&amp;amp;omn=97098763634&lt;/u&gt;&lt;/a&gt;</t>
  </si>
  <si>
    <t>macey.bell@observepoint.com</t>
  </si>
  <si>
    <t>macey.bell@observepoint.com, audrbom@cdw.com, tatyana.zachary@cdw.com, sainath.revankar@cdw.com, awesta.ahmadi@cdw.com</t>
  </si>
  <si>
    <t>YES, INVITED, YES, MAYBE, YES</t>
  </si>
  <si>
    <t>2rhasc8u6n0414kd4ed1stjhtr@google.com</t>
  </si>
  <si>
    <t>ObservePoint | CVS - Sync</t>
  </si>
  <si>
    <t>YES</t>
  </si>
  <si>
    <t>d0uisk68b3ls2vtn32d8ifsu1c_R20250213T210000@google.com</t>
  </si>
  <si>
    <t xml:space="preserve">ObservePoint | Tyson -Sync </t>
  </si>
  <si>
    <t>macey.bell@observepoint.com, ellie.mayberry@tyson.com, megan.lewis@tyson.com, nathan.bogner@tyson.com, landon.meriweather@tyson.com, todd.wilkerson@observepoint.com</t>
  </si>
  <si>
    <t>YES, NO, NO, NO, INVITED, INVITED</t>
  </si>
  <si>
    <t>218mor5missl9pp5a4l5h8bptl_R20240426T190000@google.com</t>
  </si>
  <si>
    <t>K. Hovnanian | ObservePoint Monthly Sync</t>
  </si>
  <si>
    <t>bethany.coombs@observepoint.com</t>
  </si>
  <si>
    <t>jcarter@khov.com, mprotopopova@khov.com, efraticelli@khov.com, pdamera@khov.com</t>
  </si>
  <si>
    <t>jcarter@khov.com, Protopopova, Masha, efraticelli@khov.com, pdamera@khov.com</t>
  </si>
  <si>
    <t>YES, YES, NO, YES</t>
  </si>
  <si>
    <t>er6cviq9baaj38817rf2m9c1ek_R20250204T210000@google.com</t>
  </si>
  <si>
    <t>OP | Dignity Health - Sync</t>
  </si>
  <si>
    <t>philip.leach@commonspirit.org, ken.johanson@commonspirit.org, david.krause@commonspirit.org, stanton.richard@commonspirit.org, david.adams903@commonspirit.org, macey.bell@observepoint.com, abel.gomez@observepoint.com, debra.veik@commonspirit.org, eric.davis902@commonspirit.org</t>
  </si>
  <si>
    <t>Philip Leach AZ-Phoenix, ken.johanson@commonspirit.org, david.krause@commonspirit.org, stanton.richard@commonspirit.org, david.adams903@commonspirit.org, macey.bell@observepoint.com, abel.gomez@observepoint.com, debra.veik@commonspirit.org, eric.davis902@commonspirit.org</t>
  </si>
  <si>
    <t>INVITED, INVITED, INVITED, INVITED, NO, YES, YES, INVITED, INVITED</t>
  </si>
  <si>
    <t>1lsim3m34srfoke6q0nml3bqvu_R20250207T163000@google.com</t>
  </si>
  <si>
    <t>ObservePoint | Boston Scientific - Sync</t>
  </si>
  <si>
    <t>&lt;a href="https://docs.google.com/document/d/1bYxlKu9l23n9zIPRp5Wsp1Ap4hmbvLgeHB1NxkjtZK4/edit"&gt;https://docs.google.com/document/d/1bYxlKu9l23n9zIPRp5Wsp1Ap4hmbvLgeHB1NxkjtZK4/edit&lt;/a&gt;&lt;br&gt;&lt;br&gt;Macey's Zoom Link&lt;br&gt;&lt;a href="https://observepoint.zoom.us/j/3742631971?pwd=Z2JhWG1yV1ZtOVBnMVZaRDR0bjVDZz09&amp;omn=94546244430"&gt;&lt;u&gt;https://observepoint.zoom.us/j/3742631971?pwd=Z2JhWG1yV1ZtOVBnMVZaRDR0bjVDZz09&amp;amp;omn=94546244430&lt;/u&gt;&lt;/a&gt;</t>
  </si>
  <si>
    <t>brandie.green@bsci.com, macey.bell@observepoint.com, sanjusha.durgam@bsci.com, abel.gomez@observepoint.com, jumi.kassim@bsci.com</t>
  </si>
  <si>
    <t>YES, YES, YES, NO, NO</t>
  </si>
  <si>
    <t>6epdb3m8ejuhmntrlt32200rh2_R20241119T190000@google.com</t>
  </si>
  <si>
    <t>ObservePoint | RWJF - Sync</t>
  </si>
  <si>
    <t>&lt;a href="https://observepoint.zoom.us/j/3742631971?pwd=Z2JhWG1yV1ZtOVBnMVZaRDR0bjVDZz09&amp;omn=92652801956" target="_blank"&gt;&lt;u&gt;https://observepoint.zoom.us/j/3742631971?pwd=Z2JhWG1yV1ZtOVBnMVZaRDR0bjVDZz09&amp;amp;omn=92652801956&lt;/u&gt;&lt;/a&gt;</t>
  </si>
  <si>
    <t>phagerty@rwjf.org, macey.bell@observepoint.com, andy.compas@observepoint.com</t>
  </si>
  <si>
    <t>Phil Hagerty, macey.bell@observepoint.com, andy.compas@observepoint.com</t>
  </si>
  <si>
    <t>YES, YES, MAYBE</t>
  </si>
  <si>
    <t>jg3k4b3c6kglt1ptm9u9ctc9mc_R20241107T163000@google.com</t>
  </si>
  <si>
    <t>WestJet | ObservePoint Monthly Sync</t>
  </si>
  <si>
    <t>&lt;a href="https://observepoint.zoom.us/j/3742631971?pwd=Z2JhWG1yV1ZtOVBnMVZaRDR0bjVDZz09&amp;omn=93833907298"&gt;&lt;u&gt;https://observepoint.zoom.us/j/3742631971?pwd=Z2JhWG1yV1ZtOVBnMVZaRDR0bjVDZz09&amp;amp;omn=93833907298&lt;/u&gt;&lt;/a&gt;</t>
  </si>
  <si>
    <t>csatam@westjet.com, farzaan.hoque@westjet.com, devon.kerscher@westjet.com, jason.wiegand@westjet.com, maushami.desai@westjet.com, chinmay.satam@westjet.com, todd.wilkerson@observepoint.com</t>
  </si>
  <si>
    <t>csatam@westjet.com, farzaan.hoque@westjet.com, devon.kerscher@westjet.com, jason.wiegand@westjet.com, maushami.desai@westjet.com, Chinmay Satam, todd.wilkerson@observepoint.com</t>
  </si>
  <si>
    <t>INVITED, INVITED, INVITED, INVITED, INVITED, YES, INVITED</t>
  </si>
  <si>
    <t>macey.bell@observepoint.com, audrbom@cdw.com, andy.compas@observepoint.com, tatyana.zachary@cdw.com, sainath.revankar@cdw.com, awesta.ahmadi@cdw.com</t>
  </si>
  <si>
    <t>YES, INVITED, YES, YES, MAYBE, YES</t>
  </si>
  <si>
    <t>csatam@westjet.com, farzaan.hoque@westjet.com, devon.kerscher@westjet.com, jason.wiegand@westjet.com, maushami.desai@westjet.com, todd.wilkerson@observepoint.com</t>
  </si>
  <si>
    <t>YES, YES, YES, INVITED, INVITED, YES</t>
  </si>
  <si>
    <t>brandie.green@bsci.com, macey.bell@observepoint.com, sanjusha.durgam@bsci.com, jumi.kassim@bsci.com</t>
  </si>
  <si>
    <t>YES, YES, YES, NO</t>
  </si>
  <si>
    <t>1lsim3m34srfoke6q0nml3bqvu_R20250502T153000@google.com</t>
  </si>
  <si>
    <t>YES, YES, YES, INVITED, NO</t>
  </si>
  <si>
    <t>1ulu353n372filfsdcif2a5mlc_R20241104T203000@google.com</t>
  </si>
  <si>
    <t>ObservePoint | SE Toyota - Sync</t>
  </si>
  <si>
    <t>kathy.shin@22squared.com, ailill.breffni@setoyota.com, macey.bell@observepoint.com, jared.blood@22squared.com, jack.zackowitz@22squared.com, kendall.papera@setoyota.com, robyn.beyah@22squared.com</t>
  </si>
  <si>
    <t>YES, INVITED, YES, YES, INVITED, YES, YES</t>
  </si>
  <si>
    <t>INVITED, INVITED, INVITED, INVITED, NO, YES, MAYBE, NO, YES</t>
  </si>
  <si>
    <t>INVITED, INVITED, INVITED, INVITED, INVITED, YES, MAYBE</t>
  </si>
  <si>
    <t>YES, YES, INVITED, MAYBE, YES, INVITED, YES, YES, INVITED, YES, YES, INVITED, YES, INVITED, YES</t>
  </si>
  <si>
    <t>NO, INVITED, INVITED, INVITED, NO, YES, YES, NO, INVITED</t>
  </si>
  <si>
    <t>c2au84msovas0nvc43bkvagfec_R20250624T190000@google.com</t>
  </si>
  <si>
    <t>ObservePoint | Caesars - Sync</t>
  </si>
  <si>
    <t xml:space="preserve">Invitee: Pam Frei
Meeting Details:
Comments: You can remove Jenn Kunz
</t>
  </si>
  <si>
    <t>pfrei@caesars.com, cdugger@caesars.com, macey.bell@observepoint.com, jparkinson@caesars.com</t>
  </si>
  <si>
    <t>INVITED, YES, YES, INVITED</t>
  </si>
  <si>
    <t>INVITED, NO, INVITED, INVITED, NO, YES, YES, INVITED, INVITED</t>
  </si>
  <si>
    <t>macey.bell@observepoint.com, maria.daponte@cvshealth.com</t>
  </si>
  <si>
    <t>macey.bell@observepoint.com, DaPonte, Maria E</t>
  </si>
  <si>
    <t>YES, YES</t>
  </si>
  <si>
    <t>YES, NO, NO, NO, INVITED, NO</t>
  </si>
  <si>
    <t>ph1mqbtlrjnee56emg8mhj2lv2_R20250718T160000@google.com</t>
  </si>
  <si>
    <t>ObservePoint | Caleres - Monthly Sync</t>
  </si>
  <si>
    <t>tyang@caleres.com, macey.bell@observepoint.com, wferlis@caleres.com, spomerinke@caleres.com, cmills@caleres.com</t>
  </si>
  <si>
    <t>YES, YES, YES, YES, INVITED</t>
  </si>
  <si>
    <t>YES, YES, YES, YES, NO</t>
  </si>
  <si>
    <t>kathy.shin@22squared.com, ailill.breffni@setoyota.com, macey.bell@observepoint.com, jared.blood@22squared.com, jack.zackowitz@22squared.com, andy.compas@observepoint.com, kendall.papera@setoyota.com, robyn.beyah@22squared.com</t>
  </si>
  <si>
    <t>YES, INVITED, YES, YES, INVITED, INVITED, YES, YES</t>
  </si>
  <si>
    <t>INVITED, NO, INVITED, INVITED, NO, YES, MAYBE, INVITED, INVITED</t>
  </si>
  <si>
    <t>2rhasc8u6n0414kd4ed1stjhtr_R20250814T163000@google.com</t>
  </si>
  <si>
    <t>macey.bell@observepoint.com, amy.rondinelli@cvshealth.com, maria.daponte@cvshealth.com</t>
  </si>
  <si>
    <t>macey.bell@observepoint.com, Rondinelli, Amy, maria.daponte@cvshealth.com</t>
  </si>
  <si>
    <t>YES, YES, NO</t>
  </si>
  <si>
    <t>YES, YES, YES, YES, YES</t>
  </si>
  <si>
    <t>7uk2udsdcu4tu728l981dr0rho@google.com</t>
  </si>
  <si>
    <t>ObservePoint | Agilent - Sync</t>
  </si>
  <si>
    <t>justin.yee@agilent.com, varun.isaac@agilent.com, macey.bell@observepoint.com, venkata.mallepudi@agilent.com</t>
  </si>
  <si>
    <t>INVITED, INVITED, YES, INVITED</t>
  </si>
  <si>
    <t>1kjn9aq68f29634ho5791vv3bq@google.com</t>
  </si>
  <si>
    <t>ObservePoint Summit Breakfast &amp; Reception</t>
  </si>
  <si>
    <t>5132 N 300 W, Provo, UT 84604, USA</t>
  </si>
  <si>
    <t>INVITED</t>
  </si>
  <si>
    <t>john@observepoint.com</t>
  </si>
  <si>
    <t>all@observepoint.com, john.davis@observepoint.com</t>
  </si>
  <si>
    <t>Everyone, john.davis@observepoint.com</t>
  </si>
  <si>
    <t>INVITED, INVITED</t>
  </si>
  <si>
    <t>n92koag5bu4h0hoha4jkfukkqm@google.com</t>
  </si>
  <si>
    <t>ObservePoint Quarterly Summit - Main Session</t>
  </si>
  <si>
    <t>John Pestana (CEO ObservePoint) is inviting you to a scheduled Zoom meeting.
Topic: Quarterly Summit
Time: This is a recurring meeting Meet anytime
Join Zoom Meeting
https://observepoint.zoom.us/j/174939498
Meeting ID: 174 939 498
One tap mobile
+12532158782,,174939498# US (Tacoma)
+13462487799,,174939498# US (Houston)
Dial by your location
        +1 253 215 8782 US (Tacoma)
        +1 346 248 7799 US (Houston)
        +1 669 900 6833 US (San Jose)
        +1 301 715 8592 US (Washington DC)
        +1 312 626 6799 US (Chicago)
        +1 929 205 6099 US (New York)
        877 853 5247 US Toll-free
        888 788 0099 US Toll-free
Meeting ID: 174 939 498
Find your local number: https://observepoint.zoom.us/u/aDPtV9MOM</t>
  </si>
  <si>
    <t>kqfrvcuq0v4c8dhoeslgbmjvop@google.com</t>
  </si>
  <si>
    <t>ObservePoint | Darden Restaurants Sync</t>
  </si>
  <si>
    <t>macey.bell@observepoint.com, esjostrom@darden.com, btymoniewicz@darden.com</t>
  </si>
  <si>
    <t>YES, YES, YES</t>
  </si>
  <si>
    <t>INVITED, INVITED, INVITED, MAYBE, INVITED, INVITED, YES, YES, INVITED, YES, YES, INVITED, INVITED, INVITED, INVITED</t>
  </si>
  <si>
    <t>INVITED, INVITED, INVITED, INVITED, NO, YES, YES, INVITED, YES</t>
  </si>
  <si>
    <t>YES, YES, INVITED, NO, YES, INVITED, YES, YES, INVITED, YES, YES, INVITED, YES, INVITED, YES</t>
  </si>
  <si>
    <t>1288aq1k0f5eidd7mijrb17vbg@google.com</t>
  </si>
  <si>
    <t>ObservePoint | Verisign - Sync</t>
  </si>
  <si>
    <t>charlie@ctysse.net, macey.bell@observepoint.com, egonzales@verisign.com</t>
  </si>
  <si>
    <t>INVITED, YES, YES</t>
  </si>
  <si>
    <t>NO, INVITED, INVITED, INVITED, NO, YES, YES, INVITED, INVITED</t>
  </si>
  <si>
    <t>MAYBE, YES, YES, NO</t>
  </si>
  <si>
    <t>5qlspbrlcotm3r0i66t2t6hukg@google.com</t>
  </si>
  <si>
    <t>ObservePoint | MongoDB - Sync</t>
  </si>
  <si>
    <t>macey.bell@observepoint.com, arthur.engelhard@mongodb.com</t>
  </si>
  <si>
    <t>INVITED, YES, YES, YES, YES</t>
  </si>
  <si>
    <t>20qnqpl5pfdoc872od9futg97s@google.com</t>
  </si>
  <si>
    <t>ObservePoint | Medifast - Sync</t>
  </si>
  <si>
    <t>grace.stafford@optavia.com, macey.bell@observepoint.com, sonia.turumopula@contractor.optavia.com, chandra.guin@contractor.optavia.com</t>
  </si>
  <si>
    <t>INVITED, YES, INVITED, INVITED</t>
  </si>
  <si>
    <t>INVITED, INVITED, YES, NO</t>
  </si>
  <si>
    <t>INVITED, YES, INVITED, MAYBE, INVITED, INVITED, YES, YES, INVITED, NO, YES, INVITED, INVITED, INVITED, INVITED</t>
  </si>
  <si>
    <t>INVITED, YES, YES, INVITED, INVITED</t>
  </si>
  <si>
    <t>3um1g2na9qvout7686tmtr7qir@google.com</t>
  </si>
  <si>
    <t>Team Lunch</t>
  </si>
  <si>
    <t>nic.suder@observepoint.com</t>
  </si>
  <si>
    <t>jared.paxton@observepoint.com, jake.bauer@observepoint.com, chris.hawkes@observepoint.com, john.davis@observepoint.com, caleb.conners@observepoint.com, mckay.daines@observepoint.com</t>
  </si>
  <si>
    <t>YES, YES, NO, INVITED, INVITED, YES</t>
  </si>
  <si>
    <t>han6gphqo5ij3urb15etk1usuk_R20251117T200000@google.com</t>
  </si>
  <si>
    <t>OP | Carhartt (Bi-weekly Sync)</t>
  </si>
  <si>
    <t>jkotchoubay@carhartt.com, jlambert@carhartt.com, bshields@carhartt.com, observepoint@assistant.gong.io, mcuevas@carhartt.com, john.davis@observepoint.com, bspraggins@carhartt.com, kocasio@carhartt.com, zkeebaugh@carhartt.com, rdonahue@carhartt.com</t>
  </si>
  <si>
    <t>YES, YES, YES, INVITED, INVITED, INVITED, YES, MAYBE, YES, MAYBE</t>
  </si>
  <si>
    <t>41ahurrh7e2c1tm4k310u9lemk@google.com</t>
  </si>
  <si>
    <t>Nic/McKay PBS Sync</t>
  </si>
  <si>
    <t>mckay.daines@observepoint.com</t>
  </si>
  <si>
    <t>nic.suder@observepoint.com, john.davis@observepoint.com</t>
  </si>
  <si>
    <t>YES, INVITED</t>
  </si>
  <si>
    <t>v1tsigr47nno2nkselj37ihhk8@google.com</t>
  </si>
  <si>
    <t>John - Nic (Quick Sync)</t>
  </si>
  <si>
    <t>john.davis@observepoint.com</t>
  </si>
  <si>
    <t>63tgbe73o7kmplblt9u7dammu1@google.com</t>
  </si>
  <si>
    <t>OP | Astellas (Monthly Sync)</t>
  </si>
  <si>
    <t>nic.suder@observepoint.com, courtland.sullivan.contractor@astellas.com, chad.seaver.contractor@astellas.com, daniel.cioaca.contractor@astellas.com, john.davis@observepoint.com</t>
  </si>
  <si>
    <t>YES, INVITED, INVITED, YES, INVITED</t>
  </si>
  <si>
    <t>aagc9412sa7f2nfei4fs72ap54@google.com</t>
  </si>
  <si>
    <t>John - Nic (Sync)</t>
  </si>
  <si>
    <t>1kjn9aq68f29634ho5791vv3bq_R20251120T143000@google.com</t>
  </si>
  <si>
    <t>2gk9bnjlufbefmbcfhlrv7flk2@google.com</t>
  </si>
  <si>
    <t>Luminaria Q4 Summit Activity 🎄</t>
  </si>
  <si>
    <t>Ashton Gardens at Thanksgiving Point, 3900 Garden Dr, Lehi, UT 84043, USA</t>
  </si>
  <si>
    <t>Please join the OP community for a festive evening under the lights as we kick off the holiday season together! Stop by the firepits between 6:30–7:30 to visit with John and other OP friends. Tickets can be collected from Kate at the front desk. Get ready for cozy vibes, good laughs, and plenty of holiday cheer! See you there! 🎄</t>
  </si>
  <si>
    <t>kate.suder@observepoint.com</t>
  </si>
  <si>
    <t>brigham@wildeteam.com, abbymadsen.design@gmail.com, jd.jeppson@observepoint.com, levi.owusu@observepoint.com, us@observepoint.com, addisonmadsen@gmail.com, jared.wilks@observepoint.com, john.davis@observepoint.com, krystian.bienko@observepoint.com</t>
  </si>
  <si>
    <t>brigham@wildeteam.com, abbymadsen.design@gmail.com, jd.jeppson@observepoint.com, levi.owusu@observepoint.com, US Employees, addisonmadsen@gmail.com, Jared Wilks, john.davis@observepoint.com, krystian.bienko@observepoint.com</t>
  </si>
  <si>
    <t>YES, INVITED, YES, INVITED, INVITED, YES, YES, INVITED, INVITED</t>
  </si>
  <si>
    <t>4ug0jesebvkhtr04mr0krmuo6k@google.com</t>
  </si>
  <si>
    <t>The Grid</t>
  </si>
  <si>
    <t>&lt;a href="https://thegrid.com/"&gt;https://thegrid.com/&lt;/a&gt;&lt;br&gt;&lt;br&gt;Two Heats or Lunch and 1 Heat</t>
  </si>
  <si>
    <t>masen.sarabia@observepoint.com, dylan.sellers@observepoint.com, jared.paxton@observepoint.com, jarrod.wilbur@observepoint.com, chris.hawkes@observepoint.com, jake.bauer@observepoint.com, macey.bell@observepoint.com, jwdavis927@gmail.com, john.davis@observepoint.com, caleb.conners@observepoint.com, mckay.daines@observepoint.com</t>
  </si>
  <si>
    <t>YES, MAYBE, YES, YES, YES, NO, INVITED, INVITED, INVITED, MAYBE, YES</t>
  </si>
  <si>
    <t>4umvsu8o1uj02d0f4s0p1okgbu@google.com</t>
  </si>
  <si>
    <t xml:space="preserve">John / Nic - Quick Sync </t>
  </si>
  <si>
    <t>fn8d7jjpfj23avnd76o8isv4kk@google.com</t>
  </si>
  <si>
    <t>ObservePoint &amp; Athena Health || Business Review &amp; CSM Handoff</t>
  </si>
  <si>
    <t>https://observepoint.zoom.us/j/92849939183</t>
  </si>
  <si>
    <t>Looking forward to connecting.
If you need to reschedule, please use the link: https://observepoint.chilipiper.com/reschedule/af53c46b-8ce5-4e2d-962c-dd45f1e25200</t>
  </si>
  <si>
    <t>chris.hawkes@observepoint.com</t>
  </si>
  <si>
    <t>macey.bell@observepoint.com, jsebastian@athenahealth.com, mkorber@athenahealth.com, vpradeep@athenahealth.com, john.davis@observepoint.com</t>
  </si>
  <si>
    <t>INVITED, YES, NO, YES, INVITED</t>
  </si>
  <si>
    <t>25k3e407f4vkcuvm66gn3dvfq9@google.com</t>
  </si>
  <si>
    <t>John / Jake - OP Training sync</t>
  </si>
  <si>
    <t>please have watched the gong calls Macey sent over and we will go over them and talk in terms a of strategy.</t>
  </si>
  <si>
    <t>jake.bauer@observepoint.com</t>
  </si>
  <si>
    <t>YES, NO, MAYBE</t>
  </si>
  <si>
    <t>5idbp8jkqt7f1tjhmcddjonb7g@google.com</t>
  </si>
  <si>
    <t xml:space="preserve">Steve / Nic (ObservePoint Sync) </t>
  </si>
  <si>
    <t>macey.bell@observepoint.com, steve.choi@prudential.com, john.davis@observepoint.com</t>
  </si>
  <si>
    <t>INVITED, YES, INVITED</t>
  </si>
  <si>
    <t>2bkid59f6u08uem97hhs20ot4m@google.com</t>
  </si>
  <si>
    <t>Reports</t>
  </si>
  <si>
    <t>287kc9c6kcmnfl40puns8gam13@google.com</t>
  </si>
  <si>
    <t>John / Jake - review the Mongo DB</t>
  </si>
  <si>
    <t>Ifyou have other calls you'd like to review let mek now. and we can review or talk about any questions you have.</t>
  </si>
  <si>
    <t>1nspi7mkfk1vp9rnlvho5c8tfo@google.com</t>
  </si>
  <si>
    <t>Okta Buildout</t>
  </si>
  <si>
    <t>&lt;a href="https://docs.google.com/spreadsheets/d/13gd6c7i-sa-_X_iXGGANFz3FNhs5EdZyqsjv78du2qw/edit" class="pastedDriveLink-0"&gt;https://docs.google.com/spreadsheets/d/13gd6c7i-sa-_X_iXGGANFz3FNhs5EdZyqsjv78du2qw/edit&lt;/a&gt;</t>
  </si>
  <si>
    <t>4bgqk6fqcp6hn17s4qlgdf1usc@google.com</t>
  </si>
  <si>
    <t>Review Athena Video</t>
  </si>
  <si>
    <t>Changes made to the title, description, or attachments will not be saved. To make edits, please go to: https://tasks.google.com/task/P9oupXo4PrzKBY7v</t>
  </si>
  <si>
    <t>OWNER</t>
  </si>
  <si>
    <t>4d48t2ghti19moeean9j3eoktd@google.com</t>
  </si>
  <si>
    <t>Athena Health || Onboarding Debrief</t>
  </si>
  <si>
    <t>https://observepoint.zoom.us/j/3133456073?omn=98925617537&amp;jst=3</t>
  </si>
  <si>
    <t>&lt;p&gt;&lt;br&gt;──────────&lt;br&gt;&lt;br&gt;Chris Hawkes is inviting you to a scheduled Zoom meeting.&lt;br&gt;Join Zoom Meeting&lt;br&gt;https://observepoint.zoom.us/j/3133456073?omn=98925617537&lt;br&gt;&lt;br&gt;Meeting ID: 313 345 6073&lt;br&gt;&lt;br&gt;---&lt;br&gt;&lt;br&gt;One tap mobile&lt;br&gt;+12532158782,,3133456073# US (Tacoma)&lt;br&gt;+13462487799,,3133456073# US (Houston)&lt;br&gt;&lt;br&gt;Join instructions&lt;br&gt;https://observepoint.zoom.us/meetings/98925617537/invitations?signature=2wZRwlaOjnssp15-RGAjBM0BsvAcK601FD5vJsEjFv8&lt;br&gt;&lt;br&gt;&lt;br&gt;&lt;br&gt;──────────&lt;/p&gt;</t>
  </si>
  <si>
    <t>su6hjl9dbvok9ejfj85ekirauc@google.com</t>
  </si>
  <si>
    <t>Dell &amp; ObservePoint Sync</t>
  </si>
  <si>
    <t>https://observepoint.zoom.us/j/7387828030?pwd=WmdZQ24vM2htQmYydU56OFBidkU3Zz09</t>
  </si>
  <si>
    <t xml:space="preserve">https://observepoint.zoom.us/j/7387828030?pwd=WmdZQ24vM2htQmYydU56OFBidkU3Zz09
ObservePoint Weekly Sync
- Go over account plan
- Discuss new opportunities
- Review current projects
- Hear feedback on OP </t>
  </si>
  <si>
    <t>tyrone.battle@dell.com, john.davis@observepoint.com, todd.wilkerson@observepoint.com</t>
  </si>
  <si>
    <t>macey.bell@observepoint.com, amy.rondinelli@cvshealth.com, maria.daponte@cvshealth.com, abel.gomez@observepoint.com</t>
  </si>
  <si>
    <t>macey.bell@observepoint.com, Rondinelli, Amy, maria.daponte@cvshealth.com, abel.gomez@observepoint.com</t>
  </si>
  <si>
    <t>NO, YES, NO, INVITED</t>
  </si>
  <si>
    <t>57ptg7i5co4b5ug3vff35142rt@google.com</t>
  </si>
  <si>
    <t>Nic / John Prepare for Pru.com</t>
  </si>
  <si>
    <t>040000008200E00074C5B7101A82E00800000000A0D046288058DC01000000000000000010000000CF50F3752AA29A46865B640392404CBD</t>
  </si>
  <si>
    <t>ObservePoint Audit of Pru.com</t>
  </si>
  <si>
    <t>Microsoft Teams Meeting</t>
  </si>
  <si>
    <t xml:space="preserve">Rescheduling due to conflicts.
Hi All,
We will review ObservePoint audit of 10K master list of Pru.com URLs with broader team to identify any issues with missing/unnecessary tags, OneTrust cookie banners, broken links like 404, site load speed, etc.
Thanks,
Steve
________________________________________________________________________________
Microsoft Teams Need help?&lt;https://aka.ms/JoinTeamsMeeting?omkt=en-US&gt;
Join the meeting now&lt;https://teams.microsoft.com/l/meetup-join/19%3ameeting_NzNiOWVhOWMtNTQ3Yi00M2M5LTkyZWYtOGY3ZGZhMWRlNGM2%40thread.v2/0?context=%7b%22Tid%22%3a%22d8fde2f5-9392-4260-8a03-0ad01f4746e9%22%2c%22Oid%22%3a%224cf02d10-78dd-48bc-8462-dd3691fbdcba%22%7d&gt;
Meeting ID: 259 349 915 540 65
Passcode: kA65Co94
________________________________
Dial in by phone
+1 201-268-5459,,605733340#&lt;tel:+12012685459,,605733340&gt; United States, Jersey City
Find a local number&lt;https://dialin.teams.microsoft.com/ac35f719-4ba9-43f5-9868-757c80218322?id=605733340&gt;
Phone conference ID: 605 733 340#
Join on a video conferencing device
Tenant key: pru@m.webex.com&lt;mailto:pru@m.webex.com&gt;
Video ID: 111 645 947 4
More info&lt;https://www.webex.com/msteams?confid=1116459474&amp;tenantkey=pru&amp;domain=m.webex.com&gt;
For organizers: Meeting options&lt;https://teams.microsoft.com/meetingOptions/?organizerId=4cf02d10-78dd-48bc-8462-dd3691fbdcba&amp;tenantId=d8fde2f5-9392-4260-8a03-0ad01f4746e9&amp;threadId=19_meeting_NzNiOWVhOWMtNTQ3Yi00M2M5LTkyZWYtOGY3ZGZhMWRlNGM2@thread.v2&amp;messageId=0&amp;language=en-US&gt; | Reset dial-in PIN&lt;https://dialin.teams.microsoft.com/usp/pstnconferencing&gt;
Click the Help link below for Teams meeting troubleshooting tips. Site is accessible when connected to the Prudential network.
Org help&lt;https://prudentialus.sharepoint.com/sites/trc/SitePages/Teams-Meeting-Tips.aspx?source=https%3A%2F%2Fprudentialus.sharepoint.com%2Fsites%2Ftrc%2FSitePages%2FForms%2FAllPages.aspx&gt;
________________________________________________________________________________
</t>
  </si>
  <si>
    <t>raghunath.munugala@prudential.com, jennifer.castri@prudential.com, lauren.tajar@prudential.com, john.davis@observepoint.com, chirag1.patel@prudential.com, priyank.goswami@prudential.com, rathna.chinnappa@prudential.com, nic.suder@observepoint.com, rolando.rafanan@prudential.com, paula.mcnerney@prudential.com, baijnath.gupta@prudential.com, michael.vance@prudential.com, eileen.cuevas@prudential.com, sanjana.dodley@prudential.com, swati.nehra@prudential.com, radhakrishna.nagaraj@prudential.com, sean.murray@prudential.com, maximilian.stefani@prudential.com, narender.reddy@prudential.com, prabhugouda.biradar@prudential.com</t>
  </si>
  <si>
    <t>Raghunath Munugala, Jenny Castri, Lauren Tajar, john.davis@observepoint.com, Chirag Patel, Priyank Goswami, Rathna Chinnappa, Nic Suder, Rolando Rafanan, Paula McNerney, Baijnath Gupta, Mike Vance, Eileen Cuevas, Sanjana Dodley, Swati Nehra, Radhakrishna Nagaraj, Sean Murray, Maximilian Stefani, Narender Reddy Karka, Prabhu Biradar</t>
  </si>
  <si>
    <t>INVITED, INVITED, INVITED, YES, INVITED, INVITED, INVITED, INVITED, INVITED, INVITED, INVITED, INVITED, INVITED, INVITED, INVITED, INVITED, INVITED, INVITED, INVITED, INVITED</t>
  </si>
  <si>
    <t>7t5sc4bvlfosdbtntfuk5plpul@google.com</t>
  </si>
  <si>
    <t>Overtime for Pru meeting</t>
  </si>
  <si>
    <t>8dj710ggpfmp405n9q9cfq827s@google.com</t>
  </si>
  <si>
    <t>Intro Call - ObservePoint | Prudential Financial Inc.</t>
  </si>
  <si>
    <t>https://www.google.com/url?q=https://teams.microsoft.com/l/meetup-join/19%253ameeting_ZjRkMzM1MjItZGNjOS00MWFhLWJlNjQtMjc4ZTJmOWM2NjJj%2540thread.v2/0?context%3D%257b%2522Tid%2522%253a%2522d8fde2f5-9392-4260-8a03-0ad01f4746e9%2522%252c%2522Oid%2522%253a%25224cf02d10-78dd-48bc-8462-dd3691fbdcba%2522%257d&amp;sa=D&amp;source=calendar&amp;ust=1765285820775070&amp;usg=AOvVaw3V0plEwdclZlUpwH8CYzX8</t>
  </si>
  <si>
    <t>Join the meeting now&amp;lt;&lt;a href="https://teams.microsoft.com/l/meetup-join/19%3ameeting_ZjRkMzM1MjItZGNjOS00MWFhLWJlNjQtMjc4ZTJmOWM2NjJj%40thread.v2/0?context=%7b%22Tid%22%3a%22d8fde2f5-9392-4260-8a03-0ad01f4746e9%22%2c%22Oid%22%3a%224cf02d10-78dd-48bc-8462-dd3691fbdcba%22%7d" target="_blank"&gt;&lt;u&gt;https://teams.microsoft.com/l/meetup-join/19%3ameeting_ZjRkMzM1MjItZGNjOS00MWFhLWJlNjQtMjc4ZTJmOWM2NjJj%40thread.v2/0?context=%7b%22Tid%22%3a%22d8fde2f5-9392-4260-8a03-0ad01f4746e9%22%2c%22Oid%22%3a%224cf02d10-78dd-48bc-8462-dd3691fbdcba%22%7d&lt;/u&gt;&lt;/a&gt;&amp;gt;Meeting ID: 249 909 588 585 27Passcode: eM24aW6v</t>
  </si>
  <si>
    <t>dallin.madsen@observepoint.com</t>
  </si>
  <si>
    <t>jarrod.wilbur@observepoint.com, steve.choi@prudential.com, john.davis@observepoint.com</t>
  </si>
  <si>
    <t>040000008200E00074C5B7101A82E00800000000507694DBF464DC01000000000000000010000000C438BC2C4F5A73488D1C409E5311D9EF</t>
  </si>
  <si>
    <t xml:space="preserve">ObservePoint report card for Prudential discussion </t>
  </si>
  <si>
    <t xml:space="preserve">
On Wed, Dec 3, 2025 at 4:50 PM Steve Choi &lt;steve.choi@prudential.com&lt;mailto:steve.choi@prudential.com&gt;&gt; wrote:
See additional context from my chat with Kelly who work in Prudential Compliance.  Are you available tomorrow, Thursday to chat?  This is causing some headache internally since the attached report was shared with many people.
[cid:image001.png@01DC64F5.24A4FDB0]
From: Steve Choi
Sent: Wednesday, December 3, 2025 4:36 PM
To: John Davis &lt;john.davis@observepoint.com&lt;mailto:john.davis@observepoint.com&gt;&gt;; Nic Suder &lt;nic.suder@observepoint.com&lt;mailto:nic.suder@observepoint.com&gt;&gt;; Macey Bell &lt;macey.bell@observepoint.com&lt;mailto:macey.bell@observepoint.com&gt;&gt;; Mihai from ObservePoint &lt;support@observepoint.com&lt;mailto:support@observepoint.com&gt;&gt;
Subject: RE: ObservePoint Report Card
Importance: High
Hello ObservePoint team,
Below email and attached report caused some confusion at Prudential.
  1.  Do you know who created this ObservePoint report and how it was created?  I am not familiar with it.
  2.  Who receives the report and how often does it go out?
  3.  If it is automated report, can you deactivate immediately?
Thanks,
Steve
-----Original Appointment-----
From: Kelly Williams &lt;kelly.1.williams@prudential.com&lt;mailto:kelly.1.williams@prudential.com&gt;&gt;
Sent: Wednesday, December 3, 2025 3:58 PM
To: Steve Choi; Mike Vance; Lydia Barlow
Cc: Matt Diiorio; Emily Katz; Maximilian Stefani
Subject: ObservePoint Report Card
When: Friday, December 5, 2025 10:30 AM-11:00 AM (UTC-08:00) Pacific Time (US &amp; Canada).
Where: Microsoft Teams Meeting
Steve and Mike-
We received the attached report card from ObservePoint regarding our Consent and Preference Management. We are hoping to grab a short amount of your time on Friday to try and make sense of this report. Matt Dioro gave us your names as the relationship managers with this vendor, so we thought we’d start with you this group. Adding Max as optional as I know this overlaps in some of his work. If you’d like to add anyone else to the invitation, please let me know.
Thank you,
Kelly Williams (She/Her/Hers)
Director
Global Insurance Compliance | Sales and Marketing
751 Street Newark, NJ 07102
C 206.383.0362
Kelly.1.williams@prudential.com&lt;mailto:Kelly.1.williams@prudential.com&gt;
[A blue and black logo    Description automatically generated]
________________________________________________________________________________
Microsoft Teams Need help?&lt;https://aka.ms/JoinTeamsMeeting?omkt=en-US&gt;
Join the meeting now&lt;https://teams.microsoft.com/l/meetup-join/19%3ameeting_ZjRkMzM1MjItZGNjOS00MWFhLWJlNjQtMjc4ZTJmOWM2NjJj%40thread.v2/0?context=%7b%22Tid%22%3a%22d8fde2f5-9392-4260-8a03-0ad01f4746e9%22%2c%22Oid%22%3a%224cf02d10-78dd-48bc-8462-dd3691fbdcba%22%7d&gt;
Meeting ID: 249 909 588 585 27
Passcode: eM24aW6v
________________________________
Dial in by phone
+1 201-268-5459,,85937964#&lt;tel:+12012685459,,85937964&gt; United States, Jersey City
Find a local number&lt;https://dialin.teams.microsoft.com/ac35f719-4ba9-43f5-9868-757c80218322?id=85937964&gt;
Phone conference ID: 859 379 64#
Join on a video conferencing device
Tenant key: pru@m.webex.com
Video ID: 112 798 398 9
More info&lt;https://www.webex.com/msteams?confid=1127983989&amp;tenantkey=pru&amp;domain=m.webex.com&gt;
For organizers: Meeting options&lt;https://teams.microsoft.com/meetingOptions/?organizerId=4cf02d10-78dd-48bc-8462-dd3691fbdcba&amp;tenantId=d8fde2f5-9392-4260-8a03-0ad01f4746e9&amp;threadId=19_meeting_ZjRkMzM1MjItZGNjOS00MWFhLWJlNjQtMjc4ZTJmOWM2NjJj@thread.v2&amp;messageId=0&amp;language=en-US&gt; | Reset dial-in PIN&lt;https://dialin.teams.microsoft.com/usp/pstnconferencing&gt;
Click the Help link below for Teams meeting troubleshooting tips. Site is accessible when connected to the Prudential network.
Org help&lt;https://prudentialus.sharepoint.com/sites/trc/SitePages/Teams-Meeting-Tips.aspx?source=https%3A%2F%2Fprudentialus.sharepoint.com%2Fsites%2Ftrc%2FSitePages%2FForms%2FAllPages.aspx&gt;
________________________________________________________________________________
</t>
  </si>
  <si>
    <t>john.davis@observepoint.com, dallin.madsen@observepoint.com</t>
  </si>
  <si>
    <t>3m5tf28d7ksmnvjphkocjm1e6a@google.com</t>
  </si>
  <si>
    <t>John / Dylan Sync</t>
  </si>
  <si>
    <t>dylan.sellers@observepoint.com</t>
  </si>
  <si>
    <t>040000008200E00074C5B7101A82E00800000000E06073F73865DC010000000000000000100000004A87FE838627624587D220CF0995C28C</t>
  </si>
  <si>
    <t>ObservePoint Report Card Connect</t>
  </si>
  <si>
    <t xml:space="preserve">Teams link is at the bottom
From: Steve Choi steve.choi@prudential.com&lt;mailto:steve.choi@prudential.com&gt;
Sent: Friday, December 5, 2025 9:15 AM
To: Baijnath Gupta baijnath.gupta@prudential.com&lt;mailto:baijnath.gupta@prudential.com&gt;; John Davis john.davis@observepoint.com&lt;mailto:john.davis@observepoint.com&gt;; Dallin Madsen dallin.madsen@observepoint.com&lt;mailto:dallin.madsen@observepoint.com&gt;; Jarrod Wilbur jarrod.wilbur@observepoint.com&lt;mailto:jarrod.wilbur@observepoint.com&gt;
Cc: Nic Suder nic.suder@observepoint.com&lt;mailto:nic.suder@observepoint.com&gt;; Macey Bell macey.bell@observepoint.com&lt;mailto:macey.bell@observepoint.com&gt;; Mihai from ObservePoint support@observepoint.com&lt;mailto:support@observepoint.com&gt;; Dallin Madsen dallin.madsen@observepoint.com&lt;mailto:dallin.madsen@observepoint.com&gt;; Maximilian Stefani maximilian.stefani@prudential.com&lt;mailto:maximilian.stefani@prudential.com&gt;; Prabhu Biradar prabhugouda.biradar@prudential.com&lt;mailto:prabhugouda.biradar@prudential.com&gt;; Rathna Chinnappa rathna.chinnappa@prudential.com&lt;mailto:rathna.chinnappa@prudential.com&gt;; GT Analytics Tagging gt.analytics.tagging@prudential.com&lt;mailto:gt.analytics.tagging@prudential.com&gt;
Subject: RE: ObservePoint Report Card
Importance: High
Hi John/Jarrod,
When I clicked the first link below, I see this.  Where can we see the audit reports  that Jarrod showed yesterday?
Also, I had to manually login since SSO didn’t work.  Prudential uses SSO to login to ObservePoint.
[cid:image001.png@01DC65C8.7353F960]
From: Baijnath Gupta &lt;baijnath.gupta@prudential.com&lt;mailto:baijnath.gupta@prudential.com&gt;&gt;
Sent: Friday, December 5, 2025 8:58 AM
To: John Davis &lt;john.davis@observepoint.com&lt;mailto:john.davis@observepoint.com&gt;&gt;; Steve Choi &lt;steve.choi@prudential.com&lt;mailto:steve.choi@prudential.com&gt;&gt;
Cc: Nic Suder &lt;nic.suder@observepoint.com&lt;mailto:nic.suder@observepoint.com&gt;&gt;; Macey Bell &lt;macey.bell@observepoint.com&lt;mailto:macey.bell@observepoint.com&gt;&gt;; Mihai from ObservePoint &lt;support@observepoint.com&lt;mailto:support@observepoint.com&gt;&gt;; Dallin Madsen &lt;dallin.madsen@observepoint.com&lt;mailto:dallin.madsen@observepoint.com&gt;&gt;; Maximilian Stefani &lt;maximilian.stefani@prudential.com&lt;mailto:maximilian.stefani@prudential.com&gt;&gt;; Prabhu Biradar &lt;prabhugouda.biradar@prudential.com&lt;mailto:prabhugouda.biradar@prudential.com&gt;&gt;; Rathna Chinnappa &lt;rathna.chinnappa@prudential.com&lt;mailto:rathna.chinnappa@prudential.com&gt;&gt;
Subject: RE: ObservePoint Report Card
I’m unable to view these audit reports. Is anyone else having the same issue?
https://app.observepoint.com/audit/1999662/run/8287180/report/cookie-inventory
https://app.observepoint.com/audit/1999663/run/8287181/report/cookie-inventory
https://app.observepoint.com/audit/2001401/run/8302972/report/cookie-inventory
________________________________
From: John Davis &lt;john.davis@observepoint.com&lt;mailto:john.davis@observepoint.com&gt;&gt;
Sent: Thursday, December 4, 2025 6:36:20 PM
To: Nic Suder &lt;nic.suder@observepoint.com&lt;mailto:nic.suder@observepoint.com&gt;&gt;
Cc: Steve Choi &lt;steve.choi@prudential.com&lt;mailto:steve.choi@prudential.com&gt;&gt;; Macey Bell &lt;macey.bell@observepoint.com&lt;mailto:macey.bell@observepoint.com&gt;&gt;; Mihai from ObservePoint &lt;support@observepoint.com&lt;mailto:support@observepoint.com&gt;&gt;; Dallin Madsen &lt;dallin.madsen@observepoint.com&lt;mailto:dallin.madsen@observepoint.com&gt;&gt;
Subject: Re: ObservePoint Report Card
Hey Steve,
So first off, here are the three audits that powered that report card, including the one that we talked about today (California Opt-Out):
https://app.observepoint.com/audit/1999662/run/8287180/report/cookie-inventory
https://app.observepoint.com/audit/1999663/run/8287181/report/cookie-inventory
https://app.observepoint.com/audit/2001401/run/8302972/report/cookie-inventory
Secondly, I got some clarification on our audit process and how it works with the Onetrust opt out. Basically it is going to track the cookies and tags as it navigates from page to page after opting out initially. We also did some manual testing ourselves and noticed that the tags are firing after opting out in Chrome. I am willing to jump on a call tomorrow if you need more clarification though so let me know.
Regards,
John Davis    |     Customer Success Manager
________________________________________________________________________________
Microsoft Teams Need help?&lt;https://aka.ms/JoinTeamsMeeting?omkt=en-US&gt;
Join the meeting now&lt;https://teams.microsoft.com/l/meetup-join/19%3ameeting_NjU5NDNhMDUtNmFhOC00NjRhLWFhMjctOTA2NGUxYjBhZmU2%40thread.v2/0?context=%7b%22Tid%22%3a%22d8fde2f5-9392-4260-8a03-0ad01f4746e9%22%2c%22Oid%22%3a%224cf02d10-78dd-48bc-8462-dd3691fbdcba%22%7d&gt;
Meeting ID: 218 380 137 761 30
Passcode: 8us3j9Ut
________________________________
Dial in by phone
+1 201-268-5459,,305944224#&lt;tel:+12012685459,,305944224&gt; United States, Jersey City
Find a local number&lt;https://dialin.teams.microsoft.com/ac35f719-4ba9-43f5-9868-757c80218322?id=305944224&gt;
Phone conference ID: 305 944 224#
Join on a video conferencing device
Tenant key: pru@m.webex.com&lt;mailto:pru@m.webex.com&gt;
Video ID: 112 391 956 3
More info&lt;https://www.webex.com/msteams?confid=1123919563&amp;tenantkey=pru&amp;domain=m.webex.com&gt;
For organizers: Meeting options&lt;https://teams.microsoft.com/meetingOptions/?organizerId=4cf02d10-78dd-48bc-8462-dd3691fbdcba&amp;tenantId=d8fde2f5-9392-4260-8a03-0ad01f4746e9&amp;threadId=19_meeting_NjU5NDNhMDUtNmFhOC00NjRhLWFhMjctOTA2NGUxYjBhZmU2@thread.v2&amp;messageId=0&amp;language=en-US&gt; | Reset dial-in PIN&lt;https://dialin.teams.microsoft.com/usp/pstnconferencing&gt;
Click the Help link below for Teams meeting troubleshooting tips. Site is accessible when connected to the Prudential network.
Org help&lt;https://prudentialus.sharepoint.com/sites/trc/SitePages/Teams-Meeting-Tips.aspx?source=https%3A%2F%2Fprudentialus.sharepoint.com%2Fsites%2Ftrc%2FSitePages%2FForms%2FAllPages.aspx&gt;
________________________________________________________________________________
</t>
  </si>
  <si>
    <t>nic.suder@observepoint.com, jarrod.wilbur@observepoint.com, gt.analytics.tagging@prudential.com, baijnath.gupta@prudential.com, john.davis@observepoint.com, dallin.madsen@observepoint.com, maximilian.stefani@prudential.com, prabhugouda.biradar@prudential.com, rathna.chinnappa@prudential.com</t>
  </si>
  <si>
    <t>Nic Suder, Jarrod Wilbur, GT Analytics Tagging, Baijnath Gupta, john.davis@observepoint.com, Dallin Madsen, Maximilian Stefani, Prabhu Biradar, Rathna Chinnappa</t>
  </si>
  <si>
    <t>INVITED, INVITED, INVITED, INVITED, INVITED, INVITED, INVITED, INVITED, INVITED</t>
  </si>
  <si>
    <t>040000008200E00074C5B7101A82E00800000000F09FF114F365DC01000000000000000010000000A1AFFBE86DBB0A468B1DA30A11D3E4EB</t>
  </si>
  <si>
    <t>ObservePoint Follow ups from Compliance call</t>
  </si>
  <si>
    <t xml:space="preserve">Can we discuss below?  Thanks.
Hi All-
Thanks very much for the time today and the additional information/research on the attached report card. As mentioned in our meeting, we will want to go about formally documenting the inaccuracies and additional context needed for this report card. Here are follow up actions for the group:
  *   Provide email summary/evidence to the contrary of each letter grade provided in the report.
     *   Pages missing CMP (already has an compliance issue we are working on in partnership with @Maximilian Stefani&lt;mailto:maximilian.stefani@prudential.com&gt;) Feel free to add additional context here if you have it, but I think this one is well documented.
     *   Pages that load ad trackers
     *   Pages that load social media trackers
     *   Pages that load third-party cookies
  *   Investigate how GPC is honored for users using a Google browser given that GPC does not currently work with Google and summarize how we are honoring users’ preferences who are leverage GPC.
________________________________________________________________________________
Microsoft Teams Need help?&lt;https://aka.ms/JoinTeamsMeeting?omkt=en-US&gt;
Join the meeting now&lt;https://teams.microsoft.com/l/meetup-join/19%3ameeting_NGUzNTg3MDMtYmNkMi00OTUwLTkzZDktZTI0NWRiZTgzYjc4%40thread.v2/0?context=%7b%22Tid%22%3a%22d8fde2f5-9392-4260-8a03-0ad01f4746e9%22%2c%22Oid%22%3a%224cf02d10-78dd-48bc-8462-dd3691fbdcba%22%7d&gt;
Meeting ID: 297 431 251 018 02
Passcode: dL9qA3At
________________________________
Dial in by phone
+1 201-268-5459,,671455905#&lt;tel:+12012685459,,671455905&gt; United States, Jersey City
Find a local number&lt;https://dialin.teams.microsoft.com/ac35f719-4ba9-43f5-9868-757c80218322?id=671455905&gt;
Phone conference ID: 671 455 905#
Join on a video conferencing device
Tenant key: pru@m.webex.com&lt;mailto:pru@m.webex.com&gt;
Video ID: 113 895 535 4
More info&lt;https://www.webex.com/msteams?confid=1138955354&amp;tenantkey=pru&amp;domain=m.webex.com&gt;
For organizers: Meeting options&lt;https://teams.microsoft.com/meetingOptions/?organizerId=4cf02d10-78dd-48bc-8462-dd3691fbdcba&amp;tenantId=d8fde2f5-9392-4260-8a03-0ad01f4746e9&amp;threadId=19_meeting_NGUzNTg3MDMtYmNkMi00OTUwLTkzZDktZTI0NWRiZTgzYjc4@thread.v2&amp;messageId=0&amp;language=en-US&gt; | Reset dial-in PIN&lt;https://dialin.teams.microsoft.com/usp/pstnconferencing&gt;
Click the Help link below for Teams meeting troubleshooting tips. Site is accessible when connected to the Prudential network.
Org help&lt;https://prudentialus.sharepoint.com/sites/trc/SitePages/Teams-Meeting-Tips.aspx?source=https%3A%2F%2Fprudentialus.sharepoint.com%2Fsites%2Ftrc%2FSitePages%2FForms%2FAllPages.aspx&gt;
________________________________________________________________________________
</t>
  </si>
  <si>
    <t>baijnath.gupta@prudential.com, john.davis@observepoint.com, maximilian.stefani@prudential.com, prabhugouda.biradar@prudential.com, rathna.chinnappa@prudential.com</t>
  </si>
  <si>
    <t>Baijnath Gupta, john.davis@observepoint.com, Maximilian Stefani, Prabhu Biradar, Rathna Chinnappa</t>
  </si>
  <si>
    <t>INVITED, YES, INVITED, INVITED, INVITED</t>
  </si>
  <si>
    <t>NO</t>
  </si>
  <si>
    <t>1e9bopu71q61k490itp9hcgft9@google.com</t>
  </si>
  <si>
    <t xml:space="preserve">Macey, Andy and Amy to connect </t>
  </si>
  <si>
    <t>andy.compas@observepoint.com</t>
  </si>
  <si>
    <t>macey.bell@observepoint.com, alewis@thinkbrg.com, john.davis@observepoint.com</t>
  </si>
  <si>
    <t>7asdvst832bqdjqop1jkftb3gj@google.com</t>
  </si>
  <si>
    <t>Dignity Health Sync</t>
  </si>
  <si>
    <t>Let's catch up on Dignity before our call with them!
Talk about their success plan, current areas of focus, and make sure their lucidchart is up to date. They also have some custom solutions it will be good for you to have a baseline understanding of.</t>
  </si>
  <si>
    <t>NO, NO, INVITED, INVITED, MAYBE, YES, INVITED, YES, MAYBE</t>
  </si>
  <si>
    <t>0pjj3sgmuvphu53k8m904d37p3@google.com</t>
  </si>
  <si>
    <t>Send Jake a Gong video</t>
  </si>
  <si>
    <t>Changes made to the title, description, or attachments will not be saved. To make edits, please go to: https://tasks.google.com/task/hSObqmVOXp0pH6jz</t>
  </si>
  <si>
    <t>2phfa4dcc8453725mtn2lmrs2f@google.com</t>
  </si>
  <si>
    <t>Followup email with Robert @ Ziff Davis</t>
  </si>
  <si>
    <t>Changes made to the title, description, or attachments will not be saved. To make edits, please go to: https://tasks.google.com/task/7ErpXbzh8zlGi6hF</t>
  </si>
  <si>
    <t>f0hcs5u78qgi21gkf2b7drultr_R20251210T203000@google.com</t>
  </si>
  <si>
    <t>ObservePoint | Amica - Sync</t>
  </si>
  <si>
    <t>&lt;a href="https://observepoint.zoom.us/j/3742631971?pwd=Z2JhWG1yV1ZtOVBnMVZaRDR0bjVDZz09&amp;omn=96471481894" target="_blank"&gt;&lt;u&gt;https://observepoint.zoom.us/j/3742631971?pwd=Z2JhWG1yV1ZtOVBnMVZaRDR0bjVDZz09&amp;amp;omn=96471481894&lt;/u&gt;&lt;/a&gt;&lt;br&gt;&lt;br&gt;Adding he meeting link here hopefully to make it easier to find for future meetings.</t>
  </si>
  <si>
    <t>kmusku@amica.com, fialongo@amica.com, gvaleti@amica.com, arasheed@amica.com, mfwood@amica.com, mpatel2@amica.com, spalavalasa@amica.com, john.davis@observepoint.com, psmith2@amica.com, krenaud@amica.com</t>
  </si>
  <si>
    <t>MUSKU, KRISHNA CHITANYA R., fialongo@amica.com, VALETI, GOWTHAM KUMAR, RASHEED, ABDUL, mfwood@amica.com, PATEL, MAYUR A., spalavalasa@amica.com, john.davis@observepoint.com, psmith2@amica.com, RENAUD, KATE E.</t>
  </si>
  <si>
    <t>INVITED, YES, YES, YES, INVITED, INVITED, INVITED, YES, YES, INVITED</t>
  </si>
  <si>
    <t>7g33vo676f20oldrlvi27p8tro@google.com</t>
  </si>
  <si>
    <t>ObservePoint | Spark - New CSM Introduction</t>
  </si>
  <si>
    <t>macey.bell@observepoint.com, mycal.tamariki@spark.co.nz, scott.kempster@spark.co.nz, krushi.radadiya@spark.co.nz</t>
  </si>
  <si>
    <t>YES, YES, YES, YES</t>
  </si>
  <si>
    <t>9ve5d4629r6g51l12m9terg5rk@google.com</t>
  </si>
  <si>
    <t>ObservePoint | Officeworks - Sync</t>
  </si>
  <si>
    <t>Looking forward to connecting.
If you need to reschedule, please use the link: https://observepoint.chilipiper.com/reschedule/d1dda5c0-1a36-44eb-8aca-47980ab2e656</t>
  </si>
  <si>
    <t>hchamberlain@officeworks.com.au, john.davis@observepoint.com</t>
  </si>
  <si>
    <t>5boomps46hrdlo4pv1carmr9cq@google.com</t>
  </si>
  <si>
    <t>Officeworks audits + recap of calls</t>
  </si>
  <si>
    <t>5qlspbrlcotm3r0i66t2t6hukg_R20251211T173000@google.com</t>
  </si>
  <si>
    <t>7vcrrjggo9trq8cj6durraehab@google.com</t>
  </si>
  <si>
    <t>Observepoint | Lumen - Sync</t>
  </si>
  <si>
    <t>macey.bell@observepoint.com, neil.black@lumen.com, kerry.liszka@lumen.com, arnold.hong@lumen.com</t>
  </si>
  <si>
    <t>33i6eu2dos0q39hc8ssoea8ijn@google.com</t>
  </si>
  <si>
    <t>John / Jake - call and hand-off review.</t>
  </si>
  <si>
    <t>5inu6rdhbaal4kam9lsb4niujj@google.com</t>
  </si>
  <si>
    <t>ObservePoint | Questrade - New CSM Instroduction</t>
  </si>
  <si>
    <t>who@questrade.com, rchau@questrade.com, john.davis@observepoint.com</t>
  </si>
  <si>
    <t>0ufgtcj1mdi28s0o73m5a4o10f@google.com</t>
  </si>
  <si>
    <t>ObservePoint Holiday Party</t>
  </si>
  <si>
    <t>5132 N 300 W, Provo, UT 84604</t>
  </si>
  <si>
    <t>We invite you and your significant other to an evening of celebration! Enjoy catered food, live music, and festive fun. Join us as we toast to the season and another wonderful year together. We can’t wait to celebrate with you! 🎄</t>
  </si>
  <si>
    <t>zane.charles@observepoint.com, us@observepoint.com, john.davis@observepoint.com, tasha.eagar@gmail.com, adrian.gircoveanu@observepoint.com</t>
  </si>
  <si>
    <t>zane.charles@observepoint.com, US Employees, john.davis@observepoint.com, tasha.eagar@gmail.com, adrian.gircoveanu@observepoint.com</t>
  </si>
  <si>
    <t>YES, INVITED, INVITED, YES, YES</t>
  </si>
  <si>
    <t>gcql6ngvrak5oid39l78ic0df8@google.com</t>
  </si>
  <si>
    <t>kaleigh.wayment@observepoint.com</t>
  </si>
  <si>
    <t>kate.suder@observepoint.com, us@observepoint.com, john.davis@observepoint.com, tasha.eagar@gmail.com, adrian.gircoveanu@observepoint.com</t>
  </si>
  <si>
    <t>kate.suder@observepoint.com, US Employees, john.davis@observepoint.com, tasha.eagar@gmail.com, adrian.gircoveanu@observepoint.com</t>
  </si>
  <si>
    <t>NO, INVITED, INVITED, INVITED, INVITED</t>
  </si>
  <si>
    <t>1lsim3m34srfoke6q0nml3bqvu_R20251205T163000@google.com</t>
  </si>
  <si>
    <t>brandie.green@bsci.com, macey.bell@observepoint.com, abel.gomez@observepoint.com, jumi.kassim@bsci.com</t>
  </si>
  <si>
    <t>YES, YES, INVITED, NO</t>
  </si>
  <si>
    <t>1darincepu653ssg0b98bjagb5_R20251212T170000@google.com</t>
  </si>
  <si>
    <t>ObservePoint | Prudential - Sync</t>
  </si>
  <si>
    <t>steve.choi@prudential.com, john.davis@observepoint.com</t>
  </si>
  <si>
    <t>YES, NO</t>
  </si>
  <si>
    <t>YES, YES, YES, INVITED</t>
  </si>
  <si>
    <t>218mor5missl9pp5a4l5h8bptl_R20251128T200000@google.com</t>
  </si>
  <si>
    <t>INVITED, YES, INVITED, YES</t>
  </si>
  <si>
    <t>h9m86au7bo5r715811akv05618@google.com</t>
  </si>
  <si>
    <t>ObservePoint | EDC - Sync</t>
  </si>
  <si>
    <t>Looking forward to connecting.
If you need to reschedule, please use the link: https://observepoint.chilipiper.com/reschedule/7141ba14-7a60-4b52-8c34-07fc0ffb2b86</t>
  </si>
  <si>
    <t>support@observepoint.com, dinika.rao@accenture.com, kev.lavoie@accenture.com, john.davis@observepoint.com</t>
  </si>
  <si>
    <t>INVITED, YES, YES, YES</t>
  </si>
  <si>
    <t>4bh0oe8dbn9bri9lemntrhbepp@google.com</t>
  </si>
  <si>
    <t>Privacy Use Case Buildout for Questrade</t>
  </si>
  <si>
    <t>040000008200E00074C5B7101A82E008000000008014F443015EDC010000000000000000100000003D407C1752877C46B73DC87543525CEE</t>
  </si>
  <si>
    <t>Ross/ObservePoint TB</t>
  </si>
  <si>
    <t xml:space="preserve">We’ll talk about the GPC signal testing and the year ahead.
________________________________________________________________________________
Microsoft Teams Need help?&lt;https://aka.ms/JoinTeamsMeeting?omkt=en-US&gt;
Join the meeting now&lt;https://teams.microsoft.com/l/meetup-join/19%3ameeting_ZWVhMTg4NTktYWQwOS00ZGU3LWE3MzktNTljM2JkOWU5MDZh%40thread.v2/0?context=%7b%22Tid%22%3a%220039204c-2313-4416-bdc3-42fcf01fdbd6%22%2c%22Oid%22%3a%22e77ce3e9-e912-4905-bd2b-f926b73563a1%22%7d&gt;
Meeting ID: 297 647 782 742 00
Passcode: M7UZ9J6J
________________________________
Join on a video conferencing device
Tenant key: 967310325@t.plcm.vc
Video ID: 114 060 897 1
More info&lt;https://dialin.plcm.vc/teams/?key=967310325&amp;conf=1140608971&gt;
For organizers: Meeting options&lt;https://teams.microsoft.com/meetingOptions/?organizerId=e77ce3e9-e912-4905-bd2b-f926b73563a1&amp;tenantId=0039204c-2313-4416-bdc3-42fcf01fdbd6&amp;threadId=19_meeting_ZWVhMTg4NTktYWQwOS00ZGU3LWE3MzktNTljM2JkOWU5MDZh@thread.v2&amp;messageId=0&amp;language=en-US&gt;
[https://www.rossstores.com/wp-content/uploads/2024/09/350x50-Combo-Logo.png]
Under Ross policy, participants may not record meetings unless previously authorized or permitted by law. The information contained in this message may be privileged, confidential, and protected from disclosure, you are hereby notified that any dissemination, distribution, or copying of this communication is strictly prohibited.
________________________________________________________________________________
</t>
  </si>
  <si>
    <t>macey.bell@observepoint.com, john.davis@observepoint.com, fe.valencia@ros.com</t>
  </si>
  <si>
    <t>Macey Bell, john.davis@observepoint.com, fe.valencia@ros.com</t>
  </si>
  <si>
    <t>YES, YES, INVITED</t>
  </si>
  <si>
    <t>1bvk5eiq08cq176uh2nc9gaup8@google.com</t>
  </si>
  <si>
    <t>ObservePoint | Prudential Sync</t>
  </si>
  <si>
    <t>Lets chat about Dylan's findings from last week and also automated scheduled reports.
Looking forward to connecting.
If you need to reschedule, please use the link: https://observepoint.chilipiper.com/reschedule/95d17104-3807-48ef-91a1-fae0b28abec6</t>
  </si>
  <si>
    <t>macey.bell@observepoint.com, steve.choi@prudential.com</t>
  </si>
  <si>
    <t>6s70rcm8c12vnh646qrm437jai@google.com</t>
  </si>
  <si>
    <t>ObservePoint | R.D. Offutt Company</t>
  </si>
  <si>
    <t>jlmoore@rdoffutt.com, macey.bell@observepoint.com, enordin@rdoffutt.com, bfergel@rdoffutt.com</t>
  </si>
  <si>
    <t>MAYBE, YES, YES, YES</t>
  </si>
  <si>
    <t>22k19174vd52ms85k5ds56c1oh@google.com</t>
  </si>
  <si>
    <t>ObservePoint | World Market - Sync</t>
  </si>
  <si>
    <t>clarke.anderson@observepoint.com, grant.menefee@worldmarket.com, john.davis@observepoint.com</t>
  </si>
  <si>
    <t>NO, YES, NO</t>
  </si>
  <si>
    <t>8b8llbppcfai75mtkng25k58pb_R20251216T180000@google.com</t>
  </si>
  <si>
    <t>YES, YES, YES, MAYBE, YES</t>
  </si>
  <si>
    <t>040000008200E00074C5B7101A82E0080000000040AE9DB4F56DDC010000000000000000100000006643B1A6D41240479C20EFE7C6210F4E</t>
  </si>
  <si>
    <t>ObservePoint Report Card - Compliance Questions</t>
  </si>
  <si>
    <t xml:space="preserve">Can we discuss below?  I need to respond to Compliance questions (highlighted in blue)
     *   Pages that load ad trackers – Ad Trackers have consent mode enabled.  Similar to Google Consent Mode, trackers are firing but cookies are getting suppressed.  According to ObservePoint, that is a failure.  Google introduced Consent Mode Version 2.0 which provides personalization consent signals.  This is currently not implemented on our side and we will implement it to start complying with the ads personalization issues highlighted in the scan by ObservePoint.   ETA for implementation – End of January ‘26
        *   ObservePoint is considering this a failure because trackers are firing. Can you explain what kind of trackers are firing and what kind of information they’re collecting?
     *   Pages that load social media trackers – For Pru.com site pages, we have found that there are no compliance issues, but for Advisor.Prudential, we have identified a social media tag that is not in compliance.  ETA for fix – 12/19.
        *   Appreciate the confirmation, but how do we know there are no compliance issues in light of what the report is stating? The report is not just based on advisor web experience, so help us evidence that there are no issues as confirmed.
     *   Pages that load third-party cookies – Per compliance requirements, presence of third-party cookies is not considered to be out of compliance.  ObservePoint considers persistence of cookies as an issue, but our implementation is compliant based on data collection. So persistent cookies are not proactively removed but we do not collect the data that those cookies receive.
        *   Regardless of cookie type (session/persistent cookies), under CPRA, if we drop cookies, we could be seen as collecting and sharing, especially with a third-party involved. Help us understand this further? Why are we dropping third-party cookies if there is nothing being collected? How are we not sharing if there are third-party cookies being dropped? What type of cookies are these? Why did we choose to do persistent and how long do they persist? What mechanisms do we have for honoring persistent opt out?
  *   Investigate how GPC is honored for users using a Google browser given that GPC does not currently work with Google and summarize how we are honoring users’ preferences who are leverage GPC –  GPC signal is integrated with OneTrust which auto sets the preferences to opt out.  It then follows the regular flow that we have set up with Google Consent Mode once the preferences are set.
     *   Thanks for clarifying. Quick follow up- how do you know GPC is working within OneTrust? Is there monitoring of some kind? A report?
Overall, can you please help us with providing the additional responses above along with any document/procedures/processes that help evidence against these findings and/or demonstrate our compliance?
________________________________________________________________________________
Microsoft Teams Need help?&lt;https://aka.ms/JoinTeamsMeeting?omkt=en-US&gt;
Join the meeting now&lt;https://teams.microsoft.com/l/meetup-join/19%3ameeting_OGQ0YjZiODMtZmUzMy00OTMyLThhMmYtMjA1MjNmMGY3OTJl%40thread.v2/0?context=%7b%22Tid%22%3a%22d8fde2f5-9392-4260-8a03-0ad01f4746e9%22%2c%22Oid%22%3a%224cf02d10-78dd-48bc-8462-dd3691fbdcba%22%7d&gt;
Meeting ID: 272 418 129 108 77
Passcode: VK6zh6Tw
________________________________
Dial in by phone
+1 201-268-5459,,820115878#&lt;tel:+12012685459,,820115878&gt; United States, Jersey City
Find a local number&lt;https://dialin.teams.microsoft.com/ac35f719-4ba9-43f5-9868-757c80218322?id=820115878&gt;
Phone conference ID: 820 115 878#
Join on a video conferencing device
Tenant key: pru@m.webex.com
Video ID: 112 770 051 6
More info&lt;https://www.webex.com/msteams?confid=1127700516&amp;tenantkey=pru&amp;domain=m.webex.com&gt;
For organizers: Meeting options&lt;https://teams.microsoft.com/meetingOptions/?organizerId=4cf02d10-78dd-48bc-8462-dd3691fbdcba&amp;tenantId=d8fde2f5-9392-4260-8a03-0ad01f4746e9&amp;threadId=19_meeting_OGQ0YjZiODMtZmUzMy00OTMyLThhMmYtMjA1MjNmMGY3OTJl@thread.v2&amp;messageId=0&amp;language=en-US&gt; | Reset dial-in PIN&lt;https://dialin.teams.microsoft.com/usp/pstnconferencing&gt;
Click the Help link below for Teams meeting troubleshooting tips. Site is accessible when connected to the Prudential network.
Org help&lt;https://prudentialus.sharepoint.com/sites/trc/SitePages/Teams-Meeting-Tips.aspx?source=https%3A%2F%2Fprudentialus.sharepoint.com%2Fsites%2Ftrc%2FSitePages%2FForms%2FAllPages.aspx&gt;
________________________________________________________________________________
</t>
  </si>
  <si>
    <t>jarrod.wilbur@observepoint.com, macey.bell@observepoint.com, baijnath.gupta@prudential.com, john.davis@observepoint.com, dallin.madsen@observepoint.com, maximilian.stefani@prudential.com, prabhugouda.biradar@prudential.com, rathna.chinnappa@prudential.com</t>
  </si>
  <si>
    <t>Jarrod Wilbur, Macey Bell, Baijnath Gupta, john.davis@observepoint.com, Dallin Madsen, Maximilian Stefani, Prabhu Biradar, Rathna Chinnappa</t>
  </si>
  <si>
    <t>INVITED, INVITED, INVITED, YES, INVITED, INVITED, INVITED, INVITED</t>
  </si>
  <si>
    <t>184jkol9fscdak9nstvo36h4ap@google.com</t>
  </si>
  <si>
    <t>ObservePoint/ZD checkin</t>
  </si>
  <si>
    <t>robert.taylor@ziffdavis.com</t>
  </si>
  <si>
    <t>macey.bell@observepoint.com, john.davis@observepoint.com, filippo_caprioli@ziffdavis.com</t>
  </si>
  <si>
    <t>Macey Bell, john.davis@observepoint.com, Filippo Caprioli</t>
  </si>
  <si>
    <t>166qr71h9ionaeloa07o706f1r_R20251210T170400@google.com</t>
  </si>
  <si>
    <t>Evan LaPointe - Pulse 3</t>
  </si>
  <si>
    <t>Pulse 3 - Revenue leaders please forward to each of your team members.</t>
  </si>
  <si>
    <t>jd.jeppson@observepoint.com</t>
  </si>
  <si>
    <t>kaleigh.wayment@observepoint.com, andrew.dimmick@observepoint.com, levi.owusu@observepoint.com, clarke.anderson@observepoint.com, ethan.prete@observepoint.com, john.davis@observepoint.com, andy.compas@observepoint.com, dallin.madsen@observepoint.com, jeff.tucker@observepoint.com, hayden.butler@observepoint.com, nic.suder@observepoint.com, bryce.bergen@observepoint.com, customersuccess@observepoint.com, sarah.hector@observepoint.com, mike.fong@observepoint.com, giselle.chapa@observepoint.com, bethany.coombs@observepoint.com, todd.wilkerson@observepoint.com, kyle.winder@observepoint.com, jonny.gappmaier@observepoint.com, dylan.sellers@observepoint.com, jarrod.wilbur@observepoint.com, david.johnson@observepoint.com, adm@observepoint.com, evan@core-sciences.com, jared.paxton@observepoint.com, felice.wu@observepoint.com, samantha.loveland@observepoint.com, shelly.croshaw@observepoint.com, jered.white@observepoint.com, adrian.gircoveanu@observepoint.com</t>
  </si>
  <si>
    <t>kaleigh.wayment@observepoint.com, andrew.dimmick@observepoint.com, levi.owusu@observepoint.com, clarke.anderson@observepoint.com, ethan.prete@observepoint.com, john.davis@observepoint.com, andy.compas@observepoint.com, dallin.madsen@observepoint.com, Jeff Tucker, hayden.butler@observepoint.com, nic.suder@observepoint.com, bryce.bergen@observepoint.com, Customer Success, sarah.hector@observepoint.com, Mike Fong, giselle.chapa@observepoint.com, bethany.coombs@observepoint.com, todd.wilkerson@observepoint.com, kyle.winder@observepoint.com, jonny.gappmaier@observepoint.com, dylan.sellers@observepoint.com, jarrod.wilbur@observepoint.com, david.johnson@observepoint.com, adm@observepoint.com, evan@core-sciences.com, jared.paxton@observepoint.com, felice.wu@observepoint.com, samantha.loveland@observepoint.com, shelly.croshaw@observepoint.com, jered.white@observepoint.com, adrian.gircoveanu@observepoint.com</t>
  </si>
  <si>
    <t>INVITED, NO, YES, YES, YES, YES, YES, YES, YES, YES, YES, YES, INVITED, YES, YES, YES, YES, YES, YES, YES, YES, NO, YES, INVITED, YES, YES, YES, YES, YES, YES, YES</t>
  </si>
  <si>
    <t>6ijfo22csi11vi777kujf2k5f7@google.com</t>
  </si>
  <si>
    <t>Bluebeam Sync Before Call</t>
  </si>
  <si>
    <t>kg6dgdtel1c742fskj3sk48tr4@google.com</t>
  </si>
  <si>
    <t>ObservePoint | Bluebeam - Sync</t>
  </si>
  <si>
    <t>Looking forward to connecting.
If you need to reschedule, please use the link: https://observepoint.chilipiper.com/reschedule/6b4e5603-7dbb-46d0-a6d7-1c5da1af02ab</t>
  </si>
  <si>
    <t>nburns@bluebeam.com, mtozer@bluebeam.com, john.davis@observepoint.com, andy.compas@observepoint.com</t>
  </si>
  <si>
    <t>20qnqpl5pfdoc872od9futg97s_R20251211T150000@google.com</t>
  </si>
  <si>
    <t>he30glc2bkdun8km8v5rd9j0j3_R20251009T150000@google.com</t>
  </si>
  <si>
    <t>Customer sync (Macey/Todd)</t>
  </si>
  <si>
    <t>todd.wilkerson@observepoint.com</t>
  </si>
  <si>
    <t>macey.bell@observepoint.com, john.davis@observepoint.com</t>
  </si>
  <si>
    <t>2rhasc8u6n0414kd4ed1stjhtr_R20251218T173000@google.com</t>
  </si>
  <si>
    <t>macey.bell@observepoint.com, amy.rondinelli@cvshealth.com, maria.daponte@cvshealth.com, todd.wilkerson@observepoint.com</t>
  </si>
  <si>
    <t>macey.bell@observepoint.com, Rondinelli, Amy, maria.daponte@cvshealth.com, todd.wilkerson@observepoint.com</t>
  </si>
  <si>
    <t>YES, YES, YES, MAYBE</t>
  </si>
  <si>
    <t>74rm6or5chi36b9p61h36b9k6pgm2bb2c4omcb9mcgs64dhm6th3ccpl6o@google.com</t>
  </si>
  <si>
    <t>Watch Domo training</t>
  </si>
  <si>
    <t>0eoffibon6fogoonp36nbctinv@google.com</t>
  </si>
  <si>
    <t>Accounts Sync</t>
  </si>
  <si>
    <t>53eohb9n5u7q7jph9r9efh895t@google.com</t>
  </si>
  <si>
    <t>ObservePoint | Seagate- Sync</t>
  </si>
  <si>
    <t>macey.bell@observepoint.com, dipendra.bagchee@seagate.com, dipendra.m.bagchee@seagate.com</t>
  </si>
  <si>
    <t>macey.bell@observepoint.com, dipendra.bagchee@seagate.com, Dipendra Bagchee</t>
  </si>
  <si>
    <t>YES, INVITED, YES</t>
  </si>
  <si>
    <t>42au2s1dtdhii286okdb5j2v8d@google.com</t>
  </si>
  <si>
    <t>bryce.bergen@observepoint.com, john.davis@observepoint.com</t>
  </si>
  <si>
    <t>5k2h4c6ft70302shlgm6vcfoam@google.com</t>
  </si>
  <si>
    <t xml:space="preserve">John/Nic </t>
  </si>
  <si>
    <t>h71rjnaol5qh6j4as089cj07uq_R20251219T000000@google.com</t>
  </si>
  <si>
    <t>YES, YES, INVITED, MAYBE, YES, INVITED, YES, YES, NO, YES, YES, INVITED, YES, INVITED, YES</t>
  </si>
  <si>
    <t>6s124otp66o9mgppg8g26vfkeg@google.com</t>
  </si>
  <si>
    <t>Macey / John Bluebeam Sync</t>
  </si>
  <si>
    <t>nic.suder@observepoint.com, macey.bell@observepoint.com</t>
  </si>
  <si>
    <t>1ke7cuquckihn7r1gogcnj4cnv@google.com</t>
  </si>
  <si>
    <t>Todd / John CVS Renewal Sync</t>
  </si>
  <si>
    <t>5192ciom2smvtdnmosei5rai3t@google.com</t>
  </si>
  <si>
    <t>DeVry || Offboarding Sync</t>
  </si>
  <si>
    <t>https://observepoint.zoom.us/j/3133456073?omn=97007834233&amp;jst=3</t>
  </si>
  <si>
    <t>&lt;p&gt;&lt;br&gt;──────────&lt;br&gt;&lt;br&gt;Chris Hawkes is inviting you to a scheduled Zoom meeting.&lt;br&gt;Join Zoom Meeting&lt;br&gt;https://observepoint.zoom.us/j/3133456073?omn=97007834233&lt;br&gt;&lt;br&gt;Meeting ID: 313 345 6073&lt;br&gt;&lt;br&gt;---&lt;br&gt;&lt;br&gt;One tap mobile&lt;br&gt;+12532158782,,3133456073# US (Tacoma)&lt;br&gt;+13462487799,,3133456073# US (Houston)&lt;br&gt;&lt;br&gt;Join instructions&lt;br&gt;https://observepoint.zoom.us/meetings/97007834233/invitations?signature=hCL_4tDmfU1nf3VI5vS56FYtdI4CkcTgaRezbWe4whY&lt;br&gt;&lt;br&gt;&lt;br&gt;&lt;br&gt;──────────&lt;/p&gt;</t>
  </si>
  <si>
    <t>hvemi50me53da2n6m75e3alq14@google.com</t>
  </si>
  <si>
    <t>ObservePoint &amp; DeVry University || CSM Introduction</t>
  </si>
  <si>
    <t>https://observepoint.zoom.us/j/91033742956</t>
  </si>
  <si>
    <t>Looking forward to connecting.
If you need to reschedule, please use the link: https://observepoint.chilipiper.com/reschedule/9fe9922a-a849-4a42-bf00-e3392abb214d</t>
  </si>
  <si>
    <t>david.sals@devry.edu, colton.matheson@devry.edu, john.davis@observepoint.com, charlotte.castillo@devry.edu, varun.metha@devry.edu</t>
  </si>
  <si>
    <t>YES, INVITED, YES, YES, INVITED</t>
  </si>
  <si>
    <t>5do9moev0vj5htsacghuqic07c@google.com</t>
  </si>
  <si>
    <t>Agilent sync</t>
  </si>
  <si>
    <t>Looking forward to connecting.
If you need to reschedule, please use the link: https://observepoint.chilipiper.com/reschedule/95d17104-3807-48ef-91a1-fae0b28abec6</t>
  </si>
  <si>
    <t>29ksj7argf81svhr7ig1jpbl4u@google.com</t>
  </si>
  <si>
    <t>Lumen Prep</t>
  </si>
  <si>
    <t>6epdb3m8ejuhmntrlt32200rh2_R20251216T190000@google.com</t>
  </si>
  <si>
    <t>4fr0l79mbat7il6leru9flijet@google.com</t>
  </si>
  <si>
    <t>ObservePoint | Amica Weekly Sync</t>
  </si>
  <si>
    <t>fialongo@amica.com, macey.bell@observepoint.com</t>
  </si>
  <si>
    <t>d0uisk68b3ls2vtn32d8ifsu1c_R20251218T210000@google.com</t>
  </si>
  <si>
    <t>3ssmahlif3ghaqajl3gnpp0ogu@google.com</t>
  </si>
  <si>
    <t>MMS Paperwork- how to docusign in Salesforce walkthrough</t>
  </si>
  <si>
    <t>1lsim3m34srfoke6q0nml3bqvu_R20260102T163000@google.com</t>
  </si>
  <si>
    <t>3927qf2kr6430gee70a245caj2@google.com</t>
  </si>
  <si>
    <t>Meeting prep for week</t>
  </si>
  <si>
    <t>I have several conflicts with some of the meetings you have taken on so let's meet to prep for your whole week with an emphasis on the calls I can't make (of people you've already met obviously)</t>
  </si>
  <si>
    <t>7uk2udsdcu4tu728l981dr0rho_R20260105T210000@google.com</t>
  </si>
  <si>
    <t>c2au84msovas0nvc43bkvagfec_R20260106T200000@google.com</t>
  </si>
  <si>
    <t>er6cviq9baaj38817rf2m9c1ek_R20260106T210000@google.com</t>
  </si>
  <si>
    <t>INVITED, INVITED, INVITED, INVITED, NO, YES, YES, YES, INVITED</t>
  </si>
  <si>
    <t>166qr71h9ionaeloa07o706f1r_R20260107T170400@google.com</t>
  </si>
  <si>
    <t>Weekly Sales Mtg</t>
  </si>
  <si>
    <t>jonny.gappmaier@observepoint.com, dylan.sellers@observepoint.com, jarrod.wilbur@observepoint.com, levi.owusu@observepoint.com, clarke.anderson@observepoint.com, david.johnson@observepoint.com, john.davis@observepoint.com, andy.compas@observepoint.com, dallin.madsen@observepoint.com, jeff.tucker@observepoint.com, jared.paxton@observepoint.com, bryce.bergen@observepoint.com, customersuccess@observepoint.com, sarah.hector@observepoint.com, mike.fong@observepoint.com, shelly.croshaw@observepoint.com, jered.white@observepoint.com, todd.wilkerson@observepoint.com, kyle.winder@observepoint.com</t>
  </si>
  <si>
    <t>jonny.gappmaier@observepoint.com, dylan.sellers@observepoint.com, jarrod.wilbur@observepoint.com, levi.owusu@observepoint.com, clarke.anderson@observepoint.com, david.johnson@observepoint.com, john.davis@observepoint.com, andy.compas@observepoint.com, dallin.madsen@observepoint.com, Jeff Tucker, jared.paxton@observepoint.com, bryce.bergen@observepoint.com, Customer Success, sarah.hector@observepoint.com, Mike Fong, shelly.croshaw@observepoint.com, jered.white@observepoint.com, todd.wilkerson@observepoint.com, kyle.winder@observepoint.com</t>
  </si>
  <si>
    <t>YES, YES, YES, YES, YES, YES, INVITED, YES, YES, INVITED, YES, YES, INVITED, YES, YES, YES, YES, YES, YES</t>
  </si>
  <si>
    <t>20qnqpl5pfdoc872od9futg97s_R20260108T150000@google.com</t>
  </si>
  <si>
    <t>YES, YES, INVITED, INVITED</t>
  </si>
  <si>
    <t>ngmt_01KC8R7XCPW464CDKS8B6ZQV7Z</t>
  </si>
  <si>
    <t>jg3k4b3c6kglt1ptm9u9ctc9mc_R20251204T163000@google.com</t>
  </si>
  <si>
    <t>INVITED, INVITED, INVITED, INVITED, INVITED, INVITED</t>
  </si>
  <si>
    <t>ngmt_01KDE2ES3KZVEFZC1SXKH83N46</t>
  </si>
  <si>
    <t>7vcrrjggo9trq8cj6durraehab_R20260108T183000@google.com</t>
  </si>
  <si>
    <t>kathy.behler@lumen.com, macey.bell@observepoint.com, neil.black@lumen.com, kerry.liszka@lumen.com, arnold.hong@lumen.com</t>
  </si>
  <si>
    <t>53eohb9n5u7q7jph9r9efh895t_R20260108T190000@google.com</t>
  </si>
  <si>
    <t>macey.bell@observepoint.com, dipendra.m.bagchee@seagate.com</t>
  </si>
  <si>
    <t>macey.bell@observepoint.com, Dipendra Bagchee</t>
  </si>
  <si>
    <t>9fegpvrebddsvtfvdffnb7upsg@google.com</t>
  </si>
  <si>
    <t>ObservePoint | Questrade Sync</t>
  </si>
  <si>
    <t>Looking forward to connecting.
If you need to reschedule, please use the link: https://observepoint.chilipiper.com/reschedule/6f60202a-ed4a-42e9-abf2-55546ddb8543</t>
  </si>
  <si>
    <t>cyang@questrade.com, macey.bell@observepoint.com, who@questrade.com, rchau@questrade.com</t>
  </si>
  <si>
    <t>INVITED, MAYBE, YES, YES</t>
  </si>
  <si>
    <t>7p4ng5j5j3nj9n4fviamievihn@google.com</t>
  </si>
  <si>
    <t>Review Rebrand OP Results</t>
  </si>
  <si>
    <t>Review the extensive results of the OP scan that identified key terms. Feel free to explore the doc yourself.  The raw data is on the first tab and the Pivot Tab is where I'm putting some summary data. &lt;br&gt;&lt;br&gt;Observations (so far):&lt;br&gt;&lt;ul&gt;&lt;li&gt;~75% of findings are on /blog or /company.&lt;/li&gt;&lt;li&gt;~9% on /resources&lt;/li&gt;&lt;li&gt;Included translated pages (not sure if this was a good or useless thing)&lt;/li&gt;&lt;li&gt;We capped out at 20k pages which means we have more pages we didn't find.  Can't redo until contract resets in 2 months. &lt;/li&gt;&lt;/ul&gt;&lt;br&gt;Doc: &lt;a href="https://docs.google.com/spreadsheets/d/1UEf8-VrqpVjCGHLVWG_j232kxqunCuAQKJGmj2YFgBI/edit?usp=sharing" target="_blank"&gt;MARKETING-61839 : Results (Mongo - ObservePoint Tools)&lt;/a&gt;</t>
  </si>
  <si>
    <t>arthur.engelhard@mongodb.com</t>
  </si>
  <si>
    <t>fiona.erickson@mongodb.com, matt.peloquin@mongodb.com, john.davis@observepoint.com</t>
  </si>
  <si>
    <t>6dgj0pb46cs64b9h6cq64b9kc4s34b9p69h3ab9k6opjadj661j38c1g68@google.com</t>
  </si>
  <si>
    <t>ObservePoint | Amica Sync</t>
  </si>
  <si>
    <t>fialongo@amica.com, dallin.madsen@observepoint.com</t>
  </si>
  <si>
    <t>7mb4th83potb3cqtgb7oaaaeuc@google.com</t>
  </si>
  <si>
    <t>ObservePoint | Dignity Health Sync</t>
  </si>
  <si>
    <t>Looking forward to connecting.
If you need to reschedule, please use the link: https://observepoint.chilipiper.com/reschedule/ee76b37f-8bcc-4d44-9d5c-9d7a4babe793</t>
  </si>
  <si>
    <t>stanton.richard@commonspirit.org</t>
  </si>
  <si>
    <t>48da95uvpj31i9dvvedc8kaf6s@google.com</t>
  </si>
  <si>
    <t>ObservePoint | Bluebeam Inc. Sync</t>
  </si>
  <si>
    <t>Looking forward to connecting.
If you need to reschedule, please use the link: https://observepoint.chilipiper.com/reschedule/1426f3ad-52fa-4e37-a8cd-b4b574f19e58</t>
  </si>
  <si>
    <t>nic.suder@observepoint.com, mtozer@bluebeam.com, nburns@bluebeam.com, macey.bell@observepoint.com, andy.compas@observepoint.com</t>
  </si>
  <si>
    <t>MAYBE, YES, YES, INVITED, INVITED</t>
  </si>
  <si>
    <t>79g8qp0t99f40rllt07vl8s0e4@google.com</t>
  </si>
  <si>
    <t>ObservePoint | Merz Sync Up</t>
  </si>
  <si>
    <t>I want to introduce myself, John,  as your new CSM and would love to chat about your 2026 goals and how ObservePoint can help you reach them. &lt;br&gt;&lt;br&gt;If this time doesn't work for you, feel free to reschedule:&lt;br&gt;&lt;a href="https://observepoint.chilipiper.com/me/john-davis/meeting-with-john"&gt;https://observepoint.chilipiper.com/me/john-davis/meeting-with-john&lt;/a&gt;</t>
  </si>
  <si>
    <t>preah.dalton@merz.com, elvis.ruiz@merz.com, andy.compas@observepoint.com</t>
  </si>
  <si>
    <t>INVITED, INVITED, YES</t>
  </si>
  <si>
    <t>040000008200E00074C5B7101A82E0080000000050A4FD126F80DC01000000000000000010000000343EB912F3704C46A04FE0A822E18981</t>
  </si>
  <si>
    <t>ObservePoint | Ross Stores Inc. Sync</t>
  </si>
  <si>
    <t>Microsoft Teams Meeting; CR DBLN C3224 Avondale, CR DBLN C3224 Avondale</t>
  </si>
  <si>
    <t xml:space="preserve">
________________________________________________________________________________
Microsoft Teams Need help?&lt;https://aka.ms/JoinTeamsMeeting?omkt=en-US&gt;
Join the meeting now&lt;https://teams.microsoft.com/l/meetup-join/19%3ameeting_ODhmYmM4ZjQtYTY5MS00ZmRhLWE0NTEtNjQ3ODEyNWU5ZWE1%40thread.v2/0?context=%7b%22Tid%22%3a%220039204c-2313-4416-bdc3-42fcf01fdbd6%22%2c%22Oid%22%3a%22e77ce3e9-e912-4905-bd2b-f926b73563a1%22%7d&gt;
Meeting ID: 250 175 110 293 11
Passcode: tY99UJ6k
________________________________
Join on a video conferencing device
Tenant key: 967310325@t.plcm.vc
Video ID: 111 127 892 4
More info&lt;https://dialin.plcm.vc/teams/?key=967310325&amp;conf=1111278924&gt;
For organizers: Meeting options&lt;https://teams.microsoft.com/meetingOptions/?organizerId=e77ce3e9-e912-4905-bd2b-f926b73563a1&amp;tenantId=0039204c-2313-4416-bdc3-42fcf01fdbd6&amp;threadId=19_meeting_ODhmYmM4ZjQtYTY5MS00ZmRhLWE0NTEtNjQ3ODEyNWU5ZWE1@thread.v2&amp;messageId=0&amp;language=en-US&gt;
[https://www.rossstores.com/wp-content/uploads/2024/09/350x50-Combo-Logo.png]
Under Ross policy, participants may not record meetings unless previously authorized or permitted by law. The information contained in this message may be privileged, confidential, and protected from disclosure, you are hereby notified that any dissemination, distribution, or copying of this communication is strictly prohibited.
________________________________________________________________________________
</t>
  </si>
  <si>
    <t>macey.bell@observepoint.com, john.davis@observepoint.com, fe.valencia@ros.com, crdbln.avondale2@ros.com</t>
  </si>
  <si>
    <t>Macey Bell, john.davis@observepoint.com, Fe Valencia (MARKETING), CR DBLN C3224 Avondale</t>
  </si>
  <si>
    <t>3qu1hkiudgbkftil8k89506juq@google.com</t>
  </si>
  <si>
    <t>Tattoo</t>
  </si>
  <si>
    <t>masen.sarabia@observepoint.com, callum.bowen@observepoint.com, chris.hawkes@observepoint.com, jake.bauer@observepoint.com, macey.bell@observepoint.com, john.davis@observepoint.com, caleb.conners@observepoint.com, eve.alexander@observepoint.com, tom.robbins@observepoint.com</t>
  </si>
  <si>
    <t>INVITED, YES, YES, NO, INVITED, YES, MAYBE, YES, YES</t>
  </si>
  <si>
    <t>f40hj8t4t84bgp14e712j3l5ds@google.com</t>
  </si>
  <si>
    <t>ObservePoint | EDC Sync</t>
  </si>
  <si>
    <t>Looking forward to connecting.
If you need to reschedule, please use the link: https://observepoint.chilipiper.com/reschedule/02c4a844-d752-477f-ac7c-c6b2d8391870</t>
  </si>
  <si>
    <t>dinika.rao@accenture.com, macey.bell@observepoint.com, kev.lavoie@accenture.com</t>
  </si>
  <si>
    <t>kqfrvcuq0v4c8dhoeslgbmjvop_R20251217T200000@google.com</t>
  </si>
  <si>
    <t>040000008200E00074C5B7101A82E00800000000CDB19E874586DC01000000000000000010000000C241760111A8AE49AC3BF4D21B67A843</t>
  </si>
  <si>
    <t>Observepoint</t>
  </si>
  <si>
    <t xml:space="preserve">
________________________________________________________________________________
Microsoft Teams Need help?&lt;https://aka.ms/JoinTeamsMeeting?omkt=en-US&gt;
Join the meeting now&lt;https://teams.microsoft.com/l/meetup-join/19%3ameeting_YWZhM2I2ZTUtZDYxYi00OTVkLTk4NTQtZDg4ZWRkMDIyODg0%40thread.v2/0?context=%7b%22Tid%22%3a%22fabb61b8-3afe-4e75-b934-a47f782b8cd7%22%2c%22Oid%22%3a%22f089cc43-bfcf-43e5-9b99-90ac44049de6%22%7d&gt;
Meeting ID: 271 384 264 532 75
Passcode: qW6Xu3WJ
________________________________
Dial in by phone
+1 860-785-4641,,586826176#&lt;tel:+18607854641,,586826176#&gt; United States, Hartford
Find a local number&lt;https://dialin.teams.microsoft.com/22163d6e-9f04-4b10-8d3e-3fedfbb93272?id=586826176&gt;
Phone conference ID: 586 826 176#
Join on a video conferencing device
Tenant key: heartbeat@m.webex.com
Video ID: 112 399 429 03
More info&lt;https://www.webex.com/msteams?confid=11239942903&amp;tenantkey=heartbeat&amp;domain=m.webex.com&gt;
For organizers: Meeting options&lt;https://teams.microsoft.com/meetingOptions/?organizerId=f089cc43-bfcf-43e5-9b99-90ac44049de6&amp;tenantId=fabb61b8-3afe-4e75-b934-a47f782b8cd7&amp;threadId=19_meeting_YWZhM2I2ZTUtZDYxYi00OTVkLTk4NTQtZDg4ZWRkMDIyODg0@thread.v2&amp;messageId=0&amp;language=en-US&gt; | Reset dial-in PIN&lt;https://dialin.teams.microsoft.com/usp/pstnconferencing&gt;
________________________________________________________________________________
</t>
  </si>
  <si>
    <t>macey.bell@observepoint.com, amy.rondinelli@cvshealth.com, john.davis@observepoint.com</t>
  </si>
  <si>
    <t>Macey Bell, Rondinelli, Amy, john.davis@observepoint.com</t>
  </si>
  <si>
    <t>INVITED, INVITED, INVITED</t>
  </si>
  <si>
    <t>ngmt_01KF1BQ0E29ZW07WX284EP726C</t>
  </si>
  <si>
    <t>18ok8sj3modsb4rgi6rmla8qj0@google.com</t>
  </si>
  <si>
    <t>Looking forward to connecting.
If you need to reschedule, please use the link: https://observepoint.chilipiper.com/reschedule/eea615f7-6f00-440a-8da7-e7ac03f930ac</t>
  </si>
  <si>
    <t>macey.bell@observepoint.com, kendall.papera@setoyota.com, andy.compas@observepoint.com</t>
  </si>
  <si>
    <t>ks0214tfbpmsp4j6q4mnsn4abg@google.com</t>
  </si>
  <si>
    <t>ObservePoint | Cotiviti - Sync</t>
  </si>
  <si>
    <t>Looking forward to connecting.
If you need to reschedule, please use the link: https://observepoint.chilipiper.com/reschedule/86485666-fb69-4260-b7dd-1e58e040d7de</t>
  </si>
  <si>
    <t>walter.bottlick@cotiviti.com, john.davis@observepoint.com, chris.tack@cotiviti.com</t>
  </si>
  <si>
    <t>ngmt_01KEFRE24YJSXE59XGYCTHE9SP</t>
  </si>
  <si>
    <t>69n88k28dl2uorbtabgmu7q9dk@google.com</t>
  </si>
  <si>
    <t>ObservePoint | Officeworks</t>
  </si>
  <si>
    <t>https://observepoint.zoom.us/j/93362340646</t>
  </si>
  <si>
    <t>Looking forward to connecting.
If you need to reschedule, please use the link: https://observepoint.chilipiper.com/reschedule/5566c14c-dc60-473c-bbb9-206b6caa45d4
Go over the discovery audit and cart checkout journey that John built as a POC.</t>
  </si>
  <si>
    <t>macey.bell@observepoint.com, achan4@officeworks.com.au, hchamberlain@officeworks.com.au, bhowell@officeworks.com.au, hhebron@officeworks.com.au, todd.wilkerson@observepoint.com</t>
  </si>
  <si>
    <t>INVITED, INVITED, YES, YES, INVITED, INVITED</t>
  </si>
  <si>
    <t>ph1mqbtlrjnee56emg8mhj2lv2_R20251219T170000@google.com</t>
  </si>
  <si>
    <t>tyang@caleres.com, macey.bell@observepoint.com, wferlis@caleres.com, dbroz@caleres.com, spomerinke@caleres.com, cmills@caleres.com</t>
  </si>
  <si>
    <t>YES, YES, YES, YES, YES, YES</t>
  </si>
  <si>
    <t>6lecmo3jqmr3moes21l8g865f3@google.com</t>
  </si>
  <si>
    <t xml:space="preserve"> ObservePoint | RWJF - Quick Sync</t>
  </si>
  <si>
    <t>phagerty@rwjf.org</t>
  </si>
  <si>
    <t>Phil Hagerty</t>
  </si>
  <si>
    <t>4fr0l79mbat7il6leru9flijet_R20260120T203000@google.com</t>
  </si>
  <si>
    <t>1aguuo2qsb9hv2vckg60a2fboo@google.com</t>
  </si>
  <si>
    <t>Caleres naturalizer - reports of uncategorized, unapproved, hard coded cookies</t>
  </si>
  <si>
    <t>ohc4qofsbi5r27jm8hl1at712c@google.com</t>
  </si>
  <si>
    <t>Looking forward to connecting.
If you need to reschedule, please use the link: https://observepoint.chilipiper.com/reschedule/1ae5e57d-f7e9-44fd-8896-5dd64c6f27c5</t>
  </si>
  <si>
    <t>NO, NO, YES, YES</t>
  </si>
  <si>
    <t>9p5mdeli8r0roecg8pohlvakfh_R20251225T153000@google.com</t>
  </si>
  <si>
    <t>ObservePoint | MMS Sync</t>
  </si>
  <si>
    <t>mkarora@mms.org, crose@mms.org, john.davis@observepoint.com, aaryee@mms.org</t>
  </si>
  <si>
    <t>589mgs8ekpllajo6jhf3giq2rc@google.com</t>
  </si>
  <si>
    <t>ObservePoint | MongoDB Inc. Sync</t>
  </si>
  <si>
    <t>Looking forward to connecting.
If you need to reschedule, please use the link: https://observepoint.chilipiper.com/reschedule/a471e938-14d8-49dc-94f9-65f13ad51049</t>
  </si>
  <si>
    <t>michaleen.craig@mongodb.com, arthur.engelhard@mongodb.com, wendi.vien@mongodb.com</t>
  </si>
  <si>
    <t>YES, MAYBE, YES</t>
  </si>
  <si>
    <t>7vcrrjggo9trq8cj6durraehab_R20260122T183000@google.com</t>
  </si>
  <si>
    <t>INVITED, NO, MAYBE, YES, YES</t>
  </si>
  <si>
    <t>onn9dgbk5laprh1io1fdsi2rpo@google.com</t>
  </si>
  <si>
    <t>ObservePoint | RDO Equipment Sync</t>
  </si>
  <si>
    <t>Looking forward to connecting.
If you need to reschedule, please use the link: https://observepoint.chilipiper.com/reschedule/19d81eb5-517b-4812-809a-52c1da3ab3a0</t>
  </si>
  <si>
    <t>MAYBE, INVITED, YES, YES</t>
  </si>
  <si>
    <t>mmlhimvvijlcqpjroe2l6eqj6s@google.com</t>
  </si>
  <si>
    <t>ObservePoint | Torrid - Sync</t>
  </si>
  <si>
    <t>Looking forward to connecting.
If you need to reschedule, please use the link: https://observepoint.chilipiper.com/reschedule/1e76cd53-6799-411d-a8ba-be18f361a2eb</t>
  </si>
  <si>
    <t>bwalsh@torrid.com, clarke.anderson@observepoint.com, john.davis@observepoint.com, bisaac@torrid.com, kjain@torrid.com</t>
  </si>
  <si>
    <t>MAYBE, YES, YES, YES, INVITED</t>
  </si>
  <si>
    <t>nf6gjq200j2druilrvu3gp5lj4@google.com</t>
  </si>
  <si>
    <t>ObservePoint | Agilent Sync</t>
  </si>
  <si>
    <t>Looking forward to connecting.
If you need to reschedule, please use the link: https://observepoint.chilipiper.com/reschedule/9742f25a-eb4c-42bb-84ee-42068cc91392</t>
  </si>
  <si>
    <t>macey.bell@observepoint.com, venkata.mallepudi@agilent.com</t>
  </si>
  <si>
    <t>NO, YES</t>
  </si>
  <si>
    <t>5rcafr3f24opbur5nh165hj24g@google.com</t>
  </si>
  <si>
    <t>&lt;a href="https://observepoint.zoom.us/j/3742631971?pwd=Z2JhWG1yV1ZtOVBnMVZaRDR0bjVDZz09&amp;omn=91863898191" target="_blank"&gt;&lt;u&gt;https://observepoint.zoom.us/j/3742631971?pwd=Z2JhWG1yV1ZtOVBnMVZaRDR0bjVDZz09&amp;amp;omn=91863898191&lt;/u&gt;&lt;/a&gt;</t>
  </si>
  <si>
    <t>macey.bell@observepoint.com, grant.menefee@worldmarket.com, kevin.farkas@worldmarket.com, abel.gomez@observepoint.com, jesse.dykhoff@worldmarket.com</t>
  </si>
  <si>
    <t>YES, INVITED, INVITED, INVITED, INVITED</t>
  </si>
  <si>
    <t>cai2ugl8dv8pebnrvap7pehlvb@google.com</t>
  </si>
  <si>
    <t>fialongo@amica.com</t>
  </si>
  <si>
    <t>ngmt_01KFEK95PX2BSCV67P2P5YFY0H</t>
  </si>
  <si>
    <t>io9541s7gtb1gs4lk7mfhccmb8@google.com</t>
  </si>
  <si>
    <t>ObservePoint | DeVry University Sync</t>
  </si>
  <si>
    <t>https://observepoint.zoom.us/j/99401680681</t>
  </si>
  <si>
    <t>Looking forward to connecting.
If you need to reschedule, please use the link: https://observepoint.chilipiper.com/reschedule/9aba9c82-7f7b-42f8-8aa7-908951384305</t>
  </si>
  <si>
    <t>david.sals@devry.edu, bryce.bergen@observepoint.com, varun.mehta@devry.edu, colton.matheson@devry.edu, charlotte.castillo@devry.edu, chris.nugent@devry.edu</t>
  </si>
  <si>
    <t>INVITED, NO, INVITED, INVITED, YES, INVITED</t>
  </si>
  <si>
    <t>68r36p1gc5h62bb46osjcb9k6hi34b9pc8o3cbb6ckrmcd9h6kpm2p34cg@google.com</t>
  </si>
  <si>
    <t>ObservePoint | CDW Sync</t>
  </si>
  <si>
    <t>macey.bell@observepoint.com, audrbom@cdw.com, tatyana.zachary@cdw.com</t>
  </si>
  <si>
    <t>6epdb3m8ejuhmntrlt32200rh2_R20260127T190000@google.com</t>
  </si>
  <si>
    <t>Looking forward to connecting</t>
  </si>
  <si>
    <t>ngmt_01KDSNSC3TKRAJ78GP98R39FV8</t>
  </si>
  <si>
    <t>1bvk5eiq08cq176uh2nc9gaup8_R20260126T213000@google.com</t>
  </si>
  <si>
    <t>1i6s3p0e3soosamft3qu3d81vc@google.com</t>
  </si>
  <si>
    <t>John - Nic | 1:1</t>
  </si>
  <si>
    <t>INVITED, INVITED, INVITED, INVITED</t>
  </si>
  <si>
    <t>ngmt_01KFM0VY51YQRV6HA8HFJ37MEH</t>
  </si>
  <si>
    <t>kqfrvcuq0v4c8dhoeslgbmjvop_R20260128T200000@google.com</t>
  </si>
  <si>
    <t>1288aq1k0f5eidd7mijrb17vbg_R20260126T203000@google.com</t>
  </si>
  <si>
    <t>charlie@ctysse.net, macey.bell@observepoint.com, egonzales@verisign.com, charlie.tysse@stackedanalytics.com</t>
  </si>
  <si>
    <t>ngmt_01KFEDZNTX2YHX1C7V0NAVCZVH</t>
  </si>
  <si>
    <t>7srfijl9vkm04r391gh5l7r1og@google.com</t>
  </si>
  <si>
    <t>Work on Agilent Journey</t>
  </si>
  <si>
    <t>u2h6o9rdn7mb4dnmhu71mp7osi_R20260128T223000@google.com</t>
  </si>
  <si>
    <t>ObservePoint | Accent Group - Sync</t>
  </si>
  <si>
    <t>jordan.robinson@accentgr.com.au, macey.bell@observepoint.com, stuart.heggie@accentgr.com.au, todd.wilkerson@observepoint.com</t>
  </si>
  <si>
    <t>Jordan Robinson, macey.bell@observepoint.com, stuart.heggie@accentgr.com.au, todd.wilkerson@observepoint.com</t>
  </si>
  <si>
    <t>ngmt_01KDW869DG4H1DFY42A46YPE54</t>
  </si>
  <si>
    <t>2rhasc8u6n0414kd4ed1stjhtr_R20260129T173000@google.com</t>
  </si>
  <si>
    <t>vf6n0s4g0jnf9dr1jiv1bn1u5s@google.com</t>
  </si>
  <si>
    <t>ObservePoint | Officeworks Sync</t>
  </si>
  <si>
    <t>Looking forward to connecting.
If you need to reschedule, please use the link: https://observepoint.chilipiper.com/reschedule/2edcaca8-c393-45f6-bce0-29f6a7c722c4</t>
  </si>
  <si>
    <t>INVITED, INVITED, YES, MAYBE, INVITED, INVITED</t>
  </si>
  <si>
    <t>ngmt_01KF9F0WEY837HJD4XH1FDQY0E</t>
  </si>
  <si>
    <t>7g2d6c8hblsauop2ul370se97m@google.com</t>
  </si>
  <si>
    <t>Build journey for Mongo</t>
  </si>
  <si>
    <t>4eued77lj2nbk3cvohu8447rh5@google.com</t>
  </si>
  <si>
    <t>End of Q4 🎉🥳 👏🎊🙌🍾🍻🎈🥂</t>
  </si>
  <si>
    <t>jared.paxton@observepoint.com, jake.bauer@observepoint.com, chris.hawkes@observepoint.com, macey.bell@observepoint.com, john.davis@observepoint.com, caleb.conners@observepoint.com, mckay.daines@observepoint.com</t>
  </si>
  <si>
    <t>YES, YES, MAYBE, INVITED, INVITED, YES, YES</t>
  </si>
  <si>
    <t>ngmt_01KFEK962675R0N74NKFN3GZ3X</t>
  </si>
  <si>
    <t>040000008200E00074C5B7101A82E00800000000A09DC31C6990DC010000000000000000100000004DA25F2B893B054F927EF040DED4AAA2</t>
  </si>
  <si>
    <t>ObservePoint &amp; Prudential Sync</t>
  </si>
  <si>
    <t xml:space="preserve">Can we catch up and prepare for ObservePoint audit call with broader team next Tuesday?
________________________________________________________________________________
Microsoft Teams meeting
Join: https://teams.microsoft.com/meet/23159787646159?p=vvI81S07PdeAWp1qqW
Meeting ID: 231 597 876 461 59
Passcode: Zw7p6gR9
________________________________
Need help?&lt;https://aka.ms/JoinTeamsMeeting?omkt=en-US&gt; | System reference&lt;https://teams.microsoft.com/l/meetup-join/19%3ameeting_NWZmNGJmZGMtODdkZi00OGFlLWI4MGMtYTQyMDUzNTlkZDg5%40thread.v2/0?context=%7b%22Tid%22%3a%22d8fde2f5-9392-4260-8a03-0ad01f4746e9%22%2c%22Oid%22%3a%224cf02d10-78dd-48bc-8462-dd3691fbdcba%22%7d&gt;
Dial in by phone
+1 201-268-5459,,466229889#&lt;tel:+12012685459,,466229889&gt; United States, Jersey City
Find a local number&lt;https://dialin.teams.microsoft.com/ac35f719-4ba9-43f5-9868-757c80218322?id=466229889&gt;
Phone conference ID: 466 229 889#
Join on a video conferencing device
Tenant key: pru@m.webex.com
Video ID: 114 865 534 9
More info&lt;https://www.webex.com/msteams?confid=1148655349&amp;tenantkey=pru&amp;domain=m.webex.com&gt;
For organizers: Meeting options&lt;https://teams.microsoft.com/meetingOptions/?organizerId=4cf02d10-78dd-48bc-8462-dd3691fbdcba&amp;tenantId=d8fde2f5-9392-4260-8a03-0ad01f4746e9&amp;threadId=19_meeting_NWZmNGJmZGMtODdkZi00OGFlLWI4MGMtYTQyMDUzNTlkZDg5@thread.v2&amp;messageId=0&amp;language=en-US&gt; | Reset dial-in PIN&lt;https://dialin.teams.microsoft.com/usp/pstnconferencing&gt;
Click the Help link below for Teams meeting troubleshooting tips. Site is accessible when connected to the Prudential network.
Org help&lt;https://prudentialus.sharepoint.com/sites/trc/SitePages/Teams-Meeting-Tips.aspx?source=https%3A%2F%2Fprudentialus.sharepoint.com%2Fsites%2Ftrc%2FSitePages%2FForms%2FAllPages.aspx&gt;
________________________________________________________________________________
</t>
  </si>
  <si>
    <t>ngmt_01KG344FKECYTPWS2RT83HZ169</t>
  </si>
  <si>
    <t>218mor5missl9pp5a4l5h8bptl_R20251226T200000@google.com</t>
  </si>
  <si>
    <t>20r4lk1uh1dpckfhbde5u9t07d@google.com</t>
  </si>
  <si>
    <t>Work on Questrade's TODOs</t>
  </si>
  <si>
    <t>4dgkpvfjo87sujcjhm3mrdjalu@google.com</t>
  </si>
  <si>
    <t>Work on Dignity txt request</t>
  </si>
  <si>
    <t>b7ov3mvhv65crhajuigb2gijps@google.com</t>
  </si>
  <si>
    <t>Booked with ChiliCal.
Looking forward to connecting.
If you need to reschedule, please use the link: https://observepoint.chilipiper.com/reschedule/2cbb60d8-3f25-4892-a7b5-1842c46c4599</t>
  </si>
  <si>
    <t>venkata.mallepudi@agilent.com</t>
  </si>
  <si>
    <t>ngmt_01KG5H6T8HYARVT3A9CRTT3S4H</t>
  </si>
  <si>
    <t>040000008200E00074C5B7101A82E008000000007080CFE83D90DC010000000000000000100000008E66E74553C2CF44A4EEE8858CEE2355</t>
  </si>
  <si>
    <t>Review ObservePoint Audit of Pru.com</t>
  </si>
  <si>
    <t xml:space="preserve">Hi All,
In this call, we will review latest ObservePoint audit of Pru.com URLs to identify any issues with missing/unnecessary tags, broken links like 404, site load speed, etc.
We won’t need meeting to review the audit each time.  Since ObservePoint audits can get complex, we will have few more meetings until the key stakeholders become fully familiarized with the audits and ObservePoint platform.
Afterwards, I can schedule the audits bi-weekly, monthly or quarterly for Tier 1, 2, 3 pages and the right contacts can receive the audits, review them and take actions if needed.
Thanks,
Steve
________________________________________________________________________________
Microsoft Teams meeting
Join: https://teams.microsoft.com/meet/27891260369105?p=GdNP1i7b0xRn1dFHiA
Meeting ID: 278 912 603 691 05
Passcode: WX99Bx7U
________________________________
Need help?&lt;https://aka.ms/JoinTeamsMeeting?omkt=en-US&gt; | System reference&lt;https://teams.microsoft.com/l/meetup-join/19%3ameeting_YzlmNTFlODgtNzI0Zi00NzMyLTgzMjctZGNhNzk3YmQ3NDNk%40thread.v2/0?context=%7b%22Tid%22%3a%22d8fde2f5-9392-4260-8a03-0ad01f4746e9%22%2c%22Oid%22%3a%224cf02d10-78dd-48bc-8462-dd3691fbdcba%22%7d&gt;
Dial in by phone
+1 201-268-5459,,665985453#&lt;tel:+12012685459,,665985453&gt; United States, Jersey City
Find a local number&lt;https://dialin.teams.microsoft.com/ac35f719-4ba9-43f5-9868-757c80218322?id=665985453&gt;
Phone conference ID: 665 985 453#
Join on a video conferencing device
Tenant key: pru@m.webex.com&lt;mailto:pru@m.webex.com&gt;
Video ID: 117 389 018 9
More info&lt;https://www.webex.com/msteams?confid=1173890189&amp;tenantkey=pru&amp;domain=m.webex.com&gt;
For organizers: Meeting options&lt;https://teams.microsoft.com/meetingOptions/?organizerId=4cf02d10-78dd-48bc-8462-dd3691fbdcba&amp;tenantId=d8fde2f5-9392-4260-8a03-0ad01f4746e9&amp;threadId=19_meeting_YzlmNTFlODgtNzI0Zi00NzMyLTgzMjctZGNhNzk3YmQ3NDNk@thread.v2&amp;messageId=0&amp;language=en-US&gt; | Reset dial-in PIN&lt;https://dialin.teams.microsoft.com/usp/pstnconferencing&gt;
Click the Help link below for Teams meeting troubleshooting tips. Site is accessible when connected to the Prudential network.
Org help&lt;https://prudentialus.sharepoint.com/sites/trc/SitePages/Teams-Meeting-Tips.aspx?source=https%3A%2F%2Fprudentialus.sharepoint.com%2Fsites%2Ftrc%2FSitePages%2FForms%2FAllPages.aspx&gt;
________________________________________________________________________________
</t>
  </si>
  <si>
    <t>raghunath.munugala@prudential.com, jennifer.castri@prudential.com, lauren.tajar@prudential.com, john.davis@observepoint.com, soojin.1.kim@prudential.com, neal.ronaghan@prudential.com, chirag1.patel@prudential.com, priyank.goswami@prudential.com, rolando.rafanan@prudential.com, paula.mcnerney@prudential.com, michael.vance@prudential.com, eileen.cuevas@prudential.com, sanjana.dodley@prudential.com, caitlin.diaz@prudential.com, narender.reddy@prudential.com</t>
  </si>
  <si>
    <t>Raghunath Munugala, Jenny Castri, Lauren Tajar, john.davis@observepoint.com, Soojin Kim, Neal Ronaghan, Chirag Patel, Priyank Goswami, Rolando Rafanan, Paula McNerney, Mike Vance, Eileen Cuevas, Sanjana Dodley, Caitlin Diaz, Narender Reddy Karka</t>
  </si>
  <si>
    <t>INVITED, INVITED, INVITED, YES, INVITED, INVITED, INVITED, INVITED, INVITED, INVITED, INVITED, INVITED, INVITED, INVITED, INVITED</t>
  </si>
  <si>
    <t>ngmt_01KG33HV388QED9QCDZC26JAJ1</t>
  </si>
  <si>
    <t>mrkjr8gp1lndfdm4150t9pc5uk@google.com</t>
  </si>
  <si>
    <t>ObservePoint | Brunswick Sync</t>
  </si>
  <si>
    <t>Booked with ChiliCal.
Looking forward to connecting.
If you need to reschedule, please use the link: https://observepoint.chilipiper.com/reschedule/f83c526d-bfd6-433c-8831-8cc917e22067</t>
  </si>
  <si>
    <t>brad.weidner@brunswick.com</t>
  </si>
  <si>
    <t>ngmt_01KG7QE75PTESKSWAG8X12ERY4</t>
  </si>
  <si>
    <t>c2au84msovas0nvc43bkvagfec_R20260203T200000@google.com</t>
  </si>
  <si>
    <t>pfrei@caesars.com, cdugger@caesars.com, macey.bell@observepoint.com, jered.white@observepoint.com, jparkinson@caesars.com</t>
  </si>
  <si>
    <t>YES, YES, NO, YES, INVITED</t>
  </si>
  <si>
    <t>5ljad0al1ms9rlu1k4m5nohanu@google.com</t>
  </si>
  <si>
    <t>audrbom@cdw.com, tatyana.zachary@cdw.com</t>
  </si>
  <si>
    <t>ngmt_01KFXVPRTKA1W0FQ2G69K7NNXQ</t>
  </si>
  <si>
    <t>er6cviq9baaj38817rf2m9c1ek_R20260203T210000@google.com</t>
  </si>
  <si>
    <t>ObservePoint | Dignity Health - Monthly Sync</t>
  </si>
  <si>
    <t>Looking forward to connecting.If you need to reschedule, please use the link: &lt;a href="https://observepoint.chilipiper.com/reschedule/6f60202a-ed4a-42e9-abf2-55546ddb8543" target="_blank"&gt;&lt;u&gt;https://observepoint.chilipiper.com/reschedule/6f60202a-ed4a-42e9-abf2-55546ddb8543&lt;/u&gt;&lt;/a&gt;</t>
  </si>
  <si>
    <t>philip.leach@commonspirit.org, ken.johanson@commonspirit.org, stanton.richard@commonspirit.org, david.adams903@commonspirit.org, macey.bell@observepoint.com, debra.veik@commonspirit.org, eric.davis902@commonspirit.org</t>
  </si>
  <si>
    <t>Philip Leach AZ-Phoenix, ken.johanson@commonspirit.org, stanton.richard@commonspirit.org, david.adams903@commonspirit.org, macey.bell@observepoint.com, debra.veik@commonspirit.org, eric.davis902@commonspirit.org</t>
  </si>
  <si>
    <t>INVITED, INVITED, INVITED, MAYBE, NO, INVITED, INVITED</t>
  </si>
  <si>
    <t>ngmt_01KEAJAKCXK762QNZSNP6K5MHA</t>
  </si>
  <si>
    <t>hh36taf82209611hru9o1540gg@google.com</t>
  </si>
  <si>
    <t>ObservePoint | JM Family Enterprises Sync</t>
  </si>
  <si>
    <t>Booked with ChiliCal.
Looking forward to connecting.
If you need to reschedule, please use the link: https://observepoint.chilipiper.com/reschedule/d55e87e6-2d1c-43ca-88ca-c023615d4fe5</t>
  </si>
  <si>
    <t>kathy.shin@22squared.com, ailill.breffni@setoyota.com, jared.blood@22squared.com, jack.zackowitz@22squared.com, kendall.papera@setoyota.com, robyn.beyah@22squared.com</t>
  </si>
  <si>
    <t>NO, YES, YES, YES, YES, YES</t>
  </si>
  <si>
    <t>ngmt_01KG3ANAC2G8DAYYXAM9WRB33V</t>
  </si>
  <si>
    <t>319201ntc9io0q86f17ds9ppt4@google.com</t>
  </si>
  <si>
    <t>Devry University RACI Asset</t>
  </si>
  <si>
    <t>34vcj56brn74t2194a2kb9u3kv@google.com</t>
  </si>
  <si>
    <t>Logan's First Day!</t>
  </si>
  <si>
    <t>callum.bowen@observepoint.com, jake.bauer@observepoint.com, chris.hawkes@observepoint.com, macey.bell@observepoint.com, john.davis@observepoint.com, caleb.conners@observepoint.com, mckay.daines@observepoint.com, eve.alexander@observepoint.com, tom.robbins@observepoint.com</t>
  </si>
  <si>
    <t>YES, NO, INVITED, INVITED, INVITED, YES, YES, INVITED, INVITED</t>
  </si>
  <si>
    <t>166qr71h9ionaeloa07o706f1r_R20260114T170400@google.com</t>
  </si>
  <si>
    <t>Dylan, Nic, Hayden, please plan to join the Sales meeting next week. Kaleigh will be leading a briefing on EDGE US. Please invite your teams to join. Should only need to attend the first 10-15 min. Thx.</t>
  </si>
  <si>
    <t>jonny.gappmaier@observepoint.com, dylan.sellers@observepoint.com, kaleigh.wayment@observepoint.com, jarrod.wilbur@observepoint.com, levi.owusu@observepoint.com, clarke.anderson@observepoint.com, david.johnson@observepoint.com, ethan.prete@observepoint.com, john.davis@observepoint.com, andy.compas@observepoint.com, dallin.madsen@observepoint.com, jeff.tucker@observepoint.com, hayden.butler@observepoint.com, nic.suder@observepoint.com, jared.paxton@observepoint.com, bryce.bergen@observepoint.com, customersuccess@observepoint.com, sarah.hector@observepoint.com, mike.fong@observepoint.com, shelly.croshaw@observepoint.com, jered.white@observepoint.com, bethany.coombs@observepoint.com, todd.wilkerson@observepoint.com, kyle.winder@observepoint.com</t>
  </si>
  <si>
    <t>jonny.gappmaier@observepoint.com, dylan.sellers@observepoint.com, kaleigh.wayment@observepoint.com, jarrod.wilbur@observepoint.com, levi.owusu@observepoint.com, clarke.anderson@observepoint.com, david.johnson@observepoint.com, ethan.prete@observepoint.com, john.davis@observepoint.com, andy.compas@observepoint.com, dallin.madsen@observepoint.com, Jeff Tucker, hayden.butler@observepoint.com, nic.suder@observepoint.com, jared.paxton@observepoint.com, bryce.bergen@observepoint.com, Customer Success, sarah.hector@observepoint.com, Mike Fong, shelly.croshaw@observepoint.com, jered.white@observepoint.com, bethany.coombs@observepoint.com, todd.wilkerson@observepoint.com, kyle.winder@observepoint.com</t>
  </si>
  <si>
    <t>YES, YES, YES, YES, YES, YES, YES, YES, YES, YES, YES, YES, YES, YES, YES, NO, INVITED, YES, YES, YES, YES, YES, YES, NO</t>
  </si>
  <si>
    <t>ipq4vnps57qiqtno69mpr5dmh8@google.com</t>
  </si>
  <si>
    <t>ObservePoint | Lumen Sync</t>
  </si>
  <si>
    <t>Booked with ChiliCal.
Looking forward to connecting.
If you need to reschedule, please use the link: https://observepoint.chilipiper.com/reschedule/224aeb35-4af4-4a11-bc8f-b099c068d68a</t>
  </si>
  <si>
    <t>kathy.behler@lumen.com</t>
  </si>
  <si>
    <t>ngmt_01KG7RJZMDZHNJGA3ARPBT3T7N</t>
  </si>
  <si>
    <t>sph7h8uv1jiqpghv2b0qt33cmo@google.com</t>
  </si>
  <si>
    <t>Booked with ChiliCal.
Looking forward to connecting.
If you need to reschedule, please use the link: https://observepoint.chilipiper.com/reschedule/13ce8ee3-e389-4444-b282-6e370e3aaf49</t>
  </si>
  <si>
    <t>ngmt_01KGJ8MAJND60FTRE8YQ4YN3MP</t>
  </si>
  <si>
    <t>nft6ithtlhdivdobijigqfb7jo@google.com</t>
  </si>
  <si>
    <t>Booked with ChiliCal.
Looking forward to connecting.
If you need to reschedule, please use the link: https://observepoint.chilipiper.com/reschedule/3ea7db3f-d6e0-4450-8918-fdb6e91e26eb</t>
  </si>
  <si>
    <t>cyang@questrade.com, who@questrade.com, rchau@questrade.com</t>
  </si>
  <si>
    <t>NO, NO, YES</t>
  </si>
  <si>
    <t>ngmt_01KG35KGX47F31J2V3X69CG5DE</t>
  </si>
  <si>
    <t>20qnqpl5pfdoc872od9futg97s_R20260205T150000@google.com</t>
  </si>
  <si>
    <t>YES, NO, INVITED, INVITED</t>
  </si>
  <si>
    <t>ngmt_01KEF207073KPXXSEA2PZA4V1E</t>
  </si>
  <si>
    <t>jg3k4b3c6kglt1ptm9u9ctc9mc_R20260205T163000@google.com</t>
  </si>
  <si>
    <t>ObservePoint | WestJet Monthly Sync</t>
  </si>
  <si>
    <t>b84fbeqqv581o3pfup83q75100@google.com</t>
  </si>
  <si>
    <t>ObservePoint | CVS Pharmacy Sync</t>
  </si>
  <si>
    <t>Booked with ChiliCal.
Looking forward to connecting.
If you need to reschedule, please use the link: https://observepoint.chilipiper.com/reschedule/438ad7b5-4313-46c6-b72c-3cbbb13ffa76</t>
  </si>
  <si>
    <t>vongerichtena@aetna.com, dedrickr@aetna.com, coulsond@aetna.com, tanedom@aetna.com, bruce.whittington@cvshealth.com</t>
  </si>
  <si>
    <t>INVITED, INVITED, INVITED, YES, YES</t>
  </si>
  <si>
    <t>ngmt_01KGFJBEWB3AS7HKD3WZZZNPW1</t>
  </si>
  <si>
    <t>INVITED, NO, NO, INVITED, YES</t>
  </si>
  <si>
    <t>ngmt_01KEFE1FR4ZYKF8AC7ZMCQ1G4G</t>
  </si>
  <si>
    <t>6ni42dpds8nfodv5emnkicnel1@google.com</t>
  </si>
  <si>
    <t xml:space="preserve"> ObservePoint | Seagate Monthly Sync</t>
  </si>
  <si>
    <t>dipendra.m.bagchee@seagate.com</t>
  </si>
  <si>
    <t>ngmt_01KEFG136E3MYR0C5H7BSESPGW</t>
  </si>
  <si>
    <t>hifm833ilv8g938o95pflqbe3s@google.com</t>
  </si>
  <si>
    <t>ObservePoint | Robert Wood Johnson Foundation Sync</t>
  </si>
  <si>
    <t>Booked with ChiliCal.
Looking forward to connecting.
If you need to reschedule, please use the link: https://observepoint.chilipiper.com/reschedule/fe92ba59-ebc7-40b5-9dcf-5fc5bf5ef205</t>
  </si>
  <si>
    <t>ngmt_01KGJKEFSJJK5FCKS9BRE4HBP5</t>
  </si>
  <si>
    <t>28nb5eel1bc59966s4b6q1lcn1@google.com</t>
  </si>
  <si>
    <t>ObservePoint | Cotiviti Monthly Sync</t>
  </si>
  <si>
    <t>Look forward to connecting!&lt;br&gt;If you need to reschedule, please follow this link:&lt;br&gt;&lt;a href="https://observepoint.chilipiper.com/me/john-davis/meeting-with-john"&gt;https://observepoint.chilipiper.com/me/john-davis/meeting-with-john&lt;/a&gt;</t>
  </si>
  <si>
    <t>macey.bell@observepoint.com, walter.bottlick@cotiviti.com, chris.tack@cotiviti.com</t>
  </si>
  <si>
    <t>NO, INVITED, YES</t>
  </si>
  <si>
    <t>ngmt_01KF428S8FM0B92829VP8254FG</t>
  </si>
  <si>
    <t>7g60kftr3tnreii8jl2hsi8n4l@google.com</t>
  </si>
  <si>
    <t xml:space="preserve">ObservePoint VPN Migration </t>
  </si>
  <si>
    <t>Agende
=======
Discuss Questrade Firewall migration plans and cutover dates</t>
  </si>
  <si>
    <t>oaigbe@questrade.com</t>
  </si>
  <si>
    <t>curt.sundell@observepoint.com, macey.bell@observepoint.com, vjunior@questrade.com, who@questrade.com, rchau@questrade.com, john.davis@observepoint.com, irajput@questrade.com</t>
  </si>
  <si>
    <t>Curt Sundell, macey.bell@observepoint.com, vjunior@questrade.com, who@questrade.com, rchau@questrade.com, john.davis@observepoint.com, irajput@questrade.com</t>
  </si>
  <si>
    <t>INVITED, INVITED, INVITED, NO, YES, INVITED, YES</t>
  </si>
  <si>
    <t>5rcafr3f24opbur5nh165hj24g_R20260206T170000@google.com</t>
  </si>
  <si>
    <t>macey.bell@observepoint.com, grant.menefee@worldmarket.com, clarke.anderson@observepoint.com, kevin.farkas@worldmarket.com, jesse.dykhoff@worldmarket.com</t>
  </si>
  <si>
    <t>YES, YES, YES, INVITED, INVITED</t>
  </si>
  <si>
    <t>ngmt_01KFNYFQW5Q91BT3NCWY6EB75A</t>
  </si>
  <si>
    <t>eg1hqjvd47dbfcn597coeq8f04@google.com</t>
  </si>
  <si>
    <t>Booked with ChiliCal.
Looking forward to connecting.
If you need to reschedule, please use the link: https://observepoint.chilipiper.com/reschedule/bf64229c-2426-434d-81ac-f4f9ad51ece6</t>
  </si>
  <si>
    <t>ngmt_01KGG0QC5QP22WJVN88HEG3X48</t>
  </si>
  <si>
    <t>ngmt_01KFEK967XDEH47Q818GEEW50D</t>
  </si>
  <si>
    <t>9n6rm1eo75ch800m2s6nrs4ugc@google.com</t>
  </si>
  <si>
    <t>Booked with ChiliCal.
Looking forward to connecting.
If you need to reschedule, please use the link: https://observepoint.chilipiper.com/reschedule/e5ef92e5-6c4a-40dd-b8ba-7ac118369d22</t>
  </si>
  <si>
    <t>dylan.sellers@observepoint.com, charlotte.castillo@devry.edu</t>
  </si>
  <si>
    <t>ngmt_01KGMM8DW0XK58GWHS0ZTZM0EM</t>
  </si>
  <si>
    <t>4rfi4j4m5fkrmjs6b16fal8vqn@google.com</t>
  </si>
  <si>
    <t>Quick Sales Team Huddle</t>
  </si>
  <si>
    <t>Pleasant Grove Suite 300-3-Duran Duran (20)</t>
  </si>
  <si>
    <t>Let's please meet in Duran Duran at 9:45a for a quick 10 min huddle. I'll record for those who can't make it. Thank you.</t>
  </si>
  <si>
    <t>chris.hawkes@observepoint.com, jake.bauer@observepoint.com, andrew.dimmick@observepoint.com, clarke.anderson@observepoint.com, ethan.prete@observepoint.com, john.davis@observepoint.com, andy.compas@observepoint.com, dallin.madsen@observepoint.com, hayden.butler@observepoint.com, jeff.tucker@observepoint.com, nic.suder@observepoint.com, callum.bowen@observepoint.com, bryce.bergen@observepoint.com, macey.bell@observepoint.com, c_188d33e8u4agkh18k5fp2t24i0tg04ggdth76pbiepin0rr9dpq2sorfdk@resource.calendar.google.com, sarah.hector@observepoint.com, mike.fong@observepoint.com, kyle.winder@observepoint.com, todd.wilkerson@observepoint.com, jonny.gappmaier@observepoint.com, dylan.sellers@observepoint.com, jarrod.wilbur@observepoint.com, david.johnson@observepoint.com, mckay.daines@observepoint.com, eve.alexander@observepoint.com, tom.robbins@observepoint.com, logan.bell@observepoint.com, jared.paxton@observepoint.com, jared.wilks@observepoint.com, jered.white@observepoint.com, adrian.gircoveanu@observepoint.com</t>
  </si>
  <si>
    <t>chris.hawkes@observepoint.com, jake.bauer@observepoint.com, andrew.dimmick@observepoint.com, clarke.anderson@observepoint.com, ethan.prete@observepoint.com, john.davis@observepoint.com, andy.compas@observepoint.com, dallin.madsen@observepoint.com, hayden.butler@observepoint.com, Jeff Tucker, nic.suder@observepoint.com, callum.bowen@observepoint.com, bryce.bergen@observepoint.com, macey.bell@observepoint.com, Pleasant Grove Suite 300-3-Duran Duran (20), sarah.hector@observepoint.com, Mike Fong, kyle.winder@observepoint.com, todd.wilkerson@observepoint.com, jonny.gappmaier@observepoint.com, dylan.sellers@observepoint.com, jarrod.wilbur@observepoint.com, david.johnson@observepoint.com, mckay.daines@observepoint.com, eve.alexander@observepoint.com, tom.robbins@observepoint.com, logan.bell@observepoint.com, jared.paxton@observepoint.com, Jared Wilks, jered.white@observepoint.com, adrian.gircoveanu@observepoint.com</t>
  </si>
  <si>
    <t>YES, YES, INVITED, INVITED, YES, INVITED, YES, INVITED, YES, INVITED, YES, YES, YES, INVITED, YES, INVITED, INVITED, YES, INVITED, INVITED, YES, INVITED, INVITED, YES, INVITED, YES, INVITED, YES, INVITED, INVITED, YES</t>
  </si>
  <si>
    <t>2b0025ptv6vosjs42ud6jljoq7@google.com</t>
  </si>
  <si>
    <t>logan.bell@observepoint.com, dylan.sellers@observepoint.com, callum.bowen@observepoint.com, jake.bauer@observepoint.com, chris.hawkes@observepoint.com, macey.bell@observepoint.com, john.davis@observepoint.com, caleb.conners@observepoint.com, mckay.daines@observepoint.com, eve.alexander@observepoint.com, adrian.gircoveanu@observepoint.com, tom.robbins@observepoint.com</t>
  </si>
  <si>
    <t>YES, NO, YES, YES, YES, NO, INVITED, INVITED, YES, INVITED, YES, INVITED</t>
  </si>
  <si>
    <t>NO, INVITED</t>
  </si>
  <si>
    <t>jt12sfik831sdhu54g7q1pdj0i_R20250514T173000@google.com</t>
  </si>
  <si>
    <t>PMI | ObservePoint Monthly Sync</t>
  </si>
  <si>
    <t>john.davis@observepoint.com, abel.gomez@observepoint.com, anthony.mcmahon@pmi.org</t>
  </si>
  <si>
    <t>YES, INVITED, INVITED</t>
  </si>
  <si>
    <t>6epdb3m8ejuhmntrlt32200rh2_R20260203T190000@google.com</t>
  </si>
  <si>
    <t>ngmt_01KEXQBSH1G37NWSHGZ52AEVMA</t>
  </si>
  <si>
    <t>75j6a1rbnd4gdtqihtt3c5d2vt@google.com</t>
  </si>
  <si>
    <t>Prep for Ziff Davis Sync</t>
  </si>
  <si>
    <t>Would love to get some help to prep for my next meeting with Ziff Davis on Feb 3rd</t>
  </si>
  <si>
    <t>macey.bell@observepoint.com, dallin.madsen@observepoint.com</t>
  </si>
  <si>
    <t>INVITED, YES</t>
  </si>
  <si>
    <t>4k7ue01nvuitf0v56e68rk9rgo@google.com</t>
  </si>
  <si>
    <t>Q1 2026 All Hands Revenue Kickoff</t>
  </si>
  <si>
    <t>John's Garage (5132 N 300 W Provo Utah)</t>
  </si>
  <si>
    <t>Current plan is to have breakfast ready by 7:30a. We will start the mtg at 8:15a. Please plan accordingly.
Please do not plan on other activities before 4p.
I'm really looking forward to RKO with everyone!
J. D.</t>
  </si>
  <si>
    <t>logan.bell@observepoint.com, kate.suder@observepoint.com, andrew.dimmick@observepoint.com, john.davis@observepoint.com, jared.wilks@observepoint.com, john@observepoint.com, jeff.tucker@observepoint.com, kyle.winder@observepoint.com, revenue.all@observepoint.com</t>
  </si>
  <si>
    <t>logan.bell@observepoint.com, kate.suder@observepoint.com, andrew.dimmick@observepoint.com, john.davis@observepoint.com, Jared Wilks, john@observepoint.com, Jeff Tucker, kyle.winder@observepoint.com, Revenue</t>
  </si>
  <si>
    <t>INVITED, YES, YES, INVITED, INVITED, INVITED, INVITED, YES, INVITED</t>
  </si>
  <si>
    <t>1kjn9aq68f29634ho5791vv3bq_R20260219T143000@google.com</t>
  </si>
  <si>
    <t>pq0i5dtnsiqtcmbvjpfqlolht4@google.com</t>
  </si>
  <si>
    <t>hut0u1a2uss0b7vff88gvaaidk@google.com</t>
  </si>
  <si>
    <t>ObservePoint | Ziff Davis Inc. 60 min Sync</t>
  </si>
  <si>
    <t>Looking forward to connecting.
If you need to reschedule, please use the link: https://observepoint.chilipiper.com/reschedule/7d89a4d6-8577-4a59-8bfe-68920e34a507</t>
  </si>
  <si>
    <t>robert.taylor@ziffdavis.com, macey.bell@observepoint.com, filippo_caprioli@ziffdavis.com, dallin.madsen@observepoint.com</t>
  </si>
  <si>
    <t>robert.taylor@ziffdavis.com, macey.bell@observepoint.com, Filippo Caprioli, dallin.madsen@observepoint.com</t>
  </si>
  <si>
    <t>INVITED, INVITED, YES, YES</t>
  </si>
  <si>
    <t>ngmt_01KG3YJJ4381Q2XXN4AJ8AYTFD</t>
  </si>
  <si>
    <t>7aetlvp504k1rk4vcntbgptvrn@google.com</t>
  </si>
  <si>
    <t>ObservePoint Awards Gala 🏆</t>
  </si>
  <si>
    <t>&lt;p&gt;Join us for an unforgettable evening as we celebrate excellence, innovation, and the people who make ObservePoint exceptional.&lt;/p&gt;&lt;p&gt;✨ &lt;strong&gt;ObservePoint Awards Gala&lt;/strong&gt; ✨&lt;br&gt;📅 &lt;strong&gt;Thursday, February 12, 2026&lt;/strong&gt;&lt;br&gt;⏰ &lt;strong&gt;6:00–9:00 PM&lt;/strong&gt;&lt;br&gt;📍 &lt;strong&gt;The Garage, Provo&lt;/strong&gt;&lt;br&gt;👗 &lt;strong&gt;Dress Code: Semi-Formal&lt;/strong&gt;&lt;/p&gt;&lt;p&gt;Kindly let us know if you and a significant other will be attending by filling out this google form: &lt;br&gt;&lt;a href="https://forms.gle/UY1qpEUcNxyZ1UrA6"&gt;https://forms.gle/UY1qpEUcNxyZ1UrA6&lt;/a&gt;&lt;/p&gt;&lt;p&gt;We look forward to raising a glass, sharing the spotlight, and celebrating another remarkable year together.&lt;/p&gt;</t>
  </si>
  <si>
    <t>us@observepoint.com, john.davis@observepoint.com</t>
  </si>
  <si>
    <t>US Employees, john.davis@observepoint.com</t>
  </si>
  <si>
    <t>23ubhes7oloac8udc2965ivkod@google.com</t>
  </si>
  <si>
    <t>2025 ObservePoint Awards Dinner</t>
  </si>
  <si>
    <t>This will be streamed for anyone who wants to watch.  Or you can watch the recording later.</t>
  </si>
  <si>
    <t>all@observepoint.com, rseolas@gmail.com, blambert@pelionvp.com, chris@pelionvp.com, john.davis@observepoint.com, blopez@mercatopartners.com, rsanders@mercatopartners.com, jsteele@vlplawgroup.com</t>
  </si>
  <si>
    <t>Everyone, rseolas@gmail.com, blambert@pelionvp.com, chris@pelionvp.com, john.davis@observepoint.com, blopez@mercatopartners.com, rsanders@mercatopartners.com, jsteele@vlplawgroup.com</t>
  </si>
  <si>
    <t>INVITED, YES, YES, INVITED, INVITED, INVITED, YES, YES</t>
  </si>
  <si>
    <t>00dn3utll7te2b1kdcjakfrh26@google.com</t>
  </si>
  <si>
    <t>Questrade VPN tunnel migration</t>
  </si>
  <si>
    <t>curt.sundell@observepoint.com</t>
  </si>
  <si>
    <t>macey.bell@observepoint.com, vjunior@questrade.com, who@questrade.com, oaigbe@questrade.com, rchau@questrade.com, john.davis@observepoint.com, irajput@questrade.com</t>
  </si>
  <si>
    <t>NO, YES, NO, YES, YES, YES, YES</t>
  </si>
  <si>
    <t>g9lrc05h238amhibgkprgju1dk@google.com</t>
  </si>
  <si>
    <t>https://observepoint.zoom.us/j/99974375314</t>
  </si>
  <si>
    <t>Booked with ChiliCal.
Looking forward to connecting.
If you need to reschedule, please use the link: https://observepoint.chilipiper.com/reschedule/eb404fb3-daba-4d8e-84ed-41b0799a6911</t>
  </si>
  <si>
    <t>journey.support@observepoint.com, charlotte.castillo@devry.edu</t>
  </si>
  <si>
    <t>ngmt_01KH4D0EKWNGAR711GPSXYJ4JM</t>
  </si>
  <si>
    <t>1bvk5eiq08cq176uh2nc9gaup8_R20260216T213000@google.com</t>
  </si>
  <si>
    <t>steve.choi@prudential.com</t>
  </si>
  <si>
    <t>4urkct5ph1hlugb09h6a4oepnb@google.com</t>
  </si>
  <si>
    <t>Clarke / John World Market Gameplan</t>
  </si>
  <si>
    <t>clarke.anderson@observepoint.com</t>
  </si>
  <si>
    <t>5ljad0al1ms9rlu1k4m5nohanu_R20260217T203000@google.com</t>
  </si>
  <si>
    <t>tatyana.zachary@cdw.com</t>
  </si>
  <si>
    <t>ngmt_01KHM71EMSMBYJKN0AX6Z35BQ6</t>
  </si>
  <si>
    <t>6epdb3m8ejuhmntrlt32200rh2_R20260217T190000@google.com</t>
  </si>
  <si>
    <t>phagerty@rwjf.org, andy.compas@observepoint.com</t>
  </si>
  <si>
    <t>Phil Hagerty, andy.compas@observepoint.com</t>
  </si>
  <si>
    <t>ngmt_01KHPDYG9050NCE3F2N9CJDTTZ</t>
  </si>
  <si>
    <t>2udct25jn9riar101ckbuvkp9c@google.com</t>
  </si>
  <si>
    <t>Booked with ChiliCal.
Looking forward to connecting.
If you need to reschedule, please use the link: https://observepoint.chilipiper.com/reschedule/405eec6d-a38d-4c33-971c-7ea201c9c75f</t>
  </si>
  <si>
    <t>aparna.kumar@brunswick.com, brad.weidner@brunswick.com</t>
  </si>
  <si>
    <t>ngmt_01KHKZPWVF2JBHW4CY4JQMD5FZ</t>
  </si>
  <si>
    <t>1i6s3p0e3soosamft3qu3d81vc_R20260218T170000@google.com</t>
  </si>
  <si>
    <t>ngmt_01KFNSQ7HM07ZJ8MA73VC477DB</t>
  </si>
  <si>
    <t>kif4udoi058csj45nfea48llmk@google.com</t>
  </si>
  <si>
    <t>Booked with ChiliCal.
Looking forward to connecting.
If you need to reschedule, please use the link: https://observepoint.chilipiper.com/reschedule/fe32ab4f-ac84-4cbb-8feb-6de1099f123e</t>
  </si>
  <si>
    <t>tanedom@aetna.com, amy.rondinelli@cvshealth.com, maria.daponte@cvshealth.com</t>
  </si>
  <si>
    <t>NO, YES, YES</t>
  </si>
  <si>
    <t>ngmt_01KH6Z8BAF8NFYDEA4X2C1KG06</t>
  </si>
  <si>
    <t>jr0b7d5r685aqclf49b4itid9s@google.com</t>
  </si>
  <si>
    <t>Booked with ChiliCal.
Looking forward to connecting.
If you need to reschedule, please use the link: https://observepoint.chilipiper.com/reschedule/2abad50f-df6b-40ae-a17f-60d5498a2cd6</t>
  </si>
  <si>
    <t>esjostrom@darden.com, btymoniewicz@darden.com</t>
  </si>
  <si>
    <t>ngmt_01KH41TQ0A5B6FKJ9ZVP18JZWP</t>
  </si>
  <si>
    <t>un01ms4jb79mju078vj1e2c7bc@google.com</t>
  </si>
  <si>
    <t>ObservePoint | Project Management Institute Sync</t>
  </si>
  <si>
    <t>Booked with ChiliCal.
Looking forward to connecting.
If you need to reschedule, please use the link: https://observepoint.chilipiper.com/reschedule/546ef1ba-ee5f-400e-bde2-e36dab224242</t>
  </si>
  <si>
    <t>macey.bell@observepoint.com, anthony.mcmahon@pmi.org</t>
  </si>
  <si>
    <t>h71rjnaol5qh6j4as089cj07uq_R20260220T000000@google.com</t>
  </si>
  <si>
    <t>ObservePoint | Woolworths - Monthly Sync</t>
  </si>
  <si>
    <t>Lets review our Success Criteria to align on use cases and to increase your value of ObservePoint:&lt;br&gt;&lt;br&gt;&lt;a href="https://docs.google.com/presentation/d/18V9S_haS3hib6rvqH3PfPCG9_0440aLtvkCXYapDZt0/edit?usp=sharing" class="pastedDriveLink-0"&gt;Woolworths 2026 Success Criteria&lt;/a&gt;</t>
  </si>
  <si>
    <t>wwan5@woolworths.com.au, schandrahasan1@woolworths.com.au, aphilip1@woolworths.com.au, jalcantara3@woolworths.com.au, anandrajog1@woolworths.com.au, ikannan@woolworths.com.au, ssingh60@woolworths.com.au, todd.wilkerson@observepoint.com, zzhang4@woolworths.com.au, mmuthe@woolworths.com.au</t>
  </si>
  <si>
    <t>wwan5@woolworths.com.au, schandrahasan1@woolworths.com.au, aphilip1@woolworths.com.au, jalcantara3@woolworths.com.au, anandrajog1@woolworths.com.au, Indhu Kannan, ssingh60@woolworths.com.au, todd.wilkerson@observepoint.com, zzhang4@woolworths.com.au, mmuthe@woolworths.com.au</t>
  </si>
  <si>
    <t>YES, INVITED, MAYBE, INVITED, YES, YES, YES, YES, INVITED, YES</t>
  </si>
  <si>
    <t>YES, YES, NO, INVITED, INVITED</t>
  </si>
  <si>
    <t>ph1mqbtlrjnee56emg8mhj2lv2_R20260220T170000@google.com</t>
  </si>
  <si>
    <t>tyang@caleres.com, wferlis@caleres.com, spomerinke@caleres.com, cmills@caleres.com</t>
  </si>
  <si>
    <t>27vnh0k5na7qlbpq1slvdsjnbc@google.com</t>
  </si>
  <si>
    <t>Booked with ChiliCal.
Looking forward to connecting.
If you need to reschedule, please use the link: https://observepoint.chilipiper.com/reschedule/f9c949e2-90a1-4ef6-8fb1-b62719396704</t>
  </si>
  <si>
    <t>aniatqb43lg57kbnk2t2b3fecc@google.com</t>
  </si>
  <si>
    <t>Booked with ChiliCal.
Looking forward to connecting.
If you need to reschedule, please use the link: https://observepoint.chilipiper.com/reschedule/9c74d87c-c329-436a-8a0d-bd55e16914fe</t>
  </si>
  <si>
    <t>muhammad.ali@cdw.ca, tola.sobitan@cdw.com, adnan.jalil@cdw.ca, maryna.moskalenko@cdw.ca, tatyana.zachary@cdw.com, srilu.miryala@cdw.com</t>
  </si>
  <si>
    <t>INVITED, YES, YES, INVITED, YES, INVITED</t>
  </si>
  <si>
    <t>1288aq1k0f5eidd7mijrb17vbg_R20260223T203000@google.com</t>
  </si>
  <si>
    <t>charlie@ctysse.net, egonzales@verisign.com, charlie.tysse@stackedanalytics.com</t>
  </si>
  <si>
    <t>YES, MAYBE</t>
  </si>
  <si>
    <t>22tu3clakshp9p7ep74d87oqbl@google.com</t>
  </si>
  <si>
    <t xml:space="preserve">Franc and Dallin Sync on 2026 Proposals </t>
  </si>
  <si>
    <t>fialongo@amica.com, john.davis@observepoint.com</t>
  </si>
  <si>
    <t>68fmm61ldbpc0o9dmi49gd81nl@google.com</t>
  </si>
  <si>
    <t>ObservePoint | MMS Monthly Sync</t>
  </si>
  <si>
    <t>mkarora@mms.org, crose@mms.org, aaryee@mms.org</t>
  </si>
  <si>
    <t>2rhasc8u6n0414kd4ed1stjhtr_R20260212T173000@google.com</t>
  </si>
  <si>
    <t>amy.rondinelli@cvshealth.com, maria.daponte@cvshealth.com</t>
  </si>
  <si>
    <t>Rondinelli, Amy, maria.daponte@cvshealth.com</t>
  </si>
  <si>
    <t>d0uisk68b3ls2vtn32d8ifsu1c_R20260226T210000@google.com</t>
  </si>
  <si>
    <t>ellie.mayberry@tyson.com, megan.lewis@tyson.com, nathan.bogner@tyson.com, landon.meriweather@tyson.com, todd.wilkerson@observepoint.com</t>
  </si>
  <si>
    <t>NO, NO, NO, INVITED, INVITED</t>
  </si>
  <si>
    <t>vf6n0s4g0jnf9dr1jiv1bn1u5s_R20260226T223000@google.com</t>
  </si>
  <si>
    <t>achan4@officeworks.com.au, hchamberlain@officeworks.com.au, bhowell@officeworks.com.au, hhebron@officeworks.com.au, todd.wilkerson@observepoint.com</t>
  </si>
  <si>
    <t>MAYBE, NO, YES, YES, INVITED</t>
  </si>
  <si>
    <t>dckas4j2hp1q0eola6a9c2rn20_R20260216T200000@google.com</t>
  </si>
  <si>
    <t>ObservePoint | Questrade Bi-Weekly Syncup</t>
  </si>
  <si>
    <t>Looking forward to connecting.
If you need to reschedule, please use the link: https://observepoint.chilipiper.com/reschedule/1a0e1653-dde3-4072-8e4c-8bd7165a6e3c</t>
  </si>
  <si>
    <t>7uk2udsdcu4tu728l981dr0rho_R20260302T210000@google.com</t>
  </si>
  <si>
    <t>INVITED, INVITED, NO, INVITED</t>
  </si>
  <si>
    <t>YES, YES, NO, INVITED</t>
  </si>
  <si>
    <t>f5cnjnugbq9ik2iac58nlaut90@google.com</t>
  </si>
  <si>
    <t>ObservePoint | Accent Group Monthly Sync</t>
  </si>
  <si>
    <t>Booked with ChiliCal.
Looking forward to connecting.
If you need to reschedule, please use the link: https://observepoint.chilipiper.com/reschedule/88f5dd41-1d64-4389-87af-18d791ab95f4</t>
  </si>
  <si>
    <t>5qlspbrlcotm3r0i66t2t6hukg_R20260205T173000@google.com</t>
  </si>
  <si>
    <t>INVITED, NO, YES, YES, YES</t>
  </si>
  <si>
    <t>1lsim3m34srfoke6q0nml3bqvu_R20260306T163000@google.com</t>
  </si>
  <si>
    <t>https://docs.google.com/document/d/1bYxlKu9l23n9zIPRp5Wsp1Ap4hmbvLgeHB1NxkjtZK4/edit</t>
  </si>
  <si>
    <t>brandie.green@bsci.com, macey.bell@observepoint.com, jumi.kassim@bsci.com</t>
  </si>
  <si>
    <t>YES, YES, INVITED, INVITED, INVITED</t>
  </si>
  <si>
    <t>2crka6p8av0so0e268e56pht5o@google.com</t>
  </si>
  <si>
    <t>bvt7g90hml7jhfk2dgjpnb81mh@google.com</t>
  </si>
  <si>
    <t>ObservePoint | Spark Monthly Sync Up</t>
  </si>
  <si>
    <t>macey.bell@observepoint.com, scott.kempster@spark.co.nz, krushi.radadiya@spark.co.nz</t>
  </si>
  <si>
    <t>kqfrvcuq0v4c8dhoeslgbmjvop_R20260225T200000@google.com</t>
  </si>
  <si>
    <t>ph1mqbtlrjnee56emg8mhj2lv2_R20260320T160000@google.com</t>
  </si>
  <si>
    <t>INVITED, YES, NO</t>
  </si>
  <si>
    <t>1ulu353n372filfsdcif2a5mlc_R20260202T203000@google.com</t>
  </si>
  <si>
    <t>Looking forward to connecting.If you need to reschedule, please use the link: &lt;a href="https://observepoint.chilipiper.com/reschedule/1426f3ad-52fa-4e37-a8cd-b4b574f19e58" target="_blank"&gt;&lt;u&gt;https://observepoint.chilipiper.com/reschedule/1426f3ad-52fa-4e37-a8cd-b4b574f19e58&lt;/u&gt;&lt;/a&gt;</t>
  </si>
  <si>
    <t>YES, INVITED, NO, YES, INVITED, YES, YES</t>
  </si>
  <si>
    <t>Received Date</t>
  </si>
  <si>
    <t>Meeting Title</t>
  </si>
  <si>
    <t>Meeting Company</t>
  </si>
  <si>
    <t>Meeting Date</t>
  </si>
  <si>
    <t>Meeting End Time</t>
  </si>
  <si>
    <t>Duration</t>
  </si>
  <si>
    <t>Summary</t>
  </si>
  <si>
    <t>Actual Attendees</t>
  </si>
  <si>
    <t>Invited Attendees</t>
  </si>
  <si>
    <t>All Names</t>
  </si>
  <si>
    <t>External Attendees</t>
  </si>
  <si>
    <t>My Action Items Count</t>
  </si>
  <si>
    <t>Others Action Items Count</t>
  </si>
  <si>
    <t>Total Action Items</t>
  </si>
  <si>
    <t>Opportunity ID</t>
  </si>
  <si>
    <t>Opportunity Name</t>
  </si>
  <si>
    <t>Mapped Domain</t>
  </si>
  <si>
    <t>Calendar Event ID</t>
  </si>
  <si>
    <t>Meeting Link</t>
  </si>
  <si>
    <t>Zoom Link</t>
  </si>
  <si>
    <t>2026-01-27T18:58:06.620Z</t>
  </si>
  <si>
    <t>2026-01-27T19:32:22.684Z</t>
  </si>
  <si>
    <t>34 minutes</t>
  </si>
  <si>
    <t>Phil Hagerty and John Davis discussed troubleshooting a journey in ObservePoint, where Phil encountered a rule failure due to not checking the "matches regex" option when setting up a variable check for EVAR 13. John walked Phil through using ObservePoint's UI-based actions (click, input) instead of JavaScript and recommended adding wait times to ensure variables load properly before validation. John also introduced Phil to the ObservePoint Chrome extension, which allows users to easily copy full variable names with dot notation directly from their website, saving significant manual work when building data validation rules.</t>
  </si>
  <si>
    <t>phagerty@rwjf.org, john.davis@observepoint.com, andy.compas@observepoint.com</t>
  </si>
  <si>
    <t>andy.compas@observepoint.com, john.davis@observepoint.com, macey.bell@observepoint.com, phagerty@rwjf.org</t>
  </si>
  <si>
    <t>Andy Compas, John Davis, Macey Bell, Phil Hagerty</t>
  </si>
  <si>
    <t>2026-01-23T18:36:23.816Z</t>
  </si>
  <si>
    <t>2026-01-23T19:41:45.274Z</t>
  </si>
  <si>
    <t>65 minutes</t>
  </si>
  <si>
    <t>Frank and John discussed organizing ObservePoint's audit and journey structure, with Frank explaining their QA process for tracking analytics through development and production environments. John recommended starting with a single use case to establish a complete QA workflow before scaling, and demonstrated how to use labels, bulk actions, and custom reports to better organize and monitor journey health across different environments. They agreed to meet again next Friday to review individual journeys and continue implementing the organizational improvements, with John also following up on contract renewal options.</t>
  </si>
  <si>
    <t>john.davis@observepoint.com, fialongo@amica.com</t>
  </si>
  <si>
    <t>John Davis, Fialongo</t>
  </si>
  <si>
    <t>["Love it--lets do it!","Ok that sounds like a plan","I'd propose a 25% increase, 50% increase and 100% increase of pages. Maybe reduce journeys to 1500 but journeys are so insanely cheap so idk if thats even worth mentioning plus theyre still building more journeys","With Dallin","Let's take time to discuss this during the accounts sync we have scheduled tomorrow.","&lt;@U015A9T2KLZ&gt; Frank was hoping that we could send him some pricing options for expansion of their audits for this upcoming renewal. Can you help here? I'm sure he was wanting to keep their grandfathered rate and he really wants me to meet other teams to do some training for them as well.","Your channel \"customer-amica\" was converted to Salesforce channel \"Amica Mutual Insurance\"."]</t>
  </si>
  <si>
    <t>2026-01-28T18:09:03.511Z</t>
  </si>
  <si>
    <t>2026-01-28T18:43:21.141Z</t>
  </si>
  <si>
    <t>John Davis and Raghu discussed implementing ObservePoint audits and web journeys to validate e-commerce flows, engagement tracking, and data quality across multiple regions. They agreed to start with a proof-of-concept approach, with John creating a scripted solution to automate audit setup and building an initial journey example that can be replicated across different scenarios. John will transform Raghu's existing test steps into ObservePoint-compatible formats and explore new features like GitHub integration for CI/CD automation and beta charting capabilities for data visualization, aiming to have initial results ready before the March 21st release and Raghu's upcoming leave.</t>
  </si>
  <si>
    <t>john.davis@observepoint.com, venkata.mallepudi@agilent.com</t>
  </si>
  <si>
    <t>john.davis@observepoint.com, macey.bell@observepoint.com, justin.yee@agilent.com, varun.isaac@agilent.com, venkata.mallepudi@agilent.com</t>
  </si>
  <si>
    <t>John Davis, Macey Bell, Justin Yee, Varun Isaac, Venkata Mallepudi</t>
  </si>
  <si>
    <t>["Your channel \"customer-agilent\" was converted to Salesforce channel \"Agilent\"."]</t>
  </si>
  <si>
    <t>2026-01-28T20:28:03.379Z</t>
  </si>
  <si>
    <t>2026-01-28T20:32:12.895Z</t>
  </si>
  <si>
    <t>4 minutes</t>
  </si>
  <si>
    <t>This meeting transcript captures a brief informal conversation where participants are getting organized at the start of a call. John Davis and others discuss concerns about recording the session, noting that their company has strict policies against it. The conversation involves some confusion about meeting room ownership and how to disable the recording feature, with participants trying to figure out the technical steps to remove the recording bot from the session.</t>
  </si>
  <si>
    <t>john.davis@observepoint.com, macey.bell@observepoint.com</t>
  </si>
  <si>
    <t>john.davis@observepoint.com, macey.bell@observepoint.com, charlie@ctysse.net, charlie.tysse@stackedanalytics.com, egonzales@verisign.com</t>
  </si>
  <si>
    <t>John Davis, Macey Bell, Charlie, Charlie.tysse, Egonzales</t>
  </si>
  <si>
    <t>charlie@ctysse.net, charlie.tysse@stackedanalytics.com, egonzales@verisign.com</t>
  </si>
  <si>
    <t>["&lt;@U6S3ZRQDA&gt; has joined the channel","Your channel \"customer-verisign\" was converted to Salesforce channel \"Verisign\"."]</t>
  </si>
  <si>
    <t>2026-01-29T22:31:15.043Z</t>
  </si>
  <si>
    <t>2026-01-29T23:17:02.980Z</t>
  </si>
  <si>
    <t>46 minutes</t>
  </si>
  <si>
    <t>This meeting focused on helping Officeworks better utilize ObservePoint for data quality monitoring and governance. The team discussed implementing automated audits to validate their data layer consistency across three tag managers (Tealium, Google Tag Manager, and Adobe Launch), with particular emphasis on monitoring critical conversion events like add-to-cart and checkout processes. Key action items include exploring GitHub integration for automated testing during code releases, scheduling a follow-up session to address Hailey's specific use cases around the custom "digital data" layer, and establishing governance standards that can be enforced through ObservePoint's rules and alerting capabilities.</t>
  </si>
  <si>
    <t>john.davis@observepoint.com, hchamberlain@officeworks.com.au, hhebron@officeworks.com.au</t>
  </si>
  <si>
    <t>john.davis@observepoint.com, macey.bell@observepoint.com, todd.wilkerson@observepoint.com, achan4@officeworks.com.au, bhowell@officeworks.com.au, hchamberlain@officeworks.com.au, hhebron@officeworks.com.au</t>
  </si>
  <si>
    <t>John Davis, Macey Bell, Todd Wilkerson, Achan4, Bhowell, Hchamberlain, Hhebron</t>
  </si>
  <si>
    <t>hchamberlain@officeworks.com.au, hhebron@officeworks.com.au</t>
  </si>
  <si>
    <t>["Yep I agree","definitely a soft warning though. You'll want to get very direct about success criteria. Essentially, what would make this an indispensable tool for their organization.","Ash talked about how they want to comb through their tools this year to see what they want to drop because he feels like there might be some overlap. He still likes OP but asked me to have regular meetings to make sure they are getting the most value out of OP, which was my plan anyways. I still feel good about where we are with them, their use cases they told me still align well I think","I got a churn alert for this account today. How can I help?"]</t>
  </si>
  <si>
    <t>2026-01-30T18:32:17.797Z</t>
  </si>
  <si>
    <t>2026-01-30T19:32:44.095Z</t>
  </si>
  <si>
    <t>60 minutes</t>
  </si>
  <si>
    <t>John Davis and Frank Ialongo discussed organizing ObservePoint journeys and audits, with a focus on creating effective alerting systems for marketing tag monitoring. They worked through setting up folder structures, building custom reports filtered by labels and folders, and establishing rules and alerts to monitor Facebook conversion tags across web pages. The session concluded with creating an alert that would notify the team when more than five pages (or 1% of total pages) are missing the Facebook conversion tag, providing a scalable framework for monitoring marketing pixels across their website.</t>
  </si>
  <si>
    <t>["This message was deleted.","Researching...","Oops, something unexpected happened while processing your request. Please try again.","Love it--lets do it!","Ok that sounds like a plan","I'd propose a 25% increase, 50% increase and 100% increase of pages. Maybe reduce journeys to 1500 but journeys are so insanely cheap so idk if thats even worth mentioning plus theyre still building more journeys","With Dallin","Let's take time to discuss this during the accounts sync we have scheduled tomorrow.","Frank was hoping that we could send him some pricing options for expansion of their audits for this upcoming renewal. Can you help here? I'm sure he was wanting to keep their grandfathered rate and he really wants me to meet other teams to do some training for them as well.","Your channel \"customer-amica\" was converted to Salesforce channel \"Amica Mutual Insurance\"."]</t>
  </si>
  <si>
    <t>2026-01-30T19:42:53.158Z</t>
  </si>
  <si>
    <t>2026-01-30T20:05:30.043Z</t>
  </si>
  <si>
    <t>23 minutes</t>
  </si>
  <si>
    <t>John Davis and Steve Choi discussed formalizing ObservePoint's audit process for Prudential's websites using a three-tier system aligned with their biweekly release cadence. They planned an upcoming Tuesday meeting where John will demonstrate audit capabilities and gather specific use cases and questions from the team to configure appropriate monitoring rules and alerts. Steve needs to collect tier-specific URLs from both the .com and PGIM teams, with their annual contract allowing approximately 5,500 pages to be scanned monthly. The focus will be on establishing a structured, recurring audit schedule rather than continuing ad-hoc monitoring.</t>
  </si>
  <si>
    <t>john.davis@observepoint.com, steve.choi@prudential.com</t>
  </si>
  <si>
    <t>John Davis, Steve Choi</t>
  </si>
  <si>
    <t>prudential.com</t>
  </si>
  <si>
    <t>["&lt;@U6S3ZRQDA&gt; has joined the channel","Your channel \"customer-prudential\" was converted to Salesforce channel \"Prudential Financial Inc.\"."]</t>
  </si>
  <si>
    <t>2026-02-03T16:58:07.473Z</t>
  </si>
  <si>
    <t>2026-02-03T17:36:32.788Z</t>
  </si>
  <si>
    <t>38 minutes</t>
  </si>
  <si>
    <t>John Davis and Raj discussed progress on setting up ObservePoint journeys to validate Adobe Analytics implementation, focusing on the engagement homepage journey with steps to verify data layer variables and component IDs. They identified that custom tags won't impact site performance since they run after page load, discovered the Adobe data layer was already accessible (eliminating the need for custom tags), and determined that ObservePoint's browser captures the entire page without scrolling simulation. Raj committed to providing documentation by week's end detailing all parameters and data elements for each event, prioritizing the engagement homepage with potential extension to the search page, while they agreed to reschedule their February 16th meeting due to the President's Day holiday.</t>
  </si>
  <si>
    <t>John Davis, Venkata Mallepudi</t>
  </si>
  <si>
    <t>2026-02-03T18:30:17.434Z</t>
  </si>
  <si>
    <t>2026-02-03T19:14:48.072Z</t>
  </si>
  <si>
    <t>45 minutes</t>
  </si>
  <si>
    <t>The meeting focused on establishing a formal process for ObservePoint website audits at Prudential. The team discussed creating a tiered scanning approach (tier 1: high-traffic pages scanned biweekly, tier 2: monthly, tier 3: quarterly) within their 70,000 annual page scan limit, with the goal of identifying approximately 40 tier-1 pages representing 1% or more of site traffic. Lauren committed to working with the content team over the next few weeks to audit and categorize pages across all Prudential subdomains, considering factors like traffic volume, page types, and system integrations. The team also reviewed ObservePoint's capabilities for detecting broken links, missing tags, and privacy compliance issues, with plans to reconvene in two weeks to finalize the page list and determine stakeholders who will receive and act on audit alerts.</t>
  </si>
  <si>
    <t>john.davis@observepoint.com, caitlin.diaz@prudential.com, chirag1.patel@prudential.com, eileen.cuevas@prudential.com, jennifer.castri@prudential.com, lauren.tajar@prudential.com, michael.vance@prudential.com, narender.reddy@prudential.com, neal.ronaghan@prudential.com, paula.mcnerney@prudential.com, priyank.goswami@prudential.com, raghunath.munugala@prudential.com, rolando.rafanan@prudential.com, sanjana.dodley@prudential.com, soojin.1.kim@prudential.com, steve.choi@prudential.com</t>
  </si>
  <si>
    <t>John Davis, Caitlin Diaz, Chirag Patel, Eileen Cuevas, Jennifer Castri, Lauren Tajar, Michael Vance, Narender Reddy, Neal Ronaghan, Paula McNerney, Priyank Goswami, Raghunath Munugala, Rolando Rafanan, Sanjana Dodley, Soojin Kim, Steve Choi</t>
  </si>
  <si>
    <t>2026-02-03T19:30:17.657Z</t>
  </si>
  <si>
    <t>2026-02-03T20:01:10.359Z</t>
  </si>
  <si>
    <t>31 minutes</t>
  </si>
  <si>
    <t>John Davis met with Brad and Aparna from Brunswick to discuss implementing ObservePoint's journey mapping and rule-building features across their 20+ websites to monitor lead form submissions. The team is struggling to create reusable rules because different forms require specific variable values (like SQL vs. MQL lead status), and using the standard UI would require creating approximately 60+ individual rules across their sites. John proposed using custom JavaScript tags to handle the conditional logic more efficiently, which would allow for more flexible rule creation while keeping the solution manageable, and committed to researching best practices with the solutions team before their next discussion.</t>
  </si>
  <si>
    <t>john.davis@observepoint.com, brad.weidner@brunswick.com</t>
  </si>
  <si>
    <t>John Davis, Brad Weidner</t>
  </si>
  <si>
    <t>["&lt;@U6S3ZRQDA&gt; has joined the channel","Your channel \"customer-brunswick\" was converted to Salesforce channel \"Brunswick\"."]</t>
  </si>
  <si>
    <t>2026-02-03T20:28:09.282Z</t>
  </si>
  <si>
    <t>2026-02-03T20:30:05.662Z</t>
  </si>
  <si>
    <t>2 minutes</t>
  </si>
  <si>
    <t>The meeting focused on coordinating accessibility feature demonstrations for ObservePoint's platform. While John Davis acknowledged that accessibility auditing is available in their tool but not their primary specialty, the team agreed to schedule a walkthrough for Chelsey's center of excellence team. Now that SSO access issues have been resolved, PFrei and Chelsey will coordinate with John to arrange a demonstration of the accessibility audit features for their team members.</t>
  </si>
  <si>
    <t>john.davis@observepoint.com, audrbom@cdw.com, tatyana.zachary@cdw.com</t>
  </si>
  <si>
    <t>John Davis, Audrbom, Tatyana Zachary</t>
  </si>
  <si>
    <t>["&lt;@U6S3ZRQDA&gt; has joined the channel","Your channel \"customer-cdw\" was converted to Salesforce channel \"CDW\"."]</t>
  </si>
  <si>
    <t>2026-02-03T20:58:05.662Z</t>
  </si>
  <si>
    <t>2026-02-03T21:01:54.381Z</t>
  </si>
  <si>
    <t>The team discussed organizing and cleaning up CDW website validation journeys, identifying that they were missing an order version for cdw.com while having duplicates of other journeys. They determined that one unlabeled journey was actually an order flow (not a quote) based on its steps, and decided to rename it accordingly and delete unnecessary duplicate entries from their tracking spreadsheet. The team agreed to increase their meeting cadence from biweekly to weekly temporarily to expedite the cleanup process before potentially moving to monthly meetings.</t>
  </si>
  <si>
    <t>john.davis@observepoint.com, audrey.bombeck-massel@observepoint.com, tatyana.zachary@observepoint.com</t>
  </si>
  <si>
    <t>abel.gomez@observepoint.com, john.davis@observepoint.com, macey.bell@observepoint.com, david.adams903@commonspirit.org, david.krause@commonspirit.org, debra.veik@commonspirit.org, eric.davis902@commonspirit.org, ken.johanson@commonspirit.org, philip.leach@commonspirit.org, stanton.richard@commonspirit.org</t>
  </si>
  <si>
    <t>Abel Gomez, John Davis, Macey Bell, David Adams, David Krause, Debra Veik, Eric Davis, Ken Johanson, Philip Leach, Stanton Richard</t>
  </si>
  <si>
    <t>david.adams903@commonspirit.org, david.krause@commonspirit.org, debra.veik@commonspirit.org, eric.davis902@commonspirit.org, ken.johanson@commonspirit.org, philip.leach@commonspirit.org, stanton.richard@commonspirit.org</t>
  </si>
  <si>
    <t>["Channel join: User U6S3ZRQDA has joined the channel","Meeting Title: OP | Dignity Health - Sync, Date: January 6, 2026. Attendees: Abel Gomez, John Davis, Macey Bell, David Adams, David Krause, Debra Veik, Eric Davis, Ken Johanson, Philip Leach, Stanton Richard. Summary: The customer did not attend this meeting. No summary or action items to report.","Channel join: User U1FL37X5F has joined the channel","Your channel 'customer-dignity-health' was converted to Salesforce channel 'Dignity Health'."]</t>
  </si>
  <si>
    <t>2026-02-03T21:31:32.573Z</t>
  </si>
  <si>
    <t>2026-02-03T21:57:49.121Z</t>
  </si>
  <si>
    <t>26 minutes</t>
  </si>
  <si>
    <t>John Davis introduced himself as the new CSM taking over from Macy and met with the ObservePoint team at Toyota, including Kendall Papera and their implementation partners at Twenty Two Squared (Robin, Jared, and Jack). The team discussed their current use of ObservePoint for regression testing, link validation across 177 dealer websites, and tagging QA through journeys and audits. Key upcoming projects include building cross-series inventory filtering with new data layer attributes and potentially modernizing their design system with component-level tagging using Storybook and Next.js, with John recommending they explore ObservePoint's new CI/CD integration via GitHub Actions to enable proactive testing during development.</t>
  </si>
  <si>
    <t>john.davis@observepoint.com, kendall.papera@setoyota.com, robyn.beyah@22squared.com, jack.zackowitz@22squared.com, jared.blood@22squared.com</t>
  </si>
  <si>
    <t>john.davis@observepoint.com, ailill.breffni@setoyota.com, jack.zackowitz@22squared.com, jared.blood@22squared.com, kathy.shin@22squared.com, kendall.papera@setoyota.com, robyn.beyah@22squared.com</t>
  </si>
  <si>
    <t>John Davis, Ailill Breffni, Jack Zackowitz, Jared Blood, Kathy Shin, Kendall Papera, Robyn Beyah</t>
  </si>
  <si>
    <t>kendall.papera@setoyota.com, robyn.beyah@22squared.com, jack.zackowitz@22squared.com, jared.blood@22squared.com</t>
  </si>
  <si>
    <t>setoyota.com</t>
  </si>
  <si>
    <t>["&lt;@U6S3ZRQDA&gt; has joined the channel","Your channel \"customer-jm-family\" was converted to Salesforce channel \"JM Family Enterprises\"."]</t>
  </si>
  <si>
    <t>2026-02-04T17:31:15.555Z</t>
  </si>
  <si>
    <t>2026-02-04T18:02:03.991Z</t>
  </si>
  <si>
    <t>John Davis introduced himself as the new ObservePoint CSM taking over from Macy, meeting with Lumen's web experience team (Kathy, Edward, and Devon) to understand their needs. The team is interested in automating accessibility audits and consolidating performance monitoring tools, currently using manual processes with Google Lighthouse for page-by-page accessibility checks. John demonstrated that ObservePoint already collects accessibility, performance, and SEO data from the audits that Carrie's marketing ops team runs, offering a consolidated solution with features like Jira integration for automated ticket creation and GitHub integration for CICD processes. The team agreed to establish regular meetings and requested access to the ObservePoint instance to explore existing audit data.</t>
  </si>
  <si>
    <t>john.davis@observepoint.com, kathy.bealler@lumen.com</t>
  </si>
  <si>
    <t>john.davis@observepoint.com, kathy.bealler@lumen.com, kathy.behler@lumen.com</t>
  </si>
  <si>
    <t>John Davis, Kathy Bealler, Kathy Behler</t>
  </si>
  <si>
    <t>kathy.bealler@lumen.com</t>
  </si>
  <si>
    <t>["Your channel \"customer-lumen\" was converted to Salesforce channel \"Lumen\"."]</t>
  </si>
  <si>
    <t>2026-02-04T17:58:08.681Z</t>
  </si>
  <si>
    <t>2026-02-04T18:25:31.353Z</t>
  </si>
  <si>
    <t>27 minutes</t>
  </si>
  <si>
    <t>This meeting covered the setup and configuration of ObservePoint journey monitoring for MongoDB's website, focusing on two chat functionality tests (chat now and contact us). John Davis walked the team through the journey actions, including cookie banner handling and iframe verification, explained the usage dashboard showing their 1,500 journey run allocation, and discussed scheduling options and notification settings for automated testing. The team plans to consult with Arthur about optimal run frequency and may explore additional use cases as they become more familiar with the platform's capabilities.</t>
  </si>
  <si>
    <t>john.davis@observepoint.com, wendi.vien@mongodb.com, michaleen.craig@mongodb.com</t>
  </si>
  <si>
    <t>john.davis@observepoint.com, arthur.engelhard@mongodb.com, michaleen.craig@mongodb.com, wendi.vien@mongodb.com</t>
  </si>
  <si>
    <t>John Davis, Arthur Engelhard, Michaleen Craig, Wendi Vien</t>
  </si>
  <si>
    <t>wendi.vien@mongodb.com, michaleen.craig@mongodb.com</t>
  </si>
  <si>
    <t>["Meeting Title: ObservePoint | MongoDB - Sync. Date: January 8, 2026. Attendees: John Davis (OP), john.davis@observepoint.com; Macey Bell (OP), macey.bell@observepoint.com; Arthur Engelhard, arthur.engelhard@mongodb.com. Summary: ObservePoint and MongoDB discussed Atlas rebranding audit results showing 20,000 pages, many duplicates from translations and URL parameters. Arthur will present findings to the SEO team tomorrow. Contract renewal is scheduled for March with discussion planned for mid-February. John offered extended data retention options and agreed to connect with other MongoDB teams for additional use cases and support. Next Steps: Arthur – Present audit analysis and findings to MongoDB SEO team tomorrow at 10:30 AM ET; John – Attend MongoDB SEO team meeting tomorrow morning; Arthur – Coordinate with Daniel on contract renewal discussion and internal MongoDB approval process; John – Connect with other teams at MongoDB to explore additional ObservePoint use cases and support opportunities.","Channel member joined: customer-mongodb channel","Channel conversion notification: customer-mongodb was converted to Salesforce channel MongoDB Inc."]</t>
  </si>
  <si>
    <t>2026-02-04T20:30:46.447Z</t>
  </si>
  <si>
    <t>2026-02-04T21:06:46.933Z</t>
  </si>
  <si>
    <t>36 minutes</t>
  </si>
  <si>
    <t>John Davis and Raymond Chau discussed troubleshooting a blocked domain issue in ObservePoint's journey setup, specifically at step 10 involving their UAT portal environment. John agreed to follow up internally with support team member Bogdan to clarify the VPN and network configuration context, as the issue appears related to their Content Security Policy blocking certain tracking pixels like Pinterest. They also explored potential use cases for ObservePoint audits, including marketing pixel validation and privacy compliance monitoring, with John suggesting integration opportunities with their privacy team (Skyline) and introducing a GitHub Actions integration that could block code releases if tracking validation fails.</t>
  </si>
  <si>
    <t>john.davis@observepoint.com, rchau@questrade.com</t>
  </si>
  <si>
    <t>john.davis@observepoint.com, cyang@questrade.com, rchau@questrade.com, who@questrade.com</t>
  </si>
  <si>
    <t>John Davis, Cyang, Rchau, Who</t>
  </si>
  <si>
    <t>rchau@questrade.com</t>
  </si>
  <si>
    <t>["Right. Love it!","Welp that was easy lol","No worries, thanks Jonny","Oh my bad. I get all the info, sales, emails we receive so I forward them to the appropriate team.","You had forwarded the termination email from them to us. Thats ok if you don't have any more context. I am chatting with Todd about this in person also so he knows","Hey was this message meant for? He's the AE on this account.","Can we talk about the termination notice that we got back in Dec? I honestly kind of forgot about it and then I met with our regular users yesterday and actually had a great meeting with them and they never mentioned anything to me about it. They were even talking about new use cases with LC and HAR."]</t>
  </si>
  <si>
    <t>2026-01-08T15:01:52.820Z</t>
  </si>
  <si>
    <t>2026-01-08T15:30:44.600Z</t>
  </si>
  <si>
    <t>29 minutes</t>
  </si>
  <si>
    <t>This meeting focused on establishing success criteria and future plans for the client's ObservePoint usage, with their contract renewal approaching in April 2026. The team discussed expanding their current implementation to include email link validation features and improving privacy compliance coverage, though no major new projects are planned for Q1. Chandra committed to connecting with their client stakeholders and privacy team to explore additional use cases and ensure they're maximizing value from all available ObservePoint features before renewal. John agreed to provide documentation on email validation capabilities and share a collaborative planning document to track goals and metrics moving forward.</t>
  </si>
  <si>
    <t>john.davis@observepoint.com, macey.bell@observepoint.com, chandra.guin@contractor.optavia.com</t>
  </si>
  <si>
    <t>john.davis@observepoint.com, macey.bell@observepoint.com, chandra.guin@contractor.optavia.com, grace.stafford@optavia.com, sonia.turumopula@contractor.optavia.com</t>
  </si>
  <si>
    <t>John Davis, Macey Bell, Chandra Guin, Grace Stafford, Sonia Turumopula</t>
  </si>
  <si>
    <t>chandra.guin@contractor.optavia.com</t>
  </si>
  <si>
    <t>contractor.optavia.com</t>
  </si>
  <si>
    <t>["I think if we send the usage report to procurement they're basically just gonna try and cut us by whatever percentage they didn't use and we obviously don't wanna go down that path","It's generally a bad sign. But obviously we don't want to project that. I think in this case we don't reply to the procurement person, but we do reply to the business unit. I'm happy to do that on Tuesday and try to set up a call with the team.","The procurement person just asked for a usage report replying to the automated renewal email, what do you recommend we send them since I am guessing they are not a regular user of the platform?","Your channel \"customer-medifast\" was converted to Salesforce channel \"Medifast Inc.\"."]</t>
  </si>
  <si>
    <t>2026-01-08T16:31:42.145Z</t>
  </si>
  <si>
    <t>2026-01-08T17:02:53.857Z</t>
  </si>
  <si>
    <t>This meeting introduced John Davis as Chinmay Satam's new Customer Success Manager at ObservePoint, transitioning from Macey Bell who is taking on a new book of business. Chinmay, an analyst at WestJet responsible for implementation, validation, and investigation, outlined his roadmap through May 2026, which includes rebuilding all journeys due to a major brand refresh, shifting journey focus from alerting to QA purposes, implementing privacy compliance monitoring (planned for end of January), and setting up marketing email link validation. John established a success criteria framework to track WestJet's initiatives, with plans to dive deeper into privacy compliance use cases during their March meeting once Chinmay has more project details. The team agreed to continue monthly meetings, with Macey planning to attend at least one more session to ensure a smooth transition.</t>
  </si>
  <si>
    <t>csatam@westjet.com, macey.bell@observepoint.com, john.davis@observepoint.com</t>
  </si>
  <si>
    <t>john.davis@observepoint.com, macey.bell@observepoint.com, todd.wilkerson@observepoint.com, csatam@westjet.com, devon.kerscher@westjet.com, farzaan.hoque@westjet.com, jason.wiegand@westjet.com, maushami.desai@westjet.com</t>
  </si>
  <si>
    <t>John Davis, Macey Bell, Todd Wilkerson, Csatam, Devon Kerscher, Farzaan Hoque, Jason Wiegand, Maushami Desai</t>
  </si>
  <si>
    <t>csatam@westjet.com</t>
  </si>
  <si>
    <t>2026-01-15T17:37:27.978Z</t>
  </si>
  <si>
    <t>2026-01-15T17:59:37.075Z</t>
  </si>
  <si>
    <t>22 minutes</t>
  </si>
  <si>
    <t>This meeting focused on resolving technical access issues and planning ObservePoint usage for CVS's privacy compliance audits. The team discussed whitelisting delays that have prevented scanning of the front store website, while confirming that CVS has significant unused page scanning capacity (600,000 pages annually) available until their April contract renewal. John recommended running large-scale scans across different privacy scenarios (opt-out states, opt-in states, and GPC signals) to establish a baseline for compliance, and introduced new extended data retention options (3, 5, or 7 years) for future consideration. Maria committed to working with Amy to prioritize audit areas and pushing internally to complete the whitelisting process so they can begin proactive privacy monitoring.</t>
  </si>
  <si>
    <t>john.davis@observepoint.com, macey.bell@observepoint.com, maria.daponte@cvshealth.com, amy.rondinelli@cvshealth.com</t>
  </si>
  <si>
    <t>john.davis@observepoint.com, macey.bell@observepoint.com, amy.rondinelli@cvshealth.com, maria.daponte@cvshealth.com</t>
  </si>
  <si>
    <t>John Davis, Macey Bell, Amy Rondinelli, Maria DaPonte</t>
  </si>
  <si>
    <t>maria.daponte@cvshealth.com, amy.rondinelli@cvshealth.com</t>
  </si>
  <si>
    <t>2026-01-15T20:33:57.798Z</t>
  </si>
  <si>
    <t>2026-01-15T21:04:08.896Z</t>
  </si>
  <si>
    <t>30 minutes</t>
  </si>
  <si>
    <t>This meeting served as a transition call where Macey Bell introduced John Davis as the new Customer Success Manager for Cotivity's ObservePoint account. The team discussed their current use of ObservePoint for cookie compliance and privacy monitoring, with plans to expand into accessibility scanning and broken link detection, while noting they're in the middle of migrating their edfx.com website from a self-hosted Gatsby JS platform to HubSpot. John and the team agreed to establish monthly recurring meetings starting February 27th to support the migration, review their ObservePoint configuration (especially after switching from OneTrust to HubSpot's native consent banner), and document success criteria for their use of the platform.</t>
  </si>
  <si>
    <t>macey.bell@observepoint.com, walter.bottlick@cotiviti.com, john.davis@observepoint.com, chris.tack@cotiviti.com</t>
  </si>
  <si>
    <t>john.davis@observepoint.com, macey.bell@observepoint.com, chris.tack@cotiviti.com, walter.bottlick@cotiviti.com</t>
  </si>
  <si>
    <t>John Davis, Macey Bell, Chris Tack, Walter Bottlick</t>
  </si>
  <si>
    <t>walter.bottlick@cotiviti.com, chris.tack@cotiviti.com</t>
  </si>
  <si>
    <t>2026-02-05T15:00:46.918Z</t>
  </si>
  <si>
    <t>2026-02-05T15:37:39.144Z</t>
  </si>
  <si>
    <t>37 minutes</t>
  </si>
  <si>
    <t>John Davis met with the Medifast team (Sonia, Chandra, and others) to troubleshoot alerts triggered by recent website audits on their production environment. They identified that approximately half of the scanned pages were returning 404 errors, which was causing multiple alert failures including missing Google Analytics 4 tags. John guided the team through modifying their rules to only flag pages with 200 status codes and demonstrated how to reprocess audits in bulk, recommending that the team document their desired standards and rules for future implementation. The session concluded with John suggesting the team create a list of important metrics and failure points in plain language, which they could then translate into ObservePoint rules either independently or with his assistance via email before their next meeting.</t>
  </si>
  <si>
    <t>john.davis@observepoint.com, chandra.guin@contractor.optavia.com, sonia.turumopula@contractor.optavia.com</t>
  </si>
  <si>
    <t>chandra.guin@contractor.optavia.com, sonia.turumopula@contractor.optavia.com</t>
  </si>
  <si>
    <t>Aetna</t>
  </si>
  <si>
    <t>2026-02-05T17:59:37.992Z</t>
  </si>
  <si>
    <t>2026-02-05T18:33:32.864Z</t>
  </si>
  <si>
    <t>This meeting was an introductory call between ObservePoint's CSM John Davis and CVS Health's Aetna team members Mike Tanedo and Bruce to discuss using ObservePoint for automated QA and data validation. Mike, who manages measurement and Adobe implementation for Aetna's authenticated DTC sites, expressed interest in leveraging AI-powered automation to streamline their manual QA processes, particularly for their critical Medicare enrollment funnel where accurate tracking of multi-step forms and error detection is essential. John demonstrated ObservePoint's two core features—Audits (for scanning multiple pages) and Journeys (for end-to-end testing with user interactions)—explaining how both can automatically validate Adobe AEP implementations, track variables, and alert teams when data collection standards aren't met. The team agreed to establish regular meetings to set up automated testing solutions, with Mike already having received access to the platform from Amy.</t>
  </si>
  <si>
    <t>john.davis@observepoint.com, tanedom@aetna.com, bruce.whittington@cvshealth.com</t>
  </si>
  <si>
    <t>john.davis@observepoint.com, bruce.whittington@cvshealth.com, coulsond@aetna.com, dedrickr@aetna.com, tanedom@aetna.com, vongerichtena@aetna.com</t>
  </si>
  <si>
    <t>John Davis, Bruce Whittington, Coulsond, Dedrickr, Tanedom, Vongerichtena</t>
  </si>
  <si>
    <t>tanedom@aetna.com, bruce.whittington@cvshealth.com</t>
  </si>
  <si>
    <t>2026-02-05T18:28:02.973Z</t>
  </si>
  <si>
    <t>2026-02-05T19:02:07.217Z</t>
  </si>
  <si>
    <t>John Davis conducted a meeting with the Lumen team to discuss ObservePoint's capabilities and address their implementation needs. The conversation covered automated quality assurance through rules-based monitoring, with Mike Tanedo expressing interest in using ObservePoint to track missed app submissions and conversion data discrepancies. John explained how ObservePoint can automate audits and journeys on customizable schedules, set quality standards with automated alerts, and integrate with tools like Jira for workflow management. The meeting also addressed sitemap-based audit implementation with Arnold, accessibility and performance audit access for Kathy's team, and a potential use case for measuring conversational AI chatbot performance through journey testing with JavaScript-based response capture.</t>
  </si>
  <si>
    <t>john.davis@observepoint.com, arnold.hong@lumen.com, kathy.behler@lumen.com</t>
  </si>
  <si>
    <t>john.davis@observepoint.com, macey.bell@observepoint.com, arnold.hong@lumen.com, kathy.behler@lumen.com, kerry.liszka@lumen.com, neil.black@lumen.com</t>
  </si>
  <si>
    <t>John Davis, Macey Bell, Arnold Hong, Kathy Behler, Kerry Liszka, Neil Black</t>
  </si>
  <si>
    <t>arnold.hong@lumen.com, kathy.behler@lumen.com</t>
  </si>
  <si>
    <t>ObservePoint | Seagate Monthly Sync</t>
  </si>
  <si>
    <t>2026-02-05T19:02:08.325Z</t>
  </si>
  <si>
    <t>2026-02-05T19:34:06.348Z</t>
  </si>
  <si>
    <t>32 minutes</t>
  </si>
  <si>
    <t>John Davis and Dipendra Bagchee discussed troubleshooting cookie compliance tracking between ObservePoint and OneTrust. They identified that Dipendra's report was incorrectly mixing opt-in and opt-out audit data, causing confusion about which cookies were truly unapproved versus those appropriately flagged in opt-out scenarios. John clarified that cookies showing as "unapproved" in opt-out audits (like targeting cookies) are correctly identified as non-compliant since they shouldn't fire after users opt out, and he explained how to filter reports by audit type and reprocess audits after syncing consent categories. Dipendra confirmed his manual bulk upload process from ObservePoint to OneTrust was working correctly and plans to continue identifying cookies not yet in OneTrust before focusing on proper categorization.</t>
  </si>
  <si>
    <t>john.davis@observepoint.com, dipendra.m.bagchee@seagate.com</t>
  </si>
  <si>
    <t>John Davis, Dipendra.m.bagchee</t>
  </si>
  <si>
    <t>2026-02-05T19:34:06.064Z</t>
  </si>
  <si>
    <t>2026-02-05T19:50:59.581Z</t>
  </si>
  <si>
    <t>17 minutes</t>
  </si>
  <si>
    <t>Phil and John discussed setting up an ObservePoint audit to verify that analytics variables are properly set on page loads across the website. Phil had initially created individual rules for each variable, but John recommended consolidating them into a single comprehensive rule that checks multiple variables and tags simultaneously to make maintenance easier and reduce alert noise. They agreed that Phil would rebuild the rule to include all expected page load variables in one standard, ensuring alerts only trigger when there are actual issues rather than creating unnecessary notifications. Phil plans to complete this work and follow up before their next scheduled meeting on Tuesday.</t>
  </si>
  <si>
    <t>john.davis@observepoint.com, phagerty@rwjf.org</t>
  </si>
  <si>
    <t>John Davis, Phagerty</t>
  </si>
  <si>
    <t>2026-02-05T20:28:13.212Z</t>
  </si>
  <si>
    <t>2026-02-05T20:53:42.522Z</t>
  </si>
  <si>
    <t>25 minutes</t>
  </si>
  <si>
    <t>John Davis met with Walter and Chris from Cotivity/EdFX to discuss their ObservePoint implementation while they're in the midst of rebuilding the EdFX website in HubSpot's CMS. John recommended they document their website quality questions and standards in plain English (particularly around accessibility and privacy compliance) to better leverage ObservePoint's capabilities once the migration is complete. He provided resources on whitelisting ObservePoint's crawlers, confirmed they have ample page scanning capacity (only 40,000 of 243,000 pages used), and encouraged them to run ad hoc audits during the transition to shorten feedback loops. The team agreed to complete this homework before their next monthly meeting, with John emphasizing that identifying their specific needs will help demonstrate ObservePoint's value to stakeholders.</t>
  </si>
  <si>
    <t>john.davis@observepoint.com, walter.bottlick@cotiviti.com, chris.tack@cotiviti.com</t>
  </si>
  <si>
    <t>2026-02-06T16:58:07.683Z</t>
  </si>
  <si>
    <t>2026-02-06T17:41:18.086Z</t>
  </si>
  <si>
    <t>43 minutes</t>
  </si>
  <si>
    <t>Grant Menefee and the ObservePoint team discussed their upcoming March 1st contract renewal, with Grant expressing satisfaction with the tool's value delivery to the business, particularly for ecommerce website functionality and performance monitoring. Clark explored opportunities for expanding privacy scanning coverage and optimizing audit configurations, while Grant requested pricing options for a multi-year agreement that could potentially increase capacity or improve pricing. The team identified future collaboration opportunities around Core Web Vitals monitoring and bringing additional team members onto the platform, with John emphasizing the importance of identifying key use cases and stories to tell stakeholders to maximize ObservePoint's value.</t>
  </si>
  <si>
    <t>grant.menefee@worldmarket.com, john.davis@observepoint.com, macey.bell@observepoint.com, clarke.anderson@observepoint.com</t>
  </si>
  <si>
    <t>abel.gomez@observepoint.com, clarke.anderson@observepoint.com, john.davis@observepoint.com, macey.bell@observepoint.com, grant.menefee@worldmarket.com, jesse.dykhoff@worldmarket.com, kevin.farkas@worldmarket.com</t>
  </si>
  <si>
    <t>Abel Gomez, Clarke Anderson, John Davis, Macey Bell, Grant Menefee, Jesse Dykhoff, Kevin Farkas</t>
  </si>
  <si>
    <t>grant.menefee@worldmarket.com</t>
  </si>
  <si>
    <t>2026-02-06T17:59:35.686Z</t>
  </si>
  <si>
    <t>2026-02-06T18:31:01.007Z</t>
  </si>
  <si>
    <t>John Davis and Arthur Engelhard discussed several ObservePoint implementation projects for MongoDB, including email validation, landing page performance tracking, and network request mapping. The email validation project is stalled due to technical challenges with hidden tracking links that create false negatives, while the landing page validator needs iteration to incorporate Core Web Vitals and conversion rate data. Arthur identified network request mapping as a high priority for Q1 to analyze page speed issues by categorizing all network requests to their respective providers (like Segment, Facebook Pixel) and measuring their impact on total blocking time, which will help determine which tools should be optimized or removed from their pages.</t>
  </si>
  <si>
    <t>john.davis@observepoint.com, arthur.engelhard@mongodb.com</t>
  </si>
  <si>
    <t>John Davis, Arthur Engelhard</t>
  </si>
  <si>
    <t>2026-02-06T18:28:04.887Z</t>
  </si>
  <si>
    <t>2026-02-06T19:12:21.509Z</t>
  </si>
  <si>
    <t>44 minutes</t>
  </si>
  <si>
    <t>This meeting transcript covers two separate conversations. In the first conversation, John Davis and Arthur Engelhard discuss the redesigned rule UI for custom tags in ObservePoint's tag database, with Arthur mentioning upcoming needs for custom tag additions and CI/CD automation for their custom tag manager called Pathway, though GitHub Actions aren't currently enabled in their environment. In the second conversation, Frank Ialongo updates John on contract renewal progress, explaining that budget approval is moving through various levels of management and may require procurement involvement for suggested enhancements, but he anticipates a smooth renewal process with no significant obstacles.</t>
  </si>
  <si>
    <t>dallin.madsen@observepoint.com, john.davis@observepoint.com, fialongo@amica.com</t>
  </si>
  <si>
    <t>Dallin Madsen, John Davis, Fialongo</t>
  </si>
  <si>
    <t>2026-02-06T20:58:57.661Z</t>
  </si>
  <si>
    <t>2026-02-06T21:43:35.806Z</t>
  </si>
  <si>
    <t>John Davis and Dylan Sellers met with Charlotte to present ObservePoint's new framework initiative, which provides structured documentation and automated checks for validating website governance across analytics, privacy compliance, and site health. Dylan demonstrated comprehensive framework templates for Google Analytics 4 and CCPA compliance that include automated checks, remediation guides, source citations, and pre-built report templates, with plans to deliver polished versions by Tuesday for Charlotte's internal meeting. Charlotte expressed enthusiasm about the frameworks, particularly their potential to help defend against unfounded accusations that tagging causes site performance issues, and requested focus on GA4, CCPA, and GDPR frameworks initially, with page health, SEO, and accessibility to follow.</t>
  </si>
  <si>
    <t>john.davis@observepoint.com, charlotte.castillo@devry.edu, dylan.sellers@observepoint.com</t>
  </si>
  <si>
    <t>dylan.sellers@observepoint.com, john.davis@observepoint.com, charlotte.castillo@devry.edu</t>
  </si>
  <si>
    <t>Dylan Sellers, John Davis, Charlotte Castillo</t>
  </si>
  <si>
    <t>charlotte.castillo@devry.edu</t>
  </si>
  <si>
    <t>2026-02-10T18:59:05.782Z</t>
  </si>
  <si>
    <t>2026-02-10T19:36:17.975Z</t>
  </si>
  <si>
    <t>John and Phil discussed setting up ObservePoint rules to validate Adobe Analytics variables on page loads, with Phil creating a comprehensive rule to check multiple eVars using ObservePoint's browser extension to capture variable names. They encountered a challenge with eVar2 (site section two), which isn't always set on top-level pages like the homepage, and explored potential solutions including URL filtering and using query parameters with on-page actions to dynamically validate the variable. John agreed to consult with a solutions engineer about the best approach for handling conditionally-set variables, while Phil planned to complete the rule for variables that are always present and clean up the audit configuration before their next meeting.</t>
  </si>
  <si>
    <t>2026-02-12T21:28:05.495Z</t>
  </si>
  <si>
    <t>2026-02-12T22:33:34.702Z</t>
  </si>
  <si>
    <t>John Davis from ObservePoint met with Filippo and Robert to discuss setting up privacy compliance audits for their website properties. Robert clarified that while their original urgent need has diminished due to cookie banner improvements, they still want to use ObservePoint to proactively catch compliance issues before they become problems, focusing initially on Mashable, IGN, and CNET for California users. John walked Filippo through creating audits with OneTrust integration to detect unauthorized cookies and trackers in opt-out scenarios, demonstrating how to set up automated reports that only send email notifications when non-compliant items are detected. The team agreed to start with one property (Mashable) to establish the process before scaling to other brands, with Filippo noting he needs to whitelist ObservePoint's traffic to prevent their aggressive bot filtering from blocking the audits.</t>
  </si>
  <si>
    <t>john.davis@observepoint.com, filippo_caprioli@ziffdavis.com, robert.taylor@ziffdavis.com</t>
  </si>
  <si>
    <t>dallin.madsen@observepoint.com, john.davis@observepoint.com, macey.bell@observepoint.com, filippo_caprioli@ziffdavis.com, robert.taylor@ziffdavis.com</t>
  </si>
  <si>
    <t>Dallin Madsen, John Davis, Macey Bell, Filippo Caprioli, Robert Taylor</t>
  </si>
  <si>
    <t>filippo_caprioli@ziffdavis.com, robert.taylor@ziffdavis.com</t>
  </si>
  <si>
    <t>2026-02-16T18:02:33.842Z</t>
  </si>
  <si>
    <t>2026-02-16T19:22:42.464Z</t>
  </si>
  <si>
    <t>80 minutes</t>
  </si>
  <si>
    <t>John Davis and Charlotte discussed CCPA compliance issues on their website, focusing on cookie consent management. Charlotte wanted to verify compliance using ObservePoint's audit tools, particularly examining their single-page application where legacy tags were loading despite opt-out selections. John explained how to set up consent category audits, import OneTrust categories, and create compliance reports, recommending they establish separate audits for each subdomain and implement proper OneTrust-GTM integration where OneTrust controls tag firing. They identified that their current setup has Google Tag Manager operating independently from OneTrust rather than as a child technology, and discovered problematic third-party tags (like ShareThis) loading social media pixels even in opt-out states, concluding they need proper ownership of their OneTrust implementation and should schedule biweekly calls to address these compliance gaps.</t>
  </si>
  <si>
    <t>john.davis@observepoint.com, charlotte.castillo@devry.edu</t>
  </si>
  <si>
    <t>chris.hawkes@observepoint.com, john.davis@observepoint.com, journey.support@observepoint.com, charlotte.castillo@devry.edu</t>
  </si>
  <si>
    <t>Chris Hawkes, John Davis, Journey.support, Charlotte.castillo</t>
  </si>
  <si>
    <t>2026-01-28T22:30:55.457Z</t>
  </si>
  <si>
    <t>2026-01-28T22:42:02.562Z</t>
  </si>
  <si>
    <t>11 minutes</t>
  </si>
  <si>
    <t>Todd and Macey met to discuss a call with Stu, who didn't attend and hasn't responded to John's rescheduling request. Todd is working to close a $130,000 deal with Bank of America before month-end after an 18-month sales cycle, holding brief check-in calls three times per week to push the deal forward. If the deal closes this month, it would help the team hit their ACV goal and impact JD's quota number four position.</t>
  </si>
  <si>
    <t>macey.bell@observepoint.com, todd.wilkerson@observepoint.com</t>
  </si>
  <si>
    <t>john.davis@observepoint.com, macey.bell@observepoint.com, todd.wilkerson@observepoint.com, jordan.robinson@accentgr.com.au, stuart.heggie@accentgr.com.au</t>
  </si>
  <si>
    <t>John Davis, Macey Bell, Todd Wilkerson, Jordan Robinson, Stuart Heggie</t>
  </si>
  <si>
    <t>jordan.robinson@accentgr.com.au, stuart.heggie@accentgr.com.au</t>
  </si>
  <si>
    <t>2026-02-17T21:30:42.881Z</t>
  </si>
  <si>
    <t>2026-02-17T22:01:53.294Z</t>
  </si>
  <si>
    <t>John and Tatyana discussed the status of CDW's journey monitoring in ObservePoint, reviewing action failures (yellow indicators) and rules failures (red indicators) across their order and quote journeys. John explained that his team would fix the action failures and enabled the "monitored journey" feature on their six most critical journeys, which automatically notifies support when issues occur, while Tatyana agreed to follow up on rules failures with her analytics team. They also discussed expanding their use of ObservePoint's privacy auditing capabilities to work with CDW's OneTrust implementation, with Tatyana offering to introduce John to the team managing their cookie consent platform.</t>
  </si>
  <si>
    <t>john.davis@observepoint.com, tatyana.zachary@cdw.com</t>
  </si>
  <si>
    <t>tatyana.zachary@cdw.com, audrbom@cdw.com</t>
  </si>
  <si>
    <t>2026-02-18T18:00:47.585Z</t>
  </si>
  <si>
    <t>2026-02-18T18:22:28.855Z</t>
  </si>
  <si>
    <t>John Davis and Phil Hagerty discussed ObservePoint implementation strategy, deciding that Phil should create separate journeys for each user interaction or conversion event rather than combining multiple tests into single journeys to avoid cascading failures and maintain clarity. They reviewed Phil's progress on setting up audits and journeys for tracking analytics variables, with John explaining best practices for structuring end-to-end tests and offering support from ObservePoint's journey-building team if needed. Phil committed to creating cards for all items in the solution design by their next Tuesday meeting, planning to either build them himself or submit requests to the Journey team for assistance.</t>
  </si>
  <si>
    <t>andy.compas@observepoint.com, john.davis@observepoint.com, phagerty@rwjf.org</t>
  </si>
  <si>
    <t>Andy Compas, John Davis, Phil Hagerty</t>
  </si>
  <si>
    <t>2026-02-18T21:00:03.380Z</t>
  </si>
  <si>
    <t>2026-02-18T22:12:18.448Z</t>
  </si>
  <si>
    <t>72 minutes</t>
  </si>
  <si>
    <t>This meeting focused on implementing ObservePoint's journey tracking and privacy compliance auditing for Brunswick's websites. John Davis demonstrated how to use custom data layers and JavaScript to capture dynamic form values for journey validation, though Brad ultimately decided to simplify the approach due to limited developer resources and lack of standardized data layers across their sites. The conversation shifted to privacy compliance testing, where John showcased ObservePoint's audit capabilities for checking cookie consent behavior across different regions (US vs. EU) and opt-in/opt-out scenarios, revealing that the tool could automatically verify OneTrust implementation and identify non-compliant tags—a critical need for Brad's legal team's compliance requirements.</t>
  </si>
  <si>
    <t>john.davis@observepoint.com, aparna.kumar@brunswick.com, brad.weidner@brunswick.com</t>
  </si>
  <si>
    <t>John Davis, Aparna Kumar, Brad Weidner</t>
  </si>
  <si>
    <t>2026-02-19T18:28:46.036Z</t>
  </si>
  <si>
    <t>2026-02-19T18:51:31.975Z</t>
  </si>
  <si>
    <t>John and Arnold discussed upcoming automation projects to validate HTML attributes and data layer elements on newly launched pages using ObservePoint's journey or audit features. Arnold plans to set up automated checks for approximately 10-25 key pages representing different page types, with John recommending he leverage ObservePoint's journey support team for implementation assistance. John also shared product updates about new SEO and page content features launching in Q1 2026, along with planned improvements to the journeys feature based on increased company investment following a successful 2025.</t>
  </si>
  <si>
    <t>john.davis@observepoint.com, arnold.hong@lumen.com</t>
  </si>
  <si>
    <t>arnold.hong@lumen.com, kathy.behler@lumen.com, kerry.liszka@lumen.com, neil.black@lumen.com</t>
  </si>
  <si>
    <t>2026-02-19T19:59:43.803Z</t>
  </si>
  <si>
    <t>2026-02-19T20:20:58.982Z</t>
  </si>
  <si>
    <t>21 minutes</t>
  </si>
  <si>
    <t>This meeting discussed the status of whitelisting ObservePoint for CVS's front store segment, with Maria explaining she has given the internal team until end of day Thursday to provide requirements or she will escalate the issue, as ObservePoint is already an approved vendor for other segments. John presented ObservePoint's new "frameworks" feature, which provides implementation recommendations and pre-built reports based on best practices from working with Fortune 1000 companies and consulting directly with Adobe, designed to help CVS move from reactive to proactive privacy monitoring. The team is in a holding pattern on detailed reporting until the whitelisting is resolved, while also working on a separate urgent project requiring new tagging implementation by April 2nd. Maria is also waiting for her manager to review and forward a draft document to stakeholders explaining how CVS uses ObservePoint and plans to scale its usage in 2026 to support ongoing contract renewal discussions.</t>
  </si>
  <si>
    <t>john.davis@observepoint.com, maria.daponte@cvshealth.com</t>
  </si>
  <si>
    <t>john.davis@observepoint.com, amy.rondinelli@cvshealth.com, maria.daponte@cvshealth.com, tanedom@aetna.com</t>
  </si>
  <si>
    <t>John Davis, Amy Rondinelli, Maria Daponte, Tanedom</t>
  </si>
  <si>
    <t>maria.daponte@cvshealth.com, amy.rondinelli@cvshealth.com, tanedom@aetna.com</t>
  </si>
  <si>
    <t>2026-02-19T20:28:16.244Z</t>
  </si>
  <si>
    <t>2026-02-19T20:58:24.653Z</t>
  </si>
  <si>
    <t>John Davis and Brooke Tymoniewicz discussed ObservePoint's new frameworks feature, which provides expert recommendations for Adobe Analytics implementation and monitoring based on collaboration with Adobe and Google. John explained how these frameworks serve as checklists for common use cases and will eventually be productized to automatically generate audits and reports based on selected priorities. Brooke expressed interest in focusing on tag load times, preventing duplicate tag fires, and interaction events, particularly for checkout processes. They agreed to meet on March 11th, giving Brooke time to review the documentation and prepare high-level use cases for journey builds that ObservePoint's support team can help implement.</t>
  </si>
  <si>
    <t>john.davis@observepoint.com, btymoniewicz@darden.com</t>
  </si>
  <si>
    <t>john.davis@observepoint.com, macey.bell@observepoint.com, btymoniewicz@darden.com, esjostrom@darden.com</t>
  </si>
  <si>
    <t>John Davis, Macey Bell, Btymoniewicz, Esjostrom</t>
  </si>
  <si>
    <t>btymoniewicz@darden.com, esjostrom@darden.com</t>
  </si>
  <si>
    <t>Action Item Index</t>
  </si>
  <si>
    <t>Priority</t>
  </si>
  <si>
    <t>GitHub Issue ID</t>
  </si>
  <si>
    <t>GitHub Issue Number</t>
  </si>
  <si>
    <t>Created Date</t>
  </si>
  <si>
    <t>Follow up with Dalen on new contract options</t>
  </si>
  <si>
    <t>Follow up with Dalen (d-a-l-l-i-n) to ensure he sends over the new contract options that were discussed. Neither John nor Frank have received this yet.</t>
  </si>
  <si>
    <t>High</t>
  </si>
  <si>
    <t>I_kwDOQvhFw87mTYem</t>
  </si>
  <si>
    <t>Review individual journeys for setup recommendations</t>
  </si>
  <si>
    <t>In the next meeting, review Frank's individual journeys to assess their current setup and provide recommendations for optimization. Focus on journeys that are already working (particularly the quote flow work done with Macy) to understand the current state and identify improvement opportunities.</t>
  </si>
  <si>
    <t>Medium</t>
  </si>
  <si>
    <t>I_kwDOQvhFw87mTYfe</t>
  </si>
  <si>
    <t>Review and document QA process with example</t>
  </si>
  <si>
    <t>Walk through Frank's QA process (shown in Lucidchart) with a real example in the next meeting:
**Process overview:**
- Implementation meetings with product streams
- Tagging configuration
- Dev environment testing with ObservePoint
- Full QA before production
- Post-go-live validation
**Goal:** Get feedback on the process and see how ObservePoint fits into each stage. Focus on the quote flow work that went through this process (particularly the shopping cart work done with Macy across 8 lines of business).</t>
  </si>
  <si>
    <t>I_kwDOQvhFw87mTYga</t>
  </si>
  <si>
    <t>Build example web journey from Raghu's requirements</t>
  </si>
  <si>
    <t>Create one complete web journey as an example/template based on Raghu's spreadsheet requirements, then get journey support team to help build out the rest.
**Specific requirements:**
- Use one of the ecommerce scenarios as the example
- Set up rules that can be shared across journeys
- Journey should validate tags firing with relevant information
- Include rule validation for expected results
- Work on this immediately (time allocated right after this meeting)
**Timeline:** Start working on this immediately after the meeting</t>
  </si>
  <si>
    <t>Critical</t>
  </si>
  <si>
    <t>I_kwDOQvhFw87me9lT</t>
  </si>
  <si>
    <t>Create transformed steps tab in Raghu's spreadsheet</t>
  </si>
  <si>
    <t>After building the first journey in ObservePoint, create a new tab in Raghu's spreadsheet showing how his steps were transformed to fit ObservePoint's requirements.
**Purpose:**
- Provide template for Raghu to follow for future audit requests
- Make it easier for the team to build subsequent journeys
- Document the translation process from business requirements to ObservePoint implementation
- This will establish a smooth process for future improvements</t>
  </si>
  <si>
    <t>I_kwDOQvhFw87me9mw</t>
  </si>
  <si>
    <t>Create script to automate audit creation</t>
  </si>
  <si>
    <t>Develop a script to automate the creation of multiple audits based on Raghu's requirements list. This will help expedite the process since Raghu is completely filled with other tasks.
**Context:**
- Multiple audits needed across different labels (ecommerce, marketing, user identification, engagement, RFQs, third party tags)
- Script should ingest transformed data from Raghu's spreadsheet
- First audit framework is working and can serve as template
- This will significantly reduce manual setup time</t>
  </si>
  <si>
    <t>I_kwDOQvhFw87me9oC</t>
  </si>
  <si>
    <t>Send GitHub integration documentation to Raghu</t>
  </si>
  <si>
    <t>Send documentation about ObservePoint's new GitHub integration feature that allows automated triggering of audits/journeys during code releases.
**Key benefits:**
- Automates audit execution during staging/production deployments
- Can block releases if ObservePoint rules fail
- Eliminates reliance on arbitrary scheduling
- Provides extra protection before prod releases
**Note:** Raghu will document this in their success criteria plan and explore with development teams to see if they use GitHub (currently unknown - they may use BitBucket, AWS repositories, or Adobe)</t>
  </si>
  <si>
    <t>I_kwDOQvhFw87me9pn</t>
  </si>
  <si>
    <t>Gather visualization requirements from Raghu</t>
  </si>
  <si>
    <t>Follow up with Raghu to understand what charts and visualizations he wants to build using ObservePoint data for the new charting feature (currently in beta).
**Specific questions to answer:**
- What story does Raghu want to tell with the data?
- What types of charts are needed? (pie charts, bar charts, time series, etc.)
- What raw data from ObservePoint reports should feed these visualizations?
- Who is the audience? (CEO level, dev teams, etc.)
**Mentioned use case:** Cookie monitoring over time (they discovered 500+ cookies in a previous audit and want to track this)
**Opportunity:** John has beta access and can potentially build example visualizations for Raghu using his data</t>
  </si>
  <si>
    <t>I_kwDOQvhFw87me9tM</t>
  </si>
  <si>
    <t>Create POC covering multiple audit labels by March</t>
  </si>
  <si>
    <t>Deliver proof-of-concept audits/journeys covering different labels (not just one) to help Raghu demonstrate ObservePoint capabilities to his team before the March 21st release.
**Critical context:**
- Raghu has two pressing deliverables this Friday related to release planning
- March 21st production go-live is the target
- Raghu will be on leave for a couple weeks in March
- License expires in April - this POC is crucial for renewal discussions
- Need to show results from multiple runs (not just one day) to demonstrate automated validation
**Goal:** Establish a process where teams can propose customer journeys, Raghu brings them to John, they get created in ObservePoint, automatically validated, and results shared back
**Scope:** High-level POC covering different types of validations (ecommerce, engagement, etc.) to engage different scattered teams</t>
  </si>
  <si>
    <t>I_kwDOQvhFw87me9uT</t>
  </si>
  <si>
    <t>Investigate digital data layer visibility in ObservePoint</t>
  </si>
  <si>
    <t>Research why the custom 'digital data' data layer (Officeworks' primary data layer) is not appearing in the ObservePoint audit results under the expected vendor categories.
Context:
- The data layer is visible in browser console but not surfacing properly in audit reports
- May be a custom Adobe-referenced layer rather than standard Adobe Launch
- Need to determine if it requires custom configuration in ObservePoint to capture
- This is blocking Hailey's ability to validate data layer completeness</t>
  </si>
  <si>
    <t>I_kwDOQvhFw87m2ddY</t>
  </si>
  <si>
    <t>Schedule follow-up session with Hailey (and optionally Henry)</t>
  </si>
  <si>
    <t>Send email to schedule a dedicated follow-up meeting with Hailey to work on her specific projects and use cases.
Purpose:
- Help automate manual processes Hailey is currently doing
- Configure ObservePoint for her data quality and consistency monitoring needs
- Set up audits to validate data layer variables across key page types
- Does not need to include Ash and Bridget - focused working session
Optional: Include Henry if he wants to participate</t>
  </si>
  <si>
    <t>I_kwDOQvhFw87m2deg</t>
  </si>
  <si>
    <t>Build sample audit demonstrating data layer analysis</t>
  </si>
  <si>
    <t>Create or configure an audit that properly surfaces Officeworks' data layer variables to demonstrate ObservePoint's capabilities to stakeholders.
Purpose:
- Show what IS currently in the data layer to spark conversations about what SHOULD be there
- Provide concrete examples to architecture team and other stakeholders
- Help define standards for data layer completeness
Focus areas:
- Key conversion metrics (add to cart, checkout process)
- Product listing pages and product detail pages
- Search functionality
- Variables that should fire consistently across page types
Note: May need to wait until custom data layer visibility issue is resolved</t>
  </si>
  <si>
    <t>I_kwDOQvhFw87m2dfk</t>
  </si>
  <si>
    <t>Create list of Adobe Summit attendees</t>
  </si>
  <si>
    <t>Compile a list of clients/contacts who are attending Adobe Summit this year. This list will be used to determine if John should attend the conference.
**Context:** John's team lead requested this list to evaluate whether sending John to Adobe Summit would be worthwhile based on the number of contacts attending.</t>
  </si>
  <si>
    <t>I_kwDOQvhFw87nF62H</t>
  </si>
  <si>
    <t>Organize journeys and audits into folder structure</t>
  </si>
  <si>
    <t>Complete the reorganization of journeys and audits into a logical folder structure.
**Current progress:**
- Created parent folder: "Journeys"
- Created subfolders: "Prod" and "Dev"
- Moved initial journeys into appropriate folders
**Remaining work:**
- Continue organizing remaining journeys
- Consider creating similar structure for audits
- Apply labels to journeys for easier filtering in reports
**Note:** This organizational structure will make it easier for team members to find and monitor relevant journeys/audits.</t>
  </si>
  <si>
    <t>Low</t>
  </si>
  <si>
    <t>I_kwDOQvhFw87nF634</t>
  </si>
  <si>
    <t>Lead Tuesday meeting with .com team on audit formalization</t>
  </si>
  <si>
    <t>Lead the Tuesday meeting with the .com team to establish a formal, operationalized audit process.
**Meeting structure:**
1. Steve will kick off the meeting
2. John to share screen and dive into existing audit data to demonstrate ObservePoint capabilities
3. Show the use case document to the team
4. Gather specific questions and pain points from the team about marketing tags, page data, and performance
5. Walk through the December 30 audit (top 400 traffic pages from Prudential production)
6. Focus on tags and links reports; skip privacy/cookies sections as cookie team won't be present
7. Discuss tier structure (tier 1: biweekly aligned with releases, tier 2: monthly, tier 3: quarterly)
**Key objective:** Identify specific questions the team needs answered to build appropriate audit rules and alerts.</t>
  </si>
  <si>
    <t>I_kwDOQvhFw87nGZfu</t>
  </si>
  <si>
    <t>Prepare audit walkthrough for Tuesday .com team meeting</t>
  </si>
  <si>
    <t>Prepare to walk through the December 30 audit during Tuesday's meeting, demonstrating what data ObservePoint collects and what's available.
**Focus areas:**
- Audit summary
- Alert pages
- Tags report
- Links report
- Skip cookies/privacy sections
- Skip Jobs audit unless time permits
**Purpose:** Use the audit walkthrough to help the team identify specific questions they need answered, which will inform the setup of formal tier 1, 2, and 3 audit structures.</t>
  </si>
  <si>
    <t>I_kwDOQvhFw87nGZgt</t>
  </si>
  <si>
    <t>Set up formal tier-based audit structure after use cases defined</t>
  </si>
  <si>
    <t>After gathering use cases and questions from the Tuesday meeting, help set up a formal three-tier audit structure:
**Tier 1 (Biweekly):**
- Aligned with biweekly release cadence
- Small number of critical pages across multiple sections (jobs, advisors, communication pages)
- Can be combined into one audit
- Set up rules and alerts based on team's identified questions
**Tier 2 (Monthly):**
- More comprehensive scan
- Thousands of pages
- Less critical URLs
**Tier 3 (Quarterly):**
- Least important URLs
**Budget:** ~5,500 pages can be scanned monthly based on annual contract
**Next steps:** Wait for team to provide tier 1, 2, and 3 URL lists and specific questions/pain points before configuring.</t>
  </si>
  <si>
    <t>I_kwDOQvhFw87nGZiA</t>
  </si>
  <si>
    <t>Schedule PGIM team audit review meeting</t>
  </si>
  <si>
    <t>Coordinate with Steve to schedule a meeting with the PGIM team (different business unit) by end of next week or the following week.
**Meeting purpose:**
- Review PGIM master list audit from July
- Follow same structure as .com team meeting
- Discuss pain points and questions to answer
- Configure reports and set up rules
- Identify tier 1 and tier 2 URLs (not yet received from PGIM team)
**Note:** This will be a separate meeting from the Tuesday .com team call.</t>
  </si>
  <si>
    <t>I_kwDOQvhFw87nGZkh</t>
  </si>
  <si>
    <t>Review ObservePoint journey setup and rules</t>
  </si>
  <si>
    <t>Review the engagement homepage journey that John has created in ObservePoint to understand the rule structure and debug why certain rules are failing.
**Journey link:** [Provided in meeting]
**Focus areas:**
- Examine variable names and why they're failing
- Understand how rules are structured across different steps
- Review the AEP tag checks and Adobe data layer implementation
- Verify which variables are being captured correctly
**Context:** This review will help inform the documentation being prepared and ensure alignment on the approach.</t>
  </si>
  <si>
    <t>I_kwDOQvhFw87oAWbt</t>
  </si>
  <si>
    <t>Remove custom tag from step 2 of homepage journey</t>
  </si>
  <si>
    <t>Remove step 2 (custom tag for Adobe data layer) from the engagement homepage journey in ObservePoint, as the Adobe data layer variables are already available in the variable summary without needing a custom tag.
**Journey:** Engagement Homepage Journey
**Reason:** Adobe data layer (adobeDataLayer) was found in existing variables, making the custom tag unnecessary</t>
  </si>
  <si>
    <t>I_kwDOQvhFw87oAWdg</t>
  </si>
  <si>
    <t>Continue refining ObservePoint rules for homepage journey</t>
  </si>
  <si>
    <t>Continue tweaking and refining the ObservePoint rules for the engagement homepage journey based on:
- Correcting variable names and dot notation
- Adjusting rules to check appropriate conditions (set/not set, exact values, regex patterns)
- Optimizing for rule reusability across steps and future journeys
- Fixing current failures due to incorrect variable naming assumptions
**Journey Link:** Shared during meeting
**Timeline:** Ongoing until Raj provides refined documentation</t>
  </si>
  <si>
    <t>I_kwDOQvhFw87oAWfy</t>
  </si>
  <si>
    <t>Send email to reschedule February 16th meeting</t>
  </si>
  <si>
    <t>Send email to Raj with alternative time slots to reschedule the February 16th meeting, which falls on President's Day (holiday for both parties). Provide options for meeting either sooner or later than the 16th.
**Timeline:** Within a few minutes of meeting conclusion</t>
  </si>
  <si>
    <t>I_kwDOQvhFw87oAWhi</t>
  </si>
  <si>
    <t>Collaborate with Lauren on tier-based page list</t>
  </si>
  <si>
    <t>Work with Lauren to finalize the tier-based page categorization for ObservePoint audits within the next 2 weeks.
**Key criteria to consider:**
- **Tier 1 (bi-weekly scans):** Pages with &gt;1% of total visits (~40 pages based on January data), plus critical process pages (e.g., adviser login, registration pages) and pages with third-party integrations (e.g., Kendra search)
- **Tier 2 (monthly scans):** Medium-traffic pages and recently updated content
- **Tier 3 (quarterly scans):** Low-traffic pages and static subdomains (jobs.prudential.com, newsroom, etc.)
**Additional factors:**
- Page types (account pages, marketing pages, process flows)
- Integration points with external applications
- Recent content updates (tracked via XML sitemap or CMS)
Lauren is conducting a page audit in February with Neil and Caitlin to clean up the prudential.com page list, which will inform this categorization.</t>
  </si>
  <si>
    <t>I_kwDOQvhFw87oByjC</t>
  </si>
  <si>
    <t>Identify stakeholders for audit alerts and reports</t>
  </si>
  <si>
    <t>Define and document who should receive ObservePoint audit results, email alerts, and have platform access to review findings and take action.
**This should be determined after:**
- Finalizing the tier-based page list
- Understanding what specific alerts/reports will be configured
Stakeholders will need to be assigned based on their responsibility areas (analytics, privacy, content, performance, etc.).</t>
  </si>
  <si>
    <t>I_kwDOQvhFw87oBykT</t>
  </si>
  <si>
    <t>Reconvene in 2 weeks to finalize audit strategy</t>
  </si>
  <si>
    <t>Schedule a follow-up meeting (potentially smaller group) in approximately 2 weeks to review and approve the finalized tier-based scanning strategy.
**Meeting objectives:**
- Review Lauren's completed page audit and categorization
- Confirm tier 1, 2, and 3 page lists
- Validate scanning frequencies (bi-weekly, monthly, quarterly)
- Determine which subdomains need quarterly vs. monthly scans
- Identify stakeholders for alerts and reporting
This does not need to be the full group - can be a smaller working session.</t>
  </si>
  <si>
    <t>I_kwDOQvhFw87oBylv</t>
  </si>
  <si>
    <t>Investigate automation for top-traffic page list</t>
  </si>
  <si>
    <t>Explore options to automate the generation and delivery of the top-traffic page list for ObservePoint scanning.
**Current state:**
- List currently comes from CMS (not automated)
- Adobe Analytics could potentially provide automated traffic-based lists
- Need to ensure any automated solution accounts for pages that actually have visits
**Goal:** Determine if there's a way to automatically email/export the top 1% traffic pages on a schedule to streamline the audit setup process.</t>
  </si>
  <si>
    <t>I_kwDOQvhFw87oBynM</t>
  </si>
  <si>
    <t>Review and reduce tags on high-tag-count pages</t>
  </si>
  <si>
    <t>Audit pages with excessive tag counts (e.g., login page with 45 tags) to determine which tags are necessary and remove unnecessary ones.
**Rationale:** Excessive tags negatively impact site performance and page load speed.
**Process:**
- Use ObservePoint audit data to identify pages with high tag counts
- Review tag list for each high-count page
- Determine which tags are essential vs. redundant
- Remove unnecessary tags to improve performance</t>
  </si>
  <si>
    <t>I_kwDOQvhFw87oByoZ</t>
  </si>
  <si>
    <t>Revisit authenticated page scanning strategy</t>
  </si>
  <si>
    <t>Re-evaluate the approach for scanning authenticated pages (My Pro site) that was put on hold last year.
**Previous challenges:**
- No production URLs available
- User-specific data variations (different policies per user)
- Lower environments behind firewall (significant effort to test)
**Potential solution discussed:**
- Focus on top 3-5 entitlements (e.g., Teamster, ad recipients)
- Create test logins for each entitlement type
- Scan representative pages for each entitlement to catch breaking changes
**Note:** This is a lower priority item to revisit this year, not an immediate action.</t>
  </si>
  <si>
    <t>I_kwDOQvhFw87oByqL</t>
  </si>
  <si>
    <t>Research custom tag solution for form validation rules</t>
  </si>
  <si>
    <t>Investigate and develop a custom ObservePoint tag solution using JavaScript to handle conditional form validation logic for Brunswick's lead forms.
**Context:**
- Need to validate form-specific values (SQL vs MQL lead status, unique form IDs, Google Ads IDs) without creating 60+ individual rules
- Solution should check data layer values and return boolean results
- Must work across ~12 sites with ~12 forms per site
- Code should be reusable/universal to avoid managing multiple JavaScript blocks
**Next Steps:**
- Build proof of concept with Sea Ray contact dealer form
- Consult with solutions team about similar past implementations
- Ensure Brad's team can edit JavaScript patterns for new forms</t>
  </si>
  <si>
    <t>I_kwDOQvhFw87oClwc</t>
  </si>
  <si>
    <t>Follow up with solutions on form validation approach</t>
  </si>
  <si>
    <t>Consult with ObservePoint solutions team to determine if they've encountered similar use cases where customers needed precise form-level validation across multiple sites and forms.
**Goal:** Identify best practices or alternative UI-based approaches before committing to custom JavaScript solution.</t>
  </si>
  <si>
    <t>I_kwDOQvhFw87oCl1B</t>
  </si>
  <si>
    <t>Request additional site examples from Brad's team</t>
  </si>
  <si>
    <t>Wait for Brad and Aparna to document form validation requirements for at least one additional Brunswick site (beyond Sea Ray).
**Purpose:** Need to see full pattern across multiple sites to design a truly universal solution rather than optimizing for just Sea Ray's use case.</t>
  </si>
  <si>
    <t>I_kwDOQvhFw87oCl24</t>
  </si>
  <si>
    <t>Walk accessibility team through ObservePoint accessibility features</t>
  </si>
  <si>
    <t>Coordinate with PFrei and Chelsey to schedule a walkthrough session for the accessibility team (Center of Excellence) on ObservePoint's accessibility audit capabilities.
**Context:**
- SSO access issues have been resolved over the holidays
- Chelsey is currently getting the team up to speed using white pages
- She connects with accessibility group members on Thursday and some tomorrow
- This was a follow-up item from the previous call
- ObservePoint can show baseline accessibility alongside other audit metrics, though accessibility isn't the platform's primary focus</t>
  </si>
  <si>
    <t>I_kwDOQvhFw87oDALO</t>
  </si>
  <si>
    <t>Build quote journey for CDW.com</t>
  </si>
  <si>
    <t>Create the missing quote journey for cdw.com to complement the existing order journey. The order journey has been identified (the one with logon, navigate to audio video, cart, add to cart, compare, checkout steps), but a corresponding quote journey needs to be built.
Context:
- Currently have journeys for CDW.com, CDW.ca, and CDW.g
- The order journey for CDW.com exists and has been identified
- Need to ensure all six required journeys are in place (currently have 9 with duplicates)</t>
  </si>
  <si>
    <t>I_kwDOQvhFw87oDkCq</t>
  </si>
  <si>
    <t>Clean up duplicate CDW journey configurations</t>
  </si>
  <si>
    <t>Remove duplicate journey entries now that the correct CDW.com order journey has been identified. Update naming conventions to clearly distinguish between order and quote journeys for each CDW domain (cdw.com, cdw.ca, cdw.g).
Specific actions:
- Rename the identified order journey to clearly indicate it's for "Order - CDW.com"
- Remove the three duplicate entries
- Ensure final count is six journeys total</t>
  </si>
  <si>
    <t>I_kwDOQvhFw87oDkD9</t>
  </si>
  <si>
    <t>Review GitHub Actions integration documentation</t>
  </si>
  <si>
    <t>Review the ObservePoint help documentation on triggering audits via CI/CD pipeline using GitHub Actions that was shared in the meeting.
**Context:**
- Documentation link was provided in chat during meeting
- This integration allows audits to trigger automatically during releases
- Can potentially block releases if failures are detected
- Currently only available for Audits (not Journeys yet)
- Relevant for upcoming cross-series inventory project and potential design system modernization
**Next step:** Evaluate feasibility with dev/DevOps team for Toyota's Gatsby (potentially migrating to Next.js) environment.</t>
  </si>
  <si>
    <t>I_kwDOQvhFw87oEWyA</t>
  </si>
  <si>
    <t>Offer technical consultation to dev/DevOps team if needed</t>
  </si>
  <si>
    <t>Be available to meet directly with Toyota's dev/DevOps team if they have questions or need technical clarification on implementing ObservePoint's GitHub Actions integration.
**Context:**
- John offered this support during the meeting
- Relevant for both cross-series inventory project and design system modernization
- May involve explaining how to selectively trigger audits (e.g., only when Storybook components are updated)
- Can bring in additional ObservePoint resources if needed
**Trigger:** Kendall or team reaches out with dev team questions</t>
  </si>
  <si>
    <t>I_kwDOQvhFw87oEWzV</t>
  </si>
  <si>
    <t>Provide user access to ObservePoint instance</t>
  </si>
  <si>
    <t>Grant ObservePoint platform access to Kathy, Edward, and Devon from the Lumen web experience team so they can explore existing audits and familiarize themselves with the platform.
**Note:** Coordinate with Arnold or handle directly. Users are not charged by seat, only by page scans.</t>
  </si>
  <si>
    <t>I_kwDOQvhFw87oU2PG</t>
  </si>
  <si>
    <t>Send GitHub integration documentation</t>
  </si>
  <si>
    <t>Send documentation for the ObservePoint GitHub integration to enable the team to trigger audits as part of their CI/CD release process.
**Context:** This would allow them to catch accessibility and performance issues before pushing to production, rather than relying solely on scheduled audits.</t>
  </si>
  <si>
    <t>I_kwDOQvhFw87oU2Qv</t>
  </si>
  <si>
    <t>Send Jira integration documentation</t>
  </si>
  <si>
    <t>Provide documentation on the Jira integration that allows automated creation of remediation tickets from identified accessibility issues.
**Key stakeholders:** Devon and Edward expressed strong interest in automating the process of converting accessibility findings into actionable Jira tickets.</t>
  </si>
  <si>
    <t>I_kwDOQvhFw87oU2Sy</t>
  </si>
  <si>
    <t>Schedule regular cadence meeting with expanded team</t>
  </si>
  <si>
    <t>Set up recurring meetings with Kathy and invite additional stakeholders including:
- Tessa (SEO and performance evaluation)
- Tom
- Devon (web experience manager)
- Edward (UX designer)
**Purpose:** Discuss performance metrics, accessibility automation, and potential platform consolidation. Kathy requested the ability to send topics ahead of time for preparation.</t>
  </si>
  <si>
    <t>I_kwDOQvhFw87oU2WC</t>
  </si>
  <si>
    <t>Identify and share relevant Lumen audits</t>
  </si>
  <si>
    <t>Review the Lumen ObservePoint account to identify audits that are relevant to the web experience team (focusing on lumen.com, blog, APAC site, and documentation site).
**Action items:**
- Find audits with accessibility and performance data
- Share specific audit examples with Kathy, Devon, and Edward
- Ensure they have access to view these audits
**Note:** The CenturyLink audit shown in the demo is not owned by this team.</t>
  </si>
  <si>
    <t>I_kwDOQvhFw87oU2Xt</t>
  </si>
  <si>
    <t>Document meeting notes and use cases</t>
  </si>
  <si>
    <t>Write up notes from this discovery meeting covering:
**Team structure:**
- Kathy's team (Digital Experience/DX) owns lumen.com marketing site, blog migration, APAC site, and influences documentation site
- Uses Adobe Experience Manager as CMS
- Devon manages UX designers and strategists
- Edward is UX designer focused on accessibility
**Current pain points:**
- Manual accessibility auditing using Google Lighthouse page-by-page
- Using spreadsheet system for tracking
- Want to automate accessibility scanning and issue identification
- Interest in consolidating multiple performance/analytics platforms
**Key opportunities:**
- Accessibility automation (critical issues, ARIA labels, image alt text, color contrast)
- Performance monitoring (Lighthouse scores)
- Integration with existing workflows (GitHub, Jira)
- Platform consolidation to reduce tool sprawl</t>
  </si>
  <si>
    <t>I_kwDOQvhFw87oU2Zl</t>
  </si>
  <si>
    <t>Send documentation for GitHub and Jira integrations</t>
  </si>
  <si>
    <t>Send documentation to the ObservePoint team (Kathy Behler and team) explaining how to set up and use the GitHub integration and Jira integration.
Context: This was promised during the meeting as follow-up to their discussion about integrations.</t>
  </si>
  <si>
    <t>I_kwDOQvhFw87oVPvL</t>
  </si>
  <si>
    <t>Find and share example audits with access</t>
  </si>
  <si>
    <t>Dive into the ObservePoint account to find relevant audits that can be shared with the team. Ensure Kathy Behler's team (likely including Carrie as the owner) has proper access to these audits.
Note: The account is paid by page DNS, not by user, so access can be granted liberally. Edward specifically requested access to explore existing audits (like the ones Arnold is running).</t>
  </si>
  <si>
    <t>I_kwDOQvhFw87oVPwN</t>
  </si>
  <si>
    <t>Set up regular cadence meeting with Kathy's team</t>
  </si>
  <si>
    <t>Send an email to Kathy Behler to establish a regular meeting cadence.
Requirements:
- Allow Kathy to invite additional team members
- Enable topics to be sent ahead of time for preparation
- Schedule recurring meetings
Context: Kathy specifically requested this setup at the end of the first meeting.</t>
  </si>
  <si>
    <t>I_kwDOQvhFw87oVPxx</t>
  </si>
  <si>
    <t>Grant Wendi Vien usage dashboard access</t>
  </si>
  <si>
    <t>Provide Wendi Vien (wendi.vien@mongodb.com - based in San Francisco/Pacific time) with access to the ObservePoint usage dashboard.
Context: Michaleen Craig already has access, but Wendi requested access during the meeting to monitor journey run usage against their 1,500 journey runs contract limit.</t>
  </si>
  <si>
    <t>I_kwDOQvhFw87oVPzm</t>
  </si>
  <si>
    <t>Follow up with Bogdan on journey step 10 issue</t>
  </si>
  <si>
    <t>Contact Bogdan via internal Slack to clarify the VPN/network setup context for the journey troubleshooting.
**Key points to communicate:**
- The journey involves three different domains (public facing, lead form, portal)
- Network allows traffic through all three domains for the journey
- The issue is specifically with step 10 (the portal domain redirect)
- Bogdan may have been testing from browser directly rather than through journey context
- Request he review the journey logs and console data from Raymond's specific journey setup
- Need identification of whether the blocking is on ObservePoint's side or client's code/CSP
- If client-side blocking, need specific guidance on what changes are required
**Journey details:** Registration/account opening flow that Raymond shared in the meeting</t>
  </si>
  <si>
    <t>I_kwDOQvhFw87oXZo9</t>
  </si>
  <si>
    <t>Schedule email to Winnie about privacy team introduction</t>
  </si>
  <si>
    <t>Send a scheduled email to Winnie (returning Monday, February 10) to request an introduction to the Skyline team (the team managing OneTrust and consent management).
**Purpose:** Discuss how ObservePoint audits can provide dual value:
1. Marketing pixel validation (current use case)
2. Privacy compliance monitoring (new opportunity)
**Context:**
- Skyline team owns OneTrust implementation
- They handle website opt-in/consent functionality
- Privacy is becoming increasingly important with California regulations
- ObservePoint can parallelize marketing and privacy monitoring in same audits
- This would allow privacy team to leverage existing ObservePoint contract without changes</t>
  </si>
  <si>
    <t>I_kwDOQvhFw87oXZq8</t>
  </si>
  <si>
    <t>Send email link validation documentation to Chandra</t>
  </si>
  <si>
    <t>Send product documentation/one-pager about ObservePoint's email link validation feature to Chandra after the meeting.
**Context:**
- Chandra wants to pitch this feature to the client team
- Feature allows testing of email campaigns by sending emails to a custom ObservePoint email address
- Validates links, checks for broken links, hidden links, and spam protection
- Can be integrated into QA/testing email chains
- Uses existing usage allocation (no separate line item)
**Action:** Coordinate with marketing team to get the best available documentation (product doc, PPT, or help doc) and send to Chandra.</t>
  </si>
  <si>
    <t>I_kwDOQvhFw87obFOw</t>
  </si>
  <si>
    <t>Share success criteria Google Slides with team</t>
  </si>
  <si>
    <t>Share the Google Slides document created during the meeting with Chandra and team, giving them edit access.
**Document includes:**
- Four main use cases: Analytics validation, Privacy compliance, Site experience/journeys, Email link validation
- Current projects and initiatives for 2026
- Success metrics framework
- Action items and to-do lists
**Purpose:** Allow team to asynchronously add thoughts, metrics, and updates before next meeting in two weeks.</t>
  </si>
  <si>
    <t>I_kwDOQvhFw87obFP7</t>
  </si>
  <si>
    <t>Review current audit coverage for expansion opportunities</t>
  </si>
  <si>
    <t>Review the client's existing privacy audits to identify opportunities to increase coverage toward 100%.
**Current state:**
- Coverage is around 80%
- Team wants to expand closer to 100%
- Multiple audits already set up for opt-in/opt-out status, GPC signals
- Usage dashboard shows significant room (currently projected to use 60-70k of 100k allocation)
**Next steps:**
- Analyze existing audit configurations
- Identify gaps in coverage
- Prepare recommendations for increasing coverage without exceeding usage limits
- Coordinate timing with Chandra's outreach to privacy team and client stakeholders</t>
  </si>
  <si>
    <t>I_kwDOQvhFw87obFQt</t>
  </si>
  <si>
    <t>Review WestJet's ObservePoint setup and provide recommendations</t>
  </si>
  <si>
    <t>Review WestJet's current ObservePoint configuration, including their journey setups, audits, and use cases. Provide suggestions and recommendations based on their goals and best practices from other clients.
**Context:**
- WestJet is rebuilding journeys due to brand refresh changes
- Shifting focus from alerting to QA purposes
- Currently running monthly audits for tag monitoring
- Chinmay is open to new ideas and implementation suggestions
**Timeline:** Review before next monthly meeting (February 5, 2026)</t>
  </si>
  <si>
    <t>I_kwDOQvhFw87obOg_</t>
  </si>
  <si>
    <t>Prepare for privacy compliance discussion in March meeting</t>
  </si>
  <si>
    <t>Prepare to dive deep into privacy compliance use cases and ObservePoint setup during the March monthly meeting.
**Background:**
- WestJet has a priority privacy initiative starting end of January 2026
- Privacy will be controlled through Adobe Launch with limited team control
- Legal team owns privacy compliance for different locales
- Chinmay will have detailed project information by March
- ObservePoint documentation has a page on privacy compliance journey setup that Chinmay has already reviewed
**Goal:** Help Chinmay set up journeys to test privacy compliance across different locales once project details are available.
**Timeline:** March 2026 monthly meeting</t>
  </si>
  <si>
    <t>I_kwDOQvhFw87obOh0</t>
  </si>
  <si>
    <t>Cancel duplicate biweekly meeting invitation</t>
  </si>
  <si>
    <t>Cancel the duplicate meeting invitation that shows as biweekly. The agreed cadence is monthly meetings (currently scheduled for February 5th), with ad-hoc calls as needed for urgent items.
**Note:** Chinmay prefers to email with questions between meetings and schedule additional calls only when necessary.</t>
  </si>
  <si>
    <t>I_kwDOQvhFw87obOjA</t>
  </si>
  <si>
    <t>Share success criteria document with Chinmay</t>
  </si>
  <si>
    <t>Share the Google Slides success criteria document created during the meeting with Chinmay for ongoing reference and updates.
**Purpose:**
- Track initiatives and projects WestJet wants to accomplish
- Living document to refer to in monthly meetings
- Ensure proper prioritization and support
- Eventually add metrics to measure ObservePoint value
**Current use cases documented:**
- Privacy compliance
- Journeys and site experience/QA
- Accessibility audits
- Marketing email link validation</t>
  </si>
  <si>
    <t>I_kwDOQvhFw87obOkL</t>
  </si>
  <si>
    <t>Discuss extended data retention with boss</t>
  </si>
  <si>
    <t>Bring up the new extended data retention options in tomorrow's meeting with boss to get a decision on whether CVS wants to upgrade.
**New options available:**
- 3 year + 1 month
- 5 year + 1 month
- 7 year + 1 month
- Currently on 13-month retention
**Use cases:**
- Year-over-year performance progression tracking
- Legal compliance/documentation requirements
**Note:** This can be added via contract amendment at any time, but better to include in upcoming renewal if desired to avoid separate transactions</t>
  </si>
  <si>
    <t>I_kwDOQvhFw87obUSU</t>
  </si>
  <si>
    <t>Send monthly meeting invite for Feb 27 at 1:30pm</t>
  </si>
  <si>
    <t>Set up recurring monthly meeting (every 4 weeks) with Walter Bottlick and Chris Tack for Thursday, February 27th at 1:30pm (note: first meeting moved up one week earlier to avoid quarterly summit conflict).
**Meeting purpose:**
- Monitor EdFX migration progress
- Adjust ObservePoint configurations as needed
- Support transition from OneTrust to HubSpot consent banner</t>
  </si>
  <si>
    <t>I_kwDOQvhFw87obaU0</t>
  </si>
  <si>
    <t>Document success criteria with Cotivity team</t>
  </si>
  <si>
    <t>Create a living document defining success criteria for Cotivity's use of ObservePoint during the February 27th meeting.
**Context:**
- This will be a primary agenda item for the first official monthly meeting
- Document should capture what success looks like for their use case
- Will be maintained as a living document throughout the engagement</t>
  </si>
  <si>
    <t>I_kwDOQvhFw87obaXK</t>
  </si>
  <si>
    <t>Follow up on Web Governance survey setup</t>
  </si>
  <si>
    <t>Connect with Walter to finalize the Web Governance survey contacts and complete the setup process that was previously started but not finished.
**Context:**
- Walter has been collecting contacts within Cotivity to send surveys to
- Process was delayed due to EdFX migration work
- Walter mentioned a liaison from the legal team who should be included
- Ask to be included on communications with the previous contact who was handling this</t>
  </si>
  <si>
    <t>I_kwDOQvhFw87obaYH</t>
  </si>
  <si>
    <t>Reach out to Sean Warren about extended data retention</t>
  </si>
  <si>
    <t>Contact Sean Warren (budget owner) to inform him about the new extended data retention options (3, 5, or 7 years + 1 month).
**Context:**
- Sean originally brought ObservePoint to Cotivity primarily for compliance/legal checkbox purposes
- He works closely with Andy and JD who can facilitate connection
- Legal team has concerns about potential lawsuits (peer companies recently sued over privacy issues)
- Extended retention could help with legal defense by showing historical compliance efforts
- This is a new feature he likely doesn't know about yet
- Would require contract addendum but can be done anytime (not just at renewal)</t>
  </si>
  <si>
    <t>I_kwDOQvhFw87obaZV</t>
  </si>
  <si>
    <t>Disable Chili Piper meeting reminders</t>
  </si>
  <si>
    <t>Investigate and disable the meeting reminder notifications being sent from Chili Piper (chili pepper dot com) that are being received by meeting attendees.
**Context:**
- Chris reported receiving unwanted reminder emails from both Chili Piper and Gong
- This is a new scheduling technology recently implemented
- May need to check if this can be disabled in settings</t>
  </si>
  <si>
    <t>I_kwDOQvhFw87obaab</t>
  </si>
  <si>
    <t>Send meeting recording to Mike and Alex</t>
  </si>
  <si>
    <t>Send the recording of this introductory meeting to Mike Tanedo and Alex (who couldn't attend). Mike indicated he's comfortable receiving it directly or forwarding to Alex as needed.</t>
  </si>
  <si>
    <t>I_kwDOQvhFw87ooqzg</t>
  </si>
  <si>
    <t>Send follow-up email and schedule regular cadence</t>
  </si>
  <si>
    <t>Send a follow-up email to Mike Tanedo (and Bruce if appropriate) after this meeting to:
- Recap the discussion
- Schedule a regular meeting cadence (biweekly or monthly)
- Begin setting up goals and targets for ObservePoint implementation
Mike has already been granted access to the tool by Amy.</t>
  </si>
  <si>
    <t>I_kwDOQvhFw87ooq1a</t>
  </si>
  <si>
    <t>Set up automated QA for Medicare enrollment flow</t>
  </si>
  <si>
    <t>Configure ObservePoint Journeys to automate QA testing for Aetna's Medicare enrollment multi-step form process.
**Specific requirements:**
- Track the complete enrollment funnel: plan selection → personal information → additional information → final review → submission → confirmation
- Validate Adobe AEP implementation at each step
- Verify all required fields and variables are firing correctly with accurate data
- Implement error tracking to capture friction points (e.g., incorrect member ID entries)
- Set up automated rules and alerts for failures
- This is a critical business flow where data loss represents missed opportunities
**Technical notes:**
- Error tracking is currently implemented in variables/tags (not data layer)
- Manual QA is currently time-consuming for this flow</t>
  </si>
  <si>
    <t>I_kwDOQvhFw87ooq3m</t>
  </si>
  <si>
    <t>Investigate missed app submission tracking issue</t>
  </si>
  <si>
    <t>Use ObservePoint to diagnose and resolve the discrepancy between online conversion data and offline data for application submissions.
**Problem:**
- Comparison between Adobe analytics data and offline data shows mismatches
- Suspected missing error captures or tracking gaps
- This represents lost conversion data
**Approach:**
- Set up Journey-based testing to validate submission tracking
- Implement rules to catch missing tags/variables during submission process
- Focus on error scenarios that may not be properly tracked</t>
  </si>
  <si>
    <t>I_kwDOQvhFw87ooq5H</t>
  </si>
  <si>
    <t>Configure AI-powered anomaly detection for Adobe implementation</t>
  </si>
  <si>
    <t>Explore and implement ObservePoint's AI capabilities for automated QA and anomaly detection on Adobe AEP implementation.
**Scope:**
- Primary focus: Adobe AEP implementation across Aetna DTC sites
- Secondary: Third-party marketing tags (Flashlight and other marketing tools)
- Goal: Automate manual QA processes that are currently time-consuming
- Use case: Detect when site changes break tracking without manual verification
**Context:**
- This is a 2026 initiative for Mike's team
- Large site with extensive tracking makes manual QA impractical when changes occur</t>
  </si>
  <si>
    <t>I_kwDOQvhFw87ooq63</t>
  </si>
  <si>
    <t>Send follow-up email to Mike Tanedo after meeting</t>
  </si>
  <si>
    <t>Send a follow-up email to Mike Tanedo after the meeting to:
- Recap the discussion about ObservePoint capabilities for their app submission conversion tracking issues
- Propose setting up a regular cadence (biweekly or monthly meetings)
- Help them establish goals and targets for using ObservePoint
**Context:** Mike mentioned they have ongoing issues with missed app submissions when comparing online data with offline data, and Amy has already granted him access to the tools.</t>
  </si>
  <si>
    <t>I_kwDOQvhFw87opKqV</t>
  </si>
  <si>
    <t>Update sitemap-based audit script for Arnold</t>
  </si>
  <si>
    <t>When Arnold is ready (approximately 2 weeks), update the Google Sheet-based script for sitemap audits.
**Required information from Arnold:**
- Which sitemaps to run the script on (likely only one sitemap needed)
- Date configuration preferences (e.g., only new sites updated since previous run)
- Desired frequency for the audit runs
**Note:** Arnold currently cannot access the Google Sheet due to company restrictions, but the solution should still work for their needs.</t>
  </si>
  <si>
    <t>I_kwDOQvhFw87opKsA</t>
  </si>
  <si>
    <t>Provide Kathy with ObservePoint resources and documentation</t>
  </si>
  <si>
    <t>Share the following resources with Kathy for her team:
- Help docs: help.observepoint.com
- ObservePoint Academy: academy.observepoint.com (asynchronous training program)
- Getting Started guide
**Guidance provided:**
- Focus on relevant sections (e.g., skip privacy if not applicable)
- Have team members document their use cases, questions, and quality standards in plain English
- Send these documented requirements via email for translation into ObservePoint capabilities
**Context:** Kathy wants to share resources with team members interested in accessibility audits and performance audits without increasing usage until they validate the output meets their needs.</t>
  </si>
  <si>
    <t>I_kwDOQvhFw87opKvw</t>
  </si>
  <si>
    <t>Work with Arnold to close out CenturyLink audit</t>
  </si>
  <si>
    <t>Coordinate with Arnold to disable the CenturyLink audit that is currently running.
**Reason:** This audit was set up to gather before/after metrics, but CenturyLink ended up staying on managed services, making the audit unnecessary. Closing it will prevent paying for unused monitoring.</t>
  </si>
  <si>
    <t>I_kwDOQvhFw87opKxf</t>
  </si>
  <si>
    <t>Explore conversational AI measurement solution</t>
  </si>
  <si>
    <t>Investigate and potentially develop a solution for measuring Lumen's conversational AI/agentic experience launching in Q1.
**Requirements to gather from stakeholder:**
- How they plan to evaluate AI response quality
- Success indicators for the conversational agent
- Whether this relates to SEO/AIEO initiatives (stakeholder is SEO person)
**Proposed approach:**
- Use ObservePoint journeys to emulate human interaction with chatbot
- Input hardcoded prompts (potentially 20 different prompts, run 100 times each)
- Use JavaScript to capture responses via console log
- Export responses to Google Sheets for human review
**Context:** The agent will focus on marketing (product information, security options) rather than support. This is a new capability not directly supported by ObservePoint out-of-the-box but could be built using journey functionality.</t>
  </si>
  <si>
    <t>I_kwDOQvhFw87opKzN</t>
  </si>
  <si>
    <t>Translate Kathy's use case documentation into ObservePoint configurations</t>
  </si>
  <si>
    <t>Once Kathy provides documented use cases from her stakeholders, translate these requirements into ObservePoint configurations and automation solutions.
**Waiting for:**
- Specific questions they need answered about performance, tagging, and accessibility
- Quality standards/metrics they expect (e.g., "ARIA labels should be 98% compliant")
- Use cases written in plain English</t>
  </si>
  <si>
    <t>I_kwDOQvhFw87opK3L</t>
  </si>
  <si>
    <t>Review and categorize unapproved cookies in opt-out audit</t>
  </si>
  <si>
    <t>Continue the process of identifying cookies that are not found in OneTrust and adding them to the cookie inventory.
**Current Status:**
- Successfully added ~15 cookies manually via bulk upload to OneTrust
- Process involves: exporting unapproved cookies from ObservePoint → mapping to OneTrust import format → bulk uploading → republishing OneTrust → syncing consent categories in ObservePoint
**Next Steps:**
- Focus on the opt-out audit (runs daily) to identify remaining unapproved cookies
- Use the Cookie Privacy Compliance page with proper filtering (filter by audit name for opt-out audits only)
- Add any missing cookies to OneTrust using the manual bulk upload process
- Remember: cookies showing as "unapproved" in opt-out context may actually be properly categorized but firing when they shouldn't be (e.g., targeting cookies in opt-out state)
**Goal:** Get to zero unknown/unapproved cookies, then shift focus to analyzing which cookies are loading in opt-out state when they shouldn't be.</t>
  </si>
  <si>
    <t>I_kwDOQvhFw87opsPt</t>
  </si>
  <si>
    <t>Sync consent categories after OneTrust changes</t>
  </si>
  <si>
    <t>After making any changes to cookie categories or settings in OneTrust, remember to update the consent categories in ObservePoint.
**Process:**
1. Make changes in OneTrust
2. Go to ObservePoint audit settings → Standards → Consent Categories
3. Sync the consent categories
4. Either wait for next audit run OR reprocess existing audit (reprocessing doesn't use additional usage)
**Note:** This sync is critical for accurate reporting - without it, ObservePoint won't reflect the current OneTrust configuration.</t>
  </si>
  <si>
    <t>I_kwDOQvhFw87opsRZ</t>
  </si>
  <si>
    <t>Update report filtering to separate opt-in and opt-out data</t>
  </si>
  <si>
    <t>Fix the current report configuration that is mixing opt-in and opt-out audit data, causing confusion about cookie approval status.
**Issue Identified:**
- Current report pulls from entire Seagate.com folder, combining opt-in and opt-out audits
- This creates misleading "unapproved" statuses (cookies may be approved for opt-in but correctly blocked in opt-out)
**Solution:**
- Add audit name filter to the report
- Either manually select specific audits OR use naming convention filter (e.g., filter for "opt out" in audit name)
- Consider creating separate reports for opt-in vs opt-out analysis
**Alternative:** Can also analyze individual audits directly via the Cookie Privacy Compliance page instead of using combined reports.</t>
  </si>
  <si>
    <t>I_kwDOQvhFw87opsS8</t>
  </si>
  <si>
    <t>Send IP address documentation link to Phil</t>
  </si>
  <si>
    <t>Send Phil the help documentation link that contains information about ObservePoint agent IP addresses for blocking from analytics report suite.
**Context:** Phil asked if IP addresses for deployed agents have changed in the past year or two and whether he should be blocking them from his analytics report suite.</t>
  </si>
  <si>
    <t>I_kwDOQvhFw87op9jp</t>
  </si>
  <si>
    <t>Set up notifications/alerts after rule finalization</t>
  </si>
  <si>
    <t>Once Phil has finalized the consolidated analytics rule and determined what's being checked and who it's for, help Phil set up appropriate notifications and alerts. The goal is to avoid "noise" in notifications - only send alerts when something is actually wrong ("no news is good news" approach).
**Options to explore:**
- Direct rule notifications
- Report-based notifications
- Alert configurations
**Dependencies:** This task can only begin after Phil completes the rule consolidation work.
**Timeline:** To be discussed at or after the Tuesday meeting.</t>
  </si>
  <si>
    <t>I_kwDOQvhFw87op9lL</t>
  </si>
  <si>
    <t>Configure 404 error page alerts</t>
  </si>
  <si>
    <t>Set up alert rules to notify when 404 error pages are detected during audits.
**Background:** Grant discovered ObservePoint had screenshotted a 404 page from a customer complaint, but no alert rule was configured to catch it proactively. This would have provided earlier notification of the issue.
**Implementation:** Add failure rules to existing audits that run several times daily to catch 404 errors and trigger notifications.</t>
  </si>
  <si>
    <t>I_kwDOQvhFw87o7FKr</t>
  </si>
  <si>
    <t>Schedule use case discovery session</t>
  </si>
  <si>
    <t>Schedule follow-up meeting (separate from contract discussions) to identify and document specific use cases and questions Grant needs answered with ObservePoint.
**Purpose:** Move beyond current basic implementation to leverage more platform functionality. Focus on high-level business questions and stories to tell stakeholders before diving into technical configuration.
**Reference material:** John shared PDF with example questions ObservePoint can answer to help spur thought process.
**Current state:** Grant acknowledged there's more functionality not being leveraged, but current focus has been on ecommerce team needs (website functionality and performance).</t>
  </si>
  <si>
    <t>I_kwDOQvhFw87o7FMy</t>
  </si>
  <si>
    <t>Investigate and resolve email inbox link filtering issues</t>
  </si>
  <si>
    <t>Address two blocking issues preventing email validation audit from going live:
1. **Social link issue**: ObservePoint is flagging a Stack Overflow (or Reddit) social link in the footer that should be ignored like other social links
2. **Hidden tracking link issue**: Find a way to exclude a dynamically-generated impression tracking link that appears at the end of email HTML. This link:
   - Has no class, no inner text, just an href in an anchor tag
   - Only appears on first view of the email
   - Returns 404 errors causing false negatives
   - Cannot be identified by regex on the href itself
   - May need CSS selector approach to target "last anchor tag preceded by script tag with no attributes"
**Context**: Email inbox is set up and receiving emails but not connected to an audit due to these issues creating too much noise and false negatives. Arthur wants to avoid alert fatigue for marketers.
**Reference**: ObservePoint inbox link provided in meeting, contains example emails showing the problematic link structure.</t>
  </si>
  <si>
    <t>I_kwDOQvhFw87o7uIr</t>
  </si>
  <si>
    <t>Explore on-page script execution for email audits</t>
  </si>
  <si>
    <t>Research whether on-page scripts run when emails are processed through the ObservePoint inbox audit.
If scripts do run, this could enable writing a CSS selector or script to programmatically flag or modify the problematic tracking link, allowing for more prescriptive targeting (e.g., "last link on page preceded by script tag that is also an anchor with no attributes").
This is related to resolving the email validation audit blocking issues.</t>
  </si>
  <si>
    <t>I_kwDOQvhFw87o7uKF</t>
  </si>
  <si>
    <t>Monitor and follow up on network request load time reporting</t>
  </si>
  <si>
    <t>Monitor ObservePoint product team's progress on adding network request load times to reporting.
**Background**: Dylan (VP of CS) and product team identified this as an oversight today (during the meeting). Product indicated it may be a quick fix. This data is critical for Arthur's Q1 priority project to map network requests and measure page speed impact.
**If not resolved quickly**: Explore alternative methods to provide this data to Arthur for his network request mapping initiative.</t>
  </si>
  <si>
    <t>I_kwDOQvhFw87o7uL0</t>
  </si>
  <si>
    <t>Support network request to provider mapping project</t>
  </si>
  <si>
    <t>Prepare to support Arthur's Q1 high-priority initiative to map all network requests to internal providers/products.
**Project goal**: Create a comprehensive mapping of:
- All network requests on pages
- Which provider/product they belong to (Segment, Facebook Pixel, etc.)
- Internal DRIs and teams responsible for each
- Bandwidth/performance impact of each
- Value attribution for each tool
**Expected needs**:
- Multiple custom tag creation requests to map network calls to tags
- May need to assign custom vendor designations in the tag database
- Arthur has already started a document using regex for mapping
**Purpose**: Enable performance budgeting by team, identify underperforming tools for removal, and reduce total blocking time from JavaScript.</t>
  </si>
  <si>
    <t>I_kwDOQvhFw87o7uNe</t>
  </si>
  <si>
    <t>Document rebranding audit lessons learned</t>
  </si>
  <si>
    <t>Document lessons learned from the rebranding audit for future similar projects:
**Positive feedback**: Fiona and Matt praised the level of data and detail provided by ObservePoint.
**Improvement opportunities**:
1. **Universal components**: Test universal navigation and footer links once per domain rather than on every page to reduce noise
2. **Page volume**: 20,000 pages was insufficient due to translated pages multiplying unique URLs by 5-6x
**Action**: When working on similar scripts in the future, account for:
- Universal/reusable components that don't need repeated testing
- Language/translation pages that significantly increase URL count
Consider creating a separate component-level report for reusable elements.</t>
  </si>
  <si>
    <t>I_kwDOQvhFw87o7uPK</t>
  </si>
  <si>
    <t>Add vendor field to custom tag submission process</t>
  </si>
  <si>
    <t>Update the custom tag request workflow in the Tag Database (Library &gt; Tag Database) to include a vendor field option when submitting custom tag requests.
**Context:**
- Arthur mentioned they'll have many custom tags to add
- Currently the tag database allows custom tag submissions but lacks vendor specification
- This will help organize and categorize the expected volume of custom tags</t>
  </si>
  <si>
    <t>I_kwDOQvhFw87o8Mi8</t>
  </si>
  <si>
    <t>Follow up on Pathway CI/CD automation with GitHub Actions</t>
  </si>
  <si>
    <t>Continue discussion with Arthur about implementing CI/CD automation for Pathway (their custom tag manager) using ObservePoint's GitHub integration.
**Current blocker:**
- Arthur's organization doesn't have GitHub Actions enabled
- Someone on their team needs to work with their IT department to enable it
**Next steps:**
- Check in on progress with IT approval
- Be ready to provide implementation guidance once Actions are enabled</t>
  </si>
  <si>
    <t>I_kwDOQvhFw87o8MkV</t>
  </si>
  <si>
    <t>Reply to Frank's contract renewal escalation</t>
  </si>
  <si>
    <t>Follow up on Frank Ialongo's contract renewal and potential enhancements.
**Current status:**
- Frank is being made the point of contact for the contract
- Budget discussions are aligned with suggested enhancements
- Approval chain: Supervisor ✓, Mike ✓, Search Administrators (pending)
- May need to go through procurement if enhancements are added
- No risk of non-renewal (30-day notice required)
- Department transition completed smoothly
**Action needed:**
- Reply to Frank's escalation message
- Monitor progress through search administrators approval
- Be prepared to support procurement process if needed</t>
  </si>
  <si>
    <t>I_kwDOQvhFw87o8Mlr</t>
  </si>
  <si>
    <t>Review journey coverage plan from Charlotte</t>
  </si>
  <si>
    <t>Follow up with the journey support team on their feedback regarding Charlotte's journey coverage plan that was forwarded to them earlier this week.
**Context:**
- Charlotte submitted a comprehensive journey coverage plan
- John forwarded it to the journey support team for structure and maintainability recommendations
- Coverage appears strong; team needs to provide guidance on best way to structure and make it maintainable
- Charlotte has ~30 journeys planned (similar to her previous work at Absa)</t>
  </si>
  <si>
    <t>I_kwDOQvhFw87o94Nm</t>
  </si>
  <si>
    <t>Create RACI document for framework implementation</t>
  </si>
  <si>
    <t>Develop a RACI (Responsible, Accountable, Consulted, Informed) document to accompany the framework deliverables.
**Purpose:**
- Define roles and responsibilities for pre-release QA journey testing
- Clarify what developers check vs. what ObservePoint validates
- Support Charlotte's meeting with development team on process alignment
**Note:** Charlotte originally expected more of a process document; this will complement the comprehensive framework approach.</t>
  </si>
  <si>
    <t>I_kwDOQvhFw87o94PI</t>
  </si>
  <si>
    <t>Research query parameter approach for conditional EVAR 2 validation</t>
  </si>
  <si>
    <t>Consult with ObservePoint solutions team to confirm the technical approach for handling EVAR 2 (site section two), which is only set on non-homepage and non-top-level pages.
**Proposed approach:**
- Use on-page action to save HTML filename as query parameter in URL
- Format: `?evar2=&lt;value&gt;` appended to URL
- Access this parameter in rule using "final page URL string parameter" selector
- This would make EVAR 2 validation dynamic without managing multiple rules
**Alternative if query parameter doesn't work:**
- Create two separate rules: one for pages where EVAR 2 should be set (filtered by URL regex), one for all other variables
- Filter out homepage and top-level pages from EVAR 2 rule
**Next step:** Provide guidance to Phil on the correct implementation approach after consulting with solutions team.</t>
  </si>
  <si>
    <t>I_kwDOQvhFw87p15Ok</t>
  </si>
  <si>
    <t>Provide ObservePoint IP and user agent whitelist documentation to Filippo</t>
  </si>
  <si>
    <t>Share the ObservePoint help documentation containing IP addresses and user agents that need to be whitelisted on Mashable.com to prevent bot detection systems from blocking audit scans.
**Context:**
- Documentation was already shared during the call
- Mashable uses aggressive Cloudflare bot filtering
- CNET is less aggressive and may already be configured
- This is critical for Mashable audits to complete successfully</t>
  </si>
  <si>
    <t>I_kwDOQvhFw87qgZ_S</t>
  </si>
  <si>
    <t>Set up opt-out audits for top 3 brands</t>
  </si>
  <si>
    <t>Configure ObservePoint audits with reject-all consent state for the three priority brands.
**Brands (in priority order):**
1. Mashable.com (start here)
2. IGN.com
3. CNET.com
**Configuration:**
- Geography: California (primary focus)
- Consent state: Reject all
- Start with single brand (Mashable), validate setup, then clone for others
- Focus on tracking cookies/trackers fired in non-consented state
- Import and sync OneTrust consent categories</t>
  </si>
  <si>
    <t>I_kwDOQvhFw87qgaAg</t>
  </si>
  <si>
    <t>Sync with Robert next week on ownership and next steps</t>
  </si>
  <si>
    <t>Schedule follow-up meeting with Robert to determine:
**Key decisions needed:**
- Who will review ObservePoint reports (possibly Joyce Fortuna's team)
- Resource allocation based on 2036 budget finalization (expected end of January)
- Rollout plan for remaining brands after initial 3
**Context:** Bandwidth is the primary constraint - need to identify report owner before scaling beyond top 3 brands. ObservePoint will generate numerous reports requiring triage between false positives and actionable compliance issues.</t>
  </si>
  <si>
    <t>I_kwDOQvhFw87qgaB1</t>
  </si>
  <si>
    <t>Create scheduled report for unapproved targeted ad cookies</t>
  </si>
  <si>
    <t>Build automated alert report in ObservePoint that only sends email when targeted advertising cookies are found in opt-out state.
**Report specifications:**
- Filter: Consent category contains 'targeted'
- Audit scope: Opt-out scans only
- Schedule: Align with audit frequency
- Recipients: TBD (pending ownership discussion with Robert)
- Configuration: 'Do not send if empty' enabled
**Purpose:** Catch human errors where targeted ad cookies slip through to non-consented users</t>
  </si>
  <si>
    <t>I_kwDOQvhFw87qgaDW</t>
  </si>
  <si>
    <t>Develop regex filter for empty US_privacy parameters</t>
  </si>
  <si>
    <t>Create regex pattern to identify network requests where the `US_privacy` parameter exists but has an empty value.
**Context:**
- Current reports can filter for specific values (e.g., `1YNN` vs `1YNY`)
- Need to catch cases where parameter is present but empty in query string
- Pattern should match: `US_privacy=&amp;` or `US_privacy=` at end of string
- This is needed for more complex consent strings beyond the simple US_privacy example
- Will be implemented using ObservePoint's regex filtering on Request URL field</t>
  </si>
  <si>
    <t>I_kwDOQvhFw87qgaHF</t>
  </si>
  <si>
    <t>Provide video architecture details to ObservePoint product team</t>
  </si>
  <si>
    <t>Share Mashable/IGN video implementation architecture with ObservePoint's product team to inform their 2024 video tracking roadmap.
**Context:**
- ObservePoint is prioritizing video tracking capabilities this year
- Ziff Davis has 'surprisingly complex' video implementations with many corner cases
- This could help shape a solution that works for complex video setups
- Coordinate knowledge transfer after initial audit setup is complete</t>
  </si>
  <si>
    <t>I_kwDOQvhFw87qgaIn</t>
  </si>
  <si>
    <t>Set up four separate CCPA compliance audits</t>
  </si>
  <si>
    <t>Create four separate ObservePoint audits for CCPA compliance testing, one for each subdomain/domain:
1. devry.edu
2. partner.devry.edu (Salesforce site)
3. learn.devry.edu
4. Application domain (dvu.my.salesforce)
**Configuration for each audit:**
- Set maximum pages to 100 per audit
- Configure pre-audit action to use the same URL as the starting URL for that specific audit
- Use the built-in CMP pre-audit action with "reject all" settings
- This ensures proper opt-out state testing for each domain's separate OneTrust implementation</t>
  </si>
  <si>
    <t>I_kwDOQvhFw87rZJS8</t>
  </si>
  <si>
    <t>Add GTM blocking to CCPA opt-out audits</t>
  </si>
  <si>
    <t>Update the CCPA compliance audits to block Google Tag Manager:
**Steps:**
1. First run audits without GTM blocking as a sanity check to verify GTM isn't loading
2. Then add GTM to the blocked tags list in audit settings
3. Rerun audits with GTM blocked
**Purpose:** This will filter out GTM and all child tags it fires, making it easier to identify non-compliant tags that are hard-coded or loaded outside of GTM (like ShareThis and its associated third-party tags)</t>
  </si>
  <si>
    <t>I_kwDOQvhFw87rZJUD</t>
  </si>
  <si>
    <t>Create filtered compliance report for leadership</t>
  </si>
  <si>
    <t>Build a tag inventory report in ObservePoint to show non-compliant tags in opt-out state:
**Report configuration:**
- Aggregate data from all four CCPA audits
- Filter to show only "unapproved" tags
- Manually filter out approved tags: Google Tag Manager, OneTrust
- Consider filtering out VWO and Interaction Studio after researching their compliance requirements
**Purpose:** Present to CTO Chris Campbell and IT security team to demonstrate actual compliance gaps, specifically highlighting ShareThis and associated third-party tags (Facebook, LinkedIn, etc.) that are loading despite opt-out</t>
  </si>
  <si>
    <t>I_kwDOQvhFw87rZJU4</t>
  </si>
  <si>
    <t>Request OneTrust admin access</t>
  </si>
  <si>
    <t>Obtain admin access to the OneTrust account to properly manage consent categories.
**Rationale:** Manual filtering in ObservePoint is not sustainable long-term. Need OneTrust access to:
- Set up proper consent categories for all tags
- Create single source of truth for compliance categorization
- Enable automatic import of categories into ObservePoint
- Avoid manual maintenance of tag categories
**Note:** Currently no one on staff owns OneTrust; Capgemini is SME but not owner</t>
  </si>
  <si>
    <t>I_kwDOQvhFw87rZJWD</t>
  </si>
  <si>
    <t>Research VWO and Interaction Studio opt-out requirements</t>
  </si>
  <si>
    <t>Determine whether VWO (A/B testing software) and Salesforce Interaction Studio (personalization) should be categorized as requiring opt-out consent.
**Key consideration:** Both tools collect user behavior data and send it to third-party software, which likely qualifies them as targeting/performance cookies requiring consent.
**Action:** Research legal/privacy requirements and document findings before finalizing compliance reports</t>
  </si>
  <si>
    <t>I_kwDOQvhFw87rZJY7</t>
  </si>
  <si>
    <t>Present compliance findings to CTO Chris Campbell</t>
  </si>
  <si>
    <t>Share ObservePoint compliance findings with CTO Chris Campbell to highlight gaps in current privacy/security ownership.
**Key points to communicate:**
- No true ownership of OneTrust or privacy compliance currently exists
- IT security team completed "security compliance check" without consulting marketing or understanding actual cookie compliance status
- ShareThis plugin is loading multiple non-compliant third-party tags (Facebook, LinkedIn) in opt-out state
- Need formal ownership structure for OneTrust and privacy compliance
- Current project management approach is insufficient
**Supporting evidence:** ObservePoint reports showing specific non-compliant tags</t>
  </si>
  <si>
    <t>I_kwDOQvhFw87rZJaU</t>
  </si>
  <si>
    <t>Investigate Google Consent Mode implementation</t>
  </si>
  <si>
    <t>Ask the team (likely Capgemini) whether implementing Google Consent Mode would resolve the OneTrust initiator chain issue observed in ObservePoint.
**Current issue:** OneTrust and GTM are loading separately rather than GTM being a child of OneTrust in the initiator chain.
**Question for team:** If we move to Google Consent Mode, will this show OneTrust as the initiator in ObservePoint's tag analysis?
**Context:** There's already a work stream on the GTM board to look at consent mode</t>
  </si>
  <si>
    <t>I_kwDOQvhFw87rZJdX</t>
  </si>
  <si>
    <t>Follow up with journey support team on pending fixes</t>
  </si>
  <si>
    <t>Check status with the journey support team (Romania-based) on the pending journey fix requests that were submitted last week but not completed due to the annual summit.
**Journeys awaiting fixes:**
- Order journey for cdw.com (action failure - CSS update needed)
- Two additional yellow/action failure journeys on the report
**Expected timeline:** Fixes should be completed by end of week.</t>
  </si>
  <si>
    <t>I_kwDOQvhFw87rundE</t>
  </si>
  <si>
    <t>Introduce John to privacy/OneTrust team via email</t>
  </si>
  <si>
    <t>Send email introduction connecting John Davis with the CDW software engineering team member who manages OneTrust cookie classification and privacy monitoring.
**Purpose:** Enable John to discuss how ObservePoint can verify and enhance OneTrust implementation, utilizing the existing 120,000 page scan allocation in the current contract.
**Timing:** Send introduction email immediately after this meeting.</t>
  </si>
  <si>
    <t>I_kwDOQvhFw87runen</t>
  </si>
  <si>
    <t>Follow up with product/engineering on tag naming discrepancy</t>
  </si>
  <si>
    <t>Follow up with ObservePoint's internal product and engineering team regarding the discrepancy between tag names shown in the ObservePoint browser extension versus what appears in the audit app.
**Context:**
- Phil noticed the extension shows "interact" while the audit shows "AEP web analytics"
- John previously raised this issue internally
- Teams were unsure why this occurs since they should use the same tag database
- Need to check if there's been any new learning on this issue</t>
  </si>
  <si>
    <t>I_kwDOQvhFw87r_JId</t>
  </si>
  <si>
    <t>Investigate and fix consent category sync bug</t>
  </si>
  <si>
    <t>There is a bug preventing the import/sync of OneTrust consent categories into ObservePoint. The system detects the categories but fails to inject them into the database.
**Context:**
- Bug occurred during live demo when attempting to import consent categories from Sea Ray website
- Categories were detected but sync failed with error
- John took screenshots and will report to engineering
- This is blocking the ability to properly categorize cookies/tags as approved/unapproved in privacy audits
**Next Steps:**
- Follow up with engineering team on bug report
- Once fixed, import consent categories for Brad's audits
- Assign categories to the opt-in/opt-out audits that were created</t>
  </si>
  <si>
    <t>I_kwDOQvhFw87sCVxO</t>
  </si>
  <si>
    <t>Set up and run privacy compliance POC audits</t>
  </si>
  <si>
    <t>Set up proof-of-concept privacy compliance audits for Brunswick's websites to demonstrate ObservePoint's privacy capabilities to their legal team.
**Audits to configure:**
1. **US Opt-In Audit** - California location, accept all cookies
2. **US Opt-Out Audit** - California location, reject all cookies  
3. **Europe Default Audit** - UK location, no banner interaction (default state)
4. **Europe Opt-Out Audit** - UK location, reject all cookies
**Key Requirements:**
- Test URL: Sea Ray website (provided by Brad)
- Focus on verifying cookies fire correctly based on consent state
- Legal team needs compliance verification urgently
- Brad mentioned needing results "today, tomorrow"
**Expected Issues to Validate:**
- Adobe Analytics firing when it shouldn't (loads from Launch, not GTM)
- Facebook Pixel (FBP cookie) behavior on opt-out
- Ensure only strictly necessary cookies fire in opt-out states
**Note:** Three audits were already started during the call (opt-in US, opt-out US, UK default), but need consent categories assigned before results are fully actionable.</t>
  </si>
  <si>
    <t>I_kwDOQvhFw87sCVyh</t>
  </si>
  <si>
    <t>Investigate FBP cookie discrepancy in pre-audit results</t>
  </si>
  <si>
    <t>There is a discrepancy between what Brad sees manually in Chrome DevTools versus what ObservePoint captures in the pre-audit phase.
**Issue:**
- Brad sees Facebook Pixel (FBP) cookie loading on initial page load when testing as guest in Chrome
- ObservePoint's pre-audit results are NOT showing this FBP cookie
- Other cookies also appear to be missing from pre-audit capture (e.g., LCAU - Google Ads)
**Testing Details:**
- Brad is testing from Illinois
- Using guest Chrome profile (not incognito)
- No banner interaction - just initial page load
- Brad sent screenshot showing the discrepancy
**Action Required:**
- Manually test the Sea Ray site to reproduce the issue
- Determine why ObservePoint isn't capturing all cookies that fire on initial page load
- Verify if this is a broader issue or specific to certain cookie types
- Report findings back to Brad with explanation or bug fix timeline</t>
  </si>
  <si>
    <t>I_kwDOQvhFw87sCV0C</t>
  </si>
  <si>
    <t>Import and assign OneTrust consent categories to audits</t>
  </si>
  <si>
    <t>Once the consent category sync bug is resolved, import the OneTrust consent categories and assign them to Brad's privacy audits.
**Categories to Import:**
- 5 consent categories from OneTrust (Strictly Necessary, Performance, Functional, Targeting, Social Media)
- Import from Sea Ray website using ObservePoint's OneTrust API integration
**Assignment Strategy:**
- **Opt-Out Audits:** Assign ONLY "Strictly Necessary" category so anything else firing is flagged as unapproved
- **Opt-In Audits:** Assign all relevant categories
- Categories are audit-agnostic and can be reused across multiple audits
- If categories differ by region, can import separately for US vs Europe
**Post-Assignment:**
- Reprocess the audits (doesn't use page credits)
- Review results with Brad to show approved vs unapproved tags/cookies
- This will make the privacy compliance data actionable</t>
  </si>
  <si>
    <t>I_kwDOQvhFw87sCV2R</t>
  </si>
  <si>
    <t>Send privacy use case documentation to Brad</t>
  </si>
  <si>
    <t>Share the ObservePoint privacy use case documentation that was referenced during the call.
**Document Details:**
- Contains privacy-specific use cases and capabilities
- Covers cookie compliance checking, consent management validation, and regional privacy law compliance
- John attempted to share during the call but should follow up to ensure Brad received it
**Context:**
- Brad was surprised ObservePoint had privacy compliance capabilities
- He had been researching alternatives like Cookiebot and Cookie GDPR
- This documentation will help Brad understand the full scope of privacy features available</t>
  </si>
  <si>
    <t>I_kwDOQvhFw87sCV4C</t>
  </si>
  <si>
    <t>Whitelist ObservePoint IPs if needed for audits</t>
  </si>
  <si>
    <t>Determine if ObservePoint's bot is being blocked by Brunswick's security and whitelist static IP addresses if necessary.
**Context:**
- ObservePoint uses static IP addresses for all locations (California, UK, France, etc.)
- If the bot gets blocked, it means Brunswick's security is working correctly
- Whitelisting process is available to ensure audits can run successfully
**Action:**
- Monitor if the privacy audits complete successfully
- If audits fail or show incomplete data, investigate if blocking is occurring
- Coordinate with Brad's team to whitelist ObservePoint IPs if needed</t>
  </si>
  <si>
    <t>I_kwDOQvhFw87sCV5g</t>
  </si>
  <si>
    <t>Explore reporting setup for aggregated privacy compliance</t>
  </si>
  <si>
    <t>Once privacy audits are running successfully, set up reporting to aggregate privacy compliance data across all Brunswick domains.
**Reporting Capabilities:**
- Can aggregate data from multiple audits (Sea Ray, Mercury, etc.) into single reports
- Build reports showing all unapproved tags firing after opt-out (goal: zero rows)
- Schedule automated email delivery of reports
- Configure "empty report" logic so emails only send when issues are found (acts as alert)
**Use Case:**
- Brad has multiple domains to monitor (Sea Ray, Mercury, other Brunswick brands)
- Legal team needs ongoing compliance verification
- Automated reporting would provide continuous monitoring without manual checks
**Note:** This is a "whole other world" that wasn't covered in detail during the call - plan separate session to explore reporting features once basic audits are working.</t>
  </si>
  <si>
    <t>I_kwDOQvhFw87sCV6x</t>
  </si>
  <si>
    <t>Provide feedback on Journey pain points and improvements</t>
  </si>
  <si>
    <t>By next meeting, prepare feedback on Journeys feature for product team investment in 2026:
**Known pain points to address:**
- Reporting experience is better in audits than journeys
- Journey insights require clicking individual steps in builder (not consolidated view)
- Need better hard data reporting vs. just metadata
**Context:** ObservePoint is hiring new engineering team and product manager dedicated to rebuilding journeys from ground up, including AI enhancements. They want customer input on improvements.</t>
  </si>
  <si>
    <t>I_kwDOQvhFw87sTiGI</t>
  </si>
  <si>
    <t>Follow up on Front Store whitelisting escalation</t>
  </si>
  <si>
    <t>Follow up on the whitelisting request for ObservePoint access to Front Store that was escalated with a deadline of end of day Thursday (February 19, 2026).
**Context:**
- Maria gave the team until 4:00 PM today to respond with what else they need
- If no response, she plans to escalate on Friday
- Evidence of vendor approval has already been provided (third-party risk assessment completed, existing enterprise contract)
- The blocker is getting ObservePoint added to Archer system, which is low priority for that team
- Front Store is the highest risk business unit from a privacy perspective due to volume
**Next steps if no response:**
- Escalate to legal department and Kevin (who owns Archer updates)
- Emphasize privacy risks that cannot be audited without this access</t>
  </si>
  <si>
    <t>I_kwDOQvhFw87sVAnX</t>
  </si>
  <si>
    <t>Follow up with Carla on ObservePoint value summary</t>
  </si>
  <si>
    <t>Follow up with Carla (Maria's boss) during tomorrow's one-on-one meeting about the ObservePoint value summary draft that needs to be sent to Danielle Colson.
**Context:**
- Maria sent the draft to Carla in the first half of the first week of February (before vacation)
- Carla was supposed to review and "zhuzh it" before forwarding to Danielle
- Danielle needs this summary to inform the contract renewal discussions happening for April
- The summary explains how Maria and Amy use ObservePoint and plans to scale usage through 2026
- This is needed to support the ongoing contract review process</t>
  </si>
  <si>
    <t>I_kwDOQvhFw87sVApJ</t>
  </si>
  <si>
    <t>Review ObservePoint frameworks for Adobe implementation</t>
  </si>
  <si>
    <t>Review the ObservePoint frameworks documentation that John shared, specifically the Adobe Analytics framework, to inform internal processes and reporting strategy.
**Key features to explore:**
- Pre-built reports aligned with Adobe best practices
- Tag health and implementation recommendations
- Remediation guides developed in consultation with Adobe experts
- Use as a checklist/jumping off point for creating internal workflows
**Link provided:** [Frameworks documentation shared in meeting]
**Timeline:** Review once Front Store whitelisting is resolved and audits can be set up with valid data</t>
  </si>
  <si>
    <t>I_kwDOQvhFw87sVAsL</t>
  </si>
  <si>
    <t>Cancel February 25th meeting, confirm March 11th</t>
  </si>
  <si>
    <t>The February 25th meeting has been cancelled since John is out of office Tuesday-Friday next week. The next meeting is confirmed for March 11th.
**Context:** Brooke requested to skip the next meeting due to upcoming QBR season and will use the time to prepare use case documentation.</t>
  </si>
  <si>
    <t>I_kwDOQvhFw87sVqO2</t>
  </si>
  <si>
    <t>Assignee</t>
  </si>
  <si>
    <t>Submit ServiceNow ticket for MFA completion</t>
  </si>
  <si>
    <t>**Assignee:** Frank Ialongo (frank.ialongo@observepoint.com)
Enter a ServiceNow ticket to finalize the MFA implementation that was reviewed and approved in the previous meeting. All documentation has been reviewed and found sufficient by the compliance team.</t>
  </si>
  <si>
    <t>** Frank Ialongo (frank.ialongo@observepoint.com)</t>
  </si>
  <si>
    <t>Rename running audit/journey folder</t>
  </si>
  <si>
    <t>**Assignee:** Frank Ialongo (frank.ialongo@observepoint.com)
Rename the currently running audit/journey folder to properly identify it as a production environment folder. This is part of the cleanup process to improve organization and clarity in the ObservePoint instance.</t>
  </si>
  <si>
    <t>Reorganize folders by environment (prod/dev)</t>
  </si>
  <si>
    <t>**Assignee:** Frank Ialongo (frank.ialongo@observepoint.com)
Create new folder structure separating production and development environments:
- Create "amica.com prod" folder for all production journeys/audits
- Create "amica.com staging/qa" (or dev) folder for lower environment items
- Move existing journeys and audits into appropriate folders
- Consider organizing subfolders by use case (e.g., "Get a Quote Flow") within each environment folder
Goal: Make folder structure intuitive for users who don't know the account setup.</t>
  </si>
  <si>
    <t>Apply labels to journeys for better filtering</t>
  </si>
  <si>
    <t>**Assignee:** Frank Ialongo (frank.ialongo@observepoint.com)
Create and apply labels to journeys to enable easier filtering and reporting. Examples of label categories to consider:
- Use case labels (e.g., "Quote Flow", "Shopping Cart")
- Line of business labels (8 different lines)
- Environment labels if not using folder structure
Labels will be used in custom reports to filter journey health data and create targeted views for different teams.</t>
  </si>
  <si>
    <t>Review and bucket journeys into folders</t>
  </si>
  <si>
    <t>**Assignees:** Frank Ialongo (frank.ialongo@observepoint.com) and John Davis (john.davis@observepoint.com)
**Next Meeting Action:** Review individual journeys together to:
1. Assess which journeys are properly configured and working
2. Identify journeys that need fixes (e.g., environment issues, outdated ZIP codes)
3. Move journeys into appropriate folders based on environment and use case
4. Determine which journeys can be archived or deleted
**Scheduled for:** Next Friday meeting</t>
  </si>
  <si>
    <t>Create custom journey health reports with labels</t>
  </si>
  <si>
    <t>**Assignee:** Frank Ialongo (frank.ialongo@observepoint.com)
Once labels are applied to journeys, create and save custom journey health reports filtered by label categories. This will enable quick views of specific journey groups (e.g., "AC journeys", "Quote Flow journeys") without having to set filters each time.
Consider scheduling key reports to be emailed to relevant team members on a regular cadence.</t>
  </si>
  <si>
    <t>Onboard new SEO boss to ObservePoint</t>
  </si>
  <si>
    <t>**Assignees:** Frank Ialongo (frank.ialongo@observepoint.com) and Todd (SEO team)
**Timeline:** Next week
Onboard the new SEO manager to ObservePoint:
- Show them how to navigate the tool
- Potentially invite them to a meeting with John Davis
- Provide access to relevant SEO folders/reports
- Demonstrate how to review SEO audit results
**Context:** Todd (SEO) has been active in the tool (logged in 7 days ago), and there's significant focus on SEO audits in the Marketing folder.</t>
  </si>
  <si>
    <t>Submit ServiceNow ticket for MFA compliance</t>
  </si>
  <si>
    <t>**Assignee:** Frank Ialongo (frank.ialongo@observepoint.com)
Enter a ServiceNow ticket for the MFA (Multi-Factor Authentication) compliance review that was completed. All documentation has been reviewed and found sufficient by the security team. This ticket is needed to formally close out the compliance process.</t>
  </si>
  <si>
    <t>**Assignee:** Frank Ialongo (frank.ialongo@observepoint.com)
Reorganize the ObservePoint account structure:
**Current state:** Mixed organization with some folders like 'Dev Journeys' created but not populated
**Action items:**
- Move dev-marked journeys into the 'Dev Journeys' folder
- Rename journeys to clearly indicate environment (e.g., 'Get a Quote Flow - PROD')
- Consider organizing by environment (prod/dev) and then by use case/category
- Ensure naming is obvious for users who don't know the account structure
**Key principle:** Organization should be clear to someone unfamiliar with the account</t>
  </si>
  <si>
    <t>Create and apply labels to journeys for filtering</t>
  </si>
  <si>
    <t>**Assignee:** Frank Ialongo (frank.ialongo@observepoint.com)
Implement a labeling strategy for journeys and audits to enable better filtering and reporting:
**Examples of labels to create:**
- Quote flow variations
- Line of business specific (8 different lines)
- Environment tags (if not using folders)
- Feature/interaction types
**Purpose:** Labels will allow filtering in reports (like Journey Health report) to view specific subsets of journeys without being limited by the strict folder/subfolder hierarchy.</t>
  </si>
  <si>
    <t>Create custom reports with label filters</t>
  </si>
  <si>
    <t>**Assignee:** Frank Ialongo (frank.ialongo@observepoint.com)
Build custom reports filtered by labels for different use cases:
**Process:**
1. Start with base reports (Journey Health, Recent Audit Runs)
2. Add label filters for specific categories
3. Save as new reports with descriptive names (e.g., 'Journey Health - AC Journeys')
4. Set up scheduled exports to relevant team members
**Example created in meeting:** Journey Health AC report with label filter for 'AC' journeys</t>
  </si>
  <si>
    <t>**Assignee:** Frank Ialongo (frank.ialongo@observepoint.com)
**When:** Next week
Onboard the new SEO manager (Todd's new boss) to ObservePoint:
- Show him around the tool
- Possibly invite him to the Friday meeting with John
- Demonstrate SEO-specific features and reports
- Provide access to SEO folder with appropriate permissions</t>
  </si>
  <si>
    <t>Adjust audit browser settings to prevent security blocks</t>
  </si>
  <si>
    <t>**Assignee:** mallepud@observepoint.com
Change the audit configuration to use only 1 browser instead of 10+ concurrent browsers to avoid triggering security settings that block the audit. This will slow down audit execution time but should prevent the blocking issues experienced previously.
**Note:** This is a tradeoff between speed and reliability - audits will take longer but should complete successfully.</t>
  </si>
  <si>
    <t>** mallepud@observepoint.com</t>
  </si>
  <si>
    <t>Whitelist ObservePoint IP addresses in security settings</t>
  </si>
  <si>
    <t>**Assignee:** mallepud@observepoint.com
Work with internal security/IT team to whitelist ObservePoint's IP addresses to ensure consistent audit results and prevent blocking. Current approach of switching to Oregon location may be inconsistent, so whitelisting will make the setup more robust for ongoing audits.</t>
  </si>
  <si>
    <t>Investigate GitHub integration for CI/CD automation</t>
  </si>
  <si>
    <t>**Assignee:** mallepud@observepoint.com
Check with development team if they use GitHub for code releases. If yes, explore ObservePoint's GitHub integration feature to automatically trigger audits during staging/production deployments. This would enable automated validation before code goes live and prevent issues from reaching production.
**Documentation:** John Davis will send documentation on this feature.</t>
  </si>
  <si>
    <t>Define visualization requirements for charting feature</t>
  </si>
  <si>
    <t>**Assignee:** mallepud@observepoint.com
Think through and document what charts/visualizations would be valuable for reporting to leadership and dev teams. Consider:
- What story needs to be told with the data?
- What raw data from ObservePoint would be needed?
- What chart types would be most effective (pie, bar, time series, etc.)?
**Context:** ObservePoint has a beta charting feature that John can use to build custom visualizations. Examples could include cookie counts over time, tag validation trends, etc.
**Timeline:** Share requirements before the charting feature is released so John can build sample visualizations with actual data.</t>
  </si>
  <si>
    <t>Share GitHub integration documentation with dev team</t>
  </si>
  <si>
    <t>Assignee: Hailey Chamberlain (hlchambe@officeworks.com.au)
Share the GitHub integration documentation link (provided in meeting chat) with someone close to the development team, potentially through Bridget who came from the digital team.
Key selling points:
- Catches data layer issues and bugs at release time instead of after deployment
- Integrates with their existing CICD process (they deploy multiple times daily)
- Automatically triggers audits on code pushes
- Prevents releases from proceeding if validation rules fail
Next Step: Work with Bridget to determine best approach for presenting this to the technical teams to maximize buy-in.</t>
  </si>
  <si>
    <t>Hailey Chamberlain (hlchambe@officeworks.com.au)</t>
  </si>
  <si>
    <t>Document data layer standards and expectations</t>
  </si>
  <si>
    <t>Assignee: Hailey Chamberlain (hlchambe@officeworks.com.au) and Henry Hebron (henry.hebron@officeworks.com.au)
Work with stakeholders to document what the data layer SHOULD contain for key events and page types. This includes:
- Standard variables expected on all pages
- Required data for conversion events (add to cart, checkout, etc.)
- Page-specific requirements (PDPs, PLPs, etc.)
Context: This documentation is needed before ObservePoint rules can be configured to validate data quality. Currently, the team knows what IS in the data layer but hasn't defined what SHOULD be there.
Use Case: Once defined, these standards will be enforced via ObservePoint rules and potentially GitHub integration.</t>
  </si>
  <si>
    <t>Hailey Chamberlain (hlchambe@officeworks.com.au) and Henry Hebron (henry.hebron@officeworks.com.au)</t>
  </si>
  <si>
    <t>Set up training for marketing team on ObservePoint</t>
  </si>
  <si>
    <t>**Assignee:** Frank Ialongo (frank.ialongo@observepoint.com)
**Action:** Coordinate with boss to schedule and set up ObservePoint training for the marketing team (specifically the media team).
**Purpose:** Enable marketing team to understand how to use ObservePoint reports for monitoring marketing pixels and tag performance.
**Timeline:** Needs to be scheduled - Frank mentioned needing to "catch up with boss" to arrange this.</t>
  </si>
  <si>
    <t>Create rules for all marketing pixels</t>
  </si>
  <si>
    <t>**Assignee:** Frank Ialongo (frank.ialongo@observepoint.com)
**Action:** Create individual rules for every marketing pixel to monitor whether they fire on designated pages.
**Context:** During the meeting, a Facebook Conversion rule was created as an example. Frank needs to replicate this process for all other marketing pixels (Google Ads, Adobe, etc.) to enable comprehensive monitoring.
**Note:** Frank asked about creating rules in bulk but will need to create them individually for each pixel type.</t>
  </si>
  <si>
    <t>Build custom report for marketing team pixel monitoring</t>
  </si>
  <si>
    <t>**Assignee:** Frank Ialongo (frank.ialongo@observepoint.com) with John Davis support
**Action:** Build a custom report in ObservePoint that displays marketing pixel performance data in a format suitable for the marketing team to review.
**Timeline:** To be completed in next meeting with John Davis
**Context:** The report should show whether specific marketing pixels (Google Ads, Facebook, etc.) are firing on expected pages. This will be the primary interface for marketing team members to monitor their tags without navigating through complex folder structures.</t>
  </si>
  <si>
    <t>** Frank Ialongo (frank.ialongo@observepoint.com) with John Davis support</t>
  </si>
  <si>
    <t>Create second alert rule for Facebook Conversion tag</t>
  </si>
  <si>
    <t>**Assignee:** Frank Ialongo (frank.ialongo@observepoint.com)
**Action:** Create a second alert rule for the Facebook Conversion tag that monitors percentage change (increases by threshold) in addition to the existing "greater than 5 pages" rule.
**Context:** Frank wants two monitoring approaches:
1. Steady benchmark: Alert when more than 5 pages (&gt;1%) are missing the tag
2. Change detection: Alert when there's an increase from the previous run
This dual approach ensures alerts trigger both when fixing issues and when new issues emerge.</t>
  </si>
  <si>
    <t>Provide tier one, two, and three URLs</t>
  </si>
  <si>
    <t>**Assignee:** Steve Choi (steve.choi@prudential.com) and .com team
Provide the complete list of URLs categorized into three tiers:
- **Tier 1:** High-priority pages for biweekly scanning (to align with biweekly code releases)
- **Tier 2:** Mid-priority pages for monthly scanning
- **Tier 3:** Lower-priority pages for quarterly scanning
This is needed before the formal audit structure can be finalized. Steve mentioned they have approximately 5,500 pages available to scan monthly based on the contract, with top 500 pages getting most traffic.</t>
  </si>
  <si>
    <t>** Steve Choi (steve.choi@prudential.com) and .com team</t>
  </si>
  <si>
    <t>Define specific use cases and questions for audits</t>
  </si>
  <si>
    <t>**Assignee:** Steve Choi (steve.choi@prudential.com) and .com team members
**When:** Before/during Tuesday meeting
Identify specific questions that need to be answered about marketing tags, page data, and page performance. Examples include:
- Which tags must fire on what percentage of pages?
- What are the pain points with current tracking?
- What specific issues need monitoring?
These questions will determine how audits are configured, what rules are set up, and what alerts are needed. John emphasized this is critical before any audit setup can proceed.</t>
  </si>
  <si>
    <t>** Steve Choi (steve.choi@prudential.com) and .com team members</t>
  </si>
  <si>
    <t>Kick off Tuesday meeting and present use case document</t>
  </si>
  <si>
    <t>**Assignee:** Steve Choi (steve.choi@prudential.com)
**When:** Tuesday meeting with .com team
Kick off the meeting by:
1. Introducing the purpose of formalizing the audit process
2. Sharing the use case document link with the team
3. Explaining the need for tier 1, 2, and 3 URL lists
4. Discussing the biweekly release cadence alignment for tier 1
5. Then hand over to John for the audit walkthrough</t>
  </si>
  <si>
    <t>** Steve Choi (steve.choi@prudential.com)</t>
  </si>
  <si>
    <t>Provide PGIM tier one and tier two URLs</t>
  </si>
  <si>
    <t>**Assignee:** PGIM team
Provide tier 1 and tier 2 URL lists for the PGIM business unit. These have not yet been received and are needed before the PGIM audit review meeting can be scheduled and conducted effectively.</t>
  </si>
  <si>
    <t>** PGIM team</t>
  </si>
  <si>
    <t>Handle compliance team as single point of contact</t>
  </si>
  <si>
    <t>**Assignee:** Steve Choi (steve.choi@prudential.com)
**Context:** Steve will be the main point of contact for the compliance team regarding report card updates. Internal compliance meetings are ongoing and nearing completion. Steve wants to avoid repetition and maintain a single point of contact.
**Note for John:** If the compliance team reaches out at events or directly, refer them to Steve Choi.</t>
  </si>
  <si>
    <t>Provide refined documentation for engagement homepage parameters</t>
  </si>
  <si>
    <t>**Assignee:** Raj (mallepud)
Create comprehensive documentation listing all parameters/data elements for each event in the engagement homepage journey. For each event, specify which parameters are expected to capture values. Focus on:
- All variable names with correct dot notation and syntax
- Which variables should be present at each step
- Identify variables that are consistent across all steps (for rule reusability)
- Highlight variables specific to certain actions (e.g., product list items after add to cart)
- Include exact values where possible from the beginning to avoid multiple revision rounds
**Timeline:** By end of this week
**Note:** This documentation will be used to configure ObservePoint rules for the engagement homepage journey.</t>
  </si>
  <si>
    <t>** Raj (mallepud)</t>
  </si>
  <si>
    <t>Extend documentation to search page if possible</t>
  </si>
  <si>
    <t>**Assignee:** Raj (mallepud)
If time permits by end of week, extend the parameter documentation to cover the search page journey as well. This will allow for faster setup since it can mimic the home page structure.
**Timeline:** By end of this week (stretch goal)
**Dependencies:** Complete homepage documentation first</t>
  </si>
  <si>
    <t>Compile list of homepage components for validation</t>
  </si>
  <si>
    <t>**Assignee:** Raj (mallepud)
Provide John with the complete list of all components that should be validated on the homepage.
**Context:** While visible component IDs are being captured, ObservePoint needs to know which specific components to validate in the rules. The list exists for the homepage but not for other pages yet.
**Note:** This is part of the broader documentation effort but specifically focuses on component validation.</t>
  </si>
  <si>
    <t>Develop tiered page list with traffic and integration data</t>
  </si>
  <si>
    <t>**Assignee:** Lauren (lego.room@observepoint.com)
Complete audit of prudential.com pages in February to create a clean, categorized list including:
- Pages sorted by traffic volume (visits)
- Page types (static vs. variable content)
- Integration points (Kendra search, etc.)
- Last updated dates
- Business unit classifications
This list will be used to define tier 1 (high traffic/critical), tier 2 (medium priority), and tier 3 (low priority) pages for scanning frequency.
**Timeline:** Complete within 2 weeks for review meeting</t>
  </si>
  <si>
    <t>** Lauren (lego.room@observepoint.com)</t>
  </si>
  <si>
    <t>Identify pages with recent changes for scan inclusion</t>
  </si>
  <si>
    <t>**Assignee:** Lauren (lego.room@observepoint.com)
Determine process to identify which URLs have had recent content or code changes, even if they're not in the top 40 by traffic. These pages should be included in tier 1 scans to catch potential issues from updates.
**Collaboration:** Work with Neil and Caitlin from content team
**Timeline:** Define process within 2 weeks</t>
  </si>
  <si>
    <t>Compile scanning recommendations for all subdomains</t>
  </si>
  <si>
    <t>**Assignee:** Lauren (lego.room@observepoint.com) and team
Create recommendations for scanning frequency across all Prudential web properties including:
- prudential.com (main focus)
- jobs.prudential.com
- newsroom subdomain
- Other subdomains
Recommendations should specify which sites need monthly vs. quarterly scans based on update frequency and business criticality.
**Timeline:** Present recommendations at follow-up meeting in 2 weeks</t>
  </si>
  <si>
    <t>** Lauren (lego.room@observepoint.com) and team</t>
  </si>
  <si>
    <t>Investigate analytics automation for page list generation</t>
  </si>
  <si>
    <t>**Assignee:** Analytics team (coordinate with Joaquin Viramontes - joaquin.viramontes@observepoint.com)
Explore whether Adobe Analytics or other analytics tools can automatically generate and email a list of top traffic pages on a schedule. This would automate the tier 1 page identification process.
**Current limitation:** Content management system cannot currently automate this
**Alternative:** Determine if manual monthly export is acceptable interim solution</t>
  </si>
  <si>
    <t>** Analytics team (coordinate with Joaquin Viramontes - joaquin.viramontes@observepoint.com)</t>
  </si>
  <si>
    <t>Document form specifications for additional Sea Ray forms</t>
  </si>
  <si>
    <t>**Assignee:** Brad and Aparna
Document the variable specifications (similar to the spreadsheet already created) for the remaining 7 Sea Ray forms that aren't yet covered. Currently only 5 forms are documented, but there are approximately 12 total forms that need specifications including:
- Form type (SQL/MQL)
- Adobe Analytics variables (events, eVars)
- Marketo fields
- Google Ads/Meta Ads parameters
- Any other platform-specific tracking requirements
This documentation is needed before John can create a scalable rule solution.</t>
  </si>
  <si>
    <t>** Brad and Aparna</t>
  </si>
  <si>
    <t>Document form specifications for one additional brand site</t>
  </si>
  <si>
    <t>**Assignee:** Brad's partner (to be assigned)
Create complete form specification documentation for at least one additional brand site (beyond Sea Ray) to help identify patterns and determine if a universal JavaScript solution is feasible. Include the same level of detail as the Sea Ray documentation:
- All form types and their expected values
- Platform-specific variables (Adobe Analytics, Marketo, ad platforms)
- Form IDs and names
- Lead status values (SQL/MQL or equivalent)</t>
  </si>
  <si>
    <t>** Brad's partner (to be assigned)</t>
  </si>
  <si>
    <t>Reach out to John to schedule accessibility walkthrough</t>
  </si>
  <si>
    <t>**Assignee:** Chelsey Dugger (chelsey.dugger@observepoint.com) and PFrei (pfrei@observepoint.com)
Coordinate with John Davis to schedule a walkthrough of ObservePoint's accessibility audit features for the Center of Excellence team. This follows up on the discussion from the previous call and should be coordinated now that SSO access has been resolved.
**Context:** The team is currently going through white pages and getting up to speed on accessibility. They need hands-on training with the platform's accessibility capabilities.</t>
  </si>
  <si>
    <t>** Chelsey Dugger (chelsey.dugger@observepoint.com) and PFrei (pfrei@observepoint.com)</t>
  </si>
  <si>
    <t>Connect with accessibility group Thursday/tomorrow</t>
  </si>
  <si>
    <t>**Assignee:** Chelsey Dugger (chelsey.dugger@observepoint.com)
Meet with the accessibility group on Thursday and some members tomorrow to discuss accessibility requirements and coordination.
**Timeline:** Thursday meeting plus additional meeting tomorrow with some team members</t>
  </si>
  <si>
    <t>** Chelsey Dugger (chelsey.dugger@observepoint.com)</t>
  </si>
  <si>
    <t>Update journey sheets and delete inapplicable entries</t>
  </si>
  <si>
    <t>Assignee: Audrey Bombeck-Massel (audrey.bombeck-massel@observepoint.com)
Update all journey sheets for the CDW project. Delete entries that have been crossed out and don't apply to avoid confusion for team members accessing the spreadsheet.
Context: This cleanup is needed after identifying that some journey configurations (quote vs. order flows) were duplicated or mislabeled for cdw.com, cdw.ca, and cdw.g domains.</t>
  </si>
  <si>
    <t>Audrey Bombeck-Massel (audrey.bombeck-massel@observepoint.com)</t>
  </si>
  <si>
    <t>Schedule weekly meeting for next week</t>
  </si>
  <si>
    <t>Assignee: Tatyana Zachary (tatyana.zachary@observepoint.com)
Schedule a meeting for next week (changing from biweekly to weekly temporarily) to clean up the workspace and ensure everything is properly organized. After next week's meeting, the team will evaluate whether to continue weekly or move to monthly cadence.
Current cadence: Biweekly
Temporary change: Weekly for next meeting
Future plan: Potentially move to monthly after cleanup is complete</t>
  </si>
  <si>
    <t>Tatyana Zachary (tatyana.zachary@observepoint.com)</t>
  </si>
  <si>
    <t>Review GitHub Actions integration documentation for CICD</t>
  </si>
  <si>
    <t>**Assignee:** Kendall Papera (kendall.papera@observepoint.com), Jared Blood, Jack Zackowitz, Robyn Beyah
Review the ObservePoint GitHub Actions integration documentation shared by John Davis to understand how to trigger audits as part of the CICD process. Evaluate feasibility with current Gatsby setup and planned Next.js migration.
**Documentation Link:** Provided in meeting chat
**Context:** This would enable proactive testing during implementation rather than post-launch testing, particularly valuable for the cross-series inventory project and future design system work.</t>
  </si>
  <si>
    <t>** Kendall Papera (kendall.papera@observepoint.com), Jared Blood, Jack Zackowitz, Robyn Beyah</t>
  </si>
  <si>
    <t>Build ObservePoint audit/journey for cross-series inventory tagging</t>
  </si>
  <si>
    <t>**Assignee:** Jared Blood, Jack Zackowitz, Robyn Beyah (Twenty Two Squared team)
Create ObservePoint audits or journeys to verify tagging for the new cross-series inventory feature, specifically capturing new data layer attributes for unified inventory data (colors, features, accessories across vehicle series).
**Timeline:** Q1-Q2 2025 (aligned with cross-series inventory project)
**Context:** New foundational data layer will unify attributes like colors across different vehicle series (e.g., Tundra, Tacoma, Camry), requiring validation of new tagging implementation.</t>
  </si>
  <si>
    <t>** Jared Blood, Jack Zackowitz, Robyn Beyah (Twenty Two Squared team)</t>
  </si>
  <si>
    <t>Consult with DevOps on GitHub Actions implementation</t>
  </si>
  <si>
    <t>**Assignee:** Kendall Papera (kendall.papera@observepoint.com) and DevOps team
Engage with the DevOps team to discuss implementing ObservePoint's GitHub Actions integration for the CICD pipeline. Determine if audits should trigger only when Storybook/Chromatic components are updated rather than on every release.
**Next Step:** If DevOps team has questions or needs technical clarification, schedule follow-up meeting with John Davis
**Context:** Relevant for upcoming design system modernization project with Storybook, Chromatic, and Next.js migration.</t>
  </si>
  <si>
    <t>** Kendall Papera (kendall.papera@observepoint.com) and DevOps team</t>
  </si>
  <si>
    <t>Keep John Davis updated on design system project</t>
  </si>
  <si>
    <t>**Assignee:** Kendall Papera (kendall.papera@observepoint.com)
Provide updates to John Davis on the design system modernization project as it progresses, including:
- Component-level tagging implementation
- Chromatic and Storybook adoption
- Gatsby to Next.js migration
- CICD pipeline integration opportunities
**Context:** Project is pending leadership approval but will require ObservePoint integration planning for component-level tagging validation.</t>
  </si>
  <si>
    <t>** Kendall Papera (kendall.papera@observepoint.com)</t>
  </si>
  <si>
    <t>Share Google Sheets link access with John Davis</t>
  </si>
  <si>
    <t>**Assignee:** Jared Blood
Verify that John Davis has access to the Google Sheets used for tracking dealer link issues over time. Add permissions if needed.
**Context:** Sheet tracks ongoing issues from dealer link audits (177 dealers across main websites, service sites, tire sites, parts sites).</t>
  </si>
  <si>
    <t>** Jared Blood</t>
  </si>
  <si>
    <t>Explore ObservePoint audits for accessibility insights</t>
  </si>
  <si>
    <t>**Assignee:** Edward (UX Designer, Lumen)
Once platform access is granted, explore existing ObservePoint audits to review accessibility data, performance metrics, and site health information already being collected. Focus on understanding how this data compares to current manual Lighthouse testing process.
**Goal:** Evaluate whether ObservePoint can replace or supplement current manual accessibility auditing workflow.</t>
  </si>
  <si>
    <t>** Edward (UX Designer, Lumen)</t>
  </si>
  <si>
    <t>Review journey access permissions and folder settings</t>
  </si>
  <si>
    <t>Assignees: Michaleen Craig, Wendi Vien (MongoDB)
John Davis updated folder permissions during the call to grant access to the "Chat Now" and "Contact Us" journeys. Team members should:
- Verify they can now access the journeys in the shared folders
- Review the journey configurations
- Familiarize themselves with the actions and settings</t>
  </si>
  <si>
    <t>Consult with Arthur on journey run frequency and schedule</t>
  </si>
  <si>
    <t>Assignees: Michaleen Craig, Wendi Vien (MongoDB)
Before scheduling the "Chat Now" and "Contact Us" journeys to run automatically:
- Discuss with Arthur the appropriate run frequency (daily, weekly, etc.)
- Ensure the schedule aligns with the 1,500 journey runs contract limit
- Use the usage dashboard projections to estimate impact
- Inform Arthur of any scheduled journeys to avoid surprises with usage numbers
Note: Arthur is already discussing expansion for SEO team audits, so additional journey capacity may be negotiated if needed.</t>
  </si>
  <si>
    <t>Configure journey notifications for failures</t>
  </si>
  <si>
    <t>Assignees: Michaleen Craig, Wendi Vien (MongoDB)
In the journey settings (gear icon → Edit → Notifications section):
- Add team email addresses to receive notifications when journeys fail
- Note: Notifications are only sent on action failures, not on successful runs
- Consider which team members should be notified for each journey</t>
  </si>
  <si>
    <t>Evaluate monitored journey candidates</t>
  </si>
  <si>
    <t>Assignees: Michaleen Craig, Wendi Vien, Arthur (MongoDB)
Identify the 2 most critical journeys to designate as "monitored journeys":
- Monitored journeys receive automatic support from ObservePoint's team when they fail
- Support team will fix small changes (element IDs, button changes) automatically
- For major UI changes, the team will reach out for guidance
- Choose journeys that run frequently and are business-critical
This will reduce maintenance burden for the most important workflows.</t>
  </si>
  <si>
    <t>Explore existing audits in ObservePoint instance</t>
  </si>
  <si>
    <t>Assignee: Edward (ObservePoint)
Once John Davis grants access to the ObservePoint instance:
- Log in and explore existing audits (like the ones Arnold is running)
- Familiarize yourself with the platform capabilities
- Note: The CenturyLink audit is not owned by the team</t>
  </si>
  <si>
    <t>Edward (ObservePoint)</t>
  </si>
  <si>
    <t>**Assignee:** Raymond Chau (raymond.chau@questrade.com)
Share the GitHub integration article (provided in meeting) with the relevant scrum team to evaluate feasibility. The integration would:
- Trigger ObservePoint audits automatically during CI/CD deployments
- Block releases if audits fail (missing pixels, CSP issues, privacy violations, etc.)
- Shorten feedback loop for developers
**Context:** This could help catch issues like CSP blocking (e.g., Pinterest tags) before they reach production. Currently only available for audits, but may expand to journeys in the future.</t>
  </si>
  <si>
    <t>** Raymond Chau (raymond.chau@questrade.com)</t>
  </si>
  <si>
    <t>Connect client stakeholders to ObservePoint discussions</t>
  </si>
  <si>
    <t>**Assignee:** Chandra (chguin@contractor.optavia.com)
Within the next couple of weeks, coordinate with the client manager to introduce new stakeholders who have taken over ObservePoint responsibility metrics. Get their point of view on current usage and future plans. This is a prerequisite to reaching out to the privacy team about cookie coverage improvements.</t>
  </si>
  <si>
    <t>** Chandra (chguin@contractor.optavia.com)</t>
  </si>
  <si>
    <t>Route privacy team discussion through client stakeholders</t>
  </si>
  <si>
    <t>**Assignee:** Chandra (chguin@contractor.optavia.com)
After connecting with client stakeholders, route the discussion about improving cookie coverage (currently ~80%, targeting closer to 100%) through the client stakeholder and manager to reach the privacy team. This follows up on previous discussions about expanding privacy compliance coverage.</t>
  </si>
  <si>
    <t>Pitch email link validation to client email team</t>
  </si>
  <si>
    <t>**Assignee:** Chandra (chguin@contractor.optavia.com)
Using documentation provided by John, reach out to the required client teams to present the email link validation feature. Goal is to demonstrate full utilization of ObservePoint features before the April contract renewal. Feature validates links in marketing emails and can be integrated into QA/testing workflows.</t>
  </si>
  <si>
    <t>Review and update success criteria document</t>
  </si>
  <si>
    <t>**Assignee:** Chandra (chguin@contractor.optavia.com) and Sonia
Review the shared Google Slides success criteria document asynchronously. Add thoughts, define metrics for measuring success, and document goals for the quarterly scans (broken tags, 404s, analytics validation, site experience validation). Document will be revisited in the next meeting in two weeks.</t>
  </si>
  <si>
    <t>** Chandra (chguin@contractor.optavia.com) and Sonia</t>
  </si>
  <si>
    <t>Rebuild journeys for brand refresh project (DCI)</t>
  </si>
  <si>
    <t>**Assignee:** Chinmay Satam (chinmay.satam@westjet.com)
Completely rebuild all journeys for the DCI product due to the brand refresh project. The flow has completely changed, and CSS selectors have broken. This is part of the three-month reset initiative.
**Timeline:** Target completion within next 3 months (by end of April 2026)
**Focus:** QA purposes rather than alerting. Journeys will focus on revenue analytics tracking instead of counter/numeric/milestone events.</t>
  </si>
  <si>
    <t>** Chinmay Satam (chinmay.satam@westjet.com)</t>
  </si>
  <si>
    <t>Update broken CSS selectors for RBF journeys</t>
  </si>
  <si>
    <t>**Assignee:** Chinmay Satam (chinmay.satam@westjet.com)
Update CSS selectors for RBF (Revenue Booking Flow) journeys. While the flow hasn't changed significantly, some CSS selectors have broken and need to be updated.
**Timeline:** Target completion within next 3 months (by end of April 2026)</t>
  </si>
  <si>
    <t>Rebuild journeys for analytics data layer changes</t>
  </si>
  <si>
    <t>**Assignee:** Chinmay Satam (chinmay.satam@westjet.com)
Rebuild journeys affected by backend analytics data layer changes. Many journeys have broken due to these changes and need to be reconfigured.
**Timeline:** Target completion within next 3 months (by end of April 2026)</t>
  </si>
  <si>
    <t>Set up cookie opt-out compliance audit/journey</t>
  </si>
  <si>
    <t>**Assignee:** Chinmay Satam (chinmay.satam@westjet.com)
Set up an audit or journey to validate cookie opt-out compliance when guests opt out. This project was originally discussed with Bethany and is now a priority due to stricter regulations across different locales. Cookies are now controlled through Adobe Launch.
**Timeline:** Project expected to start end of January 2026 or early February 2026
**Note:** Will need to involve legal/privacy team once stable prod data is available to ensure all compliance bases are covered for different locales.</t>
  </si>
  <si>
    <t>Implement marketing email inbox link validation</t>
  </si>
  <si>
    <t>**Assignee:** Chinmay Satam (chinmay.satam@westjet.com)
Implement marketing email link validation feature in ObservePoint. This was a project of interest from the previous year that couldn't be completed.
**Timeline:** Target completion by May 2026 as part of the ObservePoint roadmap</t>
  </si>
  <si>
    <t>Attend February meeting (optional support)</t>
  </si>
  <si>
    <t>**Assignee:** Macey Bell (macey.bell@observepoint.com)
Attend the February 5, 2026 meeting to provide support for any questions about historical work with WestJet during the CSM transition to John Davis.
**Timeline:** February 5, 2026 meeting (if no scheduling conflicts)</t>
  </si>
  <si>
    <t>** Macey Bell (macey.bell@observepoint.com)</t>
  </si>
  <si>
    <t>Follow up on CVS whitelisting completion</t>
  </si>
  <si>
    <t>**Assignee:** Maria DaPonte (maria.daponte@cvshealth.com)
Follow up with Danielle and the CVS team on Tuesday (after giving them a couple days courtesy period) to push for completion of the whitelisting process for front store access.
**Context:**
- The whitelisting issue has been ongoing and involves multiple CVS groups
- A step was completed right before the holidays, but the final step of getting ObservePoint into the Archer system hasn't been done
- Front store is the highest priority area for scanning due to variability in tagging and collections
- This is blocking the ability to run critical privacy audits</t>
  </si>
  <si>
    <t>** Maria DaPonte (maria.daponte@cvshealth.com)</t>
  </si>
  <si>
    <t>Plan audit strategy for accessible sites</t>
  </si>
  <si>
    <t>**Assignees:** Maria DaPonte (maria.daponte@cvshealth.com) and Amy (amy.rondinelli@cvshealth.com)
Meet to decide which areas to audit immediately on the accessible sites (non-front store) while waiting for whitelisting completion.
**Planning considerations:**
- Reserve pages for front store once whitelisting is complete
- Focus on high-traffic pages for current accessible sites
- Plan year-start audits for GPC opt-out and sensitive state requirements
- Current contract has 600,000 pages available through April 14th with very low usage so far
- Goal is to use available pages before contract renewal</t>
  </si>
  <si>
    <t>Run three 100K page scans on front store</t>
  </si>
  <si>
    <t>**Assignee:** Amy (amy.rondinelli@cvshealth.com)
Once whitelisting is complete, coordinate to set up three large front store scans to get a comprehensive privacy compliance picture.
**Recommended scan configuration:**
- 100,000 page scan with opt-out state configuration
- 100,000 page scan with opt-in state configuration
- 100,000 page scan with GPC signal
- Total: 300,000 pages, leaving 200,000+ for additional scans or re-runs
**Purpose:**
- Get directional picture of privacy compliance status
- Identify areas needing attention
- Use visualizations to show leadership where tags fire incorrectly
- Support 2026 goal of moving from foundational work to prevention
- Not trying to catch everything, just get clear direction for ongoing monitoring</t>
  </si>
  <si>
    <t>** Amy (amy.rondinelli@cvshealth.com)</t>
  </si>
  <si>
    <t>Coordinate earlier contract renewal process</t>
  </si>
  <si>
    <t>**Assignee:** Maria DaPonte (maria.daponte@cvshealth.com)
Work to initiate the contract renewal process earlier than previous years to avoid coming up against the April 14 deadline with potential gaps in service.
**Action:** Discuss with boss in tomorrow's meeting about starting the renewal process soon, including any decisions about extended data retention options.</t>
  </si>
  <si>
    <t>Reconfigure ObservePoint for HubSpot consent banner migration</t>
  </si>
  <si>
    <t>**Assignees:** Chris Tack (chris.tack@cotivity.com) and Walter Bottlick (walter.bottlick@cotivity.com) with support from John Davis
Reconfigure ObservePoint settings to align with the switch from OneTrust to HubSpot's native consent banner system. The edfx.com property has already migrated to HubSpot's banner, and the full site rebuild into HubSpot is targeted for March 2026.
**Current state:** ObservePoint was previously configured for OneTrust
**Target state:** Configuration aligned with HubSpot consent management
**Timeline:** Before March 2026 edfx.com migration completion</t>
  </si>
  <si>
    <t>Finalize and send web governance survey contacts</t>
  </si>
  <si>
    <t>**Assignee:** Walter Bottlick (walter.bottlick@cotivity.com)
Complete the list of Cotivity contacts for the web governance survey and send to John Davis. The legal liaison who worked on privacy policy updates in December should be included, along with other contacts he provided.
**Context:** This process was started but paused due to the edfx migration work. The legal team is interested in using ObservePoint reports to demonstrate compliance improvements in case of lawsuits.</t>
  </si>
  <si>
    <t>** Walter Bottlick (walter.bottlick@cotivity.com)</t>
  </si>
  <si>
    <t>Document desired audit rules and standards</t>
  </si>
  <si>
    <t>**Assignee:** Sonia (Unknown Speaker 2) and team
Write down in plain English what rules and standards are important for the ObservePoint audits. Define what constitutes a failure point or quality standard that should trigger alerts.
**Context:**
- Currently have generic alerts that trigger on any rule failure
- Need to determine which specific metrics and failures are most important to monitor
- Should consider creating individual alerts for specific rules rather than one catch-all alert
**Next steps:**
- Can either send the document to John via email for review before the next meeting, or
- Attempt to create the rules in ObservePoint directly and reach out if issues arise
- John will help translate these into actual ObservePoint rules in the next session</t>
  </si>
  <si>
    <t>** Sonia (Unknown Speaker 2) and team</t>
  </si>
  <si>
    <t>Reprocess remaining audits after rule update</t>
  </si>
  <si>
    <t>**Assignee:** Sonia (Unknown Speaker 2)
Complete reprocessing of all audits that use the "Global standards page view" rule after the update to only check for GA4 on pages with 200 status codes.
**Audits affected:**
- The rule is assigned to 6 data sources total
- Already reprocessed: California opt-in audits
- May need to verify: opt-out biweekly and other remaining audits
**Note:** Reprocessing doesn't count against usage limits and can be done as many times as needed.</t>
  </si>
  <si>
    <t>** Sonia (Unknown Speaker 2)</t>
  </si>
  <si>
    <t>Investigate and fix 725 404 error pages</t>
  </si>
  <si>
    <t>**Assignee:** Sonia (Unknown Speaker 2) and team
Review and address the 725 pages returning 404 status codes (representing ~50% of the 1,397 pages scanned in recent audits).
**Issues caused by 404 pages:**
- Skews performance data (404 pages load faster with fewer resources)
- Marketing technologies don't fire properly
- Privacy tracking may not work correctly
- GA4 and other tags are missing on these pages
**Recommended approaches:**
- Fix the broken pages, or
- Filter audits to exclude URL patterns known to be 404s (e.g., membership plan paths or specific subdomains)
- Consider excluding these from future audit scans to get cleaner data</t>
  </si>
  <si>
    <t>Review 32 pages missing GA4 with 200 status</t>
  </si>
  <si>
    <t>**Assignee:** Sonia (Unknown Speaker 2) and team
Investigate why 32 pages that successfully load (200 status code) are missing the Google Analytics 4 tag.
**Context:**
- After filtering out 404 pages, there are still 32 legitimate pages without GA4
- These pages load successfully but lack proper analytics tracking
- This was identified in the California opt-in quarterly audit</t>
  </si>
  <si>
    <t>Check for bot whitelisting requirements on Aetna DTC sites</t>
  </si>
  <si>
    <t>**Assignee:** Mike Tanedo (mike.tanedo@cvshealth.com)
Verify whether ObservePoint's scanning bot will encounter access restrictions (403 errors, etc.) on Aetna's public-facing DTC sites. Similar whitelisting issues have occurred on CVS front store sites. Coordinate with security/infrastructure teams as needed to ensure ObservePoint can successfully scan the sites.
**Context:** This needs to be resolved before running comprehensive audits, as whitelisting issues have significantly limited scan coverage on other CVS properties.</t>
  </si>
  <si>
    <t>** Mike Tanedo (mike.tanedo@cvshealth.com)</t>
  </si>
  <si>
    <t>Provide sitemap details for automated audit setup</t>
  </si>
  <si>
    <t>**Assignee:** Arnold (Arnold@Lumen)
Provide John Davis with the following details for setting up the sitemap-based audit in ObservePoint:
- Which sitemap(s) to run the audit on (likely only one sitemap needed)
- Desired frequency for the audit runs
- Date criteria (e.g., only run on sites updated since previous run, or other date-based filtering)
**Timeline:** Within approximately 2 weeks
**Note:** John will update the Google Sheet-based script once these details are provided.</t>
  </si>
  <si>
    <t>** Arnold (Arnold@Lumen)</t>
  </si>
  <si>
    <t>Close out CenturyLink audit in ObservePoint</t>
  </si>
  <si>
    <t>**Assignee:** Arnold (Arnold@Lumen)
Close out the CenturyLink audit that is currently running in ObservePoint. This audit was set up to gather before/after metrics, but CenturyLink ended up staying on managed services, so the audit is no longer needed and should be discontinued to avoid unnecessary usage costs.</t>
  </si>
  <si>
    <t>Explore ObservePoint accessibility and performance audits</t>
  </si>
  <si>
    <t>**Assignee:** Kathy (Unknown Speaker 4)
Log into ObservePoint and explore the accessibility and performance audit capabilities available in the existing monthly audit that contains multiple Lumen URLs. Review the lighthouse metrics and best practice data to determine if the output meets team needs before expanding usage.
**Resources provided:**
- ObservePoint Help Docs: help.observepoint.com
- ObservePoint Academy: academy.observepoint.com (asynchronous training)
**Next step:** Share findings with team members who will be granted access.</t>
  </si>
  <si>
    <t>** Kathy (Unknown Speaker 4)</t>
  </si>
  <si>
    <t>Document use cases and quality standards for ObservePoint</t>
  </si>
  <si>
    <t>**Assignee:** Kathy (Unknown Speaker 4)
Work with stakeholders to document specific use cases, questions, and quality standards for ObservePoint implementation. Write these in plain English covering:
- Questions that need answers (performance, tagging, accessibility)
- Standards of quality expected (e.g., "ARIA labels should be 98% compliant")
- Specific metrics and thresholds
Send the documented use cases to John Davis via email to help translate requirements into ObservePoint configurations and maximize meeting efficiency.</t>
  </si>
  <si>
    <t>Gather requirements for conversational AI measurement</t>
  </si>
  <si>
    <t>**Assignee:** Kathy (Unknown Speaker 4)
Gather detailed requirements from stakeholders about measuring the conversational AI/agentic experience planned for Q1. Specifically determine:
- How success/quality of AI responses will be evaluated
- What indicators show the AI is not performing well
- Whether this relates to SEO/AIEO initiatives (stakeholder is SEO person)
- Volume expectations and review process (human vs. automated validation)
**Context:** This is for a marketing-focused conversational agent (not support chatbot). John suggested a potential solution using ObservePoint journeys to capture and report on AI responses for human review.</t>
  </si>
  <si>
    <t>Follow up on possible cookie implementation changes</t>
  </si>
  <si>
    <t>**Assignee:** Gabriela (Gabriela -)
Follow up on the possible cookie implementation changes discussed in the previous call. This is not immediate but should be monitored as it develops.
**Timeline:** Down the road (not urgent)
**Note:** Will need to coordinate with John Davis and Arnold when changes are ready to implement.</t>
  </si>
  <si>
    <t>** Gabriela (Gabriela -)</t>
  </si>
  <si>
    <t>Continue identifying and adding unapproved cookies to OneTrust</t>
  </si>
  <si>
    <t>**Assignee:** Dipendra Bagchee (dipendra.bagchee@seagate.com)
Continue the process of identifying cookies found by ObservePoint that are not yet in OneTrust's cookie inventory. Export unapproved cookies from ObservePoint scans and bulk upload them to OneTrust using the manual bulk import process. Focus on getting all cookies accounted for in OneTrust first (eliminating "unknown" cookies) before moving to categorization and opt-in/opt-out status validation.
**Context:** Dipendra has already done this once and needs to continue the process to close remaining gaps. The goal is to reach zero unapproved cookies in the scans.</t>
  </si>
  <si>
    <t>** Dipendra Bagchee (dipendra.bagchee@seagate.com)</t>
  </si>
  <si>
    <t>Validate cookie categorization and opt-in/opt-out behavior</t>
  </si>
  <si>
    <t>**Assignee:** Dipendra Bagchee (dipendra.bagchee@seagate.com)
After completing the cookie inventory in OneTrust, review which cookies are loading in opt-in vs. opt-out states and verify they are correctly categorized. Focus on ensuring targeting and performance cookies are not firing after users opt out.
**Context:** This is the next phase after getting all cookies into OneTrust. Dipendra mentioned this as his next focus area once the unknown cookies are resolved.</t>
  </si>
  <si>
    <t>Reach out to John if issues arise during cookie categorization</t>
  </si>
  <si>
    <t>**Assignee:** Dipendra Bagchee (dipendra.bagchee@seagate.com)
Dipendra committed to pinging John if he runs into any problems while continuing the cookie categorization and OneTrust sync process.
**Context:** This is a follow-up commitment after clarifying the workflow and resolving confusion about unapproved cookie statuses in mixed opt-in/opt-out reports.</t>
  </si>
  <si>
    <t>Build consolidated analytics rule for page loads</t>
  </si>
  <si>
    <t>**Assignee:** Phil Hagerty (phil.hagerty@observepoint.com)
Create a new comprehensive rule called "Analytics for Page Loads" that combines all expected analytics variables into a single rule instead of individual rules per variable.
**Requirements:**
- Include all variables expected on every page load
- Use the AEP variables section with multiple variables in one rule
- Apply to the 10-page audit (eventually scaling to ~2,000 pages)
- Focus only on page load variables, not clicks/events/journeys
- Ensure rule is reusable across other audits
**Approach:** Use the "Add Variable" button within the Expect section to combine multiple AEP variables, and use "Add Additional Tag and Variables" if checking variables across different tags (Facebook, LinkedIn, etc.)
**Next Steps:** Complete rule setup before determining notification/alert strategy to avoid inbox noise and ensure alerts only fire for genuine issues.</t>
  </si>
  <si>
    <t>** Phil Hagerty (phil.hagerty@observepoint.com)</t>
  </si>
  <si>
    <t>Send update email before Tuesday meeting</t>
  </si>
  <si>
    <t>**Assignee:** Phil Hagerty (phil.hagerty@observepoint.com)
Send John an email update on progress with the consolidated analytics rule before the scheduled Tuesday meeting.
**Deadline:** Before Tuesday's scheduled meeting (worst case, discuss at the Tuesday meeting itself)</t>
  </si>
  <si>
    <t>Document questions and quality standards for ObservePoint</t>
  </si>
  <si>
    <t>**Assignees:** Walter Bottlick (walter.bottlick@cotiviti.com) and Chris Tack (chris.tack@cotiviti.com)
Create a document listing specific questions about site performance and quality standards in plain English. Focus on:
- What questions do you have about your sites (e.g., "Is the CMP firing on all pages and restricting marketing tags when users opt out?")
- What standards of quality are important (e.g., "100% compliance")
- Pain points that other tools like HubSpot can't address
Send completed document to John Davis via email before the next meeting. This will help prepare for future ObservePoint configuration and ensure the tool addresses actual business needs.
**Key areas to consider:**
- Accessibility requirements (mentioned as a big priority for Chris)
- Privacy/compliance concerns (mentioned as important to the compliance team)
- Performance during and after the EdFX website rebuild
**Reference:** PDF guide shared in meeting chat</t>
  </si>
  <si>
    <t>Provide survey participant emails to Jared Wilbur</t>
  </si>
  <si>
    <t>**Assignee:** Walter Bottlick (walter.bottlick@cotiviti.com)
Send list of email addresses to Jared Wilbur (Solutions Manager) for the Web Governance Report survey. This was previously discussed but deprioritized due to the EdFX rebuild. Walter indicated this is still in his court to complete.
**Contact:** Jared Wilbur (Solutions Manager)</t>
  </si>
  <si>
    <t>** Walter Bottlick (walter.bottlick@cotiviti.com)</t>
  </si>
  <si>
    <t>Review whitelisting documentation for EdFX migration</t>
  </si>
  <si>
    <t>**Assignees:** Walter Bottlick (walter.bottlick@cotiviti.com) and Chris Tack (chris.tack@cotiviti.com)
Review the ObservePoint whitelisting help documentation (shared in meeting chat) before migrating EdFX site to HubSpot. If audits return 403 or 429 errors after migration, whitelist ObservePoint's crawlers to resolve bot-blocking issues.
**Context:** EdFX site is being rebuilt into HubSpot CMS with blog and resources separated into subdomains (blog.edfx.com and info.edfx.com)
**Documentation link:** Provided in meeting chat by John</t>
  </si>
  <si>
    <t>Prepare multiyear contract pricing analysis for renewal</t>
  </si>
  <si>
    <t>**Assignee:** Clark (clark@observepoint.com)
Research and provide pricing options for ObservePoint renewal including:
- Standard one-year renewal at current $30,000/year rate
- Multiyear discount options (2-3 years)
- Volume-based pricing tiers and thresholds where discounts increase
- Impact of increased page scan capacity on pricing
**Context:** Current contract expires March 1, 2026. Grant requested exploring multiyear options to potentially improve pricing or increase capacity. Current usage is approaching monthly cap with frequent intraday audit refreshes.</t>
  </si>
  <si>
    <t>** Clark (clark@observepoint.com)</t>
  </si>
  <si>
    <t>Process straight renewal contract for March 1</t>
  </si>
  <si>
    <t>**Assignee:** Clark (clark@observepoint.com)
Prepare and process straight renewal contract at current $30,000/year pricing to align with ObservePoint's fiscal year start (March 1, 2026 - first Sunday of March per retail 4-4-5 calendar). Ensure contract is ready within 3-week timeline before renewal date.
**Note:** This is the baseline option while multiyear analysis is being explored.</t>
  </si>
  <si>
    <t>Expand privacy audit configuration and scheduling</t>
  </si>
  <si>
    <t>**Assignee:** Clark (clark@observepoint.com) to scope; Grant Menefee (grant.menefee@observepoint.com) to implement
Expand privacy-specific audits currently running at 100-page sample size:
- Increase sample size for broader privacy coverage
- Establish regular scheduling (currently haven't run since October 2024)
- Focus on opt-out audits: GPC signal set and cookie banner interaction
**Rationale:** New legal counsel joining this year may want more robust privacy control validation. Current setup is minimal.
Clark to help scope requirements and build into renewal if Grant wants to implement more frequent/comprehensive privacy scanning.</t>
  </si>
  <si>
    <t>** Clark (clark@observepoint.com) to scope; Grant Menefee (grant.menefee@observepoint.com) to implement</t>
  </si>
  <si>
    <t>Introduce new team members to John for training</t>
  </si>
  <si>
    <t>**Assignee:** Grant Menefee (grant.menefee@observepoint.com)
When providing ObservePoint logins to colleagues (particularly from tech side for Core Web Vitals/site speed initiatives), introduce them to John Davis (john.davis@observepoint.com) for structured onboarding and training.
**Context:** Grant is currently the sole user configuring ObservePoint. VP is now interested in Core Web Vitals dashboard, which may bring tech team members into the platform. Goal is to grow organic usage across teams without Grant maintaining everything.
**Topics for future training sessions:**
- How to create and configure audits
- Understanding reports and visualizations
- Tag monitoring capabilities
- Performance/Core Web Vitals tracking</t>
  </si>
  <si>
    <t>** Grant Menefee (grant.menefee@observepoint.com)</t>
  </si>
  <si>
    <t>Schedule Core Web Vitals discussion with tech team</t>
  </si>
  <si>
    <t>**Assignee:** Grant Menefee (grant.menefee@observepoint.com) to coordinate; John Davis (john.davis@observepoint.com) to participate
Organize meeting with tech team to discuss Core Web Vitals monitoring and site performance ownership. Grant's VP is on board and wants to determine ownership of these metrics.
**Context:** Grant built Core Web Vitals dashboard using ObservePoint data during analytics team project week. Tech side manages website performance but isn't incentivized on ecommerce KPIs, despite speed directly impacting conversion metrics. Meeting may involve questions about audit configuration (currently only scanning 2 product detail pages) and reporting capabilities.
**Potential topics:** Audit expansion, tag monitoring integration, performance reporting structure.</t>
  </si>
  <si>
    <t>** Grant Menefee (grant.menefee@observepoint.com) to coordinate; John Davis (john.davis@observepoint.com) to participate</t>
  </si>
  <si>
    <t>Send link to landing page validator Google Sheet</t>
  </si>
  <si>
    <t>**Assignee:** Arthur Engelhard (arthur.engelhard@observepoint.com)
Send John Davis the link to the Google Sheet used for landing page validation. This sheet is used by the paid digital team to track landing pages and runs weekly to verify proper tracking for UTM capture.
**Context:** John requested this link during the meeting to review the current setup and help troubleshoot the API integration issues. Arthur mentioned the sheet had API integration issues (worked on ObservePoint team's computer but not his, likely due to permissions or copy/paste errors when transferring code between documents due to IT sharing restrictions).
**Future iteration plans** (Q2-Q3): Pull in Core Web Vitals data from ObservePoint and backend conversion rate data to correlate poor performance with poor conversion, potentially creating sophisticated alerts for pages below performance thresholds.</t>
  </si>
  <si>
    <t>** Arthur Engelhard (arthur.engelhard@observepoint.com)</t>
  </si>
  <si>
    <t>Create custom tags for network request mapping</t>
  </si>
  <si>
    <t>**Assignee:** Arthur Engelhard (arthur.engelhard@observepoint.com)
Submit custom tag requests to map network requests to specific vendors/providers (e.g., Segment, Facebook Pixel, etc.) in ObservePoint's tag database. This will enable tracking which teams/products are responsible for page load performance.
**Context**: This is a Q1 priority to support the page speed measurement initiative with Fiona and the website development director. The goal is to create a mapping that shows total blocking time by provider and identify which tools aren't pulling their weight.
**Current status**: Arthur has started a document using regex for mapping but wants ObservePoint to automate some of this work. May need to assign custom vendor designations in the tag database.</t>
  </si>
  <si>
    <t>Enable GitHub Actions for CICD pathway automation</t>
  </si>
  <si>
    <t>**Assignee:** Arthur Engelhard (arthur.engelhard@observepoint.com)
Work with IT department to enable GitHub Actions for the organization. This is needed to implement CICD automation for Pathway (MongoDB's custom tag manager) using ObservePoint's GitHub integration.
**Blocker:** GitHub Actions are currently disabled by IT policy.</t>
  </si>
  <si>
    <t>Submit custom tag requests with vendor specifications</t>
  </si>
  <si>
    <t>**Assignee:** Arthur Engelhard (arthur.engelhard@observepoint.com)
Submit custom tag requests through the Tag Database, ensuring each request includes the specific vendor information. Arthur mentioned expecting to have "a lot of custom tags to add."
**Location:** Tag Database in ObservePoint (accessible via Library &gt; Tag Database)</t>
  </si>
  <si>
    <t>Coordinate with IT to enable GitHub Actions</t>
  </si>
  <si>
    <t>**Assignee:** Arthur Engelhard (arthur.engelhard@observepoint.com)
Work with the internal IT department to get GitHub Actions enabled for the organization. This is required to implement CI/CD automation for Pathway (custom tag manager) using ObservePoint's GitHub integration.
**Blocker:** GitHub Actions currently not enabled in the organization</t>
  </si>
  <si>
    <t>Complete contract authorization process</t>
  </si>
  <si>
    <t>**Assignee:** Frank Ialongo (frank.ialongo@observepoint.com)
Complete the remaining steps in the contract authorization process:
1. Obtain approval from search administrators (currently pending)
2. Once access is granted, initiate the renewal process
3. If proceeding with suggested enhancements, coordinate with procurement department
**Status:** Already approved by supervisor and Mike; awaiting search administrator approval
**Budget Note:** Current budget allocation is close to the suggested enhancement costs</t>
  </si>
  <si>
    <t>Provide journey support team feedback on coverage plan</t>
  </si>
  <si>
    <t>**Assignee:** ObservePoint Journey Support Team
Review Charlotte's journey coverage plan that was forwarded by John Davis and provide feedback on structure and maintainability recommendations. Charlotte has already provided comprehensive coverage documentation for their journey testing needs.
**Context:** Charlotte has experience from previous implementation (30 journeys at Absa) and has submitted a detailed coverage plan. Team needs to advise on best practices for structuring these journeys in ObservePoint.</t>
  </si>
  <si>
    <t>** ObservePoint Journey Support Team</t>
  </si>
  <si>
    <t>Finalize GA4, CCPA, and Page Health frameworks by Tuesday</t>
  </si>
  <si>
    <t>**Assignee:** Dylan Sellers (dylan.sellers@observepoint.com)
**Deadline:** Tuesday (before Charlotte's meeting with her team)
Complete and polish the following framework documents for presentation:
- Google Analytics 4 framework (adapt from Adobe Analytics version)
- CCPA compliance framework
- Page Health framework
Ensure all frameworks include:
- Automated checks (yellow-highlighted items)
- Source citations from authoritative sources (Google documentation, etc.)
- Implementation/remediation guides
- Report templates
- Professional design polish (designer review completed)
**Note:** Dylan is presenting these frameworks at company all-hands next week, so they will be ready regardless. Charlotte's meeting is Tuesday and she needs materials to present the concept of pre-release QA testing approach to her team.</t>
  </si>
  <si>
    <t>** Dylan Sellers (dylan.sellers@observepoint.com)</t>
  </si>
  <si>
    <t>Send finalized framework materials to Charlotte</t>
  </si>
  <si>
    <t>**Assignee:** Dylan Sellers (dylan.sellers@observepoint.com)
**Deadline:** Monday or Tuesday morning (before Charlotte's Tuesday meeting)
Send Charlotte the polished framework presentation materials including:
- GA4 framework checklist
- CCPA framework checklist  
- Page Health framework checklist
- Slide deck/PDF format versions
- Any accompanying RACI or process documents
**Delivery format:** Presentation-ready materials (not work-in-progress screenshots). Charlotte will use these to present the ObservePoint pre-release QA testing approach to her internal team.</t>
  </si>
  <si>
    <t>Add GTM-specific checks to framework recommendations</t>
  </si>
  <si>
    <t>**Assignee:** Dylan Sellers (dylan.sellers@observepoint.com)
Include Google Tag Manager (GTM) specific validation checks in Charlotte's framework recommendations, such as:
- Verify only one GTM container instance is running
- Check for GTM warnings and errors
- Validate GTM load performance
**Context:** Charlotte's organization previously had issues with two dysfunctional GTM containers running simultaneously. GTM-specific checks should be added alongside the GA4 framework since Charlotte's team uses Google Tag Manager.</t>
  </si>
  <si>
    <t>Restore GTM tagging to QA environment</t>
  </si>
  <si>
    <t>**Assignee:** Charlotte (charlotte@observepoint.com) - to coordinate with internal IT team
**Meeting:** Next week's SOW meeting with IT team
Work with IT team to restore Google Tag Manager and analytics tagging to the designated QA environment. The tagging was removed from one of the two primary QA environments approximately 3 months ago, making it unusable for pre-release testing.
**Context:** Charlotte's organization has ~50 QA domains but narrowed focus to two primary environments. One currently lacks GTM/tagging implementation, which is required for ObservePoint journey testing.</t>
  </si>
  <si>
    <t>** Charlotte (charlotte@observepoint.com) - to coordinate with internal IT team</t>
  </si>
  <si>
    <t>Complete page load variable rule with all always-set variables</t>
  </si>
  <si>
    <t>**Assignee:** Phil Hagerty
Build out the web SDK page load variables rule in ObservePoint by including all variables that always have values on every page load.
**Variables to include:**
- EVAR 1 (site section one) - always set
- EVAR 3 (device response state) - always set
- EVAR 4 (site) - always set
- EVAR 5 (page name) - set with `d=pageName` rule
- Page name variable itself
**Exclude for now:**
- EVAR 2 (site section two) - sometimes not set on homepage and top-level pages
**Validation approach:**
- Use "is set" operator for most variables to check they're not null/undefined
- For EVAR 5: verify it equals `d=pageName`
- For page name: verify "is set" with dynamic page name value
**Timeline:** Complete before next meeting with John so the rule can be tested.</t>
  </si>
  <si>
    <t>** Phil Hagerty</t>
  </si>
  <si>
    <t>Test and validate the initial page load rule</t>
  </si>
  <si>
    <t>**Assignee:** Phil Hagerty
After building out the page load variables rule with always-set variables, run tests to ensure the rule works correctly and doesn't throw false errors.
**Testing scope:**
- Verify rule catches actual issues
- Confirm no false positives on valid pages
- Check validation descriptions are clear and helpful
**Timeline:** Complete testing before next meeting with John. This testing phase will validate the approach before adding more complex conditional logic for variables like EVAR 2.</t>
  </si>
  <si>
    <t>Clean up and archive non-production rules and audits</t>
  </si>
  <si>
    <t>**Assignee:** Phil Hagerty
Once the page load variable rule is built and tested, organize the ObservePoint workspace by archiving test/development rules and audits.
**Goal:**
- Keep only production-ready rules and audits visible
- Create clean, organized view for ongoing monitoring
- Make it easier to manage and maintain active monitoring
**Timeline:** Complete after initial rule validation, before next meeting with John.</t>
  </si>
  <si>
    <t>Whitelist ObservePoint IPs and user agents for Mashable</t>
  </si>
  <si>
    <t>**Assignee:** Filippo Caprioli
Implement IP and user agent whitelisting for ObservePoint's scanning infrastructure on Mashable.com to prevent bot detection systems from blocking audit scans. Mashable uses aggressive Cloudflare-based bot filtering that is likely intercepting ObservePoint traffic.
**Reference document:** ObservePoint provided documentation on IPs and user agents to whitelist (shared during call).
**Priority:** Critical - blocking current audit execution</t>
  </si>
  <si>
    <t>** Filippo Caprioli</t>
  </si>
  <si>
    <t>Implement custom logic for ObservePoint user agent on Mashable</t>
  </si>
  <si>
    <t>**Assignee:** Filippo Caprioli
Create custom logic on Mashable.com that detects ObservePoint in the user agent string and:
1. Suspends the 30-second automatic consent timeout (allowing audit to complete before auto-consent triggers)
2. Disables ad serving to reduce noise in audit results
3. Still allows OneTrust API interactions for consent testing
**Purpose:** Enable clean audits of non-consented state without the automatic consent mechanism interfering with data collection.
**Timeline:** Needed before running production Mashable audits</t>
  </si>
  <si>
    <t>Determine resource allocation and report ownership</t>
  </si>
  <si>
    <t>**Assignee:** Robert Taylor and Filippo Caprioli
**Action:** Schedule sync next week to determine:
1. Who will be responsible for reviewing ObservePoint reports and alerts
2. Whether Joyce Fortuna's team will own this responsibility
3. Bandwidth allocation based on 2036 budget closure (expected end of January)
**Context:** ObservePoint will generate numerous reports requiring triage between false positives and actionable compliance issues. Need dedicated owner before scaling beyond initial 3 brands.</t>
  </si>
  <si>
    <t>** Robert Taylor and Filippo Caprioli</t>
  </si>
  <si>
    <t>Schedule biweekly ObservePoint working sessions</t>
  </si>
  <si>
    <t>**Assignee:** Charlotte
Set up recurring biweekly calls with John Davis to work through ObservePoint implementation and compliance projects.
**Next steps:**
1. John will send calendar invite options
2. First meeting: Journey setup walkthrough (not next week, but the week after - early March)
3. After journey meeting, determine who from the team should join ongoing biweekly calls
4. Establish regular cadence for ongoing support</t>
  </si>
  <si>
    <t>** Charlotte</t>
  </si>
  <si>
    <t>Reschedule meeting with Stu</t>
  </si>
  <si>
    <t>**Assignee:** Macey Bell (macey.bell@observepoint.com)
Reschedule the meeting with Stu that was missed. If Stu doesn't respond to John's email, move the call to the same time on a different day next week.
**Context:** Stu didn't join the scheduled meeting and hasn't responded to John's reschedule request yet. Macey suggested moving to the same time on a different day if no response is received.</t>
  </si>
  <si>
    <t>Continue Bank of America deal progression</t>
  </si>
  <si>
    <t>**Assignee:** Todd (Unknown Speaker 1)
Continue pushing the Bank of America deal forward with regular Monday, Wednesday, and Friday check-in calls. Target close by end of next month if not completed this month.
**Deal Details:** $130,000 ACV, 18-month sales cycle, currently in final stages
**Note:** This deal may impact JD's Q4 numbers depending on close timing.</t>
  </si>
  <si>
    <t>** Todd (Unknown Speaker 1)</t>
  </si>
  <si>
    <t>Fix action failures for CDW journey support team</t>
  </si>
  <si>
    <t>**Assignee:** ObservePoint Journey Support Team (Romania-based)
Fix action failures for multiple CDW journeys that were requested last week but not completed due to the annual summit. Specific journeys include:
- Order journey for cdw.com (currently paused)
- Two additional yellow-flagged journeys with action failures
These were already requested by John Davis but need completion by week's end.
**Priority:** High - these are monitored journeys for critical order confirmation pages</t>
  </si>
  <si>
    <t>** ObservePoint Journey Support Team (Romania-based)</t>
  </si>
  <si>
    <t>Investigate and fix rules failure for Quote cdw.com journey</t>
  </si>
  <si>
    <t>**Assignee:** Tatyana Zachary (tatyana.zachary@cdw.com) and CDW Analytics Team
Investigate the rules failure on the Quote cdw.com journey at Step 22. The failure shows:
- Missing variables: v22, v38, purchase ID, and products
- Events variable missing the word "purchase"
Determine if this is due to website changes requiring rule updates or if there's an analytics implementation issue.
**Location:** Journey Step 22, Adobe Analytics Serial rules
**Status:** Red flag - rules failure</t>
  </si>
  <si>
    <t>** Tatyana Zachary (tatyana.zachary@cdw.com) and CDW Analytics Team</t>
  </si>
  <si>
    <t>Clean up and archive old CDW journeys</t>
  </si>
  <si>
    <t>**Assignee:** Tatyana Zachary (tatyana.zachary@cdw.com)
Review and clean up the archived journeys folder in ObservePoint. Many journeys were set up initially but may need to be revisited or permanently archived due to website experience changes.
**Method:** Use multi-select checkbox feature and "Organization &gt; Move to folder/subfolder" to bulk organize journeys
**Focus:** Identify journeys that need updating vs. those that can be permanently archived</t>
  </si>
  <si>
    <t>** Tatyana Zachary (tatyana.zachary@cdw.com)</t>
  </si>
  <si>
    <t>Create journey cards for all solution design interactions</t>
  </si>
  <si>
    <t>**Assignee:** Phil Hagerty (phil.hagerty@rwjf.org)
Create individual journey cards for each interaction/conversion event in the solution design. This includes:
- Search journey (already exists as template)
- Email sign up
- Search and filters interactions
- Other click events as defined in solution design
Estimate: ~10-15 total journeys needed. Use the existing search journey as a template by duplicating it.
**Due:** Before Tuesday meeting (2026-02-18)</t>
  </si>
  <si>
    <t>** Phil Hagerty (phil.hagerty@rwjf.org)</t>
  </si>
  <si>
    <t>Build out journey configurations or submit to Journey team</t>
  </si>
  <si>
    <t>**Assignee:** Phil Hagerty (phil.hagerty@rwjf.org)
For each journey card created:
1. Attempt to build out the journey configuration yourself using the search journey as a template
2. For any journeys that are complex or time-consuming, submit a journey request to the ObservePoint Journey team for assistance
At minimum, ensure all journey requests are submitted to the Journey team so they can begin processing.
**Due:** Before Tuesday meeting (2026-02-18)</t>
  </si>
  <si>
    <t>Set up simplified journey rules (tag fire yes/no)</t>
  </si>
  <si>
    <t>**Assignee:** Brad (brad@observepoint.com) and Aparna (aparna@observepoint.com)
Set up journey rules with simplified validation focusing on whether tags fired (yes/no) rather than validating every parameter value. This is the agreed-upon path of least resistance to start showing value before investing in more complex data layer implementations.
**Scope:** Analytics, Google Ads, Facebook Ads, and all tags in the audit
**Context:** Team decided against building complex data layer validation due to lack of developer resources and data layer governance. Will revisit more advanced validation once standardized data layers are implemented across Brunswick websites.</t>
  </si>
  <si>
    <t>** Brad (brad@observepoint.com) and Aparna (aparna@observepoint.com)</t>
  </si>
  <si>
    <t>Review and provide feedback on privacy audit results</t>
  </si>
  <si>
    <t>**Assignee:** Brad (brad@observepoint.com)
Review the privacy compliance audit results once John completes the setup and resolves the consent category sync issue. Provide feedback on:
- Whether the audit is capturing all expected compliance violations
- Any discrepancies between manual testing and audit results (particularly the FBP cookie and LCAU cookie issues)
- Additional scenarios or pages that should be tested
**Next steps:** Once validated, this will inform whether to expand audit usage beyond the current 1,000 pages and potentially amend the contract for additional audit capacity.</t>
  </si>
  <si>
    <t>** Brad (brad@observepoint.com)</t>
  </si>
  <si>
    <t>Run privacy compliance audits for Mercury website</t>
  </si>
  <si>
    <t>**Assignee:** Brad (brad@observepoint.com)
Run privacy compliance audits for the Mercury website as requested by the legal team. Set up audits with the same scenarios used for Sea Ray:
1. **US Opt-In:** California location, accept all cookies
2. **US Opt-Out:** California location, reject all cookies  
3. **Europe Default:** United Kingdom location, default state (no interaction)
4. **Europe Opt-Out:** United Kingdom location, reject all cookies
**Timeline:** Legal team needs this completed urgently
**Note:** John has already set up the initial Sea Ray audits as POC using the 1,000 available audit pages in the current contract.</t>
  </si>
  <si>
    <t>Set up automated validation for AEM data layer attributes</t>
  </si>
  <si>
    <t>**Assignee:** Arnold
Create audits/journeys to automate validation of HTML attributes for analytics tracking on new pages. Focus on:
- CTAs, regular links, header, and footer elements
- Verify both existence and values of data layer attributes
- Cover top 10-25 pages representing different page types
- Most validations will require interaction-based testing
**Timeline:** Complete before end of month (next week or so)
**Options to consider:**
- Build journeys yourself for more control and straightforward rule sharing
- Use Journey Support Team (10 requests/month available, currently underutilized)
- Template available from John if needed for documentation</t>
  </si>
  <si>
    <t>** Arnold</t>
  </si>
  <si>
    <t>Provide feedback on Journeys pain points and improvements</t>
  </si>
  <si>
    <t>**Assignee:** Arnold
Prepare feedback on Journeys feature for next meeting, including:
- Pain points experienced when using Journeys
- Features you like/don't like
- Suggestions for improvements
**Context:** ObservePoint is planning to revamp Journeys from the ground up in 2025, hiring a new engineering team and product manager specifically for this. They're seeking user input to guide development.
**Initial feedback already noted:** Better reporting experience needed for Journeys (similar to what's available in audits)
**Timeline:** By next meeting</t>
  </si>
  <si>
    <t>Inform Kathy's team about upcoming SEO/content features</t>
  </si>
  <si>
    <t>**Assignee:** Arnold (to relay to Kathy and team)
Notify Kathy and her team about new ObservePoint features coming in Q1 2026 (next 1-2 months):
- More page information saved during audits (text, HTML elements)
- Built-in checks for grammar and spelling
- SEO and page content enhancements
- These features will be available out-of-the-box in audits (possibly journeys)
**Context:** This addresses the team's priority around getting web page performance and page load performance insights
**Note:** Page performance enhancements likely coming later in 2026. Current Lighthouse metrics and performance features are already strong.</t>
  </si>
  <si>
    <t>** Arnold (to relay to Kathy and team)</t>
  </si>
  <si>
    <t>Respond to whitelisting request by end of day Thursday</t>
  </si>
  <si>
    <t>**Assignee:** Security/IT team handling whitelisting
Provide a clear response to Maria regarding what additional requirements are needed to whitelist ObservePoint for Front Store access by end of day Thursday (deadline: 4:00 PM, February 19, 2026). Maria has already provided evidence of vendor approval and third-party risk assessment completion. If the blocker is that ObservePoint must be entered in Archer system, coordinate with Kevin who owns that process.
**Context:** ObservePoint is already an approved vendor with enterprise contract for other segments. This is specifically for Front Store whitelisting to enable privacy auditing of highest-risk business unit.</t>
  </si>
  <si>
    <t>** Security/IT team handling whitelisting</t>
  </si>
  <si>
    <t>Review and forward ObservePoint usage summary to Danielle Colson</t>
  </si>
  <si>
    <t>**Assignee:** Carla (Maria's boss/leader)
Review Maria's draft summary document explaining how the team uses ObservePoint and plans to scale usage through 2026. Once reviewed/edited, forward to Danielle Colson to inform the contract renewal team.
**Context:** Maria submitted this draft in the first half of first week of February (before her vacation). Danielle Colson requested this information to support contract review process. Maria will follow up in her one-on-one meeting with Carla.</t>
  </si>
  <si>
    <t>** Carla (Maria's boss/leader)</t>
  </si>
  <si>
    <t>Prepare beta version with new tagging by April 2</t>
  </si>
  <si>
    <t>**Assignee:** Amy (Maria's team member) and tagging/analytics teams
Deliver a beta version of an unnamed new project/feature that requires a complete new tagging implementation. This is a high-priority request with tight deadline.
**Deadline:** April 2, 2026
**Note:** A 4:00 PM meeting was scheduled to discuss this project. Multiple teams involved including tagging team and analytics group.</t>
  </si>
  <si>
    <t>** Amy (Maria's team member) and tagging/analytics teams</t>
  </si>
  <si>
    <t>Escalate whitelisting issue if no response received</t>
  </si>
  <si>
    <t>**Assignee:** Maria
If no adequate response is received from the security/IT team by end of day Thursday regarding Front Store whitelisting requirements, escalate the issue on Friday. Escalation should involve legal department and Kevin (who owns Archer system entries) to resolve the blocker.
**Rationale:** Front Store represents the highest privacy risk business unit and cannot be audited without whitelisting. Delays are creating unacceptable compliance gaps.</t>
  </si>
  <si>
    <t>** Maria</t>
  </si>
  <si>
    <t>Reach out to John for report configuration guidance</t>
  </si>
  <si>
    <t>**Assignee:** Amy
**Timeline:** After Front Store whitelisting is completed (expected within 1-2 weeks)
Once whitelisting issue is resolved and valid audit data is available, contact John Davis to get guidance on making reports more comprehensive and focused on team's specific needs. This will help transition from reactive to proactive privacy monitoring approach.
**Context:** Team wants to leverage ObservePoint more effectively in 2026 as part of their shift to proactive privacy stance.</t>
  </si>
  <si>
    <t>** Amy</t>
  </si>
  <si>
    <t>Review Adobe Analytics Framework documentation</t>
  </si>
  <si>
    <t>**Assignee:** Brooke Tymoniewicz (brooke.tymoniewicz@observepoint.com)
Review the Adobe Analytics Framework documentation shared during the meeting (available in ObservePoint help docs at https://help.observepoint.com/frameworks). Focus on identifying which checklist items are most important for ObservePoint's implementation, particularly:
- Tags loading under 500 milliseconds (due to existing page load issues)
- Tags not firing twice (encountered this problem in the past)
- Interaction data/click events (activity map, click events)
Prepare a prioritized list of important framework items for the next meeting on March 11th.</t>
  </si>
  <si>
    <t>** Brooke Tymoniewicz (brooke.tymoniewicz@observepoint.com)</t>
  </si>
  <si>
    <t>Review ObservePoint use cases PDF</t>
  </si>
  <si>
    <t>**Assignee:** Brooke Tymoniewicz (brooke.tymoniewicz@observepoint.com)
Review the updated ObservePoint use cases PDF document shared by John Davis. Use this resource alongside the Adobe Analytics Framework to identify relevant use cases for ObservePoint's Adobe implementation and determine which questions about the implementation need answers.</t>
  </si>
  <si>
    <t>Document high-level journey requirements</t>
  </si>
  <si>
    <t>**Assignee:** Brooke Tymoniewicz (brooke.tymoniewicz@observepoint.com)
Create high-level, plain English documentation for journey use cases that need to be built in ObservePoint. Priority areas mentioned:
- Click events tracking
- Checkout process monitoring (to catch drop-offs since "that can easily drop off")
- Menu page through checkout journey
**Format:** Keep descriptions simple and high-level initially (e.g., "I want a journey where it goes to my home page and uses the search bar..."). John Davis will help refine these into detailed specifications for the journey support team.
**Note:** Can be done asynchronously via email or Google Sheet before the March 11th meeting. ObservePoint has contracted support for ~10 journey builds per month (high priority), with additional builds possible at lower priority.</t>
  </si>
  <si>
    <t>Provide feedback on Adobe Analytics Framework</t>
  </si>
  <si>
    <t>**Assignee:** Brooke Tymoniewicz (brooke.tymoniewicz@observepoint.com)
Provide feedback to John Davis on the Adobe Analytics Framework documentation, including:
- Which parts are most useful
- Which parts are less relevant
- Any suggestions for improvement
**Context:** This framework was published just 4 days ago (updated day before meeting) and ObservePoint is actively seeking user feedback to refine it.</t>
  </si>
  <si>
    <t>Task ID</t>
  </si>
  <si>
    <t>Type</t>
  </si>
  <si>
    <t>Number</t>
  </si>
  <si>
    <t>State</t>
  </si>
  <si>
    <t>Repository</t>
  </si>
  <si>
    <t>URL</t>
  </si>
  <si>
    <t>Assignees</t>
  </si>
  <si>
    <t>Labels</t>
  </si>
  <si>
    <t>Created At</t>
  </si>
  <si>
    <t>Updated At</t>
  </si>
  <si>
    <t>Closed At</t>
  </si>
  <si>
    <t>Custom Fields</t>
  </si>
  <si>
    <t>PVTI_lAHOBXQWPs4BLZXmzgluK_0</t>
  </si>
  <si>
    <t>ISSUE</t>
  </si>
  <si>
    <t>Slack thread:
https://observepoint.slack.com/archives/C51LN1WDP/p1771478169551429
There is a bug preventing the import/sync of OneTrust consent categories into ObservePoint. The system detects the categories but fails to inject them into the database.
**Context:**
- Bug occurred during live demo when attempting to import consent categories from Sea Ray website
- Categories were detected but sync failed with error
- John took screenshots and will report to engineering
- This is blocking the ability to properly categorize cookies/tags as approved/unapproved in privacy audits
**Next Steps:**
- Follow up with engineering team on bug report
- Once fixed, import consent categories for Brad's audits
- Assign categories to the opt-in/opt-out audits that were created
---
## Meeting Context
**Meeting:** ObservePoint | Brunswick Sync
**Date:** Wednesday, February 18, 2026
**Account:** Brunswick
**External Attendees:** aparna.kumar@brunswick.com, brad.weidner@brunswick.com
**Meeting Recap:** [View Recap](https://app.askelephant.ai/workspaces/wrks_01JYF7CP38371WK5E5BP8XSHM5/engagements/ngmt_01KHKZPWVF2JBHW4CY4JQMD5FZ)
### Meeting Summary
This meeting focused on implementing ObservePoint's journey tracking and privacy compliance auditing for Brunswick's websites. John Davis demonstrated how to use custom data layers and JavaScript to capture dynamic form values for journey validation, though Brad ultimately decided to simplify the approach due to limited developer resources and lack of standardized data layers across their sites. The conversation shifted to privacy compliance testing, where John showcased ObservePoint's audit capabilities for checking cookie consent behavior across different regions (US vs. EU) and opt-in/opt-out scenarios, revealing that the tool could automatically verify OneTrust implementation and identify non-compliant tags—a critical need for Brad's legal team's compliance requirements.
---
*Auto-generated from meeting recap on 2026-02-18*</t>
  </si>
  <si>
    <t>In progress</t>
  </si>
  <si>
    <t>OPEN</t>
  </si>
  <si>
    <t>johndavis92790/OP-Tasklist</t>
  </si>
  <si>
    <t>https://github.com/johndavis92790/OP-Tasklist/issues/1863</t>
  </si>
  <si>
    <t>account:Brunswick, auto-generated</t>
  </si>
  <si>
    <t>Title: Investigate and fix consent category sync bug</t>
  </si>
  <si>
    <t>PVTI_lAHOBXQWPs4BLZXmzgkxpRw</t>
  </si>
  <si>
    <t>Create the missing quote journey for cdw.com to complement the existing order journey. The order journey has been identified (the one with logon, navigate to audio video, cart, add to cart, compare, checkout steps), but a corresponding quote journey needs to be built.
Context:
- Currently have journeys for CDW.com, CDW.ca, and CDW.g
- The order journey for CDW.com exists and has been identified
- Need to ensure all six required journeys are in place (currently have 9 with duplicates)
---
## Meeting Context
**Meeting:** ObservePoint | Dignity Health - Monthly Sync
**Date:** Tuesday, February 3, 2026
**Meeting Recap:** [View Recap](https://app.askelephant.ai/workspaces/wrks_01JYF7CP38371WK5E5BP8XSHM5/engagements/ngmt_01KEAJAKCXK762QNZSNP6K5MHA)
### Meeting Summary
The team discussed organizing and cleaning up CDW website validation journeys, identifying that they were missing an order version for cdw.com while having duplicates of other journeys. They determined that one unlabeled journey was actually an order flow (not a quote) based on its steps, and decided to rename it accordingly and delete unnecessary duplicate entries from their tracking spreadsheet. The team agreed to increase their meeting cadence from biweekly to weekly temporarily to expedite the cleanup process before potentially moving to monthly meetings.
---
*Auto-generated from meeting recap on 2026-02-03*</t>
  </si>
  <si>
    <t>Done</t>
  </si>
  <si>
    <t>CLOSED</t>
  </si>
  <si>
    <t>https://github.com/johndavis92790/OP-Tasklist/issues/1788</t>
  </si>
  <si>
    <t>account:CDW, auto-generated</t>
  </si>
  <si>
    <t>Title: Build quote journey for CDW.com</t>
  </si>
  <si>
    <t>PVTI_lAHOBXQWPs4BLZXmzglpEj4</t>
  </si>
  <si>
    <t>Check status with the journey support team (Romania-based) on the pending journey fix requests that were submitted last week but not completed due to the annual summit.
**Journeys awaiting fixes:**
- Order journey for cdw.com (action failure - CSS update needed)
- Two additional yellow/action failure journeys on the report
**Expected timeline:** Fixes should be completed by end of week.
---
## Meeting Context
**Meeting:** ObservePoint | CDW Sync
**Date:** Tuesday, February 17, 2026
**Account:** CDW
**External Attendees:** tatyana.zachary@cdw.com, audrbom@cdw.com
**Meeting Recap:** [View Recap](https://app.askelephant.ai/workspaces/wrks_01JYF7CP38371WK5E5BP8XSHM5/engagements/ngmt_01KHM71EMSMBYJKN0AX6Z35BQ6)
### Meeting Summary
John and Tatyana discussed the status of CDW's journey monitoring in ObservePoint, reviewing action failures (yellow indicators) and rules failures (red indicators) across their order and quote journeys. John explained that his team would fix the action failures and enabled the "monitored journey" feature on their six most critical journeys, which automatically notifies support when issues occur, while Tatyana agreed to follow up on rules failures with her analytics team. They also discussed expanding their use of ObservePoint's privacy auditing capabilities to work with CDW's OneTrust implementation, with Tatyana offering to introduce John to the team managing their cookie consent platform.
---
*Auto-generated from meeting recap on 2026-02-17*</t>
  </si>
  <si>
    <t>https://github.com/johndavis92790/OP-Tasklist/issues/1860</t>
  </si>
  <si>
    <t>Title: Follow up with journey support team on pending fixes</t>
  </si>
  <si>
    <t>PVTI_lAHOBXQWPs4BLZXmzgk3Rqs</t>
  </si>
  <si>
    <t>Share the Google Slides document created during the meeting with Chandra and team, giving them edit access.
**Document includes:**
- Four main use cases: Analytics validation, Privacy compliance, Site experience/journeys, Email link validation
- Current projects and initiatives for 2026
- Success metrics framework
- Action items and to-do lists
**Purpose:** Allow team to asynchronously add thoughts, metrics, and updates before next meeting in two weeks.
---
## Meeting Context
**Meeting:** ObservePoint | Medifast - Sync
**Date:** Thursday, January 8, 2026
**Account:** Medifast Inc.
**External Attendees:** chandra.guin@contractor.optavia.com
**Meeting Recap:** [View Recap](https://app.askelephant.ai/workspaces/wrks_01JYF7CP38371WK5E5BP8XSHM5/engagements/ngmt_01KC8R7XCPW464CDKS8B6ZQV7Z)
### Meeting Summary
This meeting focused on establishing success criteria and future plans for the client's ObservePoint usage, with their contract renewal approaching in April 2026. The team discussed expanding their current implementation to include email link validation features and improving privacy compliance coverage, though no major new projects are planned for Q1. Chandra committed to connecting with their client stakeholders and privacy team to explore additional use cases and ensure they're maximizing value from all available ObservePoint features before renewal. John agreed to provide documentation on email validation capabilities and share a collaborative planning document to track goals and metrics moving forward.
---
*Auto-generated from meeting recap on 2026-02-05*</t>
  </si>
  <si>
    <t>https://github.com/johndavis92790/OP-Tasklist/issues/1805</t>
  </si>
  <si>
    <t>account:Medifast Inc., auto-generated</t>
  </si>
  <si>
    <t>Title: Share success criteria Google Slides with team</t>
  </si>
  <si>
    <t>PVTI_lAHOBXQWPs4BLZXmzgk3RrE</t>
  </si>
  <si>
    <t>Review the client's existing privacy audits to identify opportunities to increase coverage toward 100%.
**Current state:**
- Coverage is around 80%
- Team wants to expand closer to 100%
- Multiple audits already set up for opt-in/opt-out status, GPC signals
- Usage dashboard shows significant room (currently projected to use 60-70k of 100k allocation)
**Next steps:**
- Analyze existing audit configurations
- Identify gaps in coverage
- Prepare recommendations for increasing coverage without exceeding usage limits
- Coordinate timing with Chandra's outreach to privacy team and client stakeholders
---
## Meeting Context
**Meeting:** ObservePoint | Medifast - Sync
**Date:** Thursday, January 8, 2026
**Account:** Medifast Inc.
**External Attendees:** chandra.guin@contractor.optavia.com
**Meeting Recap:** [View Recap](https://app.askelephant.ai/workspaces/wrks_01JYF7CP38371WK5E5BP8XSHM5/engagements/ngmt_01KC8R7XCPW464CDKS8B6ZQV7Z)
### Meeting Summary
This meeting focused on establishing success criteria and future plans for the client's ObservePoint usage, with their contract renewal approaching in April 2026. The team discussed expanding their current implementation to include email link validation features and improving privacy compliance coverage, though no major new projects are planned for Q1. Chandra committed to connecting with their client stakeholders and privacy team to explore additional use cases and ensure they're maximizing value from all available ObservePoint features before renewal. John agreed to provide documentation on email validation capabilities and share a collaborative planning document to track goals and metrics moving forward.
---
*Auto-generated from meeting recap on 2026-02-05*</t>
  </si>
  <si>
    <t>https://github.com/johndavis92790/OP-Tasklist/issues/1806</t>
  </si>
  <si>
    <t>Title: Review current audit coverage for expansion opportunities</t>
  </si>
  <si>
    <t>PVTI_lAHOBXQWPs4BLZXmzgk3Rqg</t>
  </si>
  <si>
    <t>Send product documentation/one-pager about ObservePoint's email link validation feature to Chandra after the meeting.
**Context:**
- Chandra wants to pitch this feature to the client team
- Feature allows testing of email campaigns by sending emails to a custom ObservePoint email address
- Validates links, checks for broken links, hidden links, and spam protection
- Can be integrated into QA/testing email chains
- Uses existing usage allocation (no separate line item)
**Action:** Coordinate with marketing team to get the best available documentation (product doc, PPT, or help doc) and send to Chandra.
---
## Meeting Context
**Meeting:** ObservePoint | Medifast - Sync
**Date:** Thursday, January 8, 2026
**Account:** Medifast Inc.
**External Attendees:** chandra.guin@contractor.optavia.com
**Meeting Recap:** [View Recap](https://app.askelephant.ai/workspaces/wrks_01JYF7CP38371WK5E5BP8XSHM5/engagements/ngmt_01KC8R7XCPW464CDKS8B6ZQV7Z)
### Meeting Summary
This meeting focused on establishing success criteria and future plans for the client's ObservePoint usage, with their contract renewal approaching in April 2026. The team discussed expanding their current implementation to include email link validation features and improving privacy compliance coverage, though no major new projects are planned for Q1. Chandra committed to connecting with their client stakeholders and privacy team to explore additional use cases and ensure they're maximizing value from all available ObservePoint features before renewal. John agreed to provide documentation on email validation capabilities and share a collaborative planning document to track goals and metrics moving forward.
---
*Auto-generated from meeting recap on 2026-02-05*</t>
  </si>
  <si>
    <t>https://github.com/johndavis92790/OP-Tasklist/issues/1804</t>
  </si>
  <si>
    <t>Title: Send email link validation documentation to Chandra</t>
  </si>
  <si>
    <t>PVTI_lAHOBXQWPs4BLZXmzgk3UGU</t>
  </si>
  <si>
    <t>Review WestJet's current ObservePoint configuration, including their journey setups, audits, and use cases. Provide suggestions and recommendations based on their goals and best practices from other clients.
**Context:**
- WestJet is rebuilding journeys due to brand refresh changes
- Shifting focus from alerting to QA purposes
- Currently running monthly audits for tag monitoring
- Chinmay is open to new ideas and implementation suggestions
**Timeline:** Review before next monthly meeting (February 5, 2026)
---
## Meeting Context
**Meeting:** WestJet | ObservePoint Monthly Sync
**Date:** Thursday, January 8, 2026
**Account:** WestJet
**External Attendees:** csatam@westjet.com
**Meeting Recap:** [View Recap](https://app.askelephant.ai/workspaces/wrks_01JYF7CP38371WK5E5BP8XSHM5/engagements/ngmt_01KDE2ES3KZVEFZC1SXKH83N46)
### Meeting Summary
This meeting introduced John Davis as Chinmay Satam's new Customer Success Manager at ObservePoint, transitioning from Macey Bell who is taking on a new book of business. Chinmay, an analyst at WestJet responsible for implementation, validation, and investigation, outlined his roadmap through May 2026, which includes rebuilding all journeys due to a major brand refresh, shifting journey focus from alerting to QA purposes, implementing privacy compliance monitoring (planned for end of January), and setting up marketing email link validation. John established a success criteria framework to track WestJet's initiatives, with plans to dive deeper into privacy compliance use cases during their March meeting once Chinmay has more project details. The team agreed to continue monthly meetings, with Macey planning to attend at least one more session to ensure a smooth transition.
---
*Auto-generated from meeting recap on 2026-02-05*</t>
  </si>
  <si>
    <t>https://github.com/johndavis92790/OP-Tasklist/issues/1807</t>
  </si>
  <si>
    <t>account:WestJet, auto-generated</t>
  </si>
  <si>
    <t>Title: Review WestJet's ObservePoint setup and provide recommendations</t>
  </si>
  <si>
    <t>PVTI_lAHOBXQWPs4BLZXmzgk3UGg</t>
  </si>
  <si>
    <t>Prepare to dive deep into privacy compliance use cases and ObservePoint setup during the March monthly meeting.
**Background:**
- WestJet has a priority privacy initiative starting end of January 2026
- Privacy will be controlled through Adobe Launch with limited team control
- Legal team owns privacy compliance for different locales
- Chinmay will have detailed project information by March
- ObservePoint documentation has a page on privacy compliance journey setup that Chinmay has already reviewed
**Goal:** Help Chinmay set up journeys to test privacy compliance across different locales once project details are available.
**Timeline:** March 2026 monthly meeting
---
## Meeting Context
**Meeting:** WestJet | ObservePoint Monthly Sync
**Date:** Thursday, January 8, 2026
**Account:** WestJet
**External Attendees:** csatam@westjet.com
**Meeting Recap:** [View Recap](https://app.askelephant.ai/workspaces/wrks_01JYF7CP38371WK5E5BP8XSHM5/engagements/ngmt_01KDE2ES3KZVEFZC1SXKH83N46)
### Meeting Summary
This meeting introduced John Davis as Chinmay Satam's new Customer Success Manager at ObservePoint, transitioning from Macey Bell who is taking on a new book of business. Chinmay, an analyst at WestJet responsible for implementation, validation, and investigation, outlined his roadmap through May 2026, which includes rebuilding all journeys due to a major brand refresh, shifting journey focus from alerting to QA purposes, implementing privacy compliance monitoring (planned for end of January), and setting up marketing email link validation. John established a success criteria framework to track WestJet's initiatives, with plans to dive deeper into privacy compliance use cases during their March meeting once Chinmay has more project details. The team agreed to continue monthly meetings, with Macey planning to attend at least one more session to ensure a smooth transition.
---
*Auto-generated from meeting recap on 2026-02-05*</t>
  </si>
  <si>
    <t>https://github.com/johndavis92790/OP-Tasklist/issues/1808</t>
  </si>
  <si>
    <t>Title: Prepare for privacy compliance discussion in March meeting</t>
  </si>
  <si>
    <t>PVTI_lAHOBXQWPs4BLZXmzgk3UG0</t>
  </si>
  <si>
    <t>Cancel the duplicate meeting invitation that shows as biweekly. The agreed cadence is monthly meetings (currently scheduled for February 5th), with ad-hoc calls as needed for urgent items.
**Note:** Chinmay prefers to email with questions between meetings and schedule additional calls only when necessary.
---
## Meeting Context
**Meeting:** WestJet | ObservePoint Monthly Sync
**Date:** Thursday, January 8, 2026
**Account:** WestJet
**External Attendees:** csatam@westjet.com
**Meeting Recap:** [View Recap](https://app.askelephant.ai/workspaces/wrks_01JYF7CP38371WK5E5BP8XSHM5/engagements/ngmt_01KDE2ES3KZVEFZC1SXKH83N46)
### Meeting Summary
This meeting introduced John Davis as Chinmay Satam's new Customer Success Manager at ObservePoint, transitioning from Macey Bell who is taking on a new book of business. Chinmay, an analyst at WestJet responsible for implementation, validation, and investigation, outlined his roadmap through May 2026, which includes rebuilding all journeys due to a major brand refresh, shifting journey focus from alerting to QA purposes, implementing privacy compliance monitoring (planned for end of January), and setting up marketing email link validation. John established a success criteria framework to track WestJet's initiatives, with plans to dive deeper into privacy compliance use cases during their March meeting once Chinmay has more project details. The team agreed to continue monthly meetings, with Macey planning to attend at least one more session to ensure a smooth transition.
---
*Auto-generated from meeting recap on 2026-02-05*</t>
  </si>
  <si>
    <t>https://github.com/johndavis92790/OP-Tasklist/issues/1809</t>
  </si>
  <si>
    <t>Title: Cancel duplicate biweekly meeting invitation</t>
  </si>
  <si>
    <t>PVTI_lAHOBXQWPs4BLZXmzgk3UHA</t>
  </si>
  <si>
    <t>Share the Google Slides success criteria document created during the meeting with Chinmay for ongoing reference and updates.
**Purpose:**
- Track initiatives and projects WestJet wants to accomplish
- Living document to refer to in monthly meetings
- Ensure proper prioritization and support
- Eventually add metrics to measure ObservePoint value
**Current use cases documented:**
- Privacy compliance
- Journeys and site experience/QA
- Accessibility audits
- Marketing email link validation
---
## Meeting Context
**Meeting:** WestJet | ObservePoint Monthly Sync
**Date:** Thursday, January 8, 2026
**Account:** WestJet
**External Attendees:** csatam@westjet.com
**Meeting Recap:** [View Recap](https://app.askelephant.ai/workspaces/wrks_01JYF7CP38371WK5E5BP8XSHM5/engagements/ngmt_01KDE2ES3KZVEFZC1SXKH83N46)
### Meeting Summary
This meeting introduced John Davis as Chinmay Satam's new Customer Success Manager at ObservePoint, transitioning from Macey Bell who is taking on a new book of business. Chinmay, an analyst at WestJet responsible for implementation, validation, and investigation, outlined his roadmap through May 2026, which includes rebuilding all journeys due to a major brand refresh, shifting journey focus from alerting to QA purposes, implementing privacy compliance monitoring (planned for end of January), and setting up marketing email link validation. John established a success criteria framework to track WestJet's initiatives, with plans to dive deeper into privacy compliance use cases during their March meeting once Chinmay has more project details. The team agreed to continue monthly meetings, with Macey planning to attend at least one more session to ensure a smooth transition.
---
*Auto-generated from meeting recap on 2026-02-05*</t>
  </si>
  <si>
    <t>https://github.com/johndavis92790/OP-Tasklist/issues/1810</t>
  </si>
  <si>
    <t>Title: Share success criteria document with Chinmay</t>
  </si>
  <si>
    <t>PVTI_lAHOBXQWPs4BLZXmzgkCF1Q</t>
  </si>
  <si>
    <t>how to get har files from mobile device without using a proxy server without using the chrome browser either, I am trying to test an app, not. website</t>
  </si>
  <si>
    <t>https://github.com/johndavis92790/OP-Tasklist/issues/49</t>
  </si>
  <si>
    <t>account:Questrade</t>
  </si>
  <si>
    <t>Title: how to get har files from mobile device without using a proxy server without using the chrome browser either, I am trying to test an app, not. website</t>
  </si>
  <si>
    <t>PVTI_lAHOBXQWPs4BLZXmzgkDvq4</t>
  </si>
  <si>
    <t>Debug QA journey blocking issue at login-to-portal transition</t>
  </si>
  <si>
    <t>Investigate why the OA journey fails when transitioning from login.uat.questchain.com to myportal.uat.questchain.com after password submission (step 10).
**Symptoms:**
- Journey gets stuck on loading screen after clicking 'Next' on password step
- Console shows CORS errors: cross-origin resource requests from myportal domain trying to fetch from login domain
- Manual testing in browser works (though slow, ~90 seconds)
- Network team confirmed myportal.uat.questchain.com domain is whitelisted for ObservePoint IPs
- Page itself loads (200 response), but certain cross-domain resources are blocked
**Changes made during call:**
- Removed setTimeout() calls from multiple steps
- Changed step 11 from 'Navigate to' to 'Watch' with 90-second wait
- Reduced wait time on step 10 to 10 seconds
**Next steps:**
- Test journey with new configuration
- Loop in support team if needed (John will handle internal coordination)
- May need to identify which specific cross-domain resources are being blocked
---
## Meeting Context
**Meeting:** ObservePoint | Questrade Sync
**Date:** Wednesday, January 21, 2026
**Account:** Questrade
**External Attendees:** rchau@questrade.com
**Meeting Recap:** [View Recap](https://app.askelephant.ai/workspaces/wrks_01JYF7CP38371WK5E5BP8XSHM5/engagements/ngmt_01KF44FT5499XJ88C11GFBD826)
### Meeting Summary
John Davis and Raymond Chau discussed troubleshooting issues with ObservePoint's Live Connect feature and a failing journey automation. Live Connect won't work with Raymond's VPN setup since the VPN routes traffic differently than the proxy server requires, though John will consult engineering for potential alternatives like HAR file analysis. The main focus was debugging a journey that successfully navigates through account creation steps but fails when transitioning between domains (from login...
---
*Auto-generated from meeting recap on 2026-01-22*</t>
  </si>
  <si>
    <t>https://github.com/johndavis92790/OP-Tasklist/issues/64</t>
  </si>
  <si>
    <t>account:Questrade, auto-generated</t>
  </si>
  <si>
    <t>Title: Debug QA journey blocking issue at login-to-portal transition</t>
  </si>
  <si>
    <t>PVTI_lAHOBXQWPs4BLZXmzgk2aLY</t>
  </si>
  <si>
    <t>Contact Bogdan via internal Slack to clarify the VPN/network setup context for the journey troubleshooting.
**Key points to communicate:**
- The journey involves three different domains (public facing, lead form, portal)
- Network allows traffic through all three domains for the journey
- The issue is specifically with step 10 (the portal domain redirect)
- Bogdan may have been testing from browser directly rather than through journey context
- Request he review the journey logs and console data from Raymond's specific journey setup
- Need identification of whether the blocking is on ObservePoint's side or client's code/CSP
- If client-side blocking, need specific guidance on what changes are required
**Journey details:** Registration/account opening flow that Raymond shared in the meeting
---
## Meeting Context
**Meeting:** ObservePoint | Questrade Sync
**Date:** Wednesday, February 4, 2026
**Account:** Questrade
**External Attendees:** rchau@questrade.com
**Meeting Recap:** [View Recap](https://app.askelephant.ai/workspaces/wrks_01JYF7CP38371WK5E5BP8XSHM5/engagements/ngmt_01KG35KGX47F31J2V3X69CG5DE)
### Meeting Summary
John Davis and Raymond Chau discussed troubleshooting a blocked domain issue in ObservePoint's journey setup, specifically at step 10 involving their UAT portal environment. John agreed to follow up internally with support team member Bogdan to clarify the VPN and network configuration context, as the issue appears related to their Content Security Policy blocking certain tracking pixels like Pinterest. They also explored potential use cases for ObservePoint audits, including marketing pixel validation and privacy compliance monitoring, with John suggesting integration opportunities with their privacy team (Skyline) and introducing a GitHub Actions integration that could block code releases if tracking validation fails.
---
*Auto-generated from meeting recap on 2026-02-04*</t>
  </si>
  <si>
    <t>https://github.com/johndavis92790/OP-Tasklist/issues/1802</t>
  </si>
  <si>
    <t>Title: Follow up with Bogdan on journey step 10 issue</t>
  </si>
  <si>
    <t>PVTI_lAHOBXQWPs4BLZXmzgk2aLs</t>
  </si>
  <si>
    <t>Send a scheduled email to Winnie (returning Monday, February 10) to request an introduction to the Skyline team (the team managing OneTrust and consent management).
**Purpose:** Discuss how ObservePoint audits can provide dual value:
1. Marketing pixel validation (current use case)
2. Privacy compliance monitoring (new opportunity)
**Context:**
- Skyline team owns OneTrust implementation
- They handle website opt-in/consent functionality
- Privacy is becoming increasingly important with California regulations
- ObservePoint can parallelize marketing and privacy monitoring in same audits
- This would allow privacy team to leverage existing ObservePoint contract without changes
---
## Meeting Context
**Meeting:** ObservePoint | Questrade Sync
**Date:** Wednesday, February 4, 2026
**Account:** Questrade
**External Attendees:** rchau@questrade.com
**Meeting Recap:** [View Recap](https://app.askelephant.ai/workspaces/wrks_01JYF7CP38371WK5E5BP8XSHM5/engagements/ngmt_01KG35KGX47F31J2V3X69CG5DE)
### Meeting Summary
John Davis and Raymond Chau discussed troubleshooting a blocked domain issue in ObservePoint's journey setup, specifically at step 10 involving their UAT portal environment. John agreed to follow up internally with support team member Bogdan to clarify the VPN and network configuration context, as the issue appears related to their Content Security Policy blocking certain tracking pixels like Pinterest. They also explored potential use cases for ObservePoint audits, including marketing pixel validation and privacy compliance monitoring, with John suggesting integration opportunities with their privacy team (Skyline) and introducing a GitHub Actions integration that could block code releases if tracking validation fails.
---
*Auto-generated from meeting recap on 2026-02-04*</t>
  </si>
  <si>
    <t>https://github.com/johndavis92790/OP-Tasklist/issues/1803</t>
  </si>
  <si>
    <t>Title: Schedule email to Winnie about privacy team introduction</t>
  </si>
  <si>
    <t>PVTI_lAHOBXQWPs4BLZXmzgkDvrM</t>
  </si>
  <si>
    <t>Add step to close modal in OA journey</t>
  </si>
  <si>
    <t>Modify the OA journey to include a step that closes the modal/popup that appears after successful login transition to myportal domain, before proceeding to click the account type selection button (step 12).
**Context:** Raymond noted during manual walkthrough that a modal needs to be closed before the next action can proceed
---
## Meeting Context
**Meeting:** ObservePoint | Questrade Sync
**Date:** Wednesday, January 21, 2026
**Account:** Questrade
**External Attendees:** rchau@questrade.com
**Meeting Recap:** [View Recap](https://app.askelephant.ai/workspaces/wrks_01JYF7CP38371WK5E5BP8XSHM5/engagements/ngmt_01KF44FT5499XJ88C11GFBD826)
### Meeting Summary
John Davis and Raymond Chau discussed troubleshooting issues with ObservePoint's Live Connect feature and a failing journey automation. Live Connect won't work with Raymond's VPN setup since the VPN routes traffic differently than the proxy server requires, though John will consult engineering for potential alternatives like HAR file analysis. The main focus was debugging a journey that successfully navigates through account creation steps but fails when transitioning between domains (from login...
---
*Auto-generated from meeting recap on 2026-01-22*</t>
  </si>
  <si>
    <t>https://github.com/johndavis92790/OP-Tasklist/issues/65</t>
  </si>
  <si>
    <t>Title: Add step to close modal in OA journey</t>
  </si>
  <si>
    <t>PVTI_lAHOBXQWPs4BLZXmzgkDvqc</t>
  </si>
  <si>
    <t>Research HAR file generation methods for Android without proxy</t>
  </si>
  <si>
    <t>Waiting for a reply from engineering:
https://observepoint.slack.com/archives/C51LN1WDP/p1769111547381979?thread_ts=1768592487.685119&amp;cid=C51LN1WDP
Investigate alternative methods for generating HAR files on Android devices that don't require proxy tools (since VPN conflicts with proxy-based solutions like Charles/ProxyMan).
**Goal:** Find a way for Raymond to capture mobile app traffic through VPN for Amplitude validation
**Note:** Raymond will also research on his end and check with his team
---
## Meeting Context
**Meeting:** ObservePoint | Questrade Sync
**Date:** Wednesday, January 21, 2026
**Account:** Questrade
**External Attendees:** rchau@questrade.com
**Meeting Recap:** [View Recap](https://app.askelephant.ai/workspaces/wrks_01JYF7CP38371WK5E5BP8XSHM5/engagements/ngmt_01KF44FT5499XJ88C11GFBD826)
### Meeting Summary
John Davis and Raymond Chau discussed troubleshooting issues with ObservePoint's Live Connect feature and a failing journey automation. Live Connect won't work with Raymond's VPN setup since the VPN routes traffic differently than the proxy server requires, though John will consult engineering for potential alternatives like HAR file analysis. The main focus was debugging a journey that successfully navigates through account creation steps but fails when transitioning between domains (from login...
---
*Auto-generated from meeting recap on 2026-01-22*</t>
  </si>
  <si>
    <t>https://github.com/johndavis92790/OP-Tasklist/issues/63</t>
  </si>
  <si>
    <t>Title: Research HAR file generation methods for Android without proxy</t>
  </si>
  <si>
    <t>PVTI_lAHOBXQWPs4BLZXmzgkGiho</t>
  </si>
  <si>
    <t>Send meeting recording and VPN context to engineering team</t>
  </si>
  <si>
    <t>Send the recording of this call along with a detailed write-up of Raymond's VPN setup explanation to the ObservePoint engineering team for final determination on Live Connect compatibility.
**Context:**
- Raymond uses a physical Android device connected to home WiFi
- VPN app (RoboConnect) is required to communicate with Quest's servers
- VPN creates a tunnel that may conflict with Live Connect's proxy routing
- Initial assessment: likely won't work, but engineering needs full context for definitive answer
---
## Meeting Context
**Meeting:** ObservePoint | Questrade Sync
**Date:** Wednesday, January 21, 2026
**Account:** Questrade
**External Attendees:** rchau@questrade.com
**Meeting Recap:** [View Recap](https://app.askelephant.ai/workspaces/wrks_01JYF7CP38371WK5E5BP8XSHM5/engagements/ngmt_01KF44FT5499XJ88C11GFBD826)
### Meeting Summary
John Davis and Raymond Chau discussed troubleshooting issues with ObservePoint's Live Connect feature and a failing journey automation. Live Connect won't work with Raymond's VPN setup since the VPN routes traffic differently than the proxy server requires, though John will consult engineering for potential alternatives like HAR file analysis. The main focus was debugging a journey that successfully navigates through account creation steps but fails when transitioning between domains (from login...
---
*Auto-generated from meeting recap on 2026-01-22*</t>
  </si>
  <si>
    <t>https://github.com/johndavis92790/OP-Tasklist/issues/127</t>
  </si>
  <si>
    <t>Title: Send meeting recording and VPN context to engineering team</t>
  </si>
  <si>
    <t>PVTI_lAHOBXQWPs4BLZXmzgkkOv8</t>
  </si>
  <si>
    <t>Lead the Tuesday meeting with the .com team to establish a formal, operationalized audit process.
**Meeting structure:**
1. Steve will kick off the meeting
2. John to share screen and dive into existing audit data to demonstrate ObservePoint capabilities
3. Show the use case document to the team
4. Gather specific questions and pain points from the team about marketing tags, page data, and performance
5. Walk through the December 30 audit (top 400 traffic pages from Prudential production)
6. Focus on tags and links reports; skip privacy/cookies sections as cookie team won't be present
7. Discuss tier structure (tier 1: biweekly aligned with releases, tier 2: monthly, tier 3: quarterly)
**Key objective:** Identify specific questions the team needs answered to build appropriate audit rules and alerts.
---
## Meeting Context
**Meeting:** ObservePoint &amp; Prudential Sync
**Date:** Friday, January 30, 2026
**Account:** Prudential Financial Inc.
**External Attendees:** steve.choi@prudential.com
**Meeting Recap:** [View Recap](https://app.askelephant.ai/workspaces/wrks_01JYF7CP38371WK5E5BP8XSHM5/engagements/ngmt_01KG344FKECYTPWS2RT83HZ169)
### Meeting Summary
John Davis and Steve Choi discussed formalizing ObservePoint's audit process for Prudential's websites using a three-tier system aligned with their biweekly release cadence. They planned an upcoming Tuesday meeting where John will demonstrate audit capabilities and gather specific use cases and questions from the team to configure appropriate monitoring rules and alerts. Steve needs to collect tier-specific URLs from both the .com and PGIM teams, with their annual contract allowing approximately 5,500 pages to be scanned monthly. The focus will be on establishing a structured, recurring audit schedule rather than continuing ad-hoc monitoring.
---
*Auto-generated from meeting recap on 2026-01-30*</t>
  </si>
  <si>
    <t>https://github.com/johndavis92790/OP-Tasklist/issues/1770</t>
  </si>
  <si>
    <t>account:Prudential Financial Inc., auto-generated</t>
  </si>
  <si>
    <t>Title: Lead Tuesday meeting with .com team on audit formalization</t>
  </si>
  <si>
    <t>PVTI_lAHOBXQWPs4BLZXmzgkkOwk</t>
  </si>
  <si>
    <t>Prepare to walk through the December 30 audit during Tuesday's meeting, demonstrating what data ObservePoint collects and what's available.
**Focus areas:**
- Audit summary
- Alert pages
- Tags report
- Links report
- Skip cookies/privacy sections
- Skip Jobs audit unless time permits
**Purpose:** Use the audit walkthrough to help the team identify specific questions they need answered, which will inform the setup of formal tier 1, 2, and 3 audit structures.
---
## Meeting Context
**Meeting:** ObservePoint &amp; Prudential Sync
**Date:** Friday, January 30, 2026
**Account:** Prudential Financial Inc.
**External Attendees:** steve.choi@prudential.com
**Meeting Recap:** [View Recap](https://app.askelephant.ai/workspaces/wrks_01JYF7CP38371WK5E5BP8XSHM5/engagements/ngmt_01KG344FKECYTPWS2RT83HZ169)
### Meeting Summary
John Davis and Steve Choi discussed formalizing ObservePoint's audit process for Prudential's websites using a three-tier system aligned with their biweekly release cadence. They planned an upcoming Tuesday meeting where John will demonstrate audit capabilities and gather specific use cases and questions from the team to configure appropriate monitoring rules and alerts. Steve needs to collect tier-specific URLs from both the .com and PGIM teams, with their annual contract allowing approximately 5,500 pages to be scanned monthly. The focus will be on establishing a structured, recurring audit schedule rather than continuing ad-hoc monitoring.
---
*Auto-generated from meeting recap on 2026-01-30*</t>
  </si>
  <si>
    <t>https://github.com/johndavis92790/OP-Tasklist/issues/1771</t>
  </si>
  <si>
    <t>Title: Prepare audit walkthrough for Tuesday .com team meeting</t>
  </si>
  <si>
    <t>PVTI_lAHOBXQWPs4BLZXmzgkGpuo</t>
  </si>
  <si>
    <t>Provide detailed explanation of vulnerable same site policy</t>
  </si>
  <si>
    <t>Follow up with Eric and Bradley to provide an exact description of the 'vulnerable same site policy' statistic that appeared in red on their ObservePoint report. This was flagged during the meeting review but John wasn't immediately familiar with this newer metric.
Context: This appeared in the cookies section of the opure.com audit report and needs clarification for the privacy team.
---
## Meeting Context
**Meeting:** ObservePoint | RDO Equipment Sync
**Date:** Thursday, January 22, 2026
**Account:** RDO Equipment
**External Attendees:** bfergel@rdoffutt.com, enordin@rdoffutt.com
**Meeting Recap:** [View Recap](https://app.askelephant.ai/workspaces/wrks_01JYF7CP38371WK5E5BP8XSHM5/engagements/ngmt_01KFBD2MHRH8T2RRAW03GDBDM7)
### Meeting Summary
This meeting was a check-in between John Davis from ObservePoint and Eric Nordin and Bradley Fergel to review their use of the ObservePoint platform for website monitoring. John walked them through interpreting their scan reports, explaining key metrics like web vitals, tag managers, and consent management, while noting that nine pages were missing both Google Tag Manager and OneTrust implementation. The team discussed their need to review the data with stakeholders and potentially expand monito...
---
*Auto-generated from meeting recap on 2026-01-22*</t>
  </si>
  <si>
    <t>Backlog</t>
  </si>
  <si>
    <t>https://github.com/johndavis92790/OP-Tasklist/issues/128</t>
  </si>
  <si>
    <t>account:RDO Equipment, auto-generated</t>
  </si>
  <si>
    <t>Title: Provide detailed explanation of vulnerable same site policy</t>
  </si>
  <si>
    <t>PVTI_lAHOBXQWPs4BLZXmzgkHCzw</t>
  </si>
  <si>
    <t>Rerun consent audit after whitelisting complete</t>
  </si>
  <si>
    <t>1/27 - Sent help doc on this to Raghu and just waiting to hear back from him
1/27 - Raghu said that he is asking about whitelisting, but asked us to try other things, this is what Macey said:
https://observepoint.slack.com/archives/D09T9MG0WKV/p1769548506967269
Tried changing it to Oregon, rerunning it now.
May need to ask the SC if there is something else we can do...
Once whitelisting is confirmed by the infrastructure team, rerun the "US Default Consent - Strictly Necessary - Opt Out - Stage" audit that was created during the meeting.
**Audit details:**
- Location: Staging folder
- Label: Consent
- Tests: OneTrust banner opt-out (strictly necessary only) functionality
- Currently failing due to whitelisting issue
**Next meeting:** Wednesday, January 28th, 2025 at 10:00 AM Pacific
---
## Meeting Context
**Meeting:** ObservePoint | Agilent Sync
**Date:** Thursday, January 22, 2026
**Account:** Agilent
**External Attendees:** venkata.mallepudi@agilent.com
**Meeting Recap:** [View Recap](https://app.askelephant.ai/workspaces/wrks_01JYF7CP38371WK5E5BP8XSHM5/engagements/ngmt_01KFD5GQWX1C5RDSWEVXAZSJ65)
### Meeting Summary
This meeting focused on building automated testing solutions in ObservePoint for Agilent's website. John and Raghu reviewed Raghu's detailed Google Sheet tracking audit and web journey requirements across different regions and environments, with Raghu prioritizing staging URLs first before moving to production and lower environments. They began creating a consent audit for US opt-out scenarios, but encountered whitelisting issues blocking ObservePoint's access to the staging environment that nee...
---
*Auto-generated from meeting recap on 2026-01-22*</t>
  </si>
  <si>
    <t>https://github.com/johndavis92790/OP-Tasklist/issues/140</t>
  </si>
  <si>
    <t>account:Agilent, auto-generated</t>
  </si>
  <si>
    <t>Title: Rerun consent audit after whitelisting complete</t>
  </si>
  <si>
    <t>PVTI_lAHOBXQWPs4BLZXmzgkbH3o</t>
  </si>
  <si>
    <t>Create one complete web journey as an example/template based on Raghu's spreadsheet requirements, then get journey support team to help build out the rest.
**Specific requirements:**
- Use one of the ecommerce scenarios as the example
- Set up rules that can be shared across journeys
- Journey should validate tags firing with relevant information
- Include rule validation for expected results
- Work on this immediately (time allocated right after this meeting)
**Timeline:** Start working on this immediately after the meeting
---
## Meeting Context
**Meeting:** ObservePoint | Agilent - Sync
**Date:** Wednesday, January 28, 2026
**Account:** Agilent
**External Attendees:** venkata.mallepudi@agilent.com
**Meeting Recap:** [View Recap](https://app.askelephant.ai/workspaces/wrks_01JYF7CP38371WK5E5BP8XSHM5/engagements/ngmt_01KFM0VY51YQRV6HA8HFJ37MEH)
### Meeting Summary
John Davis and Raghu discussed implementing ObservePoint audits and web journeys to validate e-commerce flows, engagement tracking, and data quality across multiple regions. They agreed to start with a proof-of-concept approach, with John creating a scripted solution to automate audit setup and building an initial journey example that can be replicated across different scenarios. John will transform Raghu's existing test steps into ObservePoint-compatible formats and explore new features like GitHub integration for CI/CD automation and beta charting capabilities for data visualization, aiming to have initial results ready before the March 21st release and Raghu's upcoming leave.
---
*Auto-generated from meeting recap on 2026-01-28*</t>
  </si>
  <si>
    <t>https://github.com/johndavis92790/OP-Tasklist/issues/1758</t>
  </si>
  <si>
    <t>Title: Build example web journey from Raghu's requirements</t>
  </si>
  <si>
    <t>PVTI_lAHOBXQWPs4BLZXmzgkHC3o</t>
  </si>
  <si>
    <t>Explore custom scheduling feature with product team</t>
  </si>
  <si>
    <t>Bring up the custom scheduling limitation with ObservePoint's product and engineering team. Currently, users cannot select multiple specific dates across different months in the UI's custom schedule feature.
Slack thread:
https://observepoint.slack.com/archives/CMARPK789/p1769115010281759
**Use case:** MMS needs to run audits on varying dates each month based on conference schedules (e.g., Jan 27-28, Feb 14-15, etc.) to test article states that only occur during conference coverage.
**Current workaround:** Using API calls triggered by scheduled tasks
---
## Meeting Context
**Meeting:** ObservePoint | MMS Sync
**Date:** Thursday, January 22, 2026
**Account:** Massachusetts Medical Society
**External Attendees:** crose@mms.org, mkarora@mms.org
**Meeting Recap:** [View Recap](https://app.askelephant.ai/workspaces/wrks_01JYF7CP38371WK5E5BP8XSHM5/engagements/ngmt_01KDB467M3HA70S11T39MZ9ZB4)
### Meeting Summary
This meeting introduced John Davis as the new Customer Success Manager taking over from Macey Bell for Massachusetts Medical Society's ObservePoint account. The team discussed MMS's use of ObservePoint for QA-heavy testing across their five medical journals (including the New England Journal of Medicine), focusing on data layer validation and content verification rather than just presence checks. Mayank requested help scheduling audits on specific non-recurring dates throughout the year to test ...
---
*Auto-generated from meeting recap on 2026-01-22*</t>
  </si>
  <si>
    <t>https://github.com/johndavis92790/OP-Tasklist/issues/155</t>
  </si>
  <si>
    <t>account:Massachusetts Medical Society, auto-generated</t>
  </si>
  <si>
    <t>Title: Explore custom scheduling feature with product team</t>
  </si>
  <si>
    <t>PVTI_lAHOBXQWPs4BLZXmzgkHC3Y</t>
  </si>
  <si>
    <t>Send JavaScript API example for audit run creation</t>
  </si>
  <si>
    <t>Send Mayank Kumar a JavaScript example demonstrating how to use the ObservePoint API endpoint for requesting audit run creation. This will help him set up automated audit triggering on specific dates each month for conference coverage article states.
**Context:**
- Mayank needs to run audits on specific dates that vary by month (e.g., Jan 27-28, Feb 14-15)
- He plans to use a scheduled task on his local machine to trigger the API
- API endpoint: POST request to v2 API for audit run creation
- Mayank is comfortable with JavaScript, Python, or Java
---
## Meeting Context
**Meeting:** ObservePoint | MMS Sync
**Date:** Thursday, January 22, 2026
**Account:** Massachusetts Medical Society
**External Attendees:** crose@mms.org, mkarora@mms.org
**Meeting Recap:** [View Recap](https://app.askelephant.ai/workspaces/wrks_01JYF7CP38371WK5E5BP8XSHM5/engagements/ngmt_01KDB467M3HA70S11T39MZ9ZB4)
### Meeting Summary
This meeting introduced John Davis as the new Customer Success Manager taking over from Macey Bell for Massachusetts Medical Society's ObservePoint account. The team discussed MMS's use of ObservePoint for QA-heavy testing across their five medical journals (including the New England Journal of Medicine), focusing on data layer validation and content verification rather than just presence checks. Mayank requested help scheduling audits on specific non-recurring dates throughout the year to test ...
---
*Auto-generated from meeting recap on 2026-01-22*</t>
  </si>
  <si>
    <t>https://github.com/johndavis92790/OP-Tasklist/issues/154</t>
  </si>
  <si>
    <t>Title: Send JavaScript API example for audit run creation</t>
  </si>
  <si>
    <t>PVTI_lAHOBXQWPs4BLZXmzgkHC2o</t>
  </si>
  <si>
    <t>Share sitemap script code with Arnold</t>
  </si>
  <si>
    <t>Send Arnold the JavaScript code for the Google Apps Script that:
- Scrapes URLs and dates from sitemap(s)
- Tracks changes in a Google Sheet
- Updates ObservePoint audit via API when pages are modified
- Runs audits automatically
**Note:** Update the script to support multiple sitemaps (comma-separated) before sending.
---
## Meeting Context
**Meeting:** Observepoint | Lumen - Sync
**Date:** Thursday, January 22, 2026
**Account:** Lumen
**External Attendees:** arnold.hong@lumen.com, kerry.liszka@lumen.com
**Meeting Recap:** [View Recap](https://app.askelephant.ai/workspaces/wrks_01JYF7CP38371WK5E5BP8XSHM5/engagements/ngmt_01KDCSSRXAZFPMTM3ED916PZBP)
### Meeting Summary
The meeting focused on implementing an automated sitemap monitoring solution using Google Sheets and Apps Script to track URL changes and trigger ObservePoint audits only for recently updated pages. The team discussed their 2026 priorities, including automating analytics validation for new pages in production, setting up an analytics uptime monitor across Lumen.com, and continuing privacy compliance work with OneTrust cookie categorization. John committed to sharing the script code with Arnold a...
---
*Auto-generated from meeting recap on 2026-01-22*</t>
  </si>
  <si>
    <t>https://github.com/johndavis92790/OP-Tasklist/issues/150</t>
  </si>
  <si>
    <t>account:Lumen, auto-generated</t>
  </si>
  <si>
    <t>Title: Share sitemap script code with Arnold</t>
  </si>
  <si>
    <t>PVTI_lAHOBXQWPs4BLZXmzgkHC2s</t>
  </si>
  <si>
    <t>Document success criteria and initiatives via email</t>
  </si>
  <si>
    <t>Send Arnold's team an email summary of the success criteria discussion since they cannot access Google Slides.
**Key initiatives identified:**
1. **Sitemap Monitor** - Automate analytics validation for new/updated pages
2. **Analytics Testing in Production** - Verify correct tags and data layer on newly published pages
3. **Analytics Uptime Monitor** - Ensure core marketing technologies fire across broader sampling of lumen.com (beyond just homepage)
4. **Privacy Compliance** - Continue cookie/tag management and OneTrust category maintenance
**Next steps:** Define metrics to measure success of these initiatives before next meeting.
**Action:** Continue to update after each meeting and resend via email.
---
## Meeting Context
**Meeting:** Observepoint | Lumen - Sync
**Date:** Thursday, January 22, 2026
**Account:** Lumen
**External Attendees:** arnold.hong@lumen.com, kerry.liszka@lumen.com
**Meeting Recap:** [View Recap](https://app.askelephant.ai/workspaces/wrks_01JYF7CP38371WK5E5BP8XSHM5/engagements/ngmt_01KDCSSRXAZFPMTM3ED916PZBP)
### Meeting Summary
The meeting focused on implementing an automated sitemap monitoring solution using Google Sheets and Apps Script to track URL changes and trigger ObservePoint audits only for recently updated pages. The team discussed their 2026 priorities, including automating analytics validation for new pages in production, setting up an analytics uptime monitor across Lumen.com, and continuing privacy compliance work with OneTrust cookie categorization. John committed to sharing the script code with Arnold a...
---
*Auto-generated from meeting recap on 2026-01-22*</t>
  </si>
  <si>
    <t>https://github.com/johndavis92790/OP-Tasklist/issues/151</t>
  </si>
  <si>
    <t>Title: Document success criteria and initiatives via email</t>
  </si>
  <si>
    <t>PVTI_lAHOBXQWPs4BLZXmzgk100Q</t>
  </si>
  <si>
    <t>Send documentation for the ObservePoint GitHub integration to enable the team to trigger audits as part of their CI/CD release process.
**Context:** This would allow them to catch accessibility and performance issues before pushing to production, rather than relying solely on scheduled audits.
---
## Meeting Context
**Meeting:** ObservePoint | Lumen Sync
**Date:** Wednesday, February 4, 2026
**Account:** Lumen
**External Attendees:** kathy.bealler@lumen.com
**Meeting Recap:** [View Recap](https://app.askelephant.ai/workspaces/wrks_01JYF7CP38371WK5E5BP8XSHM5/engagements/ngmt_01KG7RJZMDZHNJGA3ARPBT3T7N)
### Meeting Summary
John Davis introduced himself as the new ObservePoint CSM taking over from Macy, meeting with Lumen's web experience team (Kathy, Edward, and Devon) to understand their needs. The team is interested in automating accessibility audits and consolidating performance monitoring tools, currently using manual processes with Google Lighthouse for page-by-page accessibility checks. John demonstrated that ObservePoint already collects accessibility, performance, and SEO data from the audits that Carrie's marketing ops team runs, offering a consolidated solution with features like Jira integration for automated ticket creation and GitHub integration for CICD processes. The team agreed to establish regular meetings and requested access to the ObservePoint instance to explore existing audit data.
---
*Auto-generated from meeting recap on 2026-02-04*</t>
  </si>
  <si>
    <t>https://github.com/johndavis92790/OP-Tasklist/issues/1793</t>
  </si>
  <si>
    <t>Title: Send GitHub integration documentation</t>
  </si>
  <si>
    <t>PVTI_lAHOBXQWPs4BLZXmzgk101I</t>
  </si>
  <si>
    <t>Provide documentation on the Jira integration that allows automated creation of remediation tickets from identified accessibility issues.
**Key stakeholders:** Devon and Edward expressed strong interest in automating the process of converting accessibility findings into actionable Jira tickets.
---
## Meeting Context
**Meeting:** ObservePoint | Lumen Sync
**Date:** Wednesday, February 4, 2026
**Account:** Lumen
**External Attendees:** kathy.bealler@lumen.com
**Meeting Recap:** [View Recap](https://app.askelephant.ai/workspaces/wrks_01JYF7CP38371WK5E5BP8XSHM5/engagements/ngmt_01KG7RJZMDZHNJGA3ARPBT3T7N)
### Meeting Summary
John Davis introduced himself as the new ObservePoint CSM taking over from Macy, meeting with Lumen's web experience team (Kathy, Edward, and Devon) to understand their needs. The team is interested in automating accessibility audits and consolidating performance monitoring tools, currently using manual processes with Google Lighthouse for page-by-page accessibility checks. John demonstrated that ObservePoint already collects accessibility, performance, and SEO data from the audits that Carrie's marketing ops team runs, offering a consolidated solution with features like Jira integration for automated ticket creation and GitHub integration for CICD processes. The team agreed to establish regular meetings and requested access to the ObservePoint instance to explore existing audit data.
---
*Auto-generated from meeting recap on 2026-02-04*</t>
  </si>
  <si>
    <t>https://github.com/johndavis92790/OP-Tasklist/issues/1794</t>
  </si>
  <si>
    <t>Title: Send Jira integration documentation</t>
  </si>
  <si>
    <t>PVTI_lAHOBXQWPs4BLZXmzglyjaA</t>
  </si>
  <si>
    <t>By next meeting, prepare feedback on Journeys feature for product team investment in 2026:
**Known pain points to address:**
- Reporting experience is better in audits than journeys
- Journey insights require clicking individual steps in builder (not consolidated view)
- Need better hard data reporting vs. just metadata
**Context:** ObservePoint is hiring new engineering team and product manager dedicated to rebuilding journeys from ground up, including AI enhancements. They want customer input on improvements.
---
## Meeting Context
**Meeting:** Observepoint | Lumen - Sync
**Date:** Thursday, February 19, 2026
**Account:** Lumen
**External Attendees:** arnold.hong@lumen.com, kathy.behler@lumen.com, kerry.liszka@lumen.com, neil.black@lumen.com
**Meeting Recap:** [View Recap](https://app.askelephant.ai/workspaces/wrks_01JYF7CP38371WK5E5BP8XSHM5/engagements/ngmt_01KFNSQ7HM07ZJ8MA73VC477DB)
### Meeting Summary
John and Arnold discussed upcoming automation projects to validate HTML attributes and data layer elements on newly launched pages using ObservePoint's journey or audit features. Arnold plans to set up automated checks for approximately 10-25 key pages representing different page types, with John recommending he leverage ObservePoint's journey support team for implementation assistance. John also shared product updates about new SEO and page content features launching in Q1 2026, along with planned improvements to the journeys feature based on increased company investment following a successful 2025.
---
*Auto-generated from meeting recap on 2026-02-19*</t>
  </si>
  <si>
    <t>https://github.com/johndavis92790/OP-Tasklist/issues/1870</t>
  </si>
  <si>
    <t>Title: Provide feedback on Journey pain points and improvements</t>
  </si>
  <si>
    <t>PVTI_lAHOBXQWPs4BLZXmzgk10zw</t>
  </si>
  <si>
    <t>Grant ObservePoint platform access to Kathy, Edward, and Devon from the Lumen web experience team so they can explore existing audits and familiarize themselves with the platform.
**Note:** Coordinate with Arnold or handle directly. Users are not charged by seat, only by page scans.
---
## Meeting Context
**Meeting:** ObservePoint | Lumen Sync
**Date:** Wednesday, February 4, 2026
**Account:** Lumen
**External Attendees:** kathy.bealler@lumen.com
**Meeting Recap:** [View Recap](https://app.askelephant.ai/workspaces/wrks_01JYF7CP38371WK5E5BP8XSHM5/engagements/ngmt_01KG7RJZMDZHNJGA3ARPBT3T7N)
### Meeting Summary
John Davis introduced himself as the new ObservePoint CSM taking over from Macy, meeting with Lumen's web experience team (Kathy, Edward, and Devon) to understand their needs. The team is interested in automating accessibility audits and consolidating performance monitoring tools, currently using manual processes with Google Lighthouse for page-by-page accessibility checks. John demonstrated that ObservePoint already collects accessibility, performance, and SEO data from the audits that Carrie's marketing ops team runs, offering a consolidated solution with features like Jira integration for automated ticket creation and GitHub integration for CICD processes. The team agreed to establish regular meetings and requested access to the ObservePoint instance to explore existing audit data.
---
*Auto-generated from meeting recap on 2026-02-04*</t>
  </si>
  <si>
    <t>https://github.com/johndavis92790/OP-Tasklist/issues/1792</t>
  </si>
  <si>
    <t>Title: Provide user access to ObservePoint instance</t>
  </si>
  <si>
    <t>PVTI_lAHOBXQWPs4BLZXmzgk6vEk</t>
  </si>
  <si>
    <t>Investigate and potentially develop a solution for measuring Lumen's conversational AI/agentic experience launching in Q1.
**Requirements to gather from stakeholder:**
- How they plan to evaluate AI response quality
- Success indicators for the conversational agent
- Whether this relates to SEO/AIEO initiatives (stakeholder is SEO person)
**Proposed approach:**
- Use ObservePoint journeys to emulate human interaction with chatbot
- Input hardcoded prompts (potentially 20 different prompts, run 100 times each)
- Use JavaScript to capture responses via console log
- Export responses to Google Sheets for human review
**Context:** The agent will focus on marketing (product information, security options) rather than support. This is a new capability not directly supported by ObservePoint out-of-the-box but could be built using journey functionality.
---
## Meeting Context
**Meeting:** Observepoint | Lumen - Sync
**Date:** Thursday, February 5, 2026
**Account:** Lumen
**External Attendees:** arnold.hong@lumen.com, kathy.behler@lumen.com
**Meeting Recap:** [View Recap](https://app.askelephant.ai/workspaces/wrks_01JYF7CP38371WK5E5BP8XSHM5/engagements/ngmt_01KEFE1FR4ZYKF8AC7ZMCQ1G4G)
### Meeting Summary
John Davis conducted a meeting with the Lumen team to discuss ObservePoint's capabilities and address their implementation needs. The conversation covered automated quality assurance through rules-based monitoring, with Mike Tanedo expressing interest in using ObservePoint to track missed app submissions and conversion data discrepancies. John explained how ObservePoint can automate audits and journeys on customizable schedules, set quality standards with automated alerts, and integrate with tools like Jira for workflow management. The meeting also addressed sitemap-based audit implementation with Arnold, accessibility and performance audit access for Kathy's team, and a potential use case for measuring conversational AI chatbot performance through journey testing with JavaScript-based response capture.
---
*Auto-generated from meeting recap on 2026-02-05*</t>
  </si>
  <si>
    <t>https://github.com/johndavis92790/OP-Tasklist/issues/1826</t>
  </si>
  <si>
    <t>Title: Explore conversational AI measurement solution</t>
  </si>
  <si>
    <t>PVTI_lAHOBXQWPs4BLZXmzgkGYhU</t>
  </si>
  <si>
    <t>Connect with Kathy Behler on site experience use cases</t>
  </si>
  <si>
    <t>Follow up with Kathy Behler (kathy.behler@lumen.com) who was informed by management to explore ObservePoint capabilities.
**Context:**
- She was invited to the last call but may have missed it
- Arnold mentioned she likely has specific use cases around site experience/performance aspects
- Offer to schedule a separate meeting if the regular cadence doesn't work for her schedule
---
## Meeting Context
**Meeting:** Observepoint | Lumen - Sync
**Date:** Thursday, January 22, 2026
**Account:** Lumen
**External Attendees:** arnold.hong@lumen.com, kerry.liszka@lumen.com
**Meeting Recap:** [View Recap](https://app.askelephant.ai/workspaces/wrks_01JYF7CP38371WK5E5BP8XSHM5/engagements/ngmt_01KDCSSRXAZFPMTM3ED916PZBP)
### Meeting Summary
The meeting focused on implementing an automated sitemap monitoring solution using Google Sheets and Apps Script to track URL changes and trigger ObservePoint audits only for recently updated pages. The team discussed their 2026 priorities, including automating analytics validation for new pages in production, setting up an analytics uptime monitor across Lumen.com, and continuing privacy compliance work with OneTrust cookie categorization. John committed to sharing the script code with Arnold a...
---
*Auto-generated from meeting recap on 2026-01-22*</t>
  </si>
  <si>
    <t>https://github.com/johndavis92790/OP-Tasklist/issues/68</t>
  </si>
  <si>
    <t>Title: Connect with Kathy Behler on site experience use cases</t>
  </si>
  <si>
    <t>PVTI_lAHOBXQWPs4BLZXmzgk103o</t>
  </si>
  <si>
    <t>Write up notes from this discovery meeting covering:
**Team structure:**
- Kathy's team (Digital Experience/DX) owns lumen.com marketing site, blog migration, APAC site, and influences documentation site
- Uses Adobe Experience Manager as CMS
- Devon manages UX designers and strategists
- Edward is UX designer focused on accessibility
**Current pain points:**
- Manual accessibility auditing using Google Lighthouse page-by-page
- Using spreadsheet system for tracking
- Want to automate accessibility scanning and issue identification
- Interest in consolidating multiple performance/analytics platforms
**Key opportunities:**
- Accessibility automation (critical issues, ARIA labels, image alt text, color contrast)
- Performance monitoring (Lighthouse scores)
- Integration with existing workflows (GitHub, Jira)
- Platform consolidation to reduce tool sprawl
---
## Meeting Context
**Meeting:** ObservePoint | Lumen Sync
**Date:** Wednesday, February 4, 2026
**Account:** Lumen
**External Attendees:** kathy.bealler@lumen.com
**Meeting Recap:** [View Recap](https://app.askelephant.ai/workspaces/wrks_01JYF7CP38371WK5E5BP8XSHM5/engagements/ngmt_01KG7RJZMDZHNJGA3ARPBT3T7N)
### Meeting Summary
John Davis introduced himself as the new ObservePoint CSM taking over from Macy, meeting with Lumen's web experience team (Kathy, Edward, and Devon) to understand their needs. The team is interested in automating accessibility audits and consolidating performance monitoring tools, currently using manual processes with Google Lighthouse for page-by-page accessibility checks. John demonstrated that ObservePoint already collects accessibility, performance, and SEO data from the audits that Carrie's marketing ops team runs, offering a consolidated solution with features like Jira integration for automated ticket creation and GitHub integration for CICD processes. The team agreed to establish regular meetings and requested access to the ObservePoint instance to explore existing audit data.
---
*Auto-generated from meeting recap on 2026-02-04*</t>
  </si>
  <si>
    <t>https://github.com/johndavis92790/OP-Tasklist/issues/1797</t>
  </si>
  <si>
    <t>Title: Document meeting notes and use cases</t>
  </si>
  <si>
    <t>PVTI_lAHOBXQWPs4BLZXmzgk103A</t>
  </si>
  <si>
    <t>Review the Lumen ObservePoint account to identify audits that are relevant to the web experience team (focusing on lumen.com, blog, APAC site, and documentation site).
**Action items:**
- Find audits with accessibility and performance data
- Share specific audit examples with Kathy, Devon, and Edward
- Ensure they have access to view these audits
**Note:** The CenturyLink audit shown in the demo is not owned by this team.
---
## Meeting Context
**Meeting:** ObservePoint | Lumen Sync
**Date:** Wednesday, February 4, 2026
**Account:** Lumen
**External Attendees:** kathy.bealler@lumen.com
**Meeting Recap:** [View Recap](https://app.askelephant.ai/workspaces/wrks_01JYF7CP38371WK5E5BP8XSHM5/engagements/ngmt_01KG7RJZMDZHNJGA3ARPBT3T7N)
### Meeting Summary
John Davis introduced himself as the new ObservePoint CSM taking over from Macy, meeting with Lumen's web experience team (Kathy, Edward, and Devon) to understand their needs. The team is interested in automating accessibility audits and consolidating performance monitoring tools, currently using manual processes with Google Lighthouse for page-by-page accessibility checks. John demonstrated that ObservePoint already collects accessibility, performance, and SEO data from the audits that Carrie's marketing ops team runs, offering a consolidated solution with features like Jira integration for automated ticket creation and GitHub integration for CICD processes. The team agreed to establish regular meetings and requested access to the ObservePoint instance to explore existing audit data.
---
*Auto-generated from meeting recap on 2026-02-04*</t>
  </si>
  <si>
    <t>https://github.com/johndavis92790/OP-Tasklist/issues/1796</t>
  </si>
  <si>
    <t>Title: Identify and share relevant Lumen audits</t>
  </si>
  <si>
    <t>PVTI_lAHOBXQWPs4BLZXmzgk6vEo</t>
  </si>
  <si>
    <t>Once Kathy provides documented use cases from her stakeholders, translate these requirements into ObservePoint configurations and automation solutions.
**Waiting for:**
- Specific questions they need answered about performance, tagging, and accessibility
- Quality standards/metrics they expect (e.g., "ARIA labels should be 98% compliant")
- Use cases written in plain English
---
## Meeting Context
**Meeting:** Observepoint | Lumen - Sync
**Date:** Thursday, February 5, 2026
**Account:** Lumen
**External Attendees:** arnold.hong@lumen.com, kathy.behler@lumen.com
**Meeting Recap:** [View Recap](https://app.askelephant.ai/workspaces/wrks_01JYF7CP38371WK5E5BP8XSHM5/engagements/ngmt_01KEFE1FR4ZYKF8AC7ZMCQ1G4G)
### Meeting Summary
John Davis conducted a meeting with the Lumen team to discuss ObservePoint's capabilities and address their implementation needs. The conversation covered automated quality assurance through rules-based monitoring, with Mike Tanedo expressing interest in using ObservePoint to track missed app submissions and conversion data discrepancies. John explained how ObservePoint can automate audits and journeys on customizable schedules, set quality standards with automated alerts, and integrate with tools like Jira for workflow management. The meeting also addressed sitemap-based audit implementation with Arnold, accessibility and performance audit access for Kathy's team, and a potential use case for measuring conversational AI chatbot performance through journey testing with JavaScript-based response capture.
---
*Auto-generated from meeting recap on 2026-02-05*</t>
  </si>
  <si>
    <t>https://github.com/johndavis92790/OP-Tasklist/issues/1827</t>
  </si>
  <si>
    <t>Title: Translate Kathy's use case documentation into ObservePoint configurations</t>
  </si>
  <si>
    <t>PVTI_lAHOBXQWPs4BLZXmzgk6vDw</t>
  </si>
  <si>
    <t>Share the following resources with Kathy for her team:
- Help docs: help.observepoint.com
- ObservePoint Academy: academy.observepoint.com (asynchronous training program)
- Getting Started guide
**Guidance provided:**
- Focus on relevant sections (e.g., skip privacy if not applicable)
- Have team members document their use cases, questions, and quality standards in plain English
- Send these documented requirements via email for translation into ObservePoint capabilities
**Context:** Kathy wants to share resources with team members interested in accessibility audits and performance audits without increasing usage until they validate the output meets their needs.
---
## Meeting Context
**Meeting:** Observepoint | Lumen - Sync
**Date:** Thursday, February 5, 2026
**Account:** Lumen
**External Attendees:** arnold.hong@lumen.com, kathy.behler@lumen.com
**Meeting Recap:** [View Recap](https://app.askelephant.ai/workspaces/wrks_01JYF7CP38371WK5E5BP8XSHM5/engagements/ngmt_01KEFE1FR4ZYKF8AC7ZMCQ1G4G)
### Meeting Summary
John Davis conducted a meeting with the Lumen team to discuss ObservePoint's capabilities and address their implementation needs. The conversation covered automated quality assurance through rules-based monitoring, with Mike Tanedo expressing interest in using ObservePoint to track missed app submissions and conversion data discrepancies. John explained how ObservePoint can automate audits and journeys on customizable schedules, set quality standards with automated alerts, and integrate with tools like Jira for workflow management. The meeting also addressed sitemap-based audit implementation with Arnold, accessibility and performance audit access for Kathy's team, and a potential use case for measuring conversational AI chatbot performance through journey testing with JavaScript-based response capture.
---
*Auto-generated from meeting recap on 2026-02-05*</t>
  </si>
  <si>
    <t>https://github.com/johndavis92790/OP-Tasklist/issues/1824</t>
  </si>
  <si>
    <t>Title: Provide Kathy with ObservePoint resources and documentation</t>
  </si>
  <si>
    <t>PVTI_lAHOBXQWPs4BLZXmzgk6vEc</t>
  </si>
  <si>
    <t>Coordinate with Arnold to disable the CenturyLink audit that is currently running.
**Reason:** This audit was set up to gather before/after metrics, but CenturyLink ended up staying on managed services, making the audit unnecessary. Closing it will prevent paying for unused monitoring.
---
## Meeting Context
**Meeting:** Observepoint | Lumen - Sync
**Date:** Thursday, February 5, 2026
**Account:** Lumen
**External Attendees:** arnold.hong@lumen.com, kathy.behler@lumen.com
**Meeting Recap:** [View Recap](https://app.askelephant.ai/workspaces/wrks_01JYF7CP38371WK5E5BP8XSHM5/engagements/ngmt_01KEFE1FR4ZYKF8AC7ZMCQ1G4G)
### Meeting Summary
John Davis conducted a meeting with the Lumen team to discuss ObservePoint's capabilities and address their implementation needs. The conversation covered automated quality assurance through rules-based monitoring, with Mike Tanedo expressing interest in using ObservePoint to track missed app submissions and conversion data discrepancies. John explained how ObservePoint can automate audits and journeys on customizable schedules, set quality standards with automated alerts, and integrate with tools like Jira for workflow management. The meeting also addressed sitemap-based audit implementation with Arnold, accessibility and performance audit access for Kathy's team, and a potential use case for measuring conversational AI chatbot performance through journey testing with JavaScript-based response capture.
---
*Auto-generated from meeting recap on 2026-02-05*</t>
  </si>
  <si>
    <t>https://github.com/johndavis92790/OP-Tasklist/issues/1825</t>
  </si>
  <si>
    <t>Title: Work with Arnold to close out CenturyLink audit</t>
  </si>
  <si>
    <t>PVTI_lAHOBXQWPs4BLZXmzgjO8tI</t>
  </si>
  <si>
    <t>Dignity Health - Build example journey</t>
  </si>
  <si>
    <t>https://github.com/johndavis92790/OP-Tasklist/issues/7</t>
  </si>
  <si>
    <t>account:Dignity Health</t>
  </si>
  <si>
    <t>Title: Dignity Health - Build example journey</t>
  </si>
  <si>
    <t>PVTI_lAHOBXQWPs4BLZXmzgjXcLU</t>
  </si>
  <si>
    <t>Talk to Jered White about joining next call with Ceasars to show off HAR and Live Connect</t>
  </si>
  <si>
    <t>https://github.com/johndavis92790/OP-Tasklist/issues/27</t>
  </si>
  <si>
    <t>account:Caesars Entertainment</t>
  </si>
  <si>
    <t>Title: Talk to Jered White about joining next call with Ceasars to show off HAR and Live Connect</t>
  </si>
  <si>
    <t>PVTI_lAHOBXQWPs4BLZXmzgjPA7s</t>
  </si>
  <si>
    <t>Send intro email to Stuart and try to schedule first meeting</t>
  </si>
  <si>
    <t>https://github.com/johndavis92790/OP-Tasklist/issues/9</t>
  </si>
  <si>
    <t>account:Accent Group</t>
  </si>
  <si>
    <t>Title: Send intro email to Stuart and try to schedule first meeting</t>
  </si>
  <si>
    <t>PVTI_lAHOBXQWPs4BLZXmzgkHC0g</t>
  </si>
  <si>
    <t>Reformat journey documentation for ObservePoint support team</t>
  </si>
  <si>
    <t>1/27 - This needs to be done once the first journey is built and is running successfully
Work with John Davis to reformat the existing Google Sheet journey steps to be optimized for ObservePoint's journey support team to build. Current steps are written for manual testing and need to be restructured for automated journey creation.
**Next meeting focus:** John will show how journeys are built in the UI during the Wednesday, January 28th, 2025 meeting at 10:00 AM Pacific so the documentation can be better structured.
**Goal:** Have journey documentation ready for support team to build while on vacation in March
**Focus areas:**
- Ecommerce journey (order purchase flow)
- Engagement journey (search functionality)
- ERFQ journey
---
## Meeting Context
**Meeting:** ObservePoint | Agilent Sync
**Date:** Thursday, January 22, 2026
**Account:** Agilent
**External Attendees:** venkata.mallepudi@agilent.com
**Meeting Recap:** [View Recap](https://app.askelephant.ai/workspaces/wrks_01JYF7CP38371WK5E5BP8XSHM5/engagements/ngmt_01KFD5GQWX1C5RDSWEVXAZSJ65)
### Meeting Summary
This meeting focused on building automated testing solutions in ObservePoint for Agilent's website. John and Raghu reviewed Raghu's detailed Google Sheet tracking audit and web journey requirements across different regions and environments, with Raghu prioritizing staging URLs first before moving to production and lower environments. They began creating a consent audit for US opt-out scenarios, but encountered whitelisting issues blocking ObservePoint's access to the staging environment that nee...
---
*Auto-generated from meeting recap on 2026-01-22*</t>
  </si>
  <si>
    <t>Blocked</t>
  </si>
  <si>
    <t>https://github.com/johndavis92790/OP-Tasklist/issues/143</t>
  </si>
  <si>
    <t>Title: Reformat journey documentation for ObservePoint support team</t>
  </si>
  <si>
    <t>PVTI_lAHOBXQWPs4BLZXmzgkbH4U</t>
  </si>
  <si>
    <t>Develop a script to automate the creation of multiple audits based on Raghu's requirements list. This will help expedite the process since Raghu is completely filled with other tasks.
**Context:**
- Multiple audits needed across different labels (ecommerce, marketing, user identification, engagement, RFQs, third party tags)
- Script should ingest transformed data from Raghu's spreadsheet
- First audit framework is working and can serve as template
- This will significantly reduce manual setup time
---
## Meeting Context
**Meeting:** ObservePoint | Agilent - Sync
**Date:** Wednesday, January 28, 2026
**Account:** Agilent
**External Attendees:** venkata.mallepudi@agilent.com
**Meeting Recap:** [View Recap](https://app.askelephant.ai/workspaces/wrks_01JYF7CP38371WK5E5BP8XSHM5/engagements/ngmt_01KFM0VY51YQRV6HA8HFJ37MEH)
### Meeting Summary
John Davis and Raghu discussed implementing ObservePoint audits and web journeys to validate e-commerce flows, engagement tracking, and data quality across multiple regions. They agreed to start with a proof-of-concept approach, with John creating a scripted solution to automate audit setup and building an initial journey example that can be replicated across different scenarios. John will transform Raghu's existing test steps into ObservePoint-compatible formats and explore new features like GitHub integration for CI/CD automation and beta charting capabilities for data visualization, aiming to have initial results ready before the March 21st release and Raghu's upcoming leave.
---
*Auto-generated from meeting recap on 2026-01-28*</t>
  </si>
  <si>
    <t>https://github.com/johndavis92790/OP-Tasklist/issues/1760</t>
  </si>
  <si>
    <t>Title: Create script to automate audit creation</t>
  </si>
  <si>
    <t>PVTI_lAHOBXQWPs4BLZXmzgjvs5Y</t>
  </si>
  <si>
    <t>Prepare CEO update story for Jan 21st</t>
  </si>
  <si>
    <t>See slack message</t>
  </si>
  <si>
    <t>https://github.com/johndavis92790/OP-Tasklist/issues/43</t>
  </si>
  <si>
    <t>Title: Prepare CEO update story for Jan 21st</t>
  </si>
  <si>
    <t>PVTI_lAHOBXQWPs4BLZXmzgjkAkE</t>
  </si>
  <si>
    <t>Bluebeam - Create an end of year review style presentation before contract is up to show value</t>
  </si>
  <si>
    <t>Here is an example that they sent us from Cheq:
https://drive.google.com/file/d/1mzZyWZXxY9GX_TQ09Ve6aXnlUWAUiaZn/view?usp=drive_link
Nic wants to wait until we know what data or info we would want to put in it before we bring it up with marketing</t>
  </si>
  <si>
    <t>https://github.com/johndavis92790/OP-Tasklist/issues/32</t>
  </si>
  <si>
    <t>account:Bluebeam Inc.</t>
  </si>
  <si>
    <t>Title: Bluebeam - Create an end of year review style presentation before contract is up to show value</t>
  </si>
  <si>
    <t>PVTI_lAHOBXQWPs4BLZXmzgjPGIg</t>
  </si>
  <si>
    <t>Update time allocations</t>
  </si>
  <si>
    <t>https://github.com/johndavis92790/OP-Tasklist/issues/15</t>
  </si>
  <si>
    <t>Title: Update time allocations</t>
  </si>
  <si>
    <t>PVTI_lAHOBXQWPs4BLZXmzgjnSEA</t>
  </si>
  <si>
    <t>Ross - Send email to explain data retention options</t>
  </si>
  <si>
    <t>https://github.com/johndavis92790/OP-Tasklist/issues/34</t>
  </si>
  <si>
    <t>account:Ross Stores Inc.</t>
  </si>
  <si>
    <t>Title: Ross - Send email to explain data retention options</t>
  </si>
  <si>
    <t>PVTI_lAHOBXQWPs4BLZXmzgjPBGU</t>
  </si>
  <si>
    <t>Bluebeam  - Send email to schedule sync, in drafts!</t>
  </si>
  <si>
    <t>https://github.com/johndavis92790/OP-Tasklist/issues/11</t>
  </si>
  <si>
    <t>Title: Bluebeam  - Send email to schedule sync, in drafts!</t>
  </si>
  <si>
    <t>PVTI_lAHOBXQWPs4BLZXmzgjPujQ</t>
  </si>
  <si>
    <t>Agilent - Put success criteria into slack and salesforce</t>
  </si>
  <si>
    <t>https://github.com/johndavis92790/OP-Tasklist/issues/24</t>
  </si>
  <si>
    <t>account:Agilent</t>
  </si>
  <si>
    <t>Title: Agilent - Put success criteria into slack and salesforce</t>
  </si>
  <si>
    <t>PVTI_lAHOBXQWPs4BLZXmzgjAqqU</t>
  </si>
  <si>
    <t>this is a sub task</t>
  </si>
  <si>
    <t>https://github.com/johndavis92790/OP-Tasklist/issues/3</t>
  </si>
  <si>
    <t>Title: this is a sub task</t>
  </si>
  <si>
    <t>PVTI_lAHOBXQWPs4BLZXmzgjAq1g</t>
  </si>
  <si>
    <t>parent task</t>
  </si>
  <si>
    <t>https://github.com/johndavis92790/OP-Tasklist/issues/2</t>
  </si>
  <si>
    <t>Title: parent task</t>
  </si>
  <si>
    <t>PVTI_lAHOBXQWPs4BLZXmzgjO8N8</t>
  </si>
  <si>
    <t>Dignity Health - Work on automating txt file checks</t>
  </si>
  <si>
    <t xml:space="preserve">Here is the old thread on this: https://observepoint.slack.com/archives/C51LN1WDP/p1766089902321849?thread_ts=1736284104.482449&amp;cid=C51LN1WDP
This is their document that they use to track and test this stuff
https://docs.google.com/spreadsheets/d/11oj8MdOIxLcjjO4LSjXXSkFCBVsqpNyj/edit?gid=2112603528#gid=2112603528
This is the test audit I built with an on page action to click on all the json and xlsx file downloads crawling from the main locations page:
https://app.observepoint.com/audit/2030973/run/8734616/report/page-summary
This is the report I use to filter and check the network requests for those files:
https://app.observepoint.com/reports/18546
I need to automate the txt file process, which are only found on the main homepages listed in the google sheet above
</t>
  </si>
  <si>
    <t>https://github.com/johndavis92790/OP-Tasklist/issues/5</t>
  </si>
  <si>
    <t>Title: Dignity Health - Work on automating txt file checks</t>
  </si>
  <si>
    <t>PVTI_lAHOBXQWPs4BLZXmzgjPEDY</t>
  </si>
  <si>
    <t>Check influence maps on every customer</t>
  </si>
  <si>
    <t>- [ ] Add them to salesforce
- [ ] Add them to the tab in the customer chat in slack
- [ ] Add them to my customer doc in onboarding</t>
  </si>
  <si>
    <t>Ready</t>
  </si>
  <si>
    <t>https://github.com/johndavis92790/OP-Tasklist/issues/12</t>
  </si>
  <si>
    <t>Title: Check influence maps on every customer</t>
  </si>
  <si>
    <t>PVTI_lAHOBXQWPs4BLZXmzgjPEnA</t>
  </si>
  <si>
    <t>Athena Health - Look into some custom code that was setup as the pre-audit action that is not working perfectly</t>
  </si>
  <si>
    <t>https://github.com/johndavis92790/OP-Tasklist/issues/13</t>
  </si>
  <si>
    <t>account:Athenahealth</t>
  </si>
  <si>
    <t>Title: Athena Health - Look into some custom code that was setup as the pre-audit action that is not working perfectly</t>
  </si>
  <si>
    <t>PVTI_lAHOBXQWPs4BLZXmzgjPFx0</t>
  </si>
  <si>
    <t>Ziff Davis - Prepare for meeting on Feb 3rd, maybe ask for help on what to do about their privacy use cases</t>
  </si>
  <si>
    <t>https://github.com/johndavis92790/OP-Tasklist/issues/14</t>
  </si>
  <si>
    <t>account:Ziff Davis Inc.</t>
  </si>
  <si>
    <t>Title: Ziff Davis - Prepare for meeting on Feb 3rd, maybe ask for help on what to do about their privacy use cases</t>
  </si>
  <si>
    <t>PVTI_lAHOBXQWPs4BLZXmzgjPM5Q</t>
  </si>
  <si>
    <t>EDC - Broken external links report custom solution</t>
  </si>
  <si>
    <t xml:space="preserve">This is being built in the OP Tools Sheet:
https://docs.google.com/spreadsheets/d/16Q4gWUtJKxQ7Ab_KttdVOjOpQNxW2Ika4Vz_05GJX2Y/edit?gid=454600116#gid=454600116
This was the explanation I gave them:
So there are 4 things that this solution uses:
1. Primary Audit - [Marketing Pixels – All Platforms](https://app.observepoint.com/audit/752425/run/8660350/report/highlights/discovery)
You use this to check whatever internal sites you want and it will also find all the external links in these sites.
Once this finishes, it hits a webhook in my Google Sheet to update the secondary audit below with updated external links to check, it does not run the secondary audit automatically, it only updates the links to audit.
2. Primary Report - [Marketing Pixels - All Platforms - All External Links](https://app.observepoint.com/reports/16082)
This is a report that is all the external links, broken or not, that are found from the primary audit.
3. Secondary Audit - [Marketing Pixels - All Platforms - External Links Only](https://app.observepoint.com/audit/2023610/run/0/report/live-results)
This audit checks all the unique external links from the primary audit, using the primary report. This only checks the initial external links, it does not crawl past those starting links.
I just patched a fix for a small bug that I found, so it should be working now. This audit is running currently.
Both these audits can be scheduled any way you want in our app, just keep in mind that the primary audit needs to finish before running the secondary audit to make sure you are getting the latest list of external links to check.
4. Secondary Report - [Marketing Pixels - All Platforms - Broken Links Only](https://app.observepoint.com/reports/16083)
This is your list of broken external links. This is filtering out pages that return a 403 or a 429 status code because we are probably just getting blocked on those pages and there really isn't much we can do about that since they are 3rd party pages. 
This is powered by that secondary audit so you should wait for that audit to finish before checking this data. 
You can set up a scheduled export of this report, or set up rules or alerts on the secondary audit to automate this further.
</t>
  </si>
  <si>
    <t>https://github.com/johndavis92790/OP-Tasklist/issues/17</t>
  </si>
  <si>
    <t>account:Export Development Canada</t>
  </si>
  <si>
    <t>Title: EDC - Broken external links report custom solution</t>
  </si>
  <si>
    <t>PVTI_lAHOBXQWPs4BLZXmzgjsHgQ</t>
  </si>
  <si>
    <t>Update forecast for all customers</t>
  </si>
  <si>
    <t>https://github.com/johndavis92790/OP-Tasklist/issues/37</t>
  </si>
  <si>
    <t>Title: Update forecast for all customers</t>
  </si>
  <si>
    <t>PVTI_lAHOBXQWPs4BLZXmzgk-2rU</t>
  </si>
  <si>
    <t>Set up alert rules to notify when 404 error pages are detected during audits.
**Background:** Grant discovered ObservePoint had screenshotted a 404 page from a customer complaint, but no alert rule was configured to catch it proactively. This would have provided earlier notification of the issue.
**Implementation:** Add failure rules to existing audits that run several times daily to catch 404 errors and trigger notifications.
---
## Meeting Context
**Meeting:** ObservePoint | World Market - Sync
**Date:** Friday, February 6, 2026
**Account:** Cost Plus World Market
**External Attendees:** grant.menefee@worldmarket.com
**Meeting Recap:** [View Recap](https://app.askelephant.ai/workspaces/wrks_01JYF7CP38371WK5E5BP8XSHM5/engagements/ngmt_01KFNYFQW5Q91BT3NCWY6EB75A)
### Meeting Summary
Grant Menefee and the ObservePoint team discussed their upcoming March 1st contract renewal, with Grant expressing satisfaction with the tool's value delivery to the business, particularly for ecommerce website functionality and performance monitoring. Clark explored opportunities for expanding privacy scanning coverage and optimizing audit configurations, while Grant requested pricing options for a multi-year agreement that could potentially increase capacity or improve pricing. The team identified future collaboration opportunities around Core Web Vitals monitoring and bringing additional team members onto the platform, with John emphasizing the importance of identifying key use cases and stories to tell stakeholders to maximize ObservePoint's value.
---
*Auto-generated from meeting recap on 2026-02-06*</t>
  </si>
  <si>
    <t>https://github.com/johndavis92790/OP-Tasklist/issues/1833</t>
  </si>
  <si>
    <t>account:Cost Plus World Market, auto-generated</t>
  </si>
  <si>
    <t>Title: Configure 404 error page alerts</t>
  </si>
  <si>
    <t>PVTI_lAHOBXQWPs4BLZXmzgkDvmU</t>
  </si>
  <si>
    <t>Send expansion pricing proposals to Frank</t>
  </si>
  <si>
    <t>**--Waiting on Dallin to send this over!--**
Have Dalen prepare and send pricing proposals for expanding ObservePoint subscription to Frank Ialongo. Proposals should consider:
- Past usage patterns
- Upcoming needs for new product features
- Server-side transition requirements
- Recent discussions about new use cases with other teams
**Context:** Frank mentioned they may need more capacity this year to better support new features and full server-side transition, though they could manage with current subscription for next year.
---
## Meeting Context
**Meeting:** ObservePoint | Amica Weekly Sync
**Date:** Tuesday, January 20, 2026
**Account:** Amica Mutual Insurance
**External Attendees:** fialongo@amica.com
**Meeting Recap:** [View Recap](https://app.askelephant.ai/workspaces/wrks_01JYF7CP38371WK5E5BP8XSHM5/engagements/ngmt_01KD7N09FH4PQA2FBXA39C6246)
### Meeting Summary
John Davis and Frank Ialongo discussed several administrative and technical matters regarding their ObservePoint partnership. Frank requested assistance with Azure MFA/SSO implementation, which John clarified by explaining that the XML file from support contains the necessary configuration data to forward to their IT team. They also addressed the upcoming contract renewal (ending February 28th), with Frank now serving as the new point of contact since Catherine Lanny left the department, and Joh...
---
*Auto-generated from meeting recap on 2026-01-22*</t>
  </si>
  <si>
    <t>https://github.com/johndavis92790/OP-Tasklist/issues/54</t>
  </si>
  <si>
    <t>account:Amica Mutual Insurance, auto-generated</t>
  </si>
  <si>
    <t>Title: Send expansion pricing proposals to Frank</t>
  </si>
  <si>
    <t>PVTI_lAHOBXQWPs4BLZXmzgjPSzk</t>
  </si>
  <si>
    <t>Bluebeam - Privacy next steps project</t>
  </si>
  <si>
    <t>- [ ] Ensure CookieBot and GTM are present on all pages where they should be. (Potentially run a new audit excluding the pages where this is not relevant). (make sure we are scrolling or something to launch cookie bot)
- [ ] In the opted in audit identify all uncategorized (unapproved) cookies and categorize them in onetrust (make sure Onetrust is also republished to the site after changes are made in onetrust)
- [ ] Once all these are categorized, see if in an opted out audit any cookies from the wrong categories are still firing (it should only be strictly necessary)
- [ ] Run a “hard coded” (block TMS)  audit to see if any technologies are outside of the scope of one trust’s control
- [ ] Create alerts for all audits once everything is cleaned up to notify if any new unapproved  cookies pop up for easy ongoing maintenance
- [ ] Cookiebot is missing on a ton of pages when opting in, you can see this in the tag inventory page
&lt;img width="1246" height="148" alt="Image" src="https://github.com/user-attachments/assets/46996afc-8b74-43a2-872d-60bf82401705" /&gt;</t>
  </si>
  <si>
    <t>https://github.com/johndavis92790/OP-Tasklist/issues/20</t>
  </si>
  <si>
    <t>Title: Bluebeam - Privacy next steps project</t>
  </si>
  <si>
    <t>PVTI_lAHOBXQWPs4BLZXmzgjPA-o</t>
  </si>
  <si>
    <t>Merz - Work with Andy on renewal</t>
  </si>
  <si>
    <t>https://github.com/johndavis92790/OP-Tasklist/issues/10</t>
  </si>
  <si>
    <t>account:Merz Pharma</t>
  </si>
  <si>
    <t>Title: Merz - Work with Andy on renewal</t>
  </si>
  <si>
    <t>PVTI_lAHOBXQWPs4BLZXmzgkW_qA</t>
  </si>
  <si>
    <t>Update journey with UI-based actions instead of JavaScript</t>
  </si>
  <si>
    <t>Rebuild the search journey using ObservePoint's built-in UI actions (Click, Input) instead of Execute JavaScript actions for better reliability.
**Changes to implement:**
- Replace Execute JavaScript actions with Click actions for button interactions
- Use Input action for search field entry
- Use CSS selectors with the same syntax as before
- Add 30-second wait time on the final action checking for EVAR 13
- Enable 'matches regex' checkbox in rule configuration
**Reference:** John's updated journey in the 'search test' folder demonstrates the correct approach.
---
## Meeting Context
**Meeting:** ObservePoint | RWJF - Sync
**Date:** Tuesday, January 27, 2026
**Account:** Robert Wood Johnson Foundation
**External Attendees:** phagerty@rwjf.org
**Meeting Recap:** [View Recap](https://app.askelephant.ai/workspaces/wrks_01JYF7CP38371WK5E5BP8XSHM5/engagements/ngmt_01KDSNSC3TKRAJ78GP98R39FV8)
### Meeting Summary
Phil Hagerty and John Davis discussed troubleshooting a journey in ObservePoint, where Phil encountered an error due to a failed rule rather than a failed action. John demonstrated a more user-friendly approach using ObservePoint's built-in UI actions (click, input) instead of vanilla JavaScript, and recommended adding wait times to ensure variables load properly before validation. John also introduced Phil to the ObservePoint Chrome extension, which allows users to easily copy full variable nam...
---
*Auto-generated from meeting recap on 2026-01-27*</t>
  </si>
  <si>
    <t>https://github.com/johndavis92790/OP-Tasklist/issues/1736</t>
  </si>
  <si>
    <t>account:Robert Wood Johnson Foundation, auto-generated</t>
  </si>
  <si>
    <t>Title: Update journey with UI-based actions instead of JavaScript</t>
  </si>
  <si>
    <t>PVTI_lAHOBXQWPs4BLZXmzgkW_qI</t>
  </si>
  <si>
    <t>Practice rebuilding search journey independently</t>
  </si>
  <si>
    <t>After the call, practice rebuilding the search journey from scratch using the new UI-based approach to commit the process to memory. Email John with results and any questions that arise during the exercise.
---
## Meeting Context
**Meeting:** ObservePoint | RWJF - Sync
**Date:** Tuesday, January 27, 2026
**Account:** Robert Wood Johnson Foundation
**External Attendees:** phagerty@rwjf.org
**Meeting Recap:** [View Recap](https://app.askelephant.ai/workspaces/wrks_01JYF7CP38371WK5E5BP8XSHM5/engagements/ngmt_01KDSNSC3TKRAJ78GP98R39FV8)
### Meeting Summary
Phil Hagerty and John Davis discussed troubleshooting a journey in ObservePoint, where Phil encountered an error due to a failed rule rather than a failed action. John demonstrated a more user-friendly approach using ObservePoint's built-in UI actions (click, input) instead of vanilla JavaScript, and recommended adding wait times to ensure variables load properly before validation. John also introduced Phil to the ObservePoint Chrome extension, which allows users to easily copy full variable nam...
---
*Auto-generated from meeting recap on 2026-01-27*</t>
  </si>
  <si>
    <t>https://github.com/johndavis92790/OP-Tasklist/issues/1737</t>
  </si>
  <si>
    <t>Title: Practice rebuilding search journey independently</t>
  </si>
  <si>
    <t>PVTI_lAHOBXQWPs4BLZXmzgjnGkE</t>
  </si>
  <si>
    <t>Merz - Send renewal contract with extended data protection addendum</t>
  </si>
  <si>
    <t>Just waiting for Andy to send these things</t>
  </si>
  <si>
    <t>https://github.com/johndavis92790/OP-Tasklist/issues/33</t>
  </si>
  <si>
    <t>Title: Merz - Send renewal contract with extended data protection addendum</t>
  </si>
  <si>
    <t>PVTI_lAHOBXQWPs4BLZXmzgjPUek</t>
  </si>
  <si>
    <t>Fill up my calendar with time blocks to work on specific tasks</t>
  </si>
  <si>
    <t>https://github.com/johndavis92790/OP-Tasklist/issues/21</t>
  </si>
  <si>
    <t>Title: Fill up my calendar with time blocks to work on specific tasks</t>
  </si>
  <si>
    <t>PVTI_lAHOBXQWPs4BLZXmzgjPnes</t>
  </si>
  <si>
    <t>Biogen - Setup a first syncup, invite Andy as well</t>
  </si>
  <si>
    <t>&lt;img width="526" height="211" alt="Image" src="https://github.com/user-attachments/assets/295f8e90-f777-4cd1-8c3e-d68a4e6e2805" /&gt;</t>
  </si>
  <si>
    <t>https://github.com/johndavis92790/OP-Tasklist/issues/22</t>
  </si>
  <si>
    <t>account:Biogen</t>
  </si>
  <si>
    <t>Title: Biogen - Setup a first syncup, invite Andy as well</t>
  </si>
  <si>
    <t>PVTI_lAHOBXQWPs4BLZXmzgjuj_Y</t>
  </si>
  <si>
    <t>Agilent - Reply to to Raghu email</t>
  </si>
  <si>
    <t>https://mail.google.com/mail/u/0/#inbox/FMfcgzQfBQCSfWFpcvdKjQfjddfJWnfj</t>
  </si>
  <si>
    <t>https://github.com/johndavis92790/OP-Tasklist/issues/39</t>
  </si>
  <si>
    <t>Title: Agilent - Reply to to Raghu email</t>
  </si>
  <si>
    <t>PVTI_lAHOBXQWPs4BLZXmzgkbH4o</t>
  </si>
  <si>
    <t>Send documentation about ObservePoint's new GitHub integration feature that allows automated triggering of audits/journeys during code releases.
**Key benefits:**
- Automates audit execution during staging/production deployments
- Can block releases if ObservePoint rules fail
- Eliminates reliance on arbitrary scheduling
- Provides extra protection before prod releases
**Note:** Raghu will document this in their success criteria plan and explore with development teams to see if they use GitHub (currently unknown - they may use BitBucket, AWS repositories, or Adobe)
---
## Meeting Context
**Meeting:** ObservePoint | Agilent - Sync
**Date:** Wednesday, January 28, 2026
**Account:** Agilent
**External Attendees:** venkata.mallepudi@agilent.com
**Meeting Recap:** [View Recap](https://app.askelephant.ai/workspaces/wrks_01JYF7CP38371WK5E5BP8XSHM5/engagements/ngmt_01KFM0VY51YQRV6HA8HFJ37MEH)
### Meeting Summary
John Davis and Raghu discussed implementing ObservePoint audits and web journeys to validate e-commerce flows, engagement tracking, and data quality across multiple regions. They agreed to start with a proof-of-concept approach, with John creating a scripted solution to automate audit setup and building an initial journey example that can be replicated across different scenarios. John will transform Raghu's existing test steps into ObservePoint-compatible formats and explore new features like GitHub integration for CI/CD automation and beta charting capabilities for data visualization, aiming to have initial results ready before the March 21st release and Raghu's upcoming leave.
---
*Auto-generated from meeting recap on 2026-01-28*</t>
  </si>
  <si>
    <t>https://github.com/johndavis92790/OP-Tasklist/issues/1761</t>
  </si>
  <si>
    <t>Title: Send GitHub integration documentation to Raghu</t>
  </si>
  <si>
    <t>PVTI_lAHOBXQWPs4BLZXmzgkbH5E</t>
  </si>
  <si>
    <t>Deliver proof-of-concept audits/journeys covering different labels (not just one) to help Raghu demonstrate ObservePoint capabilities to his team before the March 21st release.
**Critical context:**
- Raghu has two pressing deliverables this Friday related to release planning
- March 21st production go-live is the target
- Raghu will be on leave for a couple weeks in March
- License expires in April - this POC is crucial for renewal discussions
- Need to show results from multiple runs (not just one day) to demonstrate automated validation
**Goal:** Establish a process where teams can propose customer journeys, Raghu brings them to John, they get created in ObservePoint, automatically validated, and results shared back
**Scope:** High-level POC covering different types of validations (ecommerce, engagement, etc.) to engage different scattered teams
---
## Meeting Context
**Meeting:** ObservePoint | Agilent - Sync
**Date:** Wednesday, January 28, 2026
**Account:** Agilent
**External Attendees:** venkata.mallepudi@agilent.com
**Meeting Recap:** [View Recap](https://app.askelephant.ai/workspaces/wrks_01JYF7CP38371WK5E5BP8XSHM5/engagements/ngmt_01KFM0VY51YQRV6HA8HFJ37MEH)
### Meeting Summary
John Davis and Raghu discussed implementing ObservePoint audits and web journeys to validate e-commerce flows, engagement tracking, and data quality across multiple regions. They agreed to start with a proof-of-concept approach, with John creating a scripted solution to automate audit setup and building an initial journey example that can be replicated across different scenarios. John will transform Raghu's existing test steps into ObservePoint-compatible formats and explore new features like GitHub integration for CI/CD automation and beta charting capabilities for data visualization, aiming to have initial results ready before the March 21st release and Raghu's upcoming leave.
---
*Auto-generated from meeting recap on 2026-01-28*</t>
  </si>
  <si>
    <t>https://github.com/johndavis92790/OP-Tasklist/issues/1763</t>
  </si>
  <si>
    <t>Title: Create POC covering multiple audit labels by March</t>
  </si>
  <si>
    <t>PVTI_lAHOBXQWPs4BLZXmzgkgcG8</t>
  </si>
  <si>
    <t>Research why the custom 'digital data' data layer (Officeworks' primary data layer) is not appearing in the ObservePoint audit results under the expected vendor categories.
Context:
- The data layer is visible in browser console but not surfacing properly in audit reports
- May be a custom Adobe-referenced layer rather than standard Adobe Launch
- Need to determine if it requires custom configuration in ObservePoint to capture
- This is blocking Hailey's ability to validate data layer completeness
---
## Meeting Context
**Meeting:** ObservePoint | Officeworks Sync
**Date:** Thursday, January 29, 2026
**Account:** Officeworks
**External Attendees:** hchamberlain@officeworks.com.au, hhebron@officeworks.com.au
**Meeting Recap:** [View Recap](https://app.askelephant.ai/workspaces/wrks_01JYF7CP38371WK5E5BP8XSHM5/engagements/ngmt_01KF9F0WEY837HJD4XH1FDQY0E)
### Meeting Summary
This meeting focused on helping Officeworks better utilize ObservePoint for data quality monitoring and governance. The team discussed implementing automated audits to validate their data layer consistency across three tag managers (Tealium, Google Tag Manager, and Adobe Launch), with particular emphasis on monitoring critical conversion events like add-to-cart and checkout processes. Key action items include exploring GitHub integration for automated testing during code releases, scheduling a follow-up session to address Hailey's specific use cases around the custom "digital data" layer, and establishing governance standards that can be enforced through ObservePoint's rules and alerting capabilities.
---
*Auto-generated from meeting recap on 2026-01-29*</t>
  </si>
  <si>
    <t>https://github.com/johndavis92790/OP-Tasklist/issues/1765</t>
  </si>
  <si>
    <t>account:Officeworks, auto-generated</t>
  </si>
  <si>
    <t>Title: Investigate digital data layer visibility in ObservePoint</t>
  </si>
  <si>
    <t>PVTI_lAHOBXQWPs4BLZXmzgkw3j4</t>
  </si>
  <si>
    <t>Send email to Raj with alternative time slots to reschedule the February 16th meeting, which falls on President's Day (holiday for both parties). Provide options for meeting either sooner or later than the 16th.
**Timeline:** Within a few minutes of meeting conclusion
---
## Meeting Context
**Meeting:** ObservePoint | Agilent Sync
**Date:** Tuesday, February 3, 2026
**External Attendees:** venkata.mallepudi@agilent.com
**Meeting Recap:** [View Recap](https://app.askelephant.ai/workspaces/wrks_01JYF7CP38371WK5E5BP8XSHM5/engagements/ngmt_01KG5H6T8HYARVT3A9CRTT3S4H)
### Meeting Summary
John Davis and Raj discussed progress on setting up ObservePoint journeys to validate Adobe Analytics implementation, focusing on the engagement homepage journey with steps to verify data layer variables and component IDs. They identified that custom tags won't impact site performance since they run after page load, discovered the Adobe data layer was already accessible (eliminating the need for custom tags), and determined that ObservePoint's browser captures the entire page without scrolling simulation. Raj committed to providing documentation by week's end detailing all parameters and data elements for each event, prioritizing the engagement homepage with potential extension to the search page, while they agreed to reschedule their February 16th meeting due to the President's Day holiday.
---
*Auto-generated from meeting recap on 2026-02-03*</t>
  </si>
  <si>
    <t>https://github.com/johndavis92790/OP-Tasklist/issues/1777</t>
  </si>
  <si>
    <t>Title: Send email to reschedule February 16th meeting</t>
  </si>
  <si>
    <t>PVTI_lAHOBXQWPs4BLZXmzgkxPmY</t>
  </si>
  <si>
    <t>Define and document who should receive ObservePoint audit results, email alerts, and have platform access to review findings and take action.
**This should be determined after:**
- Finalizing the tier-based page list
- Understanding what specific alerts/reports will be configured
Stakeholders will need to be assigned based on their responsibility areas (analytics, privacy, content, performance, etc.).
---
## Meeting Context
**Meeting:** Review ObservePoint Audit of Pru.com
**Date:** Tuesday, February 3, 2026
**Account:** Prudential Financial Inc.
**External Attendees:** steve.choi@prudential.com
**Meeting Recap:** [View Recap](https://app.askelephant.ai/workspaces/wrks_01JYF7CP38371WK5E5BP8XSHM5/engagements/ngmt_01KG33HV388QED9QCDZC26JAJ1)
### Meeting Summary
The meeting focused on establishing a formal process for ObservePoint website audits at Prudential. The team discussed creating a tiered scanning approach (tier 1: high-traffic pages scanned biweekly, tier 2: monthly, tier 3: quarterly) within their 70,000 annual page scan limit, with the goal of identifying approximately 40 tier-1 pages representing 1% or more of site traffic. Lauren committed to working with the content team over the next few weeks to audit and categorize pages across all Prudential subdomains, considering factors like traffic volume, page types, and system integrations. The team also reviewed ObservePoint's capabilities for detecting broken links, missing tags, and privacy compliance issues, with plans to reconvene in two weeks to finalize the page list and determine stakeholders who will receive and act on audit alerts.
---
*Auto-generated from meeting recap on 2026-02-03*</t>
  </si>
  <si>
    <t>https://github.com/johndavis92790/OP-Tasklist/issues/1779</t>
  </si>
  <si>
    <t>Title: Identify stakeholders for audit alerts and reports</t>
  </si>
  <si>
    <t>PVTI_lAHOBXQWPs4BLZXmzgkxah8</t>
  </si>
  <si>
    <t>Investigate and develop a custom ObservePoint tag solution using JavaScript to handle conditional form validation logic for Brunswick's lead forms.
**Context:**
- Need to validate form-specific values (SQL vs MQL lead status, unique form IDs, Google Ads IDs) without creating 60+ individual rules
- Solution should check data layer values and return boolean results
- Must work across ~12 sites with ~12 forms per site
- Code should be reusable/universal to avoid managing multiple JavaScript blocks
**Next Steps:**
- Build proof of concept with Sea Ray contact dealer form
- Consult with solutions team about similar past implementations
- Ensure Brad's team can edit JavaScript patterns for new forms
---
## Meeting Context
**Meeting:** ObservePoint | Brunswick Sync
**Date:** Tuesday, February 3, 2026
**Meeting Recap:** [View Recap](https://app.askelephant.ai/workspaces/wrks_01JYF7CP38371WK5E5BP8XSHM5/engagements/ngmt_01KG7QE75PTESKSWAG8X12ERY4)
### Meeting Summary
John Davis met with Brad and Aparna from Brunswick to discuss implementing ObservePoint's journey mapping and rule-building features across their 20+ websites to monitor lead form submissions. The team is struggling to create reusable rules because different forms require specific variable values (like SQL vs. MQL lead status), and using the standard UI would require creating approximately 60+ individual rules across their sites. John proposed using custom JavaScript tags to handle the conditional logic more efficiently, which would allow for more flexible rule creation while keeping the solution manageable, and committed to researching best practices with the solutions team before their next discussion.
---
*Auto-generated from meeting recap on 2026-02-03*</t>
  </si>
  <si>
    <t>https://github.com/johndavis92790/OP-Tasklist/issues/1784</t>
  </si>
  <si>
    <t>Title: Research custom tag solution for form validation rules</t>
  </si>
  <si>
    <t>PVTI_lAHOBXQWPs4BLZXmzgluLAQ</t>
  </si>
  <si>
    <t>Set up proof-of-concept privacy compliance audits for Brunswick's websites to demonstrate ObservePoint's privacy capabilities to their legal team.
**Audits to configure:**
1. **US Opt-In Audit** - California location, accept all cookies
2. **US Opt-Out Audit** - California location, reject all cookies  
3. **Europe Default Audit** - UK location, no banner interaction (default state)
4. **Europe Opt-Out Audit** - UK location, reject all cookies
**Key Requirements:**
- Test URL: Sea Ray website (provided by Brad)
- Focus on verifying cookies fire correctly based on consent state
- Legal team needs compliance verification urgently
- Brad mentioned needing results "today, tomorrow"
**Expected Issues to Validate:**
- Adobe Analytics firing when it shouldn't (loads from Launch, not GTM)
- Facebook Pixel (FBP cookie) behavior on opt-out
- Ensure only strictly necessary cookies fire in opt-out states
**Note:** Three audits were already started during the call (opt-in US, opt-out US, UK default), but need consent categories assigned before results are fully actionable.
---
## Meeting Context
**Meeting:** ObservePoint | Brunswick Sync
**Date:** Wednesday, February 18, 2026
**Account:** Brunswick
**External Attendees:** aparna.kumar@brunswick.com, brad.weidner@brunswick.com
**Meeting Recap:** [View Recap](https://app.askelephant.ai/workspaces/wrks_01JYF7CP38371WK5E5BP8XSHM5/engagements/ngmt_01KHKZPWVF2JBHW4CY4JQMD5FZ)
### Meeting Summary
This meeting focused on implementing ObservePoint's journey tracking and privacy compliance auditing for Brunswick's websites. John Davis demonstrated how to use custom data layers and JavaScript to capture dynamic form values for journey validation, though Brad ultimately decided to simplify the approach due to limited developer resources and lack of standardized data layers across their sites. The conversation shifted to privacy compliance testing, where John showcased ObservePoint's audit capabilities for checking cookie consent behavior across different regions (US vs. EU) and opt-in/opt-out scenarios, revealing that the tool could automatically verify OneTrust implementation and identify non-compliant tags—a critical need for Brad's legal team's compliance requirements.
---
*Auto-generated from meeting recap on 2026-02-18*</t>
  </si>
  <si>
    <t>https://github.com/johndavis92790/OP-Tasklist/issues/1864</t>
  </si>
  <si>
    <t>Title: Set up and run privacy compliance POC audits</t>
  </si>
  <si>
    <t>PVTI_lAHOBXQWPs4BLZXmzgluLBg</t>
  </si>
  <si>
    <t>Share the ObservePoint privacy use case documentation that was referenced during the call.
**Document Details:**
- Contains privacy-specific use cases and capabilities
- Covers cookie compliance checking, consent management validation, and regional privacy law compliance
- John attempted to share during the call but should follow up to ensure Brad received it
**Context:**
- Brad was surprised ObservePoint had privacy compliance capabilities
- He had been researching alternatives like Cookiebot and Cookie GDPR
- This documentation will help Brad understand the full scope of privacy features available
---
## Meeting Context
**Meeting:** ObservePoint | Brunswick Sync
**Date:** Wednesday, February 18, 2026
**Account:** Brunswick
**External Attendees:** aparna.kumar@brunswick.com, brad.weidner@brunswick.com
**Meeting Recap:** [View Recap](https://app.askelephant.ai/workspaces/wrks_01JYF7CP38371WK5E5BP8XSHM5/engagements/ngmt_01KHKZPWVF2JBHW4CY4JQMD5FZ)
### Meeting Summary
This meeting focused on implementing ObservePoint's journey tracking and privacy compliance auditing for Brunswick's websites. John Davis demonstrated how to use custom data layers and JavaScript to capture dynamic form values for journey validation, though Brad ultimately decided to simplify the approach due to limited developer resources and lack of standardized data layers across their sites. The conversation shifted to privacy compliance testing, where John showcased ObservePoint's audit capabilities for checking cookie consent behavior across different regions (US vs. EU) and opt-in/opt-out scenarios, revealing that the tool could automatically verify OneTrust implementation and identify non-compliant tags—a critical need for Brad's legal team's compliance requirements.
---
*Auto-generated from meeting recap on 2026-02-18*</t>
  </si>
  <si>
    <t>https://github.com/johndavis92790/OP-Tasklist/issues/1867</t>
  </si>
  <si>
    <t>Title: Send privacy use case documentation to Brad</t>
  </si>
  <si>
    <t>PVTI_lAHOBXQWPs4BLZXmzgjPNE4</t>
  </si>
  <si>
    <t>Mongo - Build custom solution for importing custom report into google sheets</t>
  </si>
  <si>
    <t>This is being built in the OP Tools Sheet:
https://docs.google.com/spreadsheets/d/16Q4gWUtJKxQ7Ab_KttdVOjOpQNxW2Ika4Vz_05GJX2Y/edit?gid=454600116#gid=454600116</t>
  </si>
  <si>
    <t>https://github.com/johndavis92790/OP-Tasklist/issues/18</t>
  </si>
  <si>
    <t>account:MongoDB Inc.</t>
  </si>
  <si>
    <t>Title: Mongo - Build custom solution for importing custom report into google sheets</t>
  </si>
  <si>
    <t>PVTI_lAHOBXQWPs4BLZXmzgkGYhs</t>
  </si>
  <si>
    <t>Build first Intercom journey for pricing and contact pages</t>
  </si>
  <si>
    <t>Build the initial ObservePoint journey to test the Intercom chat functionality on two pages:
**Pages to test:**
- Pricing page (chat with sales CTA)
- Contact us page
**Requirements:**
- Desktop only (mobile users shouldn't see the CTA)
- Click the specific chat button on each page (not just the widget in lower right corner)
- Verify Intercom chat interface loads after button click
- Write CSS selectors for both the button click and post-click validation
- Save to the 'Intercom' folder Arthur created (use production subfolder)
- Set up email alerts to Wendy for failures
**Next steps:**
- Send completed journey details via the existing email chain
- Schedule follow-up enablement session to show how it was built and how to replicate for other pages
Here are a couple journeys I built for your pricing and contact us pages to verify the chat now buttons on the pages actually do cause the chat iframe to load on the page:
https://app.observepoint.com/web-journey/575343/run/66672653/results?action=1
https://app.observepoint.com/web-journey/575341/run/66672661/results?action=1
There were slight differences on how the chat now buttons were implemented on these two pages so there wasn't much of a way to use a common action set, but they still work. 
Next steps could include:
- Set up for other environments
- Schedule these to run automatically on a regular cadence
- Setup notifications for failures
- Recreate for other pages or use cases
---
## Meeting Context
**Meeting:** ObservePoint | MongoDB Inc. Sync
**Date:** Thursday, January 22, 2026
**Account:** MongoDB Inc.
**External Attendees:** michaleen.craig@mongodb.com, wendi.vien@mongodb.com, arthur.engelhard@mongodb.com
**Meeting Recap:** [View Recap](https://app.askelephant.ai/workspaces/wrks_01JYF7CP38371WK5E5BP8XSHM5/engagements/ngmt_01KET5PP22BYAGH2QG3G059AYR)
### Meeting Summary
This meeting focused on setting up automated testing in ObservePoint to monitor Intercom chatbot functionality on MongoDB's website, specifically after a bug caused the chat button to reload pages instead of launching the chat interface. John Davis agreed to build the first journey test for the pricing and contact pages, which will check if the chat interface loads properly when users click the "Chat Now" button on desktop devices. The team discussed access provisioning through Lumos for Michale...
---
*Auto-generated from meeting recap on 2026-01-22*</t>
  </si>
  <si>
    <t>https://github.com/johndavis92790/OP-Tasklist/issues/69</t>
  </si>
  <si>
    <t>account:MongoDB Inc., auto-generated</t>
  </si>
  <si>
    <t>Title: Build first Intercom journey for pricing and contact pages</t>
  </si>
  <si>
    <t>PVTI_lAHOBXQWPs4BLZXmzgjPR1E</t>
  </si>
  <si>
    <t>Seagate - Setup and test custom pre-audit action for opting out because it seems like the onetrust opt outs are not working?</t>
  </si>
  <si>
    <t>Custom pre-audit action doesn't seem to be working either:
https://app.observepoint.com/audit/2029467/run/8609207/report/privacy-tags</t>
  </si>
  <si>
    <t>https://github.com/johndavis92790/OP-Tasklist/issues/19</t>
  </si>
  <si>
    <t>account:Seagate</t>
  </si>
  <si>
    <t>Title: Seagate - Setup and test custom pre-audit action for opting out because it seems like the onetrust opt outs are not working?</t>
  </si>
  <si>
    <t>PVTI_lAHOBXQWPs4BLZXmzgjO9e0</t>
  </si>
  <si>
    <t>Seagate - Followup with Taylor Everding about regex question, long slack thread</t>
  </si>
  <si>
    <t>Slack thread:
https://observepoint.slack.com/archives/C51LN1WDP/p1767398436211269?thread_ts=1766085722.006919&amp;cid=C51LN1WDP
Just waiting to hear back from Dipendra to see if its fixed now</t>
  </si>
  <si>
    <t>https://github.com/johndavis92790/OP-Tasklist/issues/8</t>
  </si>
  <si>
    <t>Title: Seagate - Followup with Taylor Everding about regex question, long slack thread</t>
  </si>
  <si>
    <t>PVTI_lAHOBXQWPs4BLZXmzgk61DY</t>
  </si>
  <si>
    <t>Continue the process of identifying cookies that are not found in OneTrust and adding them to the cookie inventory.
**Current Status:**
- Successfully added ~15 cookies manually via bulk upload to OneTrust
- Process involves: exporting unapproved cookies from ObservePoint → mapping to OneTrust import format → bulk uploading → republishing OneTrust → syncing consent categories in ObservePoint
**Next Steps:**
- Focus on the opt-out audit (runs daily) to identify remaining unapproved cookies
- Use the Cookie Privacy Compliance page with proper filtering (filter by audit name for opt-out audits only)
- Add any missing cookies to OneTrust using the manual bulk upload process
- Remember: cookies showing as "unapproved" in opt-out context may actually be properly categorized but firing when they shouldn't be (e.g., targeting cookies in opt-out state)
**Goal:** Get to zero unknown/unapproved cookies, then shift focus to analyzing which cookies are loading in opt-out state when they shouldn't be.
---
## Meeting Context
**Meeting:** ObservePoint | Seagate Monthly Sync
**Date:** Thursday, February 5, 2026
**Account:** Seagate
**External Attendees:** dipendra.m.bagchee@seagate.com
**Meeting Recap:** [View Recap](https://app.askelephant.ai/workspaces/wrks_01JYF7CP38371WK5E5BP8XSHM5/engagements/ngmt_01KEFG136E3MYR0C5H7BSESPGW)
### Meeting Summary
John Davis and Dipendra Bagchee discussed troubleshooting cookie compliance tracking between ObservePoint and OneTrust. They identified that Dipendra's report was incorrectly mixing opt-in and opt-out audit data, causing confusion about which cookies were truly unapproved versus those appropriately flagged in opt-out scenarios. John clarified that cookies showing as "unapproved" in opt-out audits (like targeting cookies) are correctly identified as non-compliant since they shouldn't fire after users opt out, and he explained how to filter reports by audit type and reprocess audits after syncing consent categories. Dipendra confirmed his manual bulk upload process from ObservePoint to OneTrust was working correctly and plans to continue identifying cookies not yet in OneTrust before focusing on proper categorization.
---
*Auto-generated from meeting recap on 2026-02-05*</t>
  </si>
  <si>
    <t>https://github.com/johndavis92790/OP-Tasklist/issues/1828</t>
  </si>
  <si>
    <t>account:Seagate, auto-generated</t>
  </si>
  <si>
    <t>Title: Review and categorize unapproved cookies in opt-out audit</t>
  </si>
  <si>
    <t>PVTI_lAHOBXQWPs4BLZXmzgk61Do</t>
  </si>
  <si>
    <t>After making any changes to cookie categories or settings in OneTrust, remember to update the consent categories in ObservePoint.
**Process:**
1. Make changes in OneTrust
2. Go to ObservePoint audit settings → Standards → Consent Categories
3. Sync the consent categories
4. Either wait for next audit run OR reprocess existing audit (reprocessing doesn't use additional usage)
**Note:** This sync is critical for accurate reporting - without it, ObservePoint won't reflect the current OneTrust configuration.
---
## Meeting Context
**Meeting:** ObservePoint | Seagate Monthly Sync
**Date:** Thursday, February 5, 2026
**Account:** Seagate
**External Attendees:** dipendra.m.bagchee@seagate.com
**Meeting Recap:** [View Recap](https://app.askelephant.ai/workspaces/wrks_01JYF7CP38371WK5E5BP8XSHM5/engagements/ngmt_01KEFG136E3MYR0C5H7BSESPGW)
### Meeting Summary
John Davis and Dipendra Bagchee discussed troubleshooting cookie compliance tracking between ObservePoint and OneTrust. They identified that Dipendra's report was incorrectly mixing opt-in and opt-out audit data, causing confusion about which cookies were truly unapproved versus those appropriately flagged in opt-out scenarios. John clarified that cookies showing as "unapproved" in opt-out audits (like targeting cookies) are correctly identified as non-compliant since they shouldn't fire after users opt out, and he explained how to filter reports by audit type and reprocess audits after syncing consent categories. Dipendra confirmed his manual bulk upload process from ObservePoint to OneTrust was working correctly and plans to continue identifying cookies not yet in OneTrust before focusing on proper categorization.
---
*Auto-generated from meeting recap on 2026-02-05*</t>
  </si>
  <si>
    <t>https://github.com/johndavis92790/OP-Tasklist/issues/1829</t>
  </si>
  <si>
    <t>Title: Sync consent categories after OneTrust changes</t>
  </si>
  <si>
    <t>PVTI_lAHOBXQWPs4BLZXmzgk61EI</t>
  </si>
  <si>
    <t>Fix the current report configuration that is mixing opt-in and opt-out audit data, causing confusion about cookie approval status.
**Issue Identified:**
- Current report pulls from entire Seagate.com folder, combining opt-in and opt-out audits
- This creates misleading "unapproved" statuses (cookies may be approved for opt-in but correctly blocked in opt-out)
**Solution:**
- Add audit name filter to the report
- Either manually select specific audits OR use naming convention filter (e.g., filter for "opt out" in audit name)
- Consider creating separate reports for opt-in vs opt-out analysis
**Alternative:** Can also analyze individual audits directly via the Cookie Privacy Compliance page instead of using combined reports.
---
## Meeting Context
**Meeting:** ObservePoint | Seagate Monthly Sync
**Date:** Thursday, February 5, 2026
**Account:** Seagate
**External Attendees:** dipendra.m.bagchee@seagate.com
**Meeting Recap:** [View Recap](https://app.askelephant.ai/workspaces/wrks_01JYF7CP38371WK5E5BP8XSHM5/engagements/ngmt_01KEFG136E3MYR0C5H7BSESPGW)
### Meeting Summary
John Davis and Dipendra Bagchee discussed troubleshooting cookie compliance tracking between ObservePoint and OneTrust. They identified that Dipendra's report was incorrectly mixing opt-in and opt-out audit data, causing confusion about which cookies were truly unapproved versus those appropriately flagged in opt-out scenarios. John clarified that cookies showing as "unapproved" in opt-out audits (like targeting cookies) are correctly identified as non-compliant since they shouldn't fire after users opt out, and he explained how to filter reports by audit type and reprocess audits after syncing consent categories. Dipendra confirmed his manual bulk upload process from ObservePoint to OneTrust was working correctly and plans to continue identifying cookies not yet in OneTrust before focusing on proper categorization.
---
*Auto-generated from meeting recap on 2026-02-05*</t>
  </si>
  <si>
    <t>https://github.com/johndavis92790/OP-Tasklist/issues/1830</t>
  </si>
  <si>
    <t>Title: Update report filtering to separate opt-in and opt-out data</t>
  </si>
  <si>
    <t>PVTI_lAHOBXQWPs4BLZXmzgkDvmE</t>
  </si>
  <si>
    <t>Complete billing contact update form</t>
  </si>
  <si>
    <t>Fill out and return the billing information update form sent by John Davis. This is needed to update the account from Catherine Lanny (no longer with department) to Frank as the new point of contact for renewals and procurement.
**Deadline context:** Service end date is February 28, 2026, and the renewal process typically starts 6 weeks out (currently ~5 weeks out).
---
## Meeting Context
**Meeting:** ObservePoint | Amica Weekly Sync
**Date:** Tuesday, January 20, 2026
**Account:** Amica Mutual Insurance
**External Attendees:** fialongo@amica.com
**Meeting Recap:** [View Recap](https://app.askelephant.ai/workspaces/wrks_01JYF7CP38371WK5E5BP8XSHM5/engagements/ngmt_01KD7N09FH4PQA2FBXA39C6246)
### Meeting Summary
John Davis and Frank Ialongo discussed several administrative and technical matters regarding their ObservePoint partnership. Frank requested assistance with Azure MFA/SSO implementation, which John clarified by explaining that the XML file from support contains the necessary configuration data to forward to their IT team. They also addressed the upcoming contract renewal (ending February 28th), with Frank now serving as the new point of contact since Catherine Lanny left the department, and Joh...
---
*Auto-generated from meeting recap on 2026-01-22*</t>
  </si>
  <si>
    <t>https://github.com/johndavis92790/OP-Tasklist/issues/52</t>
  </si>
  <si>
    <t>Title: Complete billing contact update form</t>
  </si>
  <si>
    <t>PVTI_lAHOBXQWPs4BLZXmzgjn6F8</t>
  </si>
  <si>
    <t>Setup github project with Accounts Toolbelt appscripts</t>
  </si>
  <si>
    <t>- [ ] Auto download issues into sheet to have data ready to go
- [ ] Sync account names as a custom field in project to be able to assign issues to accounts</t>
  </si>
  <si>
    <t>https://github.com/johndavis92790/OP-Tasklist/issues/35</t>
  </si>
  <si>
    <t>Title: Setup github project with Accounts Toolbelt appscripts</t>
  </si>
  <si>
    <t>PVTI_lAHOBXQWPs4BLZXmzgjO8UE</t>
  </si>
  <si>
    <t>Amica  - Followup with SE or Mike about combining adobe and OP data</t>
  </si>
  <si>
    <t>Sounds like he is talking about the old chrome extension and we don't support it anymore. Try and figure out if there is something else that we can do to help with this</t>
  </si>
  <si>
    <t>https://github.com/johndavis92790/OP-Tasklist/issues/6</t>
  </si>
  <si>
    <t>account:Amica Mutual Insurance</t>
  </si>
  <si>
    <t>Title: Amica  - Followup with SE or Mike about combining adobe and OP data</t>
  </si>
  <si>
    <t>PVTI_lAHOBXQWPs4BLZXmzgjyxaQ</t>
  </si>
  <si>
    <t>Extend next meeting to a full hour</t>
  </si>
  <si>
    <t>https://github.com/johndavis92790/OP-Tasklist/issues/44</t>
  </si>
  <si>
    <t>account:Caleres</t>
  </si>
  <si>
    <t>Title: Extend next meeting to a full hour</t>
  </si>
  <si>
    <t>PVTI_lAHOBXQWPs4BLZXmzgkDvps</t>
  </si>
  <si>
    <t>Complete Journey configuration with search button click</t>
  </si>
  <si>
    <t>Finalize the Journey being built during the meeting by:
1. Implementing the one-line JavaScript code: `document.querySelector('button[data-cmp-navigation-action="toggle-search"]').click()`
2. Testing the Journey run to verify the search button click works correctly
3. Add the subsequent step for inputting text into the search field after button click
**Current Status:** Journey saved and test run initiated during meeting - verify results and continue building
---
## Meeting Context
**Meeting:** ObservePoint | RWJF - Quick Sync
**Date:** Tuesday, January 20, 2026
**Account:** Robert Wood Johnson Foundation
**External Attendees:** phagerty@rwjf.org
**Meeting Recap:** [View Recap](https://app.askelephant.ai/workspaces/wrks_01JYF7CP38371WK5E5BP8XSHM5/engagements/ngmt_01KFEFDM17YRHE4PRQA6M6GFPM)
### Meeting Summary
Phil and John discussed building a web journey using JavaScript to automate button clicks and form interactions. John explained how to use CSS selectors with `document.querySelector()` to identify specific HTML elements on a page, demonstrating both through live coding and by showing Phil how to inspect elements in browser dev tools. He recommended using AI tools like ChatGPT or Claude to generate CSS selectors by copying HTML elements, and shared documentation resources while offering ongoing s...
---
*Auto-generated from meeting recap on 2026-01-22*</t>
  </si>
  <si>
    <t>https://github.com/johndavis92790/OP-Tasklist/issues/61</t>
  </si>
  <si>
    <t>Title: Complete Journey configuration with search button click</t>
  </si>
  <si>
    <t>PVTI_lAHOBXQWPs4BLZXmzgjjtA8</t>
  </si>
  <si>
    <t>Dignity - Make sure to get the txt use case google sheet from Stanton</t>
  </si>
  <si>
    <t>https://github.com/johndavis92790/OP-Tasklist/issues/30</t>
  </si>
  <si>
    <t>Title: Dignity - Make sure to get the txt use case google sheet from Stanton</t>
  </si>
  <si>
    <t>PVTI_lAHOBXQWPs4BLZXmzgkDvoM</t>
  </si>
  <si>
    <t>Practice building CSS selectors for journey actions</t>
  </si>
  <si>
    <t>Continue practicing building journey actions using CSS selectors and JavaScript to interact with page elements.
**Key learnings to apply:**
- Use `document.querySelector()` with CSS selectors to find elements
- Target unique attributes (like `data-cmp-navigation-action`) when available
- Use `.click()` method to interact with buttons
- Can write as one-liner: `document.querySelector('[data-cmp-navigation-action="toggle-search"]').click()`
- Test selectors in browser console before adding to journey
**Resources:**
- Review help documentation shared by John Davis (link provided in meeting)
- Watch video walkthrough in the help docs
- Use AI (ChatGPT, Claude) to generate CSS selectors by copying HTML elements from dev tools
---
## Meeting Context
**Meeting:** ObservePoint | RWJF - Quick Sync
**Date:** Tuesday, January 20, 2026
**Account:** Robert Wood Johnson Foundation
**External Attendees:** phagerty@rwjf.org
**Meeting Recap:** [View Recap](https://app.askelephant.ai/workspaces/wrks_01JYF7CP38371WK5E5BP8XSHM5/engagements/ngmt_01KFEFDM17YRHE4PRQA6M6GFPM)
### Meeting Summary
Phil and John discussed building a web journey using JavaScript to automate button clicks and form interactions. John explained how to use CSS selectors with `document.querySelector()` to identify specific HTML elements on a page, demonstrating both through live coding and by showing Phil how to inspect elements in browser dev tools. He recommended using AI tools like ChatGPT or Claude to generate CSS selectors by copying HTML elements, and shared documentation resources while offering ongoing s...
---
*Auto-generated from meeting recap on 2026-01-22*</t>
  </si>
  <si>
    <t>https://github.com/johndavis92790/OP-Tasklist/issues/58</t>
  </si>
  <si>
    <t>Title: Practice building CSS selectors for journey actions</t>
  </si>
  <si>
    <t>PVTI_lAHOBXQWPs4BLZXmzgk636U</t>
  </si>
  <si>
    <t>Once Phil has finalized the consolidated analytics rule and determined what's being checked and who it's for, help Phil set up appropriate notifications and alerts. The goal is to avoid "noise" in notifications - only send alerts when something is actually wrong ("no news is good news" approach).
**Options to explore:**
- Direct rule notifications
- Report-based notifications
- Alert configurations
**Dependencies:** This task can only begin after Phil completes the rule consolidation work.
**Timeline:** To be discussed at or after the Tuesday meeting.
---
## Meeting Context
**Meeting:** ObservePoint | Robert Wood Johnson Foundation Sync
**Date:** Thursday, February 5, 2026
**Account:** Robert Wood Johnson Foundation
**External Attendees:** phagerty@rwjf.org
**Meeting Recap:** [View Recap](https://app.askelephant.ai/workspaces/wrks_01JYF7CP38371WK5E5BP8XSHM5/engagements/ngmt_01KGJKEFSJJK5FCKS9BRE4HBP5)
### Meeting Summary
Phil and John discussed setting up an ObservePoint audit to verify that analytics variables are properly set on page loads across the website. Phil had initially created individual rules for each variable, but John recommended consolidating them into a single comprehensive rule that checks multiple variables and tags simultaneously to make maintenance easier and reduce alert noise. They agreed that Phil would rebuild the rule to include all expected page load variables in one standard, ensuring alerts only trigger when there are actual issues rather than creating unnecessary notifications. Phil plans to complete this work and follow up before their next scheduled meeting on Tuesday.
---
*Auto-generated from meeting recap on 2026-02-05*</t>
  </si>
  <si>
    <t>https://github.com/johndavis92790/OP-Tasklist/issues/1832</t>
  </si>
  <si>
    <t>Title: Set up notifications/alerts after rule finalization</t>
  </si>
  <si>
    <t>PVTI_lAHOBXQWPs4BLZXmzgkW_q0</t>
  </si>
  <si>
    <t>Coordinate with dev team on acceptable wait times</t>
  </si>
  <si>
    <t>Consult with the development team or site performance team about acceptable wait times for variable setting in journeys.
**Context:** Currently using 30-second waits for EVAR checks. If variables consistently require long wait times, this may indicate performance issues that could affect actual user analytics (e.g., users clicking away before tags fire, canceling network requests).
**Goal:** Establish baseline expectations for tag/variable load times to inform journey configuration and identify potential performance improvements.
---
## Meeting Context
**Meeting:** ObservePoint | RWJF - Sync
**Date:** Tuesday, January 27, 2026
**Account:** Robert Wood Johnson Foundation
**External Attendees:** phagerty@rwjf.org
**Meeting Recap:** [View Recap](https://app.askelephant.ai/workspaces/wrks_01JYF7CP38371WK5E5BP8XSHM5/engagements/ngmt_01KDSNSC3TKRAJ78GP98R39FV8)
### Meeting Summary
Phil Hagerty and John Davis discussed troubleshooting a journey in ObservePoint, where Phil encountered an error due to a failed rule rather than a failed action. John demonstrated a more user-friendly approach using ObservePoint's built-in UI actions (click, input) instead of vanilla JavaScript, and recommended adding wait times to ensure variables load properly before validation. John also introduced Phil to the ObservePoint Chrome extension, which allows users to easily copy full variable nam...
---
*Auto-generated from meeting recap on 2026-01-27*</t>
  </si>
  <si>
    <t>https://github.com/johndavis92790/OP-Tasklist/issues/1739</t>
  </si>
  <si>
    <t>Title: Coordinate with dev team on acceptable wait times</t>
  </si>
  <si>
    <t>PVTI_lAHOBXQWPs4BLZXmzgk6354</t>
  </si>
  <si>
    <t>Send Phil the help documentation link that contains information about ObservePoint agent IP addresses for blocking from analytics report suite.
**Context:** Phil asked if IP addresses for deployed agents have changed in the past year or two and whether he should be blocking them from his analytics report suite.
---
## Meeting Context
**Meeting:** ObservePoint | Robert Wood Johnson Foundation Sync
**Date:** Thursday, February 5, 2026
**Account:** Robert Wood Johnson Foundation
**External Attendees:** phagerty@rwjf.org
**Meeting Recap:** [View Recap](https://app.askelephant.ai/workspaces/wrks_01JYF7CP38371WK5E5BP8XSHM5/engagements/ngmt_01KGJKEFSJJK5FCKS9BRE4HBP5)
### Meeting Summary
Phil and John discussed setting up an ObservePoint audit to verify that analytics variables are properly set on page loads across the website. Phil had initially created individual rules for each variable, but John recommended consolidating them into a single comprehensive rule that checks multiple variables and tags simultaneously to make maintenance easier and reduce alert noise. They agreed that Phil would rebuild the rule to include all expected page load variables in one standard, ensuring alerts only trigger when there are actual issues rather than creating unnecessary notifications. Phil plans to complete this work and follow up before their next scheduled meeting on Tuesday.
---
*Auto-generated from meeting recap on 2026-02-05*</t>
  </si>
  <si>
    <t>https://github.com/johndavis92790/OP-Tasklist/issues/1831</t>
  </si>
  <si>
    <t>Title: Send IP address documentation link to Phil</t>
  </si>
  <si>
    <t>PVTI_lAHOBXQWPs4BLZXmzgkW_qY</t>
  </si>
  <si>
    <t>Build page load scan for standard variables</t>
  </si>
  <si>
    <t>Create a new scan/journey to validate all standard variables that should be set on every page load.
**Scope:**
- Focus only on variables set on every page load
- Exclude subdomains that don't use the Web SDK
- Use ObservePoint Chrome extension to copy full variable names (dot notation) instead of building manually
- Start with limited pages to test, then expand
- Build upon previous work started with Macy
**Technical notes:**
- Variables may be in multiple locations due to Adobe data model + XDM + custom analytics via direct call in data layer
- Use events.0.data path and events.0.xdm.experience path as needed
---
## Meeting Context
**Meeting:** ObservePoint | RWJF - Sync
**Date:** Tuesday, January 27, 2026
**Account:** Robert Wood Johnson Foundation
**External Attendees:** phagerty@rwjf.org
**Meeting Recap:** [View Recap](https://app.askelephant.ai/workspaces/wrks_01JYF7CP38371WK5E5BP8XSHM5/engagements/ngmt_01KDSNSC3TKRAJ78GP98R39FV8)
### Meeting Summary
Phil Hagerty and John Davis discussed troubleshooting a journey in ObservePoint, where Phil encountered an error due to a failed rule rather than a failed action. John demonstrated a more user-friendly approach using ObservePoint's built-in UI actions (click, input) instead of vanilla JavaScript, and recommended adding wait times to ensure variables load properly before validation. John also introduced Phil to the ObservePoint Chrome extension, which allows users to easily copy full variable nam...
---
*Auto-generated from meeting recap on 2026-01-27*</t>
  </si>
  <si>
    <t>https://github.com/johndavis92790/OP-Tasklist/issues/1738</t>
  </si>
  <si>
    <t>Title: Build page load scan for standard variables</t>
  </si>
  <si>
    <t>PVTI_lAHOBXQWPs4BLZXmzgkGvy8</t>
  </si>
  <si>
    <t>Send intro email to try and get some kind of traction and to setup first meeting</t>
  </si>
  <si>
    <t>https://github.com/johndavis92790/OP-Tasklist/issues/133</t>
  </si>
  <si>
    <t>account:Tyson Foods</t>
  </si>
  <si>
    <t>Title: Send intro email to try and get some kind of traction and to setup first meeting</t>
  </si>
  <si>
    <t>PVTI_lAHOBXQWPs4BLZXmzgkGshc</t>
  </si>
  <si>
    <t>Resolve internal budget allocation for renewal</t>
  </si>
  <si>
    <t>Connect internally to determine where the budget went and finalize the renewal decision. Frank mentioned needing to "hear about where the budget went" and has already provided reasons for renewal.
**Context for renewal discussion:**
- Current subscription may need expansion for better utilization
- New product features require support
- Server-side transition plans may require additional capacity
- Dalen will be sending pricing proposals for expansion options
---
## Meeting Context
**Meeting:** ObservePoint | Amica Weekly Sync
**Date:** Tuesday, January 20, 2026
**Account:** Amica Mutual Insurance
**External Attendees:** fialongo@amica.com
**Meeting Recap:** [View Recap](https://app.askelephant.ai/workspaces/wrks_01JYF7CP38371WK5E5BP8XSHM5/engagements/ngmt_01KD7N09FH4PQA2FBXA39C6246)
### Meeting Summary
John Davis and Frank Ialongo discussed several administrative and technical matters regarding their ObservePoint partnership. Frank requested assistance with Azure MFA/SSO implementation, which John clarified by explaining that the XML file from support contains the necessary configuration data to forward to their IT team. They also addressed the upcoming contract renewal (ending February 28th), with Frank now serving as the new point of contact since Catherine Lanny left the department, and Joh...
---
*Auto-generated from meeting recap on 2026-01-22*</t>
  </si>
  <si>
    <t>https://github.com/johndavis92790/OP-Tasklist/issues/131</t>
  </si>
  <si>
    <t>Title: Resolve internal budget allocation for renewal</t>
  </si>
  <si>
    <t>PVTI_lAHOBXQWPs4BLZXmzgjvaS4</t>
  </si>
  <si>
    <t>Turn off chilipiper and gong reminders being sent to customers</t>
  </si>
  <si>
    <t>https://github.com/johndavis92790/OP-Tasklist/issues/41</t>
  </si>
  <si>
    <t>Title: Turn off chilipiper and gong reminders being sent to customers</t>
  </si>
  <si>
    <t>PVTI_lAHOBXQWPs4BLZXmzgjVsQc</t>
  </si>
  <si>
    <t>Email Zack @ Crowdstrike to setup meeting</t>
  </si>
  <si>
    <t>https://github.com/johndavis92790/OP-Tasklist/issues/26</t>
  </si>
  <si>
    <t>account:Crowdstrike</t>
  </si>
  <si>
    <t>Title: Email Zack @ Crowdstrike to setup meeting</t>
  </si>
  <si>
    <t>PVTI_lAHOBXQWPs4BLZXmzgkxPmI</t>
  </si>
  <si>
    <t>Work with Lauren to finalize the tier-based page categorization for ObservePoint audits within the next 2 weeks.
**Key criteria to consider:**
- **Tier 1 (bi-weekly scans):** Pages with &gt;1% of total visits (~40 pages based on January data), plus critical process pages (e.g., adviser login, registration pages) and pages with third-party integrations (e.g., Kendra search)
- **Tier 2 (monthly scans):** Medium-traffic pages and recently updated content
- **Tier 3 (quarterly scans):** Low-traffic pages and static subdomains (jobs.prudential.com, newsroom, etc.)
**Additional factors:**
- Page types (account pages, marketing pages, process flows)
- Integration points with external applications
- Recent content updates (tracked via XML sitemap or CMS)
Lauren is conducting a page audit in February with Neil and Caitlin to clean up the prudential.com page list, which will inform this categorization.
---
## Meeting Context
**Meeting:** Review ObservePoint Audit of Pru.com
**Date:** Tuesday, February 3, 2026
**Account:** Prudential Financial Inc.
**External Attendees:** steve.choi@prudential.com
**Meeting Recap:** [View Recap](https://app.askelephant.ai/workspaces/wrks_01JYF7CP38371WK5E5BP8XSHM5/engagements/ngmt_01KG33HV388QED9QCDZC26JAJ1)
### Meeting Summary
The meeting focused on establishing a formal process for ObservePoint website audits at Prudential. The team discussed creating a tiered scanning approach (tier 1: high-traffic pages scanned biweekly, tier 2: monthly, tier 3: quarterly) within their 70,000 annual page scan limit, with the goal of identifying approximately 40 tier-1 pages representing 1% or more of site traffic. Lauren committed to working with the content team over the next few weeks to audit and categorize pages across all Prudential subdomains, considering factors like traffic volume, page types, and system integrations. The team also reviewed ObservePoint's capabilities for detecting broken links, missing tags, and privacy compliance issues, with plans to reconvene in two weeks to finalize the page list and determine stakeholders who will receive and act on audit alerts.
---
*Auto-generated from meeting recap on 2026-02-03*</t>
  </si>
  <si>
    <t>https://github.com/johndavis92790/OP-Tasklist/issues/1778</t>
  </si>
  <si>
    <t>Title: Collaborate with Lauren on tier-based page list</t>
  </si>
  <si>
    <t>PVTI_lAHOBXQWPs4BLZXmzgkDvnc</t>
  </si>
  <si>
    <t>Add Friday recurring meeting at 1:30 PM ET</t>
  </si>
  <si>
    <t>Schedule new recurring Friday meeting at 1:30 PM Eastern Time for 1-hour sessions to increase cadence for account cleanup and hands-on training.
**Meeting objectives:**
- Clean up ObservePoint account organization
- Conduct hands-on sessions using John's expertise to review data
- Identify issues requiring attention
- Develop new use case ideas
- First session: January 24, 2026
---
## Meeting Context
**Meeting:** ObservePoint | Amica Weekly Sync
**Date:** Tuesday, January 20, 2026
**Account:** Amica Mutual Insurance
**External Attendees:** fialongo@amica.com
**Meeting Recap:** [View Recap](https://app.askelephant.ai/workspaces/wrks_01JYF7CP38371WK5E5BP8XSHM5/engagements/ngmt_01KD7N09FH4PQA2FBXA39C6246)
### Meeting Summary
John Davis and Frank Ialongo discussed several administrative and technical matters regarding their ObservePoint partnership. Frank requested assistance with Azure MFA/SSO implementation, which John clarified by explaining that the XML file from support contains the necessary configuration data to forward to their IT team. They also addressed the upcoming contract renewal (ending February 28th), with Frank now serving as the new point of contact since Catherine Lanny left the department, and Joh...
---
*Auto-generated from meeting recap on 2026-01-22*</t>
  </si>
  <si>
    <t>https://github.com/johndavis92790/OP-Tasklist/issues/56</t>
  </si>
  <si>
    <t>Title: Add Friday recurring meeting at 1:30 PM ET</t>
  </si>
  <si>
    <t>PVTI_lAHOBXQWPs4BLZXmzgkYTmY</t>
  </si>
  <si>
    <t>Create custom Journey Health reports with labels</t>
  </si>
  <si>
    <t>Create custom Journey Health reports filtered by labels for easier monitoring of specific journey groups.
**Process:**
1. Go to Reports → Journey Health
2. Add filters for specific labels (e.g., "AC" journeys)
3. Save as new report with descriptive name (e.g., "Journey Health - AC")
4. Set up scheduled email delivery if needed (Share &amp; Export → Schedule)
5. Adjust visibility settings for appropriate team access
**Benefits:** One-click access to pre-filtered journey data without manual filtering each time.
---
## Meeting Context
**Meeting:** ObservePoint | Amica Weekly Sync
**Date:** Friday, January 23, 2026
**Account:** Amica Mutual Insurance
**External Attendees:** fialongo@amica.com
**Meeting Recap:** [View Recap](https://app.askelephant.ai/workspaces/wrks_01JYF7CP38371WK5E5BP8XSHM5/engagements/ngmt_01KFEK95PX2BSCV67P2P5YFY0H)
### Meeting Summary
Frank and John discussed ObservePoint account organization and cleanup, with Frank explaining their QA process for website analytics validation across development and production environments. John recommended starting with a single use case to establish the complete QA workflow, then scaling from there, while demonstrating how to use labels, bulk actions, and custom reports to better organize and monitor their journeys and audits. They agreed to continue next Friday, focusing on reviewing individual journeys, implementing the organizational structure with labels and folders, and examining Frank's analytics validation process in more detail.
---
*Auto-generated from meeting recap on 2026-01-28*</t>
  </si>
  <si>
    <t>https://github.com/johndavis92790/OP-Tasklist/issues/1751</t>
  </si>
  <si>
    <t>Title: Create custom Journey Health reports with labels</t>
  </si>
  <si>
    <t>PVTI_lAHOBXQWPs4BLZXmzgkDvnI</t>
  </si>
  <si>
    <t>Reschedule Tuesday meetings to 3:00 PM ET weekly</t>
  </si>
  <si>
    <t>Update recurring Tuesday meeting from current time to 3:00 PM Eastern Time for 1-hour sessions.
**Schedule details:**
- 3 out of 4 weeks: Full 1-hour session at 3:00 PM ET
- 1 out of 4 weeks: 30-minute session starting at 3:30 PM ET (due to John's monthly conflict)
- First session: This Friday, January 24, 2026 at 1:30 PM ET (rescheduled from next Tuesday)
---
## Meeting Context
**Meeting:** ObservePoint | Amica Weekly Sync
**Date:** Tuesday, January 20, 2026
**Account:** Amica Mutual Insurance
**External Attendees:** fialongo@amica.com
**Meeting Recap:** [View Recap](https://app.askelephant.ai/workspaces/wrks_01JYF7CP38371WK5E5BP8XSHM5/engagements/ngmt_01KD7N09FH4PQA2FBXA39C6246)
### Meeting Summary
John Davis and Frank Ialongo discussed several administrative and technical matters regarding their ObservePoint partnership. Frank requested assistance with Azure MFA/SSO implementation, which John clarified by explaining that the XML file from support contains the necessary configuration data to forward to their IT team. They also addressed the upcoming contract renewal (ending February 28th), with Frank now serving as the new point of contact since Catherine Lanny left the department, and Joh...
---
*Auto-generated from meeting recap on 2026-01-22*</t>
  </si>
  <si>
    <t>https://github.com/johndavis92790/OP-Tasklist/issues/55</t>
  </si>
  <si>
    <t>Title: Reschedule Tuesday meetings to 3:00 PM ET weekly</t>
  </si>
  <si>
    <t>Message ID</t>
  </si>
  <si>
    <t>Date</t>
  </si>
  <si>
    <t>From</t>
  </si>
  <si>
    <t>From Domain</t>
  </si>
  <si>
    <t>To</t>
  </si>
  <si>
    <t>To Domains</t>
  </si>
  <si>
    <t>CC</t>
  </si>
  <si>
    <t>CC Domains</t>
  </si>
  <si>
    <t>Subject</t>
  </si>
  <si>
    <t>Body Preview</t>
  </si>
  <si>
    <t>Thread ID</t>
  </si>
  <si>
    <t>Cleaned Body</t>
  </si>
  <si>
    <t>19be14214b85fc1a</t>
  </si>
  <si>
    <t>"IALONGO, FRANCESCO S." &lt;FIALONGO@amica.com&gt;</t>
  </si>
  <si>
    <t>John Davis &lt;john.davis@observepoint.com&gt;</t>
  </si>
  <si>
    <t>observepoint.com</t>
  </si>
  <si>
    <t>Accepted: ObservePoint | Amica Weekly Sync</t>
  </si>
  <si>
    <t xml:space="preserve">
**********************************************************************
This email and any files transmitted with it are confidential and intended solely for the use of the individual or entity to which they are addressed.  Contact us if you have any questions related to the content of this email or if you have received it in error.  Confidential and personally identifiable information should not be transmitted to Amica via email or email attachment.  Amica is not responsible for the loss, u</t>
  </si>
  <si>
    <t>19bdd27cab4068f7</t>
  </si>
  <si>
    <t>Billing Form</t>
  </si>
  <si>
    <t xml:space="preserve">Please get this filled out soon to make sure we have everything we need for
your renewal
*Regards, *
John Davis *   |    * *Customer Success Manager*
Cell: 801.633.6013
john.davis@observepoint.com
www.observepoint.com
&lt;https://groove.grvlnk4.com/url/typa6byifukvbtijwod94/aHR0cDovL3d3dy5vYnNlcnZlcG9pbnQuY29tLyNncm9vdmVzdW06LTc2MTEwNTM3MA%3D%3D&gt;
</t>
  </si>
  <si>
    <t>19bc86dcec1d6e85</t>
  </si>
  <si>
    <t>Macey Bell &lt;macey.bell@observepoint.com&gt;</t>
  </si>
  <si>
    <t>Stuart Heggie &lt;stuart.heggie@accentgr.com.au&gt;, Todd Wilkerson &lt;todd.wilkerson@observepoint.com&gt;, John Davis &lt;john.davis@observepoint.com&gt;</t>
  </si>
  <si>
    <t>accentgr.com.au, observepoint.com</t>
  </si>
  <si>
    <t>ObservePoint CSM Introduction</t>
  </si>
  <si>
    <t>Hey Stu!
There's been some shifts on my team and as a result John Davis has been
assigned as your new CSM moving forward. I was hoping to introduce him on
our next scheduled sync but it turns out he is OOO the afternoon. Can we
touch base any of the following times to make an introduction and so he can
schedule a good ongoing sync time that works well with him:
Meeting length: 30 Minutes
Time Zone: (GMT-7) MST/Phoenix
Tue Jan 20 Thu Jan 22 Mon Jan 26 Tue Jan 27 Thu Jan 29
 3:00  P</t>
  </si>
  <si>
    <t>19bc870cc7370770</t>
  </si>
  <si>
    <t>Stuart Heggie &lt;stuart.heggie@accentgr.com.au&gt;, Todd Wilkerson &lt;todd.wilkerson@observepoint.com&gt;</t>
  </si>
  <si>
    <t>Re: ObservePoint CSM Introduction</t>
  </si>
  <si>
    <t xml:space="preserve">Hey Stu,
I am excited to meet you and talk about your goals for 2026. I am here to
make this transition as smooth as possible for you.
Sorry that the existing time won't work for me, but I look forward to
hearing from you.
*Regards, *
John Davis *   |    * *Customer Success Manager*
Cell: 801.633.6013
john.davis@observepoint.com
www.observepoint.com
&lt;https://groove.grvlnk4.com/url/typa6byifukvbtijwod94/aHR0cDovL3d3dy5vYnNlcnZlcG9pbnQuY29tLyNncm9vdmVzdW06LTc2MTEwNTM3MA%3D%3D&gt;
</t>
  </si>
  <si>
    <t>19bc85c25785220c</t>
  </si>
  <si>
    <t>John Davis &lt;john.davis@observepoint.com&gt;, stuart.heggie@accentgr.com.au, jordan.robinson@accentgr.com.au</t>
  </si>
  <si>
    <t>observepoint.com, accentgr.com.au</t>
  </si>
  <si>
    <t>Invitation: ObservePoint | Accent Group - Sync @ Monthly from 3:30pm to 4pm on the fourth Wednesday (MST) (John Davis)</t>
  </si>
  <si>
    <t>ObservePoint | Accent Group - Sync
Monthly from 3:30pm to 4pm on the fourth Wednesday
Mountain Time - Denver
Join Zoom Meeting
https://observepoint.zoom.us/j/3742631971?pwd=Z2JhWG1yV1ZtOVBnMVZaRDR0bjVDZz09&amp;omn=96098404359
Join by phone
(US) +1 888-788-0099
passcode: 318688
Joining instructions
https://www.google.com/url?q=https://applications.zoom.us/addon/invitation/detail?meetingUuid%3DsBkOBDHfRiW%252FApwUXWxyzA%253D%253D%26signature%3D82487b0b7281398609f133d1eb9f3d191134270</t>
  </si>
  <si>
    <t>19bc81a00b718b0e</t>
  </si>
  <si>
    <t>19bc819cd8086c9e</t>
  </si>
  <si>
    <t>Connects</t>
  </si>
  <si>
    <t>Hi John
I am a bit confused.....when did we agree to have our next connects?
Thanks,
Francesco
Francesco S Ialongo | Lead Adobe Analytics Administrator
Amica Mutual Insurance Company | Marketing, Communications &amp; Growth
50 Amica Way | Lincoln, RI | 02865-1155
Voice: 800-652-6422 ext. 22312 | Fax: 401-333-5349
fialongo@amica.com&lt;mailto:%20fialongo@amica.com&gt; | Amica.com&lt;http://www.amica.com/&gt;
**********************************************************************
This email a</t>
  </si>
  <si>
    <t>19bc81ed3d14c726</t>
  </si>
  <si>
    <t>Re: Connects</t>
  </si>
  <si>
    <t xml:space="preserve">Hey Frank, we have a weekly scheduled meeting on Tuesdays at 3:30pm *Eastern
Time*
*Regards, *
John Davis *   |    * *Customer Success Manager*
Cell: 801.633.6013
john.davis@observepoint.com
www.observepoint.com
&lt;https://groove.grvlnk4.com/url/typa6byifukvbtijwod94/aHR0cDovL3d3dy5vYnNlcnZlcG9pbnQuY29tLyNncm9vdmVzdW06LTc2MTEwNTM3MA%3D%3D&gt;
On Fri, Jan 16, 2026 at 11:38 AM IALONGO, FRANCESCO S. &lt;FIALONGO@amica.com&gt;
wrote:
&gt; Hi John
&gt;
&gt;
&gt;
&gt; I am a bit confused…..when did </t>
  </si>
  <si>
    <t>19bb7fffd339c0d0</t>
  </si>
  <si>
    <t>"venkata.mallepudi@agilent.com" &lt;venkata.mallepudi@agilent.com&gt;</t>
  </si>
  <si>
    <t>FW: Status update</t>
  </si>
  <si>
    <t>Hi John,
I hope you're having a great day! I wanted to let you know that I have made changes a Google spreadsheet that outlines the steps for our ecommerce web journey. This document will provide a clear roadmap to ensure we stay on track and make informed decisions along the way. Below is the link to the spread sheet for reference.
https://docs.google.com/spreadsheets/d/1eDoWLRJg-FBSKB6C_MpkAnj7a8h2QZzgkqwz9reG780/edit?pli=1&amp;gid=926285656#gid=926285656
In addition, I would like to mentio</t>
  </si>
  <si>
    <t>19bc8316f26458b9</t>
  </si>
  <si>
    <t>Re: FW: Status update</t>
  </si>
  <si>
    <t>Hey Raghu,
This is great, fantastic work! I'll be happy to check out your progress
then next time we sync up on Monday
*Regards, *
John Davis *   |    * *Customer Success Manager*
Cell: 801.633.6013
john.davis@observepoint.com
www.observepoint.com
&lt;https://groove.grvlnk4.com/url/typa6byifukvbtijwod94/aHR0cDovL3d3dy5vYnNlcnZlcG9pbnQuY29tLyNncm9vdmVzdW06LTc2MTEwNTM3MA%3D%3D&gt;
On Tue, Jan 13, 2026 at 8:36 AM venkata.mallepudi@agilent.com &lt;
venkata.mallepudi@agilent.com&gt; wrote</t>
  </si>
  <si>
    <t>19bc83ce5cf3f6fe</t>
  </si>
  <si>
    <t>Woops, I forgot that Monday is actually a holiday for us so I won't be in
the office unfortunately.
Here are some other slots that are available for me in *Mountain Time*, fee
free to grab one that works for you and your team:
Meeting length: 30 Minutes
Time Zone: (GMT-7) MST/Denver
Tue Jan 20 Wed Jan 21 Thu Jan 22 Fri Jan 23
 10:00  AM
&lt;https://observepoint.chilipiper.com/suggested-times/b62a3ef6-fe9f-4b31-9916-482fc40fd8ba?slotStartsAt=2026-01-20T17:00:00.000Z&gt;
 10:30  AM
&lt;http</t>
  </si>
  <si>
    <t>19bb2fd5a2cd8b70</t>
  </si>
  <si>
    <t>Revenue Operations &lt;salesops@observepoint.com&gt;</t>
  </si>
  <si>
    <t>"nic.suder@observepoint.com" &lt;nic.suder@observepoint.com&gt;, "stuart.heggie@accentgr.com.au" &lt;stuart.heggie@accentgr.com.au&gt;, "john.davis@observepoint.com" &lt;john.davis@observepoint.com&gt;, "todd.wilkerson@observepoint.com" &lt;todd.wilkerson@observepoint.com&gt;</t>
  </si>
  <si>
    <t>Upcoming ObservePoint Renewal on February 11, 2026 - Accent Group</t>
  </si>
  <si>
    <t xml:space="preserve">
[image: ObservePoint Logo_Gray_ON_YEllow_LOGO.jpeg]
A friendly reminder that it's time to renew.
Hi Stuart,
The last day of your current term is *February 11, 2026*.
If you have already completed renewal paperwork or opted to auto-renew your 
agreement, no action is required.
Please reach out to your account team if you have any questions.
*Customer Success Manager -* john.davis@observepoint.com
*Account Executive - * todd.wilkerson@observepoint.com
</t>
  </si>
  <si>
    <t>19b9afec1cbb3057</t>
  </si>
  <si>
    <t>Accepted: ObservePoint | Amica Sync</t>
  </si>
  <si>
    <t>19b9a189be0d77c7</t>
  </si>
  <si>
    <t>John Davis &lt;john.davis@observepoint.com&gt;, Macey Bell &lt;macey.bell@observepoint.com&gt;</t>
  </si>
  <si>
    <t>Recall: Amica ObservePoint Usage</t>
  </si>
  <si>
    <t>IALONGO, FRANCESCO S. would like to recall the message, "Amica ObservePoint Usage".
**********************************************************************
This email and any files transmitted with it are confidential and intended solely for the use of the individual or entity to which they are addressed.  Contact us if you have any questions related to the content of this email or if you have received it in error.  Confidential and personally identifiable information should not be transmitte</t>
  </si>
  <si>
    <t>19b9a16f062badbc</t>
  </si>
  <si>
    <t>Amica ObservePoint Usage</t>
  </si>
  <si>
    <t>Hi John and Macey,
I received a notification that we have reached mx amount of scans for audits in OP
Can you please look into it?
Does it mean we cannot audit more until end of current contract?
Thank you,
Francesco S Ialongo | Lead Adobe Analytics Administrator
Amica Mutual Insurance Company | Marketing, Communications &amp; Growth
50 Amica Way | Lincoln, RI | 02865-1155
Voice: 800-652-6422 ext. 22312 | Fax: 401-333-5349
fialongo@amica.com&lt;mailto:%20fialongo@amica.com&gt; | Amica</t>
  </si>
  <si>
    <t>19b9a19ef9472ac8</t>
  </si>
  <si>
    <t>RE: Amica ObservePoint Usage</t>
  </si>
  <si>
    <t xml:space="preserve">
Hi John and Macey,
I received a notification that we have reached mx amount of scans for audits in OP
Can you please look into it?
Does it mean we cannot audit more until end of current contract?
I read just now that  we are at 90% capacity, where can I tweak setting to run more scans? Also if I am reading this right and we are at 90% can you please help me by stopping all audits that re automated to re run?
Thank you,
Francesco S Ialongo | Lead Adobe Analytics Administrato</t>
  </si>
  <si>
    <t>19b9a49b3c1b752f</t>
  </si>
  <si>
    <t>Macey Bell &lt;macey.bell@observepoint.com&gt;, Dallin Madsen &lt;dallin.madsen@observepoint.com&gt;</t>
  </si>
  <si>
    <t>Re: Amica ObservePoint Usage</t>
  </si>
  <si>
    <t xml:space="preserve">Hey Frank,
Yes this looks like you are at capacity for your current contract. I just
met with your AE (Dallin Madsen) about Amica and he also left you a
voicemail while we chatted. I need to cancel our regular meeting on Jan
13th anyways because I have a personal conflict, so let's take this
opportunity to find a time that works for both Dallin and myself:
Meeting length: 30 Minutes
Time Zone: (GMT-7) MST/Denver
Thu Jan 8 Fri Jan 9 Mon Jan 12 Tue Jan 13 Wed Jan 14 Thu Jan 15 Fri Jan </t>
  </si>
  <si>
    <t>19b9a7fb855dcd9d</t>
  </si>
  <si>
    <t>RE: [EXTERNAL] Re: Amica ObservePoint Usage</t>
  </si>
  <si>
    <t>Hi,
Do you have something 1:30est on Friday the 9th?
Thanks,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John Davis &lt;john.davis@observepoint.com&gt;
Sent: Wednesday, January 7, 2026 4:08 PM
To: IALONGO, FRANCESCO S. &lt;FIAL</t>
  </si>
  <si>
    <t>19b9a83c970d343e</t>
  </si>
  <si>
    <t>Re: [EXTERNAL] Re: Amica ObservePoint Usage</t>
  </si>
  <si>
    <t>Sure, you should get an invite in a separate email, thanks Frank!
*Regards, *
John Davis *   |    * *Customer Success Manager*
Cell: 801.633.6013
john.davis@observepoint.com
www.observepoint.com
&lt;https://groove.grvlnk4.com/url/typa6byifukvbtijwod94/aHR0cDovL3d3dy5vYnNlcnZlcG9pbnQuY29tLyNncm9vdmVzdW06LTc2MTEwNTM3MA%3D%3D&gt;
On Wed, Jan 7, 2026, 3:07 PM IALONGO, FRANCESCO S. &lt;FIALONGO@amica.com&gt;
wrote:
&gt; Hi,
&gt;
&gt;
&gt;
&gt; Do you have something 1:30est on Friday the 9th?
&gt;
&gt;
&gt; T</t>
  </si>
  <si>
    <t>19b955f843e0a23f</t>
  </si>
  <si>
    <t>adrian.soto@accenture.com, tim.howland@biogen.com, keinersolano.miranda@biogen.com</t>
  </si>
  <si>
    <t>accenture.com, biogen.com</t>
  </si>
  <si>
    <t>Andy Compas &lt;andy.compas@observepoint.com&gt;</t>
  </si>
  <si>
    <t>Schedule Sync Up</t>
  </si>
  <si>
    <t>Hey Biogen and Accenture teams!
I would like to introduce myself as your new CSM moving forward. I have
CC'd Andy Compass, your ObservePoint AE, in this email as well.
I would love to schedule a first sync up with you all to learn about your
ObservePoint use cases and how we can help moving forward to make sure
you're getting the most value out of ObservePoint.
Here are some slots that work for us next week, feel free to grab one that
works for your team:
Meeting length: 30 Minut</t>
  </si>
  <si>
    <t>19b950800854f6c8</t>
  </si>
  <si>
    <t>fialongo@amica.com, Macey Bell &lt;macey.bell@observepoint.com&gt;, John Davis &lt;john.davis@observepoint.com&gt;</t>
  </si>
  <si>
    <t>amica.com, observepoint.com</t>
  </si>
  <si>
    <t>Hey Frank, are you able to join our meeting now?
ObservePoint | Amica Weekly Sync
Tuesday Jan 6, 2026 ⋅ 1:30pm – 2pm
Mountain Time - Denver
Join Zoom Meeting
https://observepoint.zoom.us/j/3628593272?pwd=OfxX2kwpsuA5labBaZXephHbiAXlz9.1&amp;omn=97416106400&amp;jst=2
Join by phone
(US) +1 877-853-5247
passcode: 183089
Joining instructions
https://www.google.com/url?q=https://applications.zoom.us/addon/invitation/detail?meetingUuid%3D%252BxDqK6eKTw2WS8m7taevvw%253D%253D%26signature%3</t>
  </si>
  <si>
    <t>19b958a0508bc751</t>
  </si>
  <si>
    <t>Re: [EXTERNAL] ObservePoint | Amica Weekly Sync</t>
  </si>
  <si>
    <t>Hi John,
My apologies as i was out sick this afternoon
Francesco
________________________________
From: Google Calendar &lt;calendar-notification@google.com&gt; on behalf of John Davis &lt;john.davis@observepoint.com&gt;
Sent: Tuesday, January 6, 2026 3:38:08 PM
To: IALONGO, FRANCESCO S. &lt;FIALONGO@AMICA.COM&gt;; Macey Bell &lt;macey.bell@observepoint.com&gt;; John Davis &lt;john.davis@observepoint.com&gt;
Subject: [EXTERNAL] ObservePoint | Amica Weekly Sync
ObservePoint | Amica Weekly Sync
Hey Frank, ar</t>
  </si>
  <si>
    <t>19b958ab11e2287f</t>
  </si>
  <si>
    <t>No worries, I'll catch you on the next one. Hope you feel better soon!
*Regards, *
John Davis *   |    * *Customer Success Manager*
Cell: 801.633.6013
john.davis@observepoint.com
www.observepoint.com
&lt;https://us-3129.email-composer-webhooks.gong.io/email-tracking/clicked?email-info-token=eyJhbGciOiJIUzI1NiJ9.eyJjb21wYW55SWQiOiI4OTgyMjM2MTQxODc2Mjk3NzAiLCJkcmFmdElkIjoicjI3MjM2MjI1NzcwMzMzMzk4ODUiLCJsaW5rVXJsIjoiaHR0cHM6Ly9ncm9vdmUuZ3J2bG5rNC5jb20vdXJsL3R5cGE2YnlpZnVrdmJ0aWp3b2Q5NC9hSF</t>
  </si>
  <si>
    <t>19b7a575c63b165c</t>
  </si>
  <si>
    <t>"nic.suder@observepoint.com" &lt;nic.suder@observepoint.com&gt;, "john.davis@observepoint.com" &lt;john.davis@observepoint.com&gt;, "andy.compas@observepoint.com" &lt;andy.compas@observepoint.com&gt;, "paul.chita@biogen.com" &lt;paul.chita@biogen.com&gt;</t>
  </si>
  <si>
    <t>observepoint.com, biogen.com</t>
  </si>
  <si>
    <t>Upcoming ObservePoint Renewal on January 31, 2026 - Biogen</t>
  </si>
  <si>
    <t xml:space="preserve">
[image: ObservePoint Logo_Gray_ON_YEllow_LOGO.jpeg]
A friendly reminder that it's time to renew.
Hi Paul,
The last day of your current term is *January 31, 2026*.
If you have already completed renewal paperwork or opted to auto-renew your 
agreement, no action is required.
Please reach out to your account team if you have any questions.
*Customer Success Manager -* john.davis@observepoint.com
*Account Executive - * andy.compas@observepoint.com
</t>
  </si>
  <si>
    <t>19b700aa7633a1ae</t>
  </si>
  <si>
    <t>"nic.suder@observepoint.com" &lt;nic.suder@observepoint.com&gt;, "clanni@amica.com" &lt;clanni@amica.com&gt;, "john.davis@observepoint.com" &lt;john.davis@observepoint.com&gt;, "dallin.madsen@observepoint.com" &lt;dallin.madsen@observepoint.com&gt;</t>
  </si>
  <si>
    <t>observepoint.com, amica.com</t>
  </si>
  <si>
    <t>Upcoming ObservePoint Renewal on February 28, 2026 - Amica Mutual Insurance</t>
  </si>
  <si>
    <t xml:space="preserve">
[image: ObservePoint Logo_Gray_ON_YEllow_LOGO.jpeg]
A friendly reminder that it's time to renew.
Hi Catherine,
Thank you for being an ObservePoint customer!
This is an automated notification to let you know that the end of your 
current term is* February 28, 2026*.
We know approval and procurement processes can take time, and we want to 
avoid any interruption of service, hence we are reaching out now.
Please reach out to your account team if you have any questions, or if you 
anticipa</t>
  </si>
  <si>
    <t>19b471fb2eb09fad</t>
  </si>
  <si>
    <t>John Davis &lt;john.davis@observepoint.com&gt;, justin.yee@agilent.com, venkata.mallepudi@agilent.com, varun.isaac@agilent.com</t>
  </si>
  <si>
    <t>observepoint.com, agilent.com</t>
  </si>
  <si>
    <t>Updated invitation: ObservePoint | Agilent - Sync @ Tue Dec 23, 2025 10:30am - 11am (MST) (John Davis)</t>
  </si>
  <si>
    <t>This event has been updated
Changed: time
ObservePoint | Agilent - Sync
Tuesday Dec 23, 2025 ⋅ 10:30am – 11am
Mountain Time - Denver
Join Zoom Meeting
https://observepoint.zoom.us/j/3742631971?pwd=Z2JhWG1yV1ZtOVBnMVZaRDR0bjVDZz09&amp;omn=98949187096
Join by phone
(US) +1 888-788-0099
passcode: 318688
Joining instructions
https://www.google.com/url?q=https://applications.zoom.us/addon/invitation/detail?meetingUuid%3Dul%252BSNSufTRCODW80j33fVQ%253D%253D%26signature%3Ddf9b0fa75</t>
  </si>
  <si>
    <t>19b471df5b9fa092</t>
  </si>
  <si>
    <t>19b43a0f0228d154</t>
  </si>
  <si>
    <t>Jordan Robinson &lt;jordan.robinson@accentgr.com.au&gt;, John Davis &lt;john.davis@observepoint.com&gt;</t>
  </si>
  <si>
    <t>Stuart Heggie &lt;stuart.heggie@accentgr.com.au&gt;</t>
  </si>
  <si>
    <t>Re: Updated invitation with note: ObservePoint | Accent Group - Sync @ Mon Dec 22, 2025 3:30pm - 4pm (MST) (jordan.robinson@accentgr.com.au)</t>
  </si>
  <si>
    <t>Hey Jordan, I wanted to introduce you to John who is the new customer 
success manager that will be working with you in the coming year but it 
looks like he’s actually also out of office on Monday so maybe it will be 
best to just postpone until after the holidays!
Sent from my iPhone
On Dec 21, 2025, at 2:35 PM, Jordan Robinson 
&lt;jordan.robinson@accentgr.com.au&gt; wrote:
﻿ 
Hey Macey,
Just wanted to touch base and let you know that Stuart is now on leave 
until January so will not be able to</t>
  </si>
  <si>
    <t>19b38ac99d9bbc3a</t>
  </si>
  <si>
    <t>John Davis &lt;john.davis@observepoint.com&gt;, stuart.heggie@accentgr.com.au, jordan.robinson@accentgr.com.au, Todd Wilkerson &lt;todd.wilkerson@observepoint.com&gt;</t>
  </si>
  <si>
    <t>Invitation: ObservePoint | Accent Group - Sync @ Mon Dec 22, 2025 3:30pm - 4pm (MST) (John Davis)</t>
  </si>
  <si>
    <t>ObservePoint | Accent Group - Sync
Monday Dec 22, 2025 ⋅ 3:30pm – 4pm
Mountain Time - Denver
Join Zoom Meeting
https://observepoint.zoom.us/j/3742631971?pwd=Z2JhWG1yV1ZtOVBnMVZaRDR0bjVDZz09&amp;omn=96098404359
Join by phone
(US) +1 888-788-0099
passcode: 318688
Joining instructions
https://www.google.com/url?q=https://applications.zoom.us/addon/invitation/detail?meetingUuid%3DsBkOBDHfRiW%252FApwUXWxyzA%253D%253D%26signature%3D82487b0b7281398609f133d1eb9f3d19113427031b84694f223b8c1</t>
  </si>
  <si>
    <t>19b38ac51364226a</t>
  </si>
  <si>
    <t>Invitation: ObservePoint | Agilent - Sync @ Mon Dec 22, 2025 2pm - 2:30pm (MST) (John Davis)</t>
  </si>
  <si>
    <t>ObservePoint | Agilent - Sync
Monday Dec 22, 2025 ⋅ 2pm – 2:30pm
Mountain Time - Denver
Join Zoom Meeting
https://observepoint.zoom.us/j/3742631971?pwd=Z2JhWG1yV1ZtOVBnMVZaRDR0bjVDZz09&amp;omn=98949187096
Join by phone
(US) +1 888-788-0099
passcode: 318688
Joining instructions
https://www.google.com/url?q=https://applications.zoom.us/addon/invitation/detail?meetingUuid%3Dul%252BSNSufTRCODW80j33fVQ%253D%253D%26signature%3Ddf9b0fa75e9fcfeeafa1296dc23c5ab3b4dd23278369d9b650ff2fe11a62</t>
  </si>
  <si>
    <t>19b33b4e1dd9e328</t>
  </si>
  <si>
    <t>Todd Wilkerson &lt;todd.wilkerson@observepoint.com&gt;</t>
  </si>
  <si>
    <t>Stuart Heggie &lt;Stuart.Heggie@accentgr.com.au&gt;</t>
  </si>
  <si>
    <t>"nic.suder@observepoint.com" &lt;nic.suder@observepoint.com&gt;, "macey.bell@observepoint.com" &lt;macey.bell@observepoint.com&gt;, John Davis &lt;john.davis@observepoint.com&gt;</t>
  </si>
  <si>
    <t>Re: Upcoming ObservePoint Renewal on February 11, 2026 - Accent Group</t>
  </si>
  <si>
    <t xml:space="preserve">Hi Stuart,
Our pricing is now available online &lt;https://www.observepoint.com/pricing/&gt;.
We can certainly decrease the Journey volume and increase the Audit scans
as requested.
Based on these changes, reducing the Journeys would result in a savings of
$5,850 USD. However, increasing the Audit volume to 500k scans would
increase that portion of the agreement from $18,750 to $62,380 USD.
Overall, the total for the renewal would be $66,530, compared to last
year's total of $28,750.
</t>
  </si>
  <si>
    <t>19b33f71e8854cb8</t>
  </si>
  <si>
    <t>RE: Upcoming ObservePoint Renewal on February 11, 2026 - Accent Group</t>
  </si>
  <si>
    <t>Hi Todd, okay that does make sense.
Please reduce the number of scans to 75k (2 scans per week per website) and the reduced volume of journeys.
Thanks, Stuart.
Stuart Heggie
Head of Marketing Technology
[cid:image001.jpg@01DC70D2.0D5AF4A0]
Tel: +61 3 9427 9422 | Email: Stuart.Heggie@accentgr.com.au&lt;mailto:Stuart.Heggie@accentgr.com.au&gt; | Web: www.accentgr.com.au&lt;http://www.accentgr.com.au/&gt;
Accent Group Limited
2/64 Balmain St
Cremorne, VIC 3121 AU
The information in this e</t>
  </si>
  <si>
    <t>19b34027ab866255</t>
  </si>
  <si>
    <t>Hi Stuart,
Is that going to be enough?  It's a serious drop from 500k scans.
Regardless, here's how it rolls out:
   - 75k annual scans is $11,380 USD
Other options:
   - 120k annual scans is $16,780
   - 150k annual scans is $20,380
Simply choose the prefered scan option and add $4,150 for the journeys.
Let me know if you have any questions.
Thanks, Todd
On Thu, Dec 18, 2025 at 5:16 PM Stuart Heggie &lt;Stuart.Heggie@accentgr.com.au&gt;
wrote:
&gt; Hi Todd, okay that does</t>
  </si>
  <si>
    <t>19b340e3b6ba1754</t>
  </si>
  <si>
    <t>Hi Todd,
I was under the impression that the bulk of the costs were associated with Journeys and therefore assumed that a reduction in Journey volume would help offset the increase in scans.
Unfortunately we need to significantly decrease the expenditure here if we want to keep the tool within the business.
Thanks, Stuart.
Stuart Heggie
Head of Marketing Technology
[cid:image001.jpg@01DC70DB.595AE4B0]
Tel: +61 3 9427 9422 | Email: Stuart.Heggie@accentgr.com.au&lt;mailto:Stuart.Heggie</t>
  </si>
  <si>
    <t>19b388e04bd1b1c7</t>
  </si>
  <si>
    <t>Hi Stuart,
Unfortunately, it's the opposite.  Most of the expense comes from the scans
themselves.  Did you take a look at our online pricing calculator
&lt;https://us-3129.email-composer-webhooks.gong.io/email-tracking/clicked?email-info-token=eyJhbGciOiJIUzI1NiJ9.eyJjb21wYW55SWQiOiI4OTgyMjM2MTQxODc2Mjk3NzAiLCJkcmFmdElkIjoici00Mzc3MDQ4NjYwNjc4ODE3MDkzIiwibGlua1VybCI6Imh0dHBzOi8vd3d3Lm9ic2VydmVwb2ludC5jb20vcHJpY2luZy8iLCJsaW5rVGV4dCI6ImNhbGN1bGF0b3IiLCJ0ZW1wbGF0ZUlkIjoiIiwiZXhwIjoxNzY3OTk0Nzcx</t>
  </si>
  <si>
    <t>19b9b06cd0087878</t>
  </si>
  <si>
    <t>Hi Todd, hope you had a nice break over the new year. Circling back to this renewal, if you could please produce a contract for the following volumes - I should be able to get this through;
120k scans
5k journeys
Cheers, Stuart
stuart.heggie@accentgr.com.au
________________________________
From: Todd Wilkerson &lt;todd.wilkerson@observepoint.com&gt;
Sent: 20 December 2025 8:39 AM
To: Stuart Heggie &lt;Stuart.Heggie@accentgr.com.au&gt;
Cc: nic.suder@observepoint.com &lt;nic.suder@observepoi</t>
  </si>
  <si>
    <t>19bb40ca9aacb1a4</t>
  </si>
  <si>
    <t>"nic.suder@observepoint.com" &lt;nic.suder@observepoint.com&gt;, John Davis &lt;john.davis@observepoint.com&gt;</t>
  </si>
  <si>
    <t>Hello Stuart,
Sorry for the delay.  I was OOO last week.  Please find the attached
Service Order.  Do you want me to send this via Docusign?
On Wed, Jan 7, 2026 at 5:34 PM Stuart Heggie &lt;Stuart.Heggie@accentgr.com.au&gt;
wrote:
&gt; Hi Todd, hope you had a nice break over the new year. Circling back to
&gt; this renewal, if you could please produce a contract for the following
&gt; volumes - I should be able to get this through;
&gt;
&gt; 120k scans
&gt; 5k journeys
&gt;
&gt; Cheers, Stuart
&gt; stuart.heg</t>
  </si>
  <si>
    <t>19bd3507ad3f53f8</t>
  </si>
  <si>
    <t xml:space="preserve">Good morning Todd, yes please go ahead and send through the DocuSign.
Thanks, Stuart.
Stuart Heggie
Head of Marketing Technology
[cid:image001.jpg@01DC8929.37BF4A60]
Tel: +61 3 9427 9422 | Email: Stuart.Heggie@accentgr.com.au&lt;mailto:Stuart.Heggie@accentgr.com.au&gt; | Web: www.accentgr.com.au&lt;http://www.accentgr.com.au/&gt;
Accent Group Limited
2/64 Balmain St
Cremorne, VIC 3121 AU
The information in this email and in any attachments may be confidential. If you are not the intended </t>
  </si>
  <si>
    <t>19bdd5caa5486fd0</t>
  </si>
  <si>
    <t>Hi Stuart,
I will get that started today.  Thanks!
Todd
On Sun, Jan 18, 2026 at 3:53 PM Stuart Heggie &lt;Stuart.Heggie@accentgr.com.au&gt;
wrote:
&gt; Good morning Todd, yes please go ahead and send through the DocuSign.
&gt;
&gt;
&gt;
&gt; Thanks, Stuart.
&gt;
&gt;
&gt;
&gt;
&gt; *Stuart Heggie *Head of Marketing Technology
&gt;
&gt;
&gt;
&gt; Tel: +61 3 9427 9422 | Email: Stuart.Heggie@accentgr.com.au | Web:
&gt; www.accentgr.com.au
&gt;
&gt; *Accent Group Limited*
&gt; 2/64 Balmain St
&gt; Cremorne, VIC 3121 AU
&gt; The info</t>
  </si>
  <si>
    <t>19b3362dac7d1fe6</t>
  </si>
  <si>
    <t>19b32ab75e178211</t>
  </si>
  <si>
    <t>ObservePoint &lt;support@observepoint.com&gt;</t>
  </si>
  <si>
    <t>John Davis &lt;john.davis@observepoint.com&gt;, Macey Bell &lt;macey.bell@observepoint.com&gt;, "PATEL, MAYUR A." &lt;MPATEL2@amica.com&gt;, "SMITH, PAUL" &lt;PSMITH2@amica.com&gt;</t>
  </si>
  <si>
    <t>https://app.observepoint.com/web-journey/522025/run/66152964/results?action=17   - "PS2 ADC Amica.com Auto Quote Funnel Dev (Validated) *NEW" -  Fix needed for Journey</t>
  </si>
  <si>
    <t>Hi OP Support Team,
Was hoping you could rush a fix to this journey https://app.observepoint.com/web-journey/522025/run/66152964/results?action=17
Named "PS2 ADC Amica.com Auto Quote Funnel Dev (Validated) *NEW"
Please reply to this group with any updates. Ideally we need this up and running by EOD today
Thank you!
Francesco S Ialongo | Lead Adobe Analytics Administrator
Amica Mutual Insurance Company | Marketing, Communications &amp; Growth
50 Amica Way | Lincoln, RI | 02865-1155</t>
  </si>
  <si>
    <t>19b32abdac6977cf</t>
  </si>
  <si>
    <t>ObservePoint AI from ObservePoint &lt;support@observepoint.com&gt;</t>
  </si>
  <si>
    <t>john.davis@observepoint.com, macey.bell@observepoint.com, mpatel2@amica.com, psmith2@amica.com</t>
  </si>
  <si>
    <t>Re: https://app.observepoint.com/web-journey/522025/run/66152964/results?action=17   - "PS2 ADC Amica.com Auto Quote Funnel Dev (Validated) *NEW" -  Fix needed for Journey</t>
  </si>
  <si>
    <t xml:space="preserve"> 
#61075325: 
https://app.observepoint.com/web-journey/522025/run/66152964/results?action=17 
- "PS2 ADC Amica.com Auto Quote Funnel Dev (Validated) *NEW" - Fix needed 
for Journey 
Submitted 
We'll pick up your ticket soon 
Hi OP Support Team, Was hoping you could rush a fix to this journey 
https://app.observepoint.com/web-journey/522025/run/66152964/results?action=17 
Named “PS2 ADC Amica.com Auto Quote Funnel Dev (Validated) *NEW” Please 
reply to this group with any updates. Ideally we nee</t>
  </si>
  <si>
    <t>19b32b40666eb5ad</t>
  </si>
  <si>
    <t>ObservePoint &lt;support@observepoint.com&gt;, John Davis &lt;john.davis@observepoint.com&gt;, "PATEL, MAYUR A." &lt;MPATEL2@amica.com&gt;, "SMITH, PAUL" &lt;PSMITH2@amica.com&gt;</t>
  </si>
  <si>
    <t>Re: https://app.observepoint.com/web-journey/522025/run/66152964/results?action=17 - "PS2 ADC Amica.com Auto Quote Funnel Dev (Validated) *NEW" - Fix needed for Journey</t>
  </si>
  <si>
    <t>Hi Franc, the team is on it and setting out to fix by end of today. They
will let you know if there are any obstacles or something they need from
you.
On Thu, Dec 18, 2025 at 11:14 AM IALONGO, FRANCESCO S. &lt;FIALONGO@amica.com&gt;
wrote:
&gt; Hi OP Support Team,
&gt;
&gt;
&gt;
&gt; Was hoping you could rush a fix to this journey
&gt; https://app.observepoint.com/web-journey/522025/run/66152964/results?action=17
&gt;
&gt;
&gt;
&gt; Named “PS2 ADC Amica.com Auto Quote Funnel Dev (Validated) *NEW”
&gt;
&gt;
&gt;
&gt; Plea</t>
  </si>
  <si>
    <t>19b32bb1cbc72313</t>
  </si>
  <si>
    <t>RE: [EXTERNAL] Re: https://app.observepoint.com/web-journey/522025/run/66152964/results?action=17 - "PS2 ADC Amica.com Auto Quote Funnel Dev (Validated) *NEW" - Fix needed for Journey</t>
  </si>
  <si>
    <t>Hi!
That is awesome news!
As they have time, was also hoping they could fix the production one here
PRODUCTION JOURNEY:Prod ADC Amica.com Auto Quote Funnel V1
https://app.observepoint.com/web-journey/451571/run/66210565/results?action=8&amp;tab=4
Let me know if I should send a separate email for this request. Also can you please remind me when you will be closed?
Thank you!
Francesco S Ialongo | Lead Adobe Analytics Administrator
Amica Mutual Insurance Company | Marketing</t>
  </si>
  <si>
    <t>19b330e394ec6ce5</t>
  </si>
  <si>
    <t>Re: [EXTERNAL] Re: https://app.observepoint.com/web-journey/522025/run/66152964/results?action=17 - "PS2 ADC Amica.com Auto Quote Funnel Dev (Validated) *NEW" - Fix needed for Journey</t>
  </si>
  <si>
    <t>Hey Franc can you shed any light on the message the journey is giving? Do
we need to change anything or is this expected?
The journey is ready.
https://app.observepoint.com/web-journey/522025/run/66467245/results
We're getting this error at step 21 in the browser and the application(see
the picture):
"We're sorry
Unfortunately, we're unable to provide you with a quote at this time."
Maybe because it is the end of the year?
On Thu, Dec 18, 2025 at 11:31 AM IALONGO, FRANCESCO S. &lt;</t>
  </si>
  <si>
    <t>19b368714888144d</t>
  </si>
  <si>
    <t>Anghelus from ObservePoint &lt;support@observepoint.com&gt;</t>
  </si>
  <si>
    <t>Francesco Ialongo &lt;fialongo@amica.com&gt;, Mayur Patel &lt;mpatel2@amica.com&gt;, Paul Smith &lt;psmith2@amica.com&gt;, john.davis@observepoint.com</t>
  </si>
  <si>
    <t>Hi Francesco, 
 ​We are reviewing your request and will reply as soon as possible. 
 Thanks, 
 Anghelus</t>
  </si>
  <si>
    <t>19b36871c4270e64</t>
  </si>
  <si>
    <t xml:space="preserve"> 
#61075325: 
https://app.observepoint.com/web-journey/522025/run/66152964/results?action=17 
- "PS2 ADC Amica.com Auto Quote Funnel Dev (Validated) *NEW" - Fix needed 
for Journey 
In progress 
We're working on your ticket 
Hi OP Support Team, Was hoping you could rush a fix to this journey 
https://app.observepoint.com/web-journey/522025/run/66152964/results?action=17 
Named “PS2 ADC Amica.com Auto Quote Funnel Dev (Validated) *NEW” Please 
reply to this group with any updates. Ideally we nee</t>
  </si>
  <si>
    <t>19b36e3fd769fe2b</t>
  </si>
  <si>
    <t>Anghelus from ObservePoint &lt;support@observepoint.com&gt;, "macey.bell@observepoint.com" &lt;macey.bell@observepoint.com&gt;</t>
  </si>
  <si>
    <t>"PATEL, MAYUR A." &lt;MPATEL2@amica.com&gt;, "SMITH, PAUL" &lt;PSMITH2@amica.com&gt;, "john.davis@observepoint.com" &lt;john.davis@observepoint.com&gt;</t>
  </si>
  <si>
    <t>RE: [EXTERNAL] Re: https://app.observepoint.com/web-journey/522025/run/66152964/results?action=17   - "PS2 ADC Amica.com Auto Quote Funnel Dev (Validated) *NEW" -  Fix needed for Journey</t>
  </si>
  <si>
    <t>Thank you!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Anghelus from ObservePoint &lt;support@observepoint.com&gt;
Sent: Friday, December 19, 2025 7:13 AM
To: macey.bell@observepoint.com
Cc: IALONGO, FRANCESCO S. &lt;FIALONGO@AMICA.</t>
  </si>
  <si>
    <t>19b38915b20ef599</t>
  </si>
  <si>
    <t>macey.bell@observepoint.com, Mayur Patel &lt;mpatel2@amica.com&gt;, Paul Smith &lt;psmith2@amica.com&gt;, john.davis@observepoint.com</t>
  </si>
  <si>
    <t xml:space="preserve">Hi Francesco, 
 PS2 ADC Amica.com Auto Quote Funnel Dev (Validated) *NEW 
 https://app.observepoint.com/web-journey/522025/run/66471733/results 
 Prod ADC Amica.com Auto Quote Funnel V1 
 https://app.observepoint.com/web-journey/451571/run/66472265/results 
 We're getting this error at step 19 for the first journey and at step 18 for the second one, in the browser and the application(see the picture): 
 "We're sorry. Unfortunately, we're unable to provide you with a quote at this time." 
</t>
  </si>
  <si>
    <t>19b389160dfde68f</t>
  </si>
  <si>
    <t xml:space="preserve"> 
#61075325: 
https://app.observepoint.com/web-journey/522025/run/66152964/results?action=17 
- "PS2 ADC Amica.com Auto Quote Funnel Dev (Validated) *NEW" - Fix needed 
for Journey 
Resolved 
We've completed your ticket 
Hi OP Support Team, Was hoping you could rush a fix to this journey 
https://app.observepoint.com/web-journey/522025/run/66152964/results?action=17 
Named “PS2 ADC Amica.com Auto Quote Funnel Dev (Validated) *NEW” Please 
reply to this group with any updates. Ideally we need th</t>
  </si>
  <si>
    <t>19b47e28d3d5ff31</t>
  </si>
  <si>
    <t>"john.davis@observepoint.com" &lt;john.davis@observepoint.com&gt;, "macey.bell@observepoint.com" &lt;macey.bell@observepoint.com&gt;, "PATEL, MAYUR A." &lt;MPATEL2@amica.com&gt;, "SMITH, PAUL" &lt;PSMITH2@amica.com&gt;</t>
  </si>
  <si>
    <t>Hi,
Please see https://app.observepoint.com/web-journey/522025/run/66152964/results?action=17
I updated the address to not have business fails, can you please work on the click on step 17?
Thank you,
Francesco S Ialongo | Lead Adobe Analytics Administrator
Amica Mutual Insurance Company | Marketing, Communications &amp; Growth
50 Amica Way | Lincoln, RI | 02865-1155
Voice: 800-652-6422 ext. 22312 | Fax: 401-333-5349
fialongo@amica.com&lt;mailto:%20fialongo@amica.com&gt; | Amica.com&lt;http:</t>
  </si>
  <si>
    <t>19b47e2ec9b98c66</t>
  </si>
  <si>
    <t>Re: RE: [EXTERNAL] Re: https://app.observepoint.com/web-journey/522025/run/66152964/results?action=17   - "PS2 ADC Amica.com Auto Quote Funnel Dev (Validated) *NEW" -  Fix needed for Journey</t>
  </si>
  <si>
    <t xml:space="preserve"> 
#62217658: RE: [EXTERNAL] Re: 
https://app.observepoint.com/web-journey/522025/run/66152964/results?action=17 
- "PS2 ADC Amica.com Auto Quote Funnel Dev (Validated) *NEW" - Fix needed 
for Journey 
Submitted 
We'll pick up your ticket soon 
Hi, Please see 
https://app.observepoint.com/web-journey/522025/run/66152964/results?action=17 
I updated the address to not have business fails, can you please work on 
the click on step 17? Thank you, *Francesco S Ialongo | *Lead Adobe 
Analytics Admini</t>
  </si>
  <si>
    <t>19b4ab7cf0927119</t>
  </si>
  <si>
    <t>19b4ab7dc134a575</t>
  </si>
  <si>
    <t xml:space="preserve"> 
#62217658: RE: [EXTERNAL] Re: 
https://app.observepoint.com/web-journey/522025/run/66152964/results?action=17 
- "PS2 ADC Amica.com Auto Quote Funnel Dev (Validated) *NEW" - Fix needed 
for Journey 
In progress 
We're working on your ticket 
Hi, Please see 
https://app.observepoint.com/web-journey/522025/run/66152964/results?action=17 
I updated the address to not have business fails, can you please work on 
the click on step 17? Thank you, *Francesco S Ialongo | *Lead Adobe 
Analytics Admini</t>
  </si>
  <si>
    <t>19b4b1568626fb3d</t>
  </si>
  <si>
    <t>Hi Francesco, 
 The journey is ready. 
 https://app.observepoint.com/web-journey/522025/run/66489324/results 
 Thanks, 
 Anghelus</t>
  </si>
  <si>
    <t>19b4b157266c573e</t>
  </si>
  <si>
    <t xml:space="preserve"> 
#62217658: RE: [EXTERNAL] Re: 
https://app.observepoint.com/web-journey/522025/run/66152964/results?action=17 
- "PS2 ADC Amica.com Auto Quote Funnel Dev (Validated) *NEW" - Fix needed 
for Journey 
Resolved 
We've completed your ticket 
Hi, Please see 
https://app.observepoint.com/web-journey/522025/run/66152964/results?action=17 
I updated the address to not have business fails, can you please work on 
the click on step 17? Thank you, *Francesco S Ialongo | *Lead Adobe 
Analytics Administra</t>
  </si>
  <si>
    <t>19b4b8bd98b1ce84</t>
  </si>
  <si>
    <t>"macey.bell@observepoint.com" &lt;macey.bell@observepoint.com&gt;, "PATEL, MAYUR A." &lt;MPATEL2@amica.com&gt;, "SMITH, PAUL" &lt;PSMITH2@amica.com&gt;, "john.davis@observepoint.com" &lt;john.davis@observepoint.com&gt;</t>
  </si>
  <si>
    <t>RE: RE: [EXTERNAL] Re: https://app.observepoint.com/web-journey/522025/run/66152964/results?action=17   - "PS2 ADC Amica.com Auto Quote Funnel Dev (Validated) *NEW" -  Fix needed for Journey</t>
  </si>
  <si>
    <t>Thank you Anghelus!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Anghelus from ObservePoint &lt;support@observepoint.com&gt;
Sent: Tuesday, December 23, 2025 7:01 AM
To: IALONGO, FRANCESCO S. &lt;FIALONGO@AMICA.COM&gt;
Cc: macey.bell@ob</t>
  </si>
  <si>
    <t>19b0e63d3a7ea8e2</t>
  </si>
  <si>
    <t>Macey Bell &lt;macey.bell@observepoint.com&gt;, John Davis &lt;john.davis@observepoint.com&gt;</t>
  </si>
  <si>
    <t>RE: ObservePoint | Amica - Sync</t>
  </si>
  <si>
    <t>Hi John and Macey,
Let me know if you (either of you) have a few minutes to connect tomorrow.
Wanted to go over a few things:
  *   need to get some documentation on OP MFA SSO azure compatible SMAL 2.0
  *   expand the use of the tool - training for various amica groups
  *   3rd party tags alerts and inventory – each tag with page list
Thank you!
Francesco S Ialongo | Lead Adobe Analytics Administrator
Amica Mutual Insurance Company | Marketing, Communications &amp; Growth
5</t>
  </si>
  <si>
    <t>19b0e6aee316db33</t>
  </si>
  <si>
    <t>Re: ObservePoint | Amica - Sync</t>
  </si>
  <si>
    <t>Hey Frank,
I am actually on PTO tomorrow and Macey woke up sick today so do you think
we could push this to next week?
Here are some times that work for us, go ahead and grab one that works for
you
Meeting length: 30 Minutes
Time Zone: (GMT-7) MST/Denver
Mon Dec 15 Tue Dec 16 Wed Dec 17 Thu Dec 18 Fri Dec 19
 1:30  PM
&lt;https://observepoint.chilipiper.com/suggested-times/ff5df25e-fda1-4731-a4ba-b0395d3484a8?slotStartsAt=2025-12-15T20:30:00.000Z&gt;
 11:30  AM
&lt;https://observepoint.c</t>
  </si>
  <si>
    <t>19b2e158dbfd04fb</t>
  </si>
  <si>
    <t>John Davis &lt;john.davis@observepoint.com&gt;, Jered White &lt;jered.white@observepoint.com&gt;</t>
  </si>
  <si>
    <t xml:space="preserve"> Hey Jered!
Can you help with this SSO question?
On Thu, Dec 11, 2025 at 10:17 AM John Davis &lt;john.davis@observepoint.com&gt;
wrote:
&gt; Hey Frank,
&gt;
&gt; I am actually on PTO tomorrow and Macey woke up sick today so do you think
&gt; we could push this to next week?
&gt;
&gt; Here are some times that work for us, go ahead and grab one that works for
&gt; you
&gt;
&gt; Meeting length: 30 Minutes
&gt; Time Zone: (GMT-7) MST/Denver
&gt; Mon Dec 15 Tue Dec 16 Wed Dec 17 Thu Dec 18 Fri Dec 19
&gt;  1:30  PM
&gt; &lt;h</t>
  </si>
  <si>
    <t>19b2e5ffeb02716b</t>
  </si>
  <si>
    <t>Hey Frank,
Here are some times to start a bi-weekly sync up, feel free to grab a slot
that works for you and your team
Meeting length: 30 Minutes
Time Zone: (GMT-7) MST/Denver
Tue Jan 6 Wed Jan 7 Thu Jan 8 Fri Jan 9
 10:00  AM
&lt;https://us-3129.email-composer-webhooks.gong.io/email-tracking/clicked?email-info-token=eyJhbGciOiJIUzI1NiJ9.eyJjb21wYW55SWQiOiI4OTgyMjM2MTQxODc2Mjk3NzAiLCJkcmFmdElkIjoici00MjQ1ODYyNzc5NTM1MDk5MTYyIiwibGlua1VybCI6Imh0dHBzOi8vb2JzZXJ2ZXBvaW50LmNoaWxpcGlwZXIuY29t</t>
  </si>
  <si>
    <t>19b2edf36ebec317</t>
  </si>
  <si>
    <t>Jered White &lt;jered.white@observepoint.com&gt;</t>
  </si>
  <si>
    <t>John Davis &lt;john.davis@observepoint.com&gt;, "IALONGO, FRANCESCO S." &lt;FIALONGO@amica.com&gt;</t>
  </si>
  <si>
    <t>Hello Frank,
We support SAML 2.0, so our systems should play well with Azure.
Our current SSO help docs honestly need a refresh, so it may actually
result in confusion. If you were just confirming SAML 2.0 will work then we
are in good shape! I will send the appropriate xml attached here. If you
were just exploring the option, this file should have all the information
needed to configure in Azure when the time comes.
On Wed, Dec 17, 2025 at 1:52 PM Macey Bell &lt;macey.bell@observepoin</t>
  </si>
  <si>
    <t>19b32b082346f723</t>
  </si>
  <si>
    <t>RE: [EXTERNAL] Re: ObservePoint | Amica - Sync</t>
  </si>
  <si>
    <t>Hi John,
I believe Tuesdays 230 might be the best time
Was also hoping we could setup a second connect on Fridays at 11am. Let me know.
Thanks again for sharing!
Francesco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t>
  </si>
  <si>
    <t>19b32b916e7dfb61</t>
  </si>
  <si>
    <t>Jered White &lt;jered.white@observepoint.com&gt;, Macey Bell &lt;macey.bell@observepoint.com&gt;</t>
  </si>
  <si>
    <t>Hi Jared,
Thanks you for sharing!
I will pass it along and let you know if the team has any questions
Thank you,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Jered White &lt;jered.white@observepoint.com&gt;
Sent: Wednesday,</t>
  </si>
  <si>
    <t>19b386c3868192d1</t>
  </si>
  <si>
    <t>Hi John
Some small misunderstanding, I replied to the hrs in EST time.
Can we move the Tuesday meeting to 330pm est?
Thank you,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John Davis &lt;john.davis@observepoint.com&gt;
Sen</t>
  </si>
  <si>
    <t>19b4707030809384</t>
  </si>
  <si>
    <t>Re: [EXTERNAL] Re: ObservePoint | Amica - Sync</t>
  </si>
  <si>
    <t>Hey Frank,
Yes, 3:30pm EST should work fine moving forward, you should've received an
updated invite.
I am working on another idea for Fridays, I was thinking we could get one
of our Solutions Engineers to do a recurring educational session for you to
help you get the most value out of ObservePoint in the future. I am still
working on the details, but it's hard to nail something like this down
during the holidays. I will keep you in the loop.
*Regards, *
John Davis *   |    * *C</t>
  </si>
  <si>
    <t>19b471f5a93d93c9</t>
  </si>
  <si>
    <t>Hi John,
Thank you for accommodating and my apologies for the misunderstanding since I saw in your original you mentioned  MT and not EST
I like the technical training idea!
Thank you,
Francesco S Ialongo | Lead Adobe Analytics Administrator
Amica Mutual Insurance Company | Marketing, Communications &amp; Growth
50 Amica Way | Lincoln, RI | 02865-1155
Voice: 800-652-6422 ext. 22312 | Fax: 401-333-5349
fialongo@amica.com&lt;mailto:%20fialongo@amica.com&gt; | Amica.com&lt;http://www.amica.com</t>
  </si>
  <si>
    <t>19adb0ddd4bdb654</t>
  </si>
  <si>
    <t>Chris Hawkes &lt;chris.hawkes@observepoint.com&gt;</t>
  </si>
  <si>
    <t>John Davis &lt;john.davis@observepoint.com&gt;, Jyothish Sebastian &lt;jsebastian@athenahealth.com&gt;, Madeline Korber &lt;mkorber@athenahealth.com&gt;, Pradeep Kumar Venugopal &lt;vpradeep@athenahealth.com&gt;</t>
  </si>
  <si>
    <t>observepoint.com, athenahealth.com</t>
  </si>
  <si>
    <t>Hi all,
As promised, I wanted to make a formal introduction to your Customer
Success Manager, John Davis, as we have concluded onboarding. I've added @John
Davis
&lt;https://us-3129.email-composer-webhooks.gong.io/email-tracking/clicked?email-info-token=eyJhbGciOiJIUzI1NiJ9.eyJjb21wYW55SWQiOiI4OTgyMjM2MTQxODc2Mjk3NzAiLCJkcmFmdElkIjoicjEyMjA4NDY2MjE2MzgyNjE5MjQiLCJsaW5rVXJsIjoibWFpbHRvOmpvaG4uZGF2aXNAb2JzZXJ2ZXBvaW50LmNvbSIsImxpbmtUZXh0IjoiQEpvaG4gRGF2aXMiLCJ0ZW1wbGF0ZUlkIjoiIiwiZXhwIjoxNzY2ND</t>
  </si>
  <si>
    <t>19ae150485371dbc</t>
  </si>
  <si>
    <t>Jyothish Sebastian &lt;jsebastian@athenahealth.com&gt;, Madeline Korber &lt;mkorber@athenahealth.com&gt;, Pradeep Kumar Venugopal &lt;vpradeep@athenahealth.com&gt;</t>
  </si>
  <si>
    <t xml:space="preserve">Thank you for the introduction, Chris.
It's great to meet you all. I'm taking over as your Customer Success
Manager and am here to make this transition as smooth as possible.
I would love to learn more about your goals for your audits next year and
discuss how we can partner with you to meet and exceed those goals.
In terms of setting up a recurring meeting, I would love to schedule a
quick 30 min monthly sync up and then tailor the meetings/schedule to your
needs.
Use this link </t>
  </si>
  <si>
    <t>19abbba06dc66096</t>
  </si>
  <si>
    <t>John Davis &lt;john.davis@observepoint.com&gt;, Macey Bell &lt;macey.bell@observepoint.com&gt;, jsebastian@athenahealth.com, vpradeep@athenahealth.com</t>
  </si>
  <si>
    <t>Invitation: ObservePoint &amp; Athena Health || Business Review &amp; CSM Han... @ Tue Nov 25, 2025 9am - 9:50am (MST) (John Davis)</t>
  </si>
  <si>
    <t>ObservePoint &amp; Athena Health || Business Review &amp; CSM Handoff
Tuesday Nov 25, 2025 ⋅ 9am – 9:50am
Mountain Time - Denver
Location
https://observepoint.zoom.us/j/92849939183	
https://www.google.com/url?q=https%3A%2F%2Fobservepoint.zoom.us%2Fj%2F92849939183&amp;sa=D&amp;source=calendar&amp;ust=1764518100000000&amp;usg=AOvVaw1qbTaCUV7zH0-EzXfFtZKh
Looking forward to connecting.
If you need to reschedule, please use the link:  
https://observepoint.chilipiper.com/reschedule/af53c46b-8ce5-4e2d-962c-d</t>
  </si>
  <si>
    <t>19aba33ceccb7c86</t>
  </si>
  <si>
    <t>John Davis &lt;john.davis@observepoint.com&gt;, fialongo@amica.com, mpatel2@amica.com, psmith2@amica.com, spalavalasa@amica.com, kmusku@amica.com, krenaud@amica.com, mfwood@amica.com, "VALETI, GOWTHAM KUMAR" &lt;gvaleti@amica.com&gt;, "RASHEED, ABDUL" &lt;arasheed@amica.com&gt;</t>
  </si>
  <si>
    <t>Invitation: ObservePoint | Amica - Sync @ Weekly from 1:30pm to 2pm on Wednesday (MST) (John Davis)</t>
  </si>
  <si>
    <t>ObservePoint | Amica - Sync
Weekly from 1:30pm to 2pm on Wednesday
Mountain Time - Denver
Join Zoom Meeting
https://observepoint.zoom.us/j/3742631971?pwd=Z2JhWG1yV1ZtOVBnMVZaRDR0bjVDZz09&amp;omn=96471481894
Join by phone
(US) +1 888-788-0099
passcode: 318688
Joining instructions
https://www.google.com/url?q=https://applications.zoom.us/addon/invitation/detail?meetingUuid%3DKydQXyYyRLqp6frg4ynYBw%253D%253D%26signature%3Df1a055bc70027755e6e4eee099201e9590ded95ed7cd42496c22262f5cfea7</t>
  </si>
  <si>
    <t>19aba3091277b66d</t>
  </si>
  <si>
    <t>Invitation: ObservePoint | Agilent - Sync @ Mon Dec 8, 2025 2pm - 2:30pm (MST) (John Davis)</t>
  </si>
  <si>
    <t>ObservePoint | Agilent - Sync
Monday Dec 8, 2025 ⋅ 2pm – 2:30pm
Mountain Time - Denver
Join Zoom Meeting
https://observepoint.zoom.us/j/3742631971?pwd=Z2JhWG1yV1ZtOVBnMVZaRDR0bjVDZz09&amp;omn=98949187096
Join by phone
(US) +1 888-788-0099
passcode: 318688
Joining instructions
https://www.google.com/url?q=https://applications.zoom.us/addon/invitation/detail?meetingUuid%3Dul%252BSNSufTRCODW80j33fVQ%253D%253D%26signature%3Ddf9b0fa75e9fcfeeafa1296dc23c5ab3b4dd23278369d9b650ff2fe11a622</t>
  </si>
  <si>
    <t>19bdc2d83f12a20f</t>
  </si>
  <si>
    <t>Will Ferlis &lt;wferlis@caleres.com&gt;</t>
  </si>
  <si>
    <t>Accepted: ObservePoint | Caleres - Monthly Sync</t>
  </si>
  <si>
    <t xml:space="preserve">
</t>
  </si>
  <si>
    <t>19bdc2d94d1217ec</t>
  </si>
  <si>
    <t>19bc8dd373edfa1c</t>
  </si>
  <si>
    <t>dbroz@caleres.com</t>
  </si>
  <si>
    <t>Naturalizer Opted Out Cookies</t>
  </si>
  <si>
    <t>Hey Danieal,
I just wanted to send this over to you to help as a starting point for your
work on your opt-out cookies.
This is a list of all the cookies that are being found on your Naturalizer
sites in an opt-out state. Some are approved and set as strictly necessary,
but there are a lot that are not. Basically the ones in green should be
good to go, the ones in red might need some work.
We created this list for you to help show you the unapproved cookies that
might have a categor</t>
  </si>
  <si>
    <t>19bc84faa07cd307</t>
  </si>
  <si>
    <t>Danieal Broz &lt;dbroz@caleres.com&gt;</t>
  </si>
  <si>
    <t>19bc80dfd59336b5</t>
  </si>
  <si>
    <t>Thor Yang &lt;tyang@caleres.com&gt;</t>
  </si>
  <si>
    <t>19bc80c759e89ac2</t>
  </si>
  <si>
    <t>Krys Mills &lt;cmills@caleres.com&gt;</t>
  </si>
  <si>
    <t>19bb47953557c84d</t>
  </si>
  <si>
    <t>Nicole Burns &lt;nburns@bluebeam.com&gt;</t>
  </si>
  <si>
    <t>Andy Compas &lt;andy.compas@observepoint.com&gt;, Mark Tozer &lt;mtozer@bluebeam.com&gt;</t>
  </si>
  <si>
    <t>observepoint.com, bluebeam.com</t>
  </si>
  <si>
    <t>Example of EBR</t>
  </si>
  <si>
    <t xml:space="preserve">Hi all,
Please see an example of EBR from another vendor we have that demonstrates value to our executives in a helpful way. Granted this tool has a direct correlation to dollars/spend, I believe we could demonstrate ObservePoint's value in a similar way.
Didn't have Nic's email, but please pass along.
Thanks!
Nicole Burns (she/her/hers)
Director, Marketing Operations
Bluebeam, Inc.
+1 801 810 8094
Utah, US
www.bluebeam.com&lt;http://www.bluebeam.com/&gt;
</t>
  </si>
  <si>
    <t>19bb396dbb85923d</t>
  </si>
  <si>
    <t>Mark Tozer &lt;mtozer@bluebeam.com&gt;</t>
  </si>
  <si>
    <t>Accepted: ObservePoint | Bluebeam Inc. Sync</t>
  </si>
  <si>
    <t>19bb38432d77e1cf</t>
  </si>
  <si>
    <t>19b700aa7d46a531</t>
  </si>
  <si>
    <t>"nic.suder@observepoint.com" &lt;nic.suder@observepoint.com&gt;, "mliebenberg@bluebeam.com" &lt;mliebenberg@bluebeam.com&gt;, "john.davis@observepoint.com" &lt;john.davis@observepoint.com&gt;, "andy.compas@observepoint.com" &lt;andy.compas@observepoint.com&gt;</t>
  </si>
  <si>
    <t>Upcoming ObservePoint Renewal on February 28, 2026 - Bluebeam Inc.</t>
  </si>
  <si>
    <t xml:space="preserve">
[image: ObservePoint Logo_Gray_ON_YEllow_LOGO.jpeg]
A friendly reminder that it's time to renew.
Hi Miekie,
Thank you for being an ObservePoint customer!
This is an automated notification to let you know that the end of your 
current term is* February 28, 2026*.
We know approval and procurement processes can take time, and we want to 
avoid any interruption of service, hence we are reaching out now.
Please reach out to your account team if you have any questions, or if you 
anticipate </t>
  </si>
  <si>
    <t>19b51247b225f5f9</t>
  </si>
  <si>
    <t>"nic.suder@observepoint.com" &lt;nic.suder@observepoint.com&gt;, "tyang@caleres.com" &lt;tyang@caleres.com&gt;, "bryce.bergen@observepoint.com" &lt;bryce.bergen@observepoint.com&gt;, "john.davis@observepoint.com" &lt;john.davis@observepoint.com&gt;</t>
  </si>
  <si>
    <t>observepoint.com, caleres.com</t>
  </si>
  <si>
    <t>Upcoming ObservePoint Renewal on March 24, 2026 - Caleres</t>
  </si>
  <si>
    <t xml:space="preserve">
[image: ObservePoint Logo_Gray_ON_YEllow_LOGO.jpeg]
A friendly reminder that it's time to renew.
Hi Thor,
Thank you for being an ObservePoint customer!
This is an automated notification to let you know that the end of your 
current term is* March 24, 2026*.
We know approval and procurement processes can take time, and we want to 
avoid any interruption of service, hence we are reaching out now.
Unless you let us know of any changes by February 22, 2026, your 
subscription will automati</t>
  </si>
  <si>
    <t>19b349e81a0d0185</t>
  </si>
  <si>
    <t>Bryce Bergen &lt;bryce.bergen@observepoint.com&gt;</t>
  </si>
  <si>
    <t>Brad Weidner &lt;brad.weidner@brunswick.com&gt;, John Davis &lt;john.davis@observepoint.com&gt;</t>
  </si>
  <si>
    <t>brunswick.com, observepoint.com</t>
  </si>
  <si>
    <t>Brad, let me introduce your new CSM John</t>
  </si>
  <si>
    <t>Brad,
It's been a while.  I hope this finds you well.
Due to recent growth, we've added some new faces to our customer success
team.  I'd like to introduce you to your new customer success manager, @John
Davis &lt;john.davis@observepoint.com&gt;.  John will be your primary point of
contact for ongoing support.
Being we haven't connected in a while and with John now taking over your
account, I'd love to find 15 minutes in the next few days or after the
holiday break to jump on a Zoom and in</t>
  </si>
  <si>
    <t>19b9a41cec80d98b</t>
  </si>
  <si>
    <t>Brad Weidner &lt;Brad.Weidner@brunswick.com&gt;</t>
  </si>
  <si>
    <t>Bryce Bergen &lt;bryce.bergen@observepoint.com&gt;, John Davis &lt;john.davis@observepoint.com&gt;</t>
  </si>
  <si>
    <t>RE: Brad, let me introduce your new CSM John</t>
  </si>
  <si>
    <t>Hi Bryce,
I was out for the holiday weeks.
Nice to meet you, John. Let’s sync up next week!
This data is internal to Brunswick.
From: Bryce Bergen &lt;bryce.bergen@observepoint.com&gt;
Sent: Thursday, December 18, 2025 9:19 PM
To: Brad Weidner &lt;Brad.Weidner@brunswick.com&gt;; John Davis &lt;john.davis@observepoint.com&gt;
Subject: Brad, let me introduce your new CSM John
** CAUTION: External email, be careful with links and attachments. **
Brad,
It's been a while.  I hope this finds you</t>
  </si>
  <si>
    <t>19b9a45281617d3b</t>
  </si>
  <si>
    <t>Re: Brad, let me introduce your new CSM John</t>
  </si>
  <si>
    <t xml:space="preserve">Hey Brad,
It's nice to meet you as well, I look forward to working with you and I
hope to make this transition as smooth as possible.
Here are some available slots for Bryce and I next week, feel free to grab
one that works for you:
Meeting length: 30 Minutes
Time Zone: (GMT-7) MST/Denver
Mon Jan 12 Tue Jan 13 Wed Jan 14 Thu Jan 15 Fri Jan 16
 10:00  AM
&lt;https://observepoint.chilipiper.com/suggested-times/042dce12-4e95-4e21-82ef-6f551a6f0e77?slotStartsAt=2026-01-12T17:00:00.000Z&gt;
</t>
  </si>
  <si>
    <t>19b9a660cf3498ad</t>
  </si>
  <si>
    <t>Brad,
I hope you had a good holiday break.  Welcome back.
I just want to make sure that you're meeting with John regularly and
getting the most from ObservePoint.  I'm here as a point of support as well
if you need anything.
How are we doing so far at helping you meet the goals and requirements you
had for ObservePoint?
*Regards, *
Bryce Bergen *   |    * *Senior Account Executive*
Cell: 801.913.4463
bryce.bergen@observepoint.com
www.observepoint.com
&lt;https://www.observep</t>
  </si>
  <si>
    <t>19b28bd861790815</t>
  </si>
  <si>
    <t>John Davis &lt;john.davis@observepoint.com&gt;, pfrei@caesars.com, jparkinson@caesars.com, cdugger@caesars.com</t>
  </si>
  <si>
    <t>observepoint.com, caesars.com</t>
  </si>
  <si>
    <t>Invitation: ObservePoint | Caesars - Sync @ Every 4 weeks from 1pm to 1:30pm on Tuesday (MST) (John Davis)</t>
  </si>
  <si>
    <t>ObservePoint | Caesars - Sync
Every 4 weeks from 1pm to 1:30pm on Tuesday
Mountain Time - Denver
Join Zoom Meeting
https://observepoint.zoom.us/j/3742631971?pwd=Z2JhWG1yV1ZtOVBnMVZaRDR0bjVDZz09&amp;omn=94764147512&amp;jst=2
Join by phone
(US) +1 888-788-0099
passcode: 318688
Joining instructions
https://www.google.com/url?q=https://applications.zoom.us/addon/invitation/detail?meetingUuid%3DRwPnfnERS46%252BOzs%252BKjCkIA%253D%253D%26signature%3D345e9bc2a085131b2b2afefa327ab8fb69fcd1593</t>
  </si>
  <si>
    <t>19b14995f0fa3fa8</t>
  </si>
  <si>
    <t>John Davis &lt;john.davis@observepoint.com&gt;, tyang@caleres.com, spomerinke@caleres.com, wferlis@caleres.com, cmills@caleres.com</t>
  </si>
  <si>
    <t>Updated invitation with note: ObservePoint | Caleres - Monthly Sync @ Fri Jan 16, 2026 10am - 10:30am (MST) (John Davis)</t>
  </si>
  <si>
    <t>This event has been updated with a note:
"Adding notes to the calendar event outlining a plan moving forward to  
continue privacy effforts! Privacy Roadmap- Follow up on cookie exports of  
all unapproved cookies. Have we categorized them? Review fresh results for  
opted out audits once above is complete. Review results for hard coded  
audits to determine any categorized cookies that still could potentially  
fire when they shouldn't due to firing outside of the tag manager. Build  
au</t>
  </si>
  <si>
    <t>19b13679183f48a7</t>
  </si>
  <si>
    <t>John Davis &lt;john.davis@observepoint.com&gt;, nburns@bluebeam.com, mtozer@bluebeam.com</t>
  </si>
  <si>
    <t>Invitation with note: ObservePoint | Bluebeam - Sync @ Wed Dec 17, 2025 2:30pm - 3pm (MST) (John Davis)</t>
  </si>
  <si>
    <t>You have been invited to the following event with this note:
"Updating with my zoom link"
ObservePoint | Bluebeam - Sync
Wednesday Dec 17, 2025 ⋅ 2:30pm – 3pm
Mountain Time - Denver
Join Zoom Meeting
https://observepoint.zoom.us/j/3742631971?pwd=Z2JhWG1yV1ZtOVBnMVZaRDR0bjVDZz09&amp;omn=91613613758&amp;jst=2
Join by phone
(US) +1 888-788-0099
passcode: 318688
Joining instructions
https://www.google.com/url?q=https://applications.zoom.us/addon/invitation/detail?meetingUuid%3D5IKR36h</t>
  </si>
  <si>
    <t>19b040e9973ad5b3</t>
  </si>
  <si>
    <t>Nicole Burns &lt;nburns@bluebeam.com&gt;, Andy Compas &lt;andy.compas@observepoint.com&gt;, John Davis &lt;john.davis@observepoint.com&gt;</t>
  </si>
  <si>
    <t>bluebeam.com, observepoint.com</t>
  </si>
  <si>
    <t>Re: ObservePoint Follow Up</t>
  </si>
  <si>
    <t>Hey Mark and Nicole!
We have some awesome data to review from this top pages list that we were
able to scan in ObservePoint.
Do any of these times work to present findings?
Meeting length: 30 Minutes
Time Zone: (GMT-7) MST/Phoenix
Thu Dec 11 Mon Dec 15 Tue Dec 16 Wed Dec 17 Thu Dec 18 Fri Dec 19
 1:00  PM
&lt;https://observepoint.chilipiper.com/suggested-times/23f74518-6a79-43a3-8099-17fcacc5d929?slotStartsAt=2025-12-11T20:00:00.000Z&gt;
 1:00  PM
&lt;https://observepoint.chilipiper.com/sug</t>
  </si>
  <si>
    <t>19b8f227fdbe9742</t>
  </si>
  <si>
    <t>Mark Tozer &lt;mtozer@bluebeam.com&gt;, Nicole Burns &lt;nburns@bluebeam.com&gt;, Andy Compas &lt;andy.compas@observepoint.com&gt;</t>
  </si>
  <si>
    <t>Nicole and Mark,
It was great to meet you before the holidays and I look forward to working
with you both.
Here are some times for a quick sync up now that we are back into the swing
of things:
Meeting length: 30 Minutes
Time Zone: (GMT-7) MST/Denver
Tue Jan 6 Wed Jan 7 Thu Jan 8 Fri Jan 9
 11:30  AM
&lt;https://us-3129.email-composer-webhooks.gong.io/email-tracking/clicked?email-info-token=eyJhbGciOiJIUzI1NiJ9.eyJjb21wYW55SWQiOiI4OTgyMjM2MTQxODc2Mjk3NzAiLCJkcmFmdElkIjoicjkyMTI0MjEzN</t>
  </si>
  <si>
    <t>19bb327e71544fd9</t>
  </si>
  <si>
    <t>Mark Tozer &lt;mtozer@bluebeam.com&gt;, Andy Compas &lt;andy.compas@observepoint.com&gt;</t>
  </si>
  <si>
    <t>Hi John and team,
I found a time today we can connect. That said I have some undesirable news.
After reviewing our 2026 initiatives and overall direction, we’ve decided not to renew our Observepoint at this time. While we appreciate the opportunity to explore the solution and added benefits, it unfortunately did not gain the level of attention or traction within our business that we had anticipated. The business has chosen to focus budget on other initiatives moving forward.
We do thank</t>
  </si>
  <si>
    <t>19b011e3e3743c23</t>
  </si>
  <si>
    <t>Updated invitation: ObservePoint | Caesars - Sync @ Fri Dec 12, 2025 12pm - 12:30pm (MST) (John Davis)</t>
  </si>
  <si>
    <t>This event has been updated
Changed: time
ObservePoint | Caesars - Sync
Friday Dec 12, 2025 ⋅ 12pm – 12:30pm
Mountain Time - Denver
Join Zoom Meeting
https://observepoint.zoom.us/j/3742631971?pwd=Z2JhWG1yV1ZtOVBnMVZaRDR0bjVDZz09&amp;omn=94764147512&amp;jst=2
Join by phone
(US) +1 888-788-0099
passcode: 318688
Joining instructions
https://www.google.com/url?q=https://applications.zoom.us/addon/invitation/detail?meetingUuid%3DRwPnfnERS46%252BOzs%252BKjCkIA%253D%253D%26signature%3D</t>
  </si>
  <si>
    <t>19aba38d080d7837</t>
  </si>
  <si>
    <t>Invitation: ObservePoint | Caleres - Monthly Sync @ Monthly from 10am to 10:30am on the third Friday (MST) (John Davis)</t>
  </si>
  <si>
    <t>ObservePoint | Caleres - Monthly Sync
Monthly from 10am to 10:30am on the third Friday
Mountain Time - Denver
Join Zoom Meeting
https://observepoint.zoom.us/j/3742631971?pwd=Z2JhWG1yV1ZtOVBnMVZaRDR0bjVDZz09&amp;omn=99913386137
Join by phone
(US) +1 888-788-0099
passcode: 318688
Joining instructions
https://www.google.com/url?q=https://applications.zoom.us/addon/invitation/detail?meetingUuid%3D8hv3kgOlRcCPhtZnkZDTZw%253D%253D%26signature%3Df143d64acb992989ceb9f62d47956a1217116f50d2</t>
  </si>
  <si>
    <t>19aba352f6572763</t>
  </si>
  <si>
    <t>John Davis &lt;john.davis@observepoint.com&gt;, brandie.green@bsci.com, Abel Gomez &lt;abel.gomez@observepoint.com&gt;</t>
  </si>
  <si>
    <t>observepoint.com, bsci.com</t>
  </si>
  <si>
    <t>Invitation: ObservePoint | Boston Scientific - Sync @ Monthly from 9:30am to 10am on the first Friday (MST) (John Davis)</t>
  </si>
  <si>
    <t>ObservePoint | Boston Scientific - Sync
Monthly from 9:30am to 10am on the first Friday
Mountain Time - Denver
Join Zoom Meeting
https://observepoint.zoom.us/j/3742631971?pwd=Z2JhWG1yV1ZtOVBnMVZaRDR0bjVDZz09&amp;omn=94546244430
Join by phone
(US) +1 888-788-0099
passcode: 318688
Joining instructions
https://www.google.com/url?q=https://applications.zoom.us/addon/invitation/detail?meetingUuid%3DnqgqSGhQTmukruEnk8Fzfw%253D%253D%26signature%3D42d47f8c08cf7e3927e5c412258626f1aee51bf0b</t>
  </si>
  <si>
    <t>19aba31e7b4f3e9a</t>
  </si>
  <si>
    <t>Invitation: ObservePoint | Caesars - Sync @ Tue Dec 9, 2025 1pm - 1:30pm (MST) (John Davis)</t>
  </si>
  <si>
    <t>ObservePoint | Caesars - Sync
Tuesday Dec 9, 2025 ⋅ 1pm – 1:30pm
Mountain Time - Denver
Join Zoom Meeting
https://observepoint.zoom.us/j/3742631971?pwd=Z2JhWG1yV1ZtOVBnMVZaRDR0bjVDZz09&amp;omn=94764147512&amp;jst=2
Join by phone
(US) +1 888-788-0099
passcode: 318688
Joining instructions
https://www.google.com/url?q=https://applications.zoom.us/addon/invitation/detail?meetingUuid%3DRwPnfnERS46%252BOzs%252BKjCkIA%253D%253D%26signature%3D345e9bc2a085131b2b2afefa327ab8fb69fcd15939e96eeb9f</t>
  </si>
  <si>
    <t>19bc87222611de36</t>
  </si>
  <si>
    <t>"Tack, Chris" &lt;chris.tack@cotiviti.com&gt;</t>
  </si>
  <si>
    <t>Accepted: ObservePoint | Cotiviti Monthly Sync</t>
  </si>
  <si>
    <t>19bc299944a53403</t>
  </si>
  <si>
    <t>Reminder &lt;reminder@chilipiper.com&gt;</t>
  </si>
  <si>
    <t>chilipiper.com</t>
  </si>
  <si>
    <t>kendall.papera@setoyota.com</t>
  </si>
  <si>
    <t>Our meeting in an hour</t>
  </si>
  <si>
    <t xml:space="preserve"> 
Hi,
Looking forward to speaking to you in a short while.
Best,
</t>
  </si>
  <si>
    <t>19bc2d083d2fe287</t>
  </si>
  <si>
    <t>chinmay.satam@westjet.com</t>
  </si>
  <si>
    <t>19bc322e5fda1e69</t>
  </si>
  <si>
    <t>walter.bottlick@cotiviti.com</t>
  </si>
  <si>
    <t>john.davis@observepoint.com, chris.tack@cotiviti.com, macey.bell@observepoint.com</t>
  </si>
  <si>
    <t>observepoint.com, cotiviti.com</t>
  </si>
  <si>
    <t>19bc390d0b596e01</t>
  </si>
  <si>
    <t>hchamberlain@officeworks.com.au</t>
  </si>
  <si>
    <t>john.davis@observepoint.com, achan4@officeworks.com.au, hhebron@officeworks.com.au, macey.bell@observepoint.com, bhowell@officeworks.com.au, todd.wilkerson@observepoint.com</t>
  </si>
  <si>
    <t>observepoint.com, officeworks.com.au</t>
  </si>
  <si>
    <t>19bc313f7be399c3</t>
  </si>
  <si>
    <t>John Davis &lt;john.davis@observepoint.com&gt;, walter.bottlick@cotiviti.com, chris.tack@cotiviti.com</t>
  </si>
  <si>
    <t>Updated invitation: ObservePoint | Cotiviti - Sync @ Thu Jan 15, 2026 1:30pm - 2pm (MST) (John Davis)</t>
  </si>
  <si>
    <t>This event has been updated
Changed: title
ObservePoint | Cotiviti - Sync
Thursday Jan 15, 2026 ⋅ 1:30pm – 2pm
Mountain Time - Denver
Join Zoom Meeting
https://observepoint.zoom.us/j/3742631971?pwd=Z2JhWG1yV1ZtOVBnMVZaRDR0bjVDZz09&amp;omn=92674883392&amp;jst=2
Join by phone
(US) +1 888-788-0099
passcode: 318688
Joining instructions
https://www.google.com/url?q=https://applications.zoom.us/addon/invitation/detail?meetingUuid%3D%252BXOGcp59Qa%252BVxagnzbCwew%253D%253D%26signature%</t>
  </si>
  <si>
    <t>19bc2bb6b77f92a2</t>
  </si>
  <si>
    <t>"DaPonte, Maria E" &lt;Maria.DaPonte@cvshealth.com&gt;</t>
  </si>
  <si>
    <t>"Rondinelli, Amy" &lt;Amy.Rondinelli@cvshealth.com&gt;, Macey Bell &lt;macey.bell@observepoint.com&gt;, John Davis &lt;john.davis@observepoint.com&gt;</t>
  </si>
  <si>
    <t>cvshealth.com, observepoint.com</t>
  </si>
  <si>
    <t xml:space="preserve">
________________________________________________________________________________
Microsoft Teams Need help?&lt;https://aka.ms/JoinTeamsMeeting?omkt=en-US&gt;
Join the meeting now&lt;https://teams.microsoft.com/l/meetup-join/19%3ameeting_YWZhM2I2ZTUtZDYxYi00OTVkLTk4NTQtZDg4ZWRkMDIyODg0%40thread.v2/0?context=%7b%22Tid%22%3a%22fabb61b8-3afe-4e75-b934-a47f782b8cd7%22%2c%22Oid%22%3a%22f089cc43-bfcf-43e5-9b99-90ac44049de6%22%7d&gt;
Meeting ID: 271 384 264 532 75
Passcode: qW6Xu3WJ
_________________________</t>
  </si>
  <si>
    <t>19bc2415148ae01b</t>
  </si>
  <si>
    <t>Updated invitation with note: Meeting with Macey @ Thu Jan 15, 2026 1:30pm - 2pm (MST) (John Davis)</t>
  </si>
  <si>
    <t>This event has been updated with a note:
"Adding my zoom link"
Changed: conferencing
Meeting with Macey
Thursday Jan 15, 2026 ⋅ 1:30pm – 2pm
Mountain Time - Denver
Join Zoom Meeting
https://observepoint.zoom.us/j/3742631971?pwd=Z2JhWG1yV1ZtOVBnMVZaRDR0bjVDZz09&amp;omn=92674883392&amp;jst=2
Join by phone
(US) +1 888-788-0099
passcode: 318688
Joining instructions
https://www.google.com/url?q=https://applications.zoom.us/addon/invitation/detail?meetingUuid%3D%252BXOGcp59Qa%252BVxa</t>
  </si>
  <si>
    <t>19bbff667fbaea11</t>
  </si>
  <si>
    <t>John Davis &lt;john.davis@observepoint.com&gt;, grant.menefee@worldmarket.com, jesse.dykhoff@worldmarket.com, kevin.farkas@worldmarket.com</t>
  </si>
  <si>
    <t>observepoint.com, worldmarket.com</t>
  </si>
  <si>
    <t>abel.gomez@observepoint.com</t>
  </si>
  <si>
    <t>Invitation: ObservePoint | World Market - Sync @ Fri Jan 23, 2026 10am - 10:30am (MST) (John Davis)</t>
  </si>
  <si>
    <t>ObservePoint | World Market - Sync
Friday Jan 23, 2026 ⋅ 10am – 10:30am
Mountain Time - Denver
Join Zoom Meeting
https://observepoint.zoom.us/j/3742631971?pwd=Z2JhWG1yV1ZtOVBnMVZaRDR0bjVDZz09&amp;omn=91863898191
Join by phone
(US) +1 888-788-0099
passcode: 318688
Joining instructions
https://www.google.com/url?q=https://applications.zoom.us/addon/invitation/detail?meetingUuid%3D5Y0rydD8SMym7uDF8sAoLw%253D%253D%26signature%3Dd0051eb3d3a22b5905c0c9a36e05d76cf876eddac18d86eb90815e03f</t>
  </si>
  <si>
    <t>19b9f8696f1b6227</t>
  </si>
  <si>
    <t>Invitation: Meeting with Macey @ Thu Jan 15, 2026 1:30pm - 2pm (MST) (John Davis)</t>
  </si>
  <si>
    <t>Meeting with Macey
Thursday Jan 15, 2026 ⋅ 1:30pm – 2pm
Mountain Time - Denver
Join with Google Meet
https://meet.google.com/wam-bhgm-edh?hs=224
Join by phone
(US) +1 252-843-1145
PIN: 272727418
More phone numbers
https://tel.meet/wam-bhgm-edh?pin=5708940295851&amp;hs=0
Looking forward to connecting.
If you need to reschedule, please use the link:  
https://observepoint.chilipiper.com/reschedule/86485666-fb69-4260-b7dd-1e58e040d7de
Organizer
Macey Bell
macey.bell@obse</t>
  </si>
  <si>
    <t>19b9f85f028458e4</t>
  </si>
  <si>
    <t>"Bottlick, Walter" &lt;walter.bottlick@cotiviti.com&gt;</t>
  </si>
  <si>
    <t>Macey Bell &lt;macey.bell@observepoint.com&gt;, "Tack, Chris" &lt;chris.tack@cotiviti.com&gt;, John Davis &lt;john.davis@observepoint.com&gt;</t>
  </si>
  <si>
    <t>RE: **** EXTERNAL EMAIL - USE CAUTION **** ObservePoint Catch-Up + New CSM</t>
  </si>
  <si>
    <t>Hey Macey, sounds good. Can we shoot for the 1/15 at 1:30 MST slot?
From: Macey Bell &lt;macey.bell@observepoint.com&gt;
Sent: Thursday, January 8, 2026 2:52 PM
To: Bottlick, Walter &lt;walter.bottlick@cotiviti.com&gt;; Tack, Chris &lt;chris.tack@cotiviti.com&gt;; John Davis &lt;john.davis@observepoint.com&gt;
Subject: **** EXTERNAL EMAIL - USE CAUTION **** ObservePoint Catch-Up + New CSM
CAUTION: This email originated from outside of the organization. Do not click links or open attachments unless you recogniz</t>
  </si>
  <si>
    <t>19b9f92b194b4bc0</t>
  </si>
  <si>
    <t>Macey Bell &lt;macey.bell@observepoint.com&gt;, "Tack, Chris" &lt;chris.tack@cotiviti.com&gt;</t>
  </si>
  <si>
    <t>Re: **** EXTERNAL EMAIL - USE CAUTION **** ObservePoint Catch-Up + New CSM</t>
  </si>
  <si>
    <t>Hey Walter and Chris,
Yes I think that will work for us, thanks
I'm excited to meet you all and go over your ObservePoint goals for 2026!
*Regards, *
John Davis *   |    * *Customer Success Manager*
Cell: 801.633.6013
john.davis@observepoint.com
www.observepoint.com
&lt;https://groove.grvlnk4.com/url/typa6byifukvbtijwod94/aHR0cDovL3d3dy5vYnNlcnZlcG9pbnQuY29tLyNncm9vdmVzdW06LTc2MTEwNTM3MA%3D%3D&gt;
On Thu, Jan 8, 2026 at 2:31 PM Bottlick, Walter &lt;
walter.bottlick@cotiviti.com&gt;</t>
  </si>
  <si>
    <t>19b9f672277b6d88</t>
  </si>
  <si>
    <t>Tatyana Zachary &lt;tatyana.zachary@cdw.com&gt;</t>
  </si>
  <si>
    <t>Automatic reply: Billing Info</t>
  </si>
  <si>
    <t xml:space="preserve">Thank you for your message.
I will be on PTO from Jan 8th through Jan 16th
Tatyana
</t>
  </si>
  <si>
    <t>19b9f6426af7c045</t>
  </si>
  <si>
    <t>Audrey Bombeck-Massel &lt;audrbom@cdw.com&gt;, Tatyana Zachary &lt;tatyana.zachary@cdw.com&gt;</t>
  </si>
  <si>
    <t>Macey Bell &lt;macey.bell@observepoint.com&gt;, Andy Compas &lt;andy.compas@observepoint.com&gt;</t>
  </si>
  <si>
    <t>Billing Info</t>
  </si>
  <si>
    <t>Hey Audrey and Tatyana,
I was looking over your account and our documents and noticed our billing
info for you guys hasn't been updated in awhile. Do you mind filling out
this attached form so I have all the right contacts for the future?
*Regards, *
John Davis *   |    * *Customer Success Manager*
Cell: 801.633.6013
john.davis@observepoint.com
www.observepoint.com
&lt;https://groove.grvlnk4.com/url/typa6byifukvbtijwod94/aHR0cDovL3d3dy5vYnNlcnZlcG9pbnQuY29tLyNncm9vdmVzdW06LTc2MTEwN</t>
  </si>
  <si>
    <t>19bb9983cc4de3e6</t>
  </si>
  <si>
    <t>Re: Billing Info</t>
  </si>
  <si>
    <t>Hey Audrey and Tatyana,
Just bumping on this again so that we don't let it fall through the cracks,
I appreciate your help on this!
*Regards, *
John Davis *   |    * *Customer Success Manager*
Cell: 801.633.6013
john.davis@observepoint.com
www.observepoint.com
&lt;https://us-3129.email-composer-webhooks.gong.io/email-tracking/clicked?email-info-token=eyJhbGciOiJIUzI1NiJ9.eyJjb21wYW55SWQiOiI4OTgyMjM2MTQxODc2Mjk3NzAiLCJkcmFmdElkIjoicjY4MjkyNTA2MDIyOTU5Nzk4NTIiLCJsaW5rVXJsIjoiaHR0cHM6L</t>
  </si>
  <si>
    <t>19b9f2a846b792df</t>
  </si>
  <si>
    <t>"Bottlick, Walter" &lt;walter.bottlick@cotiviti.com&gt;, "Tack, Chris" &lt;chris.tack@cotiviti.com&gt;, John Davis &lt;john.davis@observepoint.com&gt;</t>
  </si>
  <si>
    <t>cotiviti.com, observepoint.com</t>
  </si>
  <si>
    <t>ObservePoint Catch-Up + New CSM</t>
  </si>
  <si>
    <t>Hey Walter and Chris,
I would love to catch up to go over progress made with your privacy QA as
well as go over what your team and company goals and metrics will be for
2026 so ObservePoint can best help and be aligned with Cotiviti's
priorities. Also, I'd like to introduce you to John Davis, who will be the
assigned CSM and main point of contact for Cotiviti moving forward. I'm
still at ObservePoint so you'd better come to Edge again this year!
Would any of these times work to sync u</t>
  </si>
  <si>
    <t>19b753114ac2c303</t>
  </si>
  <si>
    <t>"nic.suder@observepoint.com" &lt;nic.suder@observepoint.com&gt;, "clarke.anderson@observepoint.com" &lt;clarke.anderson@observepoint.com&gt;, "john.davis@observepoint.com" &lt;john.davis@observepoint.com&gt;, "erin.hayes@worldmarket.com" &lt;erin.hayes@worldmarket.com&gt;</t>
  </si>
  <si>
    <t>Upcoming ObservePoint Renewal on March 1, 2026 - Cost Plus World Market</t>
  </si>
  <si>
    <t xml:space="preserve">
[image: ObservePoint Logo_Gray_ON_YEllow_LOGO.jpeg]
A friendly reminder that it's time to renew.
Hi Erin,
Thank you for being an ObservePoint customer!
This is an automated notification to let you know that the end of your 
current term is* March 1, 2026*.
We know approval and procurement processes can take time, and we want to 
avoid any interruption of service, hence we are reaching out now.
Please reach out to your account team if you have any questions, or if you 
anticipate any ch</t>
  </si>
  <si>
    <t>19b47e998c9761f7</t>
  </si>
  <si>
    <t>Accepted: ObservePoint | CDW Sync</t>
  </si>
  <si>
    <t xml:space="preserve">
----------------------------------------------------------------------
The contents of this email are intended only for the recipient(s) listed above. If you are not the intended recipient, you are directed not to read, disclose, distribute, or otherwise use this transmission. If you have received this email in error, please notify the sender immediately and delete the transmission. Delivery of this message is not intended to waive any applicable privileges.
</t>
  </si>
  <si>
    <t>19b4705e6c4a03bd</t>
  </si>
  <si>
    <t>Audrey Bombeck-Massel &lt;audrbom@cdw.com&gt;</t>
  </si>
  <si>
    <t>Tatyana Zachary &lt;tatyana.zachary@cdw.com&gt;, "John.davis@observepoint.com" &lt;John.davis@observepoint.com&gt;</t>
  </si>
  <si>
    <t>cdw.com, observepoint.com</t>
  </si>
  <si>
    <t>FW: Your 2025 ObservePoint Year in Review is here</t>
  </si>
  <si>
    <t>Hello Tatyana,
FYI - John Davis has replaced Macey Bell at Observepoint. @John.davis@observepoint.com&lt;mailto:John.davis@observepoint.com&gt; – please provide a short introduction of yourself to Tatyana Zachary, Sr. Director at CDW.
Audrey Bombeck-Massel, MBA, PMP, CSM
Performance Analytics, Technical Project Manager/Scrum Master | CDW
Phone: 847-373-7311 (cell)
Email: audrbom@cdw.com&lt;mailto:audrbom@cdw.com&gt;
[signatureImage][cid:image002.jpg@01DC7332.D9B35580] [cid:image003.png@01DC7332.D9</t>
  </si>
  <si>
    <t>19b479b969ea4244</t>
  </si>
  <si>
    <t>Re: FW: Your 2025 ObservePoint Year in Review is here</t>
  </si>
  <si>
    <t>Hey Tatyana,
Like Audrey said, I will be taking over this partnership with CDW and look
forward to working with you and your team. I enjoyed meeting Audrey and
your team.
We are just doing some internal shuffling here and Macey is not going
anywhere, she will continue to be here to provide context of previous
projects that she has been involved in with your team.
I am here to make sure the transition is as smooth as possible. I come from
a technical background (software engineer an</t>
  </si>
  <si>
    <t>19b47bee78945ad4</t>
  </si>
  <si>
    <t>John Davis &lt;john.davis@observepoint.com&gt;, Audrey Bombeck-Massel &lt;audrbom@cdw.com&gt;</t>
  </si>
  <si>
    <t>observepoint.com, cdw.com</t>
  </si>
  <si>
    <t>Hi John,
Nice to meet you virtually!
Thank you for the connecting with us, I would love to chat more about automation of testing in lower environment to validate upcoming product changes. I am off the week that you picked but happy to chat in the last week of January, Audrey can coordinate the meeting.
I look forward to working with you as well, happy Holidays!
Thanks,
Tatyana
From: John Davis &lt;john.davis@observepoint.com&gt;
Date: Monday, December 22, 2025 at 2:49 PM
To: Audrey</t>
  </si>
  <si>
    <t>19b47c6550c99512</t>
  </si>
  <si>
    <t>Audrey Bombeck-Massel &lt;audrbom@cdw.com&gt;, Macey Bell &lt;macey.bell@observepoint.com&gt;</t>
  </si>
  <si>
    <t>Sounds great!
No worries about that meeting, here are the time slots available for that
week that you can pick from:
Meeting length: 30 Minutes
Time Zone: (GMT-7) MST/Denver
Mon Jan 19 Tue Jan 20 Wed Jan 21 Thu Jan 22 Fri Jan 23
 1:30  PM
&lt;https://us-3129.email-composer-webhooks.gong.io/email-tracking/clicked?email-info-token=eyJhbGciOiJIUzI1NiJ9.eyJjb21wYW55SWQiOiI4OTgyMjM2MTQxODc2Mjk3NzAiLCJkcmFmdElkIjoicjEwNDA2Mjg3MDE5NDA5NjgwMjUiLCJsaW5rVXJsIjoiaHR0cHM6Ly9vYnNlcnZlcG9pbnQuY2hpbGlw</t>
  </si>
  <si>
    <t>19b47e639a399888</t>
  </si>
  <si>
    <t>Perfect, I booked it.
Thanks,
Tatyana
From: John Davis &lt;john.davis@observepoint.com&gt;
Date: Monday, December 22, 2025 at 3:36 PM
To: Tatyana Zachary &lt;tatyana.zachary@cdw.com&gt;
Cc: Audrey Bombeck-Massel &lt;audrbom@cdw.com&gt;, Macey Bell &lt;macey.bell@observepoint.com&gt;
Subject: Re: FW: Your 2025 ObservePoint Year in Review is here
Sounds great!
No worries about that meeting, here are the time slots available for that week that you can pick from:
Meeting length: 30 Minutes
Time Zone:</t>
  </si>
  <si>
    <t>19b2edae78075923</t>
  </si>
  <si>
    <t>Maria E DaPonte &lt;Maria.DaPonte@cvshealth.com&gt;, Amy Rondinelli &lt;Amy.Rondinelli@cvshealth.com&gt;, John Davis &lt;john.davis@observepoint.com&gt;</t>
  </si>
  <si>
    <t>Observepoint allowlisting</t>
  </si>
  <si>
    <t>Hey both,
 Curious to hear now that ObservePoint is in archer whether the allow listing process has been able to progress? 
Would love to chat more about this tomorrow during our call, especially in the case that I can provide any more information or detail on the ObservePoint end that can help with this. 
Additionally, I want to introduce you to John Davis who’s going to be your main point of contact moving forward. One of my colleagues has taken on a new management position internally</t>
  </si>
  <si>
    <t>19b2facdb6739c09</t>
  </si>
  <si>
    <t>Maria E DaPonte &lt;Maria.DaPonte@cvshealth.com&gt;, Amy Rondinelli &lt;Amy.Rondinelli@cvshealth.com&gt;</t>
  </si>
  <si>
    <t>Re: Observepoint allowlisting</t>
  </si>
  <si>
    <t>Thanks for the intro Macey
Hey Maria and Amy,
I look forward to meeting you tomorrow and hearing about the projects
you are working on.
*Regards, *
John Davis *   |    * *Customer Success Manager*
Cell: 801.633.6013
john.davis@observepoint.com
www.observepoint.com
&lt;https://us-3129.email-composer-webhooks.gong.io/email-tracking/clicked?email-info-token=eyJhbGciOiJIUzI1NiJ9.eyJjb21wYW55SWQiOiI4OTgyMjM2MTQxODc2Mjk3NzAiLCJkcmFmdElkIjoici0xMjgzNDg2NDQ5NzA1NDcwMTMzIiwibGlua1VybCI6Im</t>
  </si>
  <si>
    <t>19b37d06c7087e4b</t>
  </si>
  <si>
    <t>"Rondinelli, Amy" &lt;Amy.Rondinelli@cvshealth.com&gt;</t>
  </si>
  <si>
    <t>Re: [EXTERNAL] Re: Observepoint allowlisting</t>
  </si>
  <si>
    <t>Hi John,
I was telling my boss about our call yesterday and our plans to resync after the new year re: 2026 goals.
She was interested in being prepared for the contract renewal.  We don't currently "own" that process, but it could end up landing in our lap 🙂 so in order to be prepared we wanted to get our arms around the following:
What is our current contract? Can you send me a copy?
Trying to understand - what package/access we currently have - what that entails.
  *
What ar</t>
  </si>
  <si>
    <t>19b7fa1d4b2f1860</t>
  </si>
  <si>
    <t>Macey Bell &lt;macey.bell@observepoint.com&gt;, "Rondinelli, Amy" &lt;Amy.Rondinelli@cvshealth.com&gt;, Todd Wilkerson &lt;todd.wilkerson@observepoint.com&gt;</t>
  </si>
  <si>
    <t>observepoint.com, cvshealth.com</t>
  </si>
  <si>
    <t>Hey Maria,
I have attached your current signed agreement, which is set to expire on
April 14, 2026.
I have also attached a new agreement for review. It is identical to your
last contract in terms of the length, volume and pricing. It is a two-year
contract, which includes 600k yearly page scans and 6k yearly page
journeys.
While current usage is low due to previous allowlisting challenges, we
expect volume to reach or exceed your limits once your scans are running at
a regular cad</t>
  </si>
  <si>
    <t>19b7fa5115d8af74</t>
  </si>
  <si>
    <t>Thank you!
________________________________
From: John Davis &lt;john.davis@observepoint.com&gt;
Sent: Friday, January 2, 2026 11:54 AM
To: DaPonte, Maria E &lt;Maria.DaPonte@CVSHealth.com&gt;
Cc: Macey Bell &lt;macey.bell@observepoint.com&gt;; Rondinelli, Amy &lt;Amy.Rondinelli@CVSHealth.com&gt;; Todd Wilkerson &lt;todd.wilkerson@observepoint.com&gt;
Subject: Re: [EXTERNAL] Re: Observepoint allowlisting
**** External Email - Use Caution ****
________________________________
Hey Maria,
I have attached your curr</t>
  </si>
  <si>
    <t>19b28a89a94357a9</t>
  </si>
  <si>
    <t>Accepted: ObservePoint | CDW - Sync</t>
  </si>
  <si>
    <t>19b28a8b7053ce0c</t>
  </si>
  <si>
    <t>19b28a8f49a9aec8</t>
  </si>
  <si>
    <t>19b287cbcb08afc4</t>
  </si>
  <si>
    <t>19b287cc456d933d</t>
  </si>
  <si>
    <t>19b28fe5ab489f86</t>
  </si>
  <si>
    <t>19b28feb01c410ad</t>
  </si>
  <si>
    <t>19b2863856a47545</t>
  </si>
  <si>
    <t>Harshavardhan Rao Chunduri &lt;harshavardhan.chunduri@cdw.com&gt;</t>
  </si>
  <si>
    <t>Automatic reply: Updated invitation: ObservePoint | CDW - Sync @ Tue Dec 3, 2024 11am - 11:30am (MST) (harshavardhan.chunduri@cdw.com)</t>
  </si>
  <si>
    <t xml:space="preserve">Thank you for your email. I am currently on vacation and will be out of the office until December 28, 2025. My responses may be delayed.
For urgent matters, please contact Tatyana Zachary or DigitalAnalyticsTeam@cdw.com
</t>
  </si>
  <si>
    <t>19b28632ecfe5591</t>
  </si>
  <si>
    <t>Jen Giese &lt;jenngie@cdw.com&gt;</t>
  </si>
  <si>
    <t>Automatic reply: Updated invitation: ObservePoint | CDW - Sync @ Tue Dec 3, 2024 11am - 11:30am (MST) (jenngie@cdw.com)</t>
  </si>
  <si>
    <t xml:space="preserve">I am out of the office with no access to email.  I will respond when I get back.
If your request needs attention before I respond - please reach out to Pravina Rupwal.
</t>
  </si>
  <si>
    <t>19b068da773542bb</t>
  </si>
  <si>
    <t>John Davis &lt;john.davis@observepoint.com&gt;, Clarke Anderson &lt;clarke.anderson@observepoint.com&gt;, grant.menefee@worldmarket.com</t>
  </si>
  <si>
    <t>Updated invitation: ObservePoint | World Market - Sync @ Tue Dec 16, 2025 9:30am - 10am (MST) (John Davis)</t>
  </si>
  <si>
    <t>This event has been updated
Changed: time
ObservePoint | World Market - Sync
Tuesday Dec 16, 2025 ⋅ 9:30am – 10am
Mountain Time - Denver
Join Zoom Meeting
https://observepoint.zoom.us/j/3742631971?pwd=Z2JhWG1yV1ZtOVBnMVZaRDR0bjVDZz09&amp;omn=95210331443&amp;jst=2
Join by phone
(US) +1 888-788-0099
passcode: 318688
Joining instructions
https://www.google.com/url?q=https://applications.zoom.us/addon/invitation/detail?meetingUuid%3DxnSdLxovRZS8%252BcfN0JFHDw%253D%253D%26signature%3</t>
  </si>
  <si>
    <t>19aba775d935f0b7</t>
  </si>
  <si>
    <t>Zack Rosen &lt;zack.rosen@crowdstrike.com&gt;, John Davis &lt;john.davis@observepoint.com&gt;</t>
  </si>
  <si>
    <t>crowdstrike.com, observepoint.com</t>
  </si>
  <si>
    <t>New CSM Introduction</t>
  </si>
  <si>
    <t xml:space="preserve">Hey Zack!
I want to schedule some time with you to introduce Crowdstrike's new CSM
and main point of contact, John Davis.
Would any of these times work to touch base?
Something I would love to be able to go over with you and John is
Crowdstrike's desired outcomes for 2026 and how ObservePoint can help with
any relevant kpis and areas of focus for the upcoming year.
Meeting length: 30 Minutes
Time Zone: (GMT-7) MST/Denver
Tue Dec 9 Mon Dec 15 Tue Dec 16 Wed Dec 17 Thu Dec 18 Fri </t>
  </si>
  <si>
    <t>19abc0df3a8374dc</t>
  </si>
  <si>
    <t>Zack Rosen &lt;zack.rosen@crowdstrike.com&gt;</t>
  </si>
  <si>
    <t>Re: New CSM Introduction</t>
  </si>
  <si>
    <t>Hi Zack,
Thank you for the introduction, Macey.
It's great to meet you, Zack. I'm taking over as your Customer Success
Manager and am here to make this transition as smooth as possible.
On Tue, Nov 25, 2025 at 3:02 AM Macey Bell &lt;macey.bell@observepoint.com&gt;
wrote:
&gt; Hey Zack!
&gt;
&gt; I want to schedule some time with you to introduce Crowdstrike's new CSM
&gt; and main point of contact, John Davis.
&gt;
&gt; Would any of these times work to touch base?
&gt;
&gt; Something I would love to be a</t>
  </si>
  <si>
    <t>19adf1098e28f93c</t>
  </si>
  <si>
    <t>Re: [External] Re: New CSM Introduction</t>
  </si>
  <si>
    <t>Hey Macey, and hello John, nice to meet you.
Let me see if I can find some time for us after AWS re:invent this week, will circle back once able. Thanks!
z
Zack Rosen (he/him)
CrowdStrike Director, Web Operations &amp; Experience
e. zack.rosen@crowdstrike.com&lt;mailto:zack.rosen@crowdstrike.com&gt;
From: John Davis &lt;john.davis@observepoint.com&gt;
Date: Tuesday, November 25, 2025 at 12:27 PM
To: Macey Bell &lt;macey.bell@observepoint.com&gt;
Cc: Zack Rosen &lt;zack.rosen@crowdstrike.com&gt;
Subjec</t>
  </si>
  <si>
    <t>19b045ae54745969</t>
  </si>
  <si>
    <t>Hey Zack,
Here is an updated list of times that should work for myself and Macey over
the next week or so. Feel free to grab one that works for you.
Meeting length: 30 Minutes
Time Zone: (GMT-7) MST/Denver
Thu Dec 11 Mon Dec 15 Tue Dec 16 Wed Dec 17 Thu Dec 18 Fri Dec 19
 10:00  AM
&lt;https://observepoint.chilipiper.com/suggested-times/5b8de04b-760a-4d84-a63c-90427f882159?slotStartsAt=2025-12-11T17:00:00.000Z&gt;
 1:30  PM
&lt;https://observepoint.chilipiper.com/suggested-times/5b8de04b-760</t>
  </si>
  <si>
    <t>19b94bbdee0ffedb</t>
  </si>
  <si>
    <t>Hey Zack,
Here are some updated slots to meet next week, now that we are past the
holidays. Feel free to grab one that works for you:
Meeting length: 30 Minutes
Time Zone: (GMT-7) MST/Denver
Mon Jan 12 Tue Jan 13 Wed Jan 14 Thu Jan 15 Fri Jan 16
 1:30  PM
&lt;https://us-3129.email-composer-webhooks.gong.io/email-tracking/clicked?email-info-token=eyJhbGciOiJIUzI1NiJ9.eyJjb21wYW55SWQiOiI4OTgyMjM2MTQxODc2Mjk3NzAiLCJkcmFmdElkIjoici0yOTQ2MTAxNzEwNDgzNzczMjgzIiwibGlua1VybCI6Imh0dHBzOi8vb2JzZXJ</t>
  </si>
  <si>
    <t>19aba383bfe642f8</t>
  </si>
  <si>
    <t>John Davis &lt;john.davis@observepoint.com&gt;, eric.bauer@cvshealth.com, "Rondinelli, Amy" &lt;amy.rondinelli@cvshealth.com&gt;</t>
  </si>
  <si>
    <t>Invitation: ObservePoint | CVS - Sync @ Every 2 weeks from 10:30am to 11am on Thursday (MST) (John Davis)</t>
  </si>
  <si>
    <t>ObservePoint | CVS - Sync
Every 2 weeks from 10:30am to 11am on Thursday
Mountain Time - Denver
Join Zoom Meeting
https://observepoint.zoom.us/j/3742631971?pwd=Z2JhWG1yV1ZtOVBnMVZaRDR0bjVDZz09&amp;omn=99507586359
Join by phone
(US) +1 888-788-0099
passcode: 318688
Joining instructions
https://www.google.com/url?q=https://applications.zoom.us/addon/invitation/detail?meetingUuid%3Dv6Pmec%252FyTjGtc7fBgDeL3w%253D%253D%26signature%3D462bd71da85c406e7d026b26b2fddddb21d67ab4dd5258affa55</t>
  </si>
  <si>
    <t>19aba3631d895b4b</t>
  </si>
  <si>
    <t>John Davis &lt;john.davis@observepoint.com&gt;, audrbom@cdw.com, tatyana.zachary@cdw.com, sainath.revankar@cdw.com, awesta.ahmadi@cdw.com</t>
  </si>
  <si>
    <t>Invitation: ObservePoint | CDW - Sync @ Every 2 weeks from 11am to 11:30am on Tuesday (MST) (John Davis)</t>
  </si>
  <si>
    <t>ObservePoint | CDW - Sync
Every 2 weeks from 11am to 11:30am on Tuesday
Mountain Time - Denver
Join Zoom Meeting
https://observepoint.zoom.us/j/3742631971?pwd=Z2JhWG1yV1ZtOVBnMVZaRDR0bjVDZz09&amp;omn=97098763634
Join by phone
(US) +1 888-788-0099
passcode: 318688
Joining instructions
https://www.google.com/url?q=https://applications.zoom.us/addon/invitation/detail?meetingUuid%3D5Y0rydD8SMym7uDF8sAoLw%253D%253D%26signature%3Dd0051eb3d3a22b5905c0c9a36e05d76cf876eddac18d86eb90815e03f</t>
  </si>
  <si>
    <t>19aba3543075e9e4</t>
  </si>
  <si>
    <t>Invitation: ObservePoint | World Market - Sync @ Fri Dec 12, 2025 9:30am - 10am (MST) (John Davis)</t>
  </si>
  <si>
    <t>ObservePoint | World Market - Sync
Friday Dec 12, 2025 ⋅ 9:30am – 10am
Mountain Time - Denver
Join Zoom Meeting
https://observepoint.zoom.us/j/3742631971?pwd=Z2JhWG1yV1ZtOVBnMVZaRDR0bjVDZz09&amp;omn=95210331443&amp;jst=2
Join by phone
(US) +1 888-788-0099
passcode: 318688
Joining instructions
https://www.google.com/url?q=https://applications.zoom.us/addon/invitation/detail?meetingUuid%3DxnSdLxovRZS8%252BcfN0JFHDw%253D%253D%26signature%3Daa4fc7e7f4cb03663b2e9878cad24fec5a0be5d97baa0397</t>
  </si>
  <si>
    <t>19be0e8a86fed736</t>
  </si>
  <si>
    <t>Stanton Richard WA-SEATTLE &lt;stanton.richard@commonspirit.org&gt;</t>
  </si>
  <si>
    <t>help with an audit</t>
  </si>
  <si>
    <t>Hey John,
I can't seem to get this audit working and I'm wondering if you can help.
This is the audit:
https://app.observepoint.com/share/S4zf7LYxjSs9dGKLW2wTCvM
The purpose of the audit is to open https://providers.commonspirit.org
and find the providers with a "bio link" and click on the link to open up
the video player pop-up.
The video player should be using a youtube.com video link that is a
no-cookie version.  so youtube-nocookie.com instead of youtube.com.
This prev</t>
  </si>
  <si>
    <t>19be1a82475c5bcc</t>
  </si>
  <si>
    <t>Re: help with an audit</t>
  </si>
  <si>
    <t>Hey Stanton,
I took a look at this and my first question is, do we need to actually
click all the "Bio video" buttons for all the providers that have them?
Like aren't these created dynamically so maybe we just need a robust
journey to test one version of this button in an end-to-end fashion? A
journey will be able to track the cookies in a more accurate way because
you can check them at the time of an action, unlike an audit which is going
to aggregate them all together.
My other qu</t>
  </si>
  <si>
    <t>19bdd3fa8e9f313d</t>
  </si>
  <si>
    <t>"Castillo, Charlotte" &lt;Charlotte.Castillo@devry.edu&gt;</t>
  </si>
  <si>
    <t>Accepted: [EXTERNAL] Updated invitation: ObservePoint | DeVry University Sync @ Fri Jan 23, 2026 1pm - 1:30pm (MST) (charlotte.castillo@devry.edu)</t>
  </si>
  <si>
    <t>19bdd3f2eda91f71</t>
  </si>
  <si>
    <t>Declined: [EXTERNAL] Invitation: ObservePoint | DeVry University Sync @ Tue Jan 20, 2026 3:30pm - 4pm (MST) (charlotte.castillo@devry.edu)</t>
  </si>
  <si>
    <t>19bdbe0ca4473a89</t>
  </si>
  <si>
    <t>John Davis &lt;john.davis@observepoint.com&gt;, Bryce Bergen &lt;bryce.bergen@observepoint.com&gt;, "Nugent, Chris" &lt;Chris.Nugent@devry.edu&gt;, "Matheson, Colton" &lt;Colton.Matheson@devry.edu&gt;, "Sals, David" &lt;David.Sals@devry.edu&gt;, "Mehta, Varun" &lt;Varun.Mehta@devry.edu&gt;</t>
  </si>
  <si>
    <t>observepoint.com, devry.edu</t>
  </si>
  <si>
    <t>"Campbell, Chris" &lt;Chris.Campbell@devry.edu&gt;</t>
  </si>
  <si>
    <t>RE: [EXTERNAL] ObservePoint Reschedule Sync Up</t>
  </si>
  <si>
    <t xml:space="preserve">Hi John,
No problem, I will reschedule our meeting for a later date.
As a reminder to David/IT, we are awaiting confirmation on questions for next steps that will affect ObservePoint journey setup. Journeys will automatically check form functionality, ad tag, and analytics tagging before code launches, and post-launch on Production.
Outstanding questions:
(1) Which of the forms and teasers are templatized versus individually page-authored. For example, we've seen issues with the AOS </t>
  </si>
  <si>
    <t>19bdc7f741f3712b</t>
  </si>
  <si>
    <t>"Sals, David" &lt;David.Sals@devry.edu&gt;</t>
  </si>
  <si>
    <t>"Castillo, Charlotte" &lt;Charlotte.Castillo@devry.edu&gt;, John Davis &lt;john.davis@observepoint.com&gt;, Bryce Bergen &lt;bryce.bergen@observepoint.com&gt;, "Nugent, Chris" &lt;Chris.Nugent@devry.edu&gt;, "Matheson, Colton" &lt;Colton.Matheson@devry.edu&gt;, "Mehta, Varun" &lt;Varun.Mehta@devry.edu&gt;</t>
  </si>
  <si>
    <t>devry.edu, observepoint.com</t>
  </si>
  <si>
    <t>Re: [EXTERNAL] ObservePoint Reschedule Sync Up</t>
  </si>
  <si>
    <t>Hi Charlotte and John,
1)
Currently, all of our Get Started forms are built by the authors on a page-by-page basis. They all use a common component, however each form needs to be configured independently. One of the projects on the website transformation board is to rebuild the form component, and making a common, embeddable form for Get Started would be part of that project, but at the moment we don’t have that ready.
Having said that, all of the forms (with the exception of the new la</t>
  </si>
  <si>
    <t>19bdd3d6403cf9c2</t>
  </si>
  <si>
    <t>"Sals, David" &lt;David.Sals@devry.edu&gt;, John Davis &lt;john.davis@observepoint.com&gt;, Bryce Bergen &lt;bryce.bergen@observepoint.com&gt;, "Nugent, Chris" &lt;Chris.Nugent@devry.edu&gt;, "Matheson, Colton" &lt;Colton.Matheson@devry.edu&gt;, "Mehta, Varun" &lt;Varun.Mehta@devry.edu&gt;, Chris Hawkes &lt;chris.hawkes@observepoint.com&gt;</t>
  </si>
  <si>
    <t>Hi David,
Thank you. I want to reiterate that this is a bit different from forms being all the same. I know we addressed a few misconfigurations on the Get Started AOS selectors last November and rollbacks on SSWA releases.
Since the goal is for ObservePoint to replicate the major QA checkpoints, my recommendation remains the same as what I shared on the call. I plan to request build outs for the top 20 or so primary Get Started forms. I’ll consolidate these to limit the total number and a</t>
  </si>
  <si>
    <t>19bdb7d99d1437d2</t>
  </si>
  <si>
    <t>Bryce Bergen &lt;bryce.bergen@observepoint.com&gt;, "Castillo, Charlotte" &lt;charlotte.castillo@devry.edu&gt;, "Nugent, Chris" &lt;chris.nugent@devry.edu&gt;, "Matheson, Colton" &lt;colton.matheson@devry.edu&gt;, "Sals, David" &lt;david.sals@devry.edu&gt;, varun.mehta@devry.edu</t>
  </si>
  <si>
    <t>Reschedule Sync Up</t>
  </si>
  <si>
    <t>Hey David, Charlotte and Team,
I have a new conflict moving forward with our regular cadence of meetings
on Tuesdays at 11am MST, including today. Can we find a new time that works
for everyone?
Here are some available times this week that also work for me on a
monthly cadence like we have been doing in the past in *Mountain Time*,
feel free to grab one that works for you and your team:
Meeting length: 30 Minutes
Time Zone: (GMT-7) MST/Denver
Tue Jan 20 Wed Jan 21 Thu Jan 22 Fri J</t>
  </si>
  <si>
    <t>19bc79e817041cb7</t>
  </si>
  <si>
    <t>Brooke Tymoniewicz &lt;BTymoniewicz@darden.com&gt;</t>
  </si>
  <si>
    <t>Declined: ObservePoint | Darden Restaurants Sync</t>
  </si>
  <si>
    <t>19bbcfe783ecd0a8</t>
  </si>
  <si>
    <t>"Rao, Dinika" &lt;dinika.rao@accenture.com&gt;</t>
  </si>
  <si>
    <t>Accepted: ObservePoint | EDC Sync</t>
  </si>
  <si>
    <t xml:space="preserve">
________________________________
This message is for the designated recipient only and may contain privileged, proprietary, or otherwise confidential information. If you have received it in error, please notify the sender immediately and delete the original. Any other use of the e-mail by you is prohibited. Where allowed by local law, electronic communications with Accenture and its affiliates, including e-mail and instant messaging (including content), may be scanned by our systems for t</t>
  </si>
  <si>
    <t>19bb38aaf6c770fb</t>
  </si>
  <si>
    <t>Kendall Papera &lt;Kendall.Papera@setoyota.com&gt;</t>
  </si>
  <si>
    <t>Accepted: ObservePoint | SE Toyota - Sync</t>
  </si>
  <si>
    <t>This e-mail transmission contains information intended only for the use of the recipient(s) named above. Further, it contains information that may be privileged and confidential. If you are not the intended recipient, you are hereby notified that any dissemination, distribution, or copying of this message (including any attachments) is strictly prohibited. If you have received this e-mail in error, please notify the sender by reply e-mail and then delete this message from your mail system. Thank</t>
  </si>
  <si>
    <t>19bb35c2686ad289</t>
  </si>
  <si>
    <t>John Davis &lt;john.davis@observepoint.com&gt;, kendall.papera@setoyota.com</t>
  </si>
  <si>
    <t>observepoint.com, setoyota.com</t>
  </si>
  <si>
    <t>Updated invitation: SE Toyota | ObservePoint - Sync @ Thu Jan 15, 2026 11am - 11:30am (MST) (John Davis)</t>
  </si>
  <si>
    <t>This event has been updated
Changed: title, conferencing
SE Toyota | ObservePoint - Sync
Thursday Jan 15, 2026 ⋅ 11am – 11:30am
Mountain Time - Denver
Looking forward to connecting.
If you need to reschedule, please use the link:  
https://observepoint.chilipiper.com/reschedule/eea615f7-6f00-440a-8da7-e7ac03f930ac
Organizer
Macey Bell
macey.bell@observepoint.com
Guests
Macey Bell - organizer
John Davis
kendall.papera@setoyota.com
View all guest info  
https://calend</t>
  </si>
  <si>
    <t>19bb31bfcdeefaff</t>
  </si>
  <si>
    <t>Invitation: Meeting with Macey @ Thu Jan 15, 2026 11am - 11:30am (MST) (John Davis)</t>
  </si>
  <si>
    <t>Meeting with Macey
Thursday Jan 15, 2026 ⋅ 11am – 11:30am
Mountain Time - Denver
Join with Google Meet
https://meet.google.com/eod-bcgd-kyz?hs=224
Join by phone
(US) +1 929-277-5940
PIN: 430486880
More phone numbers
https://tel.meet/eod-bcgd-kyz?pin=4734309107681&amp;hs=0
Looking forward to connecting.
If you need to reschedule, please use the link:  
https://observepoint.chilipiper.com/reschedule/eea615f7-6f00-440a-8da7-e7ac03f930ac
Organizer
Macey Bell
macey.bell@ob</t>
  </si>
  <si>
    <t>19b99e1fa36d8f0f</t>
  </si>
  <si>
    <t>Kendall Papera &lt;kendall.papera@setoyota.com&gt;, John Davis &lt;john.davis@observepoint.com&gt;</t>
  </si>
  <si>
    <t>setoyota.com, observepoint.com</t>
  </si>
  <si>
    <t>New CSM Introductory Call</t>
  </si>
  <si>
    <t>Hey Kendall!
There have been some changes in the new year and SE Toyota will have a new
main point of contact, John Davis, moving forward. I am staying with
ObservePoint and here to help answer questions or provide context from past
projects or topics we have discussed but John is officially your CSM and
he's awesome- you'll love working with him!
I was going to wait until our next regularly scheduled call to make the
introduction but realized I am planning to be OOO that day and it's</t>
  </si>
  <si>
    <t>19bb31cede676844</t>
  </si>
  <si>
    <t>Re: New CSM Introductory Call</t>
  </si>
  <si>
    <t xml:space="preserve">Hi Macey,
Thanks for the introduction. It's nice to meet you, John!
Just schedule a call on 1/15 at 11am MST.
See you then!
Kendall Papera
Explore Product Owner
250 Jim Moran Blvd&lt;https://maps.google.com/?q=100+Jim+Moran+Blvd+Deerfield+Beach,+FL+33442&amp;entry=gmail&amp;source=g&gt;
Deerfield Beach, FL 33442&lt;https://maps.google.com/?q=100+Jim+Moran+Blvd+Deerfield+Beach,+FL+33442&amp;entry=gmail&amp;source=g&gt;
c: 954-821-9389
[Southeast Toyota]&lt;https://exploretoyota.com/&gt;
P  Please consider the </t>
  </si>
  <si>
    <t>19b9521460cf7e19</t>
  </si>
  <si>
    <t>Syncup Meeting</t>
  </si>
  <si>
    <t>Are you able to join our meeting now?
*Regards, *
John Davis *   |    * *Customer Success Manager*
Cell: 801.633.6013
john.davis@observepoint.com
www.observepoint.com
&lt;https://us-3129.email-composer-webhooks.gong.io/email-tracking/clicked?email-info-token=eyJhbGciOiJIUzI1NiJ9.eyJjb21wYW55SWQiOiI4OTgyMjM2MTQxODc2Mjk3NzAiLCJkcmFmdElkIjoicjIwMTQ1NTYyODkzNzgxMTI3ODMiLCJsaW5rVXJsIjoiaHR0cHM6Ly9ncm9vdmUuZ3J2bG5rNC5jb20vdXJsL3R5cGE2YnlpZnVrdmJ0aWp3b2Q5NC9hSFIwY0RvdkwzZDNkeTV2WW5ObGNuWmxjRzl</t>
  </si>
  <si>
    <t>19b98a8cf56f4799</t>
  </si>
  <si>
    <t>Re: Syncup Meeting</t>
  </si>
  <si>
    <t>Hi John,
I'm sorry I missed our meeting. I had a family emergency and couldn't make
it. Apologies
On Tue, Jan 6, 2026 at 1:05 PM John Davis &lt;john.davis@observepoint.com&gt;
wrote:
&gt; *USE CAUTION - EXTERNAL EMAIL*
&gt; ------------------------------
&gt; Are you able to join our meeting now?
&gt;
&gt; *Regards, *
&gt;
&gt; John Davis *   |    * *Customer Success Manager*
&gt;
&gt; Cell: 801.633.6013
&gt; john.davis@observepoint.com
&gt; www.observepoint.com
&gt; &lt;https://urldefense.proofpoint.com/v2/url?u=http</t>
  </si>
  <si>
    <t>19b9a79a151bd5fe</t>
  </si>
  <si>
    <t>No worries at all, I hope things are ok and everyone is safe.
Here are some slots listed in *Mountain Time* to meet before our next
scheduled meeting on Feb 3rd, feel free to grab one that works for you:
Meeting length: 30 Minutes
Time Zone: (GMT-7) MST/Denver
Fri Jan 9 Mon Jan 12 Tue Jan 13 Wed Jan 14 Thu Jan 15
 10:00  AM
&lt;https://observepoint.chilipiper.com/suggested-times/43f09e0e-e07b-4ea1-b450-022aa06232e4?slotStartsAt=2026-01-09T17:00:00.000Z&gt;
 10:00  AM
&lt;https://observepoint</t>
  </si>
  <si>
    <t>19b9df2f4ae358c1</t>
  </si>
  <si>
    <t>Thanks, just scheduled it for Monday at 12 noon PST.
On Wed, Jan 7, 2026 at 2:00 PM John Davis &lt;john.davis@observepoint.com&gt;
wrote:
&gt; *USE CAUTION - EXTERNAL EMAIL*
&gt; ------------------------------
&gt; No worries at all, I hope things are ok and everyone is safe.
&gt;
&gt; Here are some slots listed in *Mountain Time* to meet before our next
&gt; scheduled meeting on Feb 3rd, feel free to grab one that works for you:
&gt;
&gt; Meeting length: 30 Minutes
&gt; Time Zone: (GMT-7) MST/Denver
&gt; Fri Jan 9</t>
  </si>
  <si>
    <t>19b900448f3f2bca</t>
  </si>
  <si>
    <t>John Davis &lt;john.davis@observepoint.com&gt;, david.krause@commonspirit.org, philip.leach@commonspirit.org, debra.veik@commonspirit.org, eric.davis902@commonspirit.org, ken.johanson@commonspirit.org, stanton.richard@commonspirit.org, abel.gomez@observepoint.com</t>
  </si>
  <si>
    <t>observepoint.com, commonspirit.org</t>
  </si>
  <si>
    <t>Invitation: OP | Dignity Health - Sync @ Monthly from 2pm to 2:30pm on the first Tuesday from Tue Jan 6 to Mon Feb 2 (MST) (John Davis)</t>
  </si>
  <si>
    <t>OP | Dignity Health - Sync
Monthly from 2pm to 2:30pm on the first Tuesday from Tuesday Jan 6 to  
Monday Feb 2
Mountain Time - Denver
Join Zoom Meeting
https://observepoint.zoom.us/j/3742631971?pwd=Z2JhWG1yV1ZtOVBnMVZaRDR0bjVDZz09&amp;omn=92563328990
Join by phone
(US) +1 888-788-0099
passcode: 318688
Joining instructions
https://www.google.com/url?q=https://applications.zoom.us/addon/invitation/detail?meetingUuid%3DuwbEVSZaSHucNTqXQGo9tw%253D%253D%26signature%3D261a60bca9107976</t>
  </si>
  <si>
    <t>19b8fdd305e4386f</t>
  </si>
  <si>
    <t>ObservePoint Followup</t>
  </si>
  <si>
    <t>Hey Stanton,
Hope you had a great holiday break!
I wanted to reach for two reasons, first to schedule our first sync up for
2026, feel free to grab a slot that works for you, or let me know if you
need a different week:
Meeting length: 30 Minutes
Time Zone: (GMT-7) MST/Denver
Mon Jan 12 Tue Jan 13 Wed Jan 14 Thu Jan 15 Fri Jan 16
 1:30  PM
&lt;https://us-3129.email-composer-webhooks.gong.io/email-tracking/clicked?email-info-token=eyJhbGciOiJIUzI1NiJ9.eyJjb21wYW55SWQiOiI4OTgyMjM2MTQxO</t>
  </si>
  <si>
    <t>19b9df6fbe12fa87</t>
  </si>
  <si>
    <t>Re: ObservePoint Followup</t>
  </si>
  <si>
    <t>Can you remind me what the txt file use case is about? I remember talking
about best practices for analytics auditing and custom journeys but not
about a txt file use case.
On Mon, Jan 5, 2026 at 12:33 PM John Davis &lt;john.davis@observepoint.com&gt;
wrote:
&gt; *USE CAUTION - EXTERNAL EMAIL*
&gt; ------------------------------
&gt; Hey Stanton,
&gt;
&gt; Hope you had a great holiday break!
&gt;
&gt; I wanted to reach for two reasons, first to schedule our first sync up for
&gt; 2026, feel free to grab a slo</t>
  </si>
  <si>
    <t>19b9e878574a7022</t>
  </si>
  <si>
    <t xml:space="preserve">Hey Stanton, guessing that refers to just generally validating the on
webpage files that are your pricing transparency details! I think it may
not be txt files but they are non web pages.
I don't remember if we discussed it on our last call but I have been
catching John up to speed on that project since it has been valuable and is
more of a custom use case.
On Thu, Jan 8, 2026 at 7:16 AM Stanton Richard WA-SEATTLE &lt;
stanton.richard@commonspirit.org&gt; wrote:
&gt; Can you remind me what </t>
  </si>
  <si>
    <t>19ba33b294db50ef</t>
  </si>
  <si>
    <t>Thanks Macey,
Then the txt use case is in reference to the Price Compliance audit which
checks txt files.
Here's an example John. For Price Compliance audit the dignityhealth.org
website has to have a machine readable txt file at:
https://www.dignityhealth.org/cms-hpt.txt
which contains links to Source Pages and machine readable JSON files as
well as contact information
location-name: Sequoia Hospital
source-page-url:
https://www.dignityhealth.org/bayarea/locations/sequoia/pa</t>
  </si>
  <si>
    <t>19ba348cf5bb6771</t>
  </si>
  <si>
    <t>Awesome, thanks for sending this over Stanton!
So to clarify, you are hoping to crawl the links in these text files to at
least check if they are dead or not?
I will build a POC for this and get back to you.
*Regards, *
John Davis *   |    * *Customer Success Manager*
Cell: 801.633.6013
john.davis@observepoint.com
www.observepoint.com
&lt;https://groove.grvlnk4.com/url/typa6byifukvbtijwod94/aHR0cDovL3d3dy5vYnNlcnZlcG9pbnQuY29tLyNncm9vdmVzdW06LTc2MTEwNTM3MA%3D%3D&gt;
On Fri, Jan</t>
  </si>
  <si>
    <t>19ba425413a6330d</t>
  </si>
  <si>
    <t>Yes, checking the links in the JSON files would be great. Just even
checking the existence of the JSON files currently doesn't work.
I created this audit to check just the existence of the JSON files and OP
can't verify if the pages are there or not:
https://app.observepoint.com/share/6jZf4rkHhcY3qjPhyzwRmhs
Fortunately I do know ahead of time the content in the JSON so I've instead
split out checking that content into multiple audits:
The other 3 audits work.
1. CMS Compliance</t>
  </si>
  <si>
    <t>19ba4c8d9926078b</t>
  </si>
  <si>
    <t>Ok I did some digging into this a bit and I think it might be easier for me
to just show you at our next meeting on Monday, if that works for you?
*Regards, *
John Davis *   |    * *Customer Success Manager*
Cell: 801.633.6013
john.davis@observepoint.com
www.observepoint.com
&lt;https://groove.grvlnk4.com/url/typa6byifukvbtijwod94/aHR0cDovL3d3dy5vYnNlcnZlcG9pbnQuY29tLyNncm9vdmVzdW06LTc2MTEwNTM3MA%3D%3D&gt;
On Fri, Jan 9, 2026 at 12:04 PM Stanton Richard WA-SEATTLE &lt;
stanton.richar</t>
  </si>
  <si>
    <t>19bb3beb443c7060</t>
  </si>
  <si>
    <t>Sure, that works for me
On Fri, Jan 9, 2026 at 2:03 PM John Davis &lt;john.davis@observepoint.com&gt;
wrote:
&gt; *USE CAUTION - EXTERNAL EMAIL*
&gt; ------------------------------
&gt; Ok I did some digging into this a bit and I think it might be easier for
&gt; me to just show you at our next meeting on Monday, if that works for you?
&gt;
&gt; *Regards, *
&gt;
&gt; John Davis *   |    * *Customer Success Manager*
&gt;
&gt; Cell: 801.633.6013
&gt; john.davis@observepoint.com
&gt; www.observepoint.com
&gt; &lt;https://urlde</t>
  </si>
  <si>
    <t>19bb41a7936ae4b9</t>
  </si>
  <si>
    <t xml:space="preserve">Hi John,
Great meeting and good discussion regarding the Price Compliance audits.
I'll go ahead and enable the Check MRF audit since you noticed that it is
working a lot better now.
Attached is the Price Transparency worksheet which describes the validation
process and lists all the links.  They do get updated occasionally but not
often.
On Mon, Jan 12, 2026 at 11:45 AM Stanton Richard WA-SEATTLE &lt;
stanton.richard@commonspirit.org&gt; wrote:
&gt; Sure, that works for me
&gt;
&gt; On Fri, </t>
  </si>
  <si>
    <t>19bb43b255cc54a1</t>
  </si>
  <si>
    <t>Thanks, Stanton!
I'll keep you in the loop on what I come up with.
*Regards, *
John Davis *   |    * *Customer Success Manager*
Cell: 801.633.6013
john.davis@observepoint.com
www.observepoint.com
&lt;https://groove.grvlnk4.com/url/typa6byifukvbtijwod94/aHR0cDovL3d3dy5vYnNlcnZlcG9pbnQuY29tLyNncm9vdmVzdW06LTc2MTEwNTM3MA%3D%3D&gt;
On Mon, Jan 12, 2026 at 2:26 PM Stanton Richard WA-SEATTLE &lt;
stanton.richard@commonspirit.org&gt; wrote:
&gt; Hi John,
&gt;
&gt; Great meeting and good discussi</t>
  </si>
  <si>
    <t>19b4737e0e9a570c</t>
  </si>
  <si>
    <t>varun.metha@devry.edu, chris.hawkes@observepoint.com, colton.matheson@devry.edu, john.davis@observepoint.com, david.sals@devry.edu</t>
  </si>
  <si>
    <t>19b41f7a7ccdae8c</t>
  </si>
  <si>
    <t>Automatic reply: [External] Your 2025 ObservePoint Year in Review is here</t>
  </si>
  <si>
    <t>Hi,
Thank you for your email. I am OOO for the holidays and will return on 5th Jan'2026. Please note I have no access to my laptop. For any analytics emergency please send me an email on dinika.rao@accenture.com and will respond as soon as I can.
Happy Holidays!
Best,
Dinika Rao
________________________________
This message is for the designated recipient only and may contain privileged, proprietary, or otherwise confidential information. If you have received it in error, pleas</t>
  </si>
  <si>
    <t>19b38369959321cf</t>
  </si>
  <si>
    <t>"Lavoie, Kev" &lt;kev.lavoie@accenture.com&gt;</t>
  </si>
  <si>
    <t>19b33b227decd5a3</t>
  </si>
  <si>
    <t>John Davis &lt;john.davis@observepoint.com&gt;, colton.matheson@devry.edu, david.sals@devry.edu, charlotte.castillo@devry.edu, varun.metha@devry.edu</t>
  </si>
  <si>
    <t>Invitation: ObservePoint &amp; DeVry University || CSM Introduction @ Mon Dec 22, 2025 12pm - 12:30pm (MST) (John Davis)</t>
  </si>
  <si>
    <t>ObservePoint &amp; DeVry University || CSM Introduction
Monday Dec 22, 2025 ⋅ 12pm – 12:30pm
Mountain Time - Denver
Location
https://observepoint.zoom.us/j/91033742956	
https://www.google.com/url?q=https%3A%2F%2Fobservepoint.zoom.us%2Fj%2F91033742956&amp;sa=D&amp;source=calendar&amp;ust=1766530860000000&amp;usg=AOvVaw3cdabzEXsVPQG2uN2FZ1zZ
Looking forward to connecting.
If you need to reschedule, please use the link:  
https://observepoint.chilipiper.com/reschedule/9fe9922a-a849-4a42-bf00-e3392abb21</t>
  </si>
  <si>
    <t>19b327a8fcdd118a</t>
  </si>
  <si>
    <t>"Castillo, Charlotte" &lt;charlotte.castillo@devry.edu&gt;, "Matheson, Colton" &lt;colton.matheson@devry.edu&gt;, "Sals, David" &lt;david.sals@devry.edu&gt;, varun.metha@devry.edu</t>
  </si>
  <si>
    <t>Hi DeVry Team,
Hope you've all been well since we last spoke! I wanted to introduce you to
your new Customer Success Manager, John Davis (CC'd). John will take my
place as your primary point of contact for all these relating to
ObservePoint.
Let's set up a quick 30 minute sync to get you all acquainted with John,
sometime before or after the holidays. Please select a date/time from my
calendar below
Click here to find a time in the calendar
&lt;https://us-3129.email-composer-webhooks</t>
  </si>
  <si>
    <t>19b33b37e02d8916</t>
  </si>
  <si>
    <t>Chris Hawkes &lt;chris.hawkes@observepoint.com&gt;, "Matheson, Colton" &lt;Colton.Matheson@devry.edu&gt;, "Sals, David" &lt;David.Sals@devry.edu&gt;, "varun.metha@devry.edu" &lt;varun.metha@devry.edu&gt;</t>
  </si>
  <si>
    <t>John Davis &lt;john.davis@observepoint.com&gt;, "Nugent, Chris" &lt;Chris.Nugent@devry.edu&gt;</t>
  </si>
  <si>
    <t>RE: [EXTERNAL] ObservePoint CSM Introduction</t>
  </si>
  <si>
    <t>Hi Chris &amp; John,
Thanks so much, appreciated. Looking forward to meeting on Monday,
Charlotte Castillo | Senior Manager, Marketing Analytics
Pronouns: She/Her/Hers
M 310.210.6251 | E charlotte.castillo@devry.edu
[Blue text on a black background  AI-generated content may be incorrect.]
From: Chris Hawkes &lt;chris.hawkes@observepoint.com&gt;
Sent: Thursday, December 18, 2025 9:21 AM
To: Castillo, Charlotte &lt;Charlotte.Castillo@devry.edu&gt;; Matheson, Colton &lt;Colton.Matheson@devry.edu&gt;; Sals,</t>
  </si>
  <si>
    <t>19b4794c0deca921</t>
  </si>
  <si>
    <t>Chris Hawkes &lt;chris.hawkes@observepoint.com&gt;, "Matheson, Colton" &lt;Colton.Matheson@devry.edu&gt;, "Sals, David" &lt;David.Sals@devry.edu&gt;, "varun.metha@devry.edu" &lt;varun.metha@devry.edu&gt;, "Nugent, Chris" &lt;Chris.Nugent@devry.edu&gt;</t>
  </si>
  <si>
    <t>Re: [EXTERNAL] ObservePoint CSM Introduction</t>
  </si>
  <si>
    <t xml:space="preserve">Charlotte and David,
It was great to meet you today and talk about DeVry and how ObservePoint
can help your team in 2026.
Don't hesitate to reach out with any questions you might have or if you
want to just bounce ideas off of me.
Here are some times available to set up our monthly syncup. Feel free to
grab one that works for you and your team.
Happy Holidays in the meantime!
Meeting length: 30 Minutes
Time Zone: (GMT-7) MST/Denver
Mon Jan 19 Tue Jan 20 Wed Jan 21 Thu Jan 22 </t>
  </si>
  <si>
    <t>19b4bd8581424688</t>
  </si>
  <si>
    <t>Hi John,
It was great to meet you as well and appreciate you and Chris’ great insights into our account.
Here are follow ups from the meeting:
David/IT –
  *   David to confirm whether AEM developers and other development teams run automated tests during code deployments, such as Selenium based testing. I am not aware of automated coverage for SSWA, given prior launches with broken functionality, but this needs confirmation. Please include how automation works for site forms, especia</t>
  </si>
  <si>
    <t>19b4bde3d00cd2d7</t>
  </si>
  <si>
    <t>FW: RE: [EXTERNAL] ObservePoint CSM Introduction</t>
  </si>
  <si>
    <t>... Apologies John, could you please correct Varun's email address? It should be: Varun.Mehta@devry.edu&lt;mailto:Varun.Mehta@devry.edu&gt;
Charlotte Castillo | Senior Manager, Marketing Analytics
Pronouns: She/Her/Hers
M 310.210.6251 | E charlotte.castillo@devry.edu
[Blue text on a black background  AI-generated content may be incorrect.]
From: Microsoft Outlook &lt;MicrosoftExchange329e71ec88ae4615bbc36ab6ce41109e@devryu.onmicrosoft.com&gt;
Sent: Tuesday, December 23, 2025 7:34 AM
To: Castillo,</t>
  </si>
  <si>
    <t>19b236256b4d1afa</t>
  </si>
  <si>
    <t>dinika.rao@accenture.com</t>
  </si>
  <si>
    <t>kev.lavoie@accenture.com, macey.bell@observepoint.com, support@observepoint.com, john.davis@observepoint.com</t>
  </si>
  <si>
    <t>accenture.com, observepoint.com</t>
  </si>
  <si>
    <t>19b2362f87c8c65c</t>
  </si>
  <si>
    <t>dinika.rao@accenture.com, kev.lavoie@accenture.com, john.davis@observepoint.com</t>
  </si>
  <si>
    <t>Re: Our meeting in an hour</t>
  </si>
  <si>
    <t xml:space="preserve"> 
#59495096: Our meeting in an hour 
Submitted 
We'll pick up your ticket soon 
Hi, Looking forward to speaking to you in a short while. Best, 
*ObservePoint AI*
ObservePoint
[image: intercom] </t>
  </si>
  <si>
    <t>19b0e36f1f1beefb</t>
  </si>
  <si>
    <t>john.davis@observepoint.com, kev.lavoie@accenture.com, dinika.rao@accenture.com</t>
  </si>
  <si>
    <t>observepoint.com, accenture.com</t>
  </si>
  <si>
    <t>Re: Updated invitation with note: ObservePoint | EDC - Sync @ Mon Dec 15, 2025 1pm - 1:30pm (MST) (support@observepoint.com)</t>
  </si>
  <si>
    <t xml:space="preserve"> 
#58281348: Updated invitation with note: ObservePoint | EDC - Sync @ Mon 
Dec 15, 2025 1pm - 1:30pm (MST) (support@observepoint.com) 
Submitted 
We'll pick up your ticket soon 
ObservePoint | EDC - Sync Looking forward to connecting. If you need to 
reschedule, please use the link: 
https://observepoint.chilipiper.com/reschedule/7141ba14-7a60-4b52-8c34-07fc0ffb2b86This 
event has been updated with a note:
"Adding my zoom link"Changed: title, conferencingJoin Zoom Meeting 
&lt;https://observepoin</t>
  </si>
  <si>
    <t>19b0e368c7d54ba7</t>
  </si>
  <si>
    <t>John Davis &lt;john.davis@observepoint.com&gt;, kev.lavoie@accenture.com, support@observepoint.com, dinika.rao@accenture.com</t>
  </si>
  <si>
    <t>Updated invitation with note: ObservePoint | EDC - Sync @ Mon Dec 15, 2025 1pm - 1:30pm (MST) (John Davis)</t>
  </si>
  <si>
    <t>This event has been updated with a note:
"Adding my zoom link"
Changed: title, conferencing
ObservePoint | EDC - Sync
Monday Dec 15, 2025 ⋅ 1pm – 1:30pm
Mountain Time - Denver
Join Zoom Meeting
https://observepoint.zoom.us/j/3742631971?pwd=Z2JhWG1yV1ZtOVBnMVZaRDR0bjVDZz09&amp;omn=99517839524&amp;jst=2
Join by phone
(US) +1 888-788-0099
passcode: 318688
Joining instructions
https://www.google.com/url?q=https://applications.zoom.us/addon/invitation/detail?meetingUuid%3DiJSnKhMcQh</t>
  </si>
  <si>
    <t>19b0e34ad27981be</t>
  </si>
  <si>
    <t>Re: Invitation: Meeting with Macey @ Mon Dec 15, 2025 1pm - 1:30pm (MST) (support@observepoint.com)</t>
  </si>
  <si>
    <t xml:space="preserve"> 
#58280639: Invitation: Meeting with Macey @ Mon Dec 15, 2025 1pm - 1:30pm 
(MST) (support@observepoint.com) 
Submitted 
We'll pick up your ticket soon 
Meeting with Macey Join with Google Meet – Looking forward to connecting. 
If you need to reschedule, please use the link: 
https://observepoint.chilipiper.com/reschedule/7141ba14-7a60-4b52-8c34-07fc0ffb2b86 
&lt;https://meet.google.com/npr-hwnu-fjv?hs=224&gt; Join with Google Meet Looking 
forward to connecting.
If you need to reschedule, please us</t>
  </si>
  <si>
    <t>19b0e32466648a1f</t>
  </si>
  <si>
    <t>Invitation: Meeting with Macey @ Mon Dec 15, 2025 1pm - 1:30pm (MST) (John Davis)</t>
  </si>
  <si>
    <t>Meeting with Macey
Monday Dec 15, 2025 ⋅ 1pm – 1:30pm
Mountain Time - Denver
Join with Google Meet
https://meet.google.com/npr-hwnu-fjv?hs=224
Join by phone
(US) +1 620-712-2452
PIN: 312310366
More phone numbers
https://tel.meet/npr-hwnu-fjv?pin=1709452702093&amp;hs=0
Looking forward to connecting.
If you need to reschedule, please use the link:  
https://observepoint.chilipiper.com/reschedule/7141ba14-7a60-4b52-8c34-07fc0ffb2b86
Organizer
Macey Bell
macey.bell@observ</t>
  </si>
  <si>
    <t>19b0de53d86f266b</t>
  </si>
  <si>
    <t>"Rao, Dinika" &lt;dinika.rao@accenture.com&gt;, John Davis &lt;john.davis@observepoint.com&gt;</t>
  </si>
  <si>
    <t>"support@observepoint.com" &lt;support@observepoint.com&gt;, "Lavoie, Kev" &lt;kev.lavoie@accenture.com&gt;</t>
  </si>
  <si>
    <t>Re: Set up Observepoint audit scan to identify broken external links</t>
  </si>
  <si>
    <t>Let's sync to review, as there is actually a lot we can do here.
Do any of the following times work to connect?
Meeting length: 30 Minutes
Time Zone: (GMT-7) MST/Phoenix
Thu Dec 11 Mon Dec 15 Tue Dec 16 Wed Dec 17 Thu Dec 18 Fri Dec 19
 3:00  PM
&lt;https://us-3129.email-composer-webhooks.gong.io/email-tracking/clicked?email-info-token=eyJhbGciOiJIUzI1NiJ9.eyJjb21wYW55SWQiOiI4OTgyMjM2MTQxODc2Mjk3NzAiLCJkcmFmdElkIjoici01NTcxNjQ1Njk3MjIyMzQ1OTQ4IiwibGlua1VybCI6Imh0dHBzOi8vb2JzZXJ2ZXBvaW50Lm</t>
  </si>
  <si>
    <t>19b23cbf9e02b179</t>
  </si>
  <si>
    <t>Macey Bell &lt;macey.bell@observepoint.com&gt;, "john.davis@observepoint.com" &lt;john.davis@observepoint.com&gt;</t>
  </si>
  <si>
    <t>RE: Set up Observepoint audit scan to identify broken external links</t>
  </si>
  <si>
    <t>Hi Macey and John,
Thank you so much for the call today. It was insightful!
The reports feature is pretty cool, thanks @Macey Bell&lt;mailto:macey.bell@observepoint.com&gt;, I learnt more about how we can drill down or group columns. And thank you for all the support that you have given all this while, very much appreciate it. It was a pleasure working with you.
@john.davis@observepoint.com&lt;mailto:john.davis@observepoint.com&gt; Looking forward to working with you and happy to connect early next</t>
  </si>
  <si>
    <t>19b31f999bc8be85</t>
  </si>
  <si>
    <t>Macey Bell &lt;macey.bell@observepoint.com&gt;, "Lavoie, Kev" &lt;kev.lavoie@accenture.com&gt;</t>
  </si>
  <si>
    <t>Hey Dinika and Kev,
I took a look at your javascript code on those audits to be able to find
external links on the page and then perform a request to check their status
code. Unfortunately this is not going to be possible as we are not going to
be able to get past the CORS issue with how that javascript is run on page
during our audits.
Don't worry though because I have another solution for you:
   1. First I gathered all the external links from your audit "Marketing
   Pixels - Al</t>
  </si>
  <si>
    <t>19b320fb51577a94</t>
  </si>
  <si>
    <t>RE: [External] Re: Set up Observepoint audit scan to identify broken external links</t>
  </si>
  <si>
    <t>Hi John,
Thank you for looking into this. It is very helpful and pretty good for now.
Would you be able to share an offline copy of the google sheet please? For some reason I am unable to access it.
Regarding automating this process, it’s a good workaround until we have the new feature, we can chat about it early next year sometime in January.
Happy Holidays! 😊
Thanks and Regards,
[image008.png]
Dinika Srinivas Rao
Data Architecture Specialist
Toronto Corp 40 King St W, C</t>
  </si>
  <si>
    <t>19b321a268b767b4</t>
  </si>
  <si>
    <t>Re: [External] Re: Set up Observepoint audit scan to identify broken external links</t>
  </si>
  <si>
    <t>Hey Dinika,
Sorry for the access troubles, not sure what's the issue, but maybe it will
work now if you refresh?
Also attached is a csv version of the same list just in case.
I will just go ahead and set up the automation while I have some time over
the next few weeks.
Here are some available times to setup our next sync in January, feel free
to grab one of them that works for you and your team:
Meeting length: 30 Minutes
Time Zone: (GMT-7) MST/Denver
Mon Jan 12 Tue Jan 13 We</t>
  </si>
  <si>
    <t>19b324ce3b786657</t>
  </si>
  <si>
    <t>Thanks for the csv file!
Sure, we can go through the setup when we chat in January.
Best,
Dinika Rao
From: John Davis &lt;john.davis@observepoint.com&gt;
Sent: Thursday, December 18, 2025 10:36 AM
To: Rao, Dinika &lt;dinika.rao@accenture.com&gt;
Cc: Macey Bell &lt;macey.bell@observepoint.com&gt;; Lavoie, Kev &lt;kev.lavoie@accenture.com&gt;
Subject: Re: [External] Re: Set up Observepoint audit scan to identify broken external links
Hey Dinika,
Sorry for the access troubles, not sure what's the issue</t>
  </si>
  <si>
    <t>19bdbdb4b4515d02</t>
  </si>
  <si>
    <t>Hi John,
Thank you for the quick sync last week and explaining the broken external links setup.
Following up on that, please let me know if the primary audit is setup to “Marketing Pixels – All Platforms” and which one is the secondary audit that I could use to scan the external links. Is it “Marketing Pixels - All Platforms - External Links Only” ?
EDC would like to run the scan to understand how long the scan runs, basis which they will go ahead and decide on the cadence. Please do gi</t>
  </si>
  <si>
    <t>19bdc700cb07eabe</t>
  </si>
  <si>
    <t>"Lavoie, Kev" &lt;kev.lavoie@accenture.com&gt;, Todd Wilkerson &lt;todd.wilkerson@observepoint.com&gt;</t>
  </si>
  <si>
    <t>Hey Dinika,
Yes you are correct, that is the correct audit that is going to be used to
check the external links.
So there are 4 things that this solution uses:
   1. Primary Audit - Marketing Pixels – All Platforms
   &lt;https://app.observepoint.com/audit/752425/run/8660350/report/highlights/discovery&gt;
   You use this to check whatever internal sites you want and it will also
   find all the external links in these sites.
   Once this finishes, it hits a webhook in my Google Sheet to</t>
  </si>
  <si>
    <t>19bdd3fbe0e35a4a</t>
  </si>
  <si>
    <t>John Davis &lt;john.davis@observepoint.com&gt;, "Adamson, Peter" &lt;padamson@edc.ca&gt;</t>
  </si>
  <si>
    <t>observepoint.com, edc.ca</t>
  </si>
  <si>
    <t>Hi John,
Thank you for sharing the step-by-step guide, it’s quite helpful!
Looping in @Adamson, Peter&lt;mailto:padamson@edc.ca&gt; from EDC who would be helping or pointing to the right person regarding the renewal.
Thanks and Regards,
Dinika Rao
From: John Davis &lt;john.davis@observepoint.com&gt;
Sent: Tuesday, January 20, 2026 12:25 PM
To: Rao, Dinika &lt;dinika.rao@accenture.com&gt;
Cc: Lavoie, Kev &lt;kev.lavoie@accenture.com&gt;; Todd Wilkerson &lt;todd.wilkerson@observepoint.com&gt;
Subject: Re: [Ext</t>
  </si>
  <si>
    <t>19bdd4a9f827c572</t>
  </si>
  <si>
    <t>"Adamson, Peter" &lt;padamson@edc.ca&gt;, "Lavoie, Kev" &lt;kev.lavoie@accenture.com&gt;, Todd Wilkerson &lt;todd.wilkerson@observepoint.com&gt;</t>
  </si>
  <si>
    <t>edc.ca, accenture.com, observepoint.com</t>
  </si>
  <si>
    <t>Actually I got confused here about the renewal. I apologize for that, your
renewal isn't until March 2027, so please disregard that!
*Regards, *
John Davis *   |    * *Customer Success Manager*
Cell: 801.633.6013
john.davis@observepoint.com
www.observepoint.com
&lt;https://us-3129.email-composer-webhooks.gong.io/email-tracking/clicked?email-info-token=eyJhbGciOiJIUzI1NiJ9.eyJjb21wYW55SWQiOiI4OTgyMjM2MTQxODc2Mjk3NzAiLCJkcmFmdElkIjoicjEzMTk5MTYzOTA3MTM4OTgwMiIsImxpbmtVcmwiOiJodHRwczovL2d</t>
  </si>
  <si>
    <t>19aba36b0a646896</t>
  </si>
  <si>
    <t>John Davis &lt;john.davis@observepoint.com&gt;, btymoniewicz@darden.com, esjostrom@darden.com</t>
  </si>
  <si>
    <t>observepoint.com, darden.com</t>
  </si>
  <si>
    <t>Invitation: ObservePoint | Darden Restaurants Sync @ Every 2 weeks from 1pm to 1:30pm on Wednesday (MST) (John Davis)</t>
  </si>
  <si>
    <t>ObservePoint | Darden Restaurants Sync
Every 2 weeks from 1pm to 1:30pm on Wednesday
Mountain Time - Denver
Join Zoom Meeting
https://observepoint.zoom.us/j/3742631971?pwd=Z2JhWG1yV1ZtOVBnMVZaRDR0bjVDZz09&amp;omn=92489291227
Join by phone
(US) +1 888-788-0099
passcode: 318688
Joining instructions
https://www.google.com/url?q=https://applications.zoom.us/addon/invitation/detail?meetingUuid%3DVYQXo3aQTeS3QtbSa6Xh7g%253D%253D%26signature%3D4245300e37a1e1ce3c512ab445ececbf5dea5db87dbf</t>
  </si>
  <si>
    <t>19aba320fd5cd5ad</t>
  </si>
  <si>
    <t>John Davis &lt;john.davis@observepoint.com&gt;, david.krause@commonspirit.org, philip.leach@commonspirit.org, david.adams903@commonspirit.org, debra.veik@commonspirit.org, eric.davis902@commonspirit.org, stanton.richard@commonspirit.org, Abel Gomez &lt;abel.gomez@observepoint.com&gt;</t>
  </si>
  <si>
    <t>Invitation: OP | Dignity Health - Sync @ Tue Dec 9, 2025 2pm - 2:30pm (MST) (John Davis)</t>
  </si>
  <si>
    <t>OP | Dignity Health - Sync
Tuesday Dec 9, 2025 ⋅ 2pm – 2:30pm
Mountain Time - Denver
Join Zoom Meeting
https://observepoint.zoom.us/j/3742631971?pwd=Z2JhWG1yV1ZtOVBnMVZaRDR0bjVDZz09&amp;omn=92563328990
Join by phone
(US) +1 888-788-0099
passcode: 318688
Joining instructions
https://www.google.com/url?q=https://applications.zoom.us/addon/invitation/detail?meetingUuid%3DuwbEVSZaSHucNTqXQGo9tw%253D%253D%26signature%3D261a60bca910797695afc7aca672fc14bf3687d2153140f6113d984ecc5329f6%26</t>
  </si>
  <si>
    <t>19be181c89457228</t>
  </si>
  <si>
    <t>"Black, Neil" &lt;Neil.Black@lumen.com&gt;</t>
  </si>
  <si>
    <t>Accepted: Observepoint | Lumen - Sync</t>
  </si>
  <si>
    <t xml:space="preserve">
----------------------------------------------------------------------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
</t>
  </si>
  <si>
    <t>19be1645e0270dc3</t>
  </si>
  <si>
    <t>"Liszka, Kerry" &lt;Kerry.Liszka@lumen.com&gt;</t>
  </si>
  <si>
    <t>19bb80826c97f4ab</t>
  </si>
  <si>
    <t>"Payano, Gabriela" &lt;Gabriela.Payano@lumen.com&gt;</t>
  </si>
  <si>
    <t>19bb43c2e8fa3324</t>
  </si>
  <si>
    <t>19b9fa31d85268e4</t>
  </si>
  <si>
    <t>chandra.guin@contractor.optavia.com, grace.stafford@optavia.com, sonia.turumopula@contractor.optavia.com</t>
  </si>
  <si>
    <t>contractor.optavia.com, optavia.com</t>
  </si>
  <si>
    <t>Email Links Validation</t>
  </si>
  <si>
    <t>Hey Chandra,
Just in case you missed Macey's messages in the chat in our Zoom meeting
today, here is our latest documentation on the email links validation tool
that is already available in your account:
https://www.observepoint.com/solutions/email-link-validation/
https://help.observepoint.com/en/articles/9369053-email-link-validation
Let me know if you have any questions about this or if you need help
setting it up, thanks!
*Regards, *
John Davis *   |    * *Customer Succe</t>
  </si>
  <si>
    <t>19b9ee041a4165a5</t>
  </si>
  <si>
    <t>19b7a575d864b9ee</t>
  </si>
  <si>
    <t>"nic.suder@observepoint.com" &lt;nic.suder@observepoint.com&gt;, "crose@mms.org" &lt;crose@mms.org&gt;, "john.davis@observepoint.com" &lt;john.davis@observepoint.com&gt;, "andy.compas@observepoint.com" &lt;andy.compas@observepoint.com&gt;</t>
  </si>
  <si>
    <t>observepoint.com, mms.org</t>
  </si>
  <si>
    <t>Upcoming ObservePoint Renewal on January 31, 2026 - Massachusetts Medical Society</t>
  </si>
  <si>
    <t xml:space="preserve">
[image: ObservePoint Logo_Gray_ON_YEllow_LOGO.jpeg]
A friendly reminder that it's time to renew.
Hi Caryn-Amy,
The last day of your current term is *January 31, 2026*.
If you have already completed renewal paperwork or opted to auto-renew your 
agreement, no action is required.
Please reach out to your account team if you have any questions.
*Customer Success Manager -* john.davis@observepoint.com
*Account Executive - * andy.compas@observepoint.com
</t>
  </si>
  <si>
    <t>19b711bc14100706</t>
  </si>
  <si>
    <t>"Rose, Caryn-Amy" &lt;crose@mms.org&gt;, John Davis &lt;john.davis@observepoint.com&gt;</t>
  </si>
  <si>
    <t>mms.org, observepoint.com</t>
  </si>
  <si>
    <t>Re: [EXT] ObservePoint Renewal</t>
  </si>
  <si>
    <t>Sure thing! I think it can be done by Friday most likely but I will keep
you posted. Not sure if any of our signers are extending time off.
On Tue, Dec 30, 2025 at 1:13 PM Rose, Caryn-Amy &lt;crose@mms.org&gt; wrote:
&gt; Hi Macey! Here is our signed renewal order form. Would you kindly return a
&gt; fully-executed copy when everyone is back?
&gt;
&gt;
&gt;
&gt; Thanks so much!
&gt;
&gt;
&gt;
&gt; Happy New Year!
&gt;
&gt;
&gt;
&gt; Best,
&gt;
&gt;
&gt;
&gt; Caryn-Amy
&gt;
&gt;
&gt;
&gt;
&gt;
&gt; *From:* Macey Bell &lt;macey.bell@observepoint.c</t>
  </si>
  <si>
    <t>19b700aa6a0fe186</t>
  </si>
  <si>
    <t>"nic.suder@observepoint.com" &lt;nic.suder@observepoint.com&gt;, "john.davis@observepoint.com" &lt;john.davis@observepoint.com&gt;, "kerry.liszka@lumen.com" &lt;kerry.liszka@lumen.com&gt;, "todd.wilkerson@observepoint.com" &lt;todd.wilkerson@observepoint.com&gt;</t>
  </si>
  <si>
    <t>observepoint.com, lumen.com</t>
  </si>
  <si>
    <t>Upcoming ObservePoint Renewal on February 28, 2026 - Lumen</t>
  </si>
  <si>
    <t xml:space="preserve">
[image: ObservePoint Logo_Gray_ON_YEllow_LOGO.jpeg]
A friendly reminder that it's time to renew.
Hi Kerry,
Thank you for being an ObservePoint customer!
This is an automated notification to let you know that the end of your 
current term is* February 28, 2026*.
We know approval and procurement processes can take time, and we want to 
avoid any interruption of service, hence we are reaching out now.
Please reach out to your account team if you have any questions, or if you 
anticipate a</t>
  </si>
  <si>
    <t>19b702718423c558</t>
  </si>
  <si>
    <t>Revenue Operations &lt;salesops@observepoint.com&gt;, "nic.suder@observepoint.com" &lt;nic.suder@observepoint.com&gt;, "john.davis@observepoint.com" &lt;john.davis@observepoint.com&gt;, "todd.wilkerson@observepoint.com" &lt;todd.wilkerson@observepoint.com&gt;</t>
  </si>
  <si>
    <t>Re: Upcoming ObservePoint Renewal on February 28, 2026 - Lumen</t>
  </si>
  <si>
    <t>There were a few ahead of us in line but procurement is working on it! Thank you!
Kerry
________________________________
From: Revenue Operations &lt;salesops@observepoint.com&gt;
Sent: Tuesday, December 30, 2025 11:15 AM
To: nic.suder@observepoint.com &lt;nic.suder@observepoint.com&gt;; john.davis@observepoint.com &lt;john.davis@observepoint.com&gt;; Liszka, Kerry &lt;Kerry.Liszka@lumen.com&gt;; todd.wilkerson@observepoint.com &lt;todd.wilkerson@observepoint.com&gt;
Subject: Upcoming ObservePoint Renewal on February 2</t>
  </si>
  <si>
    <t>19b4c19f9e0793cb</t>
  </si>
  <si>
    <t>Automatic reply: Canceled event with note: Observepoint | Lumen - Sync @ Tue Dec 23, 2025 11:30am - 12pm (MST) (neil.black@lumen.com)</t>
  </si>
  <si>
    <t>I’m currently out of the office traveling for an offsite meeting with Palantir. I'll be returning to my normal schedule Thursday Nov 6th.
Thank you,
Neil Black
----------------------------------------------------------------------
This communication is the property of Lumen Technologies and may contain confidential or privileged information. Unauthorized use of this communication is strictly prohibited and may be unlawful. If you have received this communication in error, please immediat</t>
  </si>
  <si>
    <t>19b4a4479dddb534</t>
  </si>
  <si>
    <t>Declined: Observepoint | Lumen - Sync</t>
  </si>
  <si>
    <t>19b481ddf9b8646d</t>
  </si>
  <si>
    <t>"Hong, Arnold" &lt;Arnold.Hong@lumen.com&gt;</t>
  </si>
  <si>
    <t xml:space="preserve">Things are pretty quiet here with the holiday. Let's regroup at the next occurrence of this series.
----------------------------------------------------------------------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
  </si>
  <si>
    <t>19b379996c65eec2</t>
  </si>
  <si>
    <t>"Rose, Caryn-Amy" &lt;crose@mms.org&gt;</t>
  </si>
  <si>
    <t>Macey Bell &lt;macey.bell@observepoint.com&gt;, John Davis &lt;john.davis@observepoint.com&gt;, "Kumar Arora, Mayank" &lt;mkarora@mms.org&gt;</t>
  </si>
  <si>
    <t>RE: [EXT] Canceled event with note: ObservePoint | MMS Sync @ Thu Dec 25, 2025 10:30am - 11am (EST) (crose@mms.org)</t>
  </si>
  <si>
    <t xml:space="preserve">Thanks, Macey!
We are good. Have a wonderful holiday and Happy, happy new year! Talk to you in 2026!
-----Original Appointment-----
From: Macey Bell &lt;macey.bell@observepoint.com&gt;
Sent: Friday, December 19, 2025 12:10 PM
To: Rose, Caryn-Amy; John Davis; Kumar Arora, Mayank; Aryee, Abby
Subject: [EXT] Canceled event with note: ObservePoint | MMS Sync @ Thu Dec 25, 2025 10:30am - 11am (EST) (crose@mms.org)
When: Thursday, December 25, 2025 8:30 AM-9:00 AM America/Denver.
Where:
This </t>
  </si>
  <si>
    <t>19b31dd1eeca845b</t>
  </si>
  <si>
    <t>19b2813a7b03b8ec</t>
  </si>
  <si>
    <t>19b28156192ebb63</t>
  </si>
  <si>
    <t>19b2316d256f5010</t>
  </si>
  <si>
    <t>Macey Bell &lt;macey.bell@observepoint.com&gt;, efraticelli@khov.com, jcarter@khov.com, mprotopopova@khov.com, pdamera@khov.com, John Davis &lt;john.davis@observepoint.com&gt;</t>
  </si>
  <si>
    <t>observepoint.com, khov.com</t>
  </si>
  <si>
    <t>Can we reschedule this? We are out of office between Christmas and New  
Years. Use this link to schedule something before the holidays that works  
for your team:  
https://observepoint.chilipiper.com/me/john-davis/meeting-with-john Thanks!  
- John
K. Hovnanian | ObservePoint Monthly Sync
Friday Dec 26, 2025 ⋅ 1pm – 1:30pm
Mountain Time - Denver
Join Zoom Meeting
https://observepoint.zoom.us/j/3742631971?pwd=Z2JhWG1yV1ZtOVBnMVZaRDR0bjVDZz09&amp;omn=93400097744
Join by phone
(U</t>
  </si>
  <si>
    <t>19b0f491227cc3af</t>
  </si>
  <si>
    <t>19b0defaf7886387</t>
  </si>
  <si>
    <t>John Davis &lt;john.davis@observepoint.com&gt;, chandra.guin@contractor.optavia.com, sonia.turumopula@contractor.optavia.com, grace.stafford@optavia.com</t>
  </si>
  <si>
    <t>observepoint.com, contractor.optavia.com, optavia.com</t>
  </si>
  <si>
    <t>Updated invitation: ObservePoint | Medifast - Sync @ Thu Dec 18, 2025 8am - 8:30am (MST) (John Davis)</t>
  </si>
  <si>
    <t>This event has been updated
Changed: time
ObservePoint | Medifast - Sync
Thursday Dec 18, 2025 ⋅ 8am – 8:30am
Mountain Time - Denver
Join Zoom Meeting
https://observepoint.zoom.us/j/3742631971?pwd=Z2JhWG1yV1ZtOVBnMVZaRDR0bjVDZz09&amp;omn=93743732863&amp;jst=2
Join by phone
(US) +1 888-788-0099
passcode: 318688
Joining instructions
https://www.google.com/url?q=https://applications.zoom.us/addon/invitation/detail?meetingUuid%3D4qw8oTNrSqGn1q2%252FojvG2g%253D%253D%26signature%3Dae7</t>
  </si>
  <si>
    <t>19b0dea803c8a17b</t>
  </si>
  <si>
    <t>Sonia Turumopula &lt;Sonia.Turumopula@contractor.optavia.com&gt;, John Davis &lt;john.davis@observepoint.com&gt;</t>
  </si>
  <si>
    <t>contractor.optavia.com, observepoint.com</t>
  </si>
  <si>
    <t>Re: New Time Proposed: ObservePoint | Medifast - Sync</t>
  </si>
  <si>
    <t>Hi Sonia!
You will actually have a new primary contact in John Davis moving forward
and I was hoping to introduce him as your new CSM. If this morning is a bad
time can we reschedule to make introductions?
On Thu, Dec 11, 2025 at 7:54 AM Sonia Turumopula &lt;
Sonia.Turumopula@contractor.optavia.com&gt; wrote:
&gt; Hi Macey,
&gt;
&gt; We don't have much to discus. We can pass this meeting. We will reach out
&gt; to you if we need anything.
&gt;
&gt; Thanks you..!
&gt; =====================================</t>
  </si>
  <si>
    <t>19ae6845612d26bd</t>
  </si>
  <si>
    <t>Re: Service Order for 2026</t>
  </si>
  <si>
    <t>Here you go.
Thanks, Todd
On Wed, Dec 3, 2025 at 3:45 PM Liszka, Kerry &lt;Kerry.Liszka@lumen.com&gt; wrote:
&gt; I'm the worst. Are you able to send this as a word doc? This is my first
&gt; time starting a process with procurement so I'm stumbling through it.
&gt; Thanks!
&gt; Kerry
&gt; ------------------------------
&gt; *From:* Macey Bell &lt;macey.bell@observepoint.com&gt;
&gt; *Sent:* Friday, November 21, 2025 2:40 PM
&gt; *To:* Liszka, Kerry &lt;Kerry.Liszka@lumen.com&gt;
&gt; *Cc:* Todd Wilkerson &lt;todd.wilkerson@o</t>
  </si>
  <si>
    <t>19aba3991c84326c</t>
  </si>
  <si>
    <t>John Davis &lt;john.davis@observepoint.com&gt;, crose@mms.org, mkarora@mms.org, aaryee@mms.org</t>
  </si>
  <si>
    <t>Invitation: ObservePoint | MMS Sync @ Monthly from 8:30am to 9am on the fourth Thursday (MST) (John Davis)</t>
  </si>
  <si>
    <t>ObservePoint | MMS Sync
Monthly from 8:30am to 9am on the fourth Thursday
Mountain Time - Denver
Join Zoom Meeting
https://observepoint.zoom.us/j/3742631971?pwd=Z2JhWG1yV1ZtOVBnMVZaRDR0bjVDZz09&amp;omn=92315898431
Join by phone
(US) +1 888-788-0099
passcode: 318688
Joining instructions
https://www.google.com/url?q=https://applications.zoom.us/addon/invitation/detail?meetingUuid%3DVYQXo3aQTeS3QtbSa6Xh7g%253D%253D%26signature%3D4245300e37a1e1ce3c512ab445ececbf5dea5db87dbf9f0105989ed</t>
  </si>
  <si>
    <t>19aba35f33ff3015</t>
  </si>
  <si>
    <t>John Davis &lt;john.davis@observepoint.com&gt;, jcarter@khov.com, mprotopopova@khov.com, pdamera@khov.com</t>
  </si>
  <si>
    <t>Invitation: K. Hovnanian | ObservePoint Monthly Sync @ Monthly from 1pm to 1:30pm on the last Friday (MST) (John Davis)</t>
  </si>
  <si>
    <t>K. Hovnanian | ObservePoint Monthly Sync
Monthly from 1pm to 1:30pm on the last Friday
Mountain Time - Denver
Join Zoom Meeting
https://observepoint.zoom.us/j/3742631971?pwd=Z2JhWG1yV1ZtOVBnMVZaRDR0bjVDZz09&amp;omn=93400097744
Join by phone
(US) +1 888-788-0099
passcode: 318688
Joining instructions
https://www.google.com/url?q=https://applications.zoom.us/addon/invitation/detail?meetingUuid%3DGK0DgNQvRm2HfQ%252FWEFBB1Q%253D%253D%26signature%3Debe0ae461c9a503bb750fdf484cd12922929e9</t>
  </si>
  <si>
    <t>19aba349ba40c0d4</t>
  </si>
  <si>
    <t>John Davis &lt;john.davis@observepoint.com&gt;, arnold.hong@lumen.com, neil.black@lumen.com, kerry.liszka@lumen.com</t>
  </si>
  <si>
    <t>Invitation: Observepoint | Lumen - Sync @ Every 2 weeks from 11:30am to 12pm on Thursday (MST) (John Davis)</t>
  </si>
  <si>
    <t>Observepoint | Lumen - Sync
Every 2 weeks from 11:30am to 12pm on Thursday
Mountain Time - Denver
Join Zoom Meeting
https://observepoint.zoom.us/j/3742631971?pwd=Z2JhWG1yV1ZtOVBnMVZaRDR0bjVDZz09&amp;omn=98830099161&amp;jst=2
Join by phone
(US) +1 888-788-0099
passcode: 318688
Joining instructions
https://www.google.com/url?q=https://applications.zoom.us/addon/invitation/detail?meetingUuid%3DiMRDIGtwRfqRtt%252Fit1DXRw%253D%253D%26signature%3D9e4218deb537572694b97480ef8da5794c1162c4f824</t>
  </si>
  <si>
    <t>19aba33fb7bc3545</t>
  </si>
  <si>
    <t>Invitation: ObservePoint | Medifast - Sync @ Every 4 weeks from 8am to 8:30am on Thursday (MST) (John Davis)</t>
  </si>
  <si>
    <t>ObservePoint | Medifast - Sync
Every 4 weeks from 8am to 8:30am on Thursday
Mountain Time - Denver
Join Zoom Meeting
https://observepoint.zoom.us/j/3742631971?pwd=Z2JhWG1yV1ZtOVBnMVZaRDR0bjVDZz09&amp;omn=93743732863&amp;jst=2
Join by phone
(US) +1 888-788-0099
passcode: 318688
Joining instructions
https://www.google.com/url?q=https://applications.zoom.us/addon/invitation/detail?meetingUuid%3D4qw8oTNrSqGn1q2%252FojvG2g%253D%253D%26signature%3Dae7b20b651620264d1b8fe8ece4e45e1487b20b6a9f</t>
  </si>
  <si>
    <t>19bd32f0e0dcb6f2</t>
  </si>
  <si>
    <t>Ash Chan &lt;achan4@officeworks.com.au&gt;</t>
  </si>
  <si>
    <t>Accepted: ObservePoint | Officeworks Sync</t>
  </si>
  <si>
    <t>________________________________
 This email and any attachments may contain privileged and confidential information and are intended for the named addressee only. If you have received this e-mail in error, please notify the sender and delete this e-mail immediately. Any confidentiality, privilege or copyright is not waived or lost because this e-mail has been sent to you in error. It is your responsibility to check this e-mail and any attachments for viruses. No warranty is made that this mate</t>
  </si>
  <si>
    <t>19bd32925254f77e</t>
  </si>
  <si>
    <t>Henry Hebron &lt;hhebron@officeworks.com.au&gt;</t>
  </si>
  <si>
    <t>________________________________
This email and any attachments may contain privileged and confidential information and are intended for the named addressee only. If you have received this e-mail in error, please notify the sender and delete this e-mail immediately. Any confidentiality, privilege or copyright is not waived or lost because this e-mail has been sent to you in error. It is your responsibility to check this e-mail and any attachments for viruses. No warranty is made that this mater</t>
  </si>
  <si>
    <t>19bd32209d83a678</t>
  </si>
  <si>
    <t>Bridget Howell &lt;bhowell@officeworks.com.au&gt;</t>
  </si>
  <si>
    <t>19bd2f0e7983502a</t>
  </si>
  <si>
    <t>Hayley Chamberlain &lt;HChamberlain@officeworks.com.au&gt;</t>
  </si>
  <si>
    <t>19bc8b899956df68</t>
  </si>
  <si>
    <t>"Ruiz, Elvis" &lt;elvis.ruiz@merz.com&gt;</t>
  </si>
  <si>
    <t>merz.com</t>
  </si>
  <si>
    <t>Merz renewal &amp; Extended Data Retention SO</t>
  </si>
  <si>
    <t>Elvis,
Attached is the 2026 Renewal per your request.
Please check the information on the top right; Contact names &amp; billing info
etc.
I have also added an additional SO (Service Order) for the proposed 3 year
Extended Data Retention.
As you can see it's a very small amount per annual storage ($720).
If you can get a signature prior to the end of the month, that would be
great. We won't require immediate payment.
We will align the contract to be a part of the renewal on the 28</t>
  </si>
  <si>
    <t>19bdd56bb36b7169</t>
  </si>
  <si>
    <t>Re: Merz renewal &amp; Extended Data Retention SO</t>
  </si>
  <si>
    <t>Elvis,
Any chance that after the long weekend you have had a chance to look at
this?
Please let me know if you have any questions
Best,
*Andy Compas* *   |    Account Executive*
  801.361.4079
  *andy.compas@observepoint.com &lt;andy.compas@observepoint.com&gt;*
  *www.observepoint.com &lt;http://www.observepoint.com&gt;*
On Fri, Jan 16, 2026 at 2:30 PM Andy Compas &lt;andy.compas@observepoint.com&gt;
wrote:
&gt; Elvis,
&gt;
&gt; Attached is the 2026 Renewal per your request.
&gt;
&gt; Ple</t>
  </si>
  <si>
    <t>19bdd6237d4a5ebe</t>
  </si>
  <si>
    <t>"Ruiz, Elvis" &lt;Elvis.Ruiz@merz.com&gt;</t>
  </si>
  <si>
    <t>Hello Andy,
Thanks for following up. I’ve reviewed the renewal details and the additional SO for the extended data retention, and everything looks good on my end. I’ll forward these to Preah, as they need to select which option to move forward with.
Best regards,
Elvis
From: Andy Compas &lt;andy.compas@observepoint.com&gt;
Date: Tuesday, January 20, 2026 at 4:36 PM
To: Ruiz, Elvis &lt;Elvis.Ruiz@merz.com&gt;
Cc: John Davis &lt;john.davis@observepoint.com&gt;
Subject: Re: Merz renewal &amp; Extended Data</t>
  </si>
  <si>
    <t>19bdd6bf1cab972e</t>
  </si>
  <si>
    <t xml:space="preserve">Thank you Elvis
*Andy Compas* *   |    Account Executive*
  801.361.4079
  *andy.compas@observepoint.com &lt;andy.compas@observepoint.com&gt;*
  *www.observepoint.com &lt;http://www.observepoint.com&gt;*
On Tue, Jan 20, 2026 at 2:49 PM Ruiz, Elvis &lt;Elvis.Ruiz@merz.com&gt; wrote:
&gt; Hello Andy,
&gt;
&gt; Thanks for following up. I’ve reviewed the renewal details and the
&gt; additional SO for the extended data retention, and everything looks good on
&gt; my end. I’ll forward these to Preah, as </t>
  </si>
  <si>
    <t>19bc81d702401523</t>
  </si>
  <si>
    <t>Ash Chan &lt;achan4@officeworks.com.au&gt;, Bridget Howell &lt;bhowell@officeworks.com.au&gt;, hchamberlain &lt;hchamberlain@officeworks.com.au&gt;, Henry Hebron &lt;hhebron@officeworks.com.au&gt;</t>
  </si>
  <si>
    <t>Schedule next sync up</t>
  </si>
  <si>
    <t>Hey it was great to meet you all and to hear your thoughts!
I would love to schedule our next sync up and to set it up for a regular
monthly cadence.
Here are some available slots for you to pick from in *Australian Eastern
Time*, feel free to grab one that works for you and your team:
Meeting length: 30 Minutes
Time Zone: (GMT+11) AEDT/Sydney
Tue Jan 20 Wed Jan 21 Thu Jan 22 Fri Jan 23 Sat Jan 24 Tue Jan 27 Wed Jan 28
Thu Jan 29 Fri Jan 30 Sat Jan 31
 9:00  AM
&lt;https://observepo</t>
  </si>
  <si>
    <t>19bc3ccbfe25d0d0</t>
  </si>
  <si>
    <t>are we still on for our meeting today?</t>
  </si>
  <si>
    <t>Hi John,
Happy New Year, we are waiting in the Zoom lobby. Just want to check we are still on for today?
thanks,
Hayley
[cid:867feb68-c39b-40a2-bbcb-dc75b7706f6d]
Hayley Chamberlain (She/Her)
Audience Lead
E: hchamberlain@officeworks.com.au&lt;mailto:hchamberlain@officeworks.com.au&gt;
officeworks.com.au
[cid:1657e437-a988-4a0f-8a1d-e5c435765295]&lt;https://www.facebook.com/officeworks&gt; [cid:1275516e-c252-4e60-a0e3-1c2f8d6bf9ce] &lt;https://www.instagram.com/officewo</t>
  </si>
  <si>
    <t>19bb86b636c787a7</t>
  </si>
  <si>
    <t>Michaleen Craig &lt;michaleen.craig@mongodb.com&gt;</t>
  </si>
  <si>
    <t>Accepted: ObservePoint | MongoDB Inc. Sync @ Thu Jan 22, 2026 11am - 11:30am (MST) (john.davis@observepoint.com)</t>
  </si>
  <si>
    <t>Michaleen Craig has accepted this invitation.
ObservePoint | MongoDB Inc. Sync
Thursday Jan 22, 2026 ⋅ 11am – 11:30am
Mountain Time - Denver
Join Zoom Meeting
https://observepoint.zoom.us/j/3628593272?pwd=OfxX2kwpsuA5labBaZXephHbiAXlz9.1&amp;omn=98009995100&amp;jst=2
Join by phone
(US) +1 877-853-5247
passcode: 183089
Joining instructions
https://www.google.com/url?q=https://applications.zoom.us/addon/invitation/detail?meetingUuid%3DIjgz%252BmaXRIy0uS2hEZ0Jpw%253D%253D%26signature%</t>
  </si>
  <si>
    <t>19bb7ffafafdd1a5</t>
  </si>
  <si>
    <t>Arthur Engelhard &lt;arthur.engelhard@mongodb.com&gt;</t>
  </si>
  <si>
    <t>Tentatively Accepted: ObservePoint | MongoDB Inc. Sync @ Thu Jan 22, 2026 11am - 11:30am (MST) (john.davis@observepoint.com)</t>
  </si>
  <si>
    <t>Arthur Engelhard has replied "Maybe" to this invitation.
ObservePoint | MongoDB Inc. Sync
Thursday Jan 22, 2026 ⋅ 11am – 11:30am
Mountain Time - Denver
Join Zoom Meeting
https://observepoint.zoom.us/j/3628593272?pwd=OfxX2kwpsuA5labBaZXephHbiAXlz9.1&amp;omn=98009995100&amp;jst=2
Join by phone
(US) +1 877-853-5247
passcode: 183089
Joining instructions
https://www.google.com/url?q=https://applications.zoom.us/addon/invitation/detail?meetingUuid%3DIjgz%252BmaXRIy0uS2hEZ0Jpw%253D%253D%2</t>
  </si>
  <si>
    <t>19ba4a0b7283a5bc</t>
  </si>
  <si>
    <t>Quote 2026</t>
  </si>
  <si>
    <t xml:space="preserve">Hey John,
Thanks for the reminder about renewal and joining our meeting today.
I need to submit a request to the procurement team to get the
ball rolling.
Can you send me the quote for the renewal, no updates or increases?
Thanks!
-- 
*{* name     : "Arthur Engelhard",
  title    : "Marketing Operations Manager",
  location : "Tewksbury, MA",
  social   : "LinkedIn
&lt;https://www.linkedin.com/in/arthur-engelhard-408b769/&gt;"*}*
</t>
  </si>
  <si>
    <t>19bb404acb8ee606</t>
  </si>
  <si>
    <t>Dallin Madsen &lt;dallin.madsen@observepoint.com&gt;</t>
  </si>
  <si>
    <t>John Davis &lt;john.davis@observepoint.com&gt;, Arthur Engelhard &lt;arthur.engelhard@mongodb.com&gt;</t>
  </si>
  <si>
    <t>observepoint.com, mongodb.com</t>
  </si>
  <si>
    <t>Re: Quote 2026</t>
  </si>
  <si>
    <t>Hey Arthur!
I'm having my legal team take a quick look at this. It looks to me from the
master service agreement that we can consider the contract renewed on the
same terms of conditions with written confirmation from your side.
Hoping this can save us a lot of time. I will have them take a look at it
and then get back to you shortly.
Best!
Dallin Madsen *   |    * *Enterprise Account Executive*
801.850.3709
dallin.madsen@observepoint.com
Schedule a Meeting With Me!
&lt;https:/</t>
  </si>
  <si>
    <t>19bb801aeaed316e</t>
  </si>
  <si>
    <t>John Davis &lt;john.davis@observepoint.com&gt;, Daniel Ayub &lt;daniel.ayub@mongodb.com&gt;</t>
  </si>
  <si>
    <t>Hey Dallin,
Thanks, but we need a quote to submit.
Also... I just heard we might be interested in increasing our spend to
~18k/yr (focused on audits/pages). Can that be sent over and we will submit
the request on this end?
On Mon, Jan 12, 2026 at 4:02 PM Dallin Madsen &lt;
dallin.madsen@observepoint.com&gt; wrote:
&gt; Hey Arthur!
&gt;
&gt; I'm having my legal team take a quick look at this. It looks to me from
&gt; the master service agreement that we can consider the contract renewed on
&gt; the s</t>
  </si>
  <si>
    <t>19bb885efa3a39f7</t>
  </si>
  <si>
    <t>Sounds good! We'll plan on that then!
Here is your service order attached
Dallin Madsen *   |    * *Enterprise Account Executive*
801.850.3709
dallin.madsen@observepoint.com
Schedule a Meeting With Me!
&lt;https://us-3129.email-composer-webhooks.gong.io/email-tracking/clicked?email-info-token=eyJhbGciOiJIUzI1NiJ9.eyJjb21wYW55SWQiOiI4OTgyMjM2MTQxODc2Mjk3NzAiLCJkcmFmdElkIjoici04NTIyMTkxMTk1OTczODg1OTAiLCJsaW5rVXJsIjoiaHR0cHM6Ly9vYnNlcnZlcG9pbnQuY2hpbGlwaXBlci5jb20vbWUvZGFsbGluLW1hZHNlbi9t</t>
  </si>
  <si>
    <t>19bb8d5cf978a49c</t>
  </si>
  <si>
    <t>@Daniel Ayub &lt;daniel.ayub@mongodb.com&gt; ,
Does billing contact on this need to be you or JB or a group inbox for
procurement?
On Tue, Jan 13, 2026 at 1:02 PM Dallin Madsen &lt;
dallin.madsen@observepoint.com&gt; wrote:
&gt; Sounds good! We'll plan on that then!
&gt;
&gt; Here is your service order attached
&gt;
&gt; Dallin Madsen *   |    * *Enterprise Account Executive*
&gt;
&gt; 801.850.3709
&gt; dallin.madsen@observepoint.com
&gt; Schedule a Meeting With Me!
&gt; &lt;https://us-3129.email-composer-webhooks.gong.</t>
  </si>
  <si>
    <t>19bb925d9c982500</t>
  </si>
  <si>
    <t>Daniel Ayub &lt;daniel.ayub@mongodb.com&gt;</t>
  </si>
  <si>
    <t>Dallin Madsen &lt;dallin.madsen@observepoint.com&gt;, John Davis &lt;john.davis@observepoint.com&gt;</t>
  </si>
  <si>
    <t>Billing can be ap@mongodb.com
On Tue, Jan 13, 2026 at 4:29 PM Arthur Engelhard &lt;
arthur.engelhard@mongodb.com&gt; wrote:
&gt; @Daniel Ayub &lt;daniel.ayub@mongodb.com&gt; ,
&gt;
&gt; Does billing contact on this need to be you or JB or a group inbox for
&gt; procurement?
&gt;
&gt; On Tue, Jan 13, 2026 at 1:02 PM Dallin Madsen &lt;
&gt; dallin.madsen@observepoint.com&gt; wrote:
&gt;
&gt;&gt; Sounds good! We'll plan on that then!
&gt;&gt;
&gt;&gt; Here is your service order attached
&gt;&gt;
&gt;&gt; Dallin Madsen *   |    * *Enterprise Account E</t>
  </si>
  <si>
    <t>19bb9273c29956ae</t>
  </si>
  <si>
    <t>Arthur Engelhard &lt;arthur.engelhard@mongodb.com&gt;, John Davis &lt;john.davis@observepoint.com&gt;</t>
  </si>
  <si>
    <t>mongodb.com, observepoint.com</t>
  </si>
  <si>
    <t>Edit made and attached!
Dallin Madsen *   |    * *Enterprise Account Executive*
801.850.3709
dallin.madsen@observepoint.com
Schedule a Meeting With Me!
&lt;https://us-3129.email-composer-webhooks.gong.io/email-tracking/clicked?email-info-token=eyJhbGciOiJIUzI1NiJ9.eyJjb21wYW55SWQiOiI4OTgyMjM2MTQxODc2Mjk3NzAiLCJkcmFmdElkIjoici02Mzc0ODc4MjkyNTgxNTgzNDc3IiwibGlua1VybCI6Imh0dHBzOi8vb2JzZXJ2ZXBvaW50LmNoaWxpcGlwZXIuY29tL21lL2RhbGxpbi1tYWRzZW4vbWVldGluZy13aXRoLWRhbGxpbi1tYWRzZW4iLCJsaW5rVGV4dCI6I</t>
  </si>
  <si>
    <t>19bc3f4654b7bdf0</t>
  </si>
  <si>
    <t>Daniel Ayub &lt;daniel.ayub@mongodb.com&gt;, John Davis &lt;john.davis@observepoint.com&gt;</t>
  </si>
  <si>
    <t>Dallin,
Looks like the start/end dates are not right.  Can you provide again?
FYI i'll be OOO for a couple days.
On Tue, Jan 13, 2026 at 3:58 PM Dallin Madsen &lt;
dallin.madsen@observepoint.com&gt; wrote:
&gt; Edit made and attached!
&gt;
&gt; Dallin Madsen *   |    * *Enterprise Account Executive*
&gt;
&gt; 801.850.3709
&gt; dallin.madsen@observepoint.com
&gt; Schedule a Meeting With Me!
&gt; &lt;https://us-3129.email-composer-webhooks.gong.io/email-tracking/clicked?email-info-token=eyJhbGciOiJIUzI1NiJ9.eyJj</t>
  </si>
  <si>
    <t>19bc78918d7cc8e6</t>
  </si>
  <si>
    <t>Good catch, Arthur! Attached
Dallin Madsen *   |    * *Enterprise Account Executive*
801.850.3709
dallin.madsen@observepoint.com
Schedule a Meeting With Me!
&lt;https://observepoint.chilipiper.com/me/dallin-madsen/meeting-with-dallin-madsen&gt;
On Thu, Jan 15, 2026 at 6:18 PM Arthur Engelhard &lt;
arthur.engelhard@mongodb.com&gt; wrote:
&gt; Dallin,
&gt;
&gt; Looks like the start/end dates are not right.  Can you provide again?
&gt; FYI i'll be OOO for a couple days.
&gt;
&gt; On Tue, Jan 13, 2026 at 3</t>
  </si>
  <si>
    <t>19ba48a0f6cc9573</t>
  </si>
  <si>
    <t>John Davis &lt;john.davis@observepoint.com&gt;, Wendi Vien &lt;wendi.vien@mongodb.com&gt;</t>
  </si>
  <si>
    <t>Intercom Chat Issues</t>
  </si>
  <si>
    <t>Hi John,
Wendi reached out to me today with the following Q...
*Hi Arthur,  in the past month, we’ve had two Intercom-related bugs
recently—a broken "Chat Now" button on the Pricing page that triggered a
page reload, and a "dead" mobile button on the Contact Us page.To help us
catch these regressions sooner, do you have any testing tools we could use
to monitor/ test our high-intent Intercom workflows? Thanks!*
For context, Intercom is our chat widget on the site.
Sounds like som</t>
  </si>
  <si>
    <t>19ba4a26e7eddb4e</t>
  </si>
  <si>
    <t>Wendi Vien &lt;wendi.vien@mongodb.com&gt;</t>
  </si>
  <si>
    <t>Re: Intercom Chat Issues</t>
  </si>
  <si>
    <t>Hey Wendi,
Yes I think Journeys would be a great product to help with this. Journeys
are a complete automated end-to-end front end testing suite with the
ObservePoint analytics tracking and other tools built right into it.
Mongo is currently tracking to be below their contracted amount for
Journeys before the contract is renewed at the end of March. So we should
have plenty of space to fit in a few new Journeys now and then we can
discuss how much you will need in the future and addre</t>
  </si>
  <si>
    <t>19bb35d7805f1cc3</t>
  </si>
  <si>
    <t>Thanks for connecting Arthur!
Hi John, what availability do you have next week? It’s a short week for us
on our end, and we’ll largely be heads down with launches.
Thanks,
Wendi
On Fri, Jan 9, 2026 at 1:21 PM John Davis &lt;john.davis@observepoint.com&gt;
wrote:
&gt; Hey Wendi,
&gt;
&gt; Yes I think Journeys would be a great product to help with this. Journeys
&gt; are a complete automated end-to-end front end testing suite with the
&gt; ObservePoint analytics tracking and other tools built right in</t>
  </si>
  <si>
    <t>19bb448f0f22fd89</t>
  </si>
  <si>
    <t>No worries, here is a list of slots for next week in *Mountain Time*:
Meeting length: 30 Minutes
Time Zone: (GMT-7) MST/Denver
Mon Jan 19 Tue Jan 20 Wed Jan 21 Thu Jan 22 Fri Jan 23
 10:00  AM
&lt;https://observepoint.chilipiper.com/suggested-times/784dfbfb-116a-4388-b6b2-f8e8b52c4b9e?slotStartsAt=2026-01-19T17:00:00.000Z&gt;
 10:00  AM
&lt;https://observepoint.chilipiper.com/suggested-times/784dfbfb-116a-4388-b6b2-f8e8b52c4b9e?slotStartsAt=2026-01-20T17:00:00.000Z&gt;
 10:00  AM
&lt;https://observe</t>
  </si>
  <si>
    <t>19b9eb0e8a600819</t>
  </si>
  <si>
    <t>john.davis@observepoint.com, Fiona Erickson &lt;fiona.erickson@mongodb.com&gt;, Matt Peloquin &lt;matt.peloquin@mongodb.com&gt;</t>
  </si>
  <si>
    <t>Invitation: Review Rebrand OP Results @ Fri Jan 9, 2026 8:30am - 9am (MST) (john.davis@observepoint.com)</t>
  </si>
  <si>
    <t>Review Rebrand OP Results
Friday Jan 9, 2026 ⋅ 8:30am – 9am
Mountain Time - Denver
Join Zoom Meeting
https://mongodb.zoom.com/j/93365526366?pwd=3bS2FX1ovwbkrAdmFjYza7aCpQnW1Z.1&amp;jst=2
Join by phone
(US) +1 833-548-0276
passcode: 773568
Join using SIP
93365526366@zoomcrc.com
passcode: 773568
Joining instructions
https://www.google.com/url?q=https://applications.zoom.us/addon/invitation/detail?meetingUuid%3DyzJSTsPCTIC20OW8D0mRlw%253D%253D%26signature%3D74d90a39e2ccf3528517</t>
  </si>
  <si>
    <t>19b957c206954211</t>
  </si>
  <si>
    <t>Accepted: ObservePoint | Officeworks</t>
  </si>
  <si>
    <t>19b8f455408b9824</t>
  </si>
  <si>
    <t>Automatic reply: ObservePoint touch base</t>
  </si>
  <si>
    <t>Hi, I am OOO and working intermittently during the end of year period (29-30 Dec and 2 Jan). For critical tickets, submit a service escalation. - ADT related: OfficeworksAnalyticsDigitalTagging@officeworks.com.au Otherwise, I will return to your email when I am next working.
________________________________
This email and any attachments may contain privileged and confidential information and are intended for the named addressee only. If you have received this e-mail in error, please notify th</t>
  </si>
  <si>
    <t>19b7531158082db3</t>
  </si>
  <si>
    <t>"nic.suder@observepoint.com" &lt;nic.suder@observepoint.com&gt;, "john.davis@observepoint.com" &lt;john.davis@observepoint.com&gt;, "daniel.ayub@mongodb.com" &lt;daniel.ayub@mongodb.com&gt;, "dallin.madsen@observepoint.com" &lt;dallin.madsen@observepoint.com&gt;</t>
  </si>
  <si>
    <t>Upcoming ObservePoint Renewal on March 31, 2026 - MongoDB Inc.</t>
  </si>
  <si>
    <t xml:space="preserve">
[image: ObservePoint Logo_Gray_ON_YEllow_LOGO.jpeg]
A friendly reminder that it's time to renew.
Hi Daniel,
Thank you for being an ObservePoint customer!
This is an automated notification to let you know that the end of your 
current term is* March 31, 2026*.
We know approval and procurement processes can take time, and we want to 
avoid any interruption of service, hence we are reaching out now.
Please reach out to your account team if you have any questions, or if you 
anticipate any</t>
  </si>
  <si>
    <t>19bb3e834ebff80d</t>
  </si>
  <si>
    <t>Revenue Operations &lt;salesops@observepoint.com&gt;, Arthur Engelhard &lt;arthur.engelhard@mongodb.com&gt;</t>
  </si>
  <si>
    <t>"nic.suder@observepoint.com" &lt;nic.suder@observepoint.com&gt;, "john.davis@observepoint.com" &lt;john.davis@observepoint.com&gt;, "dallin.madsen@observepoint.com" &lt;dallin.madsen@observepoint.com&gt;</t>
  </si>
  <si>
    <t>Re: Upcoming ObservePoint Renewal on March 31, 2026 - MongoDB Inc.</t>
  </si>
  <si>
    <t>Hey team, @Arthur Engelhard &lt;arthur.engelhard@mongodb.com&gt; will spearhead
this.
Ty!
On Wed, Dec 31, 2025 at 1:15 PM Revenue Operations &lt;
salesops@observepoint.com&gt; wrote:
&gt; [image: ObservePoint Logo_Gray_ON_YEllow_LOGO.jpeg]
&gt;
&gt; A friendly reminder that it's time to renew.
&gt;
&gt;
&gt; Hi Daniel,
&gt;
&gt;
&gt; Thank you for being an ObservePoint customer!
&gt;
&gt; This is an automated notification to let you know that the end of your
&gt; current term is* March 31, 2026*.
&gt;
&gt; We know approval and</t>
  </si>
  <si>
    <t>19b700aa70faa295</t>
  </si>
  <si>
    <t>"nic.suder@observepoint.com" &lt;nic.suder@observepoint.com&gt;, "preah.dalton@merz.com" &lt;preah.dalton@merz.com&gt;, "john.davis@observepoint.com" &lt;john.davis@observepoint.com&gt;, "andy.compas@observepoint.com" &lt;andy.compas@observepoint.com&gt;</t>
  </si>
  <si>
    <t>observepoint.com, merz.com</t>
  </si>
  <si>
    <t>Upcoming ObservePoint Renewal on February 28, 2026 - Merz Pharma</t>
  </si>
  <si>
    <t xml:space="preserve">
[image: ObservePoint Logo_Gray_ON_YEllow_LOGO.jpeg]
A friendly reminder that it's time to renew.
Hi Preah,
Thank you for being an ObservePoint customer!
This is an automated notification to let you know that the end of your 
current term is* February 28, 2026*.
We know approval and procurement processes can take time, and we want to 
avoid any interruption of service, hence we are reaching out now.
Please reach out to your account team if you have any questions, or if you 
anticipate a</t>
  </si>
  <si>
    <t>19b2e21ba6100ac0</t>
  </si>
  <si>
    <t>Amy Lewis &lt;alewis@thinkbrg.com&gt;</t>
  </si>
  <si>
    <t>thinkbrg.com</t>
  </si>
  <si>
    <t>Following up with you and Bluebeam</t>
  </si>
  <si>
    <t xml:space="preserve">Hi Amy,
Following up to see if you have made any headway with Bluebeam.
Thank you
Best,
*Andy Compas* *   |    Account Executive*
  801.361.4079
  *andy.compas@observepoint.com &lt;andy.compas@observepoint.com&gt;*
  *www.observepoint.com &lt;http://www.observepoint.com&gt;*
</t>
  </si>
  <si>
    <t>19b2e290f715e280</t>
  </si>
  <si>
    <t>RE: [EXT] Following up with you and Bluebeam</t>
  </si>
  <si>
    <t>Hi Andy,
I didn’t get a response from Merz unfortunately (I assume this is who you meant 😊). I assume they’re working on wrapping up end-of-year stuff. I’ll let you know if they get back with me.
Amy
Amy Lewis | Associate Director, Privacy and Data Protection
She/Her
CIPP-US | CIPP-E | CIPM
BRG
4509 Creedmoor Rd. Suite 201 | Raleigh, NC 27612
M 314.276.0736
alewis@thinkbrg.com&lt;mailto:%20alewis@thinkbrg.com&gt; | thinkbrg.com&lt;http://thinkbrg.com/&gt;
From: Andy Compas &lt;andy.compas@</t>
  </si>
  <si>
    <t>19b2e30a6c7dcf81</t>
  </si>
  <si>
    <t>Re: [EXT] Following up with you and Bluebeam</t>
  </si>
  <si>
    <t xml:space="preserve">yeah - exactly - my mind is in Alpha mode right now. Sorry about that
*Andy Compas* *   |    Account Executive*
  801.361.4079
  *andy.compas@observepoint.com &lt;andy.compas@observepoint.com&gt;*
  *www.observepoint.com &lt;http://www.observepoint.com&gt;*
On Wed, Dec 17, 2025 at 2:13 PM Amy Lewis &lt;alewis@thinkbrg.com&gt; wrote:
&gt; Hi Andy,
&gt;
&gt; I didn’t get a response from Merz unfortunately (I assume this is who you
&gt; meant 😊). I assume they’re working on wrapping up end-of-year </t>
  </si>
  <si>
    <t>19b12deeefb1f62f</t>
  </si>
  <si>
    <t>Happy Holidays Re: Rebranding Audit and Analysis</t>
  </si>
  <si>
    <t xml:space="preserve">I am off on December 12th, please reach out to support@observepoint.com if 
you have something urgent, otherwise I will get back to you next week, 
thanks!
-- 
*Regards, *
John Davis *   |    * *Customer Success Manager*
Cell: 801.633.6013
john.davis@observepoint.com
www.observepoint.com 
&lt;https://groove.grvlnk4.com/url/typa6byifukvbtijwod94/aHR0cDovL3d3dy5vYnNlcnZlcG9pbnQuY29tLyNncm9vdmVzdW06LTc2MTEwNTM3MA%3D%3D&gt;
</t>
  </si>
  <si>
    <t>19b0f3f54e5a50ff</t>
  </si>
  <si>
    <t>Observepoint Initiatives</t>
  </si>
  <si>
    <t>Hey John, as we discussed here's the doc i've been using to track the
initiatives and some notes.
Observepoint Initiatives
   -
   🔴Landing Page Validation 2.0 (Q1)
   - [image: unchecked]
      Arthur Engelhard &lt;arthur.engelhard@mongodb.com&gt; : work with team to
      enable API Feeds to send data from our back end on conversion rate/page
      - [image: checked]
      macey.bell@observepoint.com:
      - [image: checked]
         Make copy of : ObservePoint Landing Pag</t>
  </si>
  <si>
    <t>19b0f36212801f98</t>
  </si>
  <si>
    <t>Macey Bell &lt;macey.bell@observepoint.com&gt;, John Davis &lt;john.davis@observepoint.com&gt;, Fiona Erickson &lt;fiona.erickson@mongodb.com&gt;, Matt Peloquin &lt;matt.peloquin@mongodb.com&gt;</t>
  </si>
  <si>
    <t>Rebranding Audit and Analysis</t>
  </si>
  <si>
    <t>Hey Team,
I want to introduce Matt and Fiona on the Mongo side to Macey and John on
the Observepoint side. John agreed to help us (mostly me) out and push this
one across the finish line. I briefed him on the purpose and some of the
technicals already.
*Next Steps:*
   1. Validate that the results are accurate by comparing the current
   results to a manual test of 2-4 pages.
   2. Update the script/audit so the export of data is easier to ready (use
   browser console logs instea</t>
  </si>
  <si>
    <t>19b0f6cc2a5ba905</t>
  </si>
  <si>
    <t>Re: Rebranding Audit and Analysis</t>
  </si>
  <si>
    <t>Thanks Arthur!
Here is some quick code that I whipped up for you that you could add to
your on-page action javascript, right before your last line of code when
you call opReqGetAsync():
// Log results in a filterable format for audit reports
if (foundAtlas) {
// Summary log with prefix for easy filtering
console.log('[ATLAS_SEARCH_FOUND]', JSON.stringify({
url: window.location.href,
totalMatches: matchCount,
timestamp: new Date().toISOString()
}));
// Individual match logs for de</t>
  </si>
  <si>
    <t>19b12decda34aa53</t>
  </si>
  <si>
    <t>Looking good but seems to be a bit off.
When I run this on the home page (just in my own console), I see some
oddities right off the bat.
It seems to be finding the same link but with different matchedTerm. Also
seems like the calling the first one "[ATLAS_SEARCH_MATCH]" doesn't match
the matchedTerm.  Not sure what is wrong with the code but I think it's
before your newest addition.
[ATLAS_SEARCH_MATCH] {
"url":"https://www.mongodb.com/",
"element":"a.css-14evboh",
"attribute":"hr</t>
  </si>
  <si>
    <t>19b23003884b7ed5</t>
  </si>
  <si>
    <t>Yep I see that. After taking another look, I think its because the code is
looping through each baseTerm in checkValue when it doesn't need to and I
think you might need a Set to make sure there are no duplicate matches on
the same value. Try this updated code:
function opReqGetAsync(paramObject, acct, callback) {
var baseURL = 'https://opreq.observepoint.com/?acct=' + acct;
var opReq = new XMLHttpRequest();
opReq.onreadystatechange = function () {
if (opReq.readyState == 4 &amp;&amp; opReq.st</t>
  </si>
  <si>
    <t>19b31bdd41c0bf72</t>
  </si>
  <si>
    <t>Hey John,
I ran this in a test audit and got an error message. But when I run the
code manually on the home page I do not get an error message.  Can you help
review?
Audit I tested with:
https://mongodb.app.observepoint.com/audit/1779156/run/8481907/report/page-summary
Error message:
[image: image.png]
On Mon, Dec 15, 2025 at 12:13 PM John Davis &lt;john.davis@observepoint.com&gt;
wrote:
&gt; Yep I see that. After taking another look, I think its because the code is
&gt; looping throu</t>
  </si>
  <si>
    <t>19b37ed2e72260c7</t>
  </si>
  <si>
    <t>Hmm it looks like it ran again yesterday and worked? I don't see that
you made any changes to the js code though so I am not sure what happened?
https://mongodb.app.observepoint.com/audit/1779156/run/8510304/report/page-summary
*Regards, *
John Davis *   |    * *Customer Success Manager*
Cell: 801.633.6013
john.davis@observepoint.com
www.observepoint.com
&lt;https://groove.grvlnk4.com/url/typa6byifukvbtijwod94/aHR0cDovL3d3dy5vYnNlcnZlcG9pbnQuY29tLyNncm9vdmVzdW06LTc2MTEwNTM3MA%3D%3D&gt;</t>
  </si>
  <si>
    <t>19b381666db611e9</t>
  </si>
  <si>
    <t xml:space="preserve">odd but Ill take the win.
I am not at my work pc.
Can you update the rebranding audit with the latest code and give it a run?
On Fri, Dec 19, 2025, 1:44 PM John Davis &lt;john.davis@observepoint.com&gt;
wrote:
&gt; Hmm it looks like it ran again yesterday and worked? I don't see that
&gt; you made any changes to the js code though so I am not sure what happened?
&gt;
&gt;
&gt; https://mongodb.app.observepoint.com/audit/1779156/run/8510304/report/page-summary
&gt;
&gt; *Regards, *
&gt;
&gt; John Davis *   |   </t>
  </si>
  <si>
    <t>19b3842f31f4498a</t>
  </si>
  <si>
    <t>Sure thing. I also went head and saved this as an action set so we can
apply to multiple audits or journeys and only have to maintain the code
once:
[image: image.png]
I ran the audit and then went ahead and created this MVP report for you if
you haven't already done so:
https://mongodb.app.observepoint.com/reports/16076
*Regards, *
John Davis *   |    * *Customer Success Manager*
Cell: 801.633.6013
john.davis@observepoint.com
www.observepoint.com
&lt;https://groove.grvlnk4.co</t>
  </si>
  <si>
    <t>19b38767885c285f</t>
  </si>
  <si>
    <t>Ill check it out on monday, thanks john!
On Fri, Dec 19, 2025, 3:18 PM John Davis &lt;john.davis@observepoint.com&gt;
wrote:
&gt; Sure thing. I also went head and saved this as an action set so we can
&gt; apply to multiple audits or journeys and only have to maintain the code
&gt; once:
&gt;
&gt; [image: image.png]
&gt;
&gt; I ran the audit and then went ahead and created this MVP report for you if
&gt; you haven't already done so:
&gt; https://mongodb.app.observepoint.com/reports/16076
&gt;
&gt; *Regards, *
&gt;
&gt; J</t>
  </si>
  <si>
    <t>19b38795d8f7df4f</t>
  </si>
  <si>
    <t>Sounds good, have a great weekend!
*Regards, *
John Davis *   |    * *Customer Success Manager*
Cell: 801.633.6013
john.davis@observepoint.com
www.observepoint.com
&lt;https://groove.grvlnk4.com/url/typa6byifukvbtijwod94/aHR0cDovL3d3dy5vYnNlcnZlcG9pbnQuY29tLyNncm9vdmVzdW06LTc2MTEwNTM3MA%3D%3D&gt;
On Fri, Dec 19, 2025 at 2:14 PM Arthur Engelhard &lt;
arthur.engelhard@mongodb.com&gt; wrote:
&gt; Ill check it out on monday, thanks john!
&gt;
&gt; On Fri, Dec 19, 2025, 3:18 PM John Davis &lt;john.d</t>
  </si>
  <si>
    <t>19b466cbcc5927bf</t>
  </si>
  <si>
    <t>Hey John,
Results are very promising but I found two odd results. Can you review and
troubleshoot?
[image: image.png]
[image: image.png]
On Fri, Dec 19, 2025 at 4:17 PM John Davis &lt;john.davis@observepoint.com&gt;
wrote:
&gt; Sounds good, have a great weekend!
&gt;
&gt; *Regards, *
&gt;
&gt; John Davis *   |    * *Customer Success Manager*
&gt;
&gt; Cell: 801.633.6013
&gt; john.davis@observepoint.com
&gt; www.observepoint.com
&gt; &lt;https://groove.grvlnk4.com/url/typa6byifukvbtijwod94/aHR0cDovL3d3dy5vYnNlc</t>
  </si>
  <si>
    <t>19b4710783f37d4f</t>
  </si>
  <si>
    <t>Arthur Engelhard &lt;arthur.engelhard@mongodb.com&gt;, Macey Bell &lt;macey.bell@observepoint.com&gt;</t>
  </si>
  <si>
    <t>So both of those errors don't really have anything to do with the code we
wrote honestly. This is my bad, in that report I was filtering down to logs
that included "ATLAS", rather than "ATLAS_SEARCH_MATCH". I have updated
that report and saved it. Try it again when you have a minute.
*Regards, *
John Davis *   |    * *Customer Success Manager*
Cell: 801.633.6013
john.davis@observepoint.com
www.observepoint.com
&lt;https://groove.grvlnk4.com/url/typa6byifukvbtijwod94/aHR0cDovL3d3dy5vY</t>
  </si>
  <si>
    <t>19b477d69acd7269</t>
  </si>
  <si>
    <t>ah got it!
ok kicking off the full audit now.
On Mon, Dec 22, 2025 at 12:17 PM John Davis &lt;john.davis@observepoint.com&gt;
wrote:
&gt; So both of those errors don't really have anything to do with the code we
&gt; wrote honestly. This is my bad, in that report I was filtering down to logs
&gt; that included "ATLAS", rather than "ATLAS_SEARCH_MATCH". I have updated
&gt; that report and saved it. Try it again when you have a minute.
&gt;
&gt; *Regards, *
&gt;
&gt; John Davis *   |    * *Customer Success Manag</t>
  </si>
  <si>
    <t>19b4b83b024f3e96</t>
  </si>
  <si>
    <t>Hey John,
the results are in and the data is too much to export/import into google
sheets.
Can you draft an app script to pull the report results into a google sheet?
On Mon, Dec 22, 2025 at 2:15 PM Arthur Engelhard &lt;
arthur.engelhard@mongodb.com&gt; wrote:
&gt; ah got it!
&gt; ok kicking off the full audit now.
&gt;
&gt; On Mon, Dec 22, 2025 at 12:17 PM John Davis &lt;john.davis@observepoint.com&gt;
&gt; wrote:
&gt;
&gt;&gt; So both of those errors don't really have anything to do with the code we
&gt;&gt; wrote</t>
  </si>
  <si>
    <t>19b94babca98289d</t>
  </si>
  <si>
    <t>hey John, hope you had a good year end.  just following up on this.
On Tue, Dec 23, 2025 at 9:00 AM Arthur Engelhard &lt;
arthur.engelhard@mongodb.com&gt; wrote:
&gt; Hey John,
&gt;
&gt; the results are in and the data is too much to export/import into google
&gt; sheets.
&gt; Can you draft an app script to pull the report results into a google
&gt; sheet?
&gt;
&gt;
&gt; On Mon, Dec 22, 2025 at 2:15 PM Arthur Engelhard &lt;
&gt; arthur.engelhard@mongodb.com&gt; wrote:
&gt;
&gt;&gt; ah got it!
&gt;&gt; ok kicking off the full audit n</t>
  </si>
  <si>
    <t>19b9540029757ead</t>
  </si>
  <si>
    <t>Hey Arthur,
Sorry for the delay on this solution, you can use this sheet:
https://docs.google.com/spreadsheets/d/1kD-y91hfDo_ti7vEaeklnmupMzEamE0ZadK7UhDN1xE/edit?usp=sharing
&lt;https://us-3129.email-composer-webhooks.gong.io/email-tracking/clicked?email-info-token=eyJhbGciOiJIUzI1NiJ9.eyJjb21wYW55SWQiOiI4OTgyMjM2MTQxODc2Mjk3NzAiLCJkcmFmdElkIjoicjgyMDY3Njk0MjEzOTExNDg1ODgiLCJsaW5rVXJsIjoiaHR0cHM6Ly9kb2NzLmdvb2dsZS5jb20vc3ByZWFkc2hlZXRzL2QvMWtELXk5MWhmRG9fdGk3dkVhZWtsbm11cE16RWFtRTBaYWRLN1VoRE</t>
  </si>
  <si>
    <t>19b98c36b63714bf</t>
  </si>
  <si>
    <t>Awesome, thanks!
Made a copy and i've started working on analyzing it.
On Tue, Jan 6, 2026 at 4:39 PM John Davis &lt;john.davis@observepoint.com&gt;
wrote:
&gt; Hey Arthur,
&gt;
&gt; Sorry for the delay on this solution, you can use this sheet:
&gt;
&gt; https://docs.google.com/spreadsheets/d/1kD-y91hfDo_ti7vEaeklnmupMzEamE0ZadK7UhDN1xE/edit?usp=sharing
&gt; &lt;https://us-3129.email-composer-webhooks.gong.io/email-tracking/clicked?email-info-token=eyJhbGciOiJIUzI1NiJ9.eyJjb21wYW55SWQiOiI4OTgyMjM2MTQxODc2Mjk3</t>
  </si>
  <si>
    <t>19b0e2e52cbb2af5</t>
  </si>
  <si>
    <t>Today's sync</t>
  </si>
  <si>
    <t>Hey Arthur!
I want to come prepared to our sync and since we had summit and then I was
traveling, I wanted to touch base with you and check in on anything I may
need to follow up on before we meet today. I know you had a few items
support helped on while I was out- is there anything still pending?
I think there's been a lot of confusion regarding the email links
specifically so I think today we can just go over as much detail as
possible together to provide to team for those specifica</t>
  </si>
  <si>
    <t>19b0e3fcd611c32e</t>
  </si>
  <si>
    <t>Re: Today's sync</t>
  </si>
  <si>
    <t>Hey Macey,
Thanks for reaching out.
We should focus on email validation. I had to put that on pause but need to
confirm it's not impacting our usage.
We should also discuss the rebranding audit and how to proceed with that.
On Thu, Dec 11, 2025 at 11:11 AM Macey Bell &lt;macey.bell@observepoint.com&gt;
wrote:
&gt; Hey Arthur!
&gt;
&gt; I want to come prepared to our sync and since we had summit and then I was
&gt; traveling, I wanted to touch base with you and check in on anything I may
&gt; need to</t>
  </si>
  <si>
    <t>19b0b77fa8a8cedc</t>
  </si>
  <si>
    <t>Accepted: Invitation: Meeting with John @ Fri Jan 16, 2026 9:30am - 10am (AEDT) (hchamberlain@officeworks.com.au)</t>
  </si>
  <si>
    <t>19b0b0843ed9f16f</t>
  </si>
  <si>
    <t>19b0b04b60c0206b</t>
  </si>
  <si>
    <t>Accepted: Meeting with John</t>
  </si>
  <si>
    <t>19b0a4e9d83cc8ac</t>
  </si>
  <si>
    <t>hchamberlain &lt;hchamberlain@officeworks.com.au&gt;, Macey Bell &lt;macey.bell@observepoint.com&gt;</t>
  </si>
  <si>
    <t>officeworks.com.au, observepoint.com</t>
  </si>
  <si>
    <t>ObservePoint Next Sync Up</t>
  </si>
  <si>
    <t>Hey Hayley,
It was great to meet you and hear about your ObservePoint experience so far!
Here are some time slots for after the holidays that are available for
myself and Macey, feel free to grab one that works for you, Ash and Henry
and anyone else that you feel the need to invite on your side.
I would love to see and example journey in one of your sites to put
together a POC for you as well, thanks!
Meeting length: 30 Minutes
Time Zone: (GMT-7) MST/Denver
Mon Jan 5 Tue Jan 6</t>
  </si>
  <si>
    <t>19b0a2d4e3ac2ead</t>
  </si>
  <si>
    <t>John Davis &lt;john.davis@observepoint.com&gt;, hchamberlain@officeworks.com.au</t>
  </si>
  <si>
    <t>Updated invitation with note: ObservePoint | Officeworks - Sync @ Wed Dec 10, 2025 2:30pm - 3pm (MST) (John Davis)</t>
  </si>
  <si>
    <t>This event has been updated with a note:
"Sorry Haley! Updating this to a zoom link instead. It autopopulated with  
google for some reason."
Changed: conferencing
ObservePoint | Officeworks - Sync
Wednesday Dec 10, 2025 ⋅ 2:30pm – 3pm
Mountain Time - Denver
Join Zoom Meeting
https://observepoint.zoom.us/j/3742631971?pwd=Z2JhWG1yV1ZtOVBnMVZaRDR0bjVDZz09&amp;omn=95482405169&amp;jst=2
Join by phone
(US) +1 888-788-0099
passcode: 318688
Joining instructions
https://www.google.com</t>
  </si>
  <si>
    <t>19b09f4e525ba5fc</t>
  </si>
  <si>
    <t>19b0423c3e33d63c</t>
  </si>
  <si>
    <t>John Davis &lt;john.davis@observepoint.com&gt;, Macey Bell &lt;macey.bell@observepoint.com&gt;, alewis@thinkbrg.com</t>
  </si>
  <si>
    <t>observepoint.com, thinkbrg.com</t>
  </si>
  <si>
    <t>Invitation: Macey, Andy and Amy to connect  @ Tue Dec 9, 2025 12pm - 12:30pm (MST) (John Davis)</t>
  </si>
  <si>
    <t>Macey, Andy and Amy to connect
Tuesday Dec 9, 2025 ⋅ 12pm – 12:30pm
Mountain Time - Denver
Join Zoom Meeting
https://observepoint.zoom.us/j/7542703968?pwd=ZzFXUGswZDYycHpwVzJ6YWtwMmRodz09&amp;omn=94760324854&amp;jst=2
Join by phone
(US) +1 877-853-5247
passcode: 986750
Joining instructions
https://www.google.com/url?q=https://applications.zoom.us/addon/invitation/detail?meetingUuid%3DSDIOjtogSn27gYO4T82HQg%253D%253D%26signature%3Dbeab6a9643512955cb418ab6994cacd6b243e6dac10b07303a7fa39</t>
  </si>
  <si>
    <t>19abf9708f93ef6a</t>
  </si>
  <si>
    <t>Updated invitation: ObservePoint | Officeworks - Sync @ Wed Dec 10, 2025 2:30pm - 3pm (MST) (John Davis)</t>
  </si>
  <si>
    <t>This event has been updated
Changed: title
ObservePoint | Officeworks - Sync
Wednesday Dec 10, 2025 ⋅ 2:30pm – 3pm
Mountain Time - Denver
Join with Google Meet
https://meet.google.com/viy-uudi-vqa?hs=224
Join by phone
(US) +1 641-732-2446
PIN: 361000872
More phone numbers
https://tel.meet/viy-uudi-vqa?pin=7816297832666&amp;hs=0
Looking forward to connecting.
If you need to reschedule, please use the link:  
https://observepoint.chilipiper.com/reschedule/d1dda5c0-1a36</t>
  </si>
  <si>
    <t>19abf96b154891c8</t>
  </si>
  <si>
    <t>Updated invitation with note: Meeting with Macey @ Wed Dec 10, 2025 2:30pm - 3pm (MST) (John Davis)</t>
  </si>
  <si>
    <t>This event has been updated with a note:
"Does 30 minutes earlier work? There is apparently a conflict at the time  
we had scheduled."
Changed: time
Meeting with Macey
Wednesday Dec 10, 2025 ⋅ 2:30pm – 3pm
Mountain Time - Denver
Join with Google Meet
https://meet.google.com/viy-uudi-vqa?hs=224
Join by phone
(US) +1 641-732-2446
PIN: 361000872
More phone numbers
https://tel.meet/viy-uudi-vqa?pin=7816297832666&amp;hs=0
Looking forward to connecting.
If you need to re</t>
  </si>
  <si>
    <t>19abc1031222fe26</t>
  </si>
  <si>
    <t>Invitation: Meeting with Macey @ Wed Dec 10, 2025 3pm - 3:30pm (MST) (John Davis)</t>
  </si>
  <si>
    <t>Meeting with Macey
Wednesday Dec 10, 2025 ⋅ 3pm – 3:30pm
Mountain Time - Denver
Join with Google Meet
https://meet.google.com/viy-uudi-vqa?hs=224
Join by phone
(US) +1 641-732-2446
PIN: 361000872
More phone numbers
https://tel.meet/viy-uudi-vqa?pin=7816297832666&amp;hs=0
Looking forward to connecting.
If you need to reschedule, please use the link:  
https://observepoint.chilipiper.com/reschedule/d1dda5c0-1a36-44eb-8aca-47980ab2e656
Organizer
Macey Bell
macey.bell@obs</t>
  </si>
  <si>
    <t>19aba7ce54feaff4</t>
  </si>
  <si>
    <t>hchamberlain &lt;hchamberlain@officeworks.com.au&gt;, John Davis &lt;john.davis@observepoint.com&gt;</t>
  </si>
  <si>
    <t>ObservePoint touch base</t>
  </si>
  <si>
    <t>Hey Hayley,
I reached out to Renee recently but received notice she is still on
maternity leave. I think she should be back somewhat soon but wanted to be
sure to reach out to you as OfficeWorks will have a new CSM and main point
of contact moving forward, John Davis. I'd love to introduce John to
yourself as well as anyone else involved in using ObservePoint on a call.
Do any of the following times work for you?
Meeting length: 30 Minutes
Time Zone: (GMT-7) MST/Denver
Tue Dec 9 Wed</t>
  </si>
  <si>
    <t>19abc0f31928f375</t>
  </si>
  <si>
    <t>hchamberlain &lt;hchamberlain@officeworks.com.au&gt;</t>
  </si>
  <si>
    <t>Re: ObservePoint touch base</t>
  </si>
  <si>
    <t>Hi Hayley,
Thank you for the introduction, Macey.
It's great to meet you, Hayley. I'm taking over as your Customer Success
Manager and am here to make this transition as smooth as possible.
I would love to learn more about your goals for your audits next year and
discuss how we can partner with you to meet and exceed those goals.
On Tue, Nov 25, 2025 at 3:08 AM Macey Bell &lt;macey.bell@observepoint.com&gt;
wrote:
&gt; Hey Hayley,
&gt;
&gt; I reached out to Renee recently but received notic</t>
  </si>
  <si>
    <t>19b0b03c1811e2bb</t>
  </si>
  <si>
    <t>Macey Bell &lt;macey.bell@observepoint.com&gt;, John Davis &lt;john.davis@observepoint.com&gt;, Ash Chan &lt;achan4@officeworks.com.au&gt;</t>
  </si>
  <si>
    <t>Hi Both,
Great to chat today, looks like the meeting invite was a bit buggy as Ash had it in his calendar for 9 am, but I have given him a rundown of what we caught up about.
I have attached a copy of one of the marketing emails you asked for; hopefully, it works for what you need.
Regarding the Journeys ask, I am going to hand this one off to Ash, as he has a bit of time in the coming weeks, as well as some catch-ups with some of our digital teams, so he can probably source some good j</t>
  </si>
  <si>
    <t>19b8f400dcd864fc</t>
  </si>
  <si>
    <t>Macey Bell &lt;macey.bell@observepoint.com&gt;, Ash Chan &lt;achan4@officeworks.com.au&gt;, Henry Hebron &lt;hhebron@officeworks.com.au&gt;</t>
  </si>
  <si>
    <t>Hayley,
Hope you have a great holiday break!
I have made sure Ash, Henry and yourself are invited to our meeting on the
16th. I also was wondering if there was anyone else from your email team
that you might want to invite as well?
Either way, I am excited to meet again and go over your 2026 goals!
*Regards, *
John Davis *   |    * *Customer Success Manager*
Cell: 801.633.6013
john.davis@observepoint.com
www.observepoint.com
&lt;https://us-3129.email-composer-webhooks.gong.io</t>
  </si>
  <si>
    <t>19b90fee968269db</t>
  </si>
  <si>
    <t>Macey Bell &lt;macey.bell@observepoint.com&gt;, Ash Chan &lt;achan4@officeworks.com.au&gt;, Henry Hebron &lt;hhebron@officeworks.com.au&gt;, Bridget Howell &lt;bhowell@officeworks.com.au&gt;</t>
  </si>
  <si>
    <t>Hi John,
I hope you had a wonderful Christmas and New year period 🙂
Maybe include Bridget Howell as an optional in the invite, but otherwise that is probably it for now 🙂
Thanks,
Hayley
[cid:3ae12ee2-e914-423d-aa0f-4dcafed2d2b5]
Hayley Chamberlain (She/Her)
Audience Lead
E: hchamberlain@officeworks.com.au&lt;mailto:hchamberlain@officeworks.com.au&gt;
officeworks.com.au
[cid:2639e718-e752-4649-9f1f-316645531d62]&lt;https://www.facebook.com/officeworks&gt; [cid:8c</t>
  </si>
  <si>
    <t>19b940d7621cd9f9</t>
  </si>
  <si>
    <t>Added, see you all then, thanks!
*Regards, *
John Davis *   |    * *Customer Success Manager*
Cell: 801.633.6013
john.davis@observepoint.com
www.observepoint.com
&lt;https://us-3129.email-composer-webhooks.gong.io/email-tracking/clicked?email-info-token=eyJhbGciOiJIUzI1NiJ9.eyJjb21wYW55SWQiOiI4OTgyMjM2MTQxODc2Mjk3NzAiLCJkcmFmdElkIjoicjY2NjMwMzIwNjcxNzIxMjk2MCIsImxpbmtVcmwiOiJodHRwczovL2dyb292ZS5ncnZsbms0LmNvbS91cmwvdHlwYTZieWlmdWt2YnRpandvZDk0L2FIUjBjRG92TDNkM2R5NXZZbk5sY25abGNHOXBiblF1</t>
  </si>
  <si>
    <t>19aba3469532a375</t>
  </si>
  <si>
    <t>John Davis &lt;john.davis@observepoint.com&gt;, arthur.engelhard@mongodb.com</t>
  </si>
  <si>
    <t>Invitation: ObservePoint | MongoDB - Sync @ Every 4 weeks from 10:30am to 11am on Thursday (MST) (John Davis)</t>
  </si>
  <si>
    <t>ObservePoint | MongoDB - Sync
Every 4 weeks from 10:30am to 11am on Thursday
Mountain Time - Denver
Join Zoom Meeting
https://observepoint.zoom.us/j/3742631971?pwd=Z2JhWG1yV1ZtOVBnMVZaRDR0bjVDZz09&amp;omn=98359001988&amp;jst=2
Join by phone
(US) +1 888-788-0099
passcode: 318688
Joining instructions
https://www.google.com/url?q=https://applications.zoom.us/addon/invitation/detail?meetingUuid%3DW6OqXUlmTd6DGrCY5v%252F6pQ%253D%253D%26signature%3D15a287520b01937d1299ce1ed7ea825ceffc957e64</t>
  </si>
  <si>
    <t>19be1beedbb05a0e</t>
  </si>
  <si>
    <t>Raymond Chau &lt;rchau@questrade.com&gt;</t>
  </si>
  <si>
    <t>john.davis@observepoint.com, Raymond Chau &lt;rchau@questrade.com&gt;</t>
  </si>
  <si>
    <t>observepoint.com, questrade.com</t>
  </si>
  <si>
    <t>Hi John are we meeting today? As I am in the Zoom meeting waiting but  
didn't the meeting started?
ObservePoint | Questrade Sync
Wednesday Jan 21, 2026 ⋅ 11am – 11:30am
Mountain Time - Edmonton
Join Zoom Meeting
https://observepoint.zoom.us/j/3628593272?pwd=OfxX2kwpsuA5labBaZXephHbiAXlz9.1&amp;omn=96815548980&amp;jst=2
Join by phone
(US) +1 877-853-5247
passcode: 183089
Joining instructions
https://www.google.com/url?q=https://applications.zoom.us/addon/invitation/detail?meetingU</t>
  </si>
  <si>
    <t>19be1c245c045b5e</t>
  </si>
  <si>
    <t>Re: ObservePoint | Questrade Sync</t>
  </si>
  <si>
    <t>I am so sorry Raymond! I had a fire that I had to put out and I just joined
if you want to jump back on
*Regards, *
John Davis *   |    * *Customer Success Manager*
Cell: 801.633.6013
john.davis@observepoint.com
www.observepoint.com
&lt;https://us-3129.email-composer-webhooks.gong.io/email-tracking/clicked?email-info-token=eyJhbGciOiJIUzI1NiJ9.eyJjb21wYW55SWQiOiI4OTgyMjM2MTQxODc2Mjk3NzAiLCJkcmFmdElkIjoici01NTM1ODUzNTQ3OTQwNjM1NjMiLCJsaW5rVXJsIjoiaHR0cHM6Ly9ncm9vdmUuZ3J2bG5rNC5jb20vdXJs</t>
  </si>
  <si>
    <t>19bdca262fbbe4bc</t>
  </si>
  <si>
    <t>"Moore, Jordan" &lt;JLMoore@rdoffutt.com&gt;</t>
  </si>
  <si>
    <t>Tentative: ObservePoint | RDO Equipment Sync</t>
  </si>
  <si>
    <t>19bd7ca2500e6032</t>
  </si>
  <si>
    <t>Clauria Yang &lt;cyang@questrade.com&gt;</t>
  </si>
  <si>
    <t>Declined: ObservePoint | Questrade Sync @ Wed Jan 21, 2026 11am - 11:30am (MST) (john.davis@observepoint.com)</t>
  </si>
  <si>
    <t>Clauria Yang has declined this invitation.
ObservePoint | Questrade Sync
Wednesday Jan 21, 2026 ⋅ 11am – 11:30am
Mountain Time - Denver
Join Zoom Meeting
https://observepoint.zoom.us/j/3628593272?pwd=OfxX2kwpsuA5labBaZXephHbiAXlz9.1&amp;omn=96815548980&amp;jst=2
Join by phone
(US) +1 877-853-5247
passcode: 183089
Joining instructions
https://www.google.com/url?q=https://applications.zoom.us/addon/invitation/detail?meetingUuid%3D1s0QMy%252B%252FSnStq2YLvHr%252Bhg%253D%253D%26signatu</t>
  </si>
  <si>
    <t>19bd719c62a0b800</t>
  </si>
  <si>
    <t>19bd6d219506bd33</t>
  </si>
  <si>
    <t>"Nordin, Eric" &lt;enordin@rdoffutt.com&gt;</t>
  </si>
  <si>
    <t>Accepted: ObservePoint | RDO Equipment Sync</t>
  </si>
  <si>
    <t>19bd685ee9894a31</t>
  </si>
  <si>
    <t>Declined: ObservePoint | Questrade Bi-Weekly Syncup @ Mon Feb 16, 2026 1pm - 1:30pm (MST) (john.davis@observepoint.com)</t>
  </si>
  <si>
    <t>Clauria Yang has declined this invitation with a note:
"Declined because I am out of office"
ObservePoint | Questrade Bi-Weekly Syncup
Monday Feb 16, 2026 ⋅ 1pm – 1:30pm
Mountain Time - Denver
Location
https://observepoint.zoom.us/j/93559561258	
https://www.google.com/url?q=https%3A%2F%2Fobservepoint.zoom.us%2Fj%2F93559561258&amp;sa=D&amp;source=calendar&amp;ust=1769262600000000&amp;usg=AOvVaw1kvEZfvQ1ChPLNVvYXVvgc
Looking forward to connecting.
If you need to reschedule, please use the link:</t>
  </si>
  <si>
    <t>19bc866842cf8d8e</t>
  </si>
  <si>
    <t>Bradley Fergel &lt;bfergel@rdoffutt.com&gt;, Eric Nordin &lt;enordin@rdoffutt.com&gt;, Jordan Moore &lt;jlmoore@rdoffutt.com&gt;</t>
  </si>
  <si>
    <t>Schedule ObservePoint Sync</t>
  </si>
  <si>
    <t>Hey Bradley, Eric and Jordan,
Hope your holidays went well! I would love to schedule our next sync up to
go over your projects and to make sure ObservePoint is helping you reach
your goals for the year.
Here are some slots over the next couple weeks that are available for
me in *Central
Time*, fee free to grab one that works for your team:
Meeting length: 30 Minutes
Time Zone: (GMT-6) CST/Chicago
Tue Jan 20 Wed Jan 21 Thu Jan 22 Fri Jan 23 Mon Jan 26 Tue Jan 27 Wed Jan 28
Thu Jan</t>
  </si>
  <si>
    <t>19bc8570397860ea</t>
  </si>
  <si>
    <t>Winnie Ho &lt;who@questrade.com&gt;</t>
  </si>
  <si>
    <t>Accepted: ObservePoint | Questrade Sync @ Wed Jan 21, 2026 11am - 11:30am (MST) (john.davis@observepoint.com)</t>
  </si>
  <si>
    <t>Winnie Ho has accepted this invitation.
ObservePoint | Questrade Sync
Wednesday Jan 21, 2026 ⋅ 11am – 11:30am
Mountain Time - Denver
Join Zoom Meeting
https://observepoint.zoom.us/j/3628593272?pwd=OfxX2kwpsuA5labBaZXephHbiAXlz9.1&amp;omn=96815548980&amp;jst=2
Join by phone
(US) +1 877-853-5247
passcode: 183089
Joining instructions
https://www.google.com/url?q=https://applications.zoom.us/addon/invitation/detail?meetingUuid%3D1s0QMy%252B%252FSnStq2YLvHr%252Bhg%253D%253D%26signature%</t>
  </si>
  <si>
    <t>19bc84e7dcc3fac4</t>
  </si>
  <si>
    <t>Raymond Chau has accepted this invitation.
ObservePoint | Questrade Sync
Wednesday Jan 21, 2026 ⋅ 11am – 11:30am
Mountain Time - Denver
Join Zoom Meeting
https://observepoint.zoom.us/j/3628593272?pwd=OfxX2kwpsuA5labBaZXephHbiAXlz9.1&amp;omn=96815548980&amp;jst=2
Join by phone
(US) +1 877-853-5247
passcode: 183089
Joining instructions
https://www.google.com/url?q=https://applications.zoom.us/addon/invitation/detail?meetingUuid%3D1s0QMy%252B%252FSnStq2YLvHr%252Bhg%253D%253D%26signatu</t>
  </si>
  <si>
    <t>19bc841b92d2408d</t>
  </si>
  <si>
    <t>Steve Choi &lt;steve.choi@prudential.com&gt;</t>
  </si>
  <si>
    <t>Reschedule ObservePoint Sync</t>
  </si>
  <si>
    <t>Hey Steve,
Our next meeting is unfortunately on MLK Day (Monday) which is a holiday
for us. Can we reschedule?
Here are some slots that work for me in *Eastern Time*, fee free to grab
one that works for you:
Meeting length: 30 Minutes
Time Zone: (GMT-5) EST/New_York
Tue Jan 20 Wed Jan 21 Thu Jan 22 Fri Jan 23
 12:00  PM
&lt;https://observepoint.chilipiper.com/suggested-times/e790858b-b0ac-45d5-943a-41911268db65?slotStartsAt=2026-01-20T17:00:00.000Z&gt;
 12:30  PM
&lt;https://observepoint</t>
  </si>
  <si>
    <t>19bc858dda381b5e</t>
  </si>
  <si>
    <t>RE: Reschedule ObservePoint Sync</t>
  </si>
  <si>
    <t>Hey John,
Do you have any availability in the morning next week?
Thanks,
Steve
From: John Davis &lt;john.davis@observepoint.com&gt;
Sent: Friday, January 16, 2026 2:22 PM
To: Steve Choi &lt;steve.choi@prudential.com&gt;
Subject: Reschedule ObservePoint Sync
Hey Steve,
Our next meeting is unfortunately on MLK Day (Monday) which is a holiday for us. Can we reschedule?
Here are some slots that work for me in Eastern Time, fee free to grab one that works for you:
Meeting length: 30 Minu</t>
  </si>
  <si>
    <t>19bc85ec7b4891de</t>
  </si>
  <si>
    <t>Re: Reschedule ObservePoint Sync</t>
  </si>
  <si>
    <t>Steve, here are a couple morning slots that I can make work in *Eastern
Time, *sorry mornings are tough for me:
Meeting length: 30 Minutes
Time Zone: (GMT-5) EST/New_York
Wed Jan 21 Fri Jan 23
 11:30  AM
&lt;https://observepoint.chilipiper.com/suggested-times/a58b931a-5f5c-47be-b187-086f10b4b790?slotStartsAt=2026-01-21T16:30:00.000Z&gt;
 10:30  AM
&lt;https://observepoint.chilipiper.com/suggested-times/a58b931a-5f5c-47be-b187-086f10b4b790?slotStartsAt=2026-01-23T15:30:00.000Z&gt;
Don't see a ti</t>
  </si>
  <si>
    <t>19bc8396e1249c35</t>
  </si>
  <si>
    <t>Clauria Yang &lt;cyang@questrade.com&gt;, Raymond Chau &lt;rchau@questrade.com&gt;, Winnie Ho &lt;who@questrade.com&gt;</t>
  </si>
  <si>
    <t>Reschedule ObservePoint | Questrade Bi-Weekly Syncup</t>
  </si>
  <si>
    <t>Hey Raymond and Winnie,
Monday is a holiday for us so I will be out of the office. Do you want to
reschedule to another day next week? Feel free to grab one of these slots
in *Mountain Time*:
Meeting length: 30 Minutes
Time Zone: (GMT-7) MST/Denver
Tue Jan 20 Wed Jan 21 Thu Jan 22 Fri Jan 23
 10:00  AM
&lt;https://observepoint.chilipiper.com/suggested-times/ee40e82b-4e41-4ba9-aef9-191b6e15dfce?slotStartsAt=2026-01-20T17:00:00.000Z&gt;
 10:30  AM
&lt;https://observepoint.chilipiper.com/sugge</t>
  </si>
  <si>
    <t>19bc850959231cfd</t>
  </si>
  <si>
    <t>Clauria Yang &lt;cyang@questrade.com&gt;, Winnie Ho &lt;who@questrade.com&gt;, Macey Bell &lt;macey.bell@observepoint.com&gt;</t>
  </si>
  <si>
    <t>questrade.com, observepoint.com</t>
  </si>
  <si>
    <t>Re: Reschedule ObservePoint | Questrade Bi-Weekly Syncup</t>
  </si>
  <si>
    <t>Hi John
Thanks for the hands up, I have sent my preferred time already, will talk
to you next Wed (11 MST).
I wonder if it's possible that you can show us how to use the LIVEConnect
feature more next time? We would like to leverage that feature to QA our
mobile app tagging. Also, I would love to know how to get around VPN in
LIVEConnect (I actually tried it but it seems not very successful).
Regards,
Raymond Chau
Senior Specialist, Digital Analytics Implementation
www.questra</t>
  </si>
  <si>
    <t>19bc26aaa1c71b72</t>
  </si>
  <si>
    <t>Declined: ObservePoint | Questrade Bi-Weekly Syncup @ Mon Mar 30, 2026 1pm - 1:30pm (MDT) (john.davis@observepoint.com)</t>
  </si>
  <si>
    <t>Raymond Chau has declined this invitation with a note:
"Declined because I am out of office"
ObservePoint | Questrade Bi-Weekly Syncup
Monday Mar 30, 2026 ⋅ 1pm – 1:30pm
Mountain Time - Denver
Location
https://observepoint.zoom.us/j/93559561258	
https://www.google.com/url?q=https%3A%2F%2Fobservepoint.zoom.us%2Fj%2F93559561258&amp;sa=D&amp;source=calendar&amp;ust=1768925280000000&amp;usg=AOvVaw2XQBt2qsyayu1NJQBXuBZ6
Looking forward to connecting.
If you need to reschedule, please use the link:</t>
  </si>
  <si>
    <t>19bbd4a1abfdacee</t>
  </si>
  <si>
    <t>"nic.suder@observepoint.com" &lt;nic.suder@observepoint.com&gt;, "john.davis@observepoint.com" &lt;john.davis@observepoint.com&gt;, "slising@questrade.com" &lt;slising@questrade.com&gt;, "todd.wilkerson@observepoint.com" &lt;todd.wilkerson@observepoint.com&gt;</t>
  </si>
  <si>
    <t>Upcoming ObservePoint Renewal on March 15, 2026 - Questrade</t>
  </si>
  <si>
    <t xml:space="preserve">
[image: ObservePoint Logo_Gray_ON_YEllow_LOGO.jpeg]
A friendly reminder that it's time to renew.
Hi Sabrina,
Thank you for being an ObservePoint customer!
This is an automated notification to let you know that the end of your 
current term is* March 15, 2026*.
We know approval and procurement processes can take time, and we want to 
avoid any interruption of service, hence we are reaching out now.
Please reach out to your account team if you have any questions, or if you 
anticipate an</t>
  </si>
  <si>
    <t>19bbd4a1aca064af</t>
  </si>
  <si>
    <t>"nic.suder@observepoint.com" &lt;nic.suder@observepoint.com&gt;, "jdavila@questrade.com" &lt;jdavila@questrade.com&gt;, "john.davis@observepoint.com" &lt;john.davis@observepoint.com&gt;, "todd.wilkerson@observepoint.com" &lt;todd.wilkerson@observepoint.com&gt;</t>
  </si>
  <si>
    <t xml:space="preserve">
[image: ObservePoint Logo_Gray_ON_YEllow_LOGO.jpeg]
A friendly reminder that it's time to renew.
Hi Jose,
Thank you for being an ObservePoint customer!
This is an automated notification to let you know that the end of your 
current term is* March 15, 2026*.
We know approval and procurement processes can take time, and we want to 
avoid any interruption of service, hence we are reaching out now.
Please reach out to your account team if you have any questions, or if you 
anticipate any c</t>
  </si>
  <si>
    <t>19bbd354c205d701</t>
  </si>
  <si>
    <t>Anthony McMahon &lt;Anthony.McMahon@pmi.org&gt;</t>
  </si>
  <si>
    <t>Re: PMI | ObservePoint Monthly Sync</t>
  </si>
  <si>
    <t xml:space="preserve">No worries Tony! Is there a time we can connect next week? I want to
introduce you to John Davis, who will be your CSM moving forward.
On Tue, Jan 13, 2026 at 8:08 PM Anthony McMahon &lt;Anthony.McMahon@pmi.org&gt;
wrote:
&gt; Hi Macey,
&gt;
&gt; I won't be able to make tomorrows call.
&gt;
&gt; Tony
&gt;
&gt; ------------------------------
&gt; *From:* Macey Bell
&gt; *Sent:* Wednesday, April 30, 2025 3:13 PM
&gt; *To:* Macey Bell &lt;macey.bell@observepoint.com&gt;; Anthony McMahon &lt;
&gt; Anthony.McMahon@pmi.org&gt;; Abel </t>
  </si>
  <si>
    <t>19bb8dea8befd711</t>
  </si>
  <si>
    <t>John Davis &lt;john.davis@observepoint.com&gt;, ObservePoint AI from ObservePoint &lt;support@observepoint.com&gt;</t>
  </si>
  <si>
    <t>"macey.bell@observepoint.com" &lt;macey.bell@observepoint.com&gt;, "dylan.sellers@observepoint.com" &lt;dylan.sellers@observepoint.com&gt;</t>
  </si>
  <si>
    <t>Cancel all scheduled ObservePoint audits &amp; Schedule Tier 1, 2, 3 audits</t>
  </si>
  <si>
    <t>Hi John,
Also can you ensure there are no more scheduled audits?
We are looking to come up pages for Tier 1 biweekly,  2 monthly, 3 quarterly scans and once the URL lists are finalized, we can schedule the audits accordingly.
Thanks,
Steve
From: Steve Choi &lt;steve.choi@prudential.com&gt;
Sent: Tuesday, January 13, 2026 2:31 PM
To: John Davis &lt;john.davis@observepoint.com&gt;; ObservePoint AI from ObservePoint &lt;support@observepoint.com&gt;
Cc: macey.bell@observepoint.com; dylan.sellers@obs</t>
  </si>
  <si>
    <t>19bb8eb3f5c03248</t>
  </si>
  <si>
    <t>Re: Cancel all scheduled ObservePoint audits &amp; Schedule Tier 1, 2, 3 audits</t>
  </si>
  <si>
    <t>Yes I went ahead and paused all scheduled audits on your account, including
that jobs scan.
I would love to catch up and chat, you mentioned in a past email that you
might have time this Thursday or Friday?
Here are some available slots in *Eastern Time*, feel free to grab one that
works for you:
Meeting length: 30 Minutes
Time Zone: (GMT-5) EST/New_York
Thu Jan 15 Fri Jan 16
 12:00  PM
&lt;https://us-3129.email-composer-webhooks.gong.io/email-tracking/clicked?email-info-token=eyJhb</t>
  </si>
  <si>
    <t>19b9fbd8ae97ae05</t>
  </si>
  <si>
    <t>Journey Followup</t>
  </si>
  <si>
    <t>Hey Raymond and Winnie,
I just wanted to follow up on that Journey that we added that extra step to
today to see if it succeeded or not? Can you send me the link to it
regardless? I am not sure which exact one we were working on. Thanks!
*Regards, *
John Davis *   |    * *Customer Success Manager*
Cell: 801.633.6013
john.davis@observepoint.com
www.observepoint.com
&lt;https://groove.grvlnk4.com/url/typa6byifukvbtijwod94/aHR0cDovL3d3dy5vYnNlcnZlcG9pbnQuY29tLyNncm9vdmVzdW06LTc2MTEwNT</t>
  </si>
  <si>
    <t>19ba4aadc14e55a3</t>
  </si>
  <si>
    <t>Re: Journey Followup</t>
  </si>
  <si>
    <t>Hi John
Thanks for checking in! The journey that I am looking at is:
https://app.observepoint.com/web-journey/73169/run/66562317/results?action=10&amp;tab=4
Supposedly the journey will end on on the following screen (
https://myportal.uat.questrade.com/open-account-application):
[image: image.png]
But then in the journey it got stuck in loading the content. I took a look
at the logs and I found this error:
[image: image.png]
Do you have an idea on what happened here and how I should r</t>
  </si>
  <si>
    <t>19ba4afecc803ced</t>
  </si>
  <si>
    <t>Raymond Chau &lt;rchau@questrade.com&gt;, ObservePoint AI from ObservePoint &lt;support@observepoint.com&gt;</t>
  </si>
  <si>
    <t>I have looped in our support team that should be able to help with both the
Journey and the LiveConnect issue.
ObservePoint Support - Let me know how I can help from my side, thanks!
*Regards, *
John Davis *   |    * *Customer Success Manager*
Cell: 801.633.6013
john.davis@observepoint.com
www.observepoint.com
&lt;https://groove.grvlnk4.com/url/typa6byifukvbtijwod94/aHR0cDovL3d3dy5vYnNlcnZlcG9pbnQuY29tLyNncm9vdmVzdW06LTc2MTEwNTM3MA%3D%3D&gt;
On Fri, Jan 9, 2026 at 2:30 PM Raymon</t>
  </si>
  <si>
    <t>19ba4b0835dd5412</t>
  </si>
  <si>
    <t>rchau@questrade.com, cyang@questrade.com, who@questrade.com, macey.bell@observepoint.com</t>
  </si>
  <si>
    <t>Re: Re: Journey Followup</t>
  </si>
  <si>
    <t xml:space="preserve"> 
#65799684: Re: Journey Followup 
Submitted 
We'll pick up your ticket soon 
I have looped in our support team that should be able to help with both the 
Journey and the LiveConnect issue. 
ObservePoint Support - Let me know how I can help from my side, thanks! *Regards, 
* John Davis* | * *Customer Success Manager* Cell: 801.633.6013 
john.davis@observepoint.com 
*ObservePoint AI*
ObservePoint
[image: intercom] </t>
  </si>
  <si>
    <t>19bb1f34e7a7b039</t>
  </si>
  <si>
    <t>Bogdan from ObservePoint &lt;support@observepoint.com&gt;</t>
  </si>
  <si>
    <t>Winnie Ho &lt;who@questrade.com&gt;, Raymond Chau &lt;rchau@questrade.com&gt;, Clauria Yang &lt;cyang@questrade.com&gt;, macey.bell@observepoint.com</t>
  </si>
  <si>
    <t>Hello, 
 Thank you for reaching out! 
 We are looking into your request and we will get back with an answer as soon as possible.</t>
  </si>
  <si>
    <t>19bb1f359258d98c</t>
  </si>
  <si>
    <t xml:space="preserve"> 
#65799684: Re: Journey Followup 
In progress 
We're working on your ticket 
I have looped in our support team that should be able to help with both the 
Journey and the LiveConnect issue. 
ObservePoint Support - Let me know how I can help from my side, thanks! *Regards, 
* John Davis* | * *Customer Success Manager* Cell: 801.633.6013 
john.davis@observepoint.com 
*Bogdan*
ObservePoint
[image: intercom] </t>
  </si>
  <si>
    <t>19bbe7da337ad5f1</t>
  </si>
  <si>
    <t>john.davis@observepoint.com, cyang@questrade.com, who@questrade.com, macey.bell@observepoint.com</t>
  </si>
  <si>
    <t>Hi Bodan
Thanks for looking into this ticket, let me know if there's any update on
this?
Regards,
Raymond Chau
Senior Specialist, Digital Analytics Implementation
www.questrade.com
Phone  416.227.9876
Toll free  1.888.783.7866
Fax  1.888.299.1098
Questrade, Inc.
5700 Yonge St., Suite 1900, Toronto, ON, M2M 4K2
Questrade, Inc. is a registered investment dealer and member of the
Investment Industry Regulatory Organization of Canada and the Canadian
Investor Protection Fund.
Qu</t>
  </si>
  <si>
    <t>19bdca5c4e9ac382</t>
  </si>
  <si>
    <t>Winnie Ho &lt;who@questrade.com&gt;, Clauria Yang &lt;cyang@questrade.com&gt;, macey.bell@observepoint.com, John Davis &lt;john.davis@observepoint.com&gt;</t>
  </si>
  <si>
    <t xml:space="preserve">Hi Raymond, 
 Sorry for the late reply on this. To avoid any confusion, we have structured your points as follows. 
 1. Journey "ACTIVE - OAA - Open an account journey PRE-PROD (Up to UserID Created)" failing to connect at Step 10 
 The journey fails to connect at Step 10, where the screenshot shows a blank loading screen. We attempted to reproduce this behavior in our local browser to compare results. However, we do not have access to this domain in a local browser because the journey </t>
  </si>
  <si>
    <t>19bdca5e4cd40a85</t>
  </si>
  <si>
    <t xml:space="preserve"> 
#65799684: Re: Journey Followup 
Waiting on you 
We need more information 
I have looped in our support team that should be able to help with both the 
Journey and the LiveConnect issue. 
ObservePoint Support - Let me know how I can help from my side, thanks! *Regards, 
* John Davis* | * *Customer Success Manager* Cell: 801.633.6013 
john.davis@observepoint.com 
*Bogdan*
ObservePoint
[image: intercom] </t>
  </si>
  <si>
    <t>19b9a5001de29f3f</t>
  </si>
  <si>
    <t>Accepted: ObservePoint | Questrade Sync @ Thu Jan 8, 2026 1pm - 1:30pm (MST) (john.davis@observepoint.com)</t>
  </si>
  <si>
    <t>Raymond Chau has accepted this invitation.
ObservePoint | Questrade Sync
Thursday Jan 8, 2026 ⋅ 1pm – 1:30pm
Mountain Time - Denver
Location
https://observepoint.zoom.us/j/95215276664	
https://www.google.com/url?q=https%3A%2F%2Fobservepoint.zoom.us%2Fj%2F95215276664&amp;sa=D&amp;source=calendar&amp;ust=1768252440000000&amp;usg=AOvVaw17lpuP8KhoiiH1qzbQhh7x
Looking forward to connecting.
If you need to reschedule, please use the link:  
https://observepoint.chilipiper.com/reschedule/6f60202a-ed</t>
  </si>
  <si>
    <t>19b9519567e24b98</t>
  </si>
  <si>
    <t>Technology Renewals &lt;technologyrenewals@prudential.com&gt;, Dallin Madsen &lt;dallin.madsen@observepoint.com&gt;, John Davis &lt;john.davis@observepoint.com&gt;, Dylan Sellers &lt;dylan.sellers@observepoint.com&gt;</t>
  </si>
  <si>
    <t>prudential.com, observepoint.com</t>
  </si>
  <si>
    <t>Vaibhav Sharma &lt;vaibhav.3.sharma@prudential.com&gt;</t>
  </si>
  <si>
    <t>RE: Quote Renewals For 2025-ObservePoint contract renewal</t>
  </si>
  <si>
    <t>+@John Davis&lt;mailto:john.davis@observepoint.com&gt; and @Dylan Sellers&lt;mailto:dylan.sellers@observepoint.com&gt;
From: Technology Renewals &lt;technologyrenewals@prudential.com&gt;
Sent: Tuesday, January 6, 2026 2:19 PM
To: Dallin Madsen &lt;dallin.madsen@observepoint.com&gt;
Cc: Vaibhav Sharma &lt;vaibhav.3.sharma@prudential.com&gt;; Steve Choi &lt;steve.choi@prudential.com&gt;
Subject: RE: Quote Renewals For 2025-ObservePoint contract renewal
Importance: High
Hello Dallin,
I hope you’re doing well.
I wante</t>
  </si>
  <si>
    <t>19b951b9c59b0ccf</t>
  </si>
  <si>
    <t>Technology Renewals &lt;technologyrenewals@prudential.com&gt;, John Davis &lt;john.davis@observepoint.com&gt;, Dylan Sellers &lt;dylan.sellers@observepoint.com&gt;, Vaibhav Sharma &lt;vaibhav.3.sharma@prudential.com&gt;</t>
  </si>
  <si>
    <t>Re: Quote Renewals For 2025-ObservePoint contract renewal</t>
  </si>
  <si>
    <t>Hi Steve,
I answered this in another thread with your procurement folks--apologies, i
thought you were CCed.
Our contract has *already* auto-renewed per the agreement. You will
receive an invoice from ar@observepoint.com
&lt;https://us-3129.email-composer-webhooks.gong.io/email-tracking/clicked?email-info-token=eyJhbGciOiJIUzI1NiJ9.eyJjb21wYW55SWQiOiI4OTgyMjM2MTQxODc2Mjk3NzAiLCJkcmFmdElkIjoicjQ0MjIzMTM0OTg0NDQ2ODI5MDQiLCJsaW5rVXJsIjoiaHR0cHM6Ly9vYnNlcnZlcG9pbnQuY29tLyIsImxpbmtUZXh0Ijoib2Jz</t>
  </si>
  <si>
    <t>19b95636fda1d584</t>
  </si>
  <si>
    <t>Dallin Madsen &lt;dallin.madsen@observepoint.com&gt;, Lalitha Kavutharapu &lt;lalitha.kavutharapu@prudential.com&gt;, Emily Owens &lt;emily.owens@prudential.com&gt;, Nishant Kumar &lt;nishant.kumar@prudential.com&gt;</t>
  </si>
  <si>
    <t>observepoint.com, prudential.com</t>
  </si>
  <si>
    <t>Hi @Nishant Kumar&lt;mailto:nishant.kumar@prudential.com&gt;
Is there specific email ObservePoint send the invoice to?
Thanks,
Steve
From: Dallin Madsen &lt;dallin.madsen@observepoint.com&gt;
Sent: Tuesday, January 6, 2026 3:59 PM
To: Steve Choi &lt;steve.choi@prudential.com&gt;
Cc: Technology Renewals &lt;technologyrenewals@prudential.com&gt;; John Davis &lt;john.davis@observepoint.com&gt;; Dylan Sellers &lt;dylan.sellers@observepoint.com&gt;; Vaibhav Sharma &lt;vaibhav.3.sharma@prudential.com&gt;
Subject: Re: Quote Ren</t>
  </si>
  <si>
    <t>19b98f416b273619</t>
  </si>
  <si>
    <t>Technology Renewals &lt;technologyrenewals@prudential.com&gt;</t>
  </si>
  <si>
    <t>Steve Choi &lt;steve.choi@prudential.com&gt;, Dallin Madsen &lt;dallin.madsen@observepoint.com&gt;, Lalitha Kavutharapu &lt;lalitha.kavutharapu@prudential.com&gt;</t>
  </si>
  <si>
    <t>John Davis &lt;john.davis@observepoint.com&gt;, Dylan Sellers &lt;dylan.sellers@observepoint.com&gt;, Vaibhav Sharma &lt;vaibhav.3.sharma@prudential.com&gt;, Emily Owens &lt;emily.owens@prudential.com&gt;</t>
  </si>
  <si>
    <t xml:space="preserve">Hello Steve,
The invoice will likely be sent to invoice.technology.procurement@prudential.com or to our Technology Renewals mailbox.
@Dallin Madsen&lt;mailto:dallin.madsen@observepoint.com&gt;, please confirm as soon as the invoice is shared.
Feel free to reach out if you have any questions.
Nishant Kumar
Technology Renewals
Global Sourcing &amp; Procurement
technologyrenewals@prudential.com&lt;mailto:technologyrenewals@prudential.com&gt;
[A black background with blue text  AI-generated content may </t>
  </si>
  <si>
    <t>19b98f60ec04223b</t>
  </si>
  <si>
    <t>Steve Choi &lt;steve.choi@prudential.com&gt;, Lalitha Kavutharapu &lt;lalitha.kavutharapu@prudential.com&gt;, John Davis &lt;john.davis@observepoint.com&gt;, Vaibhav Sharma &lt;vaibhav.3.sharma@prudential.com&gt;, Emily Owens &lt;emily.owens@prudential.com&gt;, Lynsie Lassig &lt;lynsie.lassig@observepoint.com&gt;</t>
  </si>
  <si>
    <t>@Lynsie Lassig &lt;lynsie.lassig@observepoint.com&gt; can you please send the
invoice for Prudential to this email?
Thank you!
Dallin Madsen *   |    * *Enterprise Account Executive*
801.850.3709
dallin.madsen@observepoint.com
Schedule a Meeting With Me!
&lt;https://us-3129.email-composer-webhooks.gong.io/email-tracking/clicked?email-info-token=eyJhbGciOiJIUzI1NiJ9.eyJjb21wYW55SWQiOiI4OTgyMjM2MTQxODc2Mjk3NzAiLCJkcmFmdElkIjoici0xMDg3NTAxNzA3MjgxMzkxNjEyIiwibGlua1VybCI6Imh0dHBzOi8vb2JzZXJ2ZXBv</t>
  </si>
  <si>
    <t>19b9eaa2bb9049d2</t>
  </si>
  <si>
    <t>Lynsie Lassig &lt;ar@observepoint.com&gt;</t>
  </si>
  <si>
    <t>Technology Renewals &lt;technologyrenewals@prudential.com&gt;, Steve Choi &lt;steve.choi@prudential.com&gt;</t>
  </si>
  <si>
    <t>Lalitha Kavutharapu &lt;lalitha.kavutharapu@prudential.com&gt;, John Davis &lt;john.davis@observepoint.com&gt;, Vaibhav Sharma &lt;vaibhav.3.sharma@prudential.com&gt;, Emily Owens &lt;emily.owens@prudential.com&gt;, Dallin Madsen &lt;dallin.madsen@observepoint.com&gt;</t>
  </si>
  <si>
    <t>Hi Team,
The invoice was billed directly to Steve on Jan 1, 2026 to request a
current PO number. I will resend it to your invoicing emails under separate
cover from our system shortly. Please let me know if you have any questions
or need anything else.
Thank you!
*Lynsie Lassig* *   |    * *Accounts Receivable Specialist*
Our bank details have changed. We are now with JPMorgan Chase and our
Silicon Valley Bank account is closed. Please contact me directly for
updated bank inform</t>
  </si>
  <si>
    <t>19b8f9e50c55bab5</t>
  </si>
  <si>
    <t>Clauria Yang &lt;cyang@questrade.com&gt;, john.davis@observepoint.com, macey.bell@observepoint.com, Raymond Chau &lt;rchau@questrade.com&gt;, Winnie Ho &lt;who@questrade.com&gt;</t>
  </si>
  <si>
    <t>Hi John, Sorry for the last minute notice. However we are caught up with  
some urgent issue that took our priority for now and have to call off our  
meeting. Can we move the meeting to later this week? Please share a few  
available timeslots on our end. Sorry again for the late notice. Regards,  
Winnie
ObservePoint | Questrade Bi-Weekly Syncup
Monday Jan 5, 2026 ⋅ 3pm – 3:30pm
Eastern Time - Toronto
Location
https://observepoint.zoom.us/j/93559561258	
https://www.google.com/url</t>
  </si>
  <si>
    <t>19b8fbdf00379aea</t>
  </si>
  <si>
    <t>Clauria Yang &lt;cyang@questrade.com&gt;, macey.bell@observepoint.com, Raymond Chau &lt;rchau@questrade.com&gt;</t>
  </si>
  <si>
    <t>Re: ObservePoint | Questrade Bi-Weekly Syncup</t>
  </si>
  <si>
    <t>Sure here are some available slots, feel free to grab one that works for
you:
Meeting length: 30 Minutes
Time Zone: (GMT-7) MST/Denver
Tue Jan 6 Wed Jan 7 Thu Jan 8 Fri Jan 9
 10:00  AM
&lt;https://us-3129.email-composer-webhooks.gong.io/email-tracking/clicked?email-info-token=eyJhbGciOiJIUzI1NiJ9.eyJjb21wYW55SWQiOiI4OTgyMjM2MTQxODc2Mjk3NzAiLCJkcmFmdElkIjoicjU0Mzg5OTExMTYxMTY1ODUyOTUiLCJsaW5rVXJsIjoiaHR0cHM6Ly9vYnNlcnZlcG9pbnQuY2hpbGlwaXBlci5jb20vc3VnZ2VzdGVkLXRpbWVzLzA1ZDJiOGE0LTg2OGItNDlm</t>
  </si>
  <si>
    <t>19b8f87d94f5a7af</t>
  </si>
  <si>
    <t>who@questrade.com</t>
  </si>
  <si>
    <t>rchau@questrade.com, cyang@questrade.com, john.davis@observepoint.com, macey.bell@observepoint.com</t>
  </si>
  <si>
    <t>19b8ead16be22a44</t>
  </si>
  <si>
    <t>Macey Bell &lt;macey.bell@observepoint.com&gt;, "john.davis@observepoint.com" &lt;john.davis@observepoint.com&gt;, "dylan.sellers@observepoint.com" &lt;dylan.sellers@observepoint.com&gt;</t>
  </si>
  <si>
    <t>ObservePoint AI from ObservePoint &lt;support@observepoint.com&gt;, Baijnath Gupta &lt;baijnath.gupta@prudential.com&gt;</t>
  </si>
  <si>
    <t>Latest ObservePoint audit reports for Prudential.com &amp; PGIM</t>
  </si>
  <si>
    <t>Hi @'Macey Bell'&lt;mailto:macey.bell@observepoint.com&gt; or @john.davis@observepoint.com&lt;mailto:john.davis@observepoint.com&gt;,
Please provide few available times or calendar link so we can review the latest audit reports for Prudential.com and PGIM from last week.
Thanks,
Steve
From: Steve Choi
Sent: Monday, January 5, 2026 9:58 AM
To: 'Macey Bell' &lt;macey.bell@observepoint.com&gt;; john.davis@observepoint.com; dylan.sellers@observepoint.com
Cc: Robert Ernest &lt;robert.ernest@prudential.com&gt;</t>
  </si>
  <si>
    <t>19b8f26727270f59</t>
  </si>
  <si>
    <t>Macey Bell &lt;macey.bell@observepoint.com&gt;, "dylan.sellers@observepoint.com" &lt;dylan.sellers@observepoint.com&gt;, ObservePoint AI from ObservePoint &lt;support@observepoint.com&gt;, Baijnath Gupta &lt;baijnath.gupta@prudential.com&gt;</t>
  </si>
  <si>
    <t>Re: Latest ObservePoint audit reports for Prudential.com &amp; PGIM</t>
  </si>
  <si>
    <t>Hey Steve,
Here are some times this week that work for us, feel free to grab one that
works for you:
Meeting length: 30 Minutes
Time Zone: (GMT-7) MST/Denver
Tue Jan 6 Wed Jan 7 Thu Jan 8
 10:00  AM
&lt;https://us-3129.email-composer-webhooks.gong.io/email-tracking/clicked?email-info-token=eyJhbGciOiJIUzI1NiJ9.eyJjb21wYW55SWQiOiI4OTgyMjM2MTQxODc2Mjk3NzAiLCJkcmFmdElkIjoicjc3NDQzMTc0MTgyNTE1ODM3MzMiLCJsaW5rVXJsIjoiaHR0cHM6Ly9vYnNlcnZlcG9pbnQuY2hpbGlwaXBlci5jb20vc3VnZ2VzdGVkLXRpbWVzL2EwYmMy</t>
  </si>
  <si>
    <t>19b9ad415d83e38e</t>
  </si>
  <si>
    <t>RE: Latest ObservePoint audit reports for Prudential.com &amp; PGIM</t>
  </si>
  <si>
    <t>Hi John,
Sorry I missed.  Can you provide other available times for this Friday 1/9, next Monday 1/12, next Thursday 1/15?
Thanks,
Steve
From: John Davis &lt;john.davis@observepoint.com&gt;
Sent: Monday, January 5, 2026 12:14 PM
To: Steve Choi &lt;steve.choi@prudential.com&gt;
Cc: Macey Bell &lt;macey.bell@observepoint.com&gt;; dylan.sellers@observepoint.com; ObservePoint AI from ObservePoint &lt;support@observepoint.com&gt;; Baijnath Gupta &lt;baijnath.gupta@prudential.com&gt;
Subject: Re: Latest ObservePoin</t>
  </si>
  <si>
    <t>19b9b86a1ac38294</t>
  </si>
  <si>
    <t>Hey Steve,
Well we already have our weekly meeting scheduled for Monday 1/12 @ 2:30pm
MST (4:30pm EST), is that still going to work for you? I was just wondering
if you wanted to throw in an extra one this week since I had to cancel this
past Monday, but we can wait until this coming Monday, no worries.
*Regards, *
John Davis *   |    * *Customer Success Manager*
Cell: 801.633.6013
john.davis@observepoint.com
www.observepoint.com
&lt;https://groove.grvlnk4.com/url/typa6byifukvbtij</t>
  </si>
  <si>
    <t>19bb2d9ab2c92057</t>
  </si>
  <si>
    <t>Macey Bell &lt;macey.bell@observepoint.com&gt;, "dylan.sellers@observepoint.com" &lt;dylan.sellers@observepoint.com&gt;, ObservePoint AI from ObservePoint &lt;support@observepoint.com&gt;</t>
  </si>
  <si>
    <t>Hi John,
I have conflict at 4:30 ET today, 1/12.  Can you provide some availability for this Thursday or  Friday?
Thanks,
Steve
From: John Davis &lt;john.davis@observepoint.com&gt;
Sent: Wednesday, January 7, 2026 9:54 PM
To: Steve Choi &lt;steve.choi@prudential.com&gt;
Cc: Macey Bell &lt;macey.bell@observepoint.com&gt;; dylan.sellers@observepoint.com; ObservePoint AI from ObservePoint &lt;support@observepoint.com&gt;; Baijnath Gupta &lt;baijnath.gupta@prudential.com&gt;
Subject: Re: Latest ObservePoint audit</t>
  </si>
  <si>
    <t>19bb2da131c4b74a</t>
  </si>
  <si>
    <t>john.davis@observepoint.com, macey.bell@observepoint.com, dylan.sellers@observepoint.com</t>
  </si>
  <si>
    <t>Re: RE: Latest ObservePoint audit reports for Prudential.com &amp; PGIM</t>
  </si>
  <si>
    <t xml:space="preserve"> 
#66284702: RE: Latest ObservePoint audit reports for Prudential.com &amp; PGIM 
Submitted 
We'll pick up your ticket soon 
Hi John, I have conflict at 4:30 ET today, 1/12. Can you provide some 
availability for this Thursday or Friday? Thanks, Steve *From:* John Davis 
&lt;john.davis@observepoint.com&gt; 
*Sent:* Wednesday, January 7, 2026 9:54 PM
*To:* Steve Choi &lt;steve.choi@prudential.com&gt;
*Cc:* Macey Bell &lt;macey.bell@observepoint.com&gt;; 
dylan.sellers@observepoint.com; ObservePoint AI from ObservePoi</t>
  </si>
  <si>
    <t>19bb328c1147f9c4</t>
  </si>
  <si>
    <t>steve.choi@prudential.com, macey.bell@observepoint.com, dylan.sellers@observepoint.com</t>
  </si>
  <si>
    <t>Hey Steve,
Here are some available slots those two days, in *Eastern Time*:
Meeting length: 30 Minutes
Time Zone: (GMT-5) EST/New_York
Thu Jan 15 Fri Jan 16
 12:00  PM
&lt;https://observepoint.chilipiper.com/suggested-times/2b19e5e1-d167-4d9f-98a2-cb5f614106a8?slotStartsAt=2026-01-15T17:00:00.000Z&gt;
 12:30  PM
&lt;https://observepoint.chilipiper.com/suggested-times/2b19e5e1-d167-4d9f-98a2-cb5f614106a8?slotStartsAt=2026-01-16T17:30:00.000Z&gt;
 1:30  PM
&lt;https://observepoint.chilipiper.com/su</t>
  </si>
  <si>
    <t>19bb7f6a19213ea4</t>
  </si>
  <si>
    <t>Adrian from ObservePoint &lt;support@observepoint.com&gt;</t>
  </si>
  <si>
    <t xml:space="preserve"> 
#66284702: RE: Latest ObservePoint audit reports for Prudential.com &amp; PGIM 
Resolved 
We've completed your ticket 
Hi John, I have conflict at 4:30 ET today, 1/12. Can you provide some 
availability for this Thursday or Friday? Thanks, Steve *From:* John Davis 
&lt;john.davis@observepoint.com&gt; 
*Sent:* Wednesday, January 7, 2026 9:54 PM
*To:* Steve Choi &lt;steve.choi@prudential.com&gt;
*Cc:* Macey Bell &lt;macey.bell@observepoint.com&gt;; 
dylan.sellers@observepoint.com; ObservePoint AI from ObservePoint 
</t>
  </si>
  <si>
    <t>19bb8d72a97ba783</t>
  </si>
  <si>
    <t>RE: RE: Latest ObservePoint audit reports for Prudential.com &amp; PGIM</t>
  </si>
  <si>
    <t>Hi John,
Do you know who scheduled this weekly scan?  I didn’t schedule it.  Can you help stop it immediately?  We are wasting pages for audit here.  Thanks.
[cid:image001.png@01DC8499.3AEDADB0]
From: John Davis &lt;john.davis@observepoint.com&gt;
Sent: Monday, January 12, 2026 12:03 PM
To: ObservePoint AI from ObservePoint &lt;support@observepoint.com&gt;
Cc: Steve Choi &lt;steve.choi@prudential.com&gt;; macey.bell@observepoint.com; dylan.sellers@observepoint.com
Subject: Re: RE: Latest ObservePoi</t>
  </si>
  <si>
    <t>19b8e7f5a4d630fe</t>
  </si>
  <si>
    <t>Accepted: ObservePoint | Questrade Bi-Weekly Syncup @ Mon Jan 5, 2026 1pm - 1:30pm (MST) (john.davis@observepoint.com)</t>
  </si>
  <si>
    <t xml:space="preserve">Raymond Chau has accepted this invitation.
ObservePoint | Questrade Bi-Weekly Syncup
Monday Jan 5, 2026 ⋅ 1pm – 1:30pm
Mountain Time - Denver
Location
https://observepoint.zoom.us/j/93559561258	
https://www.google.com/url?q=https%3A%2F%2Fobservepoint.zoom.us%2Fj%2F93559561258&amp;sa=D&amp;source=calendar&amp;ust=1768054260000000&amp;usg=AOvVaw1QnJXEQ1lLrL1HJWLQntig
Agenda - I would love to start building a roadmap for Questrade's goals for  
2026
Looking forward to connecting.
If you need </t>
  </si>
  <si>
    <t>19b8e3e341d65284</t>
  </si>
  <si>
    <t>Weekly Sync</t>
  </si>
  <si>
    <t>Hey Steve,
I have a dentist appointment that I scheduled a while ago that is going to
conflict with our weekly sync later today @ 2:30pm MST. It sounds like you
got some great help from Dylan and Macey over the holiday break with a few
things.
Are you ok if we cancel this week and plan on next Monday for our first
sync of the year? If that isn't going to work for you and need some help
quicker, then we could reschedule this week.
Let me know what will work best for you.
*Regards</t>
  </si>
  <si>
    <t>19b7f00195c1f1da</t>
  </si>
  <si>
    <t>Robert Ernest &lt;robert.ernest@prudential.com&gt;</t>
  </si>
  <si>
    <t>Steve Choi &lt;steve.choi@prudential.com&gt;, Dylan Sellers &lt;dylan.sellers@observepoint.com&gt;, ObservePoint AI from ObservePoint &lt;support@observepoint.com&gt;, "john.davis@observepoint.com" &lt;john.davis@observepoint.com&gt;, Macey Bell &lt;macey.bell@observepoint.com&gt;</t>
  </si>
  <si>
    <t>Lalitha Kavutharapu &lt;lalitha.kavutharapu@prudential.com&gt;, Nandhitha B &lt;nandhitha.p.b@prudential.com&gt;</t>
  </si>
  <si>
    <t>Canceled: Troubleshoot Observepoint SSO Issue</t>
  </si>
  <si>
    <t>Cancelling the call since we're just waiting for the certificate to be updated.
________________________________________________________________________________
Microsoft Teams Need help?&lt;https://aka.ms/JoinTeamsMeeting?omkt=en-US&gt;
Join the meeting now&lt;https://teams.microsoft.com/l/meetup-join/19%3ameeting_OGU5MzQzMzYtOWE4MC00M2VjLWExZTItOTNjMDdkNmQ0ZmIw%40thread.v2/0?context=%7b%22Tid%22%3a%22d8fde2f5-9392-4260-8a03-0ad01f4746e9%22%2c%22Oid%22%3a%2282e148f0-3610-4982-9eeb-103c283f6139%22</t>
  </si>
  <si>
    <t>19b7f008115355f5</t>
  </si>
  <si>
    <t>robert.ernest@prudential.com</t>
  </si>
  <si>
    <t>steve.choi@prudential.com, dylan.sellers@observepoint.com, john.davis@observepoint.com, macey.bell@observepoint.com, lalitha.kavutharapu@prudential.com, nandhitha.p.b@prudential.com</t>
  </si>
  <si>
    <t>Re: Canceled: Troubleshoot Observepoint SSO Issue</t>
  </si>
  <si>
    <t xml:space="preserve"> 
#64117705: Canceled: Troubleshoot Observepoint SSO Issue 
Submitted 
We'll pick up your ticket soon 
Cancelling the call since we’re just waiting for the certificate to be 
updated. 
________________________________________________________________________________ 
*Microsoft Teams*Need help? &lt;https://aka.ms/JoinTeamsMeeting?omkt=en-US&gt; 
Meeting ID: 211 699 887 724 41 Passcode: 5ft24GF6 *Dial in by phone* +1 
201-268-5459,,385671899#United States, Jersey City Phone conference ID: 385 
671 899#</t>
  </si>
  <si>
    <t>19b754c04141ff1b</t>
  </si>
  <si>
    <t>Troubleshoot Observepoint SSO Issue</t>
  </si>
  <si>
    <t xml:space="preserve">
________________________________________________________________________________
Microsoft Teams Need help?&lt;https://aka.ms/JoinTeamsMeeting?omkt=en-US&gt;
Join the meeting now&lt;https://teams.microsoft.com/l/meetup-join/19%3ameeting_OGU5MzQzMzYtOWE4MC00M2VjLWExZTItOTNjMDdkNmQ0ZmIw%40thread.v2/0?context=%7b%22Tid%22%3a%22d8fde2f5-9392-4260-8a03-0ad01f4746e9%22%2c%22Oid%22%3a%2282e148f0-3610-4982-9eeb-103c283f6139%22%7d&gt;
Meeting ID: 211 699 887 724 41
Passcode: 5ft24GF6
_________________________</t>
  </si>
  <si>
    <t>19b754c7c15174fc</t>
  </si>
  <si>
    <t>Re: Troubleshoot Observepoint SSO Issue</t>
  </si>
  <si>
    <t xml:space="preserve"> 
#63890944: Troubleshoot Observepoint SSO Issue 
Submitted 
We'll pick up your ticket soon 
________________________________________________________________________________ 
*Microsoft Teams*Need help? &lt;https://aka.ms/JoinTeamsMeeting?omkt=en-US&gt; 
Meeting ID: 211 699 887 724 41 Passcode: 5ft24GF6 *Dial in by phone* +1 
201-268-5459,,385671899#United States, Jersey City Phone conference ID: 385 
671 899# *Join on a video conferencing device* Tenant key: pru@m.webex.com 
Video ID: 117 969 579 5 </t>
  </si>
  <si>
    <t>19b8d994646b19bb</t>
  </si>
  <si>
    <t xml:space="preserve"> 
#63890944: Troubleshoot Observepoint SSO Issue 
Resolved 
We've completed your ticket 
________________________________________________________________________________ 
*Microsoft Teams*Need help? &lt;https://aka.ms/JoinTeamsMeeting?omkt=en-US&gt; 
Meeting ID: 211 699 887 724 41 Passcode: 5ft24GF6 *Dial in by phone* +1 
201-268-5459,,385671899#United States, Jersey City Phone conference ID: 385 
671 899# *Join on a video conferencing device* Tenant key: pru@m.webex.com 
Video ID: 117 969 579 5 For </t>
  </si>
  <si>
    <t>19b51f1babce316c</t>
  </si>
  <si>
    <t>Steve Choi &lt;steve.choi@prudential.com&gt;, "dylan.sellers@observepoint.com" &lt;dylan.sellers@observepoint.com&gt;, Lalitha Kavutharapu &lt;lalitha.kavutharapu@prudential.com&gt;</t>
  </si>
  <si>
    <t>"john.davis@observepoint.com" &lt;john.davis@observepoint.com&gt;, Macey Bell &lt;macey.bell@observepoint.com&gt;</t>
  </si>
  <si>
    <t>RE: ObservePoint login issue - Expired Certificate</t>
  </si>
  <si>
    <t>Hi Dylan,
According to our IAM team, there's nothing to update on Prudential's side. Can you please let us know what needs to be done to resolve the issue? Thank you
Robert
From: Orlan Magsakay &lt;orlan.magsakay@prudential.com&gt;
Sent: Wednesday, December 24, 2025 1:00 PM
To: Robert Ernest &lt;robert.ernest@prudential.com&gt;; Steve Choi &lt;steve.choi@prudential.com&gt;; Lalitha Kavutharapu &lt;lalitha.kavutharapu@prudential.com&gt;
Cc: Global Technology IAM Operations &lt;gt.wintel.engineering.support@pr</t>
  </si>
  <si>
    <t>19b51f3652ba0ffb</t>
  </si>
  <si>
    <t>Steve Choi &lt;steve.choi@prudential.com&gt;, "dylan.sellers@observepoint.com" &lt;dylan.sellers@observepoint.com&gt;, Lalitha Kavutharapu &lt;lalitha.kavutharapu@prudential.com&gt;, "support@observepoint.com" &lt;support@observepoint.com&gt;</t>
  </si>
  <si>
    <t>Hi Observepoint support,
According to our IAM team, there's nothing to update on Prudential's side regarding expired certificate. Can you please let us know what needs to be done to resolve the issue? Thank you
Robert Ernest
From: Robert Ernest
Sent: Wednesday, December 24, 2025 2:59 PM
To: Steve Choi &lt;steve.choi@prudential.com&gt;; 'dylan.sellers@observepoint.com' &lt;dylan.sellers@observepoint.com&gt;; Lalitha Kavutharapu &lt;lalitha.kavutharapu@prudential.com&gt;
Cc: 'john.davis@observepoi</t>
  </si>
  <si>
    <t>19b5287f91555d37</t>
  </si>
  <si>
    <t>Robert Ernest &lt;robert.ernest@prudential.com&gt;, "dylan.sellers@observepoint.com" &lt;dylan.sellers@observepoint.com&gt;, Lalitha Kavutharapu &lt;lalitha.kavutharapu@prudential.com&gt;, ObservePoint AI from ObservePoint &lt;support@observepoint.com&gt;</t>
  </si>
  <si>
    <t>Re: ObservePoint login issue - Expired Certificate</t>
  </si>
  <si>
    <t>Hi John/ObservePoint Support,
Please see below.
Thanks,
Steve
________________________________
From: Robert Ernest &lt;robert.ernest@prudential.com&gt;
Sent: Wednesday, December 24, 2025 2:59:12 PM
To: Steve Choi &lt;steve.choi@prudential.com&gt;; dylan.sellers@observepoint.com &lt;dylan.sellers@observepoint.com&gt;; Lalitha Kavutharapu &lt;lalitha.kavutharapu@prudential.com&gt;
Cc: john.davis@observepoint.com &lt;john.davis@observepoint.com&gt;; Macey Bell &lt;macey.bell@observepoint.com&gt;
Subject: RE: ObserveP</t>
  </si>
  <si>
    <t>19b5b33a4ffae283</t>
  </si>
  <si>
    <t>Dylan Sellers &lt;dylan.sellers@observepoint.com&gt;</t>
  </si>
  <si>
    <t>Robert Ernest &lt;robert.ernest@prudential.com&gt;, Lalitha Kavutharapu &lt;lalitha.kavutharapu@prudential.com&gt;, ObservePoint AI from ObservePoint &lt;support@observepoint.com&gt;, "john.davis@observepoint.com" &lt;john.davis@observepoint.com&gt;, Macey Bell &lt;macey.bell@observepoint.com&gt;</t>
  </si>
  <si>
    <t>Steve,
I escalated it to our on-call engineers. After troubleshooting, I couldn't
see any obvious cause on my end. I hope to get a response today.
On Wed, Dec 24, 2025 at 3:43 PM Steve Choi &lt;steve.choi@prudential.com&gt;
wrote:
&gt; Hi John/ObservePoint Support,
&gt;
&gt; Please see below.
&gt;
&gt; Thanks,
&gt;
&gt; Steve
&gt;
&gt; ------------------------------
&gt; *From:* Robert Ernest &lt;robert.ernest@prudential.com&gt;
&gt; *Sent:* Wednesday, December 24, 2025 2:59:12 PM
&gt; *To:* Steve Choi &lt;steve.choi@pruden</t>
  </si>
  <si>
    <t>19b5d1ecd1128cfb</t>
  </si>
  <si>
    <t>Steve,
Our engineering team feels like from their side everything looks normal
with SSO and no recent changes have been made on our end.
I want to suggest a live troubleshooting call if available.
I also suggest that we disable SSO temporarily while we troubleshoot. It
will mean reduced security, but you will be able to get access and access
the UI while we figure out the root issue.
Is that an option?
On Fri, Dec 26, 2025 at 8:07 AM Dylan Sellers &lt;
dylan.sellers@observepoint.</t>
  </si>
  <si>
    <t>19b6a6ee301c347f</t>
  </si>
  <si>
    <t>"dylan.sellers@observepoint.com" &lt;dylan.sellers@observepoint.com&gt;, Steve Choi &lt;steve.choi@prudential.com&gt;</t>
  </si>
  <si>
    <t>Lalitha Kavutharapu &lt;lalitha.kavutharapu@prudential.com&gt;, ObservePoint AI from ObservePoint &lt;support@observepoint.com&gt;, "john.davis@observepoint.com" &lt;john.davis@observepoint.com&gt;, Macey Bell &lt;macey.bell@observepoint.com&gt;</t>
  </si>
  <si>
    <t>Hi Dylan,
Can you please provide your team’s availability so we can setup a troubleshooting call?
I will let @Steve&lt;mailto:steve.choi@prudential.com&gt; decide if we want to temporarily turn off SSO so we can regain access to the platform. Thank you!
Robert Ernest
From: Dylan Sellers &lt;dylan.sellers@observepoint.com&gt;
Sent: Friday, December 26, 2025 7:04 PM
To: Steve Choi &lt;steve.choi@prudential.com&gt;
Cc: Robert Ernest &lt;robert.ernest@prudential.com&gt;; Lalitha Kavutharapu &lt;lalitha.kavuth</t>
  </si>
  <si>
    <t>19b6b55dff16adc2</t>
  </si>
  <si>
    <t>Robert Ernest &lt;robert.ernest@prudential.com&gt;, "dylan.sellers@observepoint.com" &lt;dylan.sellers@observepoint.com&gt;</t>
  </si>
  <si>
    <t>If it will take some time to address this SSO issue, I suggest that we turn off SSO and reactivate it after troubleshooting.
Thanks,
Steve
From: Robert Ernest &lt;robert.ernest@prudential.com&gt;
Sent: Monday, December 29, 2025 9:07 AM
To: dylan.sellers@observepoint.com; Steve Choi &lt;steve.choi@prudential.com&gt;
Cc: Lalitha Kavutharapu &lt;lalitha.kavutharapu@prudential.com&gt;; ObservePoint AI from ObservePoint &lt;support@observepoint.com&gt;; john.davis@observepoint.com; Macey Bell &lt;macey.bell@observe</t>
  </si>
  <si>
    <t>19b715435bcd0ddc</t>
  </si>
  <si>
    <t xml:space="preserve">This Friday, Jan 2nd in the morning is ideal for a troubleshooting call.
I’m just confirming that I can get an engineer to participate that morning.
Do you have any times available on your side that day?
Schedule a meeting
&lt;https://observepoint.chilipiper.com/personal-page/dylan-sellers&gt;
Dylan Sellers *   |    * *VP of Customer Success*
916.500.1138
dylan.sellers@observepoint.com
www.observepoint.com
On Mon, Dec 29, 2025 at 11:19 AM Steve Choi &lt;steve.choi@prudential.com&gt;
</t>
  </si>
  <si>
    <t>19b7199214c65787</t>
  </si>
  <si>
    <t>Steve Choi &lt;steve.choi@prudential.com&gt;, Robert Ernest &lt;robert.ernest@prudential.com&gt;, Lalitha Kavutharapu &lt;lalitha.kavutharapu@prudential.com&gt;, ObservePoint AI from ObservePoint &lt;support@observepoint.com&gt;, john.davis@observepoint.com</t>
  </si>
  <si>
    <t>In the meantime, all those scans are either running or have run.
On Dec 30, 2025, at 3:15 PM, Dylan Sellers &lt;dylan.sellers@observepoint.com&gt; 
wrote:
﻿
This Friday, Jan 2nd in the morning is ideal for a troubleshooting call.
I’m just confirming that I can get an engineer to participate that morning.
Do you have any times available on your side that day?
Schedule a meeting 
&lt;https://observepoint.chilipiper.com/personal-page/dylan-sellers&gt;
Dylan Sellers *   |    * *VP of Customer Success*
9</t>
  </si>
  <si>
    <t>19b7549b1918ca0f</t>
  </si>
  <si>
    <t>Will Friday work to troubleshoot?
Our SSO expert engineer confirmed he can attend.
He’s looking at it today, so we may not need to meet, but if he can’t
identify the root cause from the information you provided him so far, the
call may be necessary.
Schedule a meeting
&lt;https://observepoint.chilipiper.com/personal-page/dylan-sellers&gt;
Dylan Sellers *   |    * *VP of Customer Success*
916.500.1138
dylan.sellers@observepoint.com
www.observepoint.com
On Tue, Dec 30, 2025 at 4</t>
  </si>
  <si>
    <t>19b754d4b56eed3d</t>
  </si>
  <si>
    <t>"dylan.sellers@observepoint.com" &lt;dylan.sellers@observepoint.com&gt;, Macey Bell &lt;macey.bell@observepoint.com&gt;</t>
  </si>
  <si>
    <t>Steve Choi &lt;steve.choi@prudential.com&gt;, Lalitha Kavutharapu &lt;lalitha.kavutharapu@prudential.com&gt;, ObservePoint AI from ObservePoint &lt;support@observepoint.com&gt;, "john.davis@observepoint.com" &lt;john.davis@observepoint.com&gt;</t>
  </si>
  <si>
    <t>Hi Dylan,
I just sent a Teams meeting invite for January 2, 10AM EST.
Let us know if that works for your team.
Robert Ernest
From: Dylan Sellers &lt;dylan.sellers@observepoint.com&gt;
Sent: Wednesday, December 31, 2025 11:42 AM
To: Macey Bell &lt;macey.bell@observepoint.com&gt;
Cc: Steve Choi &lt;steve.choi@prudential.com&gt;; Robert Ernest &lt;robert.ernest@prudential.com&gt;; Lalitha Kavutharapu &lt;lalitha.kavutharapu@prudential.com&gt;; ObservePoint AI from ObservePoint &lt;support@observepoint.com&gt;; john.dav</t>
  </si>
  <si>
    <t>19b75a10f4fe40d4</t>
  </si>
  <si>
    <t>Macey Bell &lt;macey.bell@observepoint.com&gt;, Steve Choi &lt;steve.choi@prudential.com&gt;, Lalitha Kavutharapu &lt;lalitha.kavutharapu@prudential.com&gt;, ObservePoint AI from ObservePoint &lt;support@observepoint.com&gt;, "john.davis@observepoint.com" &lt;john.davis@observepoint.com&gt;</t>
  </si>
  <si>
    <t>Awesome, yes that works.
10:30am or 11:00am EST are preferred, but we can make 10:00am work.
Schedule a meeting
&lt;https://observepoint.chilipiper.com/personal-page/dylan-sellers&gt;
Dylan Sellers *   |    * *VP of Customer Success*
916.500.1138
dylan.sellers@observepoint.com
www.observepoint.com
On Wed, Dec 31, 2025 at 9:45 AM Robert Ernest &lt;robert.ernest@prudential.com&gt;
wrote:
&gt; Hi Dylan,
&gt;
&gt;
&gt;
&gt; I just sent a Teams meeting invite for January 2, 10AM EST.
&gt;
&gt; Let us kn</t>
  </si>
  <si>
    <t>19b75a7cccbcd836</t>
  </si>
  <si>
    <t>Robert Ernest &lt;robert.ernest@prudential.com&gt;, "dylan.sellers@observepoint.com" &lt;dylan.sellers@observepoint.com&gt;, Macey Bell &lt;macey.bell@observepoint.com&gt;</t>
  </si>
  <si>
    <t>Lalitha Kavutharapu &lt;lalitha.kavutharapu@prudential.com&gt;, ObservePoint AI from ObservePoint &lt;support@observepoint.com&gt;, "john.davis@observepoint.com" &lt;john.davis@observepoint.com&gt;</t>
  </si>
  <si>
    <t>I am out on 1/2, but you can still have meeting.  I will catch up with Robert afterwards.
Thanks,
Steve
________________________________
From: Robert Ernest &lt;robert.ernest@prudential.com&gt;
Sent: Wednesday, December 31, 2025 11:45:56 AM
To: dylan.sellers@observepoint.com &lt;dylan.sellers@observepoint.com&gt;; Macey Bell &lt;macey.bell@observepoint.com&gt;
Cc: Steve Choi &lt;steve.choi@prudential.com&gt;; Lalitha Kavutharapu &lt;lalitha.kavutharapu@prudential.com&gt;; ObservePoint AI from ObservePoint &lt;suppo</t>
  </si>
  <si>
    <t>19b75ab91c2d12c9</t>
  </si>
  <si>
    <t>Robert Ernest &lt;robert.ernest@prudential.com&gt;, Macey Bell &lt;macey.bell@observepoint.com&gt;, Lalitha Kavutharapu &lt;lalitha.kavutharapu@prudential.com&gt;, ObservePoint AI from ObservePoint &lt;support@observepoint.com&gt;, "john.davis@observepoint.com" &lt;john.davis@observepoint.com&gt;</t>
  </si>
  <si>
    <t>Okay.
Good news.
We may not need a meeting. Our engineer identified that the certificate
send in the request from your side is different from the certificate on
file.
We suspect that somehow your certificate was changed from the one we have
on file.
This means to fix it, we just need you to send over the latest certificate
on your side and we’ll upload it.
Schedule a meeting
&lt;https://observepoint.chilipiper.com/personal-page/dylan-sellers&gt;
Dylan Sellers *   |    * *VP of C</t>
  </si>
  <si>
    <t>19b75b07a9286ddc</t>
  </si>
  <si>
    <t>"dylan.sellers@observepoint.com" &lt;dylan.sellers@observepoint.com&gt;, Steve Choi &lt;steve.choi@prudential.com&gt;, Raymund Oba &lt;raymund.oba@prudential.com&gt;</t>
  </si>
  <si>
    <t>Macey Bell &lt;macey.bell@observepoint.com&gt;, Lalitha Kavutharapu &lt;lalitha.kavutharapu@prudential.com&gt;, ObservePoint AI from ObservePoint &lt;support@observepoint.com&gt;, "john.davis@observepoint.com" &lt;john.davis@observepoint.com&gt;</t>
  </si>
  <si>
    <t>Looping in @Raymund Oba&lt;mailto:raymund.oba@prudential.com&gt;. Can you please provide the latest certificate for Observepoint SSO? Thank you and happy new year!
Robert Ernest
From: Dylan Sellers &lt;dylan.sellers@observepoint.com&gt;
Sent: Wednesday, December 31, 2025 1:29 PM
To: Steve Choi &lt;steve.choi@prudential.com&gt;
Cc: Robert Ernest &lt;robert.ernest@prudential.com&gt;; Macey Bell &lt;macey.bell@observepoint.com&gt;; Lalitha Kavutharapu &lt;lalitha.kavutharapu@prudential.com&gt;; ObservePoint AI from Observe</t>
  </si>
  <si>
    <t>19b7c8f378cb9027</t>
  </si>
  <si>
    <t>Steve Choi &lt;steve.choi@prudential.com&gt;, Raymund Oba &lt;raymund.oba@prudential.com&gt;, Macey Bell &lt;macey.bell@observepoint.com&gt;, Lalitha Kavutharapu &lt;lalitha.kavutharapu@prudential.com&gt;, ObservePoint AI from ObservePoint &lt;support@observepoint.com&gt;, "john.davis@observepoint.com" &lt;john.davis@observepoint.com&gt;</t>
  </si>
  <si>
    <t>Thanks Robert.
I’ll go ahead and decline tomorrow’s sync since we are just waiting on the
certificate.
If we need get stuck and need to schedule something, I’m happy to find
another time, but I think we should be good after implementing this new
cert.
Cheers,
Schedule a meeting
&lt;https://observepoint.chilipiper.com/personal-page/dylan-sellers&gt;
Dylan Sellers *   |    * *VP of Customer Success*
916.500.1138
dylan.sellers@observepoint.com
www.observepoint.com
On Wed, Dec</t>
  </si>
  <si>
    <t>19b7f3a6724b2e69</t>
  </si>
  <si>
    <t>Raymund Oba &lt;raymund.oba@prudential.com&gt;</t>
  </si>
  <si>
    <t>Robert Ernest &lt;robert.ernest@prudential.com&gt;, "dylan.sellers@observepoint.com" &lt;dylan.sellers@observepoint.com&gt;, Steve Choi &lt;steve.choi@prudential.com&gt;</t>
  </si>
  <si>
    <t xml:space="preserve">Hi Robert,
Please see attached.
Regards,
Raymund
From: Robert Ernest &lt;robert.ernest@prudential.com&gt;
Sent: Wednesday, December 31, 2025 1:34 PM
To: dylan.sellers@observepoint.com; Steve Choi &lt;steve.choi@prudential.com&gt;; Raymund Oba &lt;raymund.oba@prudential.com&gt;
Cc: Macey Bell &lt;macey.bell@observepoint.com&gt;; Lalitha Kavutharapu &lt;lalitha.kavutharapu@prudential.com&gt;; ObservePoint AI from ObservePoint &lt;support@observepoint.com&gt;; john.davis@observepoint.com
Subject: RE: ObservePoint login </t>
  </si>
  <si>
    <t>19b7f59284a3c22e</t>
  </si>
  <si>
    <t>Robert Ernest &lt;robert.ernest@prudential.com&gt;, Steve Choi &lt;steve.choi@prudential.com&gt;, Macey Bell &lt;macey.bell@observepoint.com&gt;, Lalitha Kavutharapu &lt;lalitha.kavutharapu@prudential.com&gt;, ObservePoint AI from ObservePoint &lt;support@observepoint.com&gt;, "john.davis@observepoint.com" &lt;john.davis@observepoint.com&gt;</t>
  </si>
  <si>
    <t>Excellent.
It should be ready to test.
@Steve Choi &lt;steve.choi@prudential.com&gt; can you give it a try and confirm
that it is resolved?
On Fri, Jan 2, 2026 at 8:01 AM Raymund Oba &lt;raymund.oba@prudential.com&gt;
wrote:
&gt; Hi Robert,
&gt;
&gt;
&gt;
&gt; Please see attached.
&gt;
&gt;
&gt;
&gt; Regards,
&gt;
&gt; Raymund
&gt;
&gt;
&gt;
&gt; *From:* Robert Ernest &lt;robert.ernest@prudential.com&gt;
&gt; *Sent:* Wednesday, December 31, 2025 1:34 PM
&gt; *To:* dylan.sellers@observepoint.com; Steve Choi &lt;
&gt; steve.choi@prudential.</t>
  </si>
  <si>
    <t>19b8e9362af1f03f</t>
  </si>
  <si>
    <t>"dylan.sellers@observepoint.com" &lt;dylan.sellers@observepoint.com&gt;, Raymund Oba &lt;raymund.oba@prudential.com&gt;</t>
  </si>
  <si>
    <t>I still can’t login and get the same message. Thanks.
[cid:image001.png@01DC7E26.44EF4220]
From: Dylan Sellers &lt;dylan.sellers@observepoint.com&gt;
Sent: Friday, January 2, 2026 10:35 AM
To: Raymund Oba &lt;raymund.oba@prudential.com&gt;
Cc: Robert Ernest &lt;robert.ernest@prudential.com&gt;; Steve Choi &lt;steve.choi@prudential.com&gt;; Macey Bell &lt;macey.bell@observepoint.com&gt;; Lalitha Kavutharapu &lt;lalitha.kavutharapu@prudential.com&gt;; ObservePoint AI from ObservePoint &lt;support@observepoint.com&gt;; john.davis@</t>
  </si>
  <si>
    <t>19b8eaa46d146958</t>
  </si>
  <si>
    <t>Robert Ernest &lt;robert.ernest@prudential.com&gt;, Lalitha Kavutharapu &lt;lalitha.kavutharapu@prudential.com&gt;, ObservePoint AI from ObservePoint &lt;support@observepoint.com&gt;</t>
  </si>
  <si>
    <t>Hi Macey,
Thanks.  Can we schedule a meeting with @Macey Bell&lt;mailto:macey.bell@observepoint.com&gt; or @john.davis@observepoint.com&lt;mailto:john.davis@observepoint.com&gt; to review the latest audit reports for Prudential.com and PGIM?
What is your availability later this week or next week?
Thanks,
Steve
From: Macey Bell &lt;macey.bell@observepoint.com&gt;
Sent: Tuesday, December 30, 2025 6:30 PM
To: dylan.sellers@observepoint.com
Cc: Steve Choi &lt;steve.choi@prudential.com&gt;; Robert Ernest &lt;</t>
  </si>
  <si>
    <t>19b8ec6eee4dbe68</t>
  </si>
  <si>
    <t>Macey Bell &lt;macey.bell@observepoint.com&gt;, "john.davis@observepoint.com" &lt;john.davis@observepoint.com&gt;, Robert Ernest &lt;robert.ernest@prudential.com&gt;, Lalitha Kavutharapu &lt;lalitha.kavutharapu@prudential.com&gt;, ObservePoint AI from ObservePoint &lt;support@observepoint.com&gt;</t>
  </si>
  <si>
    <t>Steve,
I'm setting up a meeting with our engineer over SSO right now. I think
we're very close. I may ask you to run another test here shortly.
On Mon, Jan 5, 2026 at 7:58 AM Steve Choi &lt;steve.choi@prudential.com&gt; wrote:
&gt; Hi Macey,
&gt;
&gt;
&gt;
&gt; Thanks.  Can we schedule a meeting with @Macey Bell
&gt; &lt;macey.bell@observepoint.com&gt; or @john.davis@observepoint.com
&gt; &lt;john.davis@observepoint.com&gt; to review the latest audit reports for
&gt; Prudential.com and PGIM?
&gt;
&gt;
&gt;
&gt; What is your ava</t>
  </si>
  <si>
    <t>19b8f1e8164a9586</t>
  </si>
  <si>
    <t xml:space="preserve">Steve,
We found the issue, a small clerical issue, saving the wrong cert before I
asked you to test.
Can you try now?
On Mon, Jan 5, 2026 at 8:29 AM Dylan Sellers &lt;dylan.sellers@observepoint.com&gt;
wrote:
&gt; Steve,
&gt;
&gt; I'm setting up a meeting with our engineer over SSO right now. I think
&gt; we're very close. I may ask you to run another test here shortly.
&gt;
&gt; On Mon, Jan 5, 2026 at 7:58 AM Steve Choi &lt;steve.choi@prudential.com&gt;
&gt; wrote:
&gt;
&gt;&gt; Hi Macey,
&gt;&gt;
&gt;&gt;
&gt;&gt;
&gt;&gt; Thanks.  </t>
  </si>
  <si>
    <t>19b953a59da29837</t>
  </si>
  <si>
    <t>Macey Bell &lt;macey.bell@observepoint.com&gt;, "john.davis@observepoint.com" &lt;john.davis@observepoint.com&gt;, Lalitha Kavutharapu &lt;lalitha.kavutharapu@prudential.com&gt;, ObservePoint AI from ObservePoint &lt;support@observepoint.com&gt;</t>
  </si>
  <si>
    <t>Hi Steve,
Can you test logging in to Observepoint? I think issue has been resolved, I was able to login. Thanks!
Robert
From: Dylan Sellers &lt;dylan.sellers@observepoint.com&gt;
Sent: Monday, January 5, 2026 12:05 PM
To: Steve Choi &lt;steve.choi@prudential.com&gt;
Cc: Macey Bell &lt;macey.bell@observepoint.com&gt;; john.davis@observepoint.com; Robert Ernest &lt;robert.ernest@prudential.com&gt;; Lalitha Kavutharapu &lt;lalitha.kavutharapu@prudential.com&gt;; ObservePoint AI from ObservePoint &lt;support@observepo</t>
  </si>
  <si>
    <t>19b953fad6158c29</t>
  </si>
  <si>
    <t>I can login.  Thanks for your help.
From: Robert Ernest &lt;robert.ernest@prudential.com&gt;
Sent: Tuesday, January 6, 2026 4:33 PM
To: dylan.sellers@observepoint.com; Steve Choi &lt;steve.choi@prudential.com&gt;
Cc: Macey Bell &lt;macey.bell@observepoint.com&gt;; john.davis@observepoint.com; Lalitha Kavutharapu &lt;lalitha.kavutharapu@prudential.com&gt;; ObservePoint AI from ObservePoint &lt;support@observepoint.com&gt;
Subject: RE: ObservePoint login issue - Expired Certificate
Hi Steve,
Can you test logging i</t>
  </si>
  <si>
    <t>19b95506b06f9f57</t>
  </si>
  <si>
    <t>Robert Ernest &lt;robert.ernest@prudential.com&gt;, Macey Bell &lt;macey.bell@observepoint.com&gt;, "john.davis@observepoint.com" &lt;john.davis@observepoint.com&gt;, Lalitha Kavutharapu &lt;lalitha.kavutharapu@prudential.com&gt;, ObservePoint AI from ObservePoint &lt;support@observepoint.com&gt;</t>
  </si>
  <si>
    <t>Awesome. Thanks everyone!
On Tue, Jan 6, 2026 at 2:38 PM Steve Choi &lt;steve.choi@prudential.com&gt; wrote:
&gt; I can login.  Thanks for your help.
&gt;
&gt;
&gt;
&gt; *From:* Robert Ernest &lt;robert.ernest@prudential.com&gt;
&gt; *Sent:* Tuesday, January 6, 2026 4:33 PM
&gt; *To:* dylan.sellers@observepoint.com; Steve Choi &lt;
&gt; steve.choi@prudential.com&gt;
&gt; *Cc:* Macey Bell &lt;macey.bell@observepoint.com&gt;;
&gt; john.davis@observepoint.com; Lalitha Kavutharapu &lt;
&gt; lalitha.kavutharapu@prudential.com&gt;; ObservePoint AI</t>
  </si>
  <si>
    <t>19bbd03a5408fedb</t>
  </si>
  <si>
    <t>Hi Robert,
I can login to ObservePoint but others are having issues.  Can you help?  Thanks.
[cid:image001.png@01DC853C.44725DB0]
From: Robert Ernest &lt;robert.ernest@prudential.com&gt;
Sent: Tuesday, January 6, 2026 4:33 PM
To: dylan.sellers@observepoint.com; Steve Choi &lt;steve.choi@prudential.com&gt;
Cc: Macey Bell &lt;macey.bell@observepoint.com&gt;; john.davis@observepoint.com; Lalitha Kavutharapu &lt;lalitha.kavutharapu@prudential.com&gt;; ObservePoint AI from ObservePoint &lt;support@observepoint.com&gt;</t>
  </si>
  <si>
    <t>19bbd040d3297fe1</t>
  </si>
  <si>
    <t>robert.ernest@prudential.com, dylan.sellers@observepoint.com, macey.bell@observepoint.com, john.davis@observepoint.com, lalitha.kavutharapu@prudential.com</t>
  </si>
  <si>
    <t>Re: RE: ObservePoint login issue - Expired Certificate</t>
  </si>
  <si>
    <t xml:space="preserve"> 
#66970449: RE: ObservePoint login issue - Expired Certificate 
Submitted 
We'll pick up your ticket soon 
Hi Robert, I can login to ObservePoint but others are having issues. Can 
you help? Thanks. *From:* Robert Ernest &lt;robert.ernest@prudential.com&gt; 
*Sent:* Tuesday, January 6, 2026 4:33 PM
*To:* dylan.sellers@observepoint.com; Steve Choi &lt;steve.choi@prudential.com&gt;
*Cc:* Macey Bell &lt;macey.bell@observepoint.com&gt;; 
john.davis@observepoint.com; Lalitha Kavutharapu 
&lt;lalitha.kavutharapu@prudent</t>
  </si>
  <si>
    <t>19bbd0c67ef9c535</t>
  </si>
  <si>
    <t>Steve Choi &lt;steve.choi@prudential.com&gt;, "dylan.sellers@observepoint.com" &lt;dylan.sellers@observepoint.com&gt;</t>
  </si>
  <si>
    <t xml:space="preserve">Hi Steve,
The user is not yet added to any AD Groups for Observepoint that’s why he cannot SSO into OP.
Kindly submit a Sailpoint request to add him to any of these groups:
GT-ACC_OBSERVEPOINT_ADMIN
GT-ACC_OBSERVEPOINT_PRUDENTIAL_STANDARD
GT-ACC_OBSERVEPOINT_PRUDENTIAL_READONLY
GT-ACC_OBSERVEPOINT_PGIM_STANDARD
GT-ACC_OBSERVEPOINT_PGIM_READONLY
Once added, he can try logging in again. Thanks!
Robert
From: Steve Choi &lt;steve.choi@prudential.com&gt;
Sent: Wednesday, January 14, </t>
  </si>
  <si>
    <t>19bbd105a636f568</t>
  </si>
  <si>
    <t>Robert Ernest &lt;robert.ernest@prudential.com&gt;, "dylan.sellers@observepoint.com" &lt;dylan.sellers@observepoint.com&gt;, Shaban Sadiqyar &lt;shaban.sadiqyar@prudential.com&gt;, Maximilian Stefani &lt;maximilian.stefani@prudential.com&gt;, Prabhu Biradar &lt;prabhugouda.biradar@prudential.com&gt;, Rathna Chinnappa &lt;rathna.chinnappa@prudential.com&gt;</t>
  </si>
  <si>
    <t>@Shaban Sadiqyar&lt;mailto:shaban.sadiqyar@prudential.com&gt; and OneTrust team,
Please see below about ObservePoint login.
Thanks,
Steve
From: Robert Ernest &lt;robert.ernest@prudential.com&gt;
Sent: Wednesday, January 14, 2026 10:08 AM
To: Steve Choi &lt;steve.choi@prudential.com&gt;; dylan.sellers@observepoint.com
Cc: Macey Bell &lt;macey.bell@observepoint.com&gt;; john.davis@observepoint.com; Lalitha Kavutharapu &lt;lalitha.kavutharapu@prudential.com&gt;; ObservePoint AI from ObservePoint &lt;support@observep</t>
  </si>
  <si>
    <t>19b51159590d5b6f</t>
  </si>
  <si>
    <t>John Davis &lt;john.davis@observepoint.com&gt;, Macey Bell &lt;macey.bell@observepoint.com&gt;, Dylan Sellers &lt;dylan.sellers@observepoint.com&gt;, "support@observepoint.com" &lt;support@observepoint.com&gt;</t>
  </si>
  <si>
    <t>ObservePoint login issue, Another Audit of All Prudential &amp; PGIM URLs before Dec 31</t>
  </si>
  <si>
    <t>Hi John,
I can't login to ObservePoint.  I get this message.  Can you help?
Also how many remaining URLs do we have left to scan before end of this year?  Can we run another master audit of all Prudential.com and PGIM URLs on December 29th if we have enough URLs to run?  We can use previous master lists and break out the scans into different domains like before.  Thanks.
[cid:image001.png@01DC74C3.B7C07380]
From: John Davis &lt;john.davis@observepoint.com&gt;
Sent: Monday, December 22, 20</t>
  </si>
  <si>
    <t>19b5115f9dfcc877</t>
  </si>
  <si>
    <t>Re: ObservePoint login issue, Another Audit of All Prudential &amp; PGIM URLs before Dec 31</t>
  </si>
  <si>
    <t xml:space="preserve"> 
#62756569: ObservePoint login issue, Another Audit of All Prudential &amp; PGIM 
URLs before Dec 31 
Submitted 
We'll pick up your ticket soon 
Hi John, I can’t login to ObservePoint. I get this message. Can you help? 
Also how many remaining URLs do we have left to scan before end of this 
year? Can we run another master audit of all Prudential.com and PGIM URLs 
on December 29th if we have enough URLs to run? We can use previous master 
lists and break out the scans into different domains like </t>
  </si>
  <si>
    <t>19b51226f5e3b90e</t>
  </si>
  <si>
    <t>steve.choi@prudential.com, john.davis@observepoint.com, macey.bell@observepoint.com</t>
  </si>
  <si>
    <t xml:space="preserve">Steve,
Could your certificate have expired? This commonly occurs on the
anniversary of implementing SSO. Usually your team can just send us a new
certificate and we can fix it right away.
Our support team should be responsive while John and I are on a holiday
shutdown.
On Wed, Dec 24, 2025 at 8:59 AM ObservePoint AI from ObservePoint &lt;
support@observepoint.com&gt; wrote:
&gt; #62756569: ObservePoint login issue, Another Audit of All Prudential &amp;
&gt; PGIM URLs before Dec 31
&gt; Submitted
</t>
  </si>
  <si>
    <t>19b512af0e9474e5</t>
  </si>
  <si>
    <t>ObservePoint AI from ObservePoint &lt;support@observepoint.com&gt;, Steve Choi &lt;steve.choi@prudential.com&gt;, Macey Bell &lt;macey.bell@observepoint.com&gt;</t>
  </si>
  <si>
    <t>Hey Steve,
We're off between Christmas and New Year's but I should be able to look
into doing that scan after Christmas. I will set a reminder for myself.
Merry Christmas!
*Regards, *
John Davis *   |    * *Customer Success Manager*
Cell: 801.633.6013
john.davis@observepoint.com
www.observepoint.com
&lt;https://groove.grvlnk4.com/url/typa6byifukvbtijwod94/aHR0cDovL3d3dy5vYnNlcnZlcG9pbnQuY29tLyNncm9vdmVzdW06LTc2MTEwNTM3MA%3D%3D&gt;
On Wed, Dec 24, 2025, 9:12 AM Dylan Sellers &lt;dyla</t>
  </si>
  <si>
    <t>19b512c344c37003</t>
  </si>
  <si>
    <t>"dylan.sellers@observepoint.com" &lt;dylan.sellers@observepoint.com&gt;, ObservePoint AI from ObservePoint &lt;support@observepoint.com&gt;</t>
  </si>
  <si>
    <t>"john.davis@observepoint.com" &lt;john.davis@observepoint.com&gt;, "macey.bell@observepoint.com" &lt;macey.bell@observepoint.com&gt;</t>
  </si>
  <si>
    <t>RE: ObservePoint login issue, Another Audit of All Prudential &amp; PGIM URLs before Dec 31</t>
  </si>
  <si>
    <t>I will ask our team about the certificate.
Meanwhile, can your Support team help with this…
How many remaining URLs do we have left to scan before end of 2025?  Can we run another master audit of all Prudential.com and PGIM URLs on December 29th if we have enough URLs to run?  We can use previous master lists and break out the scans into different domains like before.
I can’t login so I don’t remember exactly when we ran the master scans.  Can I jump on a quick call with Support team so</t>
  </si>
  <si>
    <t>19b512ed7bc81760</t>
  </si>
  <si>
    <t>John Davis &lt;john.davis@observepoint.com&gt;, Dylan Sellers &lt;dylan.sellers@observepoint.com&gt;</t>
  </si>
  <si>
    <t>ObservePoint AI from ObservePoint &lt;support@observepoint.com&gt;, Macey Bell &lt;macey.bell@observepoint.com&gt;</t>
  </si>
  <si>
    <t xml:space="preserve">Hey John,
Thanks for your help.
How many remaining URLs do we have left to scan before end of 2025?  Can we run another master audit of all Prudential.com and PGIM URLs on December 29th if we have enough URLs to run?  We can use previous master lists and break out the scans into different domains like before.
I can’t login so I don’t remember exactly when we ran the master scans for these URLs.  Can you and I jump on a quick call so you can do screenshare?  I want to ensure you run the </t>
  </si>
  <si>
    <t>19b53f099915f7c3</t>
  </si>
  <si>
    <t>John Davis &lt;john.davis@observepoint.com&gt;, Dylan Sellers &lt;dylan.sellers@observepoint.com&gt;, ObservePoint AI from ObservePoint &lt;support@observepoint.com&gt;</t>
  </si>
  <si>
    <t>Hey Steve! You have roughly 15k left. It may be just short of what is
needed to run all the master audits for both sites.
On Wed, Dec 24, 2025 at 9:26 AM Steve Choi &lt;steve.choi@prudential.com&gt;
wrote:
&gt; Hey John,
&gt;
&gt;
&gt;
&gt; Thanks for your help.
&gt;
&gt;
&gt;
&gt; How many remaining URLs do we have left to scan before end of 2025?  Can
&gt; we run another master audit of all Prudential.com and PGIM URLs on December
&gt; 29th if we have enough URLs to run?  We can use previous master lists and
&gt; br</t>
  </si>
  <si>
    <t>19b5b472fccb9a92</t>
  </si>
  <si>
    <t xml:space="preserve">Hey Macey,
PGIM – 4,940 URLs (see attached)
Pru.com – 10,140 URLs (see attached)
Total – 15,080 URLs
Can you tell me exactly how many URLs we have left to scan before December 31, 2025?  If just short, I can tell you which audits not to re-run since the audits were split by domains.
Since I can’t login to ObservePoint platform and see the master audits that were done before, can you share screenshots of the master audits that were done for Prudential.com and PGIM (I need to see the # </t>
  </si>
  <si>
    <t>19b5b8f4ab0ceea0</t>
  </si>
  <si>
    <t>Macey Bell &lt;macey.bell@observepoint.com&gt;, John Davis &lt;john.davis@observepoint.com&gt;, ObservePoint AI from ObservePoint &lt;support@observepoint.com&gt;</t>
  </si>
  <si>
    <t xml:space="preserve">Steve,
You have 10671 page scans left in the current contract period.
[image: Screenshot 2025-12-26 at 9.47.08 AM.png]
On Fri, Dec 26, 2025 at 8:29 AM Steve Choi &lt;steve.choi@prudential.com&gt;
wrote:
&gt; Hey Macey,
&gt;
&gt;
&gt;
&gt; PGIM – 4,940 URLs (see attached)
&gt;
&gt; Pru.com – 10,140 URLs (see attached)
&gt;
&gt; Total – 15,080 URLs
&gt;
&gt;
&gt;
&gt; Can you tell me exactly how many URLs we have left to scan before December
&gt; 31, 2025?  If just short, I can tell you which audits not to re-run since
</t>
  </si>
  <si>
    <t>19b5bb9ed1eef131</t>
  </si>
  <si>
    <t>"dylan.sellers@observepoint.com" &lt;dylan.sellers@observepoint.com&gt;</t>
  </si>
  <si>
    <t>Can you send me screenshot of the master audits of Prudential.com and PGIM URLs that ran before?  They were broken out into 15-20 scans based on the domains.
I can't login so if you send the screenshots, I can tell you which audits to re-run before December 31. Macey will know about this.
Thanks,
Steve
________________________________
From: Dylan Sellers &lt;dylan.sellers@observepoint.com&gt;
Sent: Friday, December 26, 2025 11:47:42 AM
To: Steve Choi &lt;steve.choi@prudential.com&gt;
Cc: Macey</t>
  </si>
  <si>
    <t>19b5be16617d3b6a</t>
  </si>
  <si>
    <t>"dylan.sellers@observepoint.com" &lt;dylan.sellers@observepoint.com&gt;, John Davis &lt;john.davis@observepoint.com&gt;, ObservePoint AI from ObservePoint &lt;support@observepoint.com&gt;</t>
  </si>
  <si>
    <t>The PGIM master audit was one scan and I reran that one for you which was
about 5000 or so pages. Here is a full page screenshot of your account and
you should be able to zoom into the prudential folder to confirm which of
those audits you'd also like to run.
On Fri, Dec 26, 2025 at 10:34 AM Steve Choi &lt;steve.choi@prudential.com&gt;
wrote:
&gt; Can you send me screenshot of the master audits of Prudential.com and PGIM
&gt; URLs that ran before?  They were broken out into 15-20 scans base</t>
  </si>
  <si>
    <t>19b5be1ba0a77b1f</t>
  </si>
  <si>
    <t>[image: screencapture-app-observepoint-sources-2025-12-26-11_15_45.png]
On Fri, Dec 26, 2025 at 11:17 AM Macey Bell &lt;macey.bell@observepoint.com&gt;
wrote:
&gt; The PGIM master audit was one scan and I reran that one for you which was
&gt; about 5000 or so pages. Here is a full page screenshot of your account and
&gt; you should be able to zoom into the prudential folder to confirm which of
&gt; those audits you'd also like to run.
&gt;
&gt;
&gt;
&gt;
&gt; On Fri, Dec 26, 2025 at 10:34 AM Steve Choi &lt;steve.c</t>
  </si>
  <si>
    <t>19b6c0a8d178bc2f</t>
  </si>
  <si>
    <t>Hi Macey,
Just to make sure I understand.  Did you run another PGIM master audit of 5000 URLs past few days?  If so, I should have about 5000 page scan left before this Wednesday December 31, 2025.   Can you re-run these 3 Prudential.com scans before end of this year?  Thanks
[cid:image003.png@01DC78DF.80B1AC40]  [cid:image004.png@01DC78E0.3F904860]     [cid:image005.png@01DC78E1.3CC79600]
From: Macey Bell &lt;macey.bell@observepoint.com&gt;
Sent: Friday, December 26, 2025 1:18 PM
To: Steve</t>
  </si>
  <si>
    <t>19b71310178c53bf</t>
  </si>
  <si>
    <t>Dylan Sellers &lt;dylan.sellers@observepoint.com&gt;, macey.bell@observepoint.com, Lalitha Kavutharapu &lt;lalitha.kavutharapu@prudential.com&gt;, Robert Ernest &lt;robert.ernest@prudential.com&gt;, "[not provided]" &lt;john.davis@observepoint.com&gt;</t>
  </si>
  <si>
    <t>Hi Steve, 
 As an immediate resolution, I have deactivated the SSO for your account. You should now be able to log in to app.observepoint.com after resetting the password for your work email address. 
 The company's first day of work will be on 2nd January, and you can schedule a call to debug this issue. 
 Best regards, 
 Adrian</t>
  </si>
  <si>
    <t>19b71312ae8c102e</t>
  </si>
  <si>
    <t>john.davis@observepoint.com, macey.bell@observepoint.com, dylan.sellers@observepoint.com, robert.ernest@prudential.com, lalitha.kavutharapu@prudential.com</t>
  </si>
  <si>
    <t xml:space="preserve"> 
#62756569: ObservePoint login issue, Another Audit of All Prudential &amp; PGIM 
URLs before Dec 31 
In progress 
We're working on your ticket 
Hi John, I can’t login to ObservePoint. I get this message. Can you help? 
Also how many remaining URLs do we have left to scan before end of this 
year? Can we run another master audit of all Prudential.com and PGIM URLs 
on December 29th if we have enough URLs to run? We can use previous master 
lists and break out the scans into different domains like </t>
  </si>
  <si>
    <t>19b98bb0c5386545</t>
  </si>
  <si>
    <t>john.davis@observepoint.com, macey.bell@observepoint.com, dylan.sellers@observepoint.com, robert.ernest@prudential.com, lalitha.kavutharapu@prudential.com, raymund.oba@prudential.com, baijnath.gupta@prudential.com</t>
  </si>
  <si>
    <t xml:space="preserve"> 
#62756569: ObservePoint login issue, Another Audit of All Prudential &amp; PGIM 
URLs before Dec 31 
Resolved 
We've completed your ticket 
Hi John, I can’t login to ObservePoint. I get this message. Can you help? 
Also how many remaining URLs do we have left to scan before end of this 
year? Can we run another master audit of all Prudential.com and PGIM URLs 
on December 29th if we have enough URLs to run? We can use previous master 
lists and break out the scans into different domains like befo</t>
  </si>
  <si>
    <t>19b47c023b60cb60</t>
  </si>
  <si>
    <t>Steve Choi &lt;steve.choi@prudential.com&gt;, Macey Bell &lt;macey.bell@observepoint.com&gt;, Dylan Sellers &lt;dylan.sellers@observepoint.com&gt;</t>
  </si>
  <si>
    <t>Hey Steve,
I just wanted to check in before our meeting this afternoon. I know Dylan
left you with some homework from our last meeting to check in with your
compliance team to get some more information and context about what exactly
they are expecting.
I also know it's also the holiday season so it can be hard to sync up with
folks, so were you able to do this? Or do you need more time?
Just wanted to make sure before we meet because that is the main priority
that we have on our si</t>
  </si>
  <si>
    <t>19b29459b057fc04</t>
  </si>
  <si>
    <t>Eric Nordin &lt;enordin@rdoffutt.com&gt;, Bradley Fergel &lt;bfergel@rdoffutt.com&gt;, Jordan Moore &lt;JLMoore@rdoffutt.com&gt;, Macey Bell &lt;macey.bell@observepoint.com&gt;</t>
  </si>
  <si>
    <t>rdoffutt.com, observepoint.com</t>
  </si>
  <si>
    <t>Setup Monthly Sync Up</t>
  </si>
  <si>
    <t>It was great to meet you all today, I look forward to working with you in
the future on your existing tags projects and new privacy projects.
Here are some available times that we could setup for monthly recurring
sync ups, feel free to grab one that works for everyone on your end:
Meeting length: 30 Minutes
Time Zone: (GMT-7) MST/Denver
Tue Jan 6 Wed Jan 7 Thu Jan 8 Fri Jan 9
 11:00  AM
&lt;https://observepoint.chilipiper.com/suggested-times/1a8b8305-382d-4a21-b04a-b86f2baa819c?slotSta</t>
  </si>
  <si>
    <t>19b24c161499d2f2</t>
  </si>
  <si>
    <t>Declined: ObservePoint | Prudential Sync</t>
  </si>
  <si>
    <t>19b24c1043e94118</t>
  </si>
  <si>
    <t>Baijnath Gupta &lt;baijnath.gupta@prudential.com&gt;, Prabhu Biradar &lt;prabhugouda.biradar@prudential.com&gt;, Maximilian Stefani &lt;maximilian.stefani@prudential.com&gt;, Rathna Chinnappa &lt;rathna.chinnappa@prudential.com&gt;, John Davis &lt;john.davis@observepoint.com&gt;, Jarrod Wilbur &lt;jarrod.wilbur@observepoint.com&gt;, Macey Bell &lt;macey.bell@observepoint.com&gt;, Dallin Madsen &lt;dallin.madsen@observepoint.com&gt;</t>
  </si>
  <si>
    <t>Can we discuss below?  I need to respond to Compliance questions (highlighted in blue)
     *   Pages that load ad trackers - Ad Trackers have consent mode enabled.  Similar to Google Consent Mode, trackers are firing but cookies are getting suppressed.  According to ObservePoint, that is a failure.  Google introduced Consent Mode Version 2.0 which provides personalization consent signals.  This is currently not implemented on our side and we will implement it to start complying with the ad</t>
  </si>
  <si>
    <t>19b247fd3c23ad91</t>
  </si>
  <si>
    <t>John Davis &lt;john.davis@observepoint.com&gt;, Jarrod Wilbur &lt;jarrod.wilbur@observepoint.com&gt;, Macey Bell &lt;macey.bell@observepoint.com&gt;, Dallin Madsen &lt;dallin.madsen@observepoint.com&gt;</t>
  </si>
  <si>
    <t>FW: ObservePoint Report Card</t>
  </si>
  <si>
    <t xml:space="preserve">John/Jarrod,
Are you free 12:30-2pm ET tomorrow, Tuesday 12/16?
We need to respond to Compliance (their questions are in blue below) and some need your help.  ObservePoint report card is giving us a lot of headache.
Thanks,
Steve
From: Kelly Williams &lt;kelly.1.williams@prudential.com&gt;
Sent: Monday, December 15, 2025 4:43 PM
To: Steve Choi &lt;steve.choi@prudential.com&gt;; Mike Vance &lt;michael.vance@prudential.com&gt;; Maximilian Stefani &lt;maximilian.stefani@prudential.com&gt;; Baijnath Gupta </t>
  </si>
  <si>
    <t>19b248419d3a8d34</t>
  </si>
  <si>
    <t>RE: ObservePoint Report Card</t>
  </si>
  <si>
    <t xml:space="preserve">Hi John/Jarrod,
Are you free at 10:30am ET tomorrow Tuesday to discuss below?  That time is best for us.  If not, how about 12:30-2pm ET tomorrow?
Thanks,
Steve
From: Steve Choi &lt;steve.choi@prudential.com&gt;
Sent: Monday, December 15, 2025 7:12 PM
To: John Davis &lt;john.davis@observepoint.com&gt;; Jarrod Wilbur &lt;jarrod.wilbur@observepoint.com&gt;; Macey Bell &lt;macey.bell@observepoint.com&gt;; Dallin Madsen &lt;dallin.madsen@observepoint.com&gt;
Subject: FW: ObservePoint Report Card
John/Jarrod,
</t>
  </si>
  <si>
    <t>19b2499c4ec212d5</t>
  </si>
  <si>
    <t>Jarrod Wilbur &lt;jarrod.wilbur@observepoint.com&gt;, Macey Bell &lt;macey.bell@observepoint.com&gt;, Dallin Madsen &lt;dallin.madsen@observepoint.com&gt;</t>
  </si>
  <si>
    <t>Re: ObservePoint Report Card</t>
  </si>
  <si>
    <t xml:space="preserve">I'm not sure if Jarrod can join but I scheduled a 30 min meeting tomorrow
at 1:30pm Eastern Time. Let me know if that works for you, thanks!
*Regards, *
John Davis *   |    * *Customer Success Manager*
Cell: 801.633.6013
john.davis@observepoint.com
www.observepoint.com
&lt;https://groove.grvlnk4.com/url/typa6byifukvbtijwod94/aHR0cDovL3d3dy5vYnNlcnZlcG9pbnQuY29tLyNncm9vdmVzdW06LTc2MTEwNTM3MA%3D%3D&gt;
On Mon, Dec 15, 2025, 5:16 PM Steve Choi &lt;steve.choi@prudential.com&gt; wrote:
&gt; Hi </t>
  </si>
  <si>
    <t>19b24a01ddd652b8</t>
  </si>
  <si>
    <t>Can you do 10:30am ET tomorrow?  That is better time for me.  I can also send invite and invite few Prudential folks.
Thanks,
Steve
From: John Davis &lt;john.davis@observepoint.com&gt;
Sent: Monday, December 15, 2025 7:40 PM
To: Steve Choi &lt;steve.choi@prudential.com&gt;
Cc: Jarrod Wilbur &lt;jarrod.wilbur@observepoint.com&gt;; Macey Bell &lt;macey.bell@observepoint.com&gt;; Dallin Madsen &lt;dallin.madsen@observepoint.com&gt;
Subject: Re: ObservePoint Report Card
I'm not sure if Jarrod can join but I sched</t>
  </si>
  <si>
    <t>19b24ac66e6b1259</t>
  </si>
  <si>
    <t>I can't do that time unfortunately and Jarrod has the entire day blocked
off so I am guessing that he is off on PTO tomorrow.
*Regards, *
John Davis *   |    * *Customer Success Manager*
Cell: 801.633.6013
john.davis@observepoint.com
www.observepoint.com
&lt;https://groove.grvlnk4.com/url/typa6byifukvbtijwod94/aHR0cDovL3d3dy5vYnNlcnZlcG9pbnQuY29tLyNncm9vdmVzdW06LTc2MTEwNTM3MA%3D%3D&gt;
On Mon, Dec 15, 2025, 5:47 PM Steve Choi &lt;steve.choi@prudential.com&gt; wrote:
&gt; Can you do 10:30am</t>
  </si>
  <si>
    <t>19b24c1dede1f3b5</t>
  </si>
  <si>
    <t>I sent invite for 1:30pm ET tomorrow.  Talk to you then.
From: John Davis &lt;john.davis@observepoint.com&gt;
Sent: Monday, December 15, 2025 8:01 PM
To: Steve Choi &lt;steve.choi@prudential.com&gt;
Cc: Jarrod Wilbur &lt;jarrod.wilbur@observepoint.com&gt;; Macey Bell &lt;macey.bell@observepoint.com&gt;; Dallin Madsen &lt;dallin.madsen@observepoint.com&gt;
Subject: Re: ObservePoint Report Card
I can't do that time unfortunately and Jarrod has the entire day blocked off so I am guessing that he is off on PTO tomorrow</t>
  </si>
  <si>
    <t>19b241555262f0f3</t>
  </si>
  <si>
    <t>Technology Renewals &lt;technologyrenewals@prudential.com&gt;, Lalitha Kavutharapu &lt;lalitha.kavutharapu@prudential.com&gt;, Dallin Madsen &lt;dallin.madsen@observepoint.com&gt;, John Davis &lt;john.davis@observepoint.com&gt;</t>
  </si>
  <si>
    <t>Emily Owens &lt;emily.owens@prudential.com&gt;</t>
  </si>
  <si>
    <t>ObservePoint Renewal</t>
  </si>
  <si>
    <t xml:space="preserve">Hi Dallin/John,
Can you send the Order Form/Invoice for 2026 renewal?
Thanks,
Steve
</t>
  </si>
  <si>
    <t>19b24c9608e8e948</t>
  </si>
  <si>
    <t>Technology Renewals &lt;technologyrenewals@prudential.com&gt;, Lalitha Kavutharapu &lt;lalitha.kavutharapu@prudential.com&gt;, John Davis &lt;john.davis@observepoint.com&gt;, Emily Owens &lt;emily.owens@prudential.com&gt;, "Vaibhav.3 Sharma" &lt;vaibhav.3.sharma@prudential.com&gt;</t>
  </si>
  <si>
    <t>Re: ObservePoint Renewal</t>
  </si>
  <si>
    <t>Hey all!
Consolidating the thread for the renewal here.
The contract has auto-renewed on the same terms of conditions (per the
master service agreement).
You will receive an invoice from our billing department in the next week
which will contain the billing information required for raising a purchase
order.
Best!
Dallin Madsen   |     Account Executive
801.850.3709
dallin.madsen@observepoint.com
Schedule A Meeting With Me
On Mon, Dec 15, 2025 at 5:</t>
  </si>
  <si>
    <t>19b2746cc77da990</t>
  </si>
  <si>
    <t>Lalitha Kavutharapu &lt;lalitha.kavutharapu@prudential.com&gt;, John Davis &lt;john.davis@observepoint.com&gt;, Emily Owens &lt;emily.owens@prudential.com&gt;, Vaibhav Sharma &lt;vaibhav.3.sharma@prudential.com&gt;, Steve Choi &lt;steve.choi@prudential.com&gt;</t>
  </si>
  <si>
    <t>RE: ObservePoint Renewal</t>
  </si>
  <si>
    <t>Hello Dallin,
Thank you for the update. We look forward to receiving the invoice and proceeding accordingly.
Feel free to reach out if you have any questions.
Nishant Kumar
Technology Renewals
Global Sourcing &amp; Procurement
technologyrenewals@prudential.com&lt;mailto:technologyrenewals@prudential.com&gt;
[A black background with blue text  AI-generated content may be incorrect.]
From: Dallin Madsen &lt;dallin.madsen@observepoint.com&gt;
Sent: Tuesday, December 16, 2025 1:32 AM
To: Steve Cho</t>
  </si>
  <si>
    <t>19b23f2b71336bad</t>
  </si>
  <si>
    <t>RE: ObservePoint | Prudential Sync</t>
  </si>
  <si>
    <t>Sorry.  In another call.  Can we reschedule?  Any availability tomorrow, Tues or Wed?
Thanks,
steve
-----Original Appointment-----
From: John Davis &lt;john.davis@observepoint.com&gt;
Sent: Friday, December 12, 2025 4:59 PM
To: John Davis; Steve Choi; Macey Bell
Subject: ObservePoint | Prudential Sync
When: Monday, December 15, 2025 2:30 PM-3:00 PM America/Denver.
Where:
ObservePoint | Prudential Sync
Lets chat about Dylan's findings from last week and also automated scheduled rep</t>
  </si>
  <si>
    <t>19b24432918dca6d</t>
  </si>
  <si>
    <t>Re: ObservePoint | Prudential Sync</t>
  </si>
  <si>
    <t>Yes not a problem, here are some available times for Macey and I, go ahead
and grab one that works for you, thanks!
Meeting length: 30 Minutes
Time Zone: (GMT-7) MST/Denver
Tue Dec 16 Wed Dec 17 Thu Dec 18 Fri Dec 19
 11:30  AM
&lt;https://observepoint.chilipiper.com/suggested-times/c49e27b1-b6eb-449e-ab8e-d3df43529320?slotStartsAt=2025-12-16T18:30:00.000Z&gt;
 2:00  PM
&lt;https://observepoint.chilipiper.com/suggested-times/c49e27b1-b6eb-449e-ab8e-d3df43529320?slotStartsAt=2025-12-17T21:00:00.</t>
  </si>
  <si>
    <t>19b23b4b2f46e9a1</t>
  </si>
  <si>
    <t>19b22cb704f00347</t>
  </si>
  <si>
    <t xml:space="preserve">
[image: ObservePoint Logo_Gray_ON_YEllow_LOGO.jpeg]
A friendly reminder that it's time to renew.
Hi Jose,
Thank you for being an ObservePoint customer!
This is an automated notification to let you know that the end of your 
current term is* March 15, 2026*.
We know approval and procurement processes can take time, and we want to 
avoid any interruption of service, hence we are reaching out now.
Please reach out to your account team if you have any questions, or if you 
anticipate any c</t>
  </si>
  <si>
    <t>19b22cb714e9b812</t>
  </si>
  <si>
    <t xml:space="preserve">
[image: ObservePoint Logo_Gray_ON_YEllow_LOGO.jpeg]
A friendly reminder that it's time to renew.
Hi Sabrina,
Thank you for being an ObservePoint customer!
This is an automated notification to let you know that the end of your 
current term is* March 15, 2026*.
We know approval and procurement processes can take time, and we want to 
avoid any interruption of service, hence we are reaching out now.
Please reach out to your account team if you have any questions, or if you 
anticipate an</t>
  </si>
  <si>
    <t>19b14930e0ac4398</t>
  </si>
  <si>
    <t>prvs=4347a176c=steve.choi@prudential.com</t>
  </si>
  <si>
    <t>Happy Holidays Re: Accepted: Meeting with John</t>
  </si>
  <si>
    <t>19b1493094d828c3</t>
  </si>
  <si>
    <t>19b0f53f21c70b1d</t>
  </si>
  <si>
    <t>Accepted: ObservePoint | Questrade Bi-Weekly Syncup @ Every 2 weeks from 1pm to 1:30pm on Monday (MST) (john.davis@observepoint.com)</t>
  </si>
  <si>
    <t>Winnie Ho has accepted this invitation.
ObservePoint | Questrade Bi-Weekly Syncup
Every 2 weeks from 1pm to 1:30pm on Monday
Mountain Time - Denver
Location
https://observepoint.zoom.us/j/93559561258	
https://www.google.com/url?q=https%3A%2F%2Fobservepoint.zoom.us%2Fj%2F93559561258&amp;sa=D&amp;source=calendar&amp;ust=1765920660000000&amp;usg=AOvVaw3eP95zMufTjbfEj4ot4oeO
Looking forward to connecting.
If you need to reschedule, please use the link:  
https://observepoint.chilipiper.com/resche</t>
  </si>
  <si>
    <t>19b0f4998f5ae22e</t>
  </si>
  <si>
    <t>Declined: ObservePoint | Questrade Bi-Weekly Syncup @ Mon Feb 2, 2026 1pm - 1:30pm (MST) (john.davis@observepoint.com)</t>
  </si>
  <si>
    <t xml:space="preserve">Winnie Ho has declined this invitation with a note:
"Declined because I am out of office"
ObservePoint | Questrade Bi-Weekly Syncup
Monday Feb 2, 2026 ⋅ 1pm – 1:30pm
Mountain Time - Denver
Location
https://observepoint.zoom.us/j/93559561258	
https://www.google.com/url?q=https%3A%2F%2Fobservepoint.zoom.us%2Fj%2F93559561258&amp;sa=D&amp;source=calendar&amp;ust=1765920000000000&amp;usg=AOvVaw3rcBYjysTXU2RsnNseR15G
Looking forward to connecting.
If you need to reschedule, please use the link:  
</t>
  </si>
  <si>
    <t>19b0ea78a871ab99</t>
  </si>
  <si>
    <t>John Davis &lt;john.davis@observepoint.com&gt;, who@questrade.com, rchau@questrade.com</t>
  </si>
  <si>
    <t>Updated invitation: ObservePoint | Questrade - New CSM Instroduction @ Thu Dec 11, 2025 1:30pm - 2pm (MST) (John Davis)</t>
  </si>
  <si>
    <t>This event has been updated
Changed: conferencing
ObservePoint | Questrade - New CSM Instroduction
Thursday Dec 11, 2025 ⋅ 1:30pm – 2pm
Mountain Time - Denver
Join Zoom Meeting
https://observepoint.zoom.us/j/3742631971?pwd=Z2JhWG1yV1ZtOVBnMVZaRDR0bjVDZz09&amp;omn=96475730772&amp;jst=2
Join by phone
(US) +1 888-788-0099
passcode: 318688
Joining instructions
https://www.google.com/url?q=https://applications.zoom.us/addon/invitation/detail?meetingUuid%3DFMFYwiSkS3OiM31zaX5IUQ%253D%</t>
  </si>
  <si>
    <t>19b050ce521c9ba3</t>
  </si>
  <si>
    <t>Steve Choi &lt;steve.choi@prudential.com&gt;, rathna.chinnappa@prudential.com, prabhugouda.biradar@prudential.com, maximilian.stefani@prudential.com, baijnath.gupta@prudential.com</t>
  </si>
  <si>
    <t>Dallin Madsen &lt;dallin.madsen@observepoint.com&gt;, Jarrod Wilbur &lt;jarrod.wilbur@observepoint.com&gt;, John Davis &lt;john.davis@observepoint.com&gt;, Macey Bell &lt;macey.bell@observepoint.com&gt;</t>
  </si>
  <si>
    <t>ObservePoint's findings from prudential.com cookie banner testing</t>
  </si>
  <si>
    <t>Hi Team,
Here's my analysis from running tests today, supported with video clips
intended to make it easier for you to reproduce the tests that we are
running. I also intend for it to be educational.
This is NOT what I suggest you forward to your compliance team, but rather, *I
suggest you review the videos in their entirety and discuss internally
first*. Maybe you have a concern with our test methodology or have
questions.
PLEASE challenge our research to make sure we aren't missi</t>
  </si>
  <si>
    <t>19b08b75e98d3e47</t>
  </si>
  <si>
    <t>"dylan.sellers@observepoint.com" &lt;dylan.sellers@observepoint.com&gt;, Rathna Chinnappa &lt;rathna.chinnappa@prudential.com&gt;, Prabhu Biradar &lt;prabhugouda.biradar@prudential.com&gt;, Maximilian Stefani &lt;maximilian.stefani@prudential.com&gt;, Baijnath Gupta &lt;baijnath.gupta@prudential.com&gt;</t>
  </si>
  <si>
    <t>RE: ObservePoint's findings from prudential.com cookie banner testing</t>
  </si>
  <si>
    <t>Thanks, Dylan.  Probably too much details for Compliance.  We will need to edit it.
@Maximilian Stefani&lt;mailto:maximilian.stefani@prudential.com&gt; and @Baijnath Gupta&lt;mailto:baijnath.gupta@prudential.com&gt;
I will schedule a call for three of us to review.
Thanks,
Steve
From: Dylan Sellers &lt;dylan.sellers@observepoint.com&gt;
Sent: Tuesday, December 9, 2025 4:38 PM
To: Steve Choi &lt;steve.choi@prudential.com&gt;; Rathna Chinnappa &lt;rathna.chinnappa@prudential.com&gt;; Prabhu Biradar &lt;prabhugoud</t>
  </si>
  <si>
    <t>19b08e2e924f8296</t>
  </si>
  <si>
    <t>Rathna Chinnappa &lt;rathna.chinnappa@prudential.com&gt;, Prabhu Biradar &lt;prabhugouda.biradar@prudential.com&gt;, Maximilian Stefani &lt;maximilian.stefani@prudential.com&gt;, Baijnath Gupta &lt;baijnath.gupta@prudential.com&gt;, Dallin Madsen &lt;dallin.madsen@observepoint.com&gt;, Jarrod Wilbur &lt;jarrod.wilbur@observepoint.com&gt;, John Davis &lt;john.davis@observepoint.com&gt;, Macey Bell &lt;macey.bell@observepoint.com&gt;</t>
  </si>
  <si>
    <t>Re: ObservePoint's findings from prudential.com cookie banner testing</t>
  </si>
  <si>
    <t>Agreed.
Please let us know how we can help.
On Wed, Dec 10, 2025 at 7:43 AM Steve Choi &lt;steve.choi@prudential.com&gt;
wrote:
&gt; Thanks, Dylan.  Probably too much details for Compliance.  We will need to
&gt; edit it.
&gt;
&gt;
&gt;
&gt; @Maximilian Stefani &lt;maximilian.stefani@prudential.com&gt; and @Baijnath
&gt; Gupta &lt;baijnath.gupta@prudential.com&gt;
&gt;
&gt;
&gt;
&gt; I will schedule a call for three of us to review.
&gt;
&gt;
&gt;
&gt; Thanks,
&gt;
&gt;
&gt;
&gt; Steve
&gt;
&gt;
&gt;
&gt; *From:* Dylan Sellers &lt;dylan.sellers@observe</t>
  </si>
  <si>
    <t>19af000fd12f2246</t>
  </si>
  <si>
    <t>Maximilian Stefani &lt;maximilian.stefani@prudential.com&gt;, Baijnath Gupta &lt;baijnath.gupta@prudential.com&gt;, Rathna Chinnappa &lt;rathna.chinnappa@prudential.com&gt;, Prabhu Biradar &lt;prabhugouda.biradar@prudential.com&gt;, John Davis &lt;john.davis@observepoint.com&gt;</t>
  </si>
  <si>
    <t>Can we discuss below?  Thanks.
Hi All-
Thanks very much for the time today and the additional information/research on the attached report card. As mentioned in our meeting, we will want to go about formally documenting the inaccuracies and additional context needed for this report card. Here are follow up actions for the group:
  *   Provide email summary/evidence to the contrary of each letter grade provided in the report.
     *   Pages missing CMP (already has an compliance issu</t>
  </si>
  <si>
    <t>19aeee36345b672c</t>
  </si>
  <si>
    <t>Maximilian Stefani &lt;maximilian.stefani@prudential.com&gt;, Baijnath Gupta &lt;baijnath.gupta@prudential.com&gt;, Prabhu Biradar &lt;prabhugouda.biradar@prudential.com&gt;, Rathna Chinnappa &lt;rathna.chinnappa@prudential.com&gt;, Dallin Madsen &lt;dallin.madsen@observepoint.com&gt;, Jarrod Wilbur &lt;jarrod.wilbur@observepoint.com&gt;, John Davis &lt;john.davis@observepoint.com&gt;, Nic Suder &lt;nic.suder@observepoint.com&gt;, GT Analytics Tagging &lt;gt.analytics.tagging@prudential.com&gt;</t>
  </si>
  <si>
    <t>Teams link is at the bottom
From: Steve Choi steve.choi@prudential.com&lt;mailto:steve.choi@prudential.com&gt;
Sent: Friday, December 5, 2025 9:15 AM
To: Baijnath Gupta baijnath.gupta@prudential.com&lt;mailto:baijnath.gupta@prudential.com&gt;; John Davis john.davis@observepoint.com&lt;mailto:john.davis@observepoint.com&gt;; Dallin Madsen dallin.madsen@observepoint.com&lt;mailto:dallin.madsen@observepoint.com&gt;; Jarrod Wilbur jarrod.wilbur@observepoint.com&lt;mailto:jarrod.wilbur@observepoint.com&gt;
Cc: Nic Suder n</t>
  </si>
  <si>
    <t>19aebfe81f3eac51</t>
  </si>
  <si>
    <t>John Davis &lt;john.davis@observepoint.com&gt;, Nic Suder &lt;nic.suder@observepoint.com&gt;</t>
  </si>
  <si>
    <t>Fw: ObservePoint Report Card ReConnect</t>
  </si>
  <si>
    <t xml:space="preserve">
________________________________
From: Steve Choi
Sent: Thursday, December 4, 2025 4:15:18 PM
To: Steve Choi &lt;steve.choi@prudential.com&gt;; Maximilian Stefani &lt;maximilian.stefani@prudential.com&gt;; Baijnath Gupta &lt;baijnath.gupta@prudential.com&gt;; Prabhu Biradar &lt;prabhugouda.biradar@prudential.com&gt;; Rathna Chinnappa &lt;rathna.chinnappa@prudential.com&gt;
Subject: ObservePoint Report Card Connect
When: Friday, December 5, 2025 11:00 AM-11:30 AM.
Where: Microsoft Teams Meeting
______________</t>
  </si>
  <si>
    <t>19aeb56ea2fc52d5</t>
  </si>
  <si>
    <t>Lauren Tajar &lt;lauren.tajar@prudential.com&gt;, Baijnath Gupta &lt;baijnath.gupta@prudential.com&gt;, Chirag Patel &lt;chirag1.patel@prudential.com&gt;, Eileen Cuevas &lt;eileen.cuevas@prudential.com&gt;, Jenny Castri &lt;jennifer.castri@prudential.com&gt;, Mike Vance &lt;michael.vance@prudential.com&gt;, Paula McNerney &lt;paula.mcnerney@prudential.com&gt;, Swati Nehra &lt;swati.nehra@prudential.com&gt;, Priyank Goswami &lt;priyank.goswami@prudential.com&gt;, Raghunath Munugala &lt;raghunath.munugala@prudential.com&gt;, Rolando Rafanan &lt;rolando.rafanan@prudential.com&gt;, Sanjana Dodley &lt;sanjana.dodley@prudential.com&gt;, Sean Murray &lt;sean.murray@prudential.com&gt;, Radhakrishna Nagaraj &lt;radhakrishna.nagaraj@prudential.com&gt;, Narender Reddy Karka &lt;narender.reddy@prudential.com&gt;, Maximilian Stefani &lt;maximilian.stefani@prudential.com&gt;, Rathna Chinnappa &lt;rathna.chinnappa@prudential.com&gt;, Prabhu Biradar &lt;prabhugouda.biradar@prudential.com&gt;, Nic Suder &lt;nic.suder@observepoint.com&gt;, John Davis &lt;john.davis@observepoint.com&gt;</t>
  </si>
  <si>
    <t>Next Steps from today's ObservePoint Audit Session for Pru.com</t>
  </si>
  <si>
    <t>Hi All,
Thanks for the ObservePoint call today.  Here are the next steps:
  1.  Here is the recording of today's ObservePoint session for Pru.com.  Feel free to review it.
[?mp4 icon] ObservePoint Audit of Pru.com-20251204_133409-Meeting Recording.mp4&lt;https://prudentialus-my.sharepoint.com/personal/steve_choi_prudential_com/_layouts/15/stream.aspx?id=%2Fpersonal%2Fsteve_choi_prudential_com%2FDocuments%2FRecordings%2FObservePoint+Audit+of+Pru.com-20251204_133409-Meeting+Recording.mp4&amp;r</t>
  </si>
  <si>
    <t>19aead140ed27e49</t>
  </si>
  <si>
    <t>ObservePoint AI from ObservePoint &lt;support@observepoint.com&gt;, John Davis &lt;john.davis@observepoint.com&gt;, Nic Suder &lt;nic.suder@observepoint.com&gt;</t>
  </si>
  <si>
    <t>FW: ObservePoint Alert: Pages with 404 Errors</t>
  </si>
  <si>
    <t>Can you stop all automated reports like below?  There shouldn’t be any automated ObservePoint reports scheduled.
Thanks,
Steve
From: Abhi Sharma &lt;Abhi.Sharma@prudential.com&gt;
Sent: Thursday, December 4, 2025 1:33 PM
To: Steve Choi &lt;steve.choi@prudential.com&gt;
Subject: FW: ObservePoint Alert: Pages with 404 Errors
Hi Steve, is there a way to determine what page is broken?
From: ObservePoint &lt;support@observepoint.com&lt;mailto:support@observepoint.com&gt;&gt;
Sent: Thursday, December 4, 20</t>
  </si>
  <si>
    <t>19aead1a7219fe03</t>
  </si>
  <si>
    <t>john.davis@observepoint.com, nic.suder@observepoint.com</t>
  </si>
  <si>
    <t>Re: FW: ObservePoint Alert: Pages with 404 Errors</t>
  </si>
  <si>
    <t xml:space="preserve"> 
#56032333: FW: ObservePoint Alert: Pages with 404 Errors 
Submitted 
We'll pick up your ticket soon 
Can you stop all automated reports like below? There shouldn’t be any 
automated ObservePoint reports scheduled. Thanks, Steve 
*ObservePoint AI*
ObservePoint
[image: intercom] </t>
  </si>
  <si>
    <t>19aeae02eae4854c</t>
  </si>
  <si>
    <t>steve.choi@prudential.com, nic.suder@observepoint.com</t>
  </si>
  <si>
    <t>Yes we can go over this in our second meeting today in about 20 mins if
that works for you Steve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&lt;https://groove.grvlnk4.com/url/typa6byifukvbtijwod94/aHR0cHM6Ly93d3cub2JzZXJ2ZXBvaW50LmNvbS9lbWFpbC1zaWduYXR1cmUvb2ZmZXIvb2ZmZXIt</t>
  </si>
  <si>
    <t>19afe2672c620e12</t>
  </si>
  <si>
    <t>RE: ObservePoint Alert: Pages with 404 Errors</t>
  </si>
  <si>
    <t xml:space="preserve">Can you confirm if there are no more automated scheduled reports like below?  This is causing some confusion since teams are getting other teams’ reports.
From: Steve Choi &lt;steve.choi@prudential.com&gt;
Sent: Thursday, December 4, 2025 2:23 PM
To: ObservePoint AI from ObservePoint &lt;support@observepoint.com&gt;; John Davis &lt;john.davis@observepoint.com&gt;; Nic Suder &lt;nic.suder@observepoint.com&gt;
Subject: FW: ObservePoint Alert: Pages with 404 Errors
Can you stop all automated reports like below?  </t>
  </si>
  <si>
    <t>19aeabc571b0c881</t>
  </si>
  <si>
    <t>jarrod.wilbur@observepoint.com, john.davis@observepoint.com, dallin.madsen@observepoint.com</t>
  </si>
  <si>
    <t>Our Meeting in 1 Hour</t>
  </si>
  <si>
    <t xml:space="preserve"> 
Hi Steve,
We've got our next onboarding call in 1 hour. See you then!
Let me know if you need to reschedule.
</t>
  </si>
  <si>
    <t>19ae9d1b67849dbd</t>
  </si>
  <si>
    <t>Dallin Madsen &lt;dallin.madsen@observepoint.com&gt;, Jarrod Wilbur &lt;jarrod.wilbur@observepoint.com&gt;, John Davis &lt;john.davis@observepoint.com&gt;</t>
  </si>
  <si>
    <t>RE: Updated invitation: Intro Call - ObservePoint | Prudential Financial Inc. @ Thu Dec 4, 2025 3pm - 3:30pm (EST) (steve.choi@prudential.com)</t>
  </si>
  <si>
    <t>Let’s use Teams invite I sent.  Thanks.
-----Original Appointment-----
From: Google Calendar &lt;calendar-notification@google.com&gt; On Behalf Of Dallin Madsen
Sent: Thursday, December 4, 2025 9:24 AM
To: Jarrod Wilbur; John Davis; Steve Choi
Subject: Updated invitation: Intro Call - ObservePoint | Prudential Financial Inc. @ Thu Dec 4, 2025 3pm - 3:30pm (EST) (steve.choi@prudential.com)
When: Thursday, December 4, 2025 3:00 PM-3:30 PM America/New_York.
Where: https://www.google.com/url?q=ht</t>
  </si>
  <si>
    <t>19ae9d59b99bf083</t>
  </si>
  <si>
    <t>Jarrod Wilbur &lt;jarrod.wilbur@observepoint.com&gt;, John Davis &lt;john.davis@observepoint.com&gt;</t>
  </si>
  <si>
    <t>Re: Updated invitation: Intro Call - ObservePoint | Prudential Financial Inc. @ Thu Dec 4, 2025 3pm - 3:30pm (EST) (steve.choi@prudential.com)</t>
  </si>
  <si>
    <t>Sounds good! I couldn't add Jarrod Wilber to your invite, but I updated the
link in my invite to your teams link for him.
See you then!
Dallin Madsen *   |    * *Enterprise Account Executive*
801.850.3709
dallin.madsen@observepoint.com
&lt;https://us-3129.email-composer-webhooks.gong.io/email-tracking/clicked?email-info-token=eyJhbGciOiJIUzI1NiJ9.eyJjb21wYW55SWQiOiI4OTgyMjM2MTQxODc2Mjk3NzAiLCJkcmFmdElkIjoicjEzODM2Njk4MTQ0MzY1NjUyMDQiLCJsaW5rVXJsIjoibWFpbHRvOmRhbGxpbi5tYWRzZW5Ab2JzZXJ2ZX</t>
  </si>
  <si>
    <t>19ae97bbb1cbd5b7</t>
  </si>
  <si>
    <t>"dallin.madsen@observepoint.com" &lt;dallin.madsen@observepoint.com&gt;, John Davis &lt;john.davis@observepoint.com&gt;</t>
  </si>
  <si>
    <t>ObservePoint report card for Prudential discussion</t>
  </si>
  <si>
    <t xml:space="preserve">
On Wed, Dec 3, 2025 at 4:50 PM Steve Choi &lt;steve.choi@prudential.com&lt;mailto:steve.choi@prudential.com&gt;&gt; wrote:
See additional context from my chat with Kelly who work in Prudential Compliance.  Are you available tomorrow, Thursday to chat?  This is causing some headache internally since the attached report was shared with many people.
[cid:image001.png@01DC64F5.24A4FDB0]
From: Steve Choi
Sent: Wednesday, December 3, 2025 4:36 PM
To: John Davis &lt;john.davis@obser</t>
  </si>
  <si>
    <t>19ae6692bf848814</t>
  </si>
  <si>
    <t>John Davis &lt;john.davis@observepoint.com&gt;, Jarrod Wilbur &lt;jarrod.wilbur@observepoint.com&gt;, steve.choi@prudential.com</t>
  </si>
  <si>
    <t>Invitation: Intro Call - ObservePoint | Prudential Financial Inc. @ Thu Dec 4, 2025 1pm - 1:30pm (MST) (John Davis)</t>
  </si>
  <si>
    <t>Intro Call - ObservePoint | Prudential Financial Inc.
Thursday Dec 4, 2025 ⋅ 1pm – 1:30pm
Mountain Time - Denver
Location
https://observepoint.zoom.us/j/96637904024	
https://www.google.com/url?q=https%3A%2F%2Fobservepoint.zoom.us%2Fj%2F96637904024&amp;sa=D&amp;source=calendar&amp;ust=1765234200000000&amp;usg=AOvVaw1GINa1EIXli42ncFVpxfxH
We’re eager to understand your company's objectives and discuss how  
ObservePoint’s solutions align with your needs.
If you need to reschedule, please use the l</t>
  </si>
  <si>
    <t>19ae625284d0e0e6</t>
  </si>
  <si>
    <t>John Davis &lt;john.davis@observepoint.com&gt;, Nic Suder &lt;nic.suder@observepoint.com&gt;, Macey Bell &lt;macey.bell@observepoint.com&gt;, Mihai from ObservePoint &lt;support@observepoint.com&gt;</t>
  </si>
  <si>
    <t>Hello ObservePoint team,
Below email and attached report caused some confusion at Prudential.
  1.  Do you know who created this ObservePoint report and how it was created?  I am not familiar with it.
  2.  Who receives the report and how often does it go out?
  3.  If it is automated report, can you deactivate immediately?
Thanks,
Steve
-----Original Appointment-----
From: Kelly Williams &lt;kelly.1.williams@prudential.com&gt;
Sent: Wednesday, December 3, 2025 3:58 PM
To: Stev</t>
  </si>
  <si>
    <t>19ae6262593b2ca0</t>
  </si>
  <si>
    <t>john.davis@observepoint.com, nic.suder@observepoint.com, macey.bell@observepoint.com</t>
  </si>
  <si>
    <t>Re: RE: ObservePoint Report Card</t>
  </si>
  <si>
    <t xml:space="preserve"> 
#55672623: RE: ObservePoint Report Card 
Submitted 
We'll pick up your ticket soon 
Hello ObservePoint team, Below email and attached report caused some 
confusion at Prudential. Thanks, Steve -----Original Appointment-----
*From:* Kelly Williams &lt;kelly.1.williams@prudential.com&gt; 
*Sent:* Wednesday, December 3, 2025 3:58 PM
*To:* Steve Choi; Mike Vance; Lydia Barlow
*Cc:* Matt Diiorio; Emily Katz; Maximilian Stefani
*Subject:* ObservePoint Report Card
*When:* Friday, December 5, 2025 10:30 AM</t>
  </si>
  <si>
    <t>19ae6319e4b981b1</t>
  </si>
  <si>
    <t>John Davis &lt;john.davis@observepoint.com&gt;, Nic Suder &lt;nic.suder@observepoint.com&gt;, Macey Bell &lt;macey.bell@observepoint.com&gt;, Mihai from ObservePoint &lt;support@observepoint.com&gt;, Dallin Madsen &lt;dallin.madsen@observepoint.com&gt;</t>
  </si>
  <si>
    <t xml:space="preserve">
See additional context from my chat with Kelly who work in Prudential Compliance.  Are you available tomorrow, Thursday to chat?  This is causing some headache internally since the attached report was shared with many people.
[cid:image002.png@01DC6474.D7784680]
From: Steve Choi
Sent: Wednesday, December 3, 2025 4:36 PM
To: John Davis &lt;john.davis@observepoint.com&gt;; Nic Suder &lt;nic.suder@observepoint.com&gt;; Macey Bell &lt;macey.bell@observepoint.com&gt;; Mihai from ObservePoint &lt;support@obs</t>
  </si>
  <si>
    <t>19ae6575a8e5250d</t>
  </si>
  <si>
    <t>HI Steve!
Happy to chat. Lets do it. Any of these times work?
Meeting length: 30 Minutes
Time Zone: (GMT-5) EST/New_York
Thu Dec 4 Fri Dec 5
 3:00  PM
&lt;https://us-3129.email-composer-webhooks.gong.io/email-tracking/clicked?email-info-token=eyJhbGciOiJIUzI1NiJ9.eyJjb21wYW55SWQiOiI4OTgyMjM2MTQxODc2Mjk3NzAiLCJkcmFmdElkIjoicjczMTYyNzY4MTY0MzUwNjc0NjMiLCJsaW5rVXJsIjoiaHR0cHM6Ly9vYnNlcnZlcG9pbnQuY2hpbGlwaXBlci5jb20vc3VnZ2VzdGVkLXRpbWVzLzA4ZDRlNTMyLTM4YTgtNDZmNi1hYmMzLTA4YzU2ZmEyZWIwYz9zbG90U</t>
  </si>
  <si>
    <t>19ae65cfd67ed6a6</t>
  </si>
  <si>
    <t>Nothing else available beside 3pm ET tomorrow, Thursday?
How about 11am, 1pm, 2:30pm ET?  If these times don’t work, we can chat at 3pm ET tomorrow.
From: Dallin Madsen &lt;dallin.madsen@observepoint.com&gt;
Sent: Wednesday, December 3, 2025 5:31 PM
To: Steve Choi &lt;steve.choi@prudential.com&gt;
Cc: John Davis &lt;john.davis@observepoint.com&gt;
Subject: Re: ObservePoint Report Card
HI Steve!
Happy to chat. Lets do it. Any of these times work?
Meeting length: 30 Minutes
Time Zone: (GMT-5) ES</t>
  </si>
  <si>
    <t>19ae660c2b9464f1</t>
  </si>
  <si>
    <t>Yes, sorry Steve. Those are the only times I have left those days. I do
have more availability on Friday if that helps.
Best!
Dallin Madsen *   |    * *Enterprise Account Executive*
801.850.3709
dallin.madsen@observepoint.com
&lt;https://us-3129.email-composer-webhooks.gong.io/email-tracking/clicked?email-info-token=eyJhbGciOiJIUzI1NiJ9.eyJjb21wYW55SWQiOiI4OTgyMjM2MTQxODc2Mjk3NzAiLCJkcmFmdElkIjoicjgyNTk3ODEyNDc0OTU2MTE0NTAiLCJsaW5rVXJsIjoibWFpbHRvOmRhbGxpbi5tYWRzZW5Ab2JzZXJ2ZXBvaW50LmNv</t>
  </si>
  <si>
    <t>19ae665f07f7b6d1</t>
  </si>
  <si>
    <t>We can chat at 3pm ET tomorrow. Can you send invite?  Thanks
Sent from my Verizon, Samsung Galaxy smartphone
Get Outlook for Android&lt;https://aka.ms/AAb9ysg&gt;
________________________________
From: Dallin Madsen &lt;dallin.madsen@observepoint.com&gt;
Sent: Wednesday, December 3, 2025 5:41:14 PM
To: Steve Choi &lt;steve.choi@prudential.com&gt;
Cc: John Davis &lt;john.davis@observepoint.com&gt;
Subject: Re: ObservePoint Report Card
Yes, sorry Steve. Those are the only times I have left those days. I do h</t>
  </si>
  <si>
    <t>19ae9f717cd45a4c</t>
  </si>
  <si>
    <t>Nic Suder &lt;nic.suder@observepoint.com&gt;</t>
  </si>
  <si>
    <t>John Davis &lt;john.davis@observepoint.com&gt;, Macey Bell &lt;macey.bell@observepoint.com&gt;, Mihai from ObservePoint &lt;support@observepoint.com&gt;, Dallin Madsen &lt;dallin.madsen@observepoint.com&gt;</t>
  </si>
  <si>
    <t>Hey Steve,
I wanted to follow up while Macy is out of office. I spoke with Dallin
Madsen, and he mentioned that he already has time scheduled to review
things with you. Please let me know if there is any additional support we
can provide.
Thanks,
Nic Suder
On Wed, Dec 3, 2025 at 2:50 PM Steve Choi &lt;steve.choi@prudential.com&gt; wrote:
&gt;
&gt;
&gt; See additional context from my chat with Kelly who work in Prudential
&gt; Compliance.  Are you available tomorrow, Thursday to chat?  This is c</t>
  </si>
  <si>
    <t>19aebb8e2b371be3</t>
  </si>
  <si>
    <t>Steve Choi &lt;steve.choi@prudential.com&gt;, Macey Bell &lt;macey.bell@observepoint.com&gt;, Mihai from ObservePoint &lt;support@observepoint.com&gt;, Dallin Madsen &lt;dallin.madsen@observepoint.com&gt;</t>
  </si>
  <si>
    <t>Hey Steve,
So first off, here are the three audits that powered that report card,
including the one that we talked about today (California Opt-Out):
https://app.observepoint.com/audit/1999662/run/8287180/report/cookie-inventory
https://app.observepoint.com/audit/1999663/run/8287181/report/cookie-inventory
https://app.observepoint.com/audit/2001401/run/8302972/report/cookie-inventory
Secondly, I got some clarification on our audit process and how it works
with the Onetrust opt out. B</t>
  </si>
  <si>
    <t>19aebfcd7fd6fd9b</t>
  </si>
  <si>
    <t>Macey Bell &lt;macey.bell@observepoint.com&gt;, Mihai from ObservePoint &lt;support@observepoint.com&gt;, Dallin Madsen &lt;dallin.madsen@observepoint.com&gt;, Baijnath Gupta &lt;baijnath.gupta@prudential.com&gt;, Maximilian Stefani &lt;maximilian.stefani@prudential.com&gt;, Prabhu Biradar &lt;prabhugouda.biradar@prudential.com&gt;, Rathna Chinnappa &lt;rathna.chinnappa@prudential.com&gt;</t>
  </si>
  <si>
    <t>Hi John,
Thanks for the additional details.
I will forward the invite for 11:30am ET call tomorrow Friday if you are available.
Thanks,
Steve
________________________________
From: John Davis &lt;john.davis@observepoint.com&gt;
Sent: Thursday, December 4, 2025 6:36:20 PM
To: Nic Suder &lt;nic.suder@observepoint.com&gt;
Cc: Steve Choi &lt;steve.choi@prudential.com&gt;; Macey Bell &lt;macey.bell@observepoint.com&gt;; Mihai from ObservePoint &lt;support@observepoint.com&gt;; Dallin Madsen &lt;dallin.madsen@obser</t>
  </si>
  <si>
    <t>19aec0f2b0816bc3</t>
  </si>
  <si>
    <t>Nic Suder &lt;nic.suder@observepoint.com&gt;, Macey Bell &lt;macey.bell@observepoint.com&gt;, Mihai from ObservePoint &lt;support@observepoint.com&gt;, Dallin Madsen &lt;dallin.madsen@observepoint.com&gt;, Baijnath Gupta &lt;baijnath.gupta@prudential.com&gt;, Maximilian Stefani &lt;maximilian.stefani@prudential.com&gt;, Prabhu Biradar &lt;prabhugouda.biradar@prudential.com&gt;, Rathna Chinnappa &lt;rathna.chinnappa@prudential.com&gt;</t>
  </si>
  <si>
    <t>Sure thing, I might be a few minutes late for a personal matter, but I
should be able to make it.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&lt;https://groove.grvlnk4.com/url/typa6byifukvbtijwod94/aHR0cHM6Ly93d3cub2JzZXJ2ZXBvaW50LmNvbS9lbWFpbC1zaWduYXR1cmUvb2ZmZXIvb2ZmZXItd</t>
  </si>
  <si>
    <t>19aeecddef0e6199</t>
  </si>
  <si>
    <t>Baijnath Gupta &lt;baijnath.gupta@prudential.com&gt;</t>
  </si>
  <si>
    <t>John Davis &lt;john.davis@observepoint.com&gt;, Steve Choi &lt;steve.choi@prudential.com&gt;</t>
  </si>
  <si>
    <t>Nic Suder &lt;nic.suder@observepoint.com&gt;, Macey Bell &lt;macey.bell@observepoint.com&gt;, Mihai from ObservePoint &lt;support@observepoint.com&gt;, Dallin Madsen &lt;dallin.madsen@observepoint.com&gt;, Maximilian Stefani &lt;maximilian.stefani@prudential.com&gt;, Prabhu Biradar &lt;prabhugouda.biradar@prudential.com&gt;, Rathna Chinnappa &lt;rathna.chinnappa@prudential.com&gt;</t>
  </si>
  <si>
    <t>I’m unable to view these audit reports. Is anyone else having the same issue?
https://app.observepoint.com/audit/1999662/run/8287180/report/cookie-inventory
https://app.observepoint.com/audit/1999663/run/8287181/report/cookie-inventory
https://app.observepoint.com/audit/2001401/run/8302972/report/cookie-inventory
From: John Davis &lt;john.davis@observepoint.com&gt;
Sent: Thursday, December 4, 2025 8:10 PM
To: Steve Choi &lt;steve.choi@prudential.com&gt;
Cc: Nic Suder &lt;nic.suder@observepoint.com</t>
  </si>
  <si>
    <t>19aeede542feb4bd</t>
  </si>
  <si>
    <t>Baijnath Gupta &lt;baijnath.gupta@prudential.com&gt;, John Davis &lt;john.davis@observepoint.com&gt;, Dallin Madsen &lt;dallin.madsen@observepoint.com&gt;, Jarrod Wilbur &lt;jarrod.wilbur@observepoint.com&gt;</t>
  </si>
  <si>
    <t>Nic Suder &lt;nic.suder@observepoint.com&gt;, Macey Bell &lt;macey.bell@observepoint.com&gt;, Mihai from ObservePoint &lt;support@observepoint.com&gt;, Dallin Madsen &lt;dallin.madsen@observepoint.com&gt;, Maximilian Stefani &lt;maximilian.stefani@prudential.com&gt;, Prabhu Biradar &lt;prabhugouda.biradar@prudential.com&gt;, Rathna Chinnappa &lt;rathna.chinnappa@prudential.com&gt;, GT Analytics Tagging &lt;gt.analytics.tagging@prudential.com&gt;</t>
  </si>
  <si>
    <t>When I clicked the first link below, I see this.  Where can we see the audit reports  that Jarrod showed yesterday?
Also, I had to manually login since SSO didn’t work.  Prudential uses SSO to login to ObservePoint.
[cid:image003.png@01DC65C7.A3819CB0]
From: Baijnath Gupta &lt;baijnath.gupta@prudential.com&gt;
Sent: Friday, December 5, 2025 8:58 AM
To: John Davis &lt;john.davis@observepoint.com&gt;; Steve Choi &lt;steve.choi@prudential.com&gt;
Cc: Nic Suder &lt;nic.suder@observepoint.com&gt;; Macey Be</t>
  </si>
  <si>
    <t>19aeee6307c80ca0</t>
  </si>
  <si>
    <t>Baijnath Gupta &lt;baijnath.gupta@prudential.com&gt;, Dallin Madsen &lt;dallin.madsen@observepoint.com&gt;, Jarrod Wilbur &lt;jarrod.wilbur@observepoint.com&gt;, Nic Suder &lt;nic.suder@observepoint.com&gt;, Macey Bell &lt;macey.bell@observepoint.com&gt;, Mihai from ObservePoint &lt;support@observepoint.com&gt;, Maximilian Stefani &lt;maximilian.stefani@prudential.com&gt;, Prabhu Biradar &lt;prabhugouda.biradar@prudential.com&gt;, Rathna Chinnappa &lt;rathna.chinnappa@prudential.com&gt;, GT Analytics Tagging &lt;gt.analytics.tagging@prudential.com&gt;</t>
  </si>
  <si>
    <t>The opt out audit is the 2nd link out of those 3 that I sent you, can you
view that one?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&lt;https://groove.grvlnk4.com/url/typa6byifukvbtijwod94/aHR0cHM6Ly93d3cub2JzZXJ2ZXBvaW50LmNvbS9lbWFpbC1zaWduYXR1cmUvb2ZmZXIvb2ZmZXItdXMucGhwI2</t>
  </si>
  <si>
    <t>19aeee9d3d088010</t>
  </si>
  <si>
    <t>I tried all three links below and got same message.
From: John Davis &lt;john.davis@observepoint.com&gt;
Sent: Friday, December 5, 2025 9:24 AM
To: Steve Choi &lt;steve.choi@prudential.com&gt;
Cc: Baijnath Gupta &lt;baijnath.gupta@prudential.com&gt;; Dallin Madsen &lt;dallin.madsen@observepoint.com&gt;; Jarrod Wilbur &lt;jarrod.wilbur@observepoint.com&gt;; Nic Suder &lt;nic.suder@observepoint.com&gt;; Macey Bell &lt;macey.bell@observepoint.com&gt;; Mihai from ObservePoint &lt;support@observepoint.com&gt;; Maximilian Stefani &lt;maximilian.</t>
  </si>
  <si>
    <t>19aef1c2e9752cdb</t>
  </si>
  <si>
    <t>Jarrod Wilbur &lt;jarrod.wilbur@observepoint.com&gt;</t>
  </si>
  <si>
    <t>John Davis &lt;john.davis@observepoint.com&gt;, Baijnath Gupta &lt;baijnath.gupta@prudential.com&gt;, Dallin Madsen &lt;dallin.madsen@observepoint.com&gt;, Nic Suder &lt;nic.suder@observepoint.com&gt;, Macey Bell &lt;macey.bell@observepoint.com&gt;, Mihai from ObservePoint &lt;support@observepoint.com&gt;, Maximilian Stefani &lt;maximilian.stefani@prudential.com&gt;, Prabhu Biradar &lt;prabhugouda.biradar@prudential.com&gt;, Rathna Chinnappa &lt;rathna.chinnappa@prudential.com&gt;, GT Analytics Tagging &lt;gt.analytics.tagging@prudential.com&gt;</t>
  </si>
  <si>
    <t>Hey Steve,
Here are publicly accessible links to those three audits. The audits are
not in your account, but in an internal account we used to build all the
reports for that conference.
You should not need to login to view those audits:
California GPC Audit
&lt;https://app.observepoint.com/share/Yg3KSTJPPqy24ZNrNtkSJsh&gt;
California Opt Out Audit
&lt;https://app.observepoint.com/share/cwhWFqZmB2d3VV8gy3svZDT&gt;
California Default Audit
&lt;https://app.observepoint.com/share/3rBjmk6F6sh8NtRWqfVZ</t>
  </si>
  <si>
    <t>19aef24d19f5e723</t>
  </si>
  <si>
    <t>Steve Choi &lt;steve.choi@prudential.com&gt;, Baijnath Gupta &lt;baijnath.gupta@prudential.com&gt;, Dallin Madsen &lt;dallin.madsen@observepoint.com&gt;, Nic Suder &lt;nic.suder@observepoint.com&gt;, Macey Bell &lt;macey.bell@observepoint.com&gt;, Mihai from ObservePoint &lt;support@observepoint.com&gt;, Maximilian Stefani &lt;maximilian.stefani@prudential.com&gt;, Prabhu Biradar &lt;prabhugouda.biradar@prudential.com&gt;, Rathna Chinnappa &lt;rathna.chinnappa@prudential.com&gt;, GT Analytics Tagging &lt;gt.analytics.tagging@prudential.com&gt;</t>
  </si>
  <si>
    <t xml:space="preserve">Thanks Jarrod!
See you, Steve and others, in about an hour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&lt;https://groove.grvlnk4.com/url/typa6byifukvbtijwod94/aHR0cHM6Ly93d3cub2JzZXJ2ZXBvaW50LmNvbS9lbWFpbC1zaWduYXR1cmUvb2ZmZXIvb2ZmZXItdXMucGhwI2dyb292ZXN1bTotNTA3NzUxODQz&gt;
</t>
  </si>
  <si>
    <t>19aef90c825a715e</t>
  </si>
  <si>
    <t>John Davis &lt;john.davis@observepoint.com&gt;, Jarrod Wilbur &lt;jarrod.wilbur@observepoint.com&gt;</t>
  </si>
  <si>
    <t>Baijnath Gupta &lt;baijnath.gupta@prudential.com&gt;, Dallin Madsen &lt;dallin.madsen@observepoint.com&gt;, Nic Suder &lt;nic.suder@observepoint.com&gt;, Macey Bell &lt;macey.bell@observepoint.com&gt;, Maximilian Stefani &lt;maximilian.stefani@prudential.com&gt;, Prabhu Biradar &lt;prabhugouda.biradar@prudential.com&gt;, Rathna Chinnappa &lt;rathna.chinnappa@prudential.com&gt;, GT Analytics Tagging &lt;gt.analytics.tagging@prudential.com&gt;</t>
  </si>
  <si>
    <t>Hi John,
I googled this
“Do persistent existing cookies need to be removed when someone opts out from Onetrust cookie banner on website according to ccpa compliance”
Google response:
“While it is possible to do, it's worth noting that removing existing cookie (s) is not a requirement if consent is removed. The cookies themselves do not send data to third parties, so they are not the issue.
When user opts out from Onetrust cookie banner on a website, it is not required to remove persis</t>
  </si>
  <si>
    <t>19aeff9e31036db5</t>
  </si>
  <si>
    <t>Hi John,
Are you or your team available at 2:30pm ET next Tuesday, 12/9?  If not, can you suggest few other times?  We want to discuss few things such as configuring reports to ignore persistent existing cookies when people opt out from subsequent visits.  If we remove all existing cookies when people opt out, that can cause negative impacts at Prudential.  Also, removing them doesn’t seem to be required.  They seem optional according to CCPA and other Compliance laws.
We talked to Complia</t>
  </si>
  <si>
    <t>19af00751602feac</t>
  </si>
  <si>
    <t>Dallin Madsen &lt;dallin.madsen@observepoint.com&gt;, Nic Suder &lt;nic.suder@observepoint.com&gt;, Macey Bell &lt;macey.bell@observepoint.com&gt;</t>
  </si>
  <si>
    <t>Hi John,
Let me know if you are free at 11:30 ET next Tuesday 12/9 instead.  Forwarded the invite
Thanks,
Steve
From: Steve Choi
Sent: Friday, December 5, 2025 2:25 PM
To: John Davis &lt;john.davis@observepoint.com&gt;; Jarrod Wilbur &lt;jarrod.wilbur@observepoint.com&gt;
Cc: Baijnath Gupta &lt;baijnath.gupta@prudential.com&gt;; Dallin Madsen &lt;dallin.madsen@observepoint.com&gt;; Nic Suder &lt;nic.suder@observepoint.com&gt;; Macey Bell &lt;macey.bell@observepoint.com&gt;; Maximilian Stefani &lt;maximilian.stefani@pru</t>
  </si>
  <si>
    <t>19afe699a12fdcd6</t>
  </si>
  <si>
    <t>john.davis@observepoint.com, nic.suder@observepoint.com, macey.bell@observepoint.com, dallin.madsen@observepoint.com, baijnath.gupta@prudential.com, maximilian.stefani@prudential.com, prabhugouda.biradar@prudential.com, rathna.chinnappa@prudential.com, jarrod.wilbur@observepoint.com, gt.analytics.tagging@prudential.com</t>
  </si>
  <si>
    <t xml:space="preserve"> 
#55672623: RE: ObservePoint Report Card 
Resolved 
We've completed your ticket 
Hello ObservePoint team, Below email and attached report caused some 
confusion at Prudential. Thanks, Steve -----Original Appointment-----
*From:* Kelly Williams &lt;kelly.1.williams@prudential.com&gt; 
*Sent:* Wednesday, December 3, 2025 3:58 PM
*To:* Steve Choi; Mike Vance; Lydia Barlow
*Cc:* Matt Diiorio; Emily Katz; Maximilian Stefani
*Subject:* ObservePoint Report Card
*When:* Friday, December 5, 2025 10:30 AM-11:</t>
  </si>
  <si>
    <t>19b0991d61d5523a</t>
  </si>
  <si>
    <t>Hi John,
Can you and I schedule regular weekly check in calls?  We can move to bi-weekly or monthly once Prudential fully gets acquainted with ObservePoint.
Thanks,
Steve
From: John Davis &lt;john.davis@observepoint.com&gt;
Sent: Friday, December 5, 2025 10:33 AM
To: Jarrod Wilbur &lt;jarrod.wilbur@observepoint.com&gt;
Cc: Steve Choi &lt;steve.choi@prudential.com&gt;; Baijnath Gupta &lt;baijnath.gupta@prudential.com&gt;; Dallin Madsen &lt;dallin.madsen@observepoint.com&gt;; Nic Suder &lt;nic.suder@observepoint.co</t>
  </si>
  <si>
    <t>19b0e686282c4361</t>
  </si>
  <si>
    <t>Hey Steve,
I would love to schedule that for you, here are some available times for
me, go ahead and grab one that makes sense for you.
Meeting length: 30 Minutes
Time Zone: (GMT-7) MST/Denver
Mon Dec 15 Tue Dec 16 Wed Dec 17 Thu Dec 18
 1:30  PM
&lt;https://observepoint.chilipiper.com/suggested-times/b79e7c18-b86a-4d07-9556-31a4b5d6bee1?slotStartsAt=2025-12-15T20:30:00.000Z&gt;
 11:30  AM
&lt;https://observepoint.chilipiper.com/suggested-times/b79e7c18-b86a-4d07-9556-31a4b5d6bee1?slotStarts</t>
  </si>
  <si>
    <t>19ae47346e68fea6</t>
  </si>
  <si>
    <t>RE: Accepted: ObservePoint Audit of Pru.com @ Thu Dec 4, 2025 11:30am - 12pm (MST) (John Davis)</t>
  </si>
  <si>
    <t>Hi John/Nic,
Were you able to connect with Macey about tomorrow’s meeting to review ObservePoint audit of Pru.com?
Thanks,
Steve
-----Original Appointment-----
From: Google Calendar &lt;calendar-notification@google.com&gt; On Behalf Of John Davis
Sent: Tuesday, December 2, 2025 6:15 PM
To: Steve Choi
Subject: Accepted: ObservePoint Audit of Pru.com @ Thu Dec 4, 2025 11:30am - 12pm (MST) (John Davis)
When: Thursday, December 4, 2025 1:30 PM-2:00 PM (UTC-05:00) Eastern Time (US &amp; Canada</t>
  </si>
  <si>
    <t>19ae541141f10d53</t>
  </si>
  <si>
    <t>Re: Accepted: ObservePoint Audit of Pru.com @ Thu Dec 4, 2025 11:30am - 12pm (MST) (John Davis)</t>
  </si>
  <si>
    <t>Hey Steve,
Macey is OOO this week. I was able to connect with her briefly late last
week, but both John and I will be running the product demo this Thursday. I
appreciate you walking us through an outline of how the call should run,
John and I will both be prepared and ready.
Thanks,
Nic Suder
On Wed, Dec 3, 2025 at 6:42 AM Steve Choi &lt;steve.choi@prudential.com&gt; wrote:
&gt; Hi John/Nic,
&gt;
&gt;
&gt;
&gt; Were you able to connect with Macey about tomorrow’s meeting to review
&gt; ObservePoin</t>
  </si>
  <si>
    <t>19ae466fd750fa6e</t>
  </si>
  <si>
    <t>"bfergel@rdoffutt.com (Google Calendar)" &lt;calendar-notification@google.com&gt;</t>
  </si>
  <si>
    <t>Accepted: ObservePoint | R.D. Offutt Company @ Tue Dec 16, 2025 8am - 8:30am (MST) (john.davis@observepoint.com)</t>
  </si>
  <si>
    <t>bfergel@rdoffutt.com has accepted this invitation.
ObservePoint | R.D. Offutt Company
Tuesday Dec 16, 2025 ⋅ 8am – 8:30am
Mountain Time - Denver
Join Zoom Meeting
https://observepoint.zoom.us/j/3628593272?pwd=OfxX2kwpsuA5labBaZXephHbiAXlz9.1&amp;omn=99334278643&amp;jst=2
Join by phone
(US) +1 877-853-5247
passcode: 183089
Joining instructions
https://www.google.com/url?q=https://applications.zoom.us/addon/invitation/detail?meetingUuid%3DF7%252BqkLGUR2u6XDPBECp8AA%253D%253D%26signat</t>
  </si>
  <si>
    <t>19ae1545baa66648</t>
  </si>
  <si>
    <t>Tentative: ObservePoint | R.D. Offutt Company</t>
  </si>
  <si>
    <t>19ae14c9e7eaa36b</t>
  </si>
  <si>
    <t>Accepted: ObservePoint | R.D. Offutt Company</t>
  </si>
  <si>
    <t>19ac0e3a00cb16ad</t>
  </si>
  <si>
    <t>enordin@rdoffutt.com</t>
  </si>
  <si>
    <t>Happy Thanksgiving Re: Observepoint Admin</t>
  </si>
  <si>
    <t>I am on vacation from Nov 26th to Nov 28th for the Thanksgiving holiday, 
please reach out to support@observepoint.com if you have something urgent, 
otherwise I will get back to you next week, thanks!
-- 
*Regards, *
John Davis *   |    * *Customer Success Manager*
Cell: 801.633.6013
john.davis@observepoint.com
www.observepoint.com 
&lt;https://groove.grvlnk4.com/url/typa6byifukvbtijwod94/aHR0cDovL3d3dy5vYnNlcnZlcG9pbnQuY29tLyNncm9vdmVzdW06LTc2MTEwNTM3MA%3D%3D&gt;
&lt;https://groove.grvlnk4.com/ur</t>
  </si>
  <si>
    <t>19abbb234aaf00f1</t>
  </si>
  <si>
    <t>John Davis &lt;john.davis@observepoint.com&gt;, steve.choi@prudential.com, Macey Bell &lt;macey.bell@observepoint.com&gt;</t>
  </si>
  <si>
    <t>Invitation: Steve / Nic (ObservePoint Sync)  @ Tue Nov 25, 2025 12:30pm - 1pm (MST) (John Davis)</t>
  </si>
  <si>
    <t>Steve / Nic (ObservePoint Sync)
Tuesday Nov 25, 2025 ⋅ 12:30pm – 1pm
Mountain Time - Denver
Join Zoom Meeting
https://observepoint.zoom.us/j/3122520769?pwd=OzIwbpso1pILN7YB0FywybgkS3QE50.1&amp;omn=91387338309&amp;jst=2
Join by phone
(US) +1 888-788-0099
passcode: 296018
Joining instructions
https://www.google.com/url?q=https://applications.zoom.us/addon/invitation/detail?meetingUuid%3DDwrtNbYRT1iskBfEeXx47Q%253D%253D%26signature%3Daf57db00767f90cc534ab812d2d0847f32dd3d99af03927ba39e3f</t>
  </si>
  <si>
    <t>19aba6d629bebc2c</t>
  </si>
  <si>
    <t>"Moore, Jordan" &lt;JLMoore@rdoffutt.com&gt;, "Nordin, Eric" &lt;enordin@rdoffutt.com&gt;, Nic Suder &lt;nic.suder@observepoint.com&gt;, John Davis &lt;john.davis@observepoint.com&gt;</t>
  </si>
  <si>
    <t>Re: Observepoint Admin</t>
  </si>
  <si>
    <t xml:space="preserve">Hi all,
I went ahead and booked some time on the calendar for us to sync- let me
know if it doesn't work and I can send additional availability. But I'd
love to go over some results I have found in your ObservePoint account with
you and am especially excited to introduce you to John Davis who will be
your new CSM and main point of contact moving forward.
Hope you guys are doing well and happy thanksgiving!
On Fri, Oct 31, 2025 at 2:52 AM Bryce Bergen &lt;bryce.bergen@observepoint.com&gt;
</t>
  </si>
  <si>
    <t>19abbda869a1406b</t>
  </si>
  <si>
    <t>Macey Bell &lt;macey.bell@observepoint.com&gt;, Bryce Bergen &lt;bryce.bergen@observepoint.com&gt;</t>
  </si>
  <si>
    <t>"Moore, Jordan" &lt;JLMoore@rdoffutt.com&gt;, Nic Suder &lt;nic.suder@observepoint.com&gt;, John Davis &lt;john.davis@observepoint.com&gt;</t>
  </si>
  <si>
    <t xml:space="preserve">Thanks for reaching out Macey,
Dec 6 is a good time to regroup on this. It would be good to go over those results and look for items to act on.
Looking forward to meeting John.
Regards,
_______________________________
Eric Nordin, CISSP
Lead IT Security Administrator
R.D. Offutt Company
Phone: +1 (701)  990-2980
________________________________
From: Macey Bell &lt;macey.bell@observepoint.com&gt;
Sent: Tuesday, November 25, 2025 3:51 AM
To: Bryce Bergen &lt;bryce.bergen@observepoint.com&gt;
</t>
  </si>
  <si>
    <t>19abbf9cf6a6d80c</t>
  </si>
  <si>
    <t>Macey Bell &lt;macey.bell@observepoint.com&gt;, "Moore, Jordan" &lt;JLMoore@rdoffutt.com&gt;, Nic Suder &lt;nic.suder@observepoint.com&gt;, John Davis &lt;john.davis@observepoint.com&gt;</t>
  </si>
  <si>
    <t>observepoint.com, rdoffutt.com</t>
  </si>
  <si>
    <t>Wishing you all a safe and happy Thanksgiving.  I'm grateful for our
partnership.
Take care.
*Regards, *
Bryce Bergen *   |    * *Senior Account Executive*
Cell: 801.913.4463
bryce.bergen@observepoint.com
www.observepoint.com
&lt;https://groove.grvlnk4.com/url/7t17ayc09vqb2v0b5m945r/aHR0cDovL3d3dy5vYnNlcnZlcG9pbnQuY29tLyNncm9vdmVzdW06LTc2MTEwNTM3MA%3D%3D&gt;
&lt;https://groove.grvlnk4.com/url/7t17ayc09vqb2v0b5m945r/aHR0cHM6Ly93d3cub2JzZXJ2ZXBvaW50LmNvbS9lbWFpbC1zaWduYXR1cmUvb2ZmZXIvb2Z</t>
  </si>
  <si>
    <t>19ac0e0173f07cb5</t>
  </si>
  <si>
    <t>Eric,
I wonder if there may have been a typo in your email.  You suggested
December 6th, but that's a Saturday.  Did you by chance mean to say the
16th?
*Regards, *
Bryce Bergen *   |    * *Senior Account Executive*
Cell: 801.913.4463
bryce.bergen@observepoint.com
www.observepoint.com
&lt;https://groove.grvlnk4.com/url/s5tc3lybkxqbuggzwwv1tm/aHR0cDovL3d3dy5vYnNlcnZlcG9pbnQuY29tLyNncm9vdmVzdW06LTc2MTEwNTM3MA%3D%3D&gt;
&lt;https://groove.grvlnk4.com/url/s5tc3lybkxqbuggzwwv1tm/aHR0cHM6Ly93</t>
  </si>
  <si>
    <t>19ac0e38f4b9568c</t>
  </si>
  <si>
    <t xml:space="preserve">
Eric,
I wonder if there may have been a typo in your email.  You suggested December 6th, but that's a Saturday.  Did you by chance mean to say the 16th?
That's likely the case. That should be the 16th.
Regards,
_______________________________
Eric Nordin, CISSP
Lead IT Security Administrator
R.D. Offutt Company
Phone: +1 (701)  990-2980
________________________________
From: Bryce Bergen &lt;bryce.bergen@observepoint.com&gt;
Sent: Wednesday, November 26, 2025 9:54 AM
To: Nordin, Er</t>
  </si>
  <si>
    <t>19ac1225a51a5f68</t>
  </si>
  <si>
    <t>Thanks, Eric.
@Macey Bell are you available for this call on December 16th?
*Regards, *
Bryce Bergen *   |    * *Senior Account Executive*
Cell: 801.913.4463
bryce.bergen@observepoint.com
www.observepoint.com
&lt;https://groove.grvlnk4.com/url/wzbqt9sg9zfq1uwv9c4ep/aHR0cDovL3d3dy5vYnNlcnZlcG9pbnQuY29tLyNncm9vdmVzdW06LTc2MTEwNTM3MA%3D%3D&gt;
&lt;https://groove.grvlnk4.com/url/wzbqt9sg9zfq1uwv9c4ep/aHR0cHM6Ly93d3cub2JzZXJ2ZXBvaW50LmNvbS9lbWFpbC1zaWduYXR1cmUvb2ZmZXIvb2ZmZXItdXMucGhwI2dyb29</t>
  </si>
  <si>
    <t>19ac1cd752893048</t>
  </si>
  <si>
    <t>Eric Nordin &lt;enordin@rdoffutt.com&gt;, Jordan Moore &lt;JLMoore@rdoffutt.com&gt;, Nic Suder &lt;nic.suder@observepoint.com&gt;, John Davis &lt;john.davis@observepoint.com&gt;</t>
  </si>
  <si>
    <t>I definitely have time open on the 16th! 
Would 8, 9, 9:30 or 1:30 MST work for you Eric?
On Nov 27, 2025, at 1:07 AM, Bryce Bergen &lt;bryce.bergen@observepoint.com&gt; 
wrote:
﻿
Thanks, Eric.  
@Macey Bell are you available for this call on December 16th? 
*Regards, *
Bryce Bergen *   |    * *Senior Account Executive*
Cell: 801.913.4463
bryce.bergen@observepoint.com
www.observepoint.com 
&lt;https://groove.grvlnk4.com/url/wzbqt9sg9zfq1uwv9c4ep/aHR0cDovL3d3dy5vYnNlcnZlcG9pbnQuY29tLyNncm9vdmVzdW</t>
  </si>
  <si>
    <t>19ac23d445141d15</t>
  </si>
  <si>
    <t>"Moore, Jordan" &lt;JLMoore@rdoffutt.com&gt;, Nic Suder &lt;nic.suder@observepoint.com&gt;, John Davis &lt;john.davis@observepoint.com&gt;, "Fergel, Bradley" &lt;bfergel@rdoffutt.com&gt;</t>
  </si>
  <si>
    <t xml:space="preserve">8am will work. Add Bradley Fergel and Jordan Moore as optionals. Be sure to record, as I'm pretty sure Jordan won't be able to make it.
Thanks,
_______________________________
Eric Nordin, CISSP
Lead IT Security Administrator
R.D. Offutt Company
Phone: +1 (701)  990-2980
________________________________
From: Macey Bell &lt;macey.bell@observepoint.com&gt;
Sent: Wednesday, November 26, 2025 2:14 PM
To: Bryce Bergen &lt;bryce.bergen@observepoint.com&gt;
Cc: Nordin, Eric &lt;enordin@rdoffutt.com&gt;; </t>
  </si>
  <si>
    <t>19ac2455976b3f65</t>
  </si>
  <si>
    <t>Eric Nordin &lt;enordin@rdoffutt.com&gt;</t>
  </si>
  <si>
    <t>Bryce Bergen &lt;bryce.bergen@observepoint.com&gt;, Jordan Moore &lt;JLMoore@rdoffutt.com&gt;, Nic Suder &lt;nic.suder@observepoint.com&gt;, John Davis &lt;john.davis@observepoint.com&gt;, Bradley Fergel &lt;bfergel@rdoffutt.com&gt;</t>
  </si>
  <si>
    <t xml:space="preserve">John do you mind sending the invite for this! That way it will be easiest 
to schedule a follow up utilizing the same zoom link in the future or to 
set a recurring meeting.
On Nov 27, 2025, at 6:16 AM, Nordin, Eric &lt;enordin@rdoffutt.com&gt; wrote:
﻿ 
8am will work. Add Bradley Fergel and Jordan Moore as optionals. Be sure to 
record, as I'm pretty sure Jordan won't be able to make it.
Thanks,
_______________________________
Eric Nordin, CISSP
Lead IT Security Administrator
R.D. Offutt Company
</t>
  </si>
  <si>
    <t>19ae0d57e7956c04</t>
  </si>
  <si>
    <t>Eric Nordin &lt;enordin@rdoffutt.com&gt;, Bryce Bergen &lt;bryce.bergen@observepoint.com&gt;, Jordan Moore &lt;JLMoore@rdoffutt.com&gt;, Nic Suder &lt;nic.suder@observepoint.com&gt;, Bradley Fergel &lt;bfergel@rdoffutt.com&gt;</t>
  </si>
  <si>
    <t xml:space="preserve">Sure thing, I will do that now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&lt;https://groove.grvlnk4.com/url/typa6byifukvbtijwod94/aHR0cHM6Ly93d3cub2JzZXJ2ZXBvaW50LmNvbS9lbWFpbC1zaWduYXR1cmUvb2ZmZXIvb2ZmZXItdXMucGhwI2dyb292ZXN1bTotNTA3NzUxODQz&gt;
On Wed, Nov 26, 2025 at </t>
  </si>
  <si>
    <t>19ae13bfb1b87c43</t>
  </si>
  <si>
    <t xml:space="preserve">Just sent it, I am looking forward to meeting you all!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&lt;https://groove.grvlnk4.com/url/typa6byifukvbtijwod94/aHR0cHM6Ly93d3cub2JzZXJ2ZXBvaW50LmNvbS9lbWFpbC1zaWduYXR1cmUvb2ZmZXIvb2ZmZXItdXMucGhwI2dyb292ZXN1bTotNTA3NzUxODQz&gt;
</t>
  </si>
  <si>
    <t>19aba6b87258d8ec</t>
  </si>
  <si>
    <t>John Davis &lt;john.davis@observepoint.com&gt;, jlmoore@rdoffutt.com, enordin@rdoffutt.com</t>
  </si>
  <si>
    <t>Invitation: ObservePoint | RDO - Sync + CSM Introduction  @ Tue Dec 9, 2025 11am - 11:30am (MST) (John Davis)</t>
  </si>
  <si>
    <t>ObservePoint | RDO - Sync + CSM Introduction
Tuesday Dec 9, 2025 ⋅ 11am – 11:30am
Mountain Time - Denver
Organizer
Macey Bell
macey.bell@observepoint.com
Guests
Macey Bell - organizer
John Davis
jlmoore@rdoffutt.com
enordin@rdoffutt.com
View all guest info  
https://calendar.google.com/calendar/event?action=VIEW&amp;eid=NmsyOWJoajd2bW9hOGQ4bWIwMjl1ZDQ0bnMgam9obi5kYXZpc0BvYnNlcnZlcG9pbnQuY29t&amp;tok=MjcjbWFjZXkuYmVsbEBvYnNlcnZlcG9pbnQuY29tNmM2YzYyMTkwNTdmNTYyMjMzMGFiYjUyMGFiYjBlZWRjY</t>
  </si>
  <si>
    <t>19aba5588da55d8f</t>
  </si>
  <si>
    <t>Winnie Ho &lt;who@questrade.com&gt;, John Davis &lt;john.davis@observepoint.com&gt;</t>
  </si>
  <si>
    <t>New ObservePoint CSM</t>
  </si>
  <si>
    <t>Hi Winnie,
I just scheduled some time to introduce you to John Davis, who will be your
new main contact with ObservePoint going forward. Let me know if the time
doesn't work and I can send some additional availability that aligns for
both John and I.
I think if it's a discussion that's happened internally already, it would
be great if you could share your biggest goals as a company and as a team
for 2026 with John so he can tailor his support to what will matter most to
you and to qu</t>
  </si>
  <si>
    <t>19abb7fffee257df</t>
  </si>
  <si>
    <t>John Davis &lt;john.davis@observepoint.com&gt;, Raymond Chau &lt;rchau@questrade.com&gt;, Clauria Yang &lt;cyang@questrade.com&gt;</t>
  </si>
  <si>
    <t>Re: New ObservePoint CSM</t>
  </si>
  <si>
    <t>Thanks Macey for the introduction.
Hi John,
Nice to meet you. Great timing to discuss our plan for 2026 :)
2025 has been a year of transition for us in terms of the analytics and
data platform we use in Questrade. Moving forward in 2026, the key tools
that we will need to monitor are Google Analytics, Amplitude, Braze and
media platforms tracking. I'd assume ObservePoint has the capability to
monitor all these platforms, but just wanted to reconfirm.
Also in 1st half of 2026, our w</t>
  </si>
  <si>
    <t>19abc158167f7c15</t>
  </si>
  <si>
    <t>Macey Bell &lt;macey.bell@observepoint.com&gt;, Raymond Chau &lt;rchau@questrade.com&gt;, Clauria Yang &lt;cyang@questrade.com&gt;</t>
  </si>
  <si>
    <t>Thank you for the introduction, Macey.
It's great to meet you all. I'm taking over as your Customer Success
Manager and am here to make this transition as smooth as possible.
Thanks so much Winnie for sending over your thoughts, that is fantastic!
I will go over these action items with our team in preparation for our next
meeting to utilize your time as much as possible. Let me know anything else
that comes to your mind beforehand as well.
On Tue, Nov 25, 2025 at 7:51 AM Winnie Ho</t>
  </si>
  <si>
    <t>19b0f3cabcd4a660</t>
  </si>
  <si>
    <t>Thanks for your time today Winnie and Raymond, it was great to meet you
face to face and I look forward to working with you.
Here are some slots available for starting a bi-weekly cadence with you
guys to help your projects moving forward, feel free to grab one of these
that work for you two
Meeting length: 30 Minutes
Time Zone: (GMT-7) MST/Denver
Mon Jan 5 Tue Jan 6 Wed Jan 7 Thu Jan 8
 1:00  PM
&lt;https://observepoint.chilipiper.com/suggested-times/3bd1ba63-2c25-4915-8386-93d472e764</t>
  </si>
  <si>
    <t>19aba527786e6cd7</t>
  </si>
  <si>
    <t>John Davis &lt;john.davis@observepoint.com&gt;, who@questrade.com</t>
  </si>
  <si>
    <t>Invitation: ObservePoint | Questrade - New CSM Instroduction @ Thu Dec 11, 2025 1:30pm - 2pm (MST) (John Davis)</t>
  </si>
  <si>
    <t>ObservePoint | Questrade - New CSM Instroduction
Thursday Dec 11, 2025 ⋅ 1:30pm – 2pm
Mountain Time - Denver
Organizer
Macey Bell
macey.bell@observepoint.com
Guests
Macey Bell - organizer
John Davis
who@questrade.com
View all guest info  
https://calendar.google.com/calendar/event?action=VIEW&amp;eid=NWludTZyZGhiYWFsNGthbTlsc2I0bml1amogam9obi5kYXZpc0BvYnNlcnZlcG9pbnQuY29t&amp;tok=MjcjbWFjZXkuYmVsbEBvYnNlcnZlcG9pbnQuY29tMGYxZjE0MDBkMDZlOTIzOTI3NDFlOWM3MGVlZWMwZGRjNzEyN2E0ZA&amp;ctz=America</t>
  </si>
  <si>
    <t>19aba35aa932ecbb</t>
  </si>
  <si>
    <t>John Davis &lt;john.davis@observepoint.com&gt;, steve.choi@prudential.com</t>
  </si>
  <si>
    <t>Invitation: ObservePoint | Prudential - Sync @ Weekly from 10am to 10:30am on Friday (MST) (John Davis)</t>
  </si>
  <si>
    <t>ObservePoint | Prudential - Sync
Weekly from 10am to 10:30am on Friday
Mountain Time - Denver
Join Zoom Meeting
https://observepoint.zoom.us/j/3742631971?pwd=Z2JhWG1yV1ZtOVBnMVZaRDR0bjVDZz09&amp;omn=97236069301&amp;jst=2
Join by phone
(US) +1 888-788-0099
passcode: 318688
Joining instructions
https://www.google.com/url?q=https://applications.zoom.us/addon/invitation/detail?meetingUuid%3DXB4F8vfnRm6seMgFF7tMcw%253D%253D%26signature%3Db32e37389c9c82270ba1743357245e0adb802fef4181d09fad98</t>
  </si>
  <si>
    <t>19aba33945764344</t>
  </si>
  <si>
    <t>John Davis &lt;john.davis@observepoint.com&gt;, anthony.mcmahon@pmi.org, Abel Gomez &lt;abel.gomez@observepoint.com&gt;</t>
  </si>
  <si>
    <t>observepoint.com, pmi.org</t>
  </si>
  <si>
    <t>Invitation: PMI | ObservePoint Monthly Sync @ Wed Dec 10, 2025 11:30am - 12pm (MST) (John Davis)</t>
  </si>
  <si>
    <t>PMI | ObservePoint Monthly Sync
Wednesday Dec 10, 2025 ⋅ 11:30am – 12pm
Mountain Time - Denver
Join Zoom Meeting
https://observepoint.zoom.us/j/3742631971?pwd=Z2JhWG1yV1ZtOVBnMVZaRDR0bjVDZz09&amp;omn=92049937401
Join by phone
(US) +1 888-788-0099
passcode: 318688
Joining instructions
https://www.google.com/url?q=https://applications.zoom.us/addon/invitation/detail?meetingUuid%3DQLDzuW4gRnqYOUDdvgB8PQ%253D%253D%26signature%3Dcc93c786984f6556ac431a15441f4f79b44e2e2f36d124f1cd4d9495b</t>
  </si>
  <si>
    <t>19a9d6cb9f751180</t>
  </si>
  <si>
    <t>Rescheduling due to conflicts.
Hi All,
We will review ObservePoint audit of 10K master list of Pru.com URLs with broader team to identify any issues with missing/unnecessary tags, OneTrust cookie banners, broken links like 404, site load speed, etc.
Thanks,
Steve
________________________________________________________________________________
Microsoft Teams Need help?&lt;https://aka.ms/JoinTeamsMeeting?omkt=en-US&gt;
Join the meeting now&lt;https://teams.microsoft.com/l/meetup-join/19%3am</t>
  </si>
  <si>
    <t>19ab6d82f4e2e9b8</t>
  </si>
  <si>
    <t>Lauren Tajar &lt;lauren.tajar@prudential.com&gt;, Baijnath Gupta &lt;baijnath.gupta@prudential.com&gt;, Chirag Patel &lt;chirag1.patel@prudential.com&gt;, Eileen Cuevas &lt;eileen.cuevas@prudential.com&gt;, Jenny Castri &lt;jennifer.castri@prudential.com&gt;, Mike Vance &lt;michael.vance@prudential.com&gt;, Paula McNerney &lt;paula.mcnerney@prudential.com&gt;, Swati Nehra &lt;swati.nehra@prudential.com&gt;, Priyank Goswami &lt;priyank.goswami@prudential.com&gt;, Raghunath Munugala &lt;raghunath.munugala@prudential.com&gt;, Rolando Rafanan &lt;rolando.rafanan@prudential.com&gt;, Sanjana Dodley &lt;sanjana.dodley@prudential.com&gt;, Sean Murray &lt;sean.murray@prudential.com&gt;, Radhakrishna Nagaraj &lt;radhakrishna.nagaraj@prudential.com&gt;, Narender Reddy Karka &lt;narender.reddy@prudential.com&gt;, Maximilian Stefani &lt;maximilian.stefani@prudential.com&gt;, Rathna Chinnappa &lt;rathna.chinnappa@prudential.com&gt;, Prabhu Biradar &lt;prabhugouda.biradar@prudential.com&gt;, John Davis &lt;john.davis@observepoint.com&gt;</t>
  </si>
  <si>
    <t>Re: ObservePoint Audit of Pru.com</t>
  </si>
  <si>
    <t>Hey Steve,
No worries at all. I saw the meeting was moved to December 4, and that
works perfectly for me.
Thanks,
Nic Suder
On Wed, Nov 19, 2025 at 11:42 AM Steve Choi &lt;steve.choi@prudential.com&gt;
wrote:
&gt; Rescheduling due to conflicts.
&gt;
&gt;
&gt;
&gt; Hi All,
&gt;
&gt;
&gt;
&gt; We will review ObservePoint audit of 10K master list of Pru.com URLs with
&gt; broader team to identify any issues with missing/unnecessary tags, OneTrust
&gt; cookie banners, broken links like 404, site load speed, etc</t>
  </si>
  <si>
    <t>19a9d0c27cd45c75</t>
  </si>
  <si>
    <t>Steve Choi &lt;steve.choi@prudential.com&gt;, John Davis &lt;john.davis@observepoint.com&gt;, Nic Suder &lt;nic.suder@observepoint.com&gt;</t>
  </si>
  <si>
    <t>Re: ObservePoint audit of PGIM URLs - Next Steps</t>
  </si>
  <si>
    <t>Hi Steve,
I am on PTO that week and have really limited availability next week due to
the holiday and many others rescheduling with me already so I am CCing my
colleagues Nic and John who should be able to help with this particular
discussion while I am out. Can you guys share your calendar?
On Wed, Nov 19, 2025 at 7:15 AM Steve Choi &lt;steve.choi@prudential.com&gt;
wrote:
&gt; Are you free 2:30-3:30pm ET/12:30-1:30pm MT on Wed 12/3?  I can reschedule
&gt; for this time.
&gt;
&gt;
&gt;
&gt; *Fr</t>
  </si>
  <si>
    <t>19a9d12a5eb462de</t>
  </si>
  <si>
    <t>Steve Choi &lt;steve.choi@prudential.com&gt;, John Davis &lt;john.davis@observepoint.com&gt;</t>
  </si>
  <si>
    <t>Hey Steve,
I am happy to sync up! Let me drop my calendar link below and you can find
a time that works with your schedule.
*Calendar Link:* https://observepoint.chilipiper.com/personal-page/nic-suder
&lt;https://us-3129.email-composer-webhooks.gong.io/email-tracking/clicked?email-info-token=eyJhbGciOiJIUzI1NiJ9.eyJjb21wYW55SWQiOiI4OTgyMjM2MTQxODc2Mjk3NzAiLCJkcmFmdElkIjoicjMzMDEwMTAyOTEwMjAwMTcwNDMiLCJsaW5rVXJsIjoiaHR0cHM6Ly9vYnNlcnZlcG9pbnQuY2hpbGlwaXBlci5jb20vcGVyc29uYWwtcGFnZS9uaWMtc3V</t>
  </si>
  <si>
    <t>19be182ffb576254</t>
  </si>
  <si>
    <t>John Davis &lt;john.davis@observepoint.com&gt;, bwalsh@torrid.com, Clarke Anderson &lt;clarke.anderson@observepoint.com&gt;, bisaac@torrid.com, kjain@torrid.com</t>
  </si>
  <si>
    <t>observepoint.com, torrid.com</t>
  </si>
  <si>
    <t>Updated invitation: ObservePoint | Torrid - Sync @ Thu Jan 22, 2026 3pm - 3:30pm (MST) (John Davis)</t>
  </si>
  <si>
    <t>This event has been updated
Changed: title, conferencing
ObservePoint | Torrid - Sync
Thursday Jan 22, 2026 ⋅ 3pm – 3:30pm
Mountain Time - Denver
Join Zoom Meeting
https://observepoint.zoom.us/j/3742631971?pwd=Z2JhWG1yV1ZtOVBnMVZaRDR0bjVDZz09&amp;omn=91711765573&amp;jst=2
Join by phone
(US) +1 888-788-0099
passcode: 318688
Joining instructions
https://www.google.com/url?q=https://applications.zoom.us/addon/invitation/detail?meetingUuid%3D150GesXJTiaSD0cLSkha8Q%253D%253D%26signat</t>
  </si>
  <si>
    <t>19be181decfd3984</t>
  </si>
  <si>
    <t>Invitation: Meeting with Macey @ Thu Jan 22, 2026 3pm - 3:30pm (MST) (John Davis)</t>
  </si>
  <si>
    <t>Meeting with Macey
Thursday Jan 22, 2026 ⋅ 3pm – 3:30pm
Mountain Time - Denver
Join with Google Meet
https://meet.google.com/zrc-mrzq-dkq?hs=224
Join by phone
(US) +1 414-909-6515
PIN: 128864688
More phone numbers
https://tel.meet/zrc-mrzq-dkq?pin=5906348745652&amp;hs=0
Looking forward to connecting.
If you need to reschedule, please use the link:  
https://observepoint.chilipiper.com/reschedule/1e76cd53-6799-411d-a8ba-be18f361a2eb
Organizer
Macey Bell
macey.bell@obse</t>
  </si>
  <si>
    <t>19bc895d4d3067dc</t>
  </si>
  <si>
    <t>Brendan Walsh &lt;BWalsh@torrid.com&gt;, John Davis &lt;john.davis@observepoint.com&gt;, Clarke Anderson &lt;clarke.anderson@observepoint.com&gt;</t>
  </si>
  <si>
    <t>torrid.com, observepoint.com</t>
  </si>
  <si>
    <t>Bassem Isaac &lt;BIsaac@torrid.com&gt;, Kushank Jain &lt;kjain@torrid.com&gt;</t>
  </si>
  <si>
    <t>torrid.com</t>
  </si>
  <si>
    <t>Re: [EXTERNAL] Re: Torrid Sign in and Audit</t>
  </si>
  <si>
    <t>Hi Brendan,
Thanks so much for making the introduction. We are looking forward to
aligning with Bassem on the platform's key use cases. Please don't hesitate
to reach out if there is anything we can run in ObservePoint to support
your team’s immediate goals.
Bassem,
Much like your side, our team is evolving. While I will remain involved
through the renewal, *John Davis* will be the main point of contact for
Torrid moving forward. I’d love to join a call with both Bassem and John to</t>
  </si>
  <si>
    <t>19be15cac79d0dea</t>
  </si>
  <si>
    <t>John Davis &lt;john.davis@observepoint.com&gt;, Clarke Anderson &lt;clarke.anderson@observepoint.com&gt;</t>
  </si>
  <si>
    <t>Hey Bassem!
Did any of these times work for you? Or do you need some more options sent
over. If you can let me know your time zone you work out of I can try to
accommodate most ideal times.
On Fri, Jan 16, 2026 at 1:53 PM Macey Bell &lt;macey.bell@observepoint.com&gt;
wrote:
&gt; Hi Brendan,
&gt;
&gt; Thanks so much for making the introduction. We are looking forward to
&gt; aligning with Bassem on the platform's key use cases. Please don't hesitate
&gt; to reach out if there is anything we can run i</t>
  </si>
  <si>
    <t>19bbe7424018d972</t>
  </si>
  <si>
    <t>OneTrust Regex Issue</t>
  </si>
  <si>
    <t>Hey Dipendra,
Following up on our discussion regarding the OneTrust regex issue you
raised with Macey two meetings ago, I have an update after speaking with
our engineering lead.
I just realized that the workflow I demonstrated during our last
meeting—importing and syncing the OneTrust consent categories and then
reprocessing the audits—may resolve the original issue.
Are you seeing this fix reflected in your audits?
*Regards, *
John Davis *   |    * *Customer Success Manager*</t>
  </si>
  <si>
    <t>19bb904be724a897</t>
  </si>
  <si>
    <t>evar13 Journey</t>
  </si>
  <si>
    <t>Hey Phil,
When I manually test your search on your homepage, I am not seeing the
evar13 in the interact payload or the searchTerm in the DataLayer at all
right now, see screenshot below, is that expected?
[image: image.png]
*Regards, *
John Davis *   |    * *Customer Success Manager*
Cell: 801.633.6013
john.davis@observepoint.com
www.observepoint.com
&lt;https://us-3129.email-composer-webhooks.gong.io/email-tracking/clicked?email-info-token=eyJhbGciOiJIUzI1NiJ9.eyJjb21wYW55SWQiO</t>
  </si>
  <si>
    <t>19bba0856ad957de</t>
  </si>
  <si>
    <t>"Hagerty, Philip" &lt;phagerty@rwjf.org&gt;</t>
  </si>
  <si>
    <t>RE: evar13 Journey</t>
  </si>
  <si>
    <t>After you enter term, click search, there are two server calls that are set.
The search term is in the first server call.
Events &gt; xdm &gt; customDimensions &gt; eVars &gt; eVar13
From: John Davis &lt;john.davis@observepoint.com&gt;
Sent: Tuesday, January 13, 2026 3:21 PM
To: Hagerty, Philip &lt;phagerty@rwjf.org&gt;
Cc: Macey Bell &lt;macey.bell@observepoint.com&gt;
Subject: evar13 Journey
Hey Phil,
When I manually test your search on your homepage, I am not seeing the evar13 in the interact payload or the</t>
  </si>
  <si>
    <t>19bbdc832e2fc673</t>
  </si>
  <si>
    <t>Hi John, lmk if I can answer any questions, thanks for your help!
From: Hagerty, Philip
Sent: Tuesday, January 13, 2026 8:04 PM
To: John Davis &lt;john.davis@observepoint.com&gt;
Cc: Macey Bell &lt;macey.bell@observepoint.com&gt;
Subject: RE: evar13 Journey
After you enter term, click search, there are two server calls that are set.
The search term is in the first server call.
Events &gt; xdm &gt; customDimensions &gt; eVars &gt; eVar13
From: John Davis &lt;john.davis@observepoint.com&lt;mailto:john.davis@obse</t>
  </si>
  <si>
    <t>19bbe5bec0fbef84</t>
  </si>
  <si>
    <t>Re: evar13 Journey</t>
  </si>
  <si>
    <t>I don't think so, I am getting some inconsistent results in my testing and
I have looped in our engineering team to look into it further.
I will let you know once I have something more robust set up for you. Sorry
I wish I had a better answer for you on this right now.
*Regards, *
John Davis *   |    * *Customer Success Manager*
Cell: 801.633.6013
john.davis@observepoint.com
www.observepoint.com
&lt;https://groove.grvlnk4.com/url/typa6byifukvbtijwod94/aHR0cDovL3d3dy5vYnNlcnZlcG9pbn</t>
  </si>
  <si>
    <t>19bbe7f53817c749</t>
  </si>
  <si>
    <t>Ok.
Because the journey fires two direct calls
1. web.webinteraction.linkClicks
2. web.webpagedetails.pageViews
And the v13 variable is only set in the web.webinteraction.linkClicks, are you able to isolate that direct call when scanning for the variable?
Also, the fix for this issue is going to be put in production tonight, so the rule looking to verify the variable will start working/passing once the fix is in prod.
From: John Davis &lt;john.davis@observepoint.com&gt;
Sent: Wednesday, J</t>
  </si>
  <si>
    <t>19bc25d588f55063</t>
  </si>
  <si>
    <t>Ah ok thanks for the info, we should have it working fine now:
https://app.observepoint.com/web-journey/569254/run/66588708/results?action=4&amp;tab=4
This journey has a rule setup to check for eVar13 on step 4 which is the
step that actually clicks the search button and it seems to be passing
correctly now that your fix is in prod.
Let me know what you think.
*Regards, *
John Davis *   |    * *Customer Success Manager*
Cell: 801.633.6013
john.davis@observepoint.com
www.observe</t>
  </si>
  <si>
    <t>19bc7201abc70446</t>
  </si>
  <si>
    <t>Ok I checked it and it looks good.
Would you please walk through how you set this up with me when we meet?  We can do so are weekly OR if you’re available before.  Let me know.  Thank you for your help!
From: John Davis &lt;john.davis@observepoint.com&gt;
Sent: Thursday, January 15, 2026 10:54 AM
To: Hagerty, Philip &lt;phagerty@rwjf.org&gt;
Subject: Re: evar13 Journey
Ah ok thanks for the info, we should have it working fine now:
https://app.observepoint.com/web-journey/569254/run/66588708/res</t>
  </si>
  <si>
    <t>19bc7f5f480b89d4</t>
  </si>
  <si>
    <t>Hey Phil,
That's great news!
I can jump on a call sometime in the next 3 hours, I am wide open right
now, or we can wait for our scheduled meeting on Tuesday, either works for
me.
*Regards, *
John Davis *   |    * *Customer Success Manager*
Cell: 801.633.6013
john.davis@observepoint.com
www.observepoint.com
&lt;https://groove.grvlnk4.com/url/typa6byifukvbtijwod94/aHR0cDovL3d3dy5vYnNlcnZlcG9pbnQuY29tLyNncm9vdmVzdW06LTc2MTEwNTM3MA%3D%3D&gt;
On Fri, Jan 16, 2026 at 7:05 AM Hage</t>
  </si>
  <si>
    <t>19bdcdbbe53667da</t>
  </si>
  <si>
    <t xml:space="preserve">Phil,
Here is a link to access the recording of our call today, thanks!
https://app.askelephant.ai/share/clips/mclp_01KFEDDXDA76G6TNB95JAWFBCQ
*Regards, *
John Davis *   |    * *Customer Success Manager*
Cell: 801.633.6013
john.davis@observepoint.com
www.observepoint.com
&lt;https://groove.grvlnk4.com/url/typa6byifukvbtijwod94/aHR0cDovL3d3dy5vYnNlcnZlcG9pbnQuY29tLyNncm9vdmVzdW06LTc2MTEwNTM3MA%3D%3D&gt;
On Fri, Jan 16, 2026 at 10:59 AM John Davis &lt;john.davis@observepoint.com&gt;
</t>
  </si>
  <si>
    <t>19bdcf33195beadb</t>
  </si>
  <si>
    <t>Are you available to hop on zoom call for a minute?
Here’s my question.  For the execute js script, How do I know to type this, or where do I get it?  I went to ‘inspect element’ in the browser, and am looking through the console.
[cid:image001.png@01DC8A1B.C31ED4C0]
From: John Davis &lt;john.davis@observepoint.com&gt;
Sent: Tuesday, January 20, 2026 2:22 PM
To: Hagerty, Philip &lt;phagerty@rwjf.org&gt;
Subject: Re: evar13 Journey
Phil,
Here is a link to access the recording of our call to</t>
  </si>
  <si>
    <t>19bdcf7a3d1b7b34</t>
  </si>
  <si>
    <t>Sure, I just sent an invite with the zoom link in another email, I have
about 30 mins before my next meeting.
*Regards, *
John Davis *   |    * *Customer Success Manager*
Cell: 801.633.6013
john.davis@observepoint.com
www.observepoint.com
&lt;https://groove.grvlnk4.com/url/typa6byifukvbtijwod94/aHR0cDovL3d3dy5vYnNlcnZlcG9pbnQuY29tLyNncm9vdmVzdW06LTc2MTEwNTM3MA%3D%3D&gt;
On Tue, Jan 20, 2026 at 12:48 PM Hagerty, Philip &lt;phagerty@rwjf.org&gt; wrote:
&gt; Are you available to hop on zoom</t>
  </si>
  <si>
    <t>19bdd16dfd4b7f51</t>
  </si>
  <si>
    <t>Here is the recording from our second meeting today:
https://app.askelephant.ai/share/clips/mclp_01KFEHBRYZQ60GSXGHYRMZQFHA
*Regards, *
John Davis *   |    * *Customer Success Manager*
Cell: 801.633.6013
john.davis@observepoint.com
www.observepoint.com
&lt;https://groove.grvlnk4.com/url/typa6byifukvbtijwod94/aHR0cDovL3d3dy5vYnNlcnZlcG9pbnQuY29tLyNncm9vdmVzdW06LTc2MTEwNTM3MA%3D%3D&gt;
On Tue, Jan 20, 2026 at 12:52 PM John Davis &lt;john.davis@observepoint.com&gt;
wrote:
&gt; Sure, I ju</t>
  </si>
  <si>
    <t>19be0ff74eb7eb52</t>
  </si>
  <si>
    <t>John this note is to let you know that I created my own version of the search term submit journey.  I’m through a number attempts and am correcting mainly syntax issues.  No action requested; this is FYI only.
From: John Davis &lt;john.davis@observepoint.com&gt;
Sent: Tuesday, January 20, 2026 3:27 PM
To: Hagerty, Philip &lt;phagerty@rwjf.org&gt;
Subject: Re: evar13 Journey
Here is the recording from our second meeting today:
https://app.askelephant.ai/share/clips/mclp_01KFEHBRYZQ60GSXGHYRMZQFHA</t>
  </si>
  <si>
    <t>19be10d6900ecf7a</t>
  </si>
  <si>
    <t xml:space="preserve">Update.  Scratch that.  My journey is still failing.
Its failing on step 4.  It says cant read properties of null click.
Do you want to look or should I hit the ‘ask journey support’ button?
Thanks.
Note:  I changed the input term in step 3.  Also checked and rechecked syntax of script in step 4.  But I could have missed something.
-Phil
From: Hagerty, Philip
Sent: Wednesday, January 21, 2026 9:40 AM
To: 'John Davis' &lt;john.davis@observepoint.com&gt;
Subject: RE: evar13 Journey
</t>
  </si>
  <si>
    <t>19be10f891498667</t>
  </si>
  <si>
    <t>Oh for petes sake.  Disregard.
Journey worked now BUT rule failed due to typo in rule.
Disregard until further notice.  Sorry about that.
From: Hagerty, Philip
Sent: Wednesday, January 21, 2026 9:55 AM
To: 'John Davis' &lt;john.davis@observepoint.com&gt;
Subject: RE: evar13 Journey
Update.  Scratch that.  My journey is still failing.
Its failing on step 4.  It says cant read properties of null click.
Do you want to look or should I hit the ‘ask journey support’ button?
Thanks.
N</t>
  </si>
  <si>
    <t>19be1ad321e846cf</t>
  </si>
  <si>
    <t xml:space="preserve">Hey Phil,
No worries, this can definitely be confusing in the beginning, but before
you know it, you will be a full fledged QA Automation Engineer haha.
I guess I forgot to show you how I got that dot-notated eVar name that I
used in the action step rule. You shouldn't have to type that all out
manually. There are a few ways that you can do this. I can jump on another
short call today to show you this if you would like. I have time between *1:30
and 3pm Mountain Time* today. Here are </t>
  </si>
  <si>
    <t>19bb8c8eef1aabad</t>
  </si>
  <si>
    <t>"Tamara Saban (MARKETING)" &lt;tamara.saban@ros.com&gt;</t>
  </si>
  <si>
    <t>Clarke Anderson &lt;clarke.anderson@observepoint.com&gt;, John Davis &lt;john.davis@observepoint.com&gt;</t>
  </si>
  <si>
    <t>"Fe Valencia (MARKETING)" &lt;fe.valencia@ros.com&gt;</t>
  </si>
  <si>
    <t>RE: [EXTERNAL] New data retention policy -- ObservePoint</t>
  </si>
  <si>
    <t>Hi Clarke,
We just had a call with John Davis where her mentioned this. He is working on pricing so we can review before our contract renewal at the end of March.
Thanks,
Tamara
Tamara Saban
Marketing Operations Manager | Ross Stores, Inc.
[A picture containing text, font, logo, graphics  Description automatically generated]
From: Clarke Anderson &lt;clarke.anderson@observepoint.com&gt;
Sent: Tuesday, January 13, 2026 11:06 AM
To: Tamara Saban (MARKETING) &lt;tamara.saban@ros.com&gt;
Cc: F</t>
  </si>
  <si>
    <t>19bb95878481470b</t>
  </si>
  <si>
    <t>Clarke Anderson &lt;clarke.anderson@observepoint.com&gt;</t>
  </si>
  <si>
    <t>John Davis &lt;john.davis@observepoint.com&gt;, "Fe Valencia (MARKETING)" &lt;fe.valencia@ros.com&gt;</t>
  </si>
  <si>
    <t>observepoint.com, ros.com</t>
  </si>
  <si>
    <t>Re: [EXTERNAL] New data retention policy -- ObservePoint</t>
  </si>
  <si>
    <t>Thanks for confirming, Tamara -- and I hear you about baking the updates
into the renewal in March.
If you'd like to take advantage of our end-of-year promotion we can add in
the retention as a quick addendum. Just let us know.
Clarke Anderson *   |    * *Account Executive*
m: (818) 421-3713
clarke.anderson@observepoint.com
On Tue, Jan 13, 2026 at 12:15 PM Tamara Saban (MARKETING) &lt;
tamara.saban@ros.com&gt; wrote:
&gt; Hi Clarke,
&gt;
&gt;
&gt; We just had a call with John Davis</t>
  </si>
  <si>
    <t>19bb95e7f2ae20cc</t>
  </si>
  <si>
    <t>Sure, please send us the info on a year-end-promo.
Tamara Saban
Marketing Operations Manager | Ross Stores, Inc.
[A picture containing text, font, logo, graphics  Description automatically generated]
From: Clarke Anderson &lt;clarke.anderson@observepoint.com&gt;
Sent: Tuesday, January 13, 2026 1:52 PM
To: Tamara Saban (MARKETING) &lt;tamara.saban@ros.com&gt;
Cc: John Davis &lt;john.davis@observepoint.com&gt;; Fe Valencia (MARKETING) &lt;fe.valencia@ros.com&gt;
Subject: Re: [EXTERNAL] New data retention poli</t>
  </si>
  <si>
    <t>19bb974cf6eedde5</t>
  </si>
  <si>
    <t>Absolutely. Please see below.
3 years + 1 month: 7.5% of ARR annually
5 years + 1 month: 10% of ARR annually
7 years + 1 month: 15% of ARR annually
Starting Feb. 1, List Price starts at 10% and goes to 20%, respectively.
Clarke Anderson *   |    * *Account Executive*
m: (818) 421-3713
clarke.anderson@observepoint.com
On Tue, Jan 13, 2026 at 2:58 PM Tamara Saban (MARKETING) &lt;
tamara.saban@ros.com&gt; wrote:
&gt; Sure, please send us the info on a year-end-promo.
&gt;
&gt;
&gt;</t>
  </si>
  <si>
    <t>19bb97c0840e12fa</t>
  </si>
  <si>
    <t>Can you provide dollar amounts? Thanks!
From: Clarke Anderson &lt;clarke.anderson@observepoint.com&gt;
Sent: Tuesday, January 13, 2026 2:23 PM
To: Tamara Saban (MARKETING) &lt;tamara.saban@ros.com&gt;
Cc: John Davis &lt;john.davis@observepoint.com&gt;; Fe Valencia (MARKETING) &lt;fe.valencia@ros.com&gt;
Subject: Re: [EXTERNAL] New data retention policy -- ObservePoint
Absolutely. Please see below.
3 years + 1 month: 7.5% of ARR annually
5 years + 1 month: 10% of ARR annually
7 years + 1 month: 15% of A</t>
  </si>
  <si>
    <t>19bb988a75c1a0b9</t>
  </si>
  <si>
    <t>Yes, that certainly would make things easier.
3 years + 1 month: $497.25/yr
&lt;https://us-3129.email-composer-webhooks.gong.io/email-tracking/clicked?email-info-token=eyJhbGciOiJIUzI1NiJ9.eyJjb21wYW55SWQiOiI4OTgyMjM2MTQxODc2Mjk3NzAiLCJkcmFmdElkIjoici02NTYwNDg4ODMxNDUwNjUxNDA5IiwibGlua1VybCI6Imh0dHBzOi8vNDk3LjI1L3lyIiwibGlua1RleHQiOiI0OTcuMjUveXIiLCJ0ZW1wbGF0ZUlkIjoiIiwiZXhwIjoxNzcwMTU4NjcwLCJpYXQiOjE3NjgzNDQyNzAsImp0aSI6InZONEdaM3RGMHhMViJ9.vu9fvpqolnTx4Lp4FdfiMI1AuPUSNVNxyi-MO5whBFw&gt;
5 years</t>
  </si>
  <si>
    <t>19bb3ed575c186e8</t>
  </si>
  <si>
    <t>Mycal Tamariki &lt;Mycal.Tamariki@spark.co.nz&gt;</t>
  </si>
  <si>
    <t>Declined: ObservePoint | Spark Bi-Weekly Sync Up</t>
  </si>
  <si>
    <t>19bb3eccddd846a0</t>
  </si>
  <si>
    <t>Krushi Radadiya &lt;krushi.radadiya@spark.co.nz&gt;, Macey Bell &lt;macey.bell@observepoint.com&gt;, Mycal Tamariki &lt;mycal.tamariki@spark.co.nz&gt;, Scott Kempster &lt;scott.kempster@spark.co.nz&gt;, John Davis &lt;john.davis@observepoint.com&gt;</t>
  </si>
  <si>
    <t>spark.co.nz, observepoint.com</t>
  </si>
  <si>
    <t>ObservePoint | Spark Bi-Weekly Sync Up</t>
  </si>
  <si>
    <t>Hey team
Can we cancel today's session its our 2nd day back were still getting our feet under the desks
Cheers
Mycal
Get Outlook for Android&lt;https://aka.ms/AAb9ysg&gt;
________________________________
This email, including any attachments, is confidential. If you have received this email in error, please let me know and then delete it - do not read, use, or distribute it or its contents. This email does not designate an information system for the purposes of the Contract and Commerc</t>
  </si>
  <si>
    <t>19bb3f9d742a53bb</t>
  </si>
  <si>
    <t>Krushi Radadiya &lt;krushi.radadiya@spark.co.nz&gt;, Macey Bell &lt;macey.bell@observepoint.com&gt;, Scott Kempster &lt;scott.kempster@spark.co.nz&gt;</t>
  </si>
  <si>
    <t>Re: ObservePoint | Spark Bi-Weekly Sync Up</t>
  </si>
  <si>
    <t>Sure thing,
We can either wait until our next scheduled meeting on the 27th, or here
are some slots available next week that you can pick from in *New Zealand
Time*:
Meeting length: 30 Minutes
Time Zone: (GMT+13) NZDT/Auckland
Tue Jan 20 Wed Jan 21 Thu Jan 22 Fri Jan 23 Sat Jan 24
 11:00  AM
&lt;https://observepoint.chilipiper.com/suggested-times/950d177d-38f7-4258-acaf-93a5b210359f?slotStartsAt=2026-01-19T22:00:00.000Z&gt;
 10:00  AM
&lt;https://observepoint.chilipiper.com/suggested-times/</t>
  </si>
  <si>
    <t>19ba3664db05815f</t>
  </si>
  <si>
    <t>Declined: ObservePoint | Ross Stores Inc. Sync</t>
  </si>
  <si>
    <t xml:space="preserve">We are scheduled for 10:30am PST because I have a conflict at 9:30am.
</t>
  </si>
  <si>
    <t>19b9f00cbf41922f</t>
  </si>
  <si>
    <t>Dipendra Bagchee &lt;dipendra.m.bagchee@seagate.com&gt;</t>
  </si>
  <si>
    <t>Accepted:  ObservePoint | Seagate Monthly Sync</t>
  </si>
  <si>
    <t>19b9e3432135ca4f</t>
  </si>
  <si>
    <t>Accepted: ObservePoint | Ross Stores Inc. Sync</t>
  </si>
  <si>
    <t>19b9e33276bbc88d</t>
  </si>
  <si>
    <t>"Fe Valencia (MARKETING)" &lt;fe.valencia@ros.com&gt;, John Davis &lt;john.davis@observepoint.com&gt;, Macey Bell &lt;macey.bell@observepoint.com&gt;</t>
  </si>
  <si>
    <t>ros.com, observepoint.com</t>
  </si>
  <si>
    <t xml:space="preserve">
________________________________________________________________________________
Microsoft Teams Need help?&lt;https://aka.ms/JoinTeamsMeeting?omkt=en-US&gt;
Join the meeting now&lt;https://teams.microsoft.com/l/meetup-join/19%3ameeting_ODhmYmM4ZjQtYTY5MS00ZmRhLWE0NTEtNjQ3ODEyNWU5ZWE1%40thread.v2/0?context=%7b%22Tid%22%3a%220039204c-2313-4416-bdc3-42fcf01fdbd6%22%2c%22Oid%22%3a%22e77ce3e9-e912-4905-bd2b-f926b73563a1%22%7d&gt;
Meeting ID: 250 175 110 293 11
Passcode: tY99UJ6k
_________________________</t>
  </si>
  <si>
    <t>19b9a947966de017</t>
  </si>
  <si>
    <t>"Fe Valencia (MARKETING)" &lt;fe.valencia@ros.com&gt;, Macey Bell &lt;macey.bell@observepoint.com&gt;</t>
  </si>
  <si>
    <t>RE: ObservePoint | Ross Stores Inc. Sync</t>
  </si>
  <si>
    <t>Hi John,
Our schedule has changed. Do you have time to meet next week Tue or Wed?
Thanks,
Tamara
Tamara Saban
Marketing Operations Manager | Ross Stores, Inc.
[A picture containing text, font, logo, graphics  Description automatically generated]
-----Original Appointment-----
From: John Davis &lt;john.davis@observepoint.com&gt;
Sent: Tuesday, December 16, 2025 2:10 PM
To: John Davis; Tamara Saban (MARKETING); Fe Valencia (MARKETING); Macey Bell
Subject: ObservePoint | Ross Stores In</t>
  </si>
  <si>
    <t>19b9b8a073c9b431</t>
  </si>
  <si>
    <t>Re: ObservePoint | Ross Stores Inc. Sync</t>
  </si>
  <si>
    <t>Hey Tamara,
Here are some slots next Tues or Wed, feel free to grab one that works for
you, thanks!
Meeting length: 30 Minutes
Time Zone: (GMT-7) MST/Denver
Tue Jan 13 Wed Jan 14
 10:30  AM
&lt;https://observepoint.chilipiper.com/suggested-times/05ce9b4e-eb9a-4271-ba10-a2c687e0bb5e?slotStartsAt=2026-01-13T17:30:00.000Z&gt;
 10:00  AM
&lt;https://observepoint.chilipiper.com/suggested-times/05ce9b4e-eb9a-4271-ba10-a2c687e0bb5e?slotStartsAt=2026-01-14T17:00:00.000Z&gt;
 11:00  AM
&lt;https://observ</t>
  </si>
  <si>
    <t>19b9e33c8daa10d6</t>
  </si>
  <si>
    <t>RE: [EXTERNAL] Re: ObservePoint | Ross Stores Inc. Sync</t>
  </si>
  <si>
    <t>Just sent you the invite for Tue at 11:30am (I think I converted the time zone correctly).
From: John Davis &lt;john.davis@observepoint.com&gt;
Sent: Wednesday, January 7, 2026 6:58 PM
To: Tamara Saban (MARKETING) &lt;tamara.saban@ros.com&gt;
Cc: Fe Valencia (MARKETING) &lt;fe.valencia@ros.com&gt;; Macey Bell &lt;macey.bell@observepoint.com&gt;
Subject: [EXTERNAL] Re: ObservePoint | Ross Stores Inc. Sync
This message is from an EXTERNAL SENDER - BE CAUTIOUS, particularly with unknown senders, links, and att</t>
  </si>
  <si>
    <t>19b7a575ccc0186c</t>
  </si>
  <si>
    <t>"nic.suder@observepoint.com" &lt;nic.suder@observepoint.com&gt;, "tverga@torrid.com" &lt;tverga@torrid.com&gt;, "clarke.anderson@observepoint.com" &lt;clarke.anderson@observepoint.com&gt;, "john.davis@observepoint.com" &lt;john.davis@observepoint.com&gt;</t>
  </si>
  <si>
    <t>Upcoming ObservePoint Renewal on January 31, 2026 - Torrid</t>
  </si>
  <si>
    <t xml:space="preserve">
[image: ObservePoint Logo_Gray_ON_YEllow_LOGO.jpeg]
A friendly reminder that it's time to renew.
Hi Thomas,
The last day of your current term is *January 31, 2026*.
If you have already completed renewal paperwork or opted to auto-renew your 
agreement, no action is required.
Please reach out to your account team if you have any questions.
*Customer Success Manager -* john.davis@observepoint.com
*Account Executive - * clarke.anderson@observepoint.com
</t>
  </si>
  <si>
    <t>19b753117e2d45eb</t>
  </si>
  <si>
    <t>"nic.suder@observepoint.com" &lt;nic.suder@observepoint.com&gt;, "clarke.anderson@observepoint.com" &lt;clarke.anderson@observepoint.com&gt;, "john.davis@observepoint.com" &lt;john.davis@observepoint.com&gt;, "deepa.neary@ros.com" &lt;deepa.neary@ros.com&gt;</t>
  </si>
  <si>
    <t>Upcoming ObservePoint Renewal on March 31, 2026 - Ross Stores Inc.</t>
  </si>
  <si>
    <t xml:space="preserve">
[image: ObservePoint Logo_Gray_ON_YEllow_LOGO.jpeg]
A friendly reminder that it's time to renew.
Hi Deepa,
Thank you for being an ObservePoint customer!
This is an automated notification to let you know that the end of your 
current term is* March 31, 2026*.
We know approval and procurement processes can take time, and we want to 
avoid any interruption of service, hence we are reaching out now.
Please reach out to your account team if you have any questions, or if you 
anticipate any </t>
  </si>
  <si>
    <t>19b8ee37132cdce9</t>
  </si>
  <si>
    <t>"nic.suder@observepoint.com" &lt;nic.suder@observepoint.com&gt;, "clarke.anderson@observepoint.com" &lt;clarke.anderson@observepoint.com&gt;, "john.davis@observepoint.com" &lt;john.davis@observepoint.com&gt;</t>
  </si>
  <si>
    <t>FW: [EXTERNAL] Upcoming ObservePoint Renewal on March 31, 2026 - Ross Stores Inc.</t>
  </si>
  <si>
    <t>Hello,
Can you please add me to the future emails? I handle marketing contracts and need to be in the loop.
Much appreciated!
And Happy New Year!
Tamara
---
Tamara Saban
Marketing Operations Manager | Ross Stores, Inc.
[A picture containing text, font, logo, graphics  Description automatically generated]
From: Deepa Neary (Marketing) &lt;Deepa.Neary@ros.com&gt;
Sent: Wednesday, December 31, 2025 8:18 AM
To: Tamara Saban (MARKETING) &lt;tamara.saban@ros.com&gt;
Subject: FW: [EXTERNAL]</t>
  </si>
  <si>
    <t>19b8f088d69cfaf6</t>
  </si>
  <si>
    <t>Revenue Operations &lt;salesops@observepoint.com&gt;, "nic.suder@observepoint.com" &lt;nic.suder@observepoint.com&gt;, "john.davis@observepoint.com" &lt;john.davis@observepoint.com&gt;</t>
  </si>
  <si>
    <t>Re: FW: [EXTERNAL] Upcoming ObservePoint Renewal on March 31, 2026 - Ross Stores Inc.</t>
  </si>
  <si>
    <t>Yes, Happy New Year indeed! I've added you to our Billing contact list for
all future contract communications. Thanks for letting us know.
Clarke Anderson *   |    * *Account Executive*
m: (818) 421-3713
clarke.anderson@observepoint.com
On Mon, Jan 5, 2026 at 9:00 AM Tamara Saban (MARKETING) &lt;
tamara.saban@ros.com&gt; wrote:
&gt; Hello,
&gt;
&gt;
&gt;
&gt; Can you please add me to the future emails? I handle marketing contracts
&gt; and need to be in the loop.
&gt;
&gt;
&gt;
&gt; Much appreciat</t>
  </si>
  <si>
    <t>19b293b9087b2675</t>
  </si>
  <si>
    <t>19b293abb4127807</t>
  </si>
  <si>
    <t>19b27aa9f411280f</t>
  </si>
  <si>
    <t>Macey Bell &lt;macey.bell@observepoint.com&gt;, Andy Compas &lt;andy.compas@observepoint.com&gt;, John Davis &lt;john.davis@observepoint.com&gt;</t>
  </si>
  <si>
    <t>RE: ObservePoint | RWJF - Sync</t>
  </si>
  <si>
    <t>Macey, I'm out of office today, and we're closed rest of year starting next week.  Have a great holiday and safe travels if you're traveling,  See you in January!
-----Original Appointment-----
From: Macey Bell &lt;macey.bell@observepoint.com&gt;
Sent: Tuesday, November 25, 2025 3:52 AM
To: Macey Bell; Hagerty, Philip; Andy Compas; John Davis
Subject: ObservePoint | RWJF - Sync
When: Tuesday, December 16, 2025 12:00 PM-12:30 PM America/Denver.
Where:
ObservePoint | RWJF - Sync
This em</t>
  </si>
  <si>
    <t>19b241c7c45a3d55</t>
  </si>
  <si>
    <t>19b2401712965c8f</t>
  </si>
  <si>
    <t>New Time Proposed: Meeting with John</t>
  </si>
  <si>
    <t>19b23ef480214909</t>
  </si>
  <si>
    <t>Macey Bell &lt;macey.bell@observepoint.com&gt;, fe.valencia@ros.com, tamara.saban@ros.com</t>
  </si>
  <si>
    <t>Sync Up Scheduling</t>
  </si>
  <si>
    <t xml:space="preserve">Hey Tamara and Fe,
It's great to meet you both. I'm taking over as your Customer Success
Manager and am here to make this transition as smooth as possible.
I would love to learn more about your goals for your audits next year and
discuss how we can partner with you to meet and exceed those goals.
Go ahead and pick up a slot to schedule our next meeting and then I will
convert it to a monthly sync moving forward.
Meeting length: 30 Minutes
Time Zone: (GMT-7) MST/Denver
Mon Jan 5 </t>
  </si>
  <si>
    <t>19b23ff73bdf026b</t>
  </si>
  <si>
    <t>Macey Bell &lt;macey.bell@observepoint.com&gt;, "Fe Valencia (MARKETING)" &lt;fe.valencia@ros.com&gt;</t>
  </si>
  <si>
    <t>RE: [EXTERNAL] Sync Up Scheduling</t>
  </si>
  <si>
    <t>Hi John,
It was nice to meet you.
With the upcoming holidays, we really won’t have much of an update until second half of January. How’s your availability around January 23rd?
Thanks,
Tamara
Tamara Saban
Marketing Operations Manager | Ross Stores, Inc.
[A picture containing text, font, logo, graphics  Description automatically generated]
From: John Davis &lt;john.davis@observepoint.com&gt;
Sent: Monday, December 15, 2025 1:34 PM
To: Macey Bell &lt;macey.bell@observepoint.com&gt;; Fe Valenc</t>
  </si>
  <si>
    <t>19b2932816b97f55</t>
  </si>
  <si>
    <t>Re: [EXTERNAL] Sync Up Scheduling</t>
  </si>
  <si>
    <t>Sure thing, it looks like Fe scheduled something on Jan 5th so I will
cancel that and below are some later datetimes in the month that you can
pick from that work for both of you:
Meeting length: 30 Minutes
Time Zone: (GMT-7) MST/Denver
Thu Jan 22 Fri Jan 23 Mon Jan 26 Tue Jan 27 Wed Jan 28
 10:00  AM
&lt;https://observepoint.chilipiper.com/suggested-times/f4cce178-b809-4b33-abe3-cb66903ec289?slotStartsAt=2026-01-22T17:00:00.000Z&gt;
 10:30  AM
&lt;https://observepoint.chilipiper.com/suggested</t>
  </si>
  <si>
    <t>19b0fae0be33650c</t>
  </si>
  <si>
    <t>John Davis &lt;john.davis@observepoint.com&gt;, "Tamara Saban (MARKETING)" &lt;tamara.saban@ros.com&gt;, fe.valencia@ros.com</t>
  </si>
  <si>
    <t>Invitation: Ross/ObservePoint TB @ Mon Dec 15, 2025 2pm - 2:30pm (MST) (null)</t>
  </si>
  <si>
    <t>Ross/ObservePoint TB
Monday Dec 15, 2025 ⋅ 2pm – 2:30pm
Mountain Standard Time - Phoenix
Location
Microsoft Teams Meeting	
https://www.google.com/maps/search/Microsoft+Teams+Meeting?hl=en
We’ll talk about the GPC signal testing and the year ahead.
________________________________________________________________________________
Microsoft Teams Need help?
Join the meeting now
Meeting ID: 297 647 782 742 00
Passcode: M7UZ9J6J
________________________________
Join on a video c</t>
  </si>
  <si>
    <t>19b0a6da0e5ed043</t>
  </si>
  <si>
    <t>Scott Kempster &lt;Scott.Kempster@spark.co.nz&gt;</t>
  </si>
  <si>
    <t>Accepted: ObservePoint | Spark Bi-Weekly Sync Up</t>
  </si>
  <si>
    <t xml:space="preserve">________________________________
This email, including any attachments, is confidential. If you have received this email in error, please let me know and then delete it - do not read, use, or distribute it or its contents. This email does not designate an information system for the purposes of the Contract and Commercial Law Act 2017.
</t>
  </si>
  <si>
    <t>19b09f9505523928</t>
  </si>
  <si>
    <t>Krushi Radadiya &lt;Krushi.Radadiya@spark.co.nz&gt;</t>
  </si>
  <si>
    <t>Accepted: ObservePoint | Spark - New CSM Introduction</t>
  </si>
  <si>
    <t xml:space="preserve">
________________________________
This email, including any attachments, is confidential. If you have received this email in error, please let me know and then delete it - do not read, use, or distribute it or its contents. This email does not designate an information system for the purposes of the Contract and Commercial Law Act 2017.
</t>
  </si>
  <si>
    <t>19b04fa88ee112ac</t>
  </si>
  <si>
    <t>John Davis &lt;john.davis@observepoint.com&gt;, dipendra.m.bagchee@seagate.com, dipendra.bagchee@seagate.com</t>
  </si>
  <si>
    <t>observepoint.com, seagate.com</t>
  </si>
  <si>
    <t>Updated invitation: ObservePoint | Seagate- Sync @ Thu Dec 18, 2025 12pm - 12:30pm (MST) (John Davis)</t>
  </si>
  <si>
    <t>This event has been updated
Changed: time
ObservePoint | Seagate- Sync
Thursday Dec 18, 2025 ⋅ 12pm – 12:30pm
Mountain Time - Denver
Join Zoom Meeting
https://observepoint.zoom.us/j/3742631971?pwd=Z2JhWG1yV1ZtOVBnMVZaRDR0bjVDZz09&amp;omn=96553474536&amp;jst=2
Join by phone
(US) +1 888-788-0099
passcode: 318688
Joining instructions
https://www.google.com/url?q=https://applications.zoom.us/addon/invitation/detail?meetingUuid%3DA43JT%252FAdQtytusCvPtlgqg%253D%253D%26signature%3Da89</t>
  </si>
  <si>
    <t>19b04bf1f7938058</t>
  </si>
  <si>
    <t>19ae2c3770032bc8</t>
  </si>
  <si>
    <t>19abf92ce62433c1</t>
  </si>
  <si>
    <t>John Davis &lt;john.davis@observepoint.com&gt;, mycal.tamariki@spark.co.nz, scott.kempster@spark.co.nz, krushi.radadiya@spark.co.nz</t>
  </si>
  <si>
    <t>observepoint.com, spark.co.nz</t>
  </si>
  <si>
    <t>Updated invitation with note: ObservePoint | Spark NZ - Sync @ Mon Dec 15, 2025 1pm - 1:30pm (MST) (John Davis)</t>
  </si>
  <si>
    <t>This event has been updated with a note:
"updated with my zoom link"
Changed: title, conferencing
ObservePoint | Spark NZ - Sync
Monday Dec 15, 2025 ⋅ 1pm – 1:30pm
Mountain Time - Denver
Join Zoom Meeting
https://observepoint.zoom.us/j/3742631971?pwd=Z2JhWG1yV1ZtOVBnMVZaRDR0bjVDZz09&amp;omn=91714766569&amp;jst=2
Join by phone
(US) +1 888-788-0099
passcode: 318688
Joining instructions
https://www.google.com/url?q=https://applications.zoom.us/addon/invitation/detail?meetingUuid%3</t>
  </si>
  <si>
    <t>19abc1111e921b34</t>
  </si>
  <si>
    <t>Meeting with Macey
Monday Dec 15, 2025 ⋅ 1pm – 1:30pm
Mountain Time - Denver
Join with Google Meet
https://meet.google.com/wok-irnt-kbr?hs=224
Join by phone
(US) +1 951-666-5010
PIN: 667340859
More phone numbers
https://tel.meet/wok-irnt-kbr?pin=9881558602424&amp;hs=0
Looking forward to connecting.
If you need to reschedule, please use the link:  
https://observepoint.chilipiper.com/reschedule/dff48407-3c07-49a9-8958-c04d9f668ead
Organizer
Macey Bell
macey.bell@observ</t>
  </si>
  <si>
    <t>19aba8b060cd32a5</t>
  </si>
  <si>
    <t>Krushi Radadiya &lt;krushi.radadiya@spark.co.nz&gt;, Mycal Tamariki &lt;mycal.tamariki@spark.co.nz&gt;, Scott Kempster &lt;Scott.Kempster@spark.co.nz&gt;, John Davis &lt;john.davis@observepoint.com&gt;</t>
  </si>
  <si>
    <t>Hey team!
I would love to schedule a call to introduce you to your new CSM, John
Davis, who will be your main point of contact moving forward regarding your
ObservePoint account.
Do any of these times work to introduce you?
Meeting length: 30 Minutes
Time Zone: (GMT-7) MST/Denver
Wed Dec 10 Thu Dec 11 Mon Dec 15 Wed Dec 17 Thu Dec 18
 2:00  PM
&lt;https://us-3129.email-composer-webhooks.gong.io/email-tracking/clicked?email-info-token=eyJhbGciOiJIUzI1NiJ9.eyJjb21wYW55SWQiOiI4OTgyMjM2M</t>
  </si>
  <si>
    <t>19abc104141ceda9</t>
  </si>
  <si>
    <t>Krushi Radadiya &lt;krushi.radadiya@spark.co.nz&gt;, Mycal Tamariki &lt;mycal.tamariki@spark.co.nz&gt;, Scott Kempster &lt;Scott.Kempster@spark.co.nz&gt;</t>
  </si>
  <si>
    <t>Thank you for the introduction, Macey.
It's great to meet you all. I'm taking over as your Customer Success
Manager and am here to make this transition as smooth as possible.
I would love to learn more about your goals for your audits next year and
discuss how we can partner with you to meet and exceed those goals.
On Tue, Nov 25, 2025 at 3:24 AM Macey Bell &lt;macey.bell@observepoint.com&gt;
wrote:
&gt; Hey team!
&gt;
&gt; I would love to schedule a call to introduce you to your new CSM, John</t>
  </si>
  <si>
    <t>19abcac71a37f0a7</t>
  </si>
  <si>
    <t>Krushi Radadiya &lt;krushi.radadiya@spark.co.nz&gt;, Mycal Tamariki &lt;mycal.tamariki@spark.co.nz&gt;</t>
  </si>
  <si>
    <t>I think we're all okay with the time Macey booked already, does that work for you John?
cheers
Scott Kempster
He / Him
Architect
Spark New Zealand Trading Limited
+64 210320287
[Spark NZ Ltd]&lt;https://www.spark.co.nz/&gt;                [SparkNZ Facebook] &lt;https://facebook.com/spark4nz&gt;      [SparkNZ Instagram] &lt;https://www.instagram.com/sparknz/&gt;        [Spark NZ X] &lt;https://x.com/sparknz&gt;    [SparkNZ LinkedIn] &lt;https://www.linkedin.com/company/2115&gt;
______________________</t>
  </si>
  <si>
    <t>19abcdec5a869b5d</t>
  </si>
  <si>
    <t>Scott Kempster &lt;Scott.Kempster@spark.co.nz&gt;, John Davis &lt;john.davis@observepoint.com&gt;, Macey Bell &lt;macey.bell@observepoint.com&gt;</t>
  </si>
  <si>
    <t>Krushi Radadiya &lt;krushi.radadiya@spark.co.nz&gt;</t>
  </si>
  <si>
    <t>Hey team,
Krushi and I can't do that day unfortunately, can do the day before or after at the same time if that works for you?
Cheers
Mycal
[cid:2b841f12-887a-4e66-a321-bca206c06c2d][cid:b1c9a449-87e6-4f7f-bc9d-329b9fd35f33]
[spark]
Mycal Tamariki
Chapter Lead – Digital Optimisation
Spark New Zealand Trading Limited
M
021 069 1979
E
Mycal.Tamariki@spark.co.nz&lt;mailto:Mycal.Tamariki@spark.co.nz&gt;
Level 4 Purple, Spark City
167 Victor</t>
  </si>
  <si>
    <t>19abd40312aaa86a</t>
  </si>
  <si>
    <t>Mycal Tamariki &lt;Mycal.Tamariki@spark.co.nz&gt;, John Davis &lt;john.davis@observepoint.com&gt;, Macey Bell &lt;macey.bell@observepoint.com&gt;</t>
  </si>
  <si>
    <t>That would be a Sunday evening for Observepoint 🙂
Can we do the 11th Nz time 10 th usa
Scott Kempster
He / Him
Architect
Spark New Zealand Trading Limited
+64 210320287
[Spark NZ Ltd]&lt;https://www.spark.co.nz/&gt;                [SparkNZ Facebook] &lt;https://facebook.com/spark4nz&gt;      [SparkNZ Instagram] &lt;https://www.instagram.com/sparknz/&gt;        [Spark NZ X] &lt;https://x.com/sparknz&gt;    [SparkNZ LinkedIn] &lt;https://www.linkedin.com/company/2115&gt;
_____________________</t>
  </si>
  <si>
    <t>19abd50b7765203a</t>
  </si>
  <si>
    <t>Scott.Kempster@spark.co.nz, krushi.radadiya@spark.co.nz, Mycal.Tamariki@spark.co.nz, macey.bell@observepoint.com</t>
  </si>
  <si>
    <t>John Davis | Customer Success Manager is inviting you to a scheduled Zoom 
meeting.
Topic: New CSM Introduction
Time: Nov 25, 2025 05:00 PM Mountain Time (US and Canada)
Join Zoom Meeting
https://observepoint.zoom.us/j/3628593272?pwd=OfxX2kwpsuA5labBaZXephHbiAXlz9.1&amp;omn=99908147870
Meeting ID: 362 859 3272
Passcode: 183089
---
One tap mobile
+19292056099,,3628593272# US (New York)
+12532050468,,3628593272# US
Join instructions
https://observepoint.zoom.us/meetings/99908147870/invitations?si</t>
  </si>
  <si>
    <t>19abd54cc232aff5</t>
  </si>
  <si>
    <t>Woops, disregard that last email about the zoom, sorry I am still setting
up all my apps.
- John
On Tue, Nov 25, 2025 at 4:19 PM &lt;john.davis@observepoint.com&gt; wrote:
&gt; John Davis | Customer Success Manager is inviting you to a scheduled Zoom
&gt; meeting.
&gt;
&gt; Topic: New CSM Introduction
&gt; Time: Nov 25, 2025 05:00 PM Mountain Time (US and Canada)
&gt; Join Zoom Meeting
&gt;
&gt; https://observepoint.zoom.us/j/3628593272?pwd=OfxX2kwpsuA5labBaZXephHbiAXlz9.1&amp;omn=99908147870
&gt;
&gt; Meeting ID: 3</t>
  </si>
  <si>
    <t>19abd5cf71942faa</t>
  </si>
  <si>
    <t>It looks like we do have availability on the 10th between 2-3pm US mountain
time, so 10-11am on the 11th NZ time, does that work for you?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t>
  </si>
  <si>
    <t>19ae142402a8f859</t>
  </si>
  <si>
    <t>I went ahead and scheduled another meeting for 2pm US mountain time on the
10th, 10am NZ time on the 11th. Let me know if you need to change that
time, thanks all!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t>
  </si>
  <si>
    <t>19aba6e2a7634761</t>
  </si>
  <si>
    <t>John Davis &lt;john.davis@observepoint.com&gt;, tamara.saban@ros.com</t>
  </si>
  <si>
    <t>Invitation with note: ObservePoint | Ross - Sync @ Tue Dec 9, 2025 2:30pm - 3pm (MST) (John Davis)</t>
  </si>
  <si>
    <t>You have been invited to the following event with this note:
"Adding my zoom link!"
ObservePoint | Ross - Sync
Tuesday Dec 9, 2025 ⋅ 2:30pm – 3pm
Mountain Time - Denver
Join Zoom Meeting
https://observepoint.zoom.us/j/3742631971?pwd=Z2JhWG1yV1ZtOVBnMVZaRDR0bjVDZz09&amp;omn=96047558343&amp;jst=2
Join by phone
(US) +1 888-788-0099
passcode: 318688
Joining instructions
https://www.google.com/url?q=https://applications.zoom.us/addon/invitation/detail?meetingUuid%3DxnSdLxovRZS8%252BcfN</t>
  </si>
  <si>
    <t>19aba36743a8ad8f</t>
  </si>
  <si>
    <t>John Davis &lt;john.davis@observepoint.com&gt;, phagerty@rwjf.org, Andy Compas &lt;andy.compas@observepoint.com&gt;</t>
  </si>
  <si>
    <t>observepoint.com, rwjf.org</t>
  </si>
  <si>
    <t>Invitation: ObservePoint | RWJF - Sync @ Weekly from 12pm to 12:30pm on Tuesday (MST) (John Davis)</t>
  </si>
  <si>
    <t>ObservePoint | RWJF - Sync
Weekly from 12pm to 12:30pm on Tuesday
Mountain Time - Denver
Join Zoom Meeting
https://observepoint.zoom.us/j/3742631971?pwd=Z2JhWG1yV1ZtOVBnMVZaRDR0bjVDZz09&amp;omn=92652801956
Join by phone
(US) +1 888-788-0099
passcode: 318688
Joining instructions
https://www.google.com/url?q=https://applications.zoom.us/addon/invitation/detail?meetingUuid%3D6T5S25t0RDWH2cPujkVMEQ%253D%253D%26signature%3Dd166d8a9aea6a727c75ae97fb6e9e2e8adc5946acaa4632124d5e4f556cd107</t>
  </si>
  <si>
    <t>19aba34f0745e192</t>
  </si>
  <si>
    <t>Invitation: ObservePoint | Seagate- Sync @ Every 2 weeks from 12pm to 12:30pm on Thursday (MST) (John Davis)</t>
  </si>
  <si>
    <t>ObservePoint | Seagate- Sync
Every 2 weeks from 12pm to 12:30pm on Thursday
Mountain Time - Denver
Join Zoom Meeting
https://observepoint.zoom.us/j/3742631971?pwd=Z2JhWG1yV1ZtOVBnMVZaRDR0bjVDZz09&amp;omn=96553474536&amp;jst=2
Join by phone
(US) +1 888-788-0099
passcode: 318688
Joining instructions
https://www.google.com/url?q=https://applications.zoom.us/addon/invitation/detail?meetingUuid%3DA43JT%252FAdQtytusCvPtlgqg%253D%253D%26signature%3Da8947aad9e3f55a8c7185d2f691eb57046ed8eee171</t>
  </si>
  <si>
    <t>19aba31a84ba1e0c</t>
  </si>
  <si>
    <t>Invitation: ObservePoint | RWJF - Sync @ Tue Dec 9, 2025 12pm - 12:30pm (MST) (John Davis)</t>
  </si>
  <si>
    <t>ObservePoint | RWJF - Sync
Tuesday Dec 9, 2025 ⋅ 12pm – 12:30pm
Mountain Time - Denver
Join Zoom Meeting
https://observepoint.zoom.us/j/3742631971?pwd=Z2JhWG1yV1ZtOVBnMVZaRDR0bjVDZz09&amp;omn=92652801956
Join by phone
(US) +1 888-788-0099
passcode: 318688
Joining instructions
https://www.google.com/url?q=https://applications.zoom.us/addon/invitation/detail?meetingUuid%3D6T5S25t0RDWH2cPujkVMEQ%253D%253D%26signature%3Dd166d8a9aea6a727c75ae97fb6e9e2e8adc5946acaa4632124d5e4f556cd107c%</t>
  </si>
  <si>
    <t>19bdcdfd5fdb6c61</t>
  </si>
  <si>
    <t>John Davis &lt;john.davis@observepoint.com&gt;, charlie@ctysse.net, egonzales@verisign.com, charlie.tysse@stackedanalytics.com</t>
  </si>
  <si>
    <t>observepoint.com, ctysse.net, verisign.com, stackedanalytics.com</t>
  </si>
  <si>
    <t>Updated invitation: ObservePoint | Verisign - Sync @ Wed Jan 28, 2026 1:30pm - 2pm (MST) (John Davis)</t>
  </si>
  <si>
    <t>This event has been updated
Changed: time
ObservePoint | Verisign - Sync
Wednesday Jan 28, 2026 ⋅ 1:30pm – 2pm
Mountain Time - Denver
Organizer
Macey Bell
macey.bell@observepoint.com
Guests
Macey Bell - organizer
charlie@ctysse.net
egonzales@verisign.com
charlie.tysse@stackedanalytics.com
John Davis
View all guest info  
https://calendar.google.com/calendar/event?action=VIEW&amp;eid=MTI4OGFxMWswZjVlaWRkN21panJiMTd2YmdfMjAyNjAxMjZUMjAzMDAwWiBqb2huLmRhdmlzQG9ic2VydmVwb2ludC5</t>
  </si>
  <si>
    <t>19bbd281c3178bac</t>
  </si>
  <si>
    <t>Invitation: ObservePoint | Verisign - Sync @ Every 4 weeks from 1:30pm to 2pm on Monday (MST) (John Davis)</t>
  </si>
  <si>
    <t>ObservePoint | Verisign - Sync
Every 4 weeks from 1:30pm to 2pm on Monday
Mountain Time - Denver
Organizer
Macey Bell
macey.bell@observepoint.com
Guests
Macey Bell - organizer
charlie@ctysse.net
egonzales@verisign.com
charlie.tysse@stackedanalytics.com
John Davis
View all guest info  
https://calendar.google.com/calendar/event?action=VIEW&amp;eid=MTI4OGFxMWswZjVlaWRkN21panJiMTd2YmdfUjIwMjYwMTI2VDIwMzAwMCBqb2huLmRhdmlzQG9ic2VydmVwb2ludC5jb20&amp;tok=MjcjbWFjZXkuYmVsbEBvYnNlcnZlcG9pbn</t>
  </si>
  <si>
    <t>19bb4092e46f6496</t>
  </si>
  <si>
    <t>Gavin Cameron &lt;gavin.cameron@zenfolioinc.com&gt;, Bill Petrin &lt;bill.petrin@zenfolioinc.com&gt;</t>
  </si>
  <si>
    <t>CSM Introduction</t>
  </si>
  <si>
    <t>Hi Gavin and Bill,
I wanted to introduce John Davis, your Customer Success Manager and primary
point of contact at ObservePoint. John is highly technical and
well-equipped to assist with any questions regarding your contract.
Additionally, I want to commend you on your account setup; everything is
exceptionally healthy and well-structured. We look forward to our continued
partnership.
-- 
Thanks,
Jarrod Wilbur *   |    *
*Manager, Solutions Consulting*
714-471-7277
jarr</t>
  </si>
  <si>
    <t>19bb43c6577bfc16</t>
  </si>
  <si>
    <t>Re: CSM Introduction</t>
  </si>
  <si>
    <t>Thanks Jarrod
Hey Gavin and Bill,
I agree with Jarrod, great job setting up your account! Let me know how I
can help you in 2026.
You can always schedule a meeting with me using this link:
Click here to find a time
&lt;https://us-3129.email-composer-webhooks.gong.io/email-tracking/clicked?email-info-token=eyJhbGciOiJIUzI1NiJ9.eyJjb21wYW55SWQiOiI4OTgyMjM2MTQxODc2Mjk3NzAiLCJkcmFmdElkIjoici02MDk2MzQ1MTQ1ODA2NTc2NjMiLCJsaW5rVXJsIjoiaHR0cHM6Ly9vYnNlcnZlcG9pbnQuY2hpbGlwaXBlci5jb20vbWUvam9obi1</t>
  </si>
  <si>
    <t>19b2319eeb873857</t>
  </si>
  <si>
    <t>Macey Bell &lt;macey.bell@observepoint.com&gt;, csatam@westjet.com, devon.kerscher@westjet.com, farzaan.hoque@westjet.com, jason.wiegand@westjet.com, maushami.desai@westjet.com, Todd Wilkerson &lt;todd.wilkerson@observepoint.com&gt;, John Davis &lt;john.davis@observepoint.com&gt;</t>
  </si>
  <si>
    <t>observepoint.com, westjet.com</t>
  </si>
  <si>
    <t xml:space="preserve">Can we reschedule this? We are out of office between Christmas and New  
Years. Use this link to schedule something before the holidays that works  
for your team:  
https://observepoint.chilipiper.com/me/john-davis/meeting-with-john Thanks!  
- John
WestJet | ObservePoint Monthly Sync
Thursday Jan 1, 2026 ⋅ 9:30am – 10am
Mountain Time - Denver
Join Zoom Meeting
https://observepoint.zoom.us/j/3742631971?pwd=Z2JhWG1yV1ZtOVBnMVZaRDR0bjVDZz09&amp;omn=93833907298
Join by phone
(US) </t>
  </si>
  <si>
    <t>19b0dee33e33278d</t>
  </si>
  <si>
    <t>Chinmay Satam &lt;chinmay.satam@westjet.com&gt;, John Davis &lt;john.davis@observepoint.com&gt;</t>
  </si>
  <si>
    <t>westjet.com, observepoint.com</t>
  </si>
  <si>
    <t>Maushami Desai &lt;Maushami.Desai@westjet.com&gt;</t>
  </si>
  <si>
    <t>Re: Request to Skip Today’s Connect - WestJet (Chinmay)</t>
  </si>
  <si>
    <t>Hi Chinmay!
The main topic today was going to be introducing you to John Davis who will
be the new CSM for WestJet moving forward. If things are a bit busy we can
have you meet him after the new year.
I think it would be great if for that sync you can come with WestJet's
major objectives and KPIs for 2026 that align specifically with you and
your team in order to give John a clear idea of how he can best support you
for the coming year and make creative suggestions for strategies to u</t>
  </si>
  <si>
    <t>19b0e24e53199b66</t>
  </si>
  <si>
    <t>Chinmay Satam &lt;chinmay.satam@westjet.com&gt;</t>
  </si>
  <si>
    <t xml:space="preserve">Hi Macey,
Sounds perfect, we can meet in new year and also will be prepared with our 2026 goals and objectives.
Thanks,
Chinmay Satam | Int. Analyst | Advanced Analytics &amp; Automation | Digital
chinmay.satam@westjet.com&lt;mailto:csatam@westjet.com&gt;
[L_WestJet_LWYG_Bottom_RGB.test]
Our Team Values: Collaboration, Dependability, Integrity, Transparency
________________________________
From: Macey Bell &lt;macey.bell@observepoint.com&gt;
Sent: Thursday, December 11, 2025 10:00 AM
</t>
  </si>
  <si>
    <t>19aba38973be0ed0</t>
  </si>
  <si>
    <t>John Davis &lt;john.davis@observepoint.com&gt;, ikannan@woolworths.com.au, mfalley1@woolworths.com.au, rsaraf@woolworths.com.au, aphilip1@woolworths.com.au, anandrajog1@woolworths.com.au, jalcantara1@woolworths.com.au, jzhang15@woolworths.com.au, schandrahasan1@woolworths.com.au, jalcantara3@woolworths.com.au, wwan5@woolworths.com.au, ssingh60@woolworths.com.au, zzhang4@woolworths.com.au, mmuthe@woolworths.com.au</t>
  </si>
  <si>
    <t>observepoint.com, woolworths.com.au</t>
  </si>
  <si>
    <t>Invitation: OP | Woolworths - Sync @ Monthly from 5pm to 5:30pm on the third Thursday (MST) (John Davis)</t>
  </si>
  <si>
    <t>OP | Woolworths - Sync
Monthly from 5pm to 5:30pm on the third Thursday
Mountain Time - Denver
Join Zoom Meeting
https://observepoint.zoom.us/j/3742631971?pwd=Z2JhWG1yV1ZtOVBnMVZaRDR0bjVDZz09&amp;omn=91296973684
Join by phone
(US) +1 888-788-0099
passcode: 318688
Joining instructions
https://www.google.com/url?q=https://applications.zoom.us/addon/invitation/detail?meetingUuid%3DDz%252FjabMuSWKQnjDpuyYl5A%253D%253D%26signature%3Da8489ae47f4d6c9ac903945d24e4d65cab6ff5add955a4a1e0083</t>
  </si>
  <si>
    <t>19aba388f14aa1f6</t>
  </si>
  <si>
    <t>John Davis &lt;john.davis@observepoint.com&gt;, landon.meriweather@tyson.com, Todd Wilkerson &lt;todd.wilkerson@observepoint.com&gt;</t>
  </si>
  <si>
    <t>observepoint.com, tyson.com</t>
  </si>
  <si>
    <t>Invitation: ObservePoint | Tyson -Sync  @ Every 2 weeks from 2pm to 2:30pm on Thursday (MST) (John Davis)</t>
  </si>
  <si>
    <t>ObservePoint | Tyson -Sync
Every 2 weeks from 2pm to 2:30pm on Thursday
Mountain Time - Denver
Join Zoom Meeting
https://observepoint.zoom.us/j/3742631971?pwd=Z2JhWG1yV1ZtOVBnMVZaRDR0bjVDZz09&amp;omn=97279073399
Join by phone
(US) +1 888-788-0099
passcode: 318688
Joining instructions
https://www.google.com/url?q=https://applications.zoom.us/addon/invitation/detail?meetingUuid%3DJ%252FcSafPeRdqCrHF66aWmig%253D%253D%26signature%3Dbb2889a06805eaa56f855a50ca4cd1b24afe4ca89ca4d09c389d8</t>
  </si>
  <si>
    <t>19aba344c2b95eb8</t>
  </si>
  <si>
    <t>John Davis &lt;john.davis@observepoint.com&gt;, csatam@westjet.com, maushami.desai@westjet.com, devon.kerscher@westjet.com, Todd Wilkerson &lt;todd.wilkerson@observepoint.com&gt;, farzaan.hoque@westjet.com, jason.wiegand@westjet.com</t>
  </si>
  <si>
    <t>Invitation: WestJet | ObservePoint Monthly Sync @ Monthly from 9:30am to 10am on the first Thursday (MST) (John Davis)</t>
  </si>
  <si>
    <t>WestJet | ObservePoint Monthly Sync
Monthly from 9:30am to 10am on the first Thursday
Mountain Time - Denver
Join Zoom Meeting
https://observepoint.zoom.us/j/3742631971?pwd=Z2JhWG1yV1ZtOVBnMVZaRDR0bjVDZz09&amp;omn=93833907298
Join by phone
(US) +1 888-788-0099
passcode: 318688
Joining instructions
https://www.google.com/url?q=https://applications.zoom.us/addon/invitation/detail?meetingUuid%3Du5UTuLgjR7umaoO1RIYVVA%253D%253D%26signature%3D74886dac59628544b0d926784e54b054e77afc80d83</t>
  </si>
  <si>
    <t>19bdc304566047f8</t>
  </si>
  <si>
    <t>"nic.suder@observepoint.com" &lt;nic.suder@observepoint.com&gt;, "robert.taylor@ziffdavis.com" &lt;robert.taylor@ziffdavis.com&gt;, "john.davis@observepoint.com" &lt;john.davis@observepoint.com&gt;, "dallin.madsen@observepoint.com" &lt;dallin.madsen@observepoint.com&gt;</t>
  </si>
  <si>
    <t>observepoint.com, ziffdavis.com</t>
  </si>
  <si>
    <t>Upcoming ObservePoint Renewal on April 20, 2026 - Ziff Davis Inc.</t>
  </si>
  <si>
    <t xml:space="preserve">
[image: ObservePoint Logo_Gray_ON_YEllow_LOGO.jpeg]
A friendly reminder that it's time to renew.
Hi Robert,
Thank you for being an ObservePoint customer!
This is an automated notification to let you know that the end of your 
current term is* April 20, 2026*.
We know approval and procurement processes can take time, and we want to 
avoid any interruption of service, hence we are reaching out now.
Please reach out to your account team if you have any questions, or if you 
anticipate any</t>
  </si>
  <si>
    <t>19b293eea44104d3</t>
  </si>
  <si>
    <t>Filippo Caprioli &lt;filippo_caprioli@ziffdavis.com&gt;</t>
  </si>
  <si>
    <t>Accepted: ObservePoint | Ziff Davis Inc. 60 min Sync @ Tue Feb 3, 2026 10am - 11am (MST) (john.davis@observepoint.com)</t>
  </si>
  <si>
    <t>Filippo Caprioli has accepted this invitation.
ObservePoint | Ziff Davis Inc. 60 min Sync
Tuesday Feb 3, 2026 ⋅ 10am – 11am
Mountain Time - Denver
Join Zoom Meeting
https://observepoint.zoom.us/j/3628593272?pwd=OfxX2kwpsuA5labBaZXephHbiAXlz9.1&amp;omn=91817608945&amp;jst=2
Join by phone
(US) +1 877-853-5247
passcode: 183089
Joining instructions
https://www.google.com/url?q=https://applications.zoom.us/addon/invitation/detail?meetingUuid%3D%252BxDqK6eKTw2WS8m7taevvw%253D%253D%26sign</t>
  </si>
  <si>
    <t>19b09c208fdca116</t>
  </si>
  <si>
    <t>Robert Taylor &lt;robert.taylor@ziffdavis.com&gt;</t>
  </si>
  <si>
    <t>john.davis@observepoint.com, macey.bell@observepoint.com, Filippo Caprioli &lt;filippo_caprioli@ziffdavis.com&gt;</t>
  </si>
  <si>
    <t>Invitation: ObservePoint/ZD checkin @ Tue Dec 16, 2025 1:30pm - 2pm (MST) (john.davis@observepoint.com)</t>
  </si>
  <si>
    <t>ObservePoint/ZD checkin
Tuesday Dec 16, 2025 ⋅ 1:30pm – 2pm
Mountain Time - Denver
Join with Google Meet
https://meet.google.com/mak-adnp-myd?hs=224
Join by phone
(US) +1 413-276-7136
PIN: 575621145
More phone numbers
https://tel.meet/mak-adnp-myd?pin=9333801669147&amp;hs=0
Organizer
Robert Taylor
robert.taylor@ziffdavis.com
Guests
Robert Taylor - organizer
john.davis@observepoint.com
macey.bell@observepoint.com
Filippo Caprioli
View all guest info  
https://calen</t>
  </si>
  <si>
    <t>19aba62cf383ad78</t>
  </si>
  <si>
    <t>robert.taylor@ziffdavis.com, John Davis &lt;john.davis@observepoint.com&gt;</t>
  </si>
  <si>
    <t>ziffdavis.com, observepoint.com</t>
  </si>
  <si>
    <t>Re: ObservePoint Check In</t>
  </si>
  <si>
    <t>Hey Robert,
Any update with identifying a main user for ObservePoint?
John Davis is actually going to be your new Customer Success Manager and
your main point of contact moving forward. If you've found someone to head
up the auditing I would love to introduce John to you both on a call. Keep
me posted!
On Fri, Nov 7, 2025 at 12:04 PM Robert Taylor &lt;robert.taylor@ziffdavis.com&gt;
wrote:
&gt; Hi Macey,
&gt;
&gt; Apologies for the delay in getting back to you.  I've been slammed here; I
&gt; h</t>
  </si>
  <si>
    <t>19abc0a1b8baf956</t>
  </si>
  <si>
    <t xml:space="preserve">Hi Robert,
Thank you for the introduction, Macey.
It's great to meet you, Robert. I'm taking over as your Customer Success
Manager and am here to make this transition as smooth as possible.
I would love to learn more about your goals for your audits next year and
discuss how we can partner with you to meet and exceed those goals.
- John
On Tue, Nov 25, 2025 at 2:40 AM Macey Bell &lt;macey.bell@observepoint.com&gt;
wrote:
&gt; Hey Robert,
&gt;
&gt; Any update with identifying a main user </t>
  </si>
  <si>
    <t>19abe3d4611ff01c</t>
  </si>
  <si>
    <t>Thank you.  I'm unfortunately still working on that but should have someone
not too long after Thanksgiving -- the person we have in mind is a bit
overloaded right now with other work.  John, could you touch base early the
second week of December and I'll see if we can get a call on calendar with
the potential auditor we have here?
Thanks again,
Robert
&lt;https://www.ziffdavis.com/&gt; Robert Taylor | Deputy General Counsel
Ziff Davis, Inc. (Nasdaq: ZD)
O: (212) 503-3250
M: (310) 95</t>
  </si>
  <si>
    <t>19ae0d259c47f961</t>
  </si>
  <si>
    <t>The holidays can get crazy for sure. Yes I will follow up with you next
week with some calendar options for a call.
Thanks Robert!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t>
  </si>
  <si>
    <t>19b0987675dbd6b8</t>
  </si>
  <si>
    <t>Hey Robert,
Here are some open times for us, feel free to grab one for you and any team
members that you want to include on your end.
Meeting length: 30 Minutes
Time Zone: (GMT-7) MST/Denver
Thu Dec 11 Mon Dec 15 Tue Dec 16 Wed Dec 17 Thu Dec 18 Fri Dec 19
 3:00  PM
&lt;https://observepoint.chilipiper.com/suggested-times/ef56a2aa-c712-4338-af8c-bb57da6a049a?slotStartsAt=2025-12-11T22:00:00.000Z&gt;
 1:30  PM
&lt;https://observepoint.chilipiper.com/suggested-times/ef56a2aa-c712-4338-af8c-bb57</t>
  </si>
  <si>
    <t>19b099099666d62e</t>
  </si>
  <si>
    <t>Macey Bell &lt;macey.bell@observepoint.com&gt;, Filippo Caprioli &lt;filippo_caprioli@ziffdavis.com&gt;</t>
  </si>
  <si>
    <t xml:space="preserve">Thanks John.  Filippo, could you join a call with ObservePoint at any of
the times below next week December 15-19 work for you?  Note this is
Mountain Time, which is one hour later than Pacific Time and two hours
earlier than Eastern Time.
I'll send you a separate email about the call.
Robert
&lt;https://www.ziffdavis.com/&gt; Robert Taylor | Deputy General Counsel
Ziff Davis, Inc. (Nasdaq: ZD)
O: (212) 503-3250
M: (310) 954-9090
https://www.ziffdavis.com
This email, its contents </t>
  </si>
  <si>
    <t>19b09bf5f8181b9b</t>
  </si>
  <si>
    <t xml:space="preserve"> Sure - I can do 12/16 at 1:30pm, or 12/18 at 10am. @robert.taylor
&lt;robert.taylor@ziffdavis.com&gt; whatever works best for you!
Filippo
On 10 Dec 2025 at 19:39:53, Robert Taylor &lt;robert.taylor@ziffdavis.com&gt;
wrote:
&gt; Thanks John.  Filippo, could you join a call with ObservePoint at any of
&gt; the times below next week December 15-19 work for you?  Note this is
&gt; Mountain Time, which is one hour later than Pacific Time and two hours
&gt; earlier than Eastern Time.
&gt;
&gt; I'll send you a</t>
  </si>
  <si>
    <t>19b09c2772d7a14f</t>
  </si>
  <si>
    <t>Thanks!  Just sent an invite.  John, keep me honest if I messed up
timezones.
&lt;https://www.ziffdavis.com/&gt; Robert Taylor | Deputy General Counsel
Ziff Davis, Inc. (Nasdaq: ZD)
O: (212) 503-3250
M: (310) 954-9090
https://www.ziffdavis.com
This email, its contents and attachments contain information from Ziff
Davis, Inc. and/or its affiliates which may be privileged, confidential or
otherwise protected from disclosure. The information is intended to be for
the addressee(s) only. If</t>
  </si>
  <si>
    <t>19b09de746c70dab</t>
  </si>
  <si>
    <t>Filippo Caprioli &lt;filippo_caprioli@ziffdavis.com&gt;, Macey Bell &lt;macey.bell@observepoint.com&gt;</t>
  </si>
  <si>
    <t>Yep it put it on our calendar for Tuesday, December 16 1:30 – 2pm MST (3:30
– 4pm EST)
Thanks to both of you, see you then!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t>
  </si>
  <si>
    <t>19b28e3bcf2a3a72</t>
  </si>
  <si>
    <t>Here is a fresh set of datetimes that work for us, feel free to grab
another one that works for both of you
Meeting length: 30 Minutes
Time Zone: (GMT-7) MST/Denver
Wed Dec 17 Thu Dec 18 Fri Dec 19 Mon Dec 22 Tue Dec 23
 2:00  PM
&lt;https://observepoint.chilipiper.com/suggested-times/71baadce-26f5-4fd1-9f2f-c2438e69247e?slotStartsAt=2025-12-17T21:00:00.000Z&gt;
 1:00  PM
&lt;https://observepoint.chilipiper.com/suggested-times/71baadce-26f5-4fd1-9f2f-c2438e69247e?slotStartsAt=2025-12-18T20:00:0</t>
  </si>
  <si>
    <t>19b28e43afee6dc3</t>
  </si>
  <si>
    <t>Macey, John -- can you rejoin?  Filippo can join shortly.
&lt;https://www.ziffdavis.com/&gt; Robert Taylor | Deputy General Counsel
Ziff Davis, Inc. (Nasdaq: ZD)
O: (212) 503-3250
M: (310) 954-9090
https://www.ziffdavis.com
This email, its contents and attachments contain information from Ziff
Davis, Inc. and/or its affiliates which may be privileged, confidential or
otherwise protected from disclosure. The information is intended to be for
the addressee(s) only. If you are not an addre</t>
  </si>
  <si>
    <t>19b28e5ee71f4569</t>
  </si>
  <si>
    <t xml:space="preserve">Can you rejoin the existing call?
&lt;https://www.ziffdavis.com/&gt; Robert Taylor | Deputy General Counsel
Ziff Davis, Inc. (Nasdaq: ZD)
O: (212) 503-3250
M: (310) 954-9090
https://www.ziffdavis.com
This email, its contents and attachments contain information from Ziff
Davis, Inc. and/or its affiliates which may be privileged, confidential or
otherwise protected from disclosure. The information is intended to be for
the addressee(s) only. If you are not an addressee, any disclosure, </t>
  </si>
  <si>
    <t>19b2927362ce3e83</t>
  </si>
  <si>
    <t>Hey Robert and Filippo,
Here are some links to schedule an hour in early February to help get
things set up the way you're expecting. I will take a deep dive into your
audits and alerts and will come prepared with some solutions and ideas that
I think will help bring down the noise and help with your processes on your
end as well.
Meeting length: 1 Hour
Time Zone: (GMT-7) MST/Denver
Tue Feb 3 Wed Feb 4 Thu Feb 5 Fri Feb 6
 10:00  AM
&lt;https://observepoint.chilipiper.com/suggested-ti</t>
  </si>
  <si>
    <t>19b2939b6481818a</t>
  </si>
  <si>
    <t>Let's plan on Feb 3 at 10 am, so it's not *as* late for Filippo.  We can
reschedule if needed.  Thank you again.
&lt;https://www.ziffdavis.com/&gt; Robert Taylor | Deputy General Counsel
Ziff Davis, Inc. (Nasdaq: ZD)
O: (212) 503-3250
M: (310) 954-9090
https://www.ziffdavis.com
This email, its contents and attachments contain information from Ziff
Davis, Inc. and/or its affiliates which may be privileged, confidential or
otherwise protected from disclosure. The information is intended t</t>
  </si>
  <si>
    <t>19b293d0975672d1</t>
  </si>
  <si>
    <t>Booked!
*Regards, *
John Davis *   |    * *Customer Success Manager*
Cell: 801.633.6013
john.davis@observepoint.com
www.observepoint.com
&lt;https://groove.grvlnk4.com/url/typa6byifukvbtijwod94/aHR0cDovL3d3dy5vYnNlcnZlcG9pbnQuY29tLyNncm9vdmVzdW06LTc2MTEwNTM3MA%3D%3D&gt;
On Tue, Dec 16, 2025 at 3:13 PM Robert Taylor &lt;robert.taylor@ziffdavis.com&gt;
wrote:
&gt; Let's plan on Feb 3 at 10 am, so it's not *as* late for Filippo.  We can
&gt; reschedule if needed.  Thank you again.
&gt;
&gt;
&gt; &lt;h</t>
  </si>
  <si>
    <t>19be5d532ced1c49</t>
  </si>
  <si>
    <t>Hey John,
Great points and that's pretty much what I told my boss, except for the
point about it being better as a Journey.  I'll convey what you said and
see how much do we really need to check before we can be assured everything
is working properly.
That's a great idea to do it as a Journey instead  and I'll take a stab at
it first then let you know if I have any problems.
On Wed, Jan 21, 2026 at 9:44 AM John Davis &lt;john.davis@observepoint.com&gt;
wrote:
&gt; *USE CAUTION - EXTERNAL</t>
  </si>
  <si>
    <t>19be6749902f2591</t>
  </si>
  <si>
    <t>"john.davis@observepoint.com" &lt;john.davis@observepoint.com&gt;</t>
  </si>
  <si>
    <t>"macey.bell@observepoint.com" &lt;macey.bell@observepoint.com&gt;, "Fe Valencia (MARKETING)" &lt;fe.valencia@ros.com&gt;</t>
  </si>
  <si>
    <t>RE: Our meeting in an hour</t>
  </si>
  <si>
    <t xml:space="preserve">Hi,
I don’t have any meetings on my calendar with you today.
Thanks,
Tamara
From: Reminder &lt;reminder@chilipiper.com&gt;
Sent: Thursday, January 22, 2026 8:00 AM
To: Tamara Saban (MARKETING) &lt;tamara.saban@ros.com&gt;
Cc: macey.bell@observepoint.com; Fe Valencia (MARKETING) &lt;fe.valencia@ros.com&gt;; john.davis@observepoint.com
Subject: Our meeting in an hour
Hi,
Looking forward to speaking to you in a short while.
Best,
</t>
  </si>
  <si>
    <t>19be676eec938f64</t>
  </si>
  <si>
    <t>Sorry disregard this, sorry my 3rd party integrations are not playing nice
with each other.
*Regards, *
John Davis *   |    * *Customer Success Manager*
Cell: 801.633.6013
john.davis@observepoint.com
www.observepoint.com
&lt;https://us-3129.email-composer-webhooks.gong.io/email-tracking/clicked?email-info-token=eyJhbGciOiJIUzI1NiJ9.eyJjb21wYW55SWQiOiI4OTgyMjM2MTQxODc2Mjk3NzAiLCJkcmFmdElkIjoici02MDk2NjgyNjExMjgxODI1NTA1IiwibGlua1VybCI6Imh0dHBzOi8vZ3Jvb3ZlLmdydmxuazQuY29tL3VybC90eXBhNmJ5</t>
  </si>
  <si>
    <t>19be679fabdb88d6</t>
  </si>
  <si>
    <t xml:space="preserve">No worries. We’re all set at this time.
Tamara Saban
Marketing Operations Manager | Ross Stores, Inc.
[A picture containing text, font, logo, graphics  Description automatically generated]
From: John Davis &lt;john.davis@observepoint.com&gt;
Sent: Thursday, January 22, 2026 8:09 AM
To: Tamara Saban (MARKETING) &lt;tamara.saban@ros.com&gt;
Cc: macey.bell@observepoint.com; Fe Valencia (MARKETING) &lt;fe.valencia@ros.com&gt;
Subject: Re: Our meeting in an hour
Sorry disregard this, sorry my 3rd party </t>
  </si>
  <si>
    <t>19be6e644bfb6836</t>
  </si>
  <si>
    <t>Tentative: Observepoint | Lumen - Sync</t>
  </si>
  <si>
    <t>19be7499043207d2</t>
  </si>
  <si>
    <t>Success Criteria</t>
  </si>
  <si>
    <t>Here is the success criteria from todays meeting, thanks!
[image: image.png]
*Regards, *
John Davis *   |    * *Customer Success Manager*
Cell: 801.633.6013
john.davis@observepoint.com
www.observepoint.com
&lt;https://us-3129.email-composer-webhooks.gong.io/email-tracking/clicked?email-info-token=eyJhbGciOiJIUzI1NiJ9.eyJjb21wYW55SWQiOiI4OTgyMjM2MTQxODc2Mjk3NzAiLCJkcmFmdElkIjoici00MjYzNjA3NDU5OTAwMzUyMTI1IiwibGlua1VybCI6Imh0dHBzOi8vZ3Jvb3ZlLmdydmxuazQuY29tL3VybC90eXBhNmJ5aWZ1a3ZidGlqd</t>
  </si>
  <si>
    <t>19be77397adfbd5e</t>
  </si>
  <si>
    <t>Re: Success Criteria</t>
  </si>
  <si>
    <t>Hey Arnold,
Here is the js code that I am using in my Google Sheet:
/**
* Sitemap Monitor
*
* Monitors a sitemap for new pages and updates an ObservePoint audit
* with only the new URLs found since the last check.
*
* Features:
* - Fetches and parses XML sitemap
* - Tracks URLs and their lastmod dates
* - Identifies new pages since last check
* - Updates ObservePoint audit with new URLs only
* - Runs the audit automatically
*/
var SitemapMonitor = (function() {
var CONFIG_S</t>
  </si>
  <si>
    <t>19be781abf76ae8c</t>
  </si>
  <si>
    <t>aaryee@mms.org, crose@mms.org, mkarora@mms.org</t>
  </si>
  <si>
    <t>Custom Audit Scheduler Code Example</t>
  </si>
  <si>
    <t>Hey Mayank,
Here is an example to do a custom schedule for running audits using a
windows task scheduler on a local machine. Let me know what you think, I
also attached a readme file that I had Claude write up to explain it
further:
const https = require('https');
// ============================================
// CONFIGURATION - UPDATE THESE VALUES
// ============================================
const OBSERVEPOINT_API_KEY = 'YOUR_API_KEY_HERE';
const AUDIT_ID = 12345; // Repla</t>
  </si>
  <si>
    <t>19be79fd62ddf59a</t>
  </si>
  <si>
    <t>ellie.mayberry@tyson.com, John Davis &lt;john.davis@observepoint.com&gt;, "Meriweather, Landon" &lt;landon.meriweather@tyson.com&gt;, megan.lewis@tyson.com, nathan.bogner@tyson.com</t>
  </si>
  <si>
    <t>tyson.com, observepoint.com</t>
  </si>
  <si>
    <t>ObservePoint | Tyson -Sync</t>
  </si>
  <si>
    <t>Hello Tyson Team,
My name is Todd Wilkerson and I am your Account Executive. I am writing to
introduce John Davis, who will be taking over as your new Account Manager.
Macey Bell is still with our team, but John will be your primary point of
contact moving forward.
We have a call scheduled for next Thursday, which would be an ideal time
for introductions. However, it appears that no one is currently available
at that time. Would you like to reschedule?
Please let me know your thoug</t>
  </si>
  <si>
    <t>19be7ba86e6cdf66</t>
  </si>
  <si>
    <t>Hey Tony,
I would love to connect with you and go over your 2026 goals. Can we find a 
time that works for both of us? 
*Regards, *
John Davis *   |    * *Customer Success Manager*
Cell: 801.633.6013
john.davis@observepoint.com
www.observepoint.com 
&lt;https://groove.grvlnk4.com/url/typa6byifukvbtijwod94/aHR0cDovL3d3dy5vYnNlcnZlcG9pbnQuY29tLyNncm9vdmVzdW06LTc2MTEwNTM3MA%3D%3D&gt;
On Wed, Jan 14, 2026 at 8:52 AM Macey Bell &lt;macey.bell@observepoint.com&gt; 
wrote:
&gt; No worries T</t>
  </si>
  <si>
    <t>19be7b4ad05a584a</t>
  </si>
  <si>
    <t>ellie.mayberry@tyson.com, "Meriweather, Landon" &lt;landon.meriweather@tyson.com&gt;, megan.lewis@tyson.com, nathan.bogner@tyson.com</t>
  </si>
  <si>
    <t>Re: ObservePoint | Tyson -Sync</t>
  </si>
  <si>
    <t>Thanks Todd!
Hey Tyson Team,
I would love to meet and talk about your 2026 goals. Please let me know if
that regular scheduled time works for you, and if not, here are some time
slots in *Mountain Time* that work for us on our side. Fee free to grab one
that works for you and your team:
Meeting length: 30 Minutes
Time Zone: (GMT-7) MST/Denver
Fri Jan 23 Mon Jan 26 Tue Jan 27 Wed Jan 28 Thu Jan 29 Fri Jan 30
 11:00  AM
&lt;https://us-3129.email-composer-webhooks.gong.io/email-trackin</t>
  </si>
  <si>
    <t>19be7bbd90601582</t>
  </si>
  <si>
    <t>Hey Tony,
I would love to connect with you and go over your 2026 goals. Can we find a 
time that works for both of us? 
Here are some 
*Regards, *
John Davis *   |    * *Customer Success Manager*
Cell: 801.633.6013
john.davis@observepoint.com
www.observepoint.com 
&lt;https://groove.grvlnk4.com/url/typa6byifukvbtijwod94/aHR0cDovL3d3dy5vYnNlcnZlcG9pbnQuY29tLyNncm9vdmVzdW06LTc2MTEwNTM3MA%3D%3D&gt;
On Wed, Jan 14, 2026 at 8:52 AM Macey Bell &lt;macey.bell@observepoint.com&gt; 
wrote:</t>
  </si>
  <si>
    <t>19be812757000fb3</t>
  </si>
  <si>
    <t>Hey Tony,
I would love to connect with you and go over your 2026 goals. Can we find a
time that works for both of us?
Here are some slots that work for me in *Mountain Time*, feel free to grab
one that works for you:
Meeting length: 30 Minutes
Time Zone: (GMT-7) MST/Denver
Fri Jan 23 Mon Jan 26 Tue Jan 27 Wed Jan 28 Thu Jan 29 Fri Jan 30
 1:30  PM
&lt;https://us-3129.email-composer-webhooks.gong.io/email-tracking/clicked?email-info-token=eyJhbGciOiJIUzI1NiJ9.eyJjb21wYW55SWQiOiI4OTgyM</t>
  </si>
  <si>
    <t>19be8245381fb46c</t>
  </si>
  <si>
    <t>White listed IP addresses.</t>
  </si>
  <si>
    <t xml:space="preserve">Hi John,
Here is the quick information I received regarding white listing.
"Third-party provider (outside business partners and Software as a Service (SaaS)) hosted applications that rely on Agilent source-IPs as part of the authentication process, must add new Agilent source-IPs to the applicable whitelists."
Attached is the list of white listed ip's based on region. Would this be of any help?
If Agilent has to whitelist any of the ObservePoint's IP's, we might have to talk to Macey. </t>
  </si>
  <si>
    <t>19be8242333f45a4</t>
  </si>
  <si>
    <t>Kushank Jain &lt;kjain@torrid.com&gt;</t>
  </si>
  <si>
    <t>Macey Bell &lt;macey.bell@observepoint.com&gt;, John Davis &lt;john.davis@observepoint.com&gt;, Clarke Anderson &lt;clarke.anderson@observepoint.com&gt;</t>
  </si>
  <si>
    <t>James Bagley &lt;JBagley@torrid.com&gt;, Brendan Walsh &lt;BWalsh@torrid.com&gt;, Bassem Isaac &lt;BIsaac@torrid.com&gt;</t>
  </si>
  <si>
    <t>ObservePoint | Torrid - Contract</t>
  </si>
  <si>
    <t xml:space="preserve">Hi Macey, John,
I just had a word with our internal team and we do not intend to renew the ObservePoint contract for this year.
Please let me know if there are any concerns or questions.
[cid2244869323*image005.png@01D8AE20.B722D750]
Kushank Jain
Director, eCommerce &amp; Marketing Systems , IT
 [cid2244869323*image006.png@01D8AE20.B722D750]    408.753.7128
 [cid2244869323*image007.png@01D8AE20.B722D750]   kj&lt;mailto:kjain@torrid.com&gt;ain@torrid.com&lt;mailto:kjain@torrid.com&gt;
</t>
  </si>
  <si>
    <t>19be82e55bb821c7</t>
  </si>
  <si>
    <t>Re: White listed IP addresses.</t>
  </si>
  <si>
    <t>Ya its the latter, you guys need to whitelist ObservePoint on your side for
our crawling bot to work.
Let me know what they say about that. Thanks!
*Regards, *
John Davis *   |    * *Customer Success Manager*
Cell: 801.633.6013
john.davis@observepoint.com
www.observepoint.com
&lt;https://groove.grvlnk4.com/url/typa6byifukvbtijwod94/aHR0cDovL3d3dy5vYnNlcnZlcG9pbnQuY29tLyNncm9vdmVzdW06LTc2MTEwNTM3MA%3D%3D&gt;
On Thu, Jan 22, 2026, 4:57 PM venkata.mallepudi@agilent.com &lt;
venkata.mal</t>
  </si>
  <si>
    <t>19bebc27e0c85b8a</t>
  </si>
  <si>
    <t xml:space="preserve">
[image: ObservePoint Logo_Gray_ON_YEllow_LOGO.jpeg]
A friendly reminder that it's time to renew.
Hi Thor,
Thank you for being an ObservePoint customer!
This is an automated notification to let you know that the end of your 
current term is* March 24, 2026*.
We know approval and procurement processes can take time, and we want to 
avoid any interruption of service, hence we are reaching out now.
Unless you let us know of any changes by February 22, 2026, your 
subscription will automati</t>
  </si>
  <si>
    <t>19bec163937d8bfe</t>
  </si>
  <si>
    <t>Hi John, I might be 15 minutes late for the meeting. Just wanted to give you a heads up.
Francesco
________________________________
From: John Davis
Sent: Tuesday, January 20, 2026 4:00:12 PM
To: John Davis &lt;john.davis@observepoint.com&gt;; IALONGO, FRANCESCO S. &lt;FIALONGO@AMICA.COM&gt;
Subject: ObservePoint | Amica Weekly Sync
When: Friday, January 23, 2026 1:30 PM-2:30 PM.
Where:
ObservePoint | Amica Weekly Sync
You have been invited by John Davis to attend an event named ObservePoint |</t>
  </si>
  <si>
    <t>19bec1c945005958</t>
  </si>
  <si>
    <t>Re: ObservePoint | Amica Weekly Sync</t>
  </si>
  <si>
    <t>No worries, thanks
*Regards, *
John Davis *   |    * *Customer Success Manager*
Cell: 801.633.6013
john.davis@observepoint.com
www.observepoint.com
&lt;https://groove.grvlnk4.com/url/typa6byifukvbtijwod94/aHR0cDovL3d3dy5vYnNlcnZlcG9pbnQuY29tLyNncm9vdmVzdW06LTc2MTEwNTM3MA%3D%3D&gt;
On Fri, Jan 23, 2026, 11:20 AM IALONGO, FRANCESCO S. &lt;FIALONGO@amica.com&gt;
wrote:
&gt; Hi John, I might be 15 minutes late for the meeting. Just wanted to give
&gt; you a heads up.
&gt;
&gt; Francesco
&gt; ---------</t>
  </si>
  <si>
    <t>19bec2ddd9572af8</t>
  </si>
  <si>
    <t>Github repo for meeting notes</t>
  </si>
  <si>
    <t>Hi John,
I received an internal security alert this morning regarding some Lumen email addresses and meeting notes that are currently publicly viewable at Document success criteria and initiatives via email · Issue #1427 · johndavis92790/OP-Tasklist&lt;https://github.com/johndavis92790/OP-Tasklist/issues/1427&gt;.
The Lumen security team is requesting that you immediately make your repo private, or delete all references to Lumen in that repo if the former is not possible.
Thanks,
Arnold
-</t>
  </si>
  <si>
    <t>19bec37281b659df</t>
  </si>
  <si>
    <t>Re: Github repo for meeting notes</t>
  </si>
  <si>
    <t>Shoot, I apologize for this! I have made it private now so we should be
good to go, I thought that I had from the beginning. Sorry I have been
playing around with a script to organize my action items from my meetings.
Let me know if there is anything more that you need.
*Regards, *
John Davis *   |    * *Customer Success Manager*
Cell: 801.633.6013
john.davis@observepoint.com
www.observepoint.com
&lt;https://us-3129.email-composer-webhooks.gong.io/email-tracking/clicked?email-info-</t>
  </si>
  <si>
    <t>19bec3bc7abfead6</t>
  </si>
  <si>
    <t>Thanks for the fast response!
________________________________
From: John Davis &lt;john.davis@observepoint.com&gt;
Sent: Friday, January 23, 2026 10:56 AM
To: Hong, Arnold &lt;Arnold.Hong@lumen.com&gt;
Subject: Re: Github repo for meeting notes
Shoot, I apologize for this! I have made it private now so we should be good to go, I thought that I had from the beginning. Sorry I have been playing around with a script to organize my action items from my meetings. Let me know if there is
Shoot, I apol</t>
  </si>
  <si>
    <t>19bfb0c29674941e</t>
  </si>
  <si>
    <t>Grant Menefee &lt;Grant.Menefee@worldmarket.com&gt;</t>
  </si>
  <si>
    <t>OP Data Viz / Dashboarding</t>
  </si>
  <si>
    <t xml:space="preserve">Hi Dylan, hope all is well!
LW Macey said there is a data viz feature forthcoming alongside the Reporting functionality that was launched LY.
Is there any beta access to this feature? I'm trying to setup a dashboard for this report which we use to monitor page speed by various sections of our website. Here are the audits we use for this.
https://app.observepoint.com/share/C6znGsRZHqmxPKMvnsxYYG6
Lmk what's doable.
Thanks,
Grant-
</t>
  </si>
  <si>
    <t>19bfb30b0e8d301f</t>
  </si>
  <si>
    <t>Hey Tatyana and Audrey,
I just realized that I had two meetings scheduled with you both this week.
I cancelled the one today in favor of the one you picked for tomorrow, just
in case there was confusion from the cancelation email you just got,
thanks!
*Regards, *
John Davis *   |    * *Customer Success Manager*
Cell: 801.633.6013
john.davis@observepoint.com
www.observepoint.com
&lt;https://groove.grvlnk4.com/url/typa6byifukvbtijwod94/aHR0cDovL3d3dy5vYnNlcnZlcG9pbnQuY29tLyNncm9vdmV</t>
  </si>
  <si>
    <t>19bfb3698a5ebff8</t>
  </si>
  <si>
    <t>Woops, I'm sorry, I got it backwards, you scheduled the meeting for today
and so I need to cancel Tuesday's meeting. Sorry for the confusion!
*Regards, *
John Davis *   |    * *Customer Success Manager*
Cell: 801.633.6013
john.davis@observepoint.com
www.observepoint.com
&lt;https://groove.grvlnk4.com/url/typa6byifukvbtijwod94/aHR0cDovL3d3dy5vYnNlcnZlcG9pbnQuY29tLyNncm9vdmVzdW06LTc2MTEwNTM3MA%3D%3D&gt;
On Mon, Jan 26, 2026, 9:43 AM John Davis &lt;john.davis@observepoint.com&gt;
wrote:
&gt;</t>
  </si>
  <si>
    <t>19bfbe6291c30174</t>
  </si>
  <si>
    <t>Automatic reply: ObservePoint | Spark Bi-Weekly Sync Up</t>
  </si>
  <si>
    <t>Thank you for your email. Mycal Tamariki is no longer with Spark NZ Ltd.
If you have an alternative contact within Spark, please reach out to them. Otherwise, please visit our help and support page at: https://www.spark.co.nz/help/for further assistance.
________________________________
This email, including any attachments, is confidential. If you have received this email in error, please let me know and then delete it - do not read, use, or distribute it or its contents. This email do</t>
  </si>
  <si>
    <t>19bfbe3ac9d06f4b</t>
  </si>
  <si>
    <t>Mycal Tamariki &lt;mycal.tamariki@spark.co.nz&gt;</t>
  </si>
  <si>
    <t>Automatic reply: Canceled event with note: ObservePoint | Spark Bi-Weekly Sync Up @ Mon Jan 26, 2026 2pm - 2:30pm (MST) (mycal.tamariki@spark.co.nz)</t>
  </si>
  <si>
    <t>19bfbda60cae1c44</t>
  </si>
  <si>
    <t>John Davis &lt;john.davis@observepoint.com&gt;, Mycal Tamariki &lt;Mycal.Tamariki@spark.co.nz&gt;</t>
  </si>
  <si>
    <t>Macey Bell &lt;macey.bell@observepoint.com&gt;, Scott Kempster &lt;scott.kempster@spark.co.nz&gt;</t>
  </si>
  <si>
    <t>Hi John,
I wanted to share a quick update regarding our syncs. Our team has recently reduced in size, and Mycal is no longer working with Spark. Given these changes, I’d like to adjust the meeting frequency from bi-weekly to monthly moving forward.
Unfortunately, I won’t be able to join this month’s session, so apologies for canceling today’s meeting.
Thanks for your understanding.
Krushi,
________________________________
From: John Davis &lt;john.davis@observepoint.com&gt;
Sent: Tu</t>
  </si>
  <si>
    <t>19bfbe4d947bad9b</t>
  </si>
  <si>
    <t>Mycal Tamariki &lt;Mycal.Tamariki@spark.co.nz&gt;, Macey Bell &lt;macey.bell@observepoint.com&gt;, Scott Kempster &lt;scott.kempster@spark.co.nz&gt;</t>
  </si>
  <si>
    <t>Hey Krushi,
No worries, I have cancelled today's sync and updated our next sync on Feb
9th to monthly.
Let me know how I can help with anything in the meantime, thanks!
*Regards, *
John Davis *   |    * *Customer Success Manager*
Cell: 801.633.6013
john.davis@observepoint.com
www.observepoint.com
&lt;https://us-3129.email-composer-webhooks.gong.io/email-tracking/clicked?email-info-token=eyJhbGciOiJIUzI1NiJ9.eyJjb21wYW55SWQiOiI4OTgyMjM2MTQxODc2Mjk3NzAiLCJkcmFmdElkIjoicjg0NTA0OTc1N</t>
  </si>
  <si>
    <t>19bfbeae9d7c3149</t>
  </si>
  <si>
    <t>Re: Accepted: ObservePoint | Spark Bi-Weekly Sync Up</t>
  </si>
  <si>
    <t>Hey Scott,
I guess I forgot that you accepted today's meeting before I got that email
from Krushi.
Did you still want to sync today? Or did you want to wait until our next
sync on Feb 9th with Krushi?
*Regards, *
John Davis *   |    * *Customer Success Manager*
Cell: 801.633.6013
john.davis@observepoint.com
www.observepoint.com
&lt;https://us-3129.email-composer-webhooks.gong.io/email-tracking/clicked?email-info-token=eyJhbGciOiJIUzI1NiJ9.eyJjb21wYW55SWQiOiI4OTgyMjM2MTQxODc2Mjk3</t>
  </si>
  <si>
    <t>19bfc1c9e5f18c09</t>
  </si>
  <si>
    <t>Lynsie Lassig &lt;lynsie.lassig@observepoint.com&gt;</t>
  </si>
  <si>
    <t>Payment Question</t>
  </si>
  <si>
    <t>Hey Audrey,
As a followup to your question about your bill earlier today, this is what
Lynsie Lassig (our AR specialist) said:
"Looks like their invoice is due Feb 15, 2026, and I haven't received
payment yet."
I have CC'd her in this email so any further questions you can direct her
way, thanks!
*Regards, *
John Davis *   |    * *Customer Success Manager*
Cell: 801.633.6013
john.davis@observepoint.com
www.observepoint.com
&lt;https://us-3129.email-composer-webhooks.gong.io/</t>
  </si>
  <si>
    <t>19bfc1ee3a110f27</t>
  </si>
  <si>
    <t>Re: OP Data Viz / Dashboarding</t>
  </si>
  <si>
    <t>Grant,
Prompted by your request, I asked that we expand our internal BETA access
of Charting to our whole CSM team. I train them on Wednesday, but I'll try
to get you a chart even sooner if possible.
*Key question:* how do you want to define "various sessions of our
website"? Is that by URL path? Subdomain? ObservePoint Folder?
On Mon, Jan 26, 2026 at 9:03 AM Grant Menefee &lt;Grant.Menefee@worldmarket.com&gt;
wrote:
&gt; Hi Dylan, hope all is well!
&gt;
&gt; LW Macey said there is a data viz</t>
  </si>
  <si>
    <t>19bfc237e7aa1362</t>
  </si>
  <si>
    <t>Sorry, various sections*
On Mon, Jan 26, 2026 at 2:03 PM Dylan Sellers &lt;
dylan.sellers@observepoint.com&gt; wrote:
&gt; Grant,
&gt;
&gt; Prompted by your request, I asked that we expand our internal BETA access
&gt; of Charting to our whole CSM team. I train them on Wednesday, but I'll try
&gt; to get you a chart even sooner if possible.
&gt;
&gt; *Key question:* how do you want to define "various sessions of our
&gt; website"? Is that by URL path? Subdomain? ObservePoint Folder?
&gt;
&gt; On Mon, Jan 26, 2026 a</t>
  </si>
  <si>
    <t>19bfc39124155978</t>
  </si>
  <si>
    <t xml:space="preserve">
*Regards, *
John Davis *   |    * *Customer Success Manager*
Cell: 801.633.6013
john.davis@observepoint.com
www.observepoint.com 
&lt;https://groove.grvlnk4.com/url/typa6byifukvbtijwod94/aHR0cDovL3d3dy5vYnNlcnZlcG9pbnQuY29tLyNncm9vdmVzdW06LTc2MTEwNTM3MA%3D%3D&gt;
</t>
  </si>
  <si>
    <t>19bfc34addd333ce</t>
  </si>
  <si>
    <t>Hi Clarke,
We have approval to sign for 3 years.
Looking forward to the next steps.
Tamara Saban
Marketing Operations Manager | Ross Stores, Inc.
[A picture containing text, font, logo, graphics  Description automatically generated]
From: Clarke Anderson &lt;clarke.anderson@observepoint.com&gt;
Sent: Tuesday, January 13, 2026 2:45 PM
To: Tamara Saban (MARKETING) &lt;tamara.saban@ros.com&gt;
Cc: John Davis &lt;john.davis@observepoint.com&gt;; Fe Valencia (MARKETING) &lt;fe.valencia@ros.com&gt;
Subject:</t>
  </si>
  <si>
    <t>19bfc39463a8cbbc</t>
  </si>
  <si>
    <t>I setup an audit for each site section x device/browser.  These audits are in a folder called 'site performance - page types'.
Does that answer your question?
________________________________
From: Dylan Sellers &lt;dylan.sellers@observepoint.com&gt;
Sent: Monday, January 26, 2026 3:08 PM
To: Grant Menefee &lt;Grant.Menefee@worldmarket.com&gt;
Cc: Macey Bell &lt;macey.bell@observepoint.com&gt;; john.davis@observepoint.com &lt;john.davis@observepoint.com&gt;
Subject: Re: OP Data Viz / Dashboarding
CAUTION: T</t>
  </si>
  <si>
    <t>19bfc3b4b8607944</t>
  </si>
  <si>
    <t>Sync Meeting</t>
  </si>
  <si>
    <t>Hey Steve,
Are you able to join our scheduled meeting right now on Zoom?
*Regards, *
John Davis *   |    * *Customer Success Manager*
Cell: 801.633.6013
john.davis@observepoint.com
www.observepoint.com
&lt;https://us-3129.email-composer-webhooks.gong.io/email-tracking/clicked?email-info-token=eyJhbGciOiJIUzI1NiJ9.eyJjb21wYW55SWQiOiI4OTgyMjM2MTQxODc2Mjk3NzAiLCJkcmFmdElkIjoici0yOTA5ODQ3NDA5Mjc3NTMzODY0IiwibGlua1VybCI6Imh0dHBzOi8vZ3Jvb3ZlLmdydmxuazQuY29tL3VybC90eXBhNmJ5aWZ1a3ZidGlqd29kO</t>
  </si>
  <si>
    <t>19bfc54d200c6a33</t>
  </si>
  <si>
    <t>RE: Sync Meeting</t>
  </si>
  <si>
    <t>Hey John,
Sorry.  I joined late, but it looks like you dropped off.
Can you provide some available times for this week and next week to review ObservePoint audit from few weeks ago?  If you have any mornings available, please include them as well.
Thanks,
Steve
From: John Davis &lt;john.davis@observepoint.com&gt;
Sent: Monday, January 26, 2026 4:35 PM
To: Steve Choi &lt;steve.choi@prudential.com&gt;
Subject: Sync Meeting
Hey Steve,
Are you able to join our scheduled meeting right now</t>
  </si>
  <si>
    <t>19bfc69c290a1727</t>
  </si>
  <si>
    <t>Re: Sync Meeting</t>
  </si>
  <si>
    <t>Here are some times that work for me in Eastern Time:
Meeting length: 30 Minutes
Time Zone: (GMT-5) EST/New_York
Tue Jan 27 Wed Jan 28 Thu Jan 29 Fri Jan 30
 3:00  PM
&lt;https://us-3129.email-composer-webhooks.gong.io/email-tracking/clicked?email-info-token=eyJhbGciOiJIUzI1NiJ9.eyJjb21wYW55SWQiOiI4OTgyMjM2MTQxODc2Mjk3NzAiLCJkcmFmdElkIjoicjE0ODA2OTU0Mjc0NTc0NDc1MTUiLCJsaW5rVXJsIjoiaHR0cHM6Ly9vYnNlcnZlcG9pbnQuY2hpbGlwaXBlci5jb20vc3VnZ2VzdGVkLXRpbWVzLzAxMGRmNTYyLTU4NWEtNGNkOS04NGRkLTg4ZTg0YjM1</t>
  </si>
  <si>
    <t>19bfcb37d74e8403</t>
  </si>
  <si>
    <t>Tatyana Zachary &lt;tatyana.zachary@cdw.com&gt;, Invoice &lt;Invoice@cdw.com&gt;</t>
  </si>
  <si>
    <t>Audrey Bombeck-Massel &lt;audrbom@cdw.com&gt;, John Davis &lt;john.davis@observepoint.com&gt;</t>
  </si>
  <si>
    <t>FW: New Invoice #INV8103997 from ObservePoint</t>
  </si>
  <si>
    <t>Tatyana,
The Accounts Payable team via Invoice@cdw.com has everything (requisition for $22,000.00, invoice attached, and PO# 13208) needed for payment.
Please provide approval by replying to this email.
Payment is due on February 15th.
Thank you,
Audrey Bombeck-Massel, MBA, PMP, CSM
Performance Analytics, Technical Project Manager/Scrum Master | CDW
Phone: 847-373-7311 (cell)
Email: audrbom@cdw.com&lt;mailto:audrbom@cdw.com&gt;
[signatureImage][cid:image002.jpg@01DC8EEB.A947B560] [c</t>
  </si>
  <si>
    <t>19bfccd855786e79</t>
  </si>
  <si>
    <t>Hey Stu,
Here are some times in the near future that work for me to sync up in *Mountain
Time*, fee free to grab one that works for you:
Meeting length: 30 Minutes
Time Zone: (GMT-7) MST/Denver
Tue Jan 27 Wed Jan 28 Thu Jan 29 Fri Jan 30 Tue Feb 3 Wed Feb 4 Thu Feb 5
Fri Feb 6
 2:00  PM
&lt;https://us-3129.email-composer-webhooks.gong.io/email-tracking/clicked?email-info-token=eyJhbGciOiJIUzI1NiJ9.eyJjb21wYW55SWQiOiI4OTgyMjM2MTQxODc2Mjk3NzAiLCJkcmFmdElkIjoicjc3NjYxNDg3NDM5MDMzMzQ5MTciLC</t>
  </si>
  <si>
    <t>19bfcc59b64a27e4</t>
  </si>
  <si>
    <t>Satpal Singh &lt;ssingh60@woolworths.com.au&gt;</t>
  </si>
  <si>
    <t>Create Journey for giftcard purchase flow.</t>
  </si>
  <si>
    <t>Hi John
I hope you are having a great start of the week.
Here are the details about the rewards website to create the audits and
journeys.
- preprod url - https://preprod-cms.everyday.com.au/gift-cards/browse
- login Credentials
    PreProdUser5@p4og6n4u@mailosaur.net / Test@123
- I have attached the screen recording of the purchase journey.
Can you please help me create the journey for the giftcard purchase flow in
the observepoint?
Please let me know if you have any questions o</t>
  </si>
  <si>
    <t>19bfcd62483b68a9</t>
  </si>
  <si>
    <t>Broken Journeys</t>
  </si>
  <si>
    <t>Hey Audrey,
I had some time today and was able to fix the "Click and Buy Now from
Product Page" journey:
https://app.observepoint.com/web-journey/447986/run/66639950/results?action=1
&lt;https://us-3129.email-composer-webhooks.gong.io/email-tracking/clicked?email-info-token=eyJhbGciOiJIUzI1NiJ9.eyJjb21wYW55SWQiOiI4OTgyMjM2MTQxODc2Mjk3NzAiLCJkcmFmdElkIjoici03NzExNDkwNDg2NDI0ODA2ODciLCJsaW5rVXJsIjoiaHR0cHM6Ly9hcHAub2JzZXJ2ZXBvaW50LmNvbS93ZWItam91cm5leS80NDc5ODYvcnVuLzY2NjM5OTUwL3Jlc3VsdHM_YWN0a</t>
  </si>
  <si>
    <t>19bfcf471ac51c06</t>
  </si>
  <si>
    <t>All good we'll catch up on the 9th.
I hadn't seen Krushi's email when i responded
Scott Kempster
He / Him
Architect
Spark New Zealand Trading Limited
+64 9 355 3743
+64 210320287
L5, Spark City Albert St
50 Albert Street
Private Bag 92028, Auckland Central 1010
[cid:sparknzltd_b5632622-91a9-4c49-82d0-52ae318b94cf.png]&lt;https://www.spark.co.nz/&gt;             [cid:facebook_54ef2f66-e6d6-489a-85ce-9d5c691435ee.png] &lt;https://facebook.com/spark4nz&gt;         [cid:instagram_a6</t>
  </si>
  <si>
    <t>19bfd999745c34df</t>
  </si>
  <si>
    <t>Yes, that's perfect.
On Mon, Jan 26, 2026 at 2:32 PM Grant Menefee &lt;Grant.Menefee@worldmarket.com&gt;
wrote:
&gt; I setup an audit for each site section x device/browser.  These audits are
&gt; in a folder called 'site performance - page types'.
&gt;
&gt; Does that answer your question?
&gt; ------------------------------
&gt; *From:* Dylan Sellers &lt;dylan.sellers@observepoint.com&gt;
&gt; *Sent:* Monday, January 26, 2026 3:08 PM
&gt; *To:* Grant Menefee &lt;Grant.Menefee@worldmarket.com&gt;
&gt; *Cc:* Macey Bell &lt;macey</t>
  </si>
  <si>
    <t>19bffd4d411cf85f</t>
  </si>
  <si>
    <t>Audrey Bombeck-Massel &lt;audrbom@cdw.com&gt;, Invoice &lt;Invoice@cdw.com&gt;</t>
  </si>
  <si>
    <t>Re: New Invoice #INV8103997 from ObservePoint</t>
  </si>
  <si>
    <t>Approved.
Why are we processing it this way?
From: Audrey Bombeck-Massel &lt;audrbom@cdw.com&gt;
Date: Monday, January 26, 2026 at 6:46 PM
To: Tatyana Zachary &lt;tatyana.zachary@cdw.com&gt;, Invoice &lt;Invoice@cdw.com&gt;
Cc: Audrey Bombeck-Massel &lt;audrbom@cdw.com&gt;, John Davis &lt;john.davis@observepoint.com&gt;
Subject: FW: New Invoice #INV8103997 from ObservePoint
Tatyana,
The Accounts Payable team via Invoice@cdw.com has everything (requisition for $22,000.00, invoice attached, and PO# 13208) needed fo</t>
  </si>
  <si>
    <t>19c007bd2c8fca12</t>
  </si>
  <si>
    <t>Grant,
Feast your eyes!
How does this look? What should I change?
On Mon, Jan 26, 2026 at 8:57 PM Dylan Sellers &lt;dylan.sellers@
observepoint.com&gt; wrote:
&gt; Yes, that's perfect.
&gt;
&gt; On Mon, Jan 26, 2026 at 2:32 PM Grant Menefee &lt;
&gt; Grant.Menefee@worldmarket.com&gt; wrote:
&gt;
&gt;&gt; I setup an audit for each site section x device/browser.  These audits
&gt;&gt; are in a folder called 'site performance - page types'.
&gt;&gt;
&gt;&gt; Does that answer your question?
&gt;&gt; ------------------------------
&gt;&gt;</t>
  </si>
  <si>
    <t>19c0097701ba882c</t>
  </si>
  <si>
    <t>Wonderful news -- thanks for confirming, Tamara.
I've attached the amendment that will lock in the discounted rate. We'll
need that executed this week.
I also have attached the 3 year renewal proposal, discounted data retention
being the new line item. If you'd like, we can execute both now and not
have to worry about revisiting signatures in March. I'm happy to route both
through DocuSign when you're ready. What do you think?
Best,
Clarke Anderson *   |    * *Account Executive</t>
  </si>
  <si>
    <t>19c010cf21b0406c</t>
  </si>
  <si>
    <t>Journey Support &lt;journey.support@observepoint.com&gt;</t>
  </si>
  <si>
    <t>Re: Create Journey for giftcard purchase flow.</t>
  </si>
  <si>
    <t>Hey Satpal,
I have looped in our journey support team to get started on this for you. 
They will follow up with you on any questions they might have. 
*Regards, *
John Davis *   |    * *Customer Success Manager*
Cell: 801.633.6013
john.davis@observepoint.com
www.observepoint.com 
&lt;https://groove.grvlnk4.com/url/typa6byifukvbtijwod94/aHR0cDovL3d3dy5vYnNlcnZlcG9pbnQuY29tLyNncm9vdmVzdW06LTc2MTEwNTM3MA%3D%3D&gt;
On Mon, Jan 26, 2026 at 5:06 PM Satpal Singh &lt;ssingh60@woolworths.co</t>
  </si>
  <si>
    <t>19c011a0ad835c8b</t>
  </si>
  <si>
    <t>Hey Raghu,
Just wanted to follow up quickly before our meeting tomorrow. Were you able
to talk to someone on your end about whitelisting ObservePoint?
Here is our help doc that should help them with this:
https://help.observepoint.com/en/articles/9101465-allow-exclude-observepoint-traffic
&lt;https://us-3129.email-composer-webhooks.gong.io/email-tracking/clicked?email-info-token=eyJhbGciOiJIUzI1NiJ9.eyJjb21wYW55SWQiOiI4OTgyMjM2MTQxODc2Mjk3NzAiLCJkcmFmdElkIjoicjUwMTM2NTQwMTg3NTY4MTY1MjUiLCJ</t>
  </si>
  <si>
    <t>19c010f5da85aca2</t>
  </si>
  <si>
    <t>Grant Menefee &lt;Grant.Menefee@worldmarket.com&gt;, "john.davis@observepoint.com" &lt;john.davis@observepoint.com&gt;</t>
  </si>
  <si>
    <t>worldmarket.com, observepoint.com</t>
  </si>
  <si>
    <t>I'm also using your account to experiment with the new charting feature and
built a line graph depicting LCP on the homepage over time, just to give a
different example of what's possible!
[image: Screenshot 2026-01-27 at 1.02.39 PM.png]
On Tue, Jan 27, 2026 at 10:24 AM Dylan Sellers &lt;
dylan.sellers@observepoint.com&gt; wrote:
&gt; Grant,
&gt;
&gt; Feast your eyes!
&gt;
&gt; How does this look? What should I change?
&gt;
&gt; On Mon, Jan 26, 2026 at 8:57 PM Dylan Sellers &lt;dylan.sellers@
&gt; observe</t>
  </si>
  <si>
    <t>19c01117c5950bb2</t>
  </si>
  <si>
    <t>That's cool. We can averages, medians, min, max, 99th percentile, etc.
Lots of flexibility thanks to our reporting.
On Tue, Jan 27, 2026 at 1:05 PM Macey Bell &lt;macey.bell@observepoint.com&gt;
wrote:
&gt; I'm also using your account to experiment with the new charting feature
&gt; and built a line graph depicting LCP on the homepage over time, just to
&gt; give a different example of what's possible!
&gt;
&gt;
&gt; [image: Screenshot 2026-01-27 at 1.02.39 PM.png]
&gt;
&gt;
&gt; On Tue, Jan 27, 2026 at 10:24 </t>
  </si>
  <si>
    <t>19c010e114827e8e</t>
  </si>
  <si>
    <t>Hey Satpal,
I have looped in our journey support team to get started on this for you.
They will follow up with you on any questions they might have.
We can review it next time we meet in Feb, thanks!
*Regards, *
John Davis *   |    * *Customer Success Manager*
Cell: 801.633.6013
john.davis@observepoint.com
www.observepoint.com
&lt;https://us-3129.email-composer-webhooks.gong.io/email-tracking/clicked?email-info-token=eyJhbGciOiJIUzI1NiJ9.eyJjb21wYW55SWQiOiI4OTgyMjM2MTQxODc2Mjk3Nz</t>
  </si>
  <si>
    <t>19c010e9d59750da</t>
  </si>
  <si>
    <t>ssingh60@woolworths.com.au</t>
  </si>
  <si>
    <t>Re: Re: Create Journey for giftcard purchase flow.</t>
  </si>
  <si>
    <t xml:space="preserve"> 
#71365801: Re: Create Journey for giftcard purchase flow. 
Submitted 
We'll pick up your ticket soon 
Hey Satpal, I have looped in our journey support team to get started on 
this for you. They will follow up with you on any questions they might 
have. 
We can review it next time we meet in Feb, thanks! *Regards, * John Davis* 
| * *Customer Success Manager* Cell: 801.633.6013 
john.davis@observepoint.com 
*ObservePoint AI*
ObservePoint
[image: intercom] </t>
  </si>
  <si>
    <t>19c0124dacbce7ca</t>
  </si>
  <si>
    <t>Lucian-Gabriel from ObservePoint &lt;journey.support@observepoint.com&gt;</t>
  </si>
  <si>
    <t>Sumit Singh &lt;ssingh60@woolworths.com.au&gt;</t>
  </si>
  <si>
    <t>Hello John, 
 Thank you for reaching out! ​ We have reviewed your request and encountered a blocker. The staging environment needs to add the OP app to its allow list before we can start working on the journey so we have access to it. 
 https://app.observepoint.com/web-journey/574123/run/66644581/results?action=1 
 [Image "image.png?expires=1769547600&amp;amp;signature=3f302ff3765d0c2b19528d5e862921963c9d09580d9a59f1a064971970cfe2be&amp;amp;req=dSkuEMh%2BnYVWWfMW1HO4zXWN7zai5cNQpPAfVHIaIw5b%2FEU8%2BA</t>
  </si>
  <si>
    <t>19c0124ee007f99d</t>
  </si>
  <si>
    <t xml:space="preserve"> 
#71365801: Re: Create Journey for giftcard purchase flow. 
Waiting on you 
We need more information 
Hey Satpal, I have looped in our journey support team to get started on 
this for you. They will follow up with you on any questions they might 
have. 
We can review it next time we meet in Feb, thanks! *Regards, * John Davis* 
| * *Customer Success Manager* Cell: 801.633.6013 
john.davis@observepoint.com 
*Lucian-Gabriel*
ObservePoint
[image: intercom] </t>
  </si>
  <si>
    <t>19c01361bf451d07</t>
  </si>
  <si>
    <t>Reschedule Next Sync</t>
  </si>
  <si>
    <t>Hey Questrade Team,
I have a conflict for our next sync up on Monday, can we find another time 
to meet next week?
Here are some times that work for me in *Mountain Time*, feel free to grab 
one that works for you all:
Meeting length: 30 Minutes
Time Zone: (GMT-7) MST/Denver
Tue Feb 3 Wed Feb 4 Thu Feb 5 Fri Feb 6
 11:30  AM  
&lt;https://observepoint.chilipiper.com/suggested-times/86061cb1-bb71-4612-b864-0225ac159df7?slotStartsAt=2026-02-03T18:30:00.000Z&gt; 
 10:30  AM  
&lt;https://ob</t>
  </si>
  <si>
    <t>19c013abdfa35eba</t>
  </si>
  <si>
    <t>ailill.breffni@setoyota.com, jack.zackowitz@22squared.com, jared.blood@22squared.com, kathy.shin@22squared.com, kendall.papera@setoyota.com, robyn.beyah@22squared.com</t>
  </si>
  <si>
    <t>Hey SE Toyota Team,
I have a conflict for our sync up on Monday Feb 2nd unfortunately, can we
find another time to meet that works later in the week?
Here are some slots that work for me in *Eastern Time*, feel free to grab
one that works for you all:
Meeting length: 30 Minutes
Time Zone: (GMT-5) EST/New_York
Tue Feb 3 Wed Feb 4 Thu Feb 5 Fri Feb 6
 1:30  PM
&lt;https://us-3129.email-composer-webhooks.gong.io/email-tracking/clicked?email-info-token=eyJhbGciOiJIUzI1NiJ9.eyJjb21wYW55SW</t>
  </si>
  <si>
    <t>19c0136673e9567e</t>
  </si>
  <si>
    <t>Hey Questrade Team,
I have a conflict for our next sync up on Monday, can we find another time
to meet next week?
Here are some times that work for me in *Mountain Time*, feel free to grab
one that works for you all:
Meeting length: 30 Minutes
Time Zone: (GMT-7) MST/Denver
Tue Feb 3 Wed Feb 4 Thu Feb 5 Fri Feb 6
 11:30  AM
&lt;https://us-3129.email-composer-webhooks.gong.io/email-tracking/clicked?email-info-token=eyJhbGciOiJIUzI1NiJ9.eyJjb21wYW55SWQiOiI4OTgyMjM2MTQxODc2Mjk3NzAiLCJkcm</t>
  </si>
  <si>
    <t>19c014a916968573</t>
  </si>
  <si>
    <t>RE: White listed IP addresses.</t>
  </si>
  <si>
    <t>Hi John, I did reach out to a team member but with too many things going on, I do wonder if I will get a response soon. Is there anyway we can initiate the conversation on how Observe Point was able to get some of the audits run today?
Raghu
From: John Davis &lt;john.davis@observepoint.com&gt;
Sent: Tuesday, January 27, 2026 12:17 PM
To: MALLEPUDI,VENKATA (Agilent USA) &lt;venkata.mallepudi@agilent.com&gt;
Subject: Re: White listed IP addresses.
External Sender - Use caution opening files, c</t>
  </si>
  <si>
    <t>19c014c71fd779b5</t>
  </si>
  <si>
    <t>Re: Custom Audit Scheduler Code Example</t>
  </si>
  <si>
    <t>Hey Mayank,
As another followup on this, I just heard about a new feature that we just
released that might help with this use case.
We now can trigger audits to run as part of a Github CI/CD pipeline:
https://help.observepoint.com/en/articles/13416961-github-app-actions
&lt;https://us-3129.email-composer-webhooks.gong.io/email-tracking/clicked?email-info-token=eyJhbGciOiJIUzI1NiJ9.eyJjb21wYW55SWQiOiI4OTgyMjM2MTQxODc2Mjk3NzAiLCJkcmFmdElkIjoici00NjQxMTk3Nzk5MTIyNzczNDI3IiwibGlua1VybCI6Imh0dH</t>
  </si>
  <si>
    <t>19c015ba7c8e39e4</t>
  </si>
  <si>
    <t>Yes I will do some more research on my side here to see if there is
anything else we can try, thanks for letting me know!
*Regards, *
John Davis *   |    * *Customer Success Manager*
Cell: 801.633.6013
john.davis@observepoint.com
www.observepoint.com
&lt;https://us-3129.email-composer-webhooks.gong.io/email-tracking/clicked?email-info-token=eyJhbGciOiJIUzI1NiJ9.eyJjb21wYW55SWQiOiI4OTgyMjM2MTQxODc2Mjk3NzAiLCJkcmFmdElkIjoici03Mjc3MDI1NjE2NjM2MDQyNDAwIiwibGlua1VybCI6Imh0dHBzOi8vZ3Jvb3ZlLm</t>
  </si>
  <si>
    <t>19c015f7812f7ab9</t>
  </si>
  <si>
    <t>Reach Out</t>
  </si>
  <si>
    <t>Hey Kathy,
Arnold and Kerry mentioned that you might want to see ObservePoint and how 
it could help you with your site experience and performance projects you 
have going on. 
I would love to meet and chat about how we could help!
Here are some times next week that f
*Regards, *
John Davis *   |    * *Customer Success Manager*
Cell: 801.633.6013
john.davis@observepoint.com
www.observepoint.com 
&lt;https://groove.grvlnk4.com/url/typa6byifukvbtijwod94/aHR0cDovL3d3dy5vYnNlcnZl</t>
  </si>
  <si>
    <t>19c01640daba56a3</t>
  </si>
  <si>
    <t xml:space="preserve">Hey Kathy,
Arnold and Kerry mentioned that you might want to see ObservePoint and how
it could help you with your site experience and performance projects you
have going on.
I am Lumen's new CSM going forward and I would love to meet and chat about
how we could help!
Here are some times next week that work for me in *Mountain Time*, feel
free to grab one that works for you:
Meeting length: 30 Minutes
Time Zone: (GMT-7) MST/Denver
Tue Feb 3 Wed Feb 4 Thu Feb 5 Fri Feb 6
 2:30  </t>
  </si>
  <si>
    <t>19c017578c9eee73</t>
  </si>
  <si>
    <t>It seems like the other audits are running from Oregon, rather than
California. I updated that audit that we built and it seemed to work:
https://app.observepoint.com/audit/2036092/run/8695438/report/highlights/discovery
&lt;https://us-3129.email-composer-webhooks.gong.io/email-tracking/clicked?email-info-token=eyJhbGciOiJIUzI1NiJ9.eyJjb21wYW55SWQiOiI4OTgyMjM2MTQxODc2Mjk3NzAiLCJkcmFmdElkIjoicjExMTk3NzUyOTM4MTg1MzA4MDYiLCJsaW5rVXJsIjoiaHR0cHM6Ly9hcHAub2JzZXJ2ZXBvaW50LmNvbS9hdWRpdC8yMDM2MDkyL3J1bi</t>
  </si>
  <si>
    <t>19c01796706885c9</t>
  </si>
  <si>
    <t>This is good news!
I will still follow up with the team on whitelisting but now, we can continue getting the audits and web journeys created.
Raghu
From: John Davis &lt;john.davis@observepoint.com&gt;
Sent: Tuesday, January 27, 2026 1:57 PM
To: MALLEPUDI,VENKATA (Agilent USA) &lt;venkata.mallepudi@agilent.com&gt;
Subject: Re: White listed IP addresses.
It seems like the other audits are running from Oregon, rather than California. I updated that audit that we built and it seemed to work:
htt</t>
  </si>
  <si>
    <t>19c017f6ef31573c</t>
  </si>
  <si>
    <t xml:space="preserve">HI Lucian-Gabriel
Thank you for pointing this out. this preprod env requires below request
header.
   -
   -
   *DEV2_Rewards_BAU:* true
   -
   *nonprod-everyday-access:* 3KNyMTN=)433bYtx
   -
   *PreProd-ContentService:* true
   -
   *nonprod-cms-everyday-acces:* K3fWMs-a&amp;84Lz6?=6=mh
   -
   *auth-uatsite-access:* 3xT3rN@luS3r
   -
   *dev-cms-everyday-access:* K3fWMs-a&amp;84Lz6?=6=mh
   -
   *fe-debug-level:* debug
   -
   *fe-request-id:* testuser11
   -
</t>
  </si>
  <si>
    <t>19c017fcd37dbd46</t>
  </si>
  <si>
    <t xml:space="preserve"> 
#71365801: Re: Create Journey for giftcard purchase flow. 
In progress 
We're working on your ticket 
Hey Satpal, I have looped in our journey support team to get started on 
this for you. They will follow up with you on any questions they might 
have. 
We can review it next time we meet in Feb, thanks! *Regards, * John Davis* 
| * *Customer Success Manager* Cell: 801.633.6013 
john.davis@observepoint.com 
*ObservePoint AI*
ObservePoint
[image: intercom] </t>
  </si>
  <si>
    <t>19c0196d90c7f94b</t>
  </si>
  <si>
    <t>Hi Todd, contract all signed.
Thanks, Stu.
Stuart Heggie
Head of Marketing Technology
[cid:image001.jpg@01DC9038.E9B035C0]
Tel: +61 3 9427 9422 | Email: Stuart.Heggie@accentgr.com.au&lt;mailto:Stuart.Heggie@accentgr.com.au&gt; | Web: www.accentgr.com.au&lt;http://www.accentgr.com.au/&gt;
Accent Group Limited
2/64 Balmain St
Cremorne, VIC 3121 AU
The information in this email and in any attachments may be confidential. If you are not the intended recipient of this message, you must not rea</t>
  </si>
  <si>
    <t>19c019e7e74d83b6</t>
  </si>
  <si>
    <t>Wonderful.  Thank you.
Is there anything you need from me?
Todd
On Tue, Jan 27, 2026 at 3:33 PM Stuart Heggie &lt;Stuart.Heggie@accentgr.com.au&gt;
wrote:
&gt; Hi Todd, contract all signed.
&gt;
&gt;
&gt;
&gt; Thanks, Stu.
&gt;
&gt;
&gt;
&gt;
&gt; *Stuart Heggie *Head of Marketing Technology
&gt;
&gt;
&gt;
&gt; Tel: +61 3 9427 9422 | Email: Stuart.Heggie@accentgr.com.au | Web:
&gt; www.accentgr.com.au
&gt;
&gt; *Accent Group Limited*
&gt; 2/64 Balmain St
&gt; Cremorne, VIC 3121 AU
&gt; The information in this email and in any at</t>
  </si>
  <si>
    <t>19c01a2beae8c31b</t>
  </si>
  <si>
    <t>Nope - we’re all set.
Speak soon 😊
Stuart Heggie
Head of Marketing Technology
[cid:image001.jpg@01DC903A.AC363990]
Tel: +61 3 9427 9422 | Email: Stuart.Heggie@accentgr.com.au&lt;mailto:Stuart.Heggie@accentgr.com.au&gt; | Web: www.accentgr.com.au&lt;http://www.accentgr.com.au/&gt;
Accent Group Limited
2/64 Balmain St
Cremorne, VIC 3121 AU
The information in this email and in any attachments may be confidential. If you are not the intended recipient of this message, you must not read, forw</t>
  </si>
  <si>
    <t>19c01ec96109a1a5</t>
  </si>
  <si>
    <t>Hi Raymond, 
 Following up on this, have you had a chance to review our latest reply? We would really appreciate hearing your thoughts on the points mentioned above. Please let us know if there is anything else we can assist with. 
 Thank you!</t>
  </si>
  <si>
    <t>19c052db6205eb8e</t>
  </si>
  <si>
    <t>Are you free at 1:30pm ET next Monday 2/2 to review ObservePoint audit of Prudential.com from few weeks ago?
Thanks,
Steve
From: John Davis &lt;john.davis@observepoint.com&gt;
Sent: Monday, January 26, 2026 5:26 PM
To: Steve Choi &lt;steve.choi@prudential.com&gt;
Subject: Re: Sync Meeting
Here are some times that work for me in Eastern Time:
Meeting length: 30 Minutes
Time Zone: (GMT-5) EST/New_York
Tue Jan 27
Wed Jan 28
Thu Jan 29
Fri Jan 30
 3:00  PM &lt;https://us-3129.email-composer-w</t>
  </si>
  <si>
    <t>19c052e6ff438ad5</t>
  </si>
  <si>
    <t xml:space="preserve">I
*Regards, *
John Davis *   |    * *Customer Success Manager*
Cell: 801.633.6013
john.davis@observepoint.com
www.observepoint.com 
&lt;https://groove.grvlnk4.com/url/typa6byifukvbtijwod94/aHR0cDovL3d3dy5vYnNlcnZlcG9pbnQuY29tLyNncm9vdmVzdW06LTc2MTEwNTM3MA%3D%3D&gt;
On Wed, Jan 28, 2026, 8:16 AM Steve Choi &lt;steve.choi@prudential.com&gt; wrote:
&gt; Are you free at 1:30pm ET next Monday 2/2 to review ObservePoint audit of 
&gt; Prudential.com from few weeks ago?
&gt;
&gt;  
&gt;
&gt; Thanks,
&gt;
&gt;  </t>
  </si>
  <si>
    <t>19c052fdf81d32a1</t>
  </si>
  <si>
    <t>I am actually not sorry, my son is having surgery that day so I need to
reschedule my meetings that day anyways. Are you free any other day next
week?
*Regards, *
John Davis *   |    * *Customer Success Manager*
Cell: 801.633.6013
john.davis@observepoint.com
www.observepoint.com
&lt;https://groove.grvlnk4.com/url/typa6byifukvbtijwod94/aHR0cDovL3d3dy5vYnNlcnZlcG9pbnQuY29tLyNncm9vdmVzdW06LTc2MTEwNTM3MA%3D%3D&gt;
On Wed, Jan 28, 2026, 8:16 AM Steve Choi &lt;steve.choi@prudential.com&gt; wrot</t>
  </si>
  <si>
    <t>19c05373e76f5fe5</t>
  </si>
  <si>
    <t>Hope your son is OK.  How about 1:30 ET next Tuesday?
From: John Davis &lt;john.davis@observepoint.com&gt;
Sent: Wednesday, January 28, 2026 10:19 AM
To: Steve Choi &lt;steve.choi@prudential.com&gt;
Subject: Re: Sync Meeting
I am actually not sorry, my son is having surgery that day so I need to reschedule my meetings that day anyways. Are you free any other day next week?
Regards,
John Davis    |     Customer Success Manager
[https://ops.observepoint.com/email-signature/img/branding-ema</t>
  </si>
  <si>
    <t>19c0577f900812ef</t>
  </si>
  <si>
    <t>Hello Satpal Singh! 
 We have implemented the custom header for the preprod-cms.everyday.com.au environment using: 
 nonprod-cms-everyday-access: K3fWMs-a&amp;amp;84Lz6?=6=mh 
 We encountered a blocker when trying to log in; in the form of a blocker with status code 403. Is the Log in, Sign in, or Buy for myself button working on your end? https://app.observepoint.com/web-journey/574123/run/66647696/results?action=3 
 [Image "image.png?expires=1769620500&amp;amp;signature=22ed1ddecf9c7a7dcfcc33b1cd7</t>
  </si>
  <si>
    <t>19c057811584ed2a</t>
  </si>
  <si>
    <t>19c059e88358f5b2</t>
  </si>
  <si>
    <t>Hi John,
We have a bunch of data by form that we want to set up rules for. To make our next session the most effective, is it possible to look at our use case with us and suggest the best approach to setting up rules? Our biggest issue right now is deciding on how many rules are needed and the granularity. For example, we have a site with 5 forms, each form has unique data for Adobe Analytics. So, we would need 5 unique Adobe Analytics rules. This will start to ballon across many sites, forms</t>
  </si>
  <si>
    <t>19c05b09dbeb27fe</t>
  </si>
  <si>
    <t>Brad,
It's great to hear from you.  I'll send John a Slack to ensure he jumps on
this asap. I know he's been in a meeting.
*Regards, *
Bryce Bergen *   |    * *Senior Account Executive*
Cell: 801.913.4463
bryce.bergen@observepoint.com
www.observepoint.com
[image: https://www.observepoint.com/resources/cookie-cheat-sheet/]
&lt;https://www.observepoint.com/resources/cookie-cheat-sheet/&gt;
On Wed, Jan 28, 2026 at 10:20 AM Brad Weidner &lt;Brad.Weidner@brunswick.com&gt;
wrote:
&gt; Hi Jo</t>
  </si>
  <si>
    <t>19c05b79c7b7b661</t>
  </si>
  <si>
    <t>Hey Brad,
Great to hear from you!
I'd love to jump in on this use case and see how we can help. 
Two things: do you think you could send me a url to one of these forms for 
a real example? Also could you spell out the needed 
*Regards, *
John Davis *   |    * *Customer Success Manager*
Cell: 801.633.6013
john.davis@observepoint.com
www.observepoint.com 
&lt;https://groove.grvlnk4.com/url/typa6byifukvbtijwod94/aHR0cDovL3d3dy5vYnNlcnZlcG9pbnQuY29tLyNncm9vdmVzdW06LTc2MTEwNTM3MA%3</t>
  </si>
  <si>
    <t>19c05bcabd68c998</t>
  </si>
  <si>
    <t>Hey Brad,
I'd love to jump in on this use case and see how we can help.
Two things: do you think you could send me a url for a real example site?
Also could you spell out the unique data needed for one of the forms on
this site?
We have ways to make things like this more maintainable built into our app,
but I need some more details to come up with a better game plan for you.
If you send this over to me now, I can work on it in prep for the next time
we meet.
Let me know a week</t>
  </si>
  <si>
    <t>19c05c56d9378559</t>
  </si>
  <si>
    <t xml:space="preserve">Yes that works for me, you should get another email with an updated
meeting. Thanks!
*Regards, *
John Davis *   |    * *Customer Success Manager*
Cell: 801.633.6013
john.davis@observepoint.com
www.observepoint.com
&lt;https://groove.grvlnk4.com/url/typa6byifukvbtijwod94/aHR0cDovL3d3dy5vYnNlcnZlcG9pbnQuY29tLyNncm9vdmVzdW06LTc2MTEwNTM3MA%3D%3D&gt;
On Wed, Jan 28, 2026 at 8:27 AM Steve Choi &lt;steve.choi@prudential.com&gt;
wrote:
&gt; Hope your son is OK.  How about 1:30 ET next Tuesday?
</t>
  </si>
  <si>
    <t>19c05be4d6a37568</t>
  </si>
  <si>
    <t>Proposed new time: ObservePoint | Ziff Davis Inc. 60 min Sync @ Tue Feb 3, 2026 10am - 11am (MST) (john.davis@observepoint.com)</t>
  </si>
  <si>
    <t>Filippo Caprioli has accepted this invitation and proposed a new time:
Thu Feb 5, 2026 11am – 12pm
"Rescheduling due to a conflict"
ObservePoint | Ziff Davis Inc. 60 min Sync
Tuesday Feb 3, 2026 ⋅ 10am – 11am
Mountain Time - Denver
Join Zoom Meeting
https://observepoint.zoom.us/j/3628593272?pwd=OfxX2kwpsuA5labBaZXephHbiAXlz9.1&amp;omn=91817608945&amp;jst=2
Join by phone
(US) +1 877-853-5247
passcode: 183089
Joining instructions
https://www.google.com/url?q=https://applications.zo</t>
  </si>
  <si>
    <t>19c05ca8a4ecb59f</t>
  </si>
  <si>
    <t>RE: Reminder: your meeting ObservePoint | Agilent - Sync is about to start</t>
  </si>
  <si>
    <t>Are we meeting?
Raghu
From: John Via Gong &lt;reminder@gong.io&gt;
Sent: Wednesday, January 28, 2026 9:44 AM
To: MALLEPUDI,VENKATA (Agilent USA) &lt;venkata.mallepudi@agilent.com&gt;
Subject: Reminder: your meeting ObservePoint | Agilent - Sync is about to start
External Sender - Use caution opening files, clicking links, or responding to requests.
Hi,
Our meeting "ObservePoint | Agilent - Sync" is about to start in a few minutes (11:00 AM MT).
Please click the button below to joi</t>
  </si>
  <si>
    <t>19c05cad84e85a1b</t>
  </si>
  <si>
    <t>Re: Proposed new time: ObservePoint | Ziff Davis Inc. 60 min Sync @ Tue Feb 3, 2026 10am - 11am (MST) (john.davis@observepoint.com)</t>
  </si>
  <si>
    <t>Hey Filippo,
I can do that unfortunately, but only for 30 mins, not the full hour.
Here are some slots that work for me for a full hour next week in *Mountain
Time*:
Meeting length: 1 Hour
Time Zone: (GMT-7) MST/Denver
Tue Feb 3 Wed Feb 4 Thu Feb 5 Fri Feb 6
 2:30  PM
&lt;https://observepoint.chilipiper.com/suggested-times/466968e8-8cd2-46f4-afe1-c4e374bb2887?slotStartsAt=2026-02-03T21:30:00.000Z&gt;
 11:00  AM
&lt;https://observepoint.chilipiper.com/suggested-times/466968e8-8cd2-46f4-afe</t>
  </si>
  <si>
    <t>19c05de533605acd</t>
  </si>
  <si>
    <t>John Davis &lt;john.davis@observepoint.com&gt;, Bryce Bergen &lt;bryce.bergen@observepoint.com&gt;</t>
  </si>
  <si>
    <t xml:space="preserve">Hi John,
URL: https://www.searay.com/us/en
Journey: Sea Ray: Forms
Example data below:
  *   Two forms, Contact Dealer and Request a Quote
  *   Platforms: Google Ads, Meta Ads, Marketo, Adobe Analytics
Sea Ray
Variable
Value
Test Results
Sea Ray
Variable
Value
Contact Dealer
Google Ads
AW-990454996/IQYrCNH2_50ZENTJpNgD
Request a Quote
Google Ads
AW-990454996/IQYrCNH2_50ZENTJpNgD
Meta Ads (1792166904335857)
SQL Forms
Meta Ads (1792166904335857)
SQL Forms
Marketo - </t>
  </si>
  <si>
    <t>19c05e1b83d8b8b1</t>
  </si>
  <si>
    <t>Filippo Caprioli has accepted this invitation and proposed a new time:
Thu Feb 5, 2026 2:30pm – 3:30pm
"Rescheduling due to a conflict"
ObservePoint | Ziff Davis Inc. 60 min Sync
Tuesday Feb 3, 2026 ⋅ 10am – 11am
Mountain Time - Denver
Join Zoom Meeting
https://observepoint.zoom.us/j/3628593272?pwd=OfxX2kwpsuA5labBaZXephHbiAXlz9.1&amp;omn=91817608945&amp;jst=2
Join by phone
(US) +1 877-853-5247
passcode: 183089
Joining instructions
https://www.google.com/url?q=https://application</t>
  </si>
  <si>
    <t>19c05f4dc83a3d68</t>
  </si>
  <si>
    <t>Macey Bell &lt;macey.bell@observepoint.com&gt;, John Davis &lt;john.davis@observepoint.com&gt;, James Bagley &lt;JBagley@torrid.com&gt;, Brendan Walsh &lt;BWalsh@torrid.com&gt;, Bassem Isaac &lt;BIsaac@torrid.com&gt;</t>
  </si>
  <si>
    <t>Re: ObservePoint | Torrid - Contract</t>
  </si>
  <si>
    <t>Hi Kushank --
Thanks for the note. Admittedly, this is unexpected given the current
renewal stage and recent ownership transition.
Given the recent transition, formal handoff to the new program owners, and
the renewal already moving through procurement, this doesn't seem aligned
with the direction we had collectively outlined. Before we treat this as a
final decision, I'd like to make sure we fully understand what changed.
Is this being driven by budget reallocation, a shift in
own</t>
  </si>
  <si>
    <t>19c06315701d0014</t>
  </si>
  <si>
    <t>Can you let me know if you are free at 1:30pm ET next Tuesday 2/3 so I can send out invite?
From: Steve Choi
Sent: Wednesday, January 28, 2026 10:27 AM
To: 'John Davis' &lt;john.davis@observepoint.com&gt;
Subject: RE: Sync Meeting
Hope your son is OK.  How about 1:30 ET next Tuesday?
From: John Davis &lt;john.davis@observepoint.com&lt;mailto:john.davis@observepoint.com&gt;&gt;
Sent: Wednesday, January 28, 2026 10:19 AM
To: Steve Choi &lt;steve.choi@prudential.com&lt;mailto:steve.choi@prudential.com&gt;&gt;
Sub</t>
  </si>
  <si>
    <t>19c0632ef9c8b17c</t>
  </si>
  <si>
    <t>Yes, did you get my last email reply? That time and day works for me, you
should have the updated invite in your inbox and/or calendar.
*Regards, *
John Davis *   |    * *Customer Success Manager*
Cell: 801.633.6013
john.davis@observepoint.com
www.observepoint.com
&lt;https://groove.grvlnk4.com/url/typa6byifukvbtijwod94/aHR0cDovL3d3dy5vYnNlcnZlcG9pbnQuY29tLyNncm9vdmVzdW06LTc2MTEwNTM3MA%3D%3D&gt;
On Wed, Jan 28, 2026 at 1:00 PM Steve Choi &lt;steve.choi@prudential.com&gt;
wrote:
&gt; Can</t>
  </si>
  <si>
    <t>19c0634c55355f47</t>
  </si>
  <si>
    <t>Re: Declined: ObservePoint | Darden Restaurants Sync</t>
  </si>
  <si>
    <t>No worries, I will show up to the call anyways in case Blake jumps in,
unless you know that he won't?
*Regards, *
John Davis *   |    * *Customer Success Manager*
Cell: 801.633.6013
john.davis@observepoint.com
www.observepoint.com
&lt;https://groove.grvlnk4.com/url/typa6byifukvbtijwod94/aHR0cDovL3d3dy5vYnNlcnZlcG9pbnQuY29tLyNncm9vdmVzdW06LTc2MTEwNTM3MA%3D%3D&gt;
On Wed, Jan 28, 2026 at 7:41 AM Brooke Tymoniewicz &lt;BTymoniewicz@darden.com&gt;
wrote:
&gt; Hi John,
&gt;
&gt;
&gt;
&gt; I’m pretty</t>
  </si>
  <si>
    <t>19c0637e840f9b34</t>
  </si>
  <si>
    <t>"'John Davis'" &lt;john.davis@observepoint.com&gt;</t>
  </si>
  <si>
    <t>RE: [EXTERNAL] Re: Declined: ObservePoint | Darden Restaurants Sync</t>
  </si>
  <si>
    <t>He probably won’t, I believe he had a conflict.
Thank you,
Brooke Tymoniewicz
Analyst, CRM &amp; Digital Analytics | Darden
BTymoniewicz@Darden.com&lt;mailto:BTymoniewicz@Darden.com&gt;
[cid:image001.png@01DC9067.CAA9F740]
From: John Davis &lt;john.davis@observepoint.com&gt;
Sent: Wednesday, January 28, 2026 3:04 PM
To: Brooke Tymoniewicz &lt;BTymoniewicz@darden.com&gt;
Subject: [EXTERNAL] Re: Declined: ObservePoint | Darden Restaurants Sync
No worries, I will show up to the call anyways in case Bla</t>
  </si>
  <si>
    <t>19c063af7806900b</t>
  </si>
  <si>
    <t>Re: [EXTERNAL] Re: Declined: ObservePoint | Darden Restaurants Sync</t>
  </si>
  <si>
    <t>No worries, see you at the next one!
*Regards, *
John Davis *   |    * *Customer Success Manager*
Cell: 801.633.6013
john.davis@observepoint.com
www.observepoint.com
&lt;https://groove.grvlnk4.com/url/typa6byifukvbtijwod94/aHR0cDovL3d3dy5vYnNlcnZlcG9pbnQuY29tLyNncm9vdmVzdW06LTc2MTEwNTM3MA%3D%3D&gt;
On Wed, Jan 28, 2026 at 1:07 PM Brooke Tymoniewicz &lt;BTymoniewicz@darden.com&gt;
wrote:
&gt; He probably won’t, I believe he had a conflict.
&gt;
&gt;
&gt;
&gt; Thank you,
&gt;
&gt;
&gt;
&gt; *Brooke Tymoni</t>
  </si>
  <si>
    <t>19c0638d0cd3c14c</t>
  </si>
  <si>
    <t>Mike Vance &lt;michael.vance@prudential.com&gt;, Lauren Tajar &lt;lauren.tajar@prudential.com&gt;, Raghunath Munugala &lt;raghunath.munugala@prudential.com&gt;, Chirag Patel &lt;chirag1.patel@prudential.com&gt;, Eileen Cuevas &lt;eileen.cuevas@prudential.com&gt;, Jenny Castri &lt;jennifer.castri@prudential.com&gt;, Paula McNerney &lt;paula.mcnerney@prudential.com&gt;, Priyank Goswami &lt;priyank.goswami@prudential.com&gt;, Rolando Rafanan &lt;rolando.rafanan@prudential.com&gt;, Sanjana Dodley &lt;sanjana.dodley@prudential.com&gt;, Narender Reddy Karka &lt;narender.reddy@prudential.com&gt;, John Davis &lt;john.davis@observepoint.com&gt;, Neal Ronaghan &lt;neal.ronaghan@prudential.com&gt;, Caitlin Diaz &lt;caitlin.diaz@prudential.com&gt;, Soojin Kim &lt;soojin.1.kim@prudential.com&gt;</t>
  </si>
  <si>
    <t>Hi All,
In this call, we will review latest ObservePoint audit of Pru.com URLs to identify any issues with missing/unnecessary tags, broken links like 404, site load speed, etc.
We won't need meeting to review the audit each time.  Since ObservePoint audits can get complex, we will have few more meetings until the key stakeholders become fully familiarized with the audits and ObservePoint platform.
Afterwards, I can schedule the audits bi-weekly, monthly or quarterly for Tier 1, 2, 3 pa</t>
  </si>
  <si>
    <t>19c063b527cb59d9</t>
  </si>
  <si>
    <t>I sent Teams invite.  Can we use that one not your Zoom invite?
Also are you free this Friday to connect 1 on 1 ?
Thanks,
Steve
From: John Davis &lt;john.davis@observepoint.com&gt;
Sent: Wednesday, January 28, 2026 3:02 PM
To: Steve Choi &lt;steve.choi@prudential.com&gt;
Subject: Re: Sync Meeting
Yes, did you get my last email reply? That time and day works for me, you should have the updated invite in your inbox and/or calendar.
Regards,
John Davis    |     Customer Success Manage</t>
  </si>
  <si>
    <t>19c063e82032f9d4</t>
  </si>
  <si>
    <t>Yes, your Teams invite worked for me, thanks.
Yes, I have time in the following slots in *Eastern Time*:
Meeting length: 30 Minutes
Time Zone: (GMT-5) EST/New_York
Fri Jan 30
 1:00  PM
&lt;https://observepoint.chilipiper.com/suggested-times/8dbd16ca-cbdf-491c-ba67-2d2c81d1f957?slotStartsAt=2026-01-30T18:00:00.000Z&gt;
 2:30  PM
&lt;https://observepoint.chilipiper.com/suggested-times/8dbd16ca-cbdf-491c-ba67-2d2c81d1f957?slotStartsAt=2026-01-30T19:30:00.000Z&gt;
 3:30  PM
&lt;https://observepoint.c</t>
  </si>
  <si>
    <t>19c064230db002e9</t>
  </si>
  <si>
    <t>Can we catch up and prepare for ObservePoint audit call with broader team next Tuesday?
________________________________________________________________________________
Microsoft Teams meeting
Join: https://teams.microsoft.com/meet/23159787646159?p=vvI81S07PdeAWp1qqW
Meeting ID: 231 597 876 461 59
Passcode: Zw7p6gR9
________________________________
Need help?&lt;https://aka.ms/JoinTeamsMeeting?omkt=en-US&gt; | System reference&lt;https://teams.microsoft.com/l/meetup-join/19%3ameeting_NWZmNGJmZGM</t>
  </si>
  <si>
    <t>19c065926d8edc8a</t>
  </si>
  <si>
    <t>"Gonzales, Enrique" &lt;egonzales@verisign.com&gt;</t>
  </si>
  <si>
    <t>Enrique's email</t>
  </si>
  <si>
    <t xml:space="preserve">My email address.
</t>
  </si>
  <si>
    <t>19c066af90732c1a</t>
  </si>
  <si>
    <t>Hi Tamara --
Any hesitation in executing both documents this week? Outstanding questions
I can answer?
Clarke Anderson *   |    * *Account Executive*
m: (818) 421-3713
clarke.anderson@observepoint.com
On Tue, Jan 27, 2026 at 10:53 AM Clarke Anderson &lt;
clarke.anderson@observepoint.com&gt; wrote:
&gt; Wonderful news -- thanks for confirming, Tamara.
&gt;
&gt; I've attached the amendment that will lock in the discounted rate. We'll
&gt; need that executed this week.
&gt;
&gt; I also hav</t>
  </si>
  <si>
    <t>19c06770b249e722</t>
  </si>
  <si>
    <t xml:space="preserve">Hi Clarke,
Thanks for the follow up. Unfortunately, we won’t be able to move forward quickly.
As part of closing out our fiscal year, we are about to start the comprehensive scan of all web pages and until that is complete, we won’t know if our current volume will cover it. On top of that, all contracts require internal reviews which take a few weeks.
For data retention, our current plan covers us for 13 months (until May 1st). The renewal will be finalized ahead of that expiration.
</t>
  </si>
  <si>
    <t>19c069dcc9d79ba1</t>
  </si>
  <si>
    <t>Sounds great -- I'll disregard the addendum and look forward to hearing
back from you soon.
Thanks!
Clarke Anderson *   |    * *Account Executive*
m: (818) 421-3713
clarke.anderson@observepoint.com
On Wed, Jan 28, 2026 at 2:16 PM Tamara Saban (MARKETING) &lt;
tamara.saban@ros.com&gt; wrote:
&gt; Hi Clarke,
&gt;
&gt;
&gt;
&gt; Thanks for the follow up. Unfortunately, we won’t be able to move forward
&gt; quickly.
&gt;
&gt;
&gt;
&gt; As part of closing out our fiscal year, we are about to start t</t>
  </si>
  <si>
    <t>19c06c926de7d02d</t>
  </si>
  <si>
    <t>Invoice &lt;Invoice@cdw.com&gt;</t>
  </si>
  <si>
    <t>Tatyana Zachary &lt;tatyana.zachary@cdw.com&gt;, Invoice &lt;Invoice@cdw.com&gt;, Audrey Bombeck-Massel &lt;audrbom@cdw.com&gt;, John Davis &lt;john.davis@observepoint.com&gt;</t>
  </si>
  <si>
    <t>Hi Team,
Please be informing that invoice received with $ 22,200.00 but PO # PO-00013208 created with $22000 only.
Could you please add the fund on PO to process the invoice.
Bharat Sarma Gandikota
AP Specialist
Invoice@cdw.com&lt;mailto:Invoice@cdw.com&gt;
L1 Escalation: Sarvani .N (sarvani.n@cdw.com&lt;mailto:sarvani.n@cdw.com&gt;)
L2 Escalation: Prosenjit Sen (prosenjit.sen@cdw.com&lt;mailto:prosenjit.sen@cdw.com&gt;)
L3 Escalation: Renu Shekhawat (renu.shekhawat@cdw.com&lt;mailto:prosenjit.sen@cd</t>
  </si>
  <si>
    <t>19c072e6d60d4832</t>
  </si>
  <si>
    <t>hi Lucian-Gabriel
these CTAs are working fine on dev env for me, i have also checked with few
other people and they never had login issue,
can you please confirm if you have added all the provided custom header?
can we even add more than 1 custom header to the page? if you can try by
adding the remaining headers (specially below one)
   -
   *auth-uatsite-access:* 3xT3rN@luS3r
*Best RegardsSatpal Singh*
*Digital Analytics Implementation Specialist*
*E: ssingh60@wool</t>
  </si>
  <si>
    <t>19c072eca22ff52c</t>
  </si>
  <si>
    <t>19c0754bf72aa24c</t>
  </si>
  <si>
    <t>Macey Bell &lt;macey.bell@observepoint.com&gt;, filippo_caprioli@ziffdavis.com, Dallin Madsen &lt;dallin.madsen@observepoint.com&gt;</t>
  </si>
  <si>
    <t>Re: Updated invitation: ObservePoint | Ziff Davis Inc. 60 min Sync @ Thu Feb 5, 2026 1:30pm - 2:30pm (PST) (robert.taylor@ziffdavis.com)</t>
  </si>
  <si>
    <t xml:space="preserve">Hi John,
I will be travelling for work February 5.  Would it be possible to aim for
the same time February 12?
&lt;https://www.ziffdavis.com/&gt; Robert Taylor | Deputy General Counsel
Ziff Davis, Inc. (Nasdaq: ZD)
O: (212) 503-3250
M: (310) 954-9090
https://www.ziffdavis.com
This email, its contents and attachments contain information from Ziff
Davis, Inc. and/or its affiliates which may be privileged, confidential or
otherwise protected from disclosure. The information is intended </t>
  </si>
  <si>
    <t>19c07e9c0d6482f8</t>
  </si>
  <si>
    <t xml:space="preserve">Sure I can make that work, you should get an event update in a separate
email, thanks Robert!
*Regards, *
John Davis *   |    * *Customer Success Manager*
Cell: 801.633.6013
john.davis@observepoint.com
www.observepoint.com
&lt;https://groove.grvlnk4.com/url/typa6byifukvbtijwod94/aHR0cDovL3d3dy5vYnNlcnZlcG9pbnQuY29tLyNncm9vdmVzdW06LTc2MTEwNTM3MA%3D%3D&gt;
On Wed, Jan 28, 2026 at 6:18 PM Robert Taylor &lt;robert.taylor@ziffdavis.com&gt;
wrote:
&gt; Hi John,
&gt;
&gt; I will be travelling for </t>
  </si>
  <si>
    <t>19c0836d6df0f37a</t>
  </si>
  <si>
    <t>Engagement-Homepage</t>
  </si>
  <si>
    <t>Hey Raghu,
Here is a journey that I built as a very rough framework for those steps 
that we were talking about earlier today:
https://app.observepoint.com/web-journey/574576/run/66650656/results?action=1&amp;tab=0
Most of the variables I am checking in the rules are just checking if they 
are set because I don't see
*Regards, *
John Davis *   |    * *Customer Success Manager*
Cell: 801.633.6013
john.davis@observepoint.com
www.observepoint.com 
&lt;https://groove.grvlnk4.com/url/</t>
  </si>
  <si>
    <t>19c0a277d40dc638</t>
  </si>
  <si>
    <t>Archie Tuale-Juance &lt;archjua@cdw.com&gt;</t>
  </si>
  <si>
    <t>Audrey Bombeck-Massel &lt;audrbom@cdw.com&gt;, Tatyana Zachary &lt;tatyana.zachary@cdw.com&gt;, John Davis &lt;john.davis@observepoint.com&gt;, Invoice &lt;Invoice@cdw.com&gt;</t>
  </si>
  <si>
    <t>Archie,
I submitted the requisition for the correct amount of $22,200.00.  I don’t create PO’s. Who creates the purchase orders  and how do we add $200 to it.
Please advise.
Thank you,
Audrey Bombeck-Massel, MBA, PMP, CSM
Performance Analytics, Technical Project Manager/Scrum Master | CDW
Phone: 847-373-7311 (cell)
Email: audrbom@cdw.com&lt;mailto:audrbom@cdw.com&gt;
[signatureImage][cid:image002.jpg@01DC8EEB.A947B560] [cid:image003.png@01DC8EEB.A947B560] [cid:image004.png@01DC8EEB.A94</t>
  </si>
  <si>
    <t>19c0a899447c3eaf</t>
  </si>
  <si>
    <t xml:space="preserve">
[image: ObservePoint Logo_Gray_ON_YEllow_LOGO.jpeg]
A friendly reminder that it's time to renew.
Hi Catherine,
The last day of your current term is *February 28, 2026*.
If you have already completed renewal paperwork or opted to auto-renew your 
agreement, no action is required.
Please reach out to your account team if you have any questions.
*Customer Success Manager -* john.davis@observepoint.com
*Account Executive - * dallin.madsen@observepoint.com
</t>
  </si>
  <si>
    <t>19c0a89954a2ea2a</t>
  </si>
  <si>
    <t xml:space="preserve">
[image: ObservePoint Logo_Gray_ON_YEllow_LOGO.jpeg]
A friendly reminder that it's time to renew.
Hi Preah,
The last day of your current term is *February 28, 2026*.
If you have already completed renewal paperwork or opted to auto-renew your 
agreement, no action is required.
Please reach out to your account team if you have any questions.
*Customer Success Manager -* john.davis@observepoint.com
*Account Executive - * andy.compas@observepoint.com
</t>
  </si>
  <si>
    <t>19c0ace810dc9c18</t>
  </si>
  <si>
    <t>Hey Raghu,
Here is a journey that I built as a very rough framework for those steps
that we were talking about earlier today for Engagement-Homepage:
https://app.observepoint.com/web-journey/574576/run/66650656/results?action=1&amp;tab=0
Most of the variables I am checking in the rules are just checking if they
are set for now, hency why a lot of the rules are failing. It seems like
some of the things in your steps that we need to check are either only
accessible in the console using js</t>
  </si>
  <si>
    <t>19c0acaa6b9c7ce9</t>
  </si>
  <si>
    <t>Bharat Sarma Gandikota
Please find PO 17564 with the additional $200 to pay the attached invoice from ObservePoint for $22,200,00.
Thank you,
Audrey Bombeck-Massel, MBA, PMP, CSM
Performance Analytics, Technical Project Manager/Scrum Master | CDW
Phone: 847-373-7311 (cell)
Email: audrbom@cdw.com&lt;mailto:audrbom@cdw.com&gt;
[signatureImage][cid:image002.jpg@01DC8EEB.A947B560] [cid:image003.png@01DC8EEB.A947B560] [cid:image004.png@01DC8EEB.A947B560]
From: Invoice &lt;Invoice@cdw.com&gt;
Sen</t>
  </si>
  <si>
    <t>19c0b149843336bf</t>
  </si>
  <si>
    <t>RE: Engagement-Homepage</t>
  </si>
  <si>
    <t>Hi John,
Thank you for the update. I scheduled a call for Tuesday at 10AM Mountain Time.
In the meantime, I shall try to review the steps I wrote and the web journey you built.
Thank you,
Raghu
From: John Davis &lt;john.davis@observepoint.com&gt;
Sent: Thursday, January 29, 2026 9:31 AM
To: MALLEPUDI,VENKATA (Agilent USA) &lt;venkata.mallepudi@agilent.com&gt;
Subject: Engagement-Homepage
External Sender - Use caution opening files, clicking links, or responding to requests.
Hey Raghu</t>
  </si>
  <si>
    <t>19c0b136304a058a</t>
  </si>
  <si>
    <t>"Ruiz, Elvis" &lt;Elvis.Ruiz@merz.com&gt;, Preah.Dalton@merz.com</t>
  </si>
  <si>
    <t>Can I nudge on this?
Preah, have you had a chance to review and or speak with Elvis?
If there is anything that you need clarification on please let me know
Best,
*Andy Compas* *   |    Account Executive*
  801.361.4079
  *andy.compas@observepoint.com &lt;andy.compas@observepoint.com&gt;*
  *www.observepoint.com &lt;http://www.observepoint.com&gt;*
On Tue, Jan 20, 2026 at 2:49 PM Ruiz, Elvis &lt;Elvis.Ruiz@merz.com&gt; wrote:
&gt; Hello Andy,
&gt;
&gt; Thanks for following up. I’ve reviewed</t>
  </si>
  <si>
    <t>19c0b08936113797</t>
  </si>
  <si>
    <t>Hey John,
We’ve received access to ObservePoint. Were you able to get the code set up?
Let us know when it would be a good time to schedule our next chat and call
for the testing and enablement session and if anything else is needed
from our end.
Thanks,
Wendi
On Mon, Jan 12, 2026 at 2:17 PM John Davis &lt;john.davis@observepoint.com&gt;
wrote:
&gt; No worries, here is a list of slots for next week in *Mountain Time*:
&gt;
&gt; Meeting length: 30 Minutes
&gt; Time Zone: (GMT-7) MST/Den</t>
  </si>
  <si>
    <t>19c0b9afb56d051b</t>
  </si>
  <si>
    <t>"Meriweather, Landon" &lt;landon.meriweather@tyson.com&gt;</t>
  </si>
  <si>
    <t>New CSM</t>
  </si>
  <si>
    <t>Hey Landon,
I just wanted to introduce myself as your new CSM moving forward. 
I also wanted to check with you because I know that David Neels was listed 
on our side as the main decision maker but his email address is now 
bouncing back to us so I was wondering who took his spot?
I'd love to connect with you and your team soon!
*Regards, *
John Davis *   |    * *Customer Success Manager*
Cell: 801.633.6013
john.davis@observepoint.com
www.observepoint.com 
&lt;https://groove.</t>
  </si>
  <si>
    <t>19c0ba02a902df3d</t>
  </si>
  <si>
    <t>Todd Wilkerson &lt;todd.wilkerson@observepoint.com&gt;, Macey Bell &lt;macey.bell@observepoint.com&gt;</t>
  </si>
  <si>
    <t>Hey Landon,
I just wanted to introduce myself as your new CSM moving forward.
I also wanted to check with you because I know that David Neels was listed
on our side as the main decision maker but his email address is now
bouncing back to us so I was wondering who took his spot?
I'd love to connect with you and your team soon!
*Regards, *
John Davis *   |    * *Customer Success Manager*
Cell: 801.633.6013
john.davis@observepoint.com
www.observepoint.com
&lt;https://groove.grvl</t>
  </si>
  <si>
    <t>19c0baf2fa1cdf02</t>
  </si>
  <si>
    <t>Tentative: ObservePoint | Officeworks Sync</t>
  </si>
  <si>
    <t xml:space="preserve">
________________________________
This email and any attachments may contain privileged and confidential information and are intended for the named addressee only. If you have received this e-mail in error, please notify the sender and delete this e-mail immediately. Any confidentiality, privilege or copyright is not waived or lost because this e-mail has been sent to you in error. It is your responsibility to check this e-mail and any attachments for viruses. No warranty is made that this mat</t>
  </si>
  <si>
    <t>19c0bcf4107e0732</t>
  </si>
  <si>
    <t>achan4@officeworks.com.au, bhowell@officeworks.com.au, hchamberlain@officeworks.com.au, hhebron@officeworks.com.au, Macey Bell &lt;macey.bell@observepoint.com&gt;, Todd Wilkerson &lt;todd.wilkerson@observepoint.com&gt;, John Davis &lt;john.davis@observepoint.com&gt;</t>
  </si>
  <si>
    <t>Look forward to chatting about your 2026 plans and how ObservePoint can  
help!
ObservePoint | Officeworks Sync
Thursday Jan 29, 2026 ⋅ 3:30pm – 4pm
Mountain Time - Denver
Join Zoom Meeting
https://observepoint.zoom.us/j/3628593272?pwd=OfxX2kwpsuA5labBaZXephHbiAXlz9.1&amp;omn=93224445829&amp;jst=2
Join by phone
(US) +1 877-853-5247
passcode: 183089
Joining instructions
https://www.google.com/url?q=https://applications.zoom.us/addon/invitation/detail?meetingUuid%3DsvJj5IIMTkiYPsFri</t>
  </si>
  <si>
    <t>19c0d250bd707266</t>
  </si>
  <si>
    <t>Bryce Bergen &lt;bryce.bergen@observepoint.com&gt;, Brad Weidner &lt;Brad.Weidner@brunswick.com&gt;</t>
  </si>
  <si>
    <t>observepoint.com, brunswick.com</t>
  </si>
  <si>
    <t>Hey Brad, 
Thanks for sending this over!
So both of those forms look to have all the same variables that you're 
checking for, except one, Evar 41 (v41).  So this leads to 2 questions:
This Evar looks to be a number so my next question would be if you would 
expect this number to be a range?
*Regards, *
John Davis *   |    * *Customer Success Manager*
Cell: 801.633.6013
john.davis@observepoint.com
www.observepoint.com 
&lt;https://groove.grvlnk4.com/url/typa6byifukvbtijwod94/</t>
  </si>
  <si>
    <t>19c0d54ca915c409</t>
  </si>
  <si>
    <t xml:space="preserve">Hey Brad, 
Thanks for sending this over!
So both of those forms look to have all the same variables that you're 
checking for, except one, Evar 41 (v41).  So this leads to 2 questions:
1. This Evar value looks to be a number so would you expect this number to 
be in a range of numbers?
2. If yes, do you expect all the other forms to have all the same variables 
as these two forms including the Evar 41 number range?
If yes to both of these questions, then this should be easy to </t>
  </si>
  <si>
    <t>19c0d60680204df1</t>
  </si>
  <si>
    <t>Hey Brad, 
Thanks for sending this over! Its super helpful
I'd love to connect and chat about the rules we need to setup for your 
needs.
Here are some times that work for me in *Mountain Time*, feel free to grab 
one that works for you:
Meeting length: 30 Minutes
Time Zone: (GMT-7) MST/Denver
Tue Feb 3 Wed Feb 4 Thu Feb 5 Fri Feb 6 Mon Feb 9 Tue Feb 10
 12:30  PM  
&lt;https://observepoint.chilipiper.com/suggested-times/3014565d-3019-443b-9c05-aeb5af869c21?slotStartsAt=2026-02-03</t>
  </si>
  <si>
    <t>19c0d714c9b4454f</t>
  </si>
  <si>
    <t>Hey Brad, 
Thanks for sending this over! Its super helpful
I'd love to connect and chat about the rules we need to setup for your 
needs. 
I went ahead and created a rough draft that probably gets us 90% there in 
prep for when we meet, click on *John Demo *in this list:
https://app.observepoint.com/rules/library
Here are some times that work for me in *Mountain Time*, feel free to grab 
one that works for you:
Meeting length: 30 Minutes
Time Zone: (GMT-7) MST/Denver
Tue Feb</t>
  </si>
  <si>
    <t>19c0d7189154ce4e</t>
  </si>
  <si>
    <t>Hey Brad, 
Thanks for sending this over! Its super helpful
I'd love to connect and chat about the rules we need to setup for your 
needs. 
I went ahead and created a rough draft that probably gets us 90% there in 
prep for when we meet, click on "*John Demo"* in this list:
https://app.observepoint.com/rules/library
Here are some times that work for me in *Mountain Time*, feel free to grab 
one that works for you:
Meeting length: 30 Minutes
Time Zone: (GMT-7) MST/Denver
Tue F</t>
  </si>
  <si>
    <t>19c0f6b0cf261357</t>
  </si>
  <si>
    <t>Re: Engagement-Homepage</t>
  </si>
  <si>
    <t>Sounds great, see you next week!
*Regards, *
John Davis *   |    * *Customer Success Manager*
Cell: 801.633.6013
john.davis@observepoint.com
www.observepoint.com
&lt;https://groove.grvlnk4.com/url/typa6byifukvbtijwod94/aHR0cDovL3d3dy5vYnNlcnZlcG9pbnQuY29tLyNncm9vdmVzdW06LTc2MTEwNTM3MA%3D%3D&gt;
On Thu, Jan 29, 2026 at 11:47 AM venkata.mallepudi@agilent.com &lt;
venkata.mallepudi@agilent.com&gt; wrote:
&gt; Hi John,
&gt;
&gt;
&gt;
&gt; Thank you for the update. I scheduled a call for Tuesday at 1</t>
  </si>
  <si>
    <t>19c0f6b0d8b0ba2a</t>
  </si>
  <si>
    <t>Hey Brad,
Thanks for sending this over! Its super helpful
I'd love to connect and chat about the rules we need to setup for your
needs.
In prep for when we meet next, I went ahead and created a rough draft of a
rule that probably gets us 90% there, then copied your two journeys for
those two forms and assigned my rule to the last step in both journeys:
https://app.observepoint.com/web-journey/575288/run/66655459/results?action=11&amp;tab=4
https://app.observepoint.com/web-journey/57528</t>
  </si>
  <si>
    <t>19c0f7d9e92e8400</t>
  </si>
  <si>
    <t>Preston Tyler &lt;Preston.Tyler@brunswick.com&gt;</t>
  </si>
  <si>
    <t>Following: ObservePoint | Brunswick Sync</t>
  </si>
  <si>
    <t>Preston Tyler is following this meeting
Learn more about Follow&lt;https://go.microsoft.com/fwlink/?linkid=2252265&gt;
They can't attend, but they're interested, and they'll have access to the meeting chat and other resources. Consider recording the meeting so they can catch up later.
**************************
This email message may contain confidential or privileged information. If you are not the intended recipient, please delete the message and any attachments and notify the sender by retu</t>
  </si>
  <si>
    <t>19c0f8a04901fc27</t>
  </si>
  <si>
    <t>"Behler, Kathy" &lt;Kathy.Behler@lumen.com&gt;</t>
  </si>
  <si>
    <t>RE: Reach Out</t>
  </si>
  <si>
    <t xml:space="preserve">Thank you for reaching out John. I grabbed some time next Wednesday. I loo forward to speaking with you then.
Kathy
From: John Davis &lt;john.davis@observepoint.com&gt;
Sent: Tuesday, January 27, 2026 2:38 PM
To: Behler, Kathy &lt;Kathy.Behler@lumen.com&gt;
Subject: Reach Out
Hey Kathy, Arnold and Kerry mentioned that you might want to see ObservePoint and how it could help you with your site experience and performance projects you have going on.   I am Lumen's new CSM going forward and I would </t>
  </si>
  <si>
    <t>19c0fafe00e36724</t>
  </si>
  <si>
    <t>"nic.suder@observepoint.com" &lt;nic.suder@observepoint.com&gt;, "clarke.anderson@observepoint.com" &lt;clarke.anderson@observepoint.com&gt;, "john.davis@observepoint.com" &lt;john.davis@observepoint.com&gt;, "venkata.mallepudi@agilent.com" &lt;venkata.mallepudi@agilent.com&gt;</t>
  </si>
  <si>
    <t>Upcoming ObservePoint Renewal on April 30, 2026 - Agilent</t>
  </si>
  <si>
    <t xml:space="preserve">
[image: ObservePoint Logo_Gray_ON_YEllow_LOGO.jpeg]
A friendly reminder that it's time to renew.
Hi Venkata,
Thank you for being an ObservePoint customer!
This is an automated notification to let you know that the end of your 
current term is* April 30, 2026*.
We know approval and procurement processes can take time, and we want to 
avoid any interruption of service, hence we are reaching out now.
Unless you let us know of any changes by March 31, 2026, your subscription 
will automati</t>
  </si>
  <si>
    <t>19c0fafe1e374bc4</t>
  </si>
  <si>
    <t>"nic.suder@observepoint.com" &lt;nic.suder@observepoint.com&gt;, "bryce.bergen@observepoint.com" &lt;bryce.bergen@observepoint.com&gt;, "john.davis@observepoint.com" &lt;john.davis@observepoint.com&gt;, "bschultz@brunswick.com" &lt;bschultz@brunswick.com&gt;</t>
  </si>
  <si>
    <t>Upcoming ObservePoint Renewal on April 30, 2026 - Brunswick</t>
  </si>
  <si>
    <t xml:space="preserve">
[image: ObservePoint Logo_Gray_ON_YEllow_LOGO.jpeg]
A friendly reminder that it's time to renew.
Hi Brian,
Thank you for being an ObservePoint customer!
This is an automated notification to let you know that the end of your 
current term is* April 30, 2026*.
We know approval and procurement processes can take time, and we want to 
avoid any interruption of service, hence we are reaching out now.
Please reach out to your account team if you have any questions, or if you 
anticipate any </t>
  </si>
  <si>
    <t>19c0fafdcdcc276d</t>
  </si>
  <si>
    <t xml:space="preserve">
[image: ObservePoint Logo_Gray_ON_YEllow_LOGO.jpeg]
A friendly reminder that it's time to renew.
Hi Erin,
The last day of your current term is *March 1, 2026*.
If you have already completed renewal paperwork or opted to auto-renew your 
agreement, no action is required.
Please reach out to your account team if you have any questions.
*Customer Success Manager -* john.davis@observepoint.com
*Account Executive - * clarke.anderson@observepoint.com
</t>
  </si>
  <si>
    <t>19c0fafdcecaca65</t>
  </si>
  <si>
    <t xml:space="preserve">
[image: ObservePoint Logo_Gray_ON_YEllow_LOGO.jpeg]
A friendly reminder that it's time to renew.
Hi Daniel,
Thank you for being an ObservePoint customer!
This is an automated notification to let you know that the end of your 
current term is* March 31, 2026*.
We know approval and procurement processes can take time, and we want to 
avoid any interruption of service, hence we are reaching out now.
Please reach out to your account team if you have any questions, or if you 
anticipate any</t>
  </si>
  <si>
    <t>19c0fafdf654afd9</t>
  </si>
  <si>
    <t xml:space="preserve">
[image: ObservePoint Logo_Gray_ON_YEllow_LOGO.jpeg]
A friendly reminder that it's time to renew.
Hi Deepa,
Thank you for being an ObservePoint customer!
This is an automated notification to let you know that the end of your 
current term is* March 31, 2026*.
We know approval and procurement processes can take time, and we want to 
avoid any interruption of service, hence we are reaching out now.
Please reach out to your account team if you have any questions, or if you 
anticipate any </t>
  </si>
  <si>
    <t>19c0fb83119730c1</t>
  </si>
  <si>
    <t>SLAs for IT/Dev department</t>
  </si>
  <si>
    <t xml:space="preserve">Hi John,
I hope you're doing great! Chris has asked me to put together a SLA/RACI document for ObservePoint.
Could you possibly help us craft some line items about how/why/purpose that a dev team would run an audit/journeys pre-launch? For example, a big one for us is we keep launching with 404s, for example.
If you had some kind of document or 1-pager already on how your clients are using, that could be helpful.
Thank you,
Charlotte Castillo | Senior Manager, Marketing Analytics
</t>
  </si>
  <si>
    <t>19c0fecb4c5a8774</t>
  </si>
  <si>
    <t>RE: SLAs for IT/Dev department</t>
  </si>
  <si>
    <t>Sorry more info here - SLA is probably the wrong term and used internally incorrectly.
More of a RACI is what I'm looking for - i.e. "for pre-code and authoring launches, this is a typical process a dev team might take with ObservePoint, what to look for, etc."
Charlotte Castillo | Senior Manager, Marketing Analytics
Pronouns: She/Her/Hers
M 310.210.6251 | E charlotte.castillo@devry.edu
[Blue text on a black background  AI-generated content may be incorrect.]
From: Castillo, Charlo</t>
  </si>
  <si>
    <t>19c102d22d9f9343</t>
  </si>
  <si>
    <t>Re: SLAs for IT/Dev department</t>
  </si>
  <si>
    <t>Hey Charlotte,
Sure, I am not sure I have a one-pager already made for this, but I can 
spell out my high level thoughts to you and see if you think I am on the 
right track? Then we could create something a little more formal for the 
team.
So a use case like checking for 404s is a fantastic use case for audits. We 
can check for 404s in a few ways, we can crawl through your web pages and 
find any that are giving a 404 themselves. We can also check for elements 
on the pages to see</t>
  </si>
  <si>
    <t>19c106e15a2262d7</t>
  </si>
  <si>
    <t>Hey Charlotte,
Sure, I am not sure I have a one-pager already made for this, but I can 
spell out my high level thoughts to you and see if you think I am on the 
right track? Then we could create something a little more formal for the 
team.
So a use case like checking for 404s is a fantastic use case for audits. We 
can check for 404s in two main ways:
1. We can crawl through your web pages and find any that are giving a 404 
themselves. 
2. We can also check for elements on the pa</t>
  </si>
  <si>
    <t>19c10673b1a9ac00</t>
  </si>
  <si>
    <t>Re: ObservePoint &amp; Prudential Sync</t>
  </si>
  <si>
    <t>Hey Steve, are you able to make our meeting right now?
*Regards, *
John Davis *   |    * *Customer Success Manager*
Cell: 801.633.6013
john.davis@observepoint.com
www.observepoint.com
&lt;https://us-3129.email-composer-webhooks.gong.io/email-tracking/clicked?email-info-token=eyJhbGciOiJIUzI1NiJ9.eyJjb21wYW55SWQiOiI4OTgyMjM2MTQxODc2Mjk3NzAiLCJkcmFmdElkIjoici05MDI3MDUzMTkwMDAwODM4MjEyIiwibGlua1VybCI6Imh0dHBzOi8vZ3Jvb3ZlLmdydmxuazQuY29tL3VybC90eXBhNmJ5aWZ1a3ZidGlqd29kOTQvYUhSMGNEb3ZMM2QzZH</t>
  </si>
  <si>
    <t>19c10a53620faac7</t>
  </si>
  <si>
    <t>Hey Charlotte,
Sure, I am not sure I have a one-pager already made for this, but I can
spell out my high level thoughts to you and see if you think I am on the
right track? Then we could create something a little more formal for the
team.
So a use case like checking for 404s is a fantastic use case for audits. We
can check for 404s in two main ways:
1. We can crawl through your web pages and find any that are giving a 404
themselves.
2. We can also check for elements on the pages to</t>
  </si>
  <si>
    <t>19c10b1c42fc4d76</t>
  </si>
  <si>
    <t>RE: [EXTERNAL] Re: SLAs for IT/Dev department</t>
  </si>
  <si>
    <t>Thanks John, this is great – no idea if we have standardized Github releases that employ CI/CD pipelines but I will ask. We have a lot of manual authoring happening with non-templatized forms, for example.
I was speaking though to a pre-launch list that’s more all-encompassing that we could hand to IT or possibly the AEM team and say – like typical checkpoints or use cases for ObservePoint pre/post launch by an IT team - @Dylan Sellers&lt;mailto:dylan.sellers@observepoint.com&gt; do you happen to h</t>
  </si>
  <si>
    <t>19c10f4a97362045</t>
  </si>
  <si>
    <t>Re: [EXTERNAL] Re: SLAs for IT/Dev department</t>
  </si>
  <si>
    <t>Charlotte,
I call these frameworks. I'm actually developing some assets for Adobe
Analytics, Google Analytics, CCPA Compliance, GDPR Compliance, etc. as we
speak.
For IT pre-launch testing, you'll probably want a combination of site
health, analytics validation, and privacy compliance frameworks.
We can put something together in a RACI format. Do you have a targeted
deadline you need it by?
I have most of these independent, but I think it would be ideal to compile
a combined lis</t>
  </si>
  <si>
    <t>19c1108a42334de5</t>
  </si>
  <si>
    <t>CoulsonD@aetna.com</t>
  </si>
  <si>
    <t>aetna.com</t>
  </si>
  <si>
    <t>TanedoM@aetna.com, VonGerichtenA@aetna.com, DedrickR@aetna.com, Bruce.Whittington@cvshealth.com, Macey Bell &lt;macey.bell@observepoint.com&gt;, Todd Wilkerson &lt;todd.wilkerson@observepoint.com&gt;</t>
  </si>
  <si>
    <t>aetna.com, cvshealth.com, observepoint.com</t>
  </si>
  <si>
    <t>Re: ObservePoint Demo</t>
  </si>
  <si>
    <t>Hey Danielle,
I can help with this, I have taken over as your CSM recently and would love
to hear about your needs and how we can help!
Here are some time slots that work for me in *Mountain Time*, feel free to
grab one that works for you and your team:
Meeting length: 30 Minutes
Time Zone: (GMT-7) MST/Denver
Wed Feb 4 Thu Feb 5 Fri Feb 6 Mon Feb 9 Tue Feb 10 Mon Feb 16 Tue Feb 17 Wed
 Feb 18
 11:00  AM
&lt;https://us-3129.email-composer-webhooks.gong.io/email-tracking/clicked?email</t>
  </si>
  <si>
    <t>19c111aaf5492940</t>
  </si>
  <si>
    <t>@dylan.sellers@observepoint.com&lt;mailto:dylan.sellers@observepoint.com&gt; That would be amazing. I’m looking for the IT pre-launch RACI.
Would next week work for you? If your schedule is tight, no pressure, but next week would be ideal.
Have a great weekend!
Charlotte Castillo | Senior Manager, Marketing Analytics
Pronouns: She/Her/Hers
M 310.210.6251 | E charlotte.castillo@devry.edu
[Blue text on a black background  AI-generated content may be incorrect.]
From: Dylan Sellers &lt;dylan.</t>
  </si>
  <si>
    <t>19c11224b0bbd58c</t>
  </si>
  <si>
    <t>Okay, Let I will get something back to you next week.
Thanks Charlotte!
Enjoy your weekend!
On Fri, Jan 30, 2026 at 3:51 PM Castillo, Charlotte &lt;
Charlotte.Castillo@devry.edu&gt; wrote:
&gt; @dylan.sellers@observepoint.com &lt;dylan.sellers@observepoint.com&gt; That
&gt; would be amazing. I’m looking for the IT pre-launch RACI.
&gt;
&gt;
&gt;
&gt; Would next week work for you? If your schedule is tight, no pressure, but
&gt; next week would be ideal.
&gt;
&gt;
&gt; Have a great weekend!
&gt;
&gt;
&gt;
&gt; Charlotte Cas</t>
  </si>
  <si>
    <t>19c1132aec3e5e53</t>
  </si>
  <si>
    <t>Macey Bell &lt;macey.bell@observepoint.com&gt;, "dylan.sellers@observepoint.com" &lt;dylan.sellers@observepoint.com&gt;</t>
  </si>
  <si>
    <t>You guys are amazing! Thanks for pushing this capability.  Keep me posted as you roll this out to customers!
________________________________
From: Dylan Sellers &lt;dylan.sellers@observepoint.com&gt;
Sent: Tuesday, January 27, 2026 2:07 PM
To: Macey Bell &lt;macey.bell@observepoint.com&gt;
Cc: Grant Menefee &lt;Grant.Menefee@worldmarket.com&gt;; john.davis@observepoint.com &lt;john.davis@observepoint.com&gt;
Subject: Re: OP Data Viz / Dashboarding
CAUTION: This email originated from outside your organization.</t>
  </si>
  <si>
    <t>19c113ab857feb23</t>
  </si>
  <si>
    <t>You bet! 2-3 weeks out if all goes well.
On Fri, Jan 30, 2026 at 4:17 PM Grant Menefee &lt;Grant.Menefee@worldmarket.com&gt;
wrote:
&gt; You guys are amazing! Thanks for pushing this capability.  Keep me posted
&gt; as you roll this out to customers!
&gt; ------------------------------
&gt; *From:* Dylan Sellers &lt;dylan.sellers@observepoint.com&gt;
&gt; *Sent:* Tuesday, January 27, 2026 2:07 PM
&gt; *To:* Macey Bell &lt;macey.bell@observepoint.com&gt;
&gt; *Cc:* Grant Menefee &lt;Grant.Menefee@worldmarket.com&gt;;
&gt; john.da</t>
  </si>
  <si>
    <t>19c12420e35c3004</t>
  </si>
  <si>
    <t>"IALONGO, FRANCESCO S." &lt;FIALONGO@amica.com&gt;, Macey Bell &lt;macey.bell@observepoint.com&gt;</t>
  </si>
  <si>
    <t>Hi Franc!
Here are a few proposal options for this coming year. Happy to customize
and adjust further to fit your need.
Give it a look over and I’m happy to jump on a zoom call to talk more about
it this coming week.
Best!
Dallin Madsen   |     Account Executive
801.850.3709
dallin.madsen@observepoint.com
Schedule A Meeting With Me
On Wed, Jan 7, 2026 at 5:11 PM John Davis &lt;john.davis@observepoint.com&gt;
wrote:
&gt; Sure, you should get an invite in a s</t>
  </si>
  <si>
    <t>19c12b3f29d120e6</t>
  </si>
  <si>
    <t>Hi Dallin,
Thank you for putting together these proposals.
I could only take a very quick look so far but have 3 questions to start with:
  1.  Were does it show the or where can I see how the journey usage is being reallocated?
  2.  What can be done in terms of reallocation for the next month where we ran out of audits?
  3.  There is a new field for journeys that talks about support requests per year, this seems to be a new limitation on journey assistance, can you elaborate more</t>
  </si>
  <si>
    <t>19c1ebf3c0b0314c</t>
  </si>
  <si>
    <t>prvs=2493eb1d5a=kerry.liszka@lumen.com</t>
  </si>
  <si>
    <t>Out of office Re: Following: Observepoint | Lumen - Sync</t>
  </si>
  <si>
    <t xml:space="preserve">I am out of the office Monday February 2nd, please reach out to
support@observepoint.com if
you have something urgent, otherwise I will get back to you later this
week, thanks!
-- 
*Regards, *
John Davis *   |    * *Customer Success Manager*
Cell: 801.633.6013
john.davis@observepoint.com
www.observepoint.com
&lt;https://groove.grvlnk4.com/url/typa6byifukvbtijwod94/aHR0cDovL3d3dy5vYnNlcnZlcG9pbnQuY29tLyNncm9vdmVzdW06LTc2MTEwNTM3MA%3D%3D&gt;
</t>
  </si>
  <si>
    <t>19c1ebf3403367bb</t>
  </si>
  <si>
    <t>Following: Observepoint | Lumen - Sync</t>
  </si>
  <si>
    <t>19c1ecb085203ada</t>
  </si>
  <si>
    <t>prvs=2493cca95f=kathy.behler@lumen.com</t>
  </si>
  <si>
    <t>Out of office Re: Accepted: ObservePoint | Lumen Sync</t>
  </si>
  <si>
    <t>19c1f0b2dcdbff07</t>
  </si>
  <si>
    <t>Out of office Re: ObservePoint | MongoDB - Sync</t>
  </si>
  <si>
    <t>19c1f0b266341545</t>
  </si>
  <si>
    <t>john.davis@observepoint.com, macey.bell@observepoint.com, Arthur Engelhard &lt;arthur.engelhard@mongodb.com&gt;</t>
  </si>
  <si>
    <t>Hi John, can we move this? I have to attend a funeral this day.
ObservePoint | MongoDB - Sync
Thursday Feb 5, 2026 ⋅ 12:30pm – 1pm
Eastern Time - New York
Join Zoom Meeting
https://observepoint.zoom.us/j/3628593272?pwd=OfxX2kwpsuA5labBaZXephHbiAXlz9.1&amp;omn=93343583198&amp;jst=2
Join by phone
(US) +1 877-853-5247
passcode: 183089
Joining instructions
https://www.google.com/url?q=https://applications.zoom.us/addon/invitation/detail?meetingUuid%3Dwo%252FvemaJRECGQLZekzdsXQ%253D%253</t>
  </si>
  <si>
    <t>19c1f236d8af299a</t>
  </si>
  <si>
    <t>Hi Franc!
1. Where does it show the or where can I see how the journey usage is being
reallocated?
*You were previously spending $5,000 annually on journeys in 2024 and 2025.
In each of these three proposals that I've sent for 2026, I've cut that in
half and moved $2,500 into audits.*
2. What can be done in terms of reallocation for the next month where we
ran out of audits?
*If you can sign early with an increased subscription, we will add the
increased scans to your account ea</t>
  </si>
  <si>
    <t>19c1f23ce2c72573</t>
  </si>
  <si>
    <t>bruce.whittington@cvshealth.com</t>
  </si>
  <si>
    <t>Out of office Re: Accepted: ObservePoint | CVS Pharmacy Sync</t>
  </si>
  <si>
    <t>19c1f2083a914883</t>
  </si>
  <si>
    <t>"Coulson, Danielle (Sachs)," &lt;CoulsonD@aetna.com&gt;</t>
  </si>
  <si>
    <t>John Davis &lt;john.davis@observepoint.com&gt;, "Tanedo, Michael" &lt;TanedoM@aetna.com&gt;</t>
  </si>
  <si>
    <t>observepoint.com, aetna.com</t>
  </si>
  <si>
    <t>"Von Gerichten, Alexandra" &lt;VonGerichtenA@aetna.com&gt;, "Dedrick, Rebecca" &lt;DedrickR@aetna.com&gt;, "Whittington, Bruce R" &lt;Bruce.Whittington@cvshealth.com&gt;, Macey Bell &lt;macey.bell@observepoint.com&gt;, Todd Wilkerson &lt;todd.wilkerson@observepoint.com&gt;</t>
  </si>
  <si>
    <t>Re: [EXTERNAL] Re: ObservePoint Demo</t>
  </si>
  <si>
    <t>@Tanedo, Michael&lt;mailto:TanedoM@aetna.com&gt; can you find a time that works best for you? I'm traveling this week so my timing is challenging.
Danielle Coulson (she/her) | Lead Director, MarTech Analytics Products
[CVS][Aetna]
CONFIDENTIALITY NOTICE: This communication and any attachments may contain confidential and/or privileged information for the use of the designated recipients named above. If you are not the intended recipient, you are hereby notified that you have received this com</t>
  </si>
  <si>
    <t>19c1f2be47269753</t>
  </si>
  <si>
    <t>"Tanedo, Michael" &lt;TanedoM@aetna.com&gt;</t>
  </si>
  <si>
    <t>"Coulson, Danielle (Sachs)," &lt;CoulsonD@aetna.com&gt;, John Davis &lt;john.davis@observepoint.com&gt;</t>
  </si>
  <si>
    <t>aetna.com, observepoint.com</t>
  </si>
  <si>
    <t>Yes. Meeting was scheduled 02/05 Thursday 1PM EST.
Thanks,
Mike
From: Coulson, Danielle (Sachs), &lt;CoulsonD@aetna.com&gt;
Date: Monday, February 2, 2026 at 11:12 AM
To: John Davis &lt;john.davis@observepoint.com&gt;, Tanedo, Michael &lt;TanedoM@aetna.com&gt;
Cc: Von Gerichten, Alexandra &lt;VonGerichtenA@aetna.com&gt;, Dedrick, Rebecca &lt;DedrickR@aetna.com&gt;, Whittington, Bruce R &lt;Bruce.Whittington@CVSHealth.com&gt;, Macey Bell &lt;macey.bell@observepoint.com&gt;, Todd Wilkerson &lt;todd.wilkerson@observepoint.com&gt;
Subj</t>
  </si>
  <si>
    <t>19c1f2dfb066682c</t>
  </si>
  <si>
    <t>"Tanedo, Michael" &lt;TanedoM@aetna.com&gt;, John Davis &lt;john.davis@observepoint.com&gt;</t>
  </si>
  <si>
    <t xml:space="preserve">Fantastic! I'm traveling at that time but Mike we can connect after if you need any support for next steps.
Danielle Coulson (she/her) | Lead Director, MarTech Analytics Products
[CVS][Aetna]
CONFIDENTIALITY NOTICE: This communication and any attachments may contain confidential and/or privileged information for the use of the designated recipients named above. If you are not the intended recipient, you are hereby notified that you have received this communication in error and that any </t>
  </si>
  <si>
    <t>19c1f4a08de3f818</t>
  </si>
  <si>
    <t>Out of office Re: Accepted: ObservePoint | CDW Sync</t>
  </si>
  <si>
    <t>19c1f47605a569e0</t>
  </si>
  <si>
    <t>Re: ObservePoint | MongoDB - Sync</t>
  </si>
  <si>
    <t>Sure,
Here are some time slots that work for me in *Mountain Time*:
Meeting length: 30 Minutes
Time Zone: (GMT-7) MST/Denver
Fri Feb 6 Mon Feb 9 Tue Feb 10 Mon Feb 16 Tue Feb 17 Wed Feb 18 Thu Feb 19
Fri Feb 20
 10:30  AM
&lt;https://us-3129.email-composer-webhooks.gong.io/email-tracking/clicked?email-info-token=eyJhbGciOiJIUzI1NiJ9.eyJjb21wYW55SWQiOiI4OTgyMjM2MTQxODc2Mjk3NzAiLCJkcmFmdElkIjoici03NzgwOTA5NTY5MDE0NTMyNDMxIiwibGlua1VybCI6Imh0dHBzOi8vb2JzZXJ2ZXBvaW50LmNoaWxpcGlwZXIuY29tL3N1Z</t>
  </si>
  <si>
    <t>19c1fe32d205c8ed</t>
  </si>
  <si>
    <t>"FERREIRA, KEVIN L." &lt;KFERREIRA2@amica.com&gt;</t>
  </si>
  <si>
    <t>"IALONGO, FRANCESCO S." &lt;FIALONGO@amica.com&gt;, John Davis &lt;john.davis@observepoint.com&gt;, Macey Bell &lt;macey.bell@observepoint.com&gt;</t>
  </si>
  <si>
    <t>Re: Amica Mutual Single Sign-On configuration</t>
  </si>
  <si>
    <t>Looping in John who will be the main point of contact for this.
Thanks!
Dallin Madsen *   |    * *Enterprise Account Executive*
801.850.3709
dallin.madsen@observepoint.com
Schedule a Meeting With Me!
&lt;https://observepoint.chilipiper.com/me/dallin-madsen/meeting-with-dallin-madsen&gt;
---------- Forwarded message ---------
From: FERREIRA, KEVIN L. &lt;KFERREIRA2@amica.com&gt;
Date: Mon, Feb 2, 2026 at 2:38 PM
Subject: Amica Mutual Single Sign-On configuration
To: dallin.madsen@observe</t>
  </si>
  <si>
    <t>19c1fe3bc85a2dbf</t>
  </si>
  <si>
    <t>jzetazate@questrade.com</t>
  </si>
  <si>
    <t>John Davis &lt;john.davis@observepoint.com&gt;, Nic Suder &lt;nic.suder@observepoint.com&gt;, Clauria Yang &lt;cyang@questrade.com&gt;, "Procurement &amp; Vendor Management Office" &lt;procurement-vmo@questrade.com&gt;</t>
  </si>
  <si>
    <t>Re: Questrade - 2026 Renewal - ObservePoint</t>
  </si>
  <si>
    <t xml:space="preserve">Hello Joel,
Please find the attached Service Order.  It's the same as last year.
Let me know if you have any questions.
Thanks, Todd
&gt; ---------- Forwarded message ---------
&gt; From: 'Joel Zetazate' via Sales (External) &lt;sales@observepoint.com&gt;
&gt; Date: Fri, Jan 30, 2026 at 12:28 PM
&gt; Subject: Questrade - 2026 Renewal - ObservePoint
&gt; To: &lt;sales@observepoint.com&gt;
&gt; Cc: Clauria Yang &lt;cyang@questrade.com&gt;, Procurement &amp; Vendor Management
&gt; Office &lt;procurement-vmo@questrade.com&gt;
</t>
  </si>
  <si>
    <t>19c208185bfb77c1</t>
  </si>
  <si>
    <t>Charlotte.Castillo@devry.edu</t>
  </si>
  <si>
    <t>Out of office Re: DeVry // Journeys Sample Template</t>
  </si>
  <si>
    <t>19c20800abab4e57</t>
  </si>
  <si>
    <t>DeVry // Journeys Sample Template</t>
  </si>
  <si>
    <t xml:space="preserve">Hi John!
Thanks again for your assistance here, it's appreciated.
Could you look at the attached and let us know if this looks ok to submit? We can start with only the QA Journeys tab (and ignore Production) for now if you feel we should piecemeal this request.
Thanks,
Charlotte Castillo | Senior Manager, Marketing Analytics
Pronouns: She/Her/Hers
M 310.210.6251 | E charlotte.castillo@devry.edu
[Blue text on a black background  AI-generated content may be incorrect.]
</t>
  </si>
  <si>
    <t>19c20e633851ba83</t>
  </si>
  <si>
    <t>wendi.vien@mongodb.com</t>
  </si>
  <si>
    <t>Out of office Re: Intercom Chat Issues</t>
  </si>
  <si>
    <t>19c20e62bb91195d</t>
  </si>
  <si>
    <t>Hey John,
I wanted to follow up on my message from last Thursday regarding the
ObservePoint code setup.
Please let us know the appropriate next steps for a testing and enablement
session, or if you need anything further from us.
Thanks,
Wendi
On Thu, Jan 29, 2026 at 10:33 AM Wendi Vien &lt;wendi.vien@mongodb.com&gt; wrote:
&gt; Hey John,
&gt;
&gt; We’ve received access to ObservePoint. Were you able to get the code set
&gt; up?
&gt;
&gt; Let us know when it would be a good time to schedule our ne</t>
  </si>
  <si>
    <t>19c2148b2287538d</t>
  </si>
  <si>
    <t>"FERREIRA, KEVIN L." &lt;kferreira2@amica.com&gt;</t>
  </si>
  <si>
    <t>"IALONGO, FRANCESCO S." &lt;FIALONGO@amica.com&gt;, Macey Bell &lt;macey.bell@observepoint.com&gt;, Dallin Madsen &lt;dallin.madsen@observepoint.com&gt;, ObservePoint AI from ObservePoint &lt;support@observepoint.com&gt;</t>
  </si>
  <si>
    <t>Hey Kevin,
LIke Dallin said, I will run point on this
*Regards, *
John Davis *   |    * *Customer Success Manager*
Cell: 801.633.6013
john.davis@observepoint.com
www.observepoint.com 
&lt;https://groove.grvlnk4.com/url/typa6byifukvbtijwod94/aHR0cDovL3d3dy5vYnNlcnZlcG9pbnQuY29tLyNncm9vdmVzdW06LTc2MTEwNTM3MA%3D%3D&gt;
On Mon, Feb 2, 2026 at 12:45 PM Dallin Madsen &lt;
dallin.madsen@observepoint.com&gt; wrote:
&gt; Looping in John who will be the main point of contact for this.
&gt;
&gt; Tha</t>
  </si>
  <si>
    <t>19c2155bc4f77437</t>
  </si>
  <si>
    <t>Hey Wendi,
Sorry I didn't get back to you last week and then I was off today. Here are 
a couple Journeys I built for your pricing and contact us pages for that 
intercom widget:
https://app.observepoint.com/web-journey/575343/run/66671344/results?action=1
https://app.observepoint.com/web-journey/575341/run/66657613/results?action=1
So 
*Regards, *
John Davis *   |    * *Customer Success Manager*
Cell: 801.633.6013
john.davis@observepoint.com
www.observepoint.com 
&lt;https:</t>
  </si>
  <si>
    <t>19c216614fd4c9d6</t>
  </si>
  <si>
    <t>Michaleen Craig &lt;michaleen.craig@mongodb.com&gt;, Arthur Engelhard &lt;arthur.engelhard@mongodb.com&gt;</t>
  </si>
  <si>
    <t xml:space="preserve">Hey Wendi,
Sorry I didn't get back to you last week and then I was off today. Here are 
a couple journeys I built for your pricing and contact us pages to verify 
the chat now buttons on both pages actually do cause the chat iframe to 
load on the page:
https://app.observepoint.com/web-journey/575343/run/66672653/results?action=1
https://app.observepoint.com/web-journey/575341/run/66672661/results?action=4
There were slight differences on how the chat now buttons were implemented 
</t>
  </si>
  <si>
    <t>19c216718134b48e</t>
  </si>
  <si>
    <t>19c21eec85a884cf</t>
  </si>
  <si>
    <t>Hey Wendi,
Sorry I didn't get back to you last week and then I was OOO yesterday. Here 
are a couple journeys I built for your pricing and contact us pages to 
verify the chat now buttons on the pages actually do cause the chat iframe 
to load on the page:
https://app.observepoint.com/web-journey/575343/run/66672653/results?action=1
https://app.observepoint.com/web-journey/575341/run/66672661/results?action=1
There were slight differences on how the chat now buttons were implemented</t>
  </si>
  <si>
    <t>19c2396a18c437e2</t>
  </si>
  <si>
    <t>Hey Wendi,
Sorry I didn't get back to you last week and then I was OOO yesterday. Here
are a couple journeys I built for your pricing and contact us pages to
verify the chat now buttons on the pages actually do cause the chat iframe
to load on the page:
https://app.observepoint.com/web-journey/575343/run/66672653/results?action=1
https://app.observepoint.com/web-journey/575341/run/66672661/results?action=1
There were slight differences on how the chat now buttons were implemented
o</t>
  </si>
  <si>
    <t>19c2443675fa654a</t>
  </si>
  <si>
    <t>Hi Raymond, 
 Just checking in to see if you had a chance to review our previous message. Happy to help if you have any questions. 
 Thank you!</t>
  </si>
  <si>
    <t>19c2460ca63d3df8</t>
  </si>
  <si>
    <t>John, I need to either reschedule or cancel for today.  If your schedule allows for Thursday, lets reschedule.  If not, next tues will do.
My goal is to have new scan define if we can meet thurs.  if you're not avail, we go to tues.  Either way, please advise.  Thank you-
-----Original Appointment-----
From: John Davis &lt;john.davis@observepoint.com&gt;
Sent: Tuesday, January 27, 2026 3:34 PM
To: John Davis; Hagerty, Philip
Cc: Macey Bell; Andy Compas
Subject: ObservePoint | RWJF - Sync
W</t>
  </si>
  <si>
    <t>19c246e3f31d630f</t>
  </si>
  <si>
    <t>Re: ObservePoint | RWJF - Sync</t>
  </si>
  <si>
    <t>Hey Phil,
Here are some slots that work for me on Thursday in *Eastern Time*, feel
free to grab one or we can wait until Tuesday, either way works for me,
thanks!
Meeting length: 30 Minutes
Time Zone: (GMT-5) EST/New_York
Thu Feb 5
 12:00  PM
&lt;https://us-3129.email-composer-webhooks.gong.io/email-tracking/clicked?email-info-token=eyJhbGciOiJIUzI1NiJ9.eyJjb21wYW55SWQiOiI4OTgyMjM2MTQxODc2Mjk3NzAiLCJkcmFmdElkIjoici04NTAxNjU2MDE5Mjc2NDUyMTY0IiwibGlua1VybCI6Imh0dHBzOi8vb2JzZXJ2ZXBvaW50LmN</t>
  </si>
  <si>
    <t>19c2487a3c566b93</t>
  </si>
  <si>
    <t>Hi John,
Thanks for following up and looking forward to chatting tomorrow, Feb 4
11:00AM MT
On Tue, Feb 3, 2026 at 5:00 AM John Davis &lt;john.davis@observepoint.com&gt;
wrote:
&gt; Hey Wendi,
&gt;
&gt; Sorry I didn't get back to you last week and then I was OOO yesterday.
&gt; Here are a couple journeys I built for your pricing and contact us pages to
&gt; verify the chat now buttons on the pages actually do cause the chat iframe
&gt; to load on the page:
&gt;
&gt;
&gt; https://app.observepoint.com/web-journey</t>
  </si>
  <si>
    <t>19c249111c21d20c</t>
  </si>
  <si>
    <t>Tentatively Accepted: ObservePoint | MongoDB Inc. Sync @ Wed Feb 4, 2026 11am - 11:30am (MST) (john.davis@observepoint.com)</t>
  </si>
  <si>
    <t>Arthur Engelhard has replied "Maybe" to this invitation.
ObservePoint | MongoDB Inc. Sync
Wednesday Feb 4, 2026 ⋅ 11am – 11:30am
Mountain Time - Denver
Location
https://observepoint.zoom.us/j/95101485952	
https://www.google.com/url?q=https%3A%2F%2Fobservepoint.zoom.us%2Fj%2F95101485952&amp;sa=D&amp;source=calendar&amp;ust=1770571980000000&amp;usg=AOvVaw2ir_PSgt0ZUuFhhI1o1BHi
Booked with ChiliCal.
Looking forward to connecting.
If you need to reschedule, please use the link:  
https://obser</t>
  </si>
  <si>
    <t>19c249608c2a6c4e</t>
  </si>
  <si>
    <t>I look forward to chatting, thanks!
*Regards, *
John Davis *   |    * *Customer Success Manager*
Cell: 801.633.6013
john.davis@observepoint.com
www.observepoint.com
&lt;https://us-3129.email-composer-webhooks.gong.io/email-tracking/clicked?email-info-token=eyJhbGciOiJIUzI1NiJ9.eyJjb21wYW55SWQiOiI4OTgyMjM2MTQxODc2Mjk3NzAiLCJkcmFmdElkIjoicjg2NjM2NjI2ODk0NjQ1MjM1NjkiLCJsaW5rVXJsIjoiaHR0cHM6Ly9ncm9vdmUuZ3J2bG5rNC5jb20vdXJsL3R5cGE2YnlpZnVrdmJ0aWp3b2Q5NC9hSFIwY0RvdkwzZDNkeTV2WW5ObGNuWmxjRzlwY</t>
  </si>
  <si>
    <t>19c24be0e637a585</t>
  </si>
  <si>
    <t>"IALONGO, FRANCESCO S." &lt;FIALONGO@amica.com&gt;, Macey Bell &lt;macey.bell@observepoint.com&gt;, ObservePoint AI from ObservePoint &lt;support@observepoint.com&gt;</t>
  </si>
  <si>
    <t>Thanks Dallin,
I will be your main point of contact 
*Regards, *
John Davis *   |    * *Customer Success Manager*
Cell: 801.633.6013
john.davis@observepoint.com
www.observepoint.com 
&lt;https://groove.grvlnk4.com/url/typa6byifukvbtijwod94/aHR0cDovL3d3dy5vYnNlcnZlcG9pbnQuY29tLyNncm9vdmVzdW06LTc2MTEwNTM3MA%3D%3D&gt;
On Mon, Feb 2, 2026 at 12:45 PM Dallin Madsen &lt;
dallin.madsen@observepoint.com&gt; wrote:
&gt; Looping in John who will be the main point of contact for this.
&gt;
&gt; Than</t>
  </si>
  <si>
    <t>19c24ef0288847d4</t>
  </si>
  <si>
    <t>Thanks Dallin,
I will be your main point of contact for this, but our Support team will be
setting this up for you, so I have looped them in as well. Thanks for
sending this over Kevin!
*Regards, *
John Davis *   |    * *Customer Success Manager*
Cell: 801.633.6013
john.davis@observepoint.com
www.observepoint.com
&lt;https://us-3129.email-composer-webhooks.gong.io/email-tracking/clicked?email-info-token=eyJhbGciOiJIUzI1NiJ9.eyJjb21wYW55SWQiOiI4OTgyMjM2MTQxODc2Mjk3NzAiLCJkcmFmdElkIj</t>
  </si>
  <si>
    <t>19c24efaa3f0b447</t>
  </si>
  <si>
    <t>kferreira2@amica.com, fialongo@amica.com, macey.bell@observepoint.com</t>
  </si>
  <si>
    <t>Re: Re: Amica Mutual Single Sign-On configuration</t>
  </si>
  <si>
    <t xml:space="preserve"> 
#74079270: Re: Amica Mutual Single Sign-On configuration 
Submitted 
We'll pick up your ticket soon 
Thanks Dallin, I will be your main point of contact for this, but our 
Support team will be setting this up for you, so I have looped them in as 
well. Thanks for sending this over Kevin!
*Regards, * John Davis* | * *Customer Success Manager* Cell: 801.633.6013 
john.davis@observepoint.com 
*ObservePoint AI*
ObservePoint
[image: intercom] </t>
  </si>
  <si>
    <t>19c2519e8a20a589</t>
  </si>
  <si>
    <t>cdugger@caesars.com, Jered White &lt;jered.white@observepoint.com&gt;, jparkinson@caesars.com, Macey Bell &lt;macey.bell@observepoint.com&gt;, pfrei@caesars.com, John Davis &lt;john.davis@observepoint.com&gt;</t>
  </si>
  <si>
    <t>caesars.com, observepoint.com</t>
  </si>
  <si>
    <t>Here is the updated zoom link, sorry for the troubles!  
https://observepoint.zoom.us/j/3628593272?pwd=OfxX2kwpsuA5labBaZXephHbiAXlz9.1&amp;omn=93300451285&amp;jst=2
ObservePoint | Caesars - Sync
Tuesday Feb 3, 2026 ⋅ 1pm – 1:30pm
Mountain Time - Denver
Join Zoom Meeting
https://observepoint.zoom.us/j/3628593272?pwd=OfxX2kwpsuA5labBaZXephHbiAXlz9.1&amp;omn=93300451285&amp;jst=2
Join by phone
(US) +1 877-853-5247
passcode: 183089
Joining instructions
https://www.google.com/url?q=https://ap</t>
  </si>
  <si>
    <t>19c2534e09b55ac0</t>
  </si>
  <si>
    <t>19c2551dacbf0e3e</t>
  </si>
  <si>
    <t>Meeting</t>
  </si>
  <si>
    <t>Sorry Stanton,
My waiting room hasn't worked today for some reason, you can join here:
https://observepoint.zoom.us/j/3628593272?pwd=OfxX2kwpsuA5labBaZXephHbiAXlz9.1&amp;omn=97995869142&amp;jst=2
&lt;https://us-3129.email-composer-webhooks.gong.io/email-tracking/clicked?email-info-token=eyJhbGciOiJIUzI1NiJ9.eyJjb21wYW55SWQiOiI4OTgyMjM2MTQxODc2Mjk3NzAiLCJkcmFmdElkIjoici0zNTcxMzgxMjAwODE5OTU2ODAyIiwibGlua1VybCI6Imh0dHBzOi8vb2JzZXJ2ZXBvaW50Lnpvb20udXMvai8zNjI4NTkzMjcyP3B3ZD1PZnhYMmt3cHN1QTVsYWJCYVpYZXB</t>
  </si>
  <si>
    <t>19c25b6e5f0a3a4f</t>
  </si>
  <si>
    <t>Hi John,
Good meeting today.
Can we have similar call with PGIM team?  Can you send availability for this week and next week?  If you can include mornings, that would be great.
Thanks,
Steve
From: John Davis &lt;john.davis@observepoint.com&gt;
Sent: Wednesday, January 28, 2026 3:15 PM
To: Steve Choi &lt;steve.choi@prudential.com&gt;
Subject: Re: Sync Meeting
Yes, your Teams invite worked for me, thanks.
Yes, I have time in the following slots in Eastern Time:
Meeting length: 30 Minu</t>
  </si>
  <si>
    <t>19c25bbe66ddbb1b</t>
  </si>
  <si>
    <t>Sure thing, Steve.
Next week is our quarterly summit so I don't have a ton of slots available,
so I will include the this week and the next two weeks in *Eastern Time*:
Meeting length: 30 Minutes
Time Zone: (GMT-5) EST/New_York
Wed Feb 4 Thu Feb 5 Fri Feb 6 Mon Feb 9 Tue Feb 10 Mon Feb 16 Tue Feb 17 Wed
 Feb 18 Thu Feb 19 Fri Feb 20
 4:00  PM
&lt;https://us-3129.email-composer-webhooks.gong.io/email-tracking/clicked?email-info-token=eyJhbGciOiJIUzI1NiJ9.eyJjb21wYW55SWQiOiI4OTgyMjM2MTQxO</t>
  </si>
  <si>
    <t>19c25e6ce211ba5d</t>
  </si>
  <si>
    <t>Hey Charlotte,
Dylan and I would love to show you something we worked on recently and to
get your thoughts and context to help create something more usable for you.
These times work well for us in *Mountain Time*, can you find one that
works for you?
Meeting length: 30 Minutes
Time Zone: (GMT-7) MST/Denver
Thu Feb 5 Fri Feb 6
 10:00  AM
&lt;https://us-3129.email-composer-webhooks.gong.io/email-tracking/clicked?email-info-token=eyJhbGciOiJIUzI1NiJ9.eyJjb21wYW55SWQiOiI4OTgyMjM2MTQxODc2</t>
  </si>
  <si>
    <t>19c2936360e4dcb4</t>
  </si>
  <si>
    <t>Contract Renewal</t>
  </si>
  <si>
    <t xml:space="preserve">Hi John, I believe our contract is up for renewal - can you look into this?
Best,
Grant
</t>
  </si>
  <si>
    <t>19c2948c1a9af10b</t>
  </si>
  <si>
    <t>John Davis &lt;john.davis@observepoint.com&gt;, "dylan.sellers@observepoint.com" &lt;dylan.sellers@observepoint.com&gt;</t>
  </si>
  <si>
    <t>Thanks John, this is great! Booked for Friday, looking forward to it.
I also wanted to go over something else with you, regarding cookie compliance. It looks like David and team haven’t removed the tags/cookies that we pointed out from the OP audit, must have been 6 months ago. Would appreciate your assistance next week.
Thank you again!
Charlotte Castillo | Senior Manager, Marketing Analytics
Pronouns: She/Her/Hers
M 310.210.6251 | E charlotte.castillo@devry.edu
[Blue text on a blac</t>
  </si>
  <si>
    <t>19c2996f3cf567db</t>
  </si>
  <si>
    <t>Re: Contract Renewal</t>
  </si>
  <si>
    <t>Hey Grant,
Yes it is up on March 1st. I have looped Clark Anderson (your AE) into this 
thread
*Regards, *
John Davis *   |    * *Customer Success Manager*
Cell: 801.633.6013
john.davis@observepoint.com
www.observepoint.com 
&lt;https://groove.grvlnk4.com/url/typa6byifukvbtijwod94/aHR0cDovL3d3dy5vYnNlcnZlcG9pbnQuY29tLyNncm9vdmVzdW06LTc2MTEwNTM3MA%3D%3D&gt;
On Wed, Feb 4, 2026 at 8:12 AM Grant Menefee &lt;Grant.Menefee@worldmarket.com&gt; 
wrote:
&gt; Hi John, I believe our contract i</t>
  </si>
  <si>
    <t>19c29a841708cbfb</t>
  </si>
  <si>
    <t xml:space="preserve">Hey Grant,
Yes it is up on March 1st. I have looped Clark Anderson (your AE) into this 
thread for any questions that you might have for him.
*Regards, *
John Davis *   |    * *Customer Success Manager*
Cell: 801.633.6013
john.davis@observepoint.com
www.observepoint.com 
&lt;https://groove.grvlnk4.com/url/typa6byifukvbtijwod94/aHR0cDovL3d3dy5vYnNlcnZlcG9pbnQuY29tLyNncm9vdmVzdW06LTc2MTEwNTM3MA%3D%3D&gt;
On Wed, Feb 4, 2026 at 8:12 AM Grant Menefee &lt;Grant.Menefee@worldmarket.com&gt; </t>
  </si>
  <si>
    <t>19c29fd19f4bcae3</t>
  </si>
  <si>
    <t>Charlie Tysse &lt;charlie.tysse@stackedanalytics.com&gt;</t>
  </si>
  <si>
    <t>stackedanalytics.com</t>
  </si>
  <si>
    <t>Alexandru Marcu &lt;alexandru.marcu@observepoint.com&gt;</t>
  </si>
  <si>
    <t>Macey Bell &lt;macey.bell@observepoint.com&gt;, "Gonzales, Enrique" &lt;egonzales@verisign.com&gt;, Adrian Gircoveanu &lt;adrian.gircoveanu@observepoint.com&gt;, john.davis@observepoint.com</t>
  </si>
  <si>
    <t>observepoint.com, verisign.com</t>
  </si>
  <si>
    <t>Re: Question: Where are we with OP hosting Apps Script webhooks?</t>
  </si>
  <si>
    <t xml:space="preserve"> Hi Alex,
Sorry to bug you — I made a change to the Google sheet again, could you
redeploy?
Looping in John Davis, Verisign’s new account rep (relevant context for
Verisign’s App Script webhook solution)
*Charlie Tysse*
*Analytics Architect*
[image: stacked analytics logo]
tel: ‪843.284.3978‬
email: charlie.tysse@stackedanalytics.com
web: stackedanalytics.com &lt;https://www.stackedanalytics.com/&gt;
On Jan 15, 2026 at 12:02:59 PM, Alexandru Marcu &lt;
alexandru.marcu@observepoint.c</t>
  </si>
  <si>
    <t>19c2a03ab6d8d6ab</t>
  </si>
  <si>
    <t>Hi Charlie,
Done!
Best regards!
On Wed, Feb 4, 2026 at 8:49 PM Charlie Tysse &lt;
charlie.tysse@stackedanalytics.com&gt; wrote:
&gt; Hi Alex,
&gt;
&gt; Sorry to bug you — I made a change to the Google sheet again, could you
&gt; redeploy?
&gt;
&gt; Looping in John Davis, Verisign’s new account rep (relevant context for
&gt; Verisign’s App Script webhook solution)
&gt;
&gt; *Charlie Tysse*
&gt; *Analytics Architect*
&gt; [image: stacked analytics logo]
&gt; tel: ‪843.284.3978‬
&gt; email: charlie.tysse@stackedanalyt</t>
  </si>
  <si>
    <t>19c2a4db6c79a72c</t>
  </si>
  <si>
    <t>Re: DeVry // Journeys Sample Template</t>
  </si>
  <si>
    <t>Thanks for sending this over Charlotte!
I am looping in my journey support team to take a look since it looks 
pretty comprehensive on the forms that you want to test. I think it would 
be nice to get their thoughts on the overall structure of these and how 
best to 
*Regards, *
John Davis *   |    * *Customer Success Manager*
Cell: 801.633.6013
john.davis@observepoint.com
www.observepoint.com 
&lt;https://groove.grvlnk4.com/url/typa6byifukvbtijwod94/aHR0cDovL3d3dy5vYnNlcnZlcG9pbn</t>
  </si>
  <si>
    <t>19c2a542e4cbd44e</t>
  </si>
  <si>
    <t>Hey Grant,
Yes it is up on March 1st. I have looped Clark Anderson (your AE) into this 
thread for any questions that you might have for him.
Your usage is looking consistent and strong for both audits and journeys. 
We have consistently hit the limits on some of the larger or more frequent 
scans that you have run so that might be worth talking about next time we 
chat on Friday.
*Regards, *
John Davis *   |    * *Customer Success Manager*
Cell: 801.633.6013
john.davis@obs</t>
  </si>
  <si>
    <t>19c2a4f1e5ef684f</t>
  </si>
  <si>
    <t>Thanks for sending this over Charlotte!
I am looping in my journey support team to take a look since it looks
pretty comprehensive on the forms that you want to test. I think it would
be nice to get their thoughts on the overall structure of these and how
best to restructure them for efficiency and maintenance.
*Regards, *
John Davis *   |    * *Customer Success Manager*
Cell: 801.633.6013
john.davis@observepoint.com
www.observepoint.com
&lt;https://us-3129.email-composer-webhooks</t>
  </si>
  <si>
    <t>19c2a4fa8f29ae5e</t>
  </si>
  <si>
    <t>Re: Re: DeVry // Journeys Sample Template</t>
  </si>
  <si>
    <t xml:space="preserve"> 
#74288523: Re: DeVry // Journeys Sample Template 
Submitted 
We'll pick up your ticket soon 
Thanks for sending this over Charlotte! I am looping in my journey support 
team to take a look since it looks pretty comprehensive on the forms that 
you want to test. I think it would be nice to get their thoughts on the 
overall structure of these and how best to restructure them for efficiency 
and maintenance. 
*Regards, * John Davis* | * *Customer Success Manager* Cell: 801.633.6013 
john.davis@</t>
  </si>
  <si>
    <t>19c2a99fc7dcd49e</t>
  </si>
  <si>
    <t>Hey Grant,
Yes it is up on March 1st. I have looped Clark Anderson (your AE) into this
thread for any questions that you might have for him.
Your usage is looking consistent and strong for both audits and journeys.
We have consistently hit the limits on some of the larger or smaller more
frequent scans that you have run so that might be worth talking about next
time we chat on Friday.
*Regards, *
John Davis *   |    * *Customer Success Manager*
Cell: 801.633.6013
john.davis@o</t>
  </si>
  <si>
    <t>19c2a9ff37298cec</t>
  </si>
  <si>
    <t>Raymond Chau &lt;rchau@questrade.com&gt;, Todd Wilkerson &lt;todd.wilkerson@observepoint.com&gt;</t>
  </si>
  <si>
    <t>Skyline Team Connection</t>
  </si>
  <si>
    <t>Hey Winnie,
Hope you were able to have some fun during your time off!
I wanted to reach out before our next scheduled meeting to talk about your 
privacy use cases. Raymond had mentioned that there was a team that mostly 
handled this called the Skyline team? 
He mentioned that you interact with them more than he does so I was 
wondering if I could parallelize with them and you a little to make sure 
you're getting the most value out ObservePoint. 
Would it be possible for you to</t>
  </si>
  <si>
    <t>19c2aadec29c025f</t>
  </si>
  <si>
    <t>19c42eaa5ae7664c</t>
  </si>
  <si>
    <t>Hey Winnie,
Hope you were able to have some fun during your time off!
I wanted to reach out before our next scheduled meeting to talk about your
privacy use cases. Raymond had mentioned that there was a team that mostly
handled this called the Skyline team?
He mentioned that you interact with them more than he does so I was
wondering if I could parallelize with them and you a little to make sure
Questrade is getting the most value out of ObservePoint.
Would it be possible for you</t>
  </si>
  <si>
    <t>19c2ab5d6acee73b</t>
  </si>
  <si>
    <t>Wendi Vien &lt;wendi.vien@mongodb.com&gt;, Michaleen Craig &lt;michaleen.craig@mongodb.com&gt;</t>
  </si>
  <si>
    <t>Sync Followup</t>
  </si>
  <si>
    <t>Hey Wendi and Michaleen,
It was great to see you two again today!
Here is a link that talks about integrating Jira with journeys and rules
and such. It might be a little early for this right now, but I wanted to
make you aware of this if you wanted to at least get it setup and test your
processes.
https://help.observepoint.com/en/articles/9112923-jira-integration
&lt;https://us-3129.email-composer-webhooks.gong.io/email-tracking/clicked?email-info-token=eyJhbGciOiJIUzI1NiJ9.eyJjb21wYW5</t>
  </si>
  <si>
    <t>19c2abbe371e92e5</t>
  </si>
  <si>
    <t>Re: Sync Followup</t>
  </si>
  <si>
    <t>Thanks for handling this, John. I trust you all to take this across the
finish line.
On Wed, Feb 4, 2026, 5:11 PM John Davis &lt;john.davis@observepoint.com&gt; wrote:
&gt; Hey Wendi and Michaleen,
&gt;
&gt; It was great to see you two again today!
&gt;
&gt; Here is a link that talks about integrating Jira with journeys and rules
&gt; and such. It might be a little early for this right now, but I wanted to
&gt; make you aware of this if you wanted to at least get it setup and test your
&gt; processes.
&gt;
&gt; htt</t>
  </si>
  <si>
    <t>19c2adaa8b3d0af4</t>
  </si>
  <si>
    <t>Thanks John.
Grant -- looking forward to speaking on Friday. We've got some ideas to
help your scanning value take off this year.
Clarke Anderson *   |    * *Account Executive*
m: (818) 421-3713
clarke.anderson@observepoint.com
On Wed, Feb 4, 2026 at 2:41 PM John Davis &lt;john.davis@observepoint.com&gt;
wrote:
&gt; Hey Grant,
&gt;
&gt; Yes it is up on March 1st. I have looped Clark Anderson (your AE) into
&gt; this thread for any questions that you might have for him.
&gt;
&gt; Your us</t>
  </si>
  <si>
    <t>19c2de484fdfcb14</t>
  </si>
  <si>
    <t>Hey Franc!
Let me know if you'd like to chat about the proposal options and customize
further.
Best!
Dallin Madsen *   |    * *Enterprise Account Executive*
801.850.3709
dallin.madsen@observepoint.com
Schedule a Meeting With Me!
&lt;https://observepoint.chilipiper.com/me/dallin-madsen/meeting-with-dallin-madsen&gt;
On Mon, Feb 2, 2026 at 11:15 AM Dallin Madsen &lt;
dallin.madsen@observepoint.com&gt; wrote:
&gt; Hi Franc!
&gt;
&gt; 1. Where does it show the or where can I see how the journe</t>
  </si>
  <si>
    <t>19c2e3d9e26d7d35</t>
  </si>
  <si>
    <t>Alexandru Marcu &lt;alexandru.marcu@observepoint.com&gt;, Charlie Tysse &lt;charlie.tysse@stackedanalytics.com&gt;</t>
  </si>
  <si>
    <t>observepoint.com, stackedanalytics.com</t>
  </si>
  <si>
    <t>Macey Bell &lt;macey.bell@observepoint.com&gt;, Adrian Gircoveanu &lt;adrian.gircoveanu@observepoint.com&gt;, "john.davis@observepoint.com" &lt;john.davis@observepoint.com&gt;</t>
  </si>
  <si>
    <t>RE:  Question: Where are we with OP hosting Apps Script webhooks?</t>
  </si>
  <si>
    <t>Thanks,
Enrique
From: Alexandru Marcu &lt;alexandru.marcu@observepoint.com&gt;
Sent: Wednesday, February 4, 2026 1:57 PM
To: Charlie Tysse &lt;charlie.tysse@stackedanalytics.com&gt;
Cc: Macey Bell &lt;macey.bell@observepoint.com&gt;; Gonzales, Enrique &lt;egonzales@verisign.com&gt;; Adrian Gircoveanu &lt;adrian.gircoveanu@observepoint.com&gt;; john.davis@observepoint.com
Subject: [EXTERNAL] Re: Question: Where are we with OP hosting Apps Script webhooks?
Caution: This email originated from outside the organiza</t>
  </si>
  <si>
    <t>19c2eaafd90d5a2b</t>
  </si>
  <si>
    <t>Todays Connect Feb 05</t>
  </si>
  <si>
    <t xml:space="preserve">Hi Macey / John,
Just wanted to check if we are meeting today for our connect?
Not sure if todays connect is from the old series and we have create a new series for our monthly connects.
Thanks
Chinmay Satam | Int. Analyst | Advanced Analytics &amp; Automation | Digital
chinmay.satam@westjet.com&lt;mailto:csatam@westjet.com&gt;
[L_WestJet_LWYG_Bottom_RGB.test]
Our Team Values: Collaboration, Dependability, Integrity, Transparency
</t>
  </si>
  <si>
    <t>19c2ea840614e033</t>
  </si>
  <si>
    <t>csatam@westjet.com, devon.kerscher@westjet.com, farzaan.hoque@westjet.com, jason.wiegand@westjet.com, maushami.desai@westjet.com, Todd Wilkerson &lt;todd.wilkerson@observepoint.com&gt;, John Davis &lt;john.davis@observepoint.com&gt;</t>
  </si>
  <si>
    <t>Updated Zoom Link</t>
  </si>
  <si>
    <t>Here is the correct Zoom link, sorry for the confusion!
ObservePoint | WestJet Monthly Sync
Thursday Feb 5, 2026 ⋅ 9:30am – 10am
Mountain Time - Denver
Join Zoom Meeting
https://observepoint.zoom.us/j/3628593272?pwd=OfxX2kwpsuA5labBaZXephHbiAXlz9.1&amp;omn=99172667581&amp;jst=2
Join by phone
(US) +1 877-853-5247
passcode: 183089
Joining instructions
https://www.google.com/url?q=https://applications.zoom.us/addon/invitation/detail?meetingUuid%3DB475j4lJTXOqU7ujeZMlQg%253D%253D%26sig</t>
  </si>
  <si>
    <t>19c2ec042c53fa96</t>
  </si>
  <si>
    <t>Extra February Sync</t>
  </si>
  <si>
    <t>Hey Chinmay,
I'd love to connect again before our next sync in March to help you meet 
your deadlines.
To reiterate, it would be super helpful for you to send me your thoughts 
around the story that you want to tell with your audits and the data behind 
them, what are the questions that you want answered and what are the 
standards of success that you might want to set up alerts on. I have 
attached a document to help you get some ideas for questions you might have.
Also, lets do t</t>
  </si>
  <si>
    <t>19c2ebce7827e314</t>
  </si>
  <si>
    <t>19c2ec611df628e7</t>
  </si>
  <si>
    <t>Hey Chinmay,
I'd love to connect again before our next sync in March to help you meet
your deadlines.
To reiterate, it would be super helpful for you to send me your thoughts
around the story that you want to tell with your audits and the data behind
them, what are the questions that you want answered and what are the
standards of success that you might want to set up alerts on. I have
attached a document to help you get some ideas for questions you might have.
Also, let's do the s</t>
  </si>
  <si>
    <t>19c2ec438518c363</t>
  </si>
  <si>
    <t>19c2eeb529ac057d</t>
  </si>
  <si>
    <t>RE: [EXTERNAL] Re: DeVry // Journeys Sample Template</t>
  </si>
  <si>
    <t>Thank you, John, and thank you to the Support team.
To reiterate, there is no expectation that this work be completed on an accelerated timeline. Please take the time you need. It is fine for this to be addressed over time.
The level of detail requested is intentional. Our IT team has templated every form within Get Started, yet there are instances where individual elements appear to have been authored separately. The comprehensive review helps us understand where and why those differences</t>
  </si>
  <si>
    <t>19c2f46c0ff3f8de</t>
  </si>
  <si>
    <t>Observepoint - EDC - Regarding the broken external links setup</t>
  </si>
  <si>
    <t>Hi John,
Hope you are having a great week!
I am reaching out to you regarding the setup that was done for the broken external links for EDC site, I noticed that the secondary audit is being triggered automatically when the primary audit finishes the scan, and it kind of scans only 183 pages, I am assuming there are more broken links I believe.
Please would you be able to double check the setup, ideally the secondary audit should not trigger until I run it or setup some cadence. For now,</t>
  </si>
  <si>
    <t>19c2f5ba3df5ebfa</t>
  </si>
  <si>
    <t>Aparna Kumar &lt;Aparna.Kumar@brunswick.com&gt;, Brad Weidner &lt;Brad.Weidner@brunswick.com&gt;</t>
  </si>
  <si>
    <t>RE: ObservePoint | Brunswick Sync</t>
  </si>
  <si>
    <t>Hi John,
Thanks for meeting with us Tuesday. Please provide next steps, I believe you were going to test a couple options for global rule creation. Thank you!
This data is internal to Brunswick.
-----Original Appointment-----
From: John Davis &lt;john.davis@observepoint.com&gt;
Sent: Friday, January 30, 2026 9:13 AM
To: John Davis; Brad Weidner
Subject: ObservePoint | Brunswick Sync
When: Tuesday, February 3, 2026 12:30 PM-1:00 PM America/Denver.
Where:
ObservePoint | Brunswick S</t>
  </si>
  <si>
    <t>19c2fdc07bfe8a39</t>
  </si>
  <si>
    <t>RE: ObservePoint | Amica Weekly Sync</t>
  </si>
  <si>
    <t>Hi John,
I might be 20 mins or so late tomorrow. Have to meet about contract and contract ownership internally to try and get some traction (for OP)
Thank you,
Francesco S Ialongo | Lead Adobe Analytics Administrator
Amica Mutual Insurance Company | Marketing, Communications &amp; Growth
50 Amica Way | Lincoln, RI | 02865-1155
Voice: 800-652-6422 ext. 22312 | Fax: 401-333-5349
fialongo@amica.com&lt;mailto:%20fialongo@amica.com&gt; | Amica.com&lt;http://www.amica.com/&gt;
-----Original Appointm</t>
  </si>
  <si>
    <t>19c2fe11366ba99c</t>
  </si>
  <si>
    <t>Re: Observepoint - EDC - Regarding the broken external links setup</t>
  </si>
  <si>
    <t xml:space="preserve">Hey Dinika,
Great to hear from you!
I looked into that and I had a tiny bug that was preventing 
*Regards, *
John Davis *   |    * *Customer Success Manager*
Cell: 801.633.6013
john.davis@observepoint.com
www.observepoint.com 
&lt;https://groove.grvlnk4.com/url/typa6byifukvbtijwod94/aHR0cDovL3d3dy5vYnNlcnZlcG9pbnQuY29tLyNncm9vdmVzdW06LTc2MTEwNTM3MA%3D%3D&gt;
On Thu, Feb 5, 2026 at 12:28 PM Rao, Dinika &lt;dinika.rao@accenture.com&gt; 
wrote:
&gt; Hi John,
&gt;
&gt; Hope you are having </t>
  </si>
  <si>
    <t>19c2fe8fad047895</t>
  </si>
  <si>
    <t>No worries, thanks Frank!
*Regards, *
John Davis *   |    * *Customer Success Manager*
Cell: 801.633.6013
john.davis@observepoint.com
www.observepoint.com
&lt;https://groove.grvlnk4.com/url/typa6byifukvbtijwod94/aHR0cDovL3d3dy5vYnNlcnZlcG9pbnQuY29tLyNncm9vdmVzdW06LTc2MTEwNTM3MA%3D%3D&gt;
On Thu, Feb 5, 2026 at 3:11 PM IALONGO, FRANCESCO S. &lt;FIALONGO@amica.com&gt;
wrote:
&gt; Hi John,
&gt;
&gt;
&gt;
&gt; I might be 20 mins or so late tomorrow. Have to meet about contract and
&gt; contract owners</t>
  </si>
  <si>
    <t>19c2fe72d423b9e2</t>
  </si>
  <si>
    <t>Hey Dinika,
Great to hear from you!
I looked into that and I had a tiny bug that was only allowing my script to
pull in 1000 urls from that primary report and so thats why it was only
finding 183 pages because it was the unique urls from that list of 1000
urls. I have fixed that and it is now finding 5188 and should be working in
the future. I just went ahead and ran it to update the external links audit
and then I just manually kicked it off. It shouldn't automatically kick off
that</t>
  </si>
  <si>
    <t>19c3016deb5cdae7</t>
  </si>
  <si>
    <t>Winnie is currently out of office Re: Re: Journey Followup</t>
  </si>
  <si>
    <t>Hi all,
I'm currently OOO and will respond once I am back. Please reach out to my 
teammates during my absence:
Analytics implementation and validation - Raymond Chau (rchau@questrade.com)
Anything else - Clauria Yang (cyang@questrade.com) 
Regards,
Winnie
-- 
Winnie Ho ​​​​
Team Lead, Digital Measurement
www.questrade.com
Phone  416.227.9876
Toll free  1.888.783.7866
Fax  1.888.299.1098
Questrade, Inc.
5700 Yonge St., Suite 1900, Toronto, ON, M2M 4K2
Questrade, Inc. is a registered investme</t>
  </si>
  <si>
    <t>19c301685d89f13e</t>
  </si>
  <si>
    <t>rchau@questrade.com, Winnie Ho &lt;who@questrade.com&gt;, Clauria Yang &lt;cyang@questrade.com&gt;, macey.bell@observepoint.com</t>
  </si>
  <si>
    <t>Hey Raymond,
After chatting with Bogdon we still feel the same way that we're pretty
sure it's a whitelisting issue on your end.
Let us know if you have any more questions, thanks!
*Regards, *
John Davis *   |    * *Customer Success Manager*
Cell: 801.633.6013
john.davis@observepoint.com
www.observepoint.com
&lt;https://groove.grvlnk4.com/url/typa6byifukvbtijwod94/aHR0cDovL3d3dy5vYnNlcnZlcG9pbnQuY29tLyNncm9vdmVzdW06LTc2MTEwNTM3MA%3D%3D&gt;
On Tue, Feb 3, 2026 at 9:08 AM Bogda</t>
  </si>
  <si>
    <t>19b9fbbe7e819736</t>
  </si>
  <si>
    <t>19c30170e3074555</t>
  </si>
  <si>
    <t>rchau@questrade.com, who@questrade.com, cyang@questrade.com, macey.bell@observepoint.com</t>
  </si>
  <si>
    <t>Re: Re: Re: Journey Followup</t>
  </si>
  <si>
    <t xml:space="preserve"> 
#74649656: Re: Re: Journey Followup 
Submitted 
We'll pick up your ticket soon 
Hey Raymond, After chatting with Bogdon we still feel the same way that 
we're pretty sure it's a whitelisting issue on your end. Let us know if you 
have any more questions, thanks! *Regards, * John Davis* | * *Customer 
Success Manager* Cell: 801.633.6013 john.davis@observepoint.com 
*ObservePoint AI*
ObservePoint
[image: intercom] </t>
  </si>
  <si>
    <t>19c302681aabc3a5</t>
  </si>
  <si>
    <t>bruce.whittington@cvshealth.com, coulsond@aetna.com, dedrickr@aetna.com, tanedom@aetna.com, vongerichtena@aetna.com</t>
  </si>
  <si>
    <t>cvshealth.com, aetna.com</t>
  </si>
  <si>
    <t>Setup Regular Sync</t>
  </si>
  <si>
    <t xml:space="preserve">Hey Mike and Bruce,
It was great to meet you both today
*Regards, *
John Davis *   |    * *Customer Success Manager*
Cell: 801.633.6013
john.davis@observepoint.com
www.observepoint.com 
&lt;https://groove.grvlnk4.com/url/typa6byifukvbtijwod94/aHR0cDovL3d3dy5vYnNlcnZlcG9pbnQuY29tLyNncm9vdmVzdW06LTc2MTEwNTM3MA%3D%3D&gt;
</t>
  </si>
  <si>
    <t>19c3025a371d46fd</t>
  </si>
  <si>
    <t>19c302b5e304d170</t>
  </si>
  <si>
    <t>Hey Mike and Bruce,
It was great to meet you both today and hear about your needs.
I would love to schedule a recurring sync with you, separate from what I
have with the CVS team. I think either bi-weekly or monthly to start would
be helpful for you, let me know which you prefer.
Your homework before we meet next is to take a look at that use case pdf
(attached here just in case) and to think of the questions you might have
about your sites and their data.
Here are a few time slo</t>
  </si>
  <si>
    <t>19c302d086d49f53</t>
  </si>
  <si>
    <t>Re: Setup Regular Sync</t>
  </si>
  <si>
    <t>Woops I forgot to attach the pdf file.
Here is the recording of the meeting for Alex as well:
https://app.askelephant.ai/share/clips/mclp_01KGQH9MA1WQH35BN6SAAA1XVY
*Regards, *
John Davis *   |    * *Customer Success Manager*
Cell: 801.633.6013
john.davis@observepoint.com
www.observepoint.com
&lt;https://groove.grvlnk4.com/url/typa6byifukvbtijwod94/aHR0cDovL3d3dy5vYnNlcnZlcG9pbnQuY29tLyNncm9vdmVzdW06LTc2MTEwNTM3MA%3D%3D&gt;
On Thu, Feb 5, 2026 at 4:37 PM John Davis &lt;john.davis@o</t>
  </si>
  <si>
    <t>19c339078d5dd5b0</t>
  </si>
  <si>
    <t>john.davis@observepoint.com, who@questrade.com, cyang@questrade.com, macey.bell@observepoint.com</t>
  </si>
  <si>
    <t>Hi both
Do you mean it's our network team that hasn't allowed the Observe Point IP
to access the domain myportal.uat.questrade.com?
We actually did already allow it and from the log, you can see we have made
requests to myportal.uat.questrade.com? successfully (with 200 status code):
[image: image.png]
That's why I said in earlier messages that I felt it's related to something
else, for example CORS policy:
[image: image.png]
Would your team be able to tell if that's the case? A</t>
  </si>
  <si>
    <t>19c33d4c2e5c5e51</t>
  </si>
  <si>
    <t>Winnie Ho &lt;who@questrade.com&gt;, macey.bell@observepoint.com, Clauria Yang &lt;cyang@questrade.com&gt;, John Davis &lt;john.davis@observepoint.com&gt;</t>
  </si>
  <si>
    <t>Hi Raymond, 
 Thank you for your reply! To clarify our findings regarding the current journey: 
 The journey uses VPN Mode to access https://www.preprod.questrade.com, which we cannot access directly on our end. Everything appears to work until Step 10, where the submission redirects to https://myportal.uat.questrade.com/. 
 [Image "image.png?expires=1770398100&amp;amp;signature=ae6f43d1d7be2b0439df895f490363e1b6b5429bb574fa4c0e0b50e82af8106b&amp;amp;req=diAkEMt6nodbUfMW1HO4zbHItxVJ1EApUD%2B</t>
  </si>
  <si>
    <t>19c33d60200ddbb8</t>
  </si>
  <si>
    <t xml:space="preserve"> 
#74649656: Re: Re: Journey Followup 
Resolved 
We've completed your ticket 
Hey Raymond, After chatting with Bogdon we still feel the same way that 
we're pretty sure it's a whitelisting issue on your end. Let us know if you 
have any more questions, thanks! *Regards, * John Davis* | * *Customer 
Success Manager* Cell: 801.633.6013 john.davis@observepoint.com 
*Bogdan*
ObservePoint
[image: intercom] </t>
  </si>
  <si>
    <t>19c33dd412548f3c</t>
  </si>
  <si>
    <t>"Green, Brandie" &lt;brandie.green@bsci.com&gt;, John Davis &lt;john.davis@observepoint.com&gt;</t>
  </si>
  <si>
    <t>bsci.com, observepoint.com</t>
  </si>
  <si>
    <t>Introduction to John Davis</t>
  </si>
  <si>
    <t>Hey Brandie!
I want to introduce you to John Davis, who will be BSCI's new CSM and main
point of contact moving forward. I am still at ObservePoint so if there's
ever questions about what we have worked on in the past feel free to still
bring me in for that. But John will be an awesome partner and asset for you
and I am excited for you to get to meet him.
I will have him share his schedule so you guys can coordinate a time to
make introductions.
-- 
Macey Bell *   |    * *Custom</t>
  </si>
  <si>
    <t>19c33e19c10216da</t>
  </si>
  <si>
    <t>RE: [External] Re: Observepoint - EDC - Regarding the broken external links setup</t>
  </si>
  <si>
    <t>Thank you, John, for the quick fix. Will reach out if I have any other questions.
Best Regards,
Dinika Rao
From: John Davis &lt;john.davis@observepoint.com&gt;
Sent: Thursday, February 5, 2026 5:23 PM
To: Rao, Dinika &lt;dinika.rao@accenture.com&gt;
Subject: [External] Re: Observepoint - EDC - Regarding the broken external links setup
WARNING: External email. Be vigilant with links, attachments, and requests.
Hey Dinika,
Great to hear from you!
I looked into that and I had a tiny bug t</t>
  </si>
  <si>
    <t>19c33de725d1b5e0</t>
  </si>
  <si>
    <t>john.davis@observepoint.com, rchau@questrade.com, who@questrade.com, cyang@questrade.com</t>
  </si>
  <si>
    <t>The VPN tunnel is currently undergoing changes so I wonder if this is what
is causing the issue for this particular journey.
On Fri, Feb 6, 2026 at 9:43 AM Bogdan from ObservePoint &lt;
support@observepoint.com&gt; wrote:
&gt; #74649656: Re: Re: Journey Followup
&gt; Resolved
&gt; We've completed your ticket
&gt;
&gt; Hey Raymond, After chatting with Bogdon we still feel the same way that
&gt; we're pretty sure it's a whitelisting issue on your end. Let us know if you
&gt; have any more questions, thanks! *R</t>
  </si>
  <si>
    <t>19c3410f1f8bfb9b</t>
  </si>
  <si>
    <t>"Green, Brandie" &lt;brandie.green@bsci.com&gt;</t>
  </si>
  <si>
    <t>Re: Introduction to John Davis</t>
  </si>
  <si>
    <t xml:space="preserve">Thanks Macey,
Hey Brandie,
I look forward to working with you this year and would love to connect to 
talk about your 2026 goals and how ObservePoint can help you achieve them!
We currently have a monthly sync setup with you on the first Friday of each 
month, but we can tweak this to your needs if Fridays no longer work or for 
other reasons.
If you do want to tweak it, here are some monthly slots that work for me in *Mountain 
Time*, feel free to grab one that works for you:
</t>
  </si>
  <si>
    <t>19c341155022feae</t>
  </si>
  <si>
    <t>Thanks Macey,
Hey Brandie,
I look forward to working with you this year and would love to connect to
talk about your 2026 goals and how ObservePoint can help you achieve them!
We currently have a monthly sync setup with you on the first Friday of each
month, but we can tweak this to your needs if Fridays no longer work or for
other reasons.
If you do want to tweak it, here are some monthly slots that work for
me in *Mountain
Time*, feel free to grab one that works for you:
Me</t>
  </si>
  <si>
    <t>19c3453eb29186cb</t>
  </si>
  <si>
    <t>RE: [EXTERNAL] Re: ObservePoint | Amica Weekly Sync</t>
  </si>
  <si>
    <t>Hi I need 5 more mins, will be right there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John Davis &lt;john.davis@observepoint.com&gt;
Sent: Thursday, February 5, 2026 5:25 PM
To: IALONGO, FRANCESCO S. &lt;FIALONGO@AMICA.COM&gt;
Subject</t>
  </si>
  <si>
    <t>19c3454f464248cd</t>
  </si>
  <si>
    <t>Re: [EXTERNAL] Re: ObservePoint | Amica Weekly Sync</t>
  </si>
  <si>
    <t>No worries, take your time
*Regards, *
John Davis *   |    * *Customer Success Manager*
Cell: 801.633.6013
john.davis@observepoint.com
www.observepoint.com
&lt;https://groove.grvlnk4.com/url/typa6byifukvbtijwod94/aHR0cDovL3d3dy5vYnNlcnZlcG9pbnQuY29tLyNncm9vdmVzdW06LTc2MTEwNTM3MA%3D%3D&gt;
On Fri, Feb 6, 2026 at 12:00 PM IALONGO, FRANCESCO S. &lt;FIALONGO@amica.com&gt;
wrote:
&gt; Hi I need 5 more mins, will be right there
&gt;
&gt;
&gt;
&gt; *Francesco S Ialongo | *Lead Adobe Analytics Administr</t>
  </si>
  <si>
    <t>19c3500df52915cb</t>
  </si>
  <si>
    <t>Dylan Sellers &lt;dylan.sellers@observepoint.com&gt;, John Davis &lt;john.davis@observepoint.com&gt;</t>
  </si>
  <si>
    <t>Mario Party</t>
  </si>
  <si>
    <t xml:space="preserve">
Get Outlook for iOS&lt;https://aka.ms/o0ukef&gt;
</t>
  </si>
  <si>
    <t>19c350aa741b6a23</t>
  </si>
  <si>
    <t>Re: Mario Party</t>
  </si>
  <si>
    <t xml:space="preserve">Haha, amazing!
On Fri, Feb 6, 2026 at 3:09 PM Castillo, Charlotte &lt;
Charlotte.Castillo@devry.edu&gt; wrote:
&gt;
&gt;
&gt; Get Outlook for iOS &lt;https://aka.ms/o0ukef&gt;
&gt;
-- 
Schedule a meeting
&lt;https://observepoint.chilipiper.com/personal-page/dylan-sellers&gt;
Dylan Sellers *   |    * *VP of Customer Success*
916.500.1138
dylan.sellers@observepoint.com
www.observepoint.com
</t>
  </si>
  <si>
    <t>19c3538f1a8bfbed</t>
  </si>
  <si>
    <t>Nick Maxon &lt;nick.maxon@prudential.com&gt;, Lauren Tajar &lt;lauren.tajar@prudential.com&gt;, Neal Ronaghan &lt;neal.ronaghan@prudential.com&gt;, Caitlin Diaz &lt;caitlin.diaz@prudential.com&gt;, Mike Vance &lt;michael.vance@prudential.com&gt;</t>
  </si>
  <si>
    <t>Baijnath Gupta &lt;baijnath.gupta@prudential.com&gt;, Joaquin Viramontes &lt;joaquin.viramontes@prudential.com&gt;, Raghunath Munugala &lt;raghunath.munugala@prudential.com&gt;, Chirag Patel &lt;chirag1.patel@prudential.com&gt;, Eileen Cuevas &lt;eileen.cuevas@prudential.com&gt;, Jenny Castri &lt;jennifer.castri@prudential.com&gt;, Paula McNerney &lt;paula.mcnerney@prudential.com&gt;, Rolando Rafanan &lt;rolando.rafanan@prudential.com&gt;, Sanjana Dodley &lt;sanjana.dodley@prudential.com&gt;, Narender Reddy Karka &lt;narender.reddy@prudential.com&gt;, Soojin Kim &lt;soojin.1.kim@prudential.com&gt;, Jessica Kantor &lt;jessica.kantor@prudential.com&gt;, Danish Hazari &lt;danish.hazari@pramerica.ie&gt;, John Davis &lt;john.davis@observepoint.com&gt;</t>
  </si>
  <si>
    <t>prudential.com, pramerica.ie, observepoint.com</t>
  </si>
  <si>
    <t>Operation model for ObservePoint audits</t>
  </si>
  <si>
    <t xml:space="preserve">Hi  @Mike Vance&lt;mailto:michael.vance@prudential.com&gt;,
I believe Nick already shared this with you.  Are you OK with this operational model for ObservePoint audit ?  If so, I can start by scheduling Tier 1 and 2 scans this month.
  1.  Bi-weekly "Tier 1" - driven by pages that are actively going through a change / AEM release (assuming hypothetical ~50 pages impacted by biweekly release) and a list of top 200 pages by visits from Adobe Analytics.
     *   Estimated volume = 26 bi-weekly </t>
  </si>
  <si>
    <t>19c42360a4e029f4</t>
  </si>
  <si>
    <t>Hello John, 
 Thank you for reaching out! ​ We are looking into your request and will get back to you with an answer as soon as possible. ​ Best regards, Lucian</t>
  </si>
  <si>
    <t>19c428522fadb0c9</t>
  </si>
  <si>
    <t>Hello John, 
 We have reviewed your request and encountered an issue: the document/spreadsheet mentioned in the email thread is not available for download.Please resend it so we can get started on the journeys or complete the attached template spreadsheet. 
 Additionally, please make sure the staging environment has added the OP app to its allow list in order to have access. For more information regarding this, consult the link below: 
 https://help.observepoint.com/en/articles/9101465-</t>
  </si>
  <si>
    <t>19c42855eb5fc44d</t>
  </si>
  <si>
    <t xml:space="preserve"> 
#74288523: Re: DeVry // Journeys Sample Template 
Waiting on you 
We need more information 
Thanks for sending this over Charlotte! I am looping in my journey support 
team to take a look since it looks pretty comprehensive on the forms that 
you want to test. I think it would be nice to get their thoughts on the 
overall structure of these and how best to restructure them for efficiency 
and maintenance. 
*Regards, * John Davis* | * *Customer Success Manager* Cell: 801.633.6013 
john.davis@o</t>
  </si>
  <si>
    <t>19c42ef5609da5a7</t>
  </si>
  <si>
    <t>"Castillo, Charlotte" &lt;charlotte.castillo@devry.edu&gt;</t>
  </si>
  <si>
    <t>Woops, sorry I thought there was a link to the Google sheet, but it's
actually an attached xlsx file that I forgot to re-attach. Here you go.
*Regards, *
John Davis *   |    * *Customer Success Manager*
Cell: 801.633.6013
john.davis@observepoint.com
www.observepoint.com
&lt;https://groove.grvlnk4.com/url/typa6byifukvbtijwod94/aHR0cDovL3d3dy5vYnNlcnZlcG9pbnQuY29tLyNncm9vdmVzdW06LTc2MTEwNTM3MA%3D%3D&gt;
On Mon, Feb 9, 2026, 6:09 AM Lucian-Gabriel from ObservePoint &lt;
journey.support@ob</t>
  </si>
  <si>
    <t>19c42f1757bb30cd</t>
  </si>
  <si>
    <t xml:space="preserve"> 
#74288523: Re: DeVry // Journeys Sample Template 
In progress 
We're working on your ticket 
Thanks for sending this over Charlotte! I am looping in my journey support 
team to take a look since it looks pretty comprehensive on the forms that 
you want to test. I think it would be nice to get their thoughts on the 
overall structure of these and how best to restructure them for efficiency 
and maintenance. 
*Regards, * John Davis* | * *Customer Success Manager* Cell: 801.633.6013 
john.davis@</t>
  </si>
  <si>
    <t>19c4335ec0966f27</t>
  </si>
  <si>
    <t>Lucian-Gabriel from ObservePoint &lt;journey.support@observepoint.com&gt;, John Davis &lt;john.davis@observepoint.com&gt;</t>
  </si>
  <si>
    <t>RE: [EXTERNAL] Re: Re: DeVry // Journeys Sample Template</t>
  </si>
  <si>
    <t xml:space="preserve">Hi John,
Good morning, could you possibly help us confirm for Lucian? My impression from a previous meeting was that the OP crawler had access to this qa website and wouldn't need any additional permissioning: https://orig.qa.upgrade.www.devry.edu/
Thanks,
Charlotte Castillo | Senior Manager, Marketing Analytics
Pronouns: She/Her/Hers
M 310.210.6251 | E charlotte.castillo@devry.edu
[Blue text on a black background  AI-generated content may be incorrect.]
From: Lucian-Gabriel from </t>
  </si>
  <si>
    <t>19c43ee9ec2f7b53</t>
  </si>
  <si>
    <t>Hello, 
 We have received the Excel spreadsheet and ran a test journey for the staging environment. We received a status code 401, Unauthorized access for it. Additionally, when accessing the staging environment, it requires an account and password to access, as seen in the image below. 
 https://app.observepoint.com/web-journey/578481/run/66703302/results?action=1 
 [Image "image.png?expires=1770668100&amp;amp;signature=b45ea0910566f87faa9d31f6df82fef998edaf012d998627b2c7e0154fe0d2fe&amp;amp;req=</t>
  </si>
  <si>
    <t>19c43eeb3fd3d25b</t>
  </si>
  <si>
    <t>19c43ef2e8522143</t>
  </si>
  <si>
    <t>Hi John,
Apologies for the short notice, but I need to cancel our today's meeting due to a clash with another commitment that I’m unable to move. Could we please reschedule it for next month instead?
Thanks for your understanding.
Kind regards,
Krushi
________________________________
From: John Davis &lt;john.davis@observepoint.com&gt;
Sent: Tuesday, January 27, 2026 9:00 AM
To: Krushi Radadiya &lt;Krushi.Radadiya@spark.co.nz&gt;
Cc: Mycal Tamariki &lt;Mycal.Tamariki@spark.co.nz&gt;; Macey Bell &lt;</t>
  </si>
  <si>
    <t>19c441ae5ac2d64d</t>
  </si>
  <si>
    <t>Hey Krushi,
Sure we can reschedule. We already have our next meeting scheduled for 
March 9th. Are you sure you want to wait until then? Or do you want to 
schedule something sooner?
Here are some slots that work for me if you want to schedule something 
sooner in New Zealand time:
*Regards, *
John Davis *   |    * *Customer Success Manager*
Cell: 801.633.6013
john.davis@observepoint.com
www.observepoint.com 
&lt;https://groove.grvlnk4.com/url/typa6byifukvbtijwod94/aHR0cDovL3</t>
  </si>
  <si>
    <t>19c442369e70aecd</t>
  </si>
  <si>
    <t>Hey Charlotte,
Here is some documentation also that might help with allowing OP to access
this lower environment:
https://help.observepoint.com/en/articles/9101465-allow-exclude-observepoint-traffic
&lt;https://us-3129.email-composer-webhooks.gong.io/email-tracking/clicked?email-info-token=eyJhbGciOiJIUzI1NiJ9.eyJjb21wYW55SWQiOiI4OTgyMjM2MTQxODc2Mjk3NzAiLCJkcmFmdElkIjoicjQ3Mzg0MDc5ODkwOTQ2MzA0OTIiLCJsaW5rVXJsIjoiaHR0cHM6Ly9oZWxwLm9ic2VydmVwb2ludC5jb20vZW4vYXJ0aWNsZXMvOTEwMTQ2NS1hbGxvdy1leGN</t>
  </si>
  <si>
    <t>19c44249dcbada2f</t>
  </si>
  <si>
    <t>19c441e082dda063</t>
  </si>
  <si>
    <t>Hey Krushi,
Sure we can cancel. We already have our next meeting scheduled for March
9th. Are you sure you want to wait until then? Or do you want to schedule
something sooner?
Here are some slots that work for me if you want to schedule something
sooner in *Mountain Time*:
Meeting length: 30 Minutes
Time Zone: (GMT-7) MST/Denver
Mon Feb 16 Tue Feb 17 Wed Feb 18 Thu Feb 19
 10:00  AM
&lt;https://us-3129.email-composer-webhooks.gong.io/email-tracking/clicked?email-info-token=eyJhbGci</t>
  </si>
  <si>
    <t>19c44522cfde4569</t>
  </si>
  <si>
    <t>Brooke Tymoniewicz &lt;btymoniewicz@darden.com&gt;, esjostrom@darden.com</t>
  </si>
  <si>
    <t>Reschedule Sync</t>
  </si>
  <si>
    <t xml:space="preserve">Hey Brooke,
I need to reschedule our sync on Wednesday this week, 
*Regards, *
John Davis *   |    * *Customer Success Manager*
Cell: 801.633.6013
john.davis@observepoint.com
www.observepoint.com 
&lt;https://groove.grvlnk4.com/url/typa6byifukvbtijwod94/aHR0cDovL3d3dy5vYnNlcnZlcG9pbnQuY29tLyNncm9vdmVzdW06LTc2MTEwNTM3MA%3D%3D&gt;
</t>
  </si>
  <si>
    <t>19c44512952479f6</t>
  </si>
  <si>
    <t>19c44485ba1a7c79</t>
  </si>
  <si>
    <t>Re: Operation model for ObservePoint audits</t>
  </si>
  <si>
    <t>Hey Steve,
Are you going to be able to make our appointment in 10 minutes? I would
love to discuss this plan with you. You can send me a Teams link if you
want to meet on there instead of my Zoom link.
*Regards, *
John Davis *   |    * *Customer Success Manager*
Cell: 801.633.6013
john.davis@observepoint.com
www.observepoint.com
&lt;https://us-3129.email-composer-webhooks.gong.io/email-tracking/clicked?email-info-token=eyJhbGciOiJIUzI1NiJ9.eyJjb21wYW55SWQiOiI4OTgyMjM2MTQxODc2Mjk3Nz</t>
  </si>
  <si>
    <t>19c4456ef82caab2</t>
  </si>
  <si>
    <t>Hey Brooke,
I need to reschedule our sync on Wednesday this week unfortunately, can we
find another time next week that works for you and your team?
Here are some slots that work for me in *Mountain Time*, feel free to grab
one:
Meeting length: 30 Minutes
Time Zone: (GMT-7) MST/Denver
Mon Feb 16 Tue Feb 17 Wed Feb 18 Thu Feb 19 Fri Feb 20
 10:00  AM
&lt;https://us-3129.email-composer-webhooks.gong.io/email-tracking/clicked?email-info-token=eyJhbGciOiJIUzI1NiJ9.eyJjb21wYW55SWQiOiI4OTg</t>
  </si>
  <si>
    <t>19c445a049527c61</t>
  </si>
  <si>
    <t>John Davis &lt;john.davis@observepoint.com&gt;, Lucian-Gabriel from ObservePoint &lt;journey.support@observepoint.com&gt;, Chris Hawkes &lt;chris.hawkes@observepoint.com&gt;</t>
  </si>
  <si>
    <t>Hi there,
Yes, we met a few times with our IT team on this.  The outcome of the meetings was that OP crawler could get past the Sign In on this environment: https://orig.qa.upgrade.www.devry.edu/
@Chris Hawkes&lt;mailto:chris.hawkes@observepoint.com&gt; Could you confirm? Here’s the login below:
Username: DeVry
Password: $tudentJourney1
[cid:image001.png@01DC99C9.9666ADA0]
We’re already whitelisting your IPs in GA4 so no worry there.
Charlotte Castillo | Senior Manager, Marketing Anal</t>
  </si>
  <si>
    <t>19c4456f5b3b7146</t>
  </si>
  <si>
    <t>RE: Operation model for ObservePoint audits</t>
  </si>
  <si>
    <t>Sorry.  Stuck in another call.  What is your schedule tomorrow and rest of the week?
From: John Davis &lt;john.davis@observepoint.com&gt;
Sent: Monday, February 9, 2026 4:22 PM
To: Steve Choi &lt;steve.choi@prudential.com&gt;
Subject: Re: Operation model for ObservePoint audits
Hey Steve,
Are you going to be able to make our appointment in 10 minutes? I would love to discuss this plan with you. You can send me a Teams link if you want to meet on there instead of my Zoom link.
Regards,
John</t>
  </si>
  <si>
    <t>19c445988bdca173</t>
  </si>
  <si>
    <t>No worries, this week is actually bad, except for tomorrow because we have
our annual all hands and summit meetings and such.
So here are some times that work for me tomorrow in *Mountain Time*, but if
those don't work for you, then we can just wait until our next scheduled
sync next monday or find another time next week:
Meeting length: 30 Minutes
Time Zone: (GMT-7) MST/Denver
Tue Feb 10
 8:30  AM
&lt;https://us-3129.email-composer-webhooks.gong.io/email-tracking/clicked?email-info-to</t>
  </si>
  <si>
    <t>19c447b3bf3b015b</t>
  </si>
  <si>
    <t>Amy Rondinelli &lt;amy.rondinelli@cvshealth.com&gt;, Maria E DaPonte &lt;maria.daponte@cvshealth.com&gt;, tanedom@aetna.com</t>
  </si>
  <si>
    <t>Meeting Schedule</t>
  </si>
  <si>
    <t xml:space="preserve">Hey Maria and Amy,
I need to reschedule our syn on Thursday unfortunately because we have our 
annual all hands and summit meetings and such. 
So here are some times that work for me next week in *Mountain Time*
*Regards, *
John Davis *   |    * *Customer Success Manager*
Cell: 801.633.6013
john.davis@observepoint.com
www.observepoint.com 
&lt;https://groove.grvlnk4.com/url/typa6byifukvbtijwod94/aHR0cDovL3d3dy5vYnNlcnZlcG9pbnQuY29tLyNncm9vdmVzdW06LTc2MTEwNTM3MA%3D%3D&gt;
</t>
  </si>
  <si>
    <t>19c4478f21bc4676</t>
  </si>
  <si>
    <t>19c447de95021d6d</t>
  </si>
  <si>
    <t>Automatic reply: [EXTERNAL] Meeting Schedule</t>
  </si>
  <si>
    <t xml:space="preserve">
 Please note that I am OOO and will return on Tuesday February 17th.  Until then I will not have access to my emails. I will respond to your email upon my return.  If you have any urgent privacy related requests please contact Carla Dacosta   (Carla.Dacosta@CVSHealth.com
Regards,
M
</t>
  </si>
  <si>
    <t>19c447d56a94a686</t>
  </si>
  <si>
    <t>Hey Maria and Amy,
I need to reschedule our sync on Thursday unfortunately because we have our
annual all hands and summit meetings and such.
So here are some times that work for me next week in *Mountain Time*, feel
free to grab one that works for you:
Meeting length: 30 Minutes
Time Zone: (GMT-7) MST/Denver
Mon Feb 16 Tue Feb 17 Wed Feb 18 Thu Feb 19 Fri Feb 20
 10:00  AM
&lt;https://us-3129.email-composer-webhooks.gong.io/email-tracking/clicked?email-info-token=eyJhbGciOiJIUzI1NiJ</t>
  </si>
  <si>
    <t>19c44881a532f8dc</t>
  </si>
  <si>
    <t>Adrian from ObservePoint &lt;journey.support@observepoint.com&gt;</t>
  </si>
  <si>
    <t>Chris Hawkes &lt;chris.hawkes@observepoint.com&gt;, John Davis &lt;john.davis@observepoint.com&gt;</t>
  </si>
  <si>
    <t>Hi Charlotte, 
 With these credentials, if they work, we will be able to use them to get through the prompt. 
 We will test them and keep you posted. 
 Best regards, 
 Adrian</t>
  </si>
  <si>
    <t>19c4820b1cb26962</t>
  </si>
  <si>
    <t>"'John Davis'" &lt;john.davis@observepoint.com&gt;, Erik Sjostrom &lt;ESjostrom@darden.com&gt;</t>
  </si>
  <si>
    <t>RE: [EXTERNAL] Reschedule Sync</t>
  </si>
  <si>
    <t>All good! I’ve selected the 1:30 PM MT/3:30 PM ET timeslot for our connect next week 😊
Thank you,
Brooke Tymoniewicz
Analyst, CRM &amp; Digital Analytics | Darden
BTymoniewicz@Darden.com&lt;mailto:BTymoniewicz@Darden.com&gt;
[cid:image001.png@01DC9A76.6539FDB0]
From: John Davis &lt;john.davis@observepoint.com&gt;
Sent: Monday, February 9, 2026 4:38 PM
To: Brooke Tymoniewicz &lt;BTymoniewicz@darden.com&gt;; Erik Sjostrom &lt;ESjostrom@darden.com&gt;
Cc: Macey Bell &lt;macey.bell@observepoint.com&gt;
Subject: [EXT</t>
  </si>
  <si>
    <t>19c4834489f785b8</t>
  </si>
  <si>
    <t>Mike Vance &lt;michael.vance@prudential.com&gt;</t>
  </si>
  <si>
    <t>Steve Choi &lt;steve.choi@prudential.com&gt;, Nick Maxon &lt;nick.maxon@prudential.com&gt;, Lauren Tajar &lt;lauren.tajar@prudential.com&gt;, Neal Ronaghan &lt;neal.ronaghan@prudential.com&gt;, Caitlin Diaz &lt;caitlin.diaz@prudential.com&gt;</t>
  </si>
  <si>
    <t>Hey Steve,
Overall, I'm aligned with the approach and how we operationalize it but had some questions on the tiered structure:
  *   For the Tier 1 approach, our releases typically involve components (used across multiple pages) rather than individual pages so going with that approach would require some work on Lauren's end to run reports out of AEM each time to provide you with pages using the updated components.  I'm open to it if you and Lauren agree it is workable and won't slow down t</t>
  </si>
  <si>
    <t>19c485477d103f8a</t>
  </si>
  <si>
    <t>ObservePoint AI from ObservePoint &lt;support@observepoint.com&gt;, "john.davis@observepoint.com" &lt;john.davis@observepoint.com&gt;</t>
  </si>
  <si>
    <t>"IALONGO, FRANCESCO S." &lt;FIALONGO@amica.com&gt;, "macey.bell@observepoint.com" &lt;macey.bell@observepoint.com&gt;</t>
  </si>
  <si>
    <t>RE: [EXTERNAL] Re: Re: Amica Mutual Single Sign-On configuration</t>
  </si>
  <si>
    <t xml:space="preserve">Good Morning
Has anyone been able to take a look at this ticket?  Looking for a current status update
Thanks!
Kevin L Ferreira | Sr. Enterprise Infrastructure Specialist
Amica Mutual Insurance Company | Corporate Information Systems
Mailing: 25 Amica Way | Lincoln, RI. | 02865-1166
Voice: 1-800-652-6422, ext. 23637 | Fax: 401-334-2748
kferreira2@amica.com&lt;mailto:kferreira2@amica.com&gt; | Amica.com&lt;http://www.amica.com/&gt;
[cid:image001.png@01DC9A7E.46937D20]
From: ObservePoint AI </t>
  </si>
  <si>
    <t>19c4853131bb254c</t>
  </si>
  <si>
    <t>Hello, 
 Below is the first finished journey link: 
 1/6 - https://app.observepoint.com/web-journey/578481/run/66707089/results?action=1 
 Please review the journey flow and let us know if any modifications or alternative approaches are needed. If you have any questions, feel free to reach out at any time. 
 Best regards, 
 Lucian</t>
  </si>
  <si>
    <t>19c4864afdde18db</t>
  </si>
  <si>
    <t xml:space="preserve"> 
#74079270: Re: Amica Mutual Single Sign-On configuration 
In progress 
We're working on your ticket 
Thanks Dallin, I will be your main point of contact for this, but our 
Support team will be setting this up for you, so I have looped them in as 
well. Thanks for sending this over Kevin!
*Regards, * John Davis* | * *Customer Success Manager* Cell: 801.633.6013 
john.davis@observepoint.com 
*Bogdan*
ObservePoint
[image: intercom] </t>
  </si>
  <si>
    <t>19c4864beef8a495</t>
  </si>
  <si>
    <t>kferreira2@amica.com</t>
  </si>
  <si>
    <t>macey.bell@observepoint.com, Francesco Ialongo &lt;fialongo@amica.com&gt;, John Davis &lt;john.davis@observepoint.com&gt;</t>
  </si>
  <si>
    <t>Hello, 
 Thank you for following up on this! This ticket is a priority for us today, and we will get back to you with an update as soon as possible. 
 Thank you!</t>
  </si>
  <si>
    <t>19c4858f952c486f</t>
  </si>
  <si>
    <t>FYI: Verisign policy restricts recording meetings</t>
  </si>
  <si>
    <t>Team,
Verisign policy restricts recording meetings.
“Verisign's Meeting Recording Policy&lt;https://intranet.vrsn.com/SupportRes/LegalPolicies/Documents/Policies/Meeting%20Recording%20Policy.pdf&gt; &lt;https://intranet.vrsn.com/SupportRes/LegalPolicies/Documents/Policies/Meeting%20Recording%20Policy.pdf&gt; outlines a general prohibition against recording Verisign meetings unless pre-approved under specific circumstances to protect individual privacy and intellectual property.  Using transcription so</t>
  </si>
  <si>
    <t>19c4884cc284d26d</t>
  </si>
  <si>
    <t>Re: FYI: Verisign policy restricts recording meetings</t>
  </si>
  <si>
    <t xml:space="preserve">Hey Enrique!
I let John know to set the meeting sequence to "private" in google calendar
and I believe that will prevent any recording from happening by default
moving forward.
On Tue, Feb 10, 2026 at 9:18 AM Gonzales, Enrique &lt;egonzales@verisign.com&gt;
wrote:
&gt; Team,
&gt;
&gt;
&gt;
&gt; Verisign policy restricts recording meetings.
&gt;
&gt;
&gt;
&gt; “Verisign's Meeting Recording Policy
&gt; &lt;https://intranet.vrsn.com/SupportRes/LegalPolicies/Documents/Policies/Meeting%20Recording%20Policy.pdf&gt;
&gt;
&gt; </t>
  </si>
  <si>
    <t>19c48856ea566609</t>
  </si>
  <si>
    <t>RE:  Re: FYI: Verisign policy restricts recording meetings</t>
  </si>
  <si>
    <t xml:space="preserve">Thank you.  You are the best.
Enrique
From: Macey Bell &lt;macey.bell@observepoint.com&gt;
Sent: Tuesday, February 10, 2026 12:06 PM
To: Gonzales, Enrique &lt;egonzales@verisign.com&gt;
Cc: john.davis@observepoint.com
Subject: [EXTERNAL] Re: FYI: Verisign policy restricts recording meetings
Caution: This email originated from outside the organization. Do not click links or open attachments unless you recognize the sender and know the content is safe.
Hey Enrique!
I let John know to set </t>
  </si>
  <si>
    <t>19c4894e8ed84bdb</t>
  </si>
  <si>
    <t>Re: Re: FYI: Verisign policy restricts recording meetings</t>
  </si>
  <si>
    <t>Yes I have done that, it should work the way Macey described.
*Regards, *
John Davis *   |    * *Customer Success Manager*
Cell: 801.633.6013
john.davis@observepoint.com
www.observepoint.com
&lt;https://us-3129.email-composer-webhooks.gong.io/email-tracking/clicked?email-info-token=eyJhbGciOiJIUzI1NiJ9.eyJjb21wYW55SWQiOiI4OTgyMjM2MTQxODc2Mjk3NzAiLCJkcmFmdElkIjoici0yOTcxNzIzMjgwNTkzNDU0NzQzIiwibGlua1VybCI6Imh0dHBzOi8vZ3Jvb3ZlLmdydmxuazQuY29tL3VybC90eXBhNmJ5aWZ1a3ZidGlqd29kOTQvYUhSMGNEb3Z</t>
  </si>
  <si>
    <t>19c4895e65e56d47</t>
  </si>
  <si>
    <t>RE:  Re: Re: FYI: Verisign policy restricts recording meetings</t>
  </si>
  <si>
    <t>Awesome.  Thanks for taking care of this so quickly.
Best,
Enrique
From: John Davis &lt;john.davis@observepoint.com&gt;
Sent: Tuesday, February 10, 2026 12:24 PM
To: Gonzales, Enrique &lt;egonzales@verisign.com&gt;
Cc: Macey Bell &lt;macey.bell@observepoint.com&gt;
Subject: [EXTERNAL] Re: Re: FYI: Verisign policy restricts recording meetings
Caution: This email originated from outside the organization. Do not click links or open attachments unless you recognize the sender and know the content is</t>
  </si>
  <si>
    <t>19c489e8934f7f1f</t>
  </si>
  <si>
    <t>Hi Lucian,
This looks perfect, appreciate the great work on this. Glad you were able to get the login working.
I just updated the Journey Name to  - QA (that was my error on the Template - all Journeys in the 1st tab should be ending in " - QA" in the Name).
Thank you again,
Charlotte Castillo | Senior Manager, Marketing Analytics
Pronouns: She/Her/Hers
M 310.210.6251 | E charlotte.castillo@devry.edu
[Blue text on a black background  AI-generated content may be incorrect.]
From</t>
  </si>
  <si>
    <t>19c48c5b5a1b40bf</t>
  </si>
  <si>
    <t>Lucian-Gabriel from ObservePoint &lt;journey.support@observepoint.com&gt;, Chris Hawkes &lt;chris.hawkes@observepoint.com&gt;</t>
  </si>
  <si>
    <t>Re: [EXTERNAL] Re: Re: DeVry // Journeys Sample Template</t>
  </si>
  <si>
    <t>Thanks Lucian,
Hey Charlotte, I would love to schedule some time to chat about this and
come up with a plan moving forward.
Here are some times that work for me in *Mountain Time*, feel free to grab
one that works for you:
Meeting length: 30 Minutes
Time Zone: (GMT-7) MST/Denver
Mon Feb 16 Tue Feb 17 Wed Feb 18 Thu Feb 19 Fri Feb 20
 10:00  AM
&lt;https://us-3129.email-composer-webhooks.gong.io/email-tracking/clicked?email-info-token=eyJhbGciOiJIUzI1NiJ9.eyJjb21wYW55SWQiOiI4OTgyMjM2M</t>
  </si>
  <si>
    <t>19c48d0cf27f0bfd</t>
  </si>
  <si>
    <t>Re: ObservePoint | Brunswick Sync</t>
  </si>
  <si>
    <t>Hey Brad,
Sorry for the late reply, I have been testing a few options with this, but 
the problem is that we don't have multi threaded capabilities in our rule 
logic to have some if-then statements more than what is available 
*Regards, *
John Davis *   |    * *Customer Success Manager*
Cell: 801.633.6013
john.davis@observepoint.com
www.observepoint.com 
&lt;https://groove.grvlnk4.com/url/typa6byifukvbtijwod94/aHR0cDovL3d3dy5vYnNlcnZlcG9pbnQuY29tLyNncm9vdmVzdW06LTc2MTEwNTM3MA%3D%3</t>
  </si>
  <si>
    <t>19c48d0a3254601d</t>
  </si>
  <si>
    <t>charlotte.castillo@devry.edu, chris.hawkes@observepoint.com</t>
  </si>
  <si>
    <t>Re: Invitation: ObservePoint | DeVry University Sync @ Mon Feb 16, 2026 8pm - 8:30pm (EET) (Journey Support)</t>
  </si>
  <si>
    <t xml:space="preserve"> 
#75467780: Invitation: ObservePoint | DeVry University Sync @ Mon Feb 16, 
2026 8pm - 8:30pm (EET) (Journey Support) 
Submitted 
We'll pick up your ticket soon 
ObservePoint | DeVry University Sync Booked with ChiliCal. Looking forward 
to connecting. If you need to reschedule, please use the link: 
https://observepoint.chilipiper.com/reschedule/eb404fb3-daba-4d8e-84ed-41b0799a6911 
Booked with ChiliCal. Looking forward to connecting.
If you need to reschedule, please use the link: 
https://o</t>
  </si>
  <si>
    <t>19c48d813c9bd322</t>
  </si>
  <si>
    <t>Hey Brad,
Sorry for the late reply, I have been testing a few options with this, but 
the problem is that we don't have multi threaded capabilities in our rule 
logic to have the needed if-then statements on your variable data. I could 
write javascript to do this but we don't have access to the full tag and 
variable data in our on-page actions to drive the rules. I could export 
this data to a google sheet to then just process this logic with javascript 
code but then you would be mis</t>
  </si>
  <si>
    <t>19c48d4b9d0695d9</t>
  </si>
  <si>
    <t>Hi John,
Thanks so much, I booked for Monday. Also I’m learning that we have a QA Authoring AEM environment that David appears to be doing form component releases on that wasn’t originally ID’d on our list. It is behind an AEM login so I’m presuming it won’t be an issue but we can chat about it on Monday 😊
Thanks again
Charlotte Castillo | Senior Manager, Marketing Analytics
Pronouns: She/Her/Hers
M 310.210.6251 | E charlotte.castillo@devry.edu
[Blue text on a black background  AI-g</t>
  </si>
  <si>
    <t>19c48eb6b8f824e6</t>
  </si>
  <si>
    <t>19c48eba34e5fbb6</t>
  </si>
  <si>
    <t>Charlotte Castillo &lt;charlotte.castillo@devry.edu&gt;</t>
  </si>
  <si>
    <t>GA &amp; Page Health Framework Drafts</t>
  </si>
  <si>
    <t>Charlotte,
Here's the GA framework draft. It has notes for things that are "coming
soon", but it includes some links to helpful starter reports for the
individual checks.
https://help.observepoint.com/en/articles/13688039-google-analytics-implementation-framework
&lt;https://us-3129.email-composer-webhooks.gong.io/email-tracking/clicked?email-info-token=eyJhbGciOiJIUzI1NiJ9.eyJjb21wYW55SWQiOiI4OTgyMjM2MTQxODc2Mjk3NzAiLCJkcmFmdElkIjoicjUwNjY4MDYwMzgyNDgyNDU5MTIiLCJsaW5rVXJsIjoiaHR0cHM6Ly9oZ</t>
  </si>
  <si>
    <t>19c491e96235cca5</t>
  </si>
  <si>
    <t>Jyothish Sebastian &lt;jsebastian@athenahealth.com&gt;, spadmanabhan@athenahealth.com</t>
  </si>
  <si>
    <t>ObservePoint Sync</t>
  </si>
  <si>
    <t>Hey Joe and Padmanabhan,
We noticed that Padmanabhan just signed up for a free account and I would
love to sync up to make sure you have full access to everything you need
with Athena's account and to also hear about your use cases and how I can
help you get the most value out of ObservePoint.
Here are some slots that work for me in *Mountain Time*, feel free to grab
one that works for you:
Meeting length: 30 Minutes
Time Zone: (GMT-7) MST/Denver
Mon Feb 16 Tue Feb 17 Wed Feb 18 T</t>
  </si>
  <si>
    <t>19c49198ed1c244b</t>
  </si>
  <si>
    <t>19c4925b3ca640bf</t>
  </si>
  <si>
    <t>Hey Brad,
Sorry for the late reply, I have been testing a few options with this, but 
the problem is that we don't have multi threaded capabilities in our rule 
logic to have the needed if-then statements on your variable data. I could 
write javascript to do this but we don't have access to the full tag and 
variable data in our on-page actions to drive the rules either. I could 
export this data to a google sheet to then just process this logic with 
javascript code but then you would</t>
  </si>
  <si>
    <t>19c492b132ad4fac</t>
  </si>
  <si>
    <t>19c4960b63f14b15</t>
  </si>
  <si>
    <t>Hey Brad,
Sorry for the late reply, I have been testing a few options with this and 
talking with some other folks around here and I think there is something 
that we could do to help
Here are some time slots to sync up about this next week in *Mountain Time*, 
feel free to grab one that works for you:
Meeting length: 30 Minutes
Time Zone: (GMT-7) MST/Denver
Mon Feb 16 Tue Feb 17 Wed Feb 18 Thu Feb 19 Fri Feb 20
 10:00  AM  
&lt;https://observepoint.chilipiper.com/suggested-times/af</t>
  </si>
  <si>
    <t>19c4977037442022</t>
  </si>
  <si>
    <t>Hey Brad,
Sorry for the late reply, I have been testing a few options with this and I 
think I have a last hail mary for you before suggesting a custom solution 
using a Google sheet and an Appscript to validate these variables, which 
could still work for you but I still wanted to try this first.
https://app.observepoint.com/web-journey/575288/run/66708526/results?action=11&amp;tab=0
It does require some javascript code to setup but I there is a chance this 
might work for you.
Here</t>
  </si>
  <si>
    <t>19c497a49933b78d</t>
  </si>
  <si>
    <t>Hey Brad,
Sorry for the late reply, I have been testing a few options with this and I
think I have a last hail mary for you before suggesting a custom solution
using a Google sheet and an Appscript to validate these variables, which
could still work for you but I still wanted to try this first.
https://app.observepoint.com/web-journey/575288/run/66708526/results?action=11&amp;tab=0
&lt;https://us-3129.email-composer-webhooks.gong.io/email-tracking/clicked?email-info-token=eyJhbGciOiJIUzI1NiJ9</t>
  </si>
  <si>
    <t>19c498c872d6f254</t>
  </si>
  <si>
    <t>Aparna Kumar &lt;Aparna.Kumar@brunswick.com&gt;</t>
  </si>
  <si>
    <t>Thanks John!
This data is internal to Brunswick.
From: John Davis &lt;john.davis@observepoint.com&gt;
Sent: Tuesday, February 10, 2026 3:35 PM
To: Brad Weidner &lt;Brad.Weidner@brunswick.com&gt;
Cc: Aparna Kumar &lt;Aparna.Kumar@brunswick.com&gt;
Subject: Re: ObservePoint | Brunswick Sync
** CAUTION: External email, be careful with links and attachments. **
Hey Brad,
Sorry for the late reply, I have been testing a few options with this and I think I have a last hail mary for you before sugges</t>
  </si>
  <si>
    <t>19c49af5c700310c</t>
  </si>
  <si>
    <t>erin.hayes@worldmarket.com, Grant Menefee &lt;grant.menefee@worldmarket.com&gt;</t>
  </si>
  <si>
    <t>Hey Grant and Erin,
Here is the service order if you wanted to do a flat renewal for this 
upcoming year with no changes to price or 
Grant had asked about a multi year discount and if you are interested in 
that, we could offer a 10% discount from the costs if you signed a 3 year 
contract. 
*Regards, *
John Davis *   |    * *Customer Success Manager*
Cell: 801.633.6013
john.davis@observepoint.com
www.observepoint.com 
&lt;https://groove.grvlnk4.com/url/typa6byifukvbtijwod94/a</t>
  </si>
  <si>
    <t>19c49bcb419c7e30</t>
  </si>
  <si>
    <t>Hey Grant and Erin,
Here is the service order if you wanted to do a flat renewal for this 
upcoming year with no changes to price, usage limits or support.
Grant had asked about a multi year discount and if you are interested in 
that, we could offer a 10% discount from the costs if you signed a 3 year 
contract. 
*Regards, *
John Davis *   |    * *Customer Success Manager*
Cell: 801.633.6013
john.davis@observepoint.com
www.observepoint.com 
&lt;https://groove.grvlnk4.com/url/t</t>
  </si>
  <si>
    <t>19c49bda98d0d25f</t>
  </si>
  <si>
    <t>Hey Grant and Erin,
Here is the service order if you wanted to do a flat renewal for this 
upcoming contract year with no changes to price, usage limits or support.
Grant had asked about a multi year discount and if you are interested in 
that, we could offer a 10% discount from these costs if you signed a 3 year 
contract. 
*Regards, *
John Davis *   |    * *Customer Success Manager*
Cell: 801.633.6013
john.davis@observepoint.com
www.observepoint.com 
&lt;https://groove.grvlnk</t>
  </si>
  <si>
    <t>19c4d0c2eba7c934</t>
  </si>
  <si>
    <t>Padmanabhan Sekar &lt;spadmanabhan@athenahealth.com&gt;</t>
  </si>
  <si>
    <t>John Davis &lt;john.davis@observepoint.com&gt;, Jyothish Sebastian &lt;jsebastian@athenahealth.com&gt;</t>
  </si>
  <si>
    <t>Re: ObservePoint Sync</t>
  </si>
  <si>
    <t>Hi John,
Thanks for checking, I have created Free account at first and now I got all the required access. If anything required in future will check with you.
Thanks &amp; Regards,
Padmanabhan Sekar
[A picture containing logo  Description automatically generated]
Global Infocity, Block C, Floor 13, Dr, MGR Main Rd Chennai 600096
athenahealth.com&lt;https://www.athenahealth.com/&gt;
________________________________
From: John Davis &lt;john.davis@observepoint.com&gt;
Sent: Wednesd</t>
  </si>
  <si>
    <t>19c4d62062e81444</t>
  </si>
  <si>
    <t>Jyothish Sebastian &lt;jsebastian@athenahealth.com&gt;, Andy Compas &lt;andy.compas@observepoint.com&gt;</t>
  </si>
  <si>
    <t>athenahealth.com, observepoint.com</t>
  </si>
  <si>
    <t>Sounds great! Feel free to reach out anytime, thanks
*Regards, *
John Davis *   |    * *Customer Success Manager*
Cell: 801.633.6013
john.davis@observepoint.com
www.observepoint.com 
&lt;https://groove.grvlnk4.com/url/typa6byifukvbtijwod94/aHR0cDovL3d3dy5vYnNlcnZlcG9pbnQuY29tLyNncm9vdmVzdW06LTc2MTEwNTM3MA%3D%3D&gt;
On Wed, Feb 11, 2026 at 7:12 AM Padmanabhan Sekar &lt;
spadmanabhan@athenahealth.com&gt; wrote:
&gt; Hi John,
&gt;
&gt; Thanks for checking, I have created Free account at first a</t>
  </si>
  <si>
    <t>19c4d6e19d0fa2a1</t>
  </si>
  <si>
    <t>Sounds great! Feel free to reach out anytime.
If you have a minute, I would love to hear about your position at Athena
and how you want to use ObservePoint to reach your goals in 2026.
*Regards, *
John Davis *   |    * *Customer Success Manager*
Cell: 801.633.6013
john.davis@observepoint.com
www.observepoint.com
&lt;https://us-3129.email-composer-webhooks.gong.io/email-tracking/clicked?email-info-token=eyJhbGciOiJIUzI1NiJ9.eyJjb21wYW55SWQiOiI4OTgyMjM2MTQxODc2Mjk3NzAiLCJkcmFmdElkIjoi</t>
  </si>
  <si>
    <t>19c4d70a6f0dbc7e</t>
  </si>
  <si>
    <t>Hey Grant and Erin,
Here is the service order if you wanted to do a flat renewal for this 
upcoming contract year with no changes to price, usage limits or support.
Grant had asked about a multi year discount and if you are interested in 
that, we could offer a 10% discount from these costs if you signed a 3 year 
contract. 
Let us know if you have any questions, thanks!
*Regards, *
John Davis *   |    * *Customer Success Manager*
Cell: 801.633.6013
john.davis@observepoint.</t>
  </si>
  <si>
    <t>19c4d71a06b5a356</t>
  </si>
  <si>
    <t xml:space="preserve">Hey Grant and Erin,
Here is the service order if you wanted to do a flat renewal for this
upcoming contract year with no changes to price, usage limits or support.
Grant had asked about a multi year discount and if you are interested in
that, we could offer a 10% discount from these costs if you signed a 3 year
contract.
Let us know if you have any questions, thanks!
*Regards, *
John Davis *   |    * *Customer Success Manager*
Cell: 801.633.6013
john.davis@observepoint.com
</t>
  </si>
  <si>
    <t>19c4d93c999f11fa</t>
  </si>
  <si>
    <t>Anthony McMahon &lt;Anthony.McMahon@pmi.org&gt;, John Davis &lt;john.davis@observepoint.com&gt;</t>
  </si>
  <si>
    <t>pmi.org, observepoint.com</t>
  </si>
  <si>
    <t xml:space="preserve">Hey Tony! John Davis will be your CSM moving forward so passing this to him
to confirm he is available.
On Wed, Feb 11, 2026 at 9:37 AM Anthony McMahon &lt;Anthony.McMahon@pmi.org&gt;
wrote:
&gt; Hi Macey,
&gt;
&gt; Sorry for the short notice. Can we move the meeting to  2/18 at 11:30am
&gt; EST.
&gt;
&gt; Thanks
&gt; Tony
&gt; ------------------------------
&gt; *From:* Anthony McMahon
&gt; *Sent:* Wednesday, February 11, 2026 11:34 AM
&gt; *To:* Macey Bell &lt;macey.bell@observepoint.com&gt;
&gt; *Subject:* Declined: PMI </t>
  </si>
  <si>
    <t>19c4dc963080e724</t>
  </si>
  <si>
    <t>Hey CVS Team,
Can we reschedule our sync tomorrow? We have our annual internal summit
tomorrow.
Here are some slots that work for me next week in *Mountain Time*, feel
free to grab one that works for you:
Meeting length: 30 Minutes
Time Zone: (GMT-7) MST/Denver
Mon Feb 16 Tue Feb 17 Wed Feb 18 Thu Feb 19 Fri Feb 20
 10:00  AM
&lt;https://us-3129.email-composer-webhooks.gong.io/email-tracking/clicked?email-info-token=eyJhbGciOiJIUzI1NiJ9.eyJjb21wYW55SWQiOiI4OTgyMjM2MTQxODc2Mjk3NzAiLCJ</t>
  </si>
  <si>
    <t>19c4dc34763be3d1</t>
  </si>
  <si>
    <t>19c4dda3dfea551c</t>
  </si>
  <si>
    <t>jordan.robinson@accentgr.com.au, Stuart Heggie &lt;stuart.heggie@accentgr.com.au&gt;</t>
  </si>
  <si>
    <t>Macey Bell &lt;macey.bell@observepoint.com&gt;, Todd Wilkerson &lt;todd.wilkerson@observepoint.com&gt;</t>
  </si>
  <si>
    <t xml:space="preserve">Hey Stuart and Jordan,
I am excited to work with you in 2026. Right now we are set up with a
regular sync on Wednesday afternoons (next one is Feb 25th @ 3:30pm MST),
but that time is not going to work with my schedule on any Wednesday after
3pm MST, unfortunately.
Can we find a time slot that works for both of us? Here are some slots next
week that also work for a monthly sync moving forward in *Mountain Time*,
feel free to grab one that works for you:
Meeting length: 30 Minutes
</t>
  </si>
  <si>
    <t>19c4dd14489bbba8</t>
  </si>
  <si>
    <t>19c4df507c1ca5d9</t>
  </si>
  <si>
    <t>Automatic reply: [EXTERNAL] Invitation: ObservePoint | CVS Pharmacy Sync @ Thu Feb 19, 2026 1pm - 1:30pm (MST) (maria.daponte@cvshealth.com)</t>
  </si>
  <si>
    <t>19c4df50d2188a7f</t>
  </si>
  <si>
    <t>John Davis &lt;john.davis@observepoint.com&gt;, "DaPonte, Maria E" &lt;Maria.DaPonte@cvshealth.com&gt;, "Tanedo, Michael" &lt;TanedoM@aetna.com&gt;</t>
  </si>
  <si>
    <t>observepoint.com, cvshealth.com, aetna.com</t>
  </si>
  <si>
    <t>Re: [EXTERNAL] Reschedule Sync</t>
  </si>
  <si>
    <t>Hi John,
Sorry about that, just sent through a rescheduling selection. Have a great rest of the week!
Thanks,
Amy
From: John Davis &lt;john.davis@observepoint.com&gt;
Date: Wednesday, February 11, 2026 at 12:39 PM
To: Rondinelli, Amy &lt;Amy.Rondinelli@CVSHealth.com&gt;, DaPonte, Maria E &lt;Maria.DaPonte@CVSHealth.com&gt;, Tanedo, Michael &lt;TanedoM@aetna.com&gt;
Subject: [EXTERNAL] Reschedule Sync
**** External Email - Use Caution ****
________________________________
Hey CVS Team,
Can we reschedu</t>
  </si>
  <si>
    <t>19c4e2e3a84de4e7</t>
  </si>
  <si>
    <t>Mike Vance &lt;michael.vance@prudential.com&gt;, Nick Maxon &lt;nick.maxon@prudential.com&gt;, Lauren Tajar &lt;lauren.tajar@prudential.com&gt;, Neal Ronaghan &lt;neal.ronaghan@prudential.com&gt;, Caitlin Diaz &lt;caitlin.diaz@prudential.com&gt;</t>
  </si>
  <si>
    <t>Hi Mike,
See my responses below (green).
Thanks,
Steve
From: Mike Vance &lt;michael.vance@prudential.com&gt;
Sent: Tuesday, February 10, 2026 10:38 AM
To: Steve Choi &lt;steve.choi@prudential.com&gt;; Nick Maxon &lt;nick.maxon@prudential.com&gt;; Lauren Tajar &lt;lauren.tajar@prudential.com&gt;; Neal Ronaghan &lt;neal.ronaghan@prudential.com&gt;; Caitlin Diaz &lt;caitlin.diaz@prudential.com&gt;
Cc: Baijnath Gupta &lt;baijnath.gupta@prudential.com&gt;; Joaquin Viramontes &lt;joaquin.viramontes@prudential.com&gt;; Raghunath Munug</t>
  </si>
  <si>
    <t>19c4e77a30ae6fae</t>
  </si>
  <si>
    <t>Nick Maxon &lt;nick.maxon@prudential.com&gt;</t>
  </si>
  <si>
    <t>Steve Choi &lt;steve.choi@prudential.com&gt;, Mike Vance &lt;michael.vance@prudential.com&gt;, Lauren Tajar &lt;lauren.tajar@prudential.com&gt;, Neal Ronaghan &lt;neal.ronaghan@prudential.com&gt;, Caitlin Diaz &lt;caitlin.diaz@prudential.com&gt;</t>
  </si>
  <si>
    <t>Thanks Steve! Adding one point – if part of your question, Mike, was along the lines of “how did we determine the 7,500”, that was just an initial ballpark I plugged in for estimation purposes 😊.
We can fine-tune the exact volumes as needed, but I like Steve’s guidance in terms of (a) maximizing coverage while (b) minimizing overlap/redundancy and (c) not overshooting our volume allotment.
Nick
From: Steve Choi &lt;steve.choi@prudential.com&gt;
Sent: Wednesday, February 11, 2026 1:30 PM
To</t>
  </si>
  <si>
    <t>19c4e7883c038706</t>
  </si>
  <si>
    <t>I will be out of town until next Thursday.  Can you provide available times next Thurs, 2/19 and Fri 2/20?
From: John Davis &lt;john.davis@observepoint.com&gt;
Sent: Monday, February 9, 2026 4:41 PM
To: Steve Choi &lt;steve.choi@prudential.com&gt;
Subject: Re: Operation model for ObservePoint audits
No worries, this week is actually bad, except for tomorrow because we have our annual all hands and summit meetings and such.
So here are some times that work for me tomorrow in Mountain Time, but if</t>
  </si>
  <si>
    <t>19c4e80b6488cb1a</t>
  </si>
  <si>
    <t>Nick Maxon &lt;nick.maxon@prudential.com&gt;, Mike Vance &lt;michael.vance@prudential.com&gt;, Lauren Tajar &lt;lauren.tajar@prudential.com&gt;, Neal Ronaghan &lt;neal.ronaghan@prudential.com&gt;, Caitlin Diaz &lt;caitlin.diaz@prudential.com&gt;</t>
  </si>
  <si>
    <t>Reiterating what Nick shared below.
Scanning 7,500 pages quarterly (Tier 3) would add up to 30.000 for the year.  Additional 20,000 pages would be for Tier 1 and 2, resulting in annual total of 50,000 pages.
Allotting 20,000 page to PGIM, we are looking at 50,000 + 20,000 = 70,000 pages (2026 page limit from ObservePoint contract)
From: Nick Maxon &lt;nick.maxon@prudential.com&gt;
Sent: Wednesday, February 11, 2026 3:50 PM
To: Steve Choi &lt;steve.choi@prudential.com&gt;; Mike Vance &lt;michael.vance@</t>
  </si>
  <si>
    <t>19c4e910c45d7b2c</t>
  </si>
  <si>
    <t>Hey Tony,
I would love to connect and hear about your 2026 goals and how ObservePoint 
can help you meet them! 
That time will not work for me unfortunately, I have an internal meeting 
that I can't move. 
Can we find another time that works for you? These are some slots that work 
for me next week in *Eastern Time*, feel free to grab one that works for 
you:
*Regards, *
John Davis *   |    * *Customer Success Manager*
Cell: 801.633.6013
john.davis@observepoint.com
www.</t>
  </si>
  <si>
    <t>19c4e9707ef998a8</t>
  </si>
  <si>
    <t>Hey Tony,
I would love to connect and hear about your 2026 goals and how ObservePoint
can help you meet them!
That time will not work for me unfortunately.
Can we find another time that works for you? These are some slots that work
for me next week in *Eastern Time*, feel free to grab one that works for
you:
Meeting length: 30 Minutes
Time Zone: (GMT-5) EST/New_York
Mon Feb 16 Tue Feb 17 Wed Feb 18 Thu Feb 19 Fri Feb 20
 12:00  PM
&lt;https://us-3129.email-composer-webhooks.gong.</t>
  </si>
  <si>
    <t>19c4ea6116903c0e</t>
  </si>
  <si>
    <t>John Davis &lt;john.davis@observepoint.com&gt;, Jordan Robinson &lt;Jordan.Robinson@accentgr.com.au&gt;</t>
  </si>
  <si>
    <t>RE: Reschedule Sync</t>
  </si>
  <si>
    <t>Hi John, nice to meet you. I’ve selected a time on Wednesday 4th March 9:30 AEST – it was one of the later slots for you.
Speak then, thanks
Stuart Heggie
Head of Marketing Technology
[cid:image001.jpg@01DC9BFB.0E01AE40]
Tel: +61 3 9427 9422 | Email: Stuart.Heggie@accentgr.com.au&lt;mailto:Stuart.Heggie@accentgr.com.au&gt; | Web: www.accentgr.com.au&lt;http://www.accentgr.com.au/&gt;
Accent Group Limited
2/64 Balmain St
Cremorne, VIC 3121 AU
The information in this email and in any attachme</t>
  </si>
  <si>
    <t>19c4eb90f4453b31</t>
  </si>
  <si>
    <t>Jordan Robinson &lt;Jordan.Robinson@accentgr.com.au&gt;, Macey Bell &lt;macey.bell@observepoint.com&gt;, Todd Wilkerson &lt;todd.wilkerson@observepoint.com&gt;</t>
  </si>
  <si>
    <t>Re: Reschedule Sync</t>
  </si>
  <si>
    <t>Perfect, see you then!
*Regards, *
John Davis *   |    * *Customer Success Manager*
Cell: 801.633.6013
john.davis@observepoint.com
www.observepoint.com
&lt;https://us-3129.email-composer-webhooks.gong.io/email-tracking/clicked?email-info-token=eyJhbGciOiJIUzI1NiJ9.eyJjb21wYW55SWQiOiI4OTgyMjM2MTQxODc2Mjk3NzAiLCJkcmFmdElkIjoicjg5ODg4NjI5ODIzMTM4ODAzNjgiLCJsaW5rVXJsIjoiaHR0cHM6Ly9ncm9vdmUuZ3J2bG5rNC5jb20vdXJsL3R5cGE2YnlpZnVrdmJ0aWp3b2Q5NC9hSFIwY0RvdkwzZDNkeTV2WW5ObGNuWmxjRzlwYm5RdVkyOXRMeU</t>
  </si>
  <si>
    <t>19c4eb3e3b016a17</t>
  </si>
  <si>
    <t>19c4ed928ff9a0b5</t>
  </si>
  <si>
    <t>Hey Steve and Nick,
Thanks for clarifying.  For the Tier 2 scans, can we exclude the top 300 pages from Tier 1?  Since Tier 1 is running on a bi-weekly cadence and Tier 2 on a monthly, we would essentially be scanning those pages twice when those two scans line up if not excluded.
-Mike
From: Steve Choi &lt;steve.choi@prudential.com&gt;
Sent: Wednesday, February 11, 2026 4:00 PM
To: Nick Maxon &lt;nick.maxon@prudential.com&gt;; Mike Vance &lt;michael.vance@prudential.com&gt;; Lauren Tajar &lt;lauren.tajar</t>
  </si>
  <si>
    <t>19c520e7cbd8f659</t>
  </si>
  <si>
    <t>Mike Vance &lt;michael.vance@prudential.com&gt;, Nick Maxon &lt;nick.maxon@prudential.com&gt;, Lauren Tajar &lt;lauren.tajar@prudential.com&gt;, Neal Ronaghan &lt;neal.ronaghan@prudential.com&gt;, Caitlin Diaz &lt;caitlin.diaz@prudential.com&gt;, John Davis &lt;john.davis@observepoint.com&gt;</t>
  </si>
  <si>
    <t>Baijnath Gupta &lt;baijnath.gupta@prudential.com&gt;, Joaquin Viramontes &lt;joaquin.viramontes@prudential.com&gt;, Raghunath Munugala &lt;raghunath.munugala@prudential.com&gt;, Chirag Patel &lt;chirag1.patel@prudential.com&gt;, Eileen Cuevas &lt;eileen.cuevas@prudential.com&gt;, Jenny Castri &lt;jennifer.castri@prudential.com&gt;, Paula McNerney &lt;paula.mcnerney@prudential.com&gt;, Rolando Rafanan &lt;rolando.rafanan@prudential.com&gt;, Sanjana Dodley &lt;sanjana.dodley@prudential.com&gt;, Narender Reddy Karka &lt;narender.reddy@prudential.com&gt;, Soojin Kim &lt;soojin.1.kim@prudential.com&gt;, Jessica Kantor &lt;jessica.kantor@prudential.com&gt;, Danish Hazari &lt;danish.hazari@pramerica.ie&gt;</t>
  </si>
  <si>
    <t>prudential.com, pramerica.ie</t>
  </si>
  <si>
    <t>Hi @John Davis&lt;mailto:john.davis@observepoint.com&gt;,
Per Mike’s question below, for Tier 2 scan, we want to scan 1,000 pages starting from Prudential.com.  Is it feasible to exclude top 300 pages from Tier 1 so ObservePoint doesn’t crawl them for Tier 2?
Thanks,
Steve
From: Mike Vance &lt;michael.vance@prudential.com&gt;
Sent: Wednesday, February 11, 2026 5:36 PM
To: Steve Choi &lt;steve.choi@prudential.com&gt;; Nick Maxon &lt;nick.maxon@prudential.com&gt;; Lauren Tajar &lt;lauren.tajar@prudential.com&gt;;</t>
  </si>
  <si>
    <t>19c52b55d279edff</t>
  </si>
  <si>
    <t>Hi Kevin, 
 We apologize for the delay on this, as we are currently attending our annual company summit. 
 We have enabled SSO for your account using the metadata file you provided. Could you please let us know if it works correctly on your side so we can confirm everything is configured properly? 
 Here is the customized URL: 
 https://amica.app.observepoint.com 
 Thank you!</t>
  </si>
  <si>
    <t>19c52c1a986cd3b6</t>
  </si>
  <si>
    <t>Bogdan from ObservePoint &lt;support@observepoint.com&gt;, "IALONGO, FRANCESCO S." &lt;FIALONGO@amica.com&gt;</t>
  </si>
  <si>
    <t>"macey.bell@observepoint.com" &lt;macey.bell@observepoint.com&gt;, John Davis &lt;john.davis@observepoint.com&gt;</t>
  </si>
  <si>
    <t>Thank you Bogdan!
@IALONGO, FRANCESCO S.&lt;mailto:FIALONGO@AMICA.COM&gt; I do not have an account, so the testing will be up to you.  Can you click on Bogdans link below and verify that you were able to login?
https://amica.app.observepoint.com [amica.app.observepoint.com]&lt;https://urldefense.com/v3/__https:/amica.app.observepoint.com__;!!GMUSBZg!j2NlI0Dm3ZipHfjPe7mndjOeDxtpdw0spb74x3gqEFPZN0iXcnGz1feaoVN-rTphGp0cuHdnHwnmOE8TMDDG$&gt;
Thank you
Kevin L Ferreira | Sr. Enterprise Infrastruc</t>
  </si>
  <si>
    <t>19c52ee3efa26ac6</t>
  </si>
  <si>
    <t xml:space="preserve"> 
#74079270: Re: Amica Mutual Single Sign-On configuration 
Waiting on you 
We need more information 
Thanks Dallin, I will be your main point of contact for this, but our 
Support team will be setting this up for you, so I have looped them in as 
well. Thanks for sending this over Kevin!
*Regards, * John Davis* | * *Customer Success Manager* Cell: 801.633.6013 
john.davis@observepoint.com 
*Bogdan*
ObservePoint
[image: intercom] </t>
  </si>
  <si>
    <t>19c53399cf028cce</t>
  </si>
  <si>
    <t>"FERREIRA, KEVIN L." &lt;KFERREIRA2@amica.com&gt;, Bogdan from ObservePoint &lt;support@observepoint.com&gt;</t>
  </si>
  <si>
    <t>Hi,
I was able to access the app directly without e attempts to enter a PW!  : )
In Short: seems like its working to me, see image below. I did notice come redirects (2) but it might be normal
[cid:image002.png@01DC9C27.DEB3B890]
Francesco S Ialongo | Lead Adobe Analytics Administrator
Amica Mutual Insurance Company | Marketing, Communications &amp; Growth
50 Amica Way | Lincoln, RI | 02865-1155
Voice: 800-652-6422 ext. 22312 | Fax: 401-333-5349
fialongo@amica.com&lt;mailto:%20fialong</t>
  </si>
  <si>
    <t>19c533a120eb9735</t>
  </si>
  <si>
    <t xml:space="preserve"> 
#74079270: Re: Amica Mutual Single Sign-On configuration 
In progress 
We're working on your ticket 
Thanks Dallin, I will be your main point of contact for this, but our 
Support team will be setting this up for you, so I have looped them in as 
well. Thanks for sending this over Kevin!
*Regards, * John Davis* | * *Customer Success Manager* Cell: 801.633.6013 
john.davis@observepoint.com 
*ObservePoint AI*
ObservePoint
[image: intercom] </t>
  </si>
  <si>
    <t>19c533fb1c5363d5</t>
  </si>
  <si>
    <t>ObservePoint AI from ObservePoint &lt;support@observepoint.com&gt;, "john.davis@observepoint.com" &lt;john.davis@observepoint.com&gt;, "IALONGO, FRANCESCO S." &lt;FIALONGO@amica.com&gt;</t>
  </si>
  <si>
    <t>"macey.bell@observepoint.com" &lt;macey.bell@observepoint.com&gt;</t>
  </si>
  <si>
    <t>It looks like Single Sign on is working and this ticket can be closed!
@IALONGO, FRANCESCO S.&lt;mailto:FIALONGO@AMICA.COM&gt; Please share the login link with the rest of your team and feel free to reach out to me if you have any questions
Thank you!
Kevin L Ferreira | Sr. Enterprise Infrastructure Specialist
Amica Mutual Insurance Company | Corporate Information Systems
Mailing: 25 Amica Way | Lincoln, RI. | 02865-1166
Voice: 1-800-652-6422, ext. 23637 | Fax: 401-334-2748
kferreira2@a</t>
  </si>
  <si>
    <t>19c53d7382c021c8</t>
  </si>
  <si>
    <t>"FERREIRA, KEVIN L." &lt;KFERREIRA2@amica.com&gt;, ObservePoint AI from ObservePoint &lt;support@observepoint.com&gt;, "john.davis@observepoint.com" &lt;john.davis@observepoint.com&gt;</t>
  </si>
  <si>
    <t>Hi
Do I have to provide new sign in links to users or will there be a redirect?
Thanks,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FERREIRA, KEVIN L. &lt;KFERREIRA2@AMICA.com&gt;
Sent: Thursday, February 12, 2026 2:07 PM
To</t>
  </si>
  <si>
    <t>19c540967316f647</t>
  </si>
  <si>
    <t>robert.taylor@ziffdavis.com, Filippo Caprioli &lt;filippo_caprioli@ziffdavis.com&gt;</t>
  </si>
  <si>
    <t xml:space="preserve">Hey Robert and Filippo,
*Regards, *
John Davis *   |    * *Customer Success Manager*
Cell: 801.633.6013
john.davis@observepoint.com
www.observepoint.com 
&lt;https://groove.grvlnk4.com/url/typa6byifukvbtijwod94/aHR0cDovL3d3dy5vYnNlcnZlcG9pbnQuY29tLyNncm9vdmVzdW06LTc2MTEwNTM3MA%3D%3D&gt;
</t>
  </si>
  <si>
    <t>19c5408de7142bce</t>
  </si>
  <si>
    <t>19c541796596bad7</t>
  </si>
  <si>
    <t>Hey Robert and Filippo,
I am glad that we were able to connect today and show just a small part of 
the value of ObservePoint.
Something that I didn't show you today was how to request a tag. Some of 
those network requests that we were finding in that report were not in our 
tag database, like I explained, but there is a way that you can request us 
to add it so that you can use our more powerful tag reporting capabilities. 
You can do this directly in an audit and you can follow t</t>
  </si>
  <si>
    <t>19c541ae0d2d8ada</t>
  </si>
  <si>
    <t>Hey Robert and Filippo,
I am glad that we were able to connect today and that I was able to
show just a small part of the value of ObservePoint.
Something that I didn't show you today was how to request a tag. Some of
those network requests that we were finding in that report were not in our
tag database, like I explained, but there is a way that you can request us
to add it so that you can use our more powerful tag reporting capabilities.
You can do this directly in an audit and yo</t>
  </si>
  <si>
    <t>19c55be9d9cf5f3b</t>
  </si>
  <si>
    <t>Hi John,
I'm working as a QA Engineer at Athena. I would like to use Observepoint to ensure Analytics integrations are working fine in athenahealth website without any issues. Will reach you for any queries in future.
Thanks &amp; Regards,
Padmanabhan Sekar
[A picture containing logo  Description automatically generated]
Global Infocity, Block C, Floor 13, Dr, MGR Main Rd Chennai 600096
athenahealth.com&lt;https://www.athenahealth.com/&gt;
________________________________
F</t>
  </si>
  <si>
    <t>19c572e28492fa28</t>
  </si>
  <si>
    <t>Great, thank you for the confirmation! If you have any additional questions or need our assistance, please do not hesitate to contact us. 
 Thank you!</t>
  </si>
  <si>
    <t>19c572ea4232a8be</t>
  </si>
  <si>
    <t xml:space="preserve"> 
#74079270: Re: Amica Mutual Single Sign-On configuration 
Resolved 
We've completed your ticket 
Thanks Dallin, I will be your main point of contact for this, but our 
Support team will be setting this up for you, so I have looped them in as 
well. Thanks for sending this over Kevin!
*Regards, * John Davis* | * *Customer Success Manager* Cell: 801.633.6013 
john.davis@observepoint.com 
*Bogdan*
ObservePoint
[image: intercom] </t>
  </si>
  <si>
    <t>19c57c90a1781070</t>
  </si>
  <si>
    <t xml:space="preserve">
[image: ObservePoint Logo_Gray_ON_YEllow_LOGO.jpeg]
A friendly reminder that it's time to renew.
Hi Sabrina,
The last day of your current term is *March 15, 2026*.
If you have already completed renewal paperwork or opted to auto-renew your 
agreement, no action is required.
Please reach out to your account team if you have any questions.
*Customer Success Manager -* john.davis@observepoint.com
*Account Executive - * todd.wilkerson@observepoint.com
</t>
  </si>
  <si>
    <t>19c57c90b33ac668</t>
  </si>
  <si>
    <t xml:space="preserve">
[image: ObservePoint Logo_Gray_ON_YEllow_LOGO.jpeg]
A friendly reminder that it's time to renew.
Hi Jose,
The last day of your current term is *March 15, 2026*.
If you have already completed renewal paperwork or opted to auto-renew your 
agreement, no action is required.
Please reach out to your account team if you have any questions.
*Customer Success Manager -* john.davis@observepoint.com
*Account Executive - * todd.wilkerson@observepoint.com
</t>
  </si>
  <si>
    <t>19c580f9db248e53</t>
  </si>
  <si>
    <t>Awesome, thanks for the context! 
Let me know how I can help get the most out of your testing suites. I was a 
QA engineer in a past life so I understand your day to day and would 
love to lend my hand with your technical hurdles.
*Regards, *
John Davis *   |    * *Customer Success Manager*
Cell: 801.633.6013
john.davis@observepoint.com
www.observepoint.com 
&lt;https://groove.grvlnk4.com/url/typa6byifukvbtijwod94/aHR0cDovL3d3dy5vYnNlcnZlcG9pbnQuY29tLyNncm9vdmVzdW06LTc2MTEwNTM3MA%3</t>
  </si>
  <si>
    <t>19c581046275abfb</t>
  </si>
  <si>
    <t>Awesome, thanks for the context!
Let me know how I can help get the most out of your testing suite in
ObservePoint. I was a QA engineer in a past life so I understand your day
to day and would love to lend my hand with your technical hurdles you face.
*Regards, *
John Davis *   |    * *Customer Success Manager*
Cell: 801.633.6013
john.davis@observepoint.com
www.observepoint.com
&lt;https://us-3129.email-composer-webhooks.gong.io/email-tracking/clicked?email-info-token=eyJhbGciOiJIU</t>
  </si>
  <si>
    <t>19c582785abae876</t>
  </si>
  <si>
    <t xml:space="preserve">Sorry I need to cancel today.
Apologies for the last minute
Francesco S Ialongo | Lead Adobe Analytics Administrator
Amica Mutual Insurance Company | Marketing, Communications &amp; Growth
50 Amica Way | Lincoln, RI | 02865-1155
Voice: 800-652-6422 ext. 22312 | Fax: 401-333-5349
fialongo@amica.com&lt;mailto:%20fialongo@amica.com&gt; | Amica.com&lt;http://www.amica.com/&gt;
-----Original Appointment-----
From: John Davis &lt;john.davis@observepoint.com&gt;
Sent: Tuesday, January 20, 2026 4:00 PM
To: </t>
  </si>
  <si>
    <t>19c582449567c679</t>
  </si>
  <si>
    <t>19c582d16985e643</t>
  </si>
  <si>
    <t>No worries, I'll see you next week. Have a great weekend!
*Regards, *
John Davis *   |    * *Customer Success Manager*
Cell: 801.633.6013
john.davis@observepoint.com
www.observepoint.com
&lt;https://us-3129.email-composer-webhooks.gong.io/email-tracking/clicked?email-info-token=eyJhbGciOiJIUzI1NiJ9.eyJjb21wYW55SWQiOiI4OTgyMjM2MTQxODc2Mjk3NzAiLCJkcmFmdElkIjoicjgwNjI3NzA3NDE1NDAwMzEzMzYiLCJsaW5rVXJsIjoiaHR0cHM6Ly9ncm9vdmUuZ3J2bG5rNC5jb20vdXJsL3R5cGE2YnlpZnVrdmJ0aWp3b2Q5NC9hSFIwY0RvdkwzZDN</t>
  </si>
  <si>
    <t>19c5866140499012</t>
  </si>
  <si>
    <t>"ObservePoint, Inc. (AR@observepoint.com)" &lt;system@sent-via.netsuite.com&gt;</t>
  </si>
  <si>
    <t>accountspayable@accentgr.com.au, stuart.heggie@accentgr.com.au</t>
  </si>
  <si>
    <t>todd.wilkerson@observepoint.com, john.davis@observepoint.com, ar@observepoint.com</t>
  </si>
  <si>
    <t>New Invoice #INV8104074 from ObservePoint</t>
  </si>
  <si>
    <t xml:space="preserve">
Dear Accent Group team,
Thank you for using ObservePoint! Attached is your new invoice INV8104074 
for $20,930.00 U.S. Dollar. Payment is *due 14-Mar-2026. *Please review the 
invoice to ensure that all details are correct and confirm receipt by 
replying to this email.
If there are different or additional contacts we should add to future 
invoice submissions and inquiries, please let us know. 
For assistance or additional documentation, contact your Account Manager or 
ObservePoint Account</t>
  </si>
  <si>
    <t>19c589150d91c165</t>
  </si>
  <si>
    <t>John Davis &lt;john.davis@observepoint.com&gt;, Erin Hayes &lt;Erin.Hayes@worldmarket.com&gt;</t>
  </si>
  <si>
    <t xml:space="preserve">Thanks, John. We'll review internally and get back to you.
Stay tuned,
________________________________
From: John Davis &lt;john.davis@observepoint.com&gt;
Sent: Wednesday, February 11, 2026 10:03 AM
To: Erin Hayes &lt;Erin.Hayes@worldmarket.com&gt;; Grant Menefee &lt;Grant.Menefee@worldmarket.com&gt;
Cc: Clarke Anderson &lt;clarke.anderson@observepoint.com&gt;
Subject: Re: Contract Renewal
CAUTION: This email originated from outside your organization. Exercise caution when opening attachments or clicking </t>
  </si>
  <si>
    <t>19c58c43f63c093f</t>
  </si>
  <si>
    <t>RE: [EXTERNAL] GA &amp; Page Health Framework Drafts</t>
  </si>
  <si>
    <t>Hi Dylan,
Really excellent job so far on this. Many kudos! I love what you're doing here on the articles for GA Implementation Framework.
Let me know if I can help in any way or if you need a guinea pig. I believe we're starting on our first rule set next week.
Charlotte Castillo | Senior Manager, Marketing Analytics
Pronouns: She/Her/Hers
M 310.210.6251 | E charlotte.castillo@devry.edu
[Blue text on a black background  AI-generated content may be incorrect.]
From: Dylan Sellers &lt;</t>
  </si>
  <si>
    <t>19c58df59098e51d</t>
  </si>
  <si>
    <t>RE: [EXTERNAL] Invitation: ObservePoint | DeVry University Sync @ Mon Feb 16, 2026 11am - 11:30am (MST) (charlotte.castillo@devry.edu)</t>
  </si>
  <si>
    <t>Hi John!
For this meeting Monday, would you have time during this one (or extra time after) to go through a CCPA issue that I believe we are having? It’s a pressing issue that I would like OP’s feedback on.
We have a dozen 3rd party legacy tags on our SSWA Application that may or may not be CCPA Compliant. https://dvu.my.salesforce-sites.com/sswa/dvu/us/2
Have a great weekend!
Charlotte Castillo | Senior Manager, Marketing Analytics
Pronouns: She/Her/Hers
M 310.210.6251 | E charlot</t>
  </si>
  <si>
    <t>19c58f95523be27c</t>
  </si>
  <si>
    <t>Re: [EXTERNAL] Invitation: ObservePoint | DeVry University Sync @ Mon Feb 16, 2026 11am - 11:30am (MST) (charlotte.castillo@devry.edu)</t>
  </si>
  <si>
    <t>Hey Charlotte,
Yes we can go over that no problem. Hopefully we can go over both that 
*Regards, *
John Davis *   |    * *Customer Success Manager*
Cell: 801.633.6013
john.davis@observepoint.com
www.observepoint.com 
&lt;https://groove.grvlnk4.com/url/typa6byifukvbtijwod94/aHR0cDovL3d3dy5vYnNlcnZlcG9pbnQuY29tLyNncm9vdmVzdW06LTc2MTEwNTM3MA%3D%3D&gt;
On Fri, Feb 13, 2026 at 2:19 PM Castillo, Charlotte &lt;
Charlotte.Castillo@devry.edu&gt; wrote:
&gt; Hi John!
&gt;
&gt; For this meeting Mond</t>
  </si>
  <si>
    <t>19c590847dda2620</t>
  </si>
  <si>
    <t>Hey Charlotte,
Yes we can go over that no problem. Hopefully we can go over both that and
your journey list that you sent quickly. Thats my rough plan for Monday at
least.
Have a great weekend!
*Regards, *
John Davis *   |    * *Customer Success Manager*
Cell: 801.633.6013
john.davis@observepoint.com
www.observepoint.com
&lt;https://us-3129.email-composer-webhooks.gong.io/email-tracking/clicked?email-info-token=eyJhbGciOiJIUzI1NiJ9.eyJjb21wYW55SWQiOiI4OTgyMjM2MTQxODc2Mjk3NzAiLCJ</t>
  </si>
  <si>
    <t>19c637efb1da94dd</t>
  </si>
  <si>
    <t>Hi John
Good Evening, I hope you had a great weekend.
Can you please help me know the names of the journey that the team has
created? I am not able to find it. Happy to book a quick cal if needed.
*Best RegardsSatpal Singh*
*Digital Analytics Implementation Specialist*
*E: ssingh60@woolworths.com.au &lt;zzhang4@woolworths.com.au&gt;M: 0498 468 130*
On Thu, 29 Jan 2026 at 11:37, ObservePoint AI from ObservePoint &lt;
support@observepoint.com&gt; wrote:
&gt; #71365801: Re: Create J</t>
  </si>
  <si>
    <t>19c67e81880c4277</t>
  </si>
  <si>
    <t>New Time Proposed: ObservePoint | CDW Sync</t>
  </si>
  <si>
    <t>19c67f0a6c99ae59</t>
  </si>
  <si>
    <t>Sync</t>
  </si>
  <si>
    <t xml:space="preserve">Hey Raymond, 
Something came up with my family today unfortunately, can we reschedule our 
sync today?
Here are some times that work for me:
*Regards, *
John Davis *   |    * *Customer Success Manager*
Cell: 801.633.6013
john.davis@observepoint.com
www.observepoint.com 
&lt;https://groove.grvlnk4.com/url/typa6byifukvbtijwod94/aHR0cDovL3d3dy5vYnNlcnZlcG9pbnQuY29tLyNncm9vdmVzdW06LTc2MTEwNTM3MA%3D%3D&gt;
</t>
  </si>
  <si>
    <t>19c67ef6f9afeadd</t>
  </si>
  <si>
    <t>19c67f594bf4cd45</t>
  </si>
  <si>
    <t>Hey Brad and Aparna,
I apologize for the last second, but something came up with my family today
that is going to run into our scheduled meeting today unfortunately.
Can we reschedule to another day this week?
Here are some slots that work for me in Mountain Time:
Meeting length: 30 Minutes
Time Zone: (GMT-7) MST/Denver
Wed Feb 18 Thu Feb 19 Fri Feb 20
 10:30  AM
&lt;https://us-3129.email-composer-webhooks.gong.io/email-tracking/clicked?email-info-token=eyJhbGciOiJIUzI1NiJ9.eyJjb21</t>
  </si>
  <si>
    <t>19c67f3591d7e95e</t>
  </si>
  <si>
    <t>Winnie is currently out of office Re: Fwd: Sync</t>
  </si>
  <si>
    <t>19c67f1e210f43f5</t>
  </si>
  <si>
    <t>Hey Raymond,
Something came up with my family today unfortunately, can we reschedule our
sync today? If not, we can just wait until our next meeting on March 2nd.
Here are some times that work for me in *Mountain Time*:
Meeting length: 30 Minutes
Time Zone: (GMT-7) MST/Denver
Wed Feb 18 Thu Feb 19 Fri Feb 20
 10:30  AM
&lt;https://us-3129.email-composer-webhooks.gong.io/email-tracking/clicked?email-info-token=eyJhbGciOiJIUzI1NiJ9.eyJjb21wYW55SWQiOiI4OTgyMjM2MTQxODc2Mjk3NzAiLCJkcmFmdEl</t>
  </si>
  <si>
    <t>19c67f2e10caaf0c</t>
  </si>
  <si>
    <t>Fwd: Sync</t>
  </si>
  <si>
    <t>Hey Winnie,
Sorry I forgot to send this to you as well, hope to hear from you soon!
*Regards, *
John Davis *   |    * *Customer Success Manager*
Cell: 801.633.6013
john.davis@observepoint.com
www.observepoint.com
&lt;https://us-3129.email-composer-webhooks.gong.io/email-tracking/clicked?email-info-token=eyJhbGciOiJIUzI1NiJ9.eyJjb21wYW55SWQiOiI4OTgyMjM2MTQxODc2Mjk3NzAiLCJkcmFmdElkIjoicjM4OTI4MzUzOTc5OTAxNDQwOTkiLCJsaW5rVXJsIjoiaHR0cHM6Ly9ncm9vdmUuZ3J2bG5rNC5jb20vdXJsL3R5cGE2YnlpZnVrdm</t>
  </si>
  <si>
    <t>19c6847f4689a505</t>
  </si>
  <si>
    <t>19c686d2ddb5835e</t>
  </si>
  <si>
    <t>Hey Satpal,
This is the journey that our support team was working on in this email
thread, is this the one that you wanted?
https://app.observepoint.com/web-journey/574123/run/66712648/results?action=1
&lt;https://us-3129.email-composer-webhooks.gong.io/email-tracking/clicked?email-info-token=eyJhbGciOiJIUzI1NiJ9.eyJjb21wYW55SWQiOiI4OTgyMjM2MTQxODc2Mjk3NzAiLCJkcmFmdElkIjoicjY3NTI0NDkwMjQ3NzYwMDc5NTciLCJsaW5rVXJsIjoiaHR0cHM6Ly9hcHAub2JzZXJ2ZXBvaW50LmNvbS93ZWItam91cm5leS81NzQxMjMvcnVuLzY2NzEy</t>
  </si>
  <si>
    <t>19c688d2b206bd5a</t>
  </si>
  <si>
    <t>"audrbom@cdw.com (Google Calendar)" &lt;calendar-notification@google.com&gt;</t>
  </si>
  <si>
    <t>Tentatively Accepted: ObservePoint | CDW Sync @ Tue Feb 17, 2026 2:30pm - 3pm (MST) (john.davis@observepoint.com)</t>
  </si>
  <si>
    <t>audrbom@cdw.com has replied "Maybe" to this invitation.
ObservePoint | CDW Sync
Tuesday Feb 17, 2026 ⋅ 2:30pm – 3pm
Mountain Time - Denver
Join Zoom Meeting
https://observepoint.zoom.us/j/3628593272?pwd=OfxX2kwpsuA5labBaZXephHbiAXlz9.1&amp;omn=93034414015&amp;jst=2
Join by phone
(US) +1 877-853-5247
passcode: 183089
Joining instructions
https://www.google.com/url?q=https://applications.zoom.us/addon/invitation/detail?meetingUuid%3DLxL4WDq3TR6s%252BIWeo%252BWXvg%253D%253D%26signatur</t>
  </si>
  <si>
    <t>19c688d3c6558399</t>
  </si>
  <si>
    <t>19c68b89b015572a</t>
  </si>
  <si>
    <t xml:space="preserve">Hi John, thank you for sending the link, but when I click on the link , it
just signs me out and takes me to the journey and audits page where I can't
find the journey that is created by the support team. Can you please share
the screenshot of it, so that I can see the name and search for it?
*Best RegardsSatpal Singh*
*Digital Analytics Implementation Specialist*
*E: ssingh60@woolworths.com.au &lt;zzhang4@woolworths.com.au&gt;M: 0498 468 130*
On Tue, 17 Feb 2026 at 08:48, John </t>
  </si>
  <si>
    <t>19c69626b5588aac</t>
  </si>
  <si>
    <t>That's weird that you can't open the link, I checked the folder permissions
and you definitely have access. I'll take note of that, maybe it's a bug?
Anyways, this is the name of the journey:
Testpreprod-cms.everyday.com.au/gift-cards/browse
*Regards, *
John Davis *   |    * *Customer Success Manager*
Cell: 801.633.6013
john.davis@observepoint.com
www.observepoint.com
&lt;https://groove.grvlnk4.com/url/typa6byifukvbtijwod94/aHR0cDovL3d3dy5vYnNlcnZlcG9pbnQuY29tLyNncm9vdmVzdW06LTc2MT</t>
  </si>
  <si>
    <t>19c6bdc2a9379d36</t>
  </si>
  <si>
    <t>Re: Sync</t>
  </si>
  <si>
    <t>Hi John,
No worries. I will let Raymond to rebook the meeting with you as our #1
priority for now is to resolve the VPN issue in the lower tunnel to enable
us to build end to end monitoring for our open an account flow.
Regards,
Winnie
On Mon, Feb 16, 2026 at 2:35 PM John Davis &lt;john.davis@observepoint.com&gt;
wrote:
&gt; *CAUTION: This email originated from outside of the organization. Exercise
&gt; caution when clicking on links or opening attachments even if you recognize
&gt; the sende</t>
  </si>
  <si>
    <t>19c6c0ff67f752a2</t>
  </si>
  <si>
    <t>Hi John, what would a 3 year contract look like if we rolled those savings into expanded audit usage?
Thanks,
Grant
________________________________
From: John Davis &lt;john.davis@observepoint.com&gt;
Sent: Wednesday, February 11, 2026 10:03 AM
To: Erin Hayes &lt;Erin.Hayes@worldmarket.com&gt;; Grant Menefee &lt;Grant.Menefee@worldmarket.com&gt;
Cc: Clarke Anderson &lt;clarke.anderson@observepoint.com&gt;
Subject: Re: Contract Renewal
CAUTION: This email originated from outside your organization. Exercise</t>
  </si>
  <si>
    <t>19c6c9b8c5bd6cb5</t>
  </si>
  <si>
    <t>Thanks Winnie!
Hopefully the meeting we had with your network team on Friday got us a
little closer to fixing the VPN issue. Let me know how the next steps go
Raymond!
*Regards, *
John Davis *   |    * *Customer Success Manager*
Cell: 801.633.6013
john.davis@observepoint.com
www.observepoint.com
&lt;https://us-3129.email-composer-webhooks.gong.io/email-tracking/clicked?email-info-token=eyJhbGciOiJIUzI1NiJ9.eyJjb21wYW55SWQiOiI4OTgyMjM2MTQxODc2Mjk3NzAiLCJkcmFmdElkIjoicjg0MDAwNjQ3MDQ0</t>
  </si>
  <si>
    <t>19c6cd772ccae77f</t>
  </si>
  <si>
    <t>John, do you have availability tomorrow 10am-2pm ET to reschedule this meeting today?
If yes, please move the meeting.
If no, we need to punt to next week.
Thank you-
Phikl
-----Original Appointment-----
From: John Davis &lt;john.davis@observepoint.com&gt;
Sent: Thursday, February 12, 2026 1:06 AM
To: John Davis; Hagerty, Philip
Cc: Andy Compas
Subject: ObservePoint | RWJF - Sync
When: Tuesday, February 17, 2026 12:00 PM-12:30 PM America/Denver.
Where:
ObservePoint | RWJF - Sync</t>
  </si>
  <si>
    <t>19c6cdf8c36a608f</t>
  </si>
  <si>
    <t>Yes, I have rescheduled it to 1pm ET tomorrow, see you then!
*Regards, *
John Davis *   |    * *Customer Success Manager*
Cell: 801.633.6013
john.davis@observepoint.com
www.observepoint.com
&lt;https://us-3129.email-composer-webhooks.gong.io/email-tracking/clicked?email-info-token=eyJhbGciOiJIUzI1NiJ9.eyJjb21wYW55SWQiOiI4OTgyMjM2MTQxODc2Mjk3NzAiLCJkcmFmdElkIjoici01MDI2MDMyNDM2NDA1MjcyMTQ3IiwibGlua1VybCI6Imh0dHBzOi8vZ3Jvb3ZlLmdydmxuazQuY29tL3VybC90eXBhNmJ5aWZ1a3ZidGlqd29kOTQvYUhSMGNEb3ZM</t>
  </si>
  <si>
    <t>19c6cebbfd58c479</t>
  </si>
  <si>
    <t>Hi Grant --
Love the thought process here. I think what you're asking is: Can we keep
the flat cost per year for 3yrs while taking advantage of a lower rate per
page?
Simply put, yes. We'd love to structure something like this and extend the
partnership. And when timing lines up to expand volumes for increased use
case value (e.g. Privacy monitoring, full site scanning, Accessibility), we
can create a simple addendum to address the appropriate volumes and rates.
So, you'd see a fla</t>
  </si>
  <si>
    <t>19c6ce062b7e773f</t>
  </si>
  <si>
    <t>Ok great thank you.
From: John Davis &lt;john.davis@observepoint.com&gt;
Sent: Tuesday, February 17, 2026 1:32 PM
To: Hagerty, Philip &lt;phagerty@rwjf.org&gt;
Cc: Andy Compas &lt;andy.compas@observepoint.com&gt;
Subject: Re: ObservePoint | RWJF - Sync
Yes, I have rescheduled it to 1pm ET tomorrow, see you then!
Regards,
John Davis    |     Customer Success Manager
[https://ops.observepoint.com/email-signature/img/branding-email-logo.png]
[https://ops.observepoint.com/email-signature/img/icon-</t>
  </si>
  <si>
    <t>19c6cf64217b0520</t>
  </si>
  <si>
    <t>Hi John
Let's wait until our next meeting as I will need to work with the network
team to sort out what's discussed last Friday first. Think we won't have
much to discuss for now.
Meanwhile I will reach out if I need more support when working with our
network team.
Thanks,
Raymond Chau
Senior Specialist, Digital Analytics Implementation
www.questrade.com
Phone  416.227.9876
Toll free  1.888.783.7866
Fax  1.888.299.1098
Questrade, Inc.
5700 Yonge St., Suite 1900, Toronto, ON</t>
  </si>
  <si>
    <t>19c6cfaf24914058</t>
  </si>
  <si>
    <t>Sounds great, thanks!
*Regards, *
John Davis *   |    * *Customer Success Manager*
Cell: 801.633.6013
john.davis@observepoint.com
www.observepoint.com
&lt;https://groove.grvlnk4.com/url/typa6byifukvbtijwod94/aHR0cDovL3d3dy5vYnNlcnZlcG9pbnQuY29tLyNncm9vdmVzdW06LTc2MTEwNTM3MA%3D%3D&gt;
On Tue, Feb 17, 2026 at 11:56 AM Raymond Chau &lt;rchau@questrade.com&gt; wrote:
&gt; Hi John
&gt;
&gt; Let's wait until our next meeting as I will need to work with the network
&gt; team to sort out what's discuss</t>
  </si>
  <si>
    <t>19c6d0fb92caa1fc</t>
  </si>
  <si>
    <t>Thank you for accommodating!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John Davis &lt;john.davis@observepoint.com&gt;
Sent: Friday, February 13, 2026 1:05 PM
To: IALONGO, FRANCESCO S. &lt;FIALONGO@AMICA.COM&gt;
Subject: [EXTERNAL] Re</t>
  </si>
  <si>
    <t>19c6d0c767e1fb99</t>
  </si>
  <si>
    <t>Correct - we'd like to see a lower rate and keep the annual contract cost flat.
In addition, can you improve the discount if we roll the savings into increased capacity?
Thanks,
Grant
________________________________
From: Clarke Anderson &lt;clarke.anderson@observepoint.com&gt;
Sent: Tuesday, February 17, 2026 12:44 PM
To: Grant Menefee &lt;Grant.Menefee@worldmarket.com&gt;
Cc: John Davis &lt;john.davis@observepoint.com&gt;; Erin Hayes &lt;Erin.Hayes@worldmarket.com&gt;
Subject: Re: Contract Renewal
CA</t>
  </si>
  <si>
    <t>19c6d54092294187</t>
  </si>
  <si>
    <t xml:space="preserve">Got it.
Our pricing is structured so that as you scan more the associated rate
automatically decreases with the volumes. So, I'll honor the 3yr commitment
with a lowered per page rate at the current volumes (win-win there) --
Volumes stay the same with 10% applied per year. You'll see the list price
rise, but the extended (flat) cost stays the same. Essentially $33k of
scans for $30k/yr
As you increase scanning capacity (best practice given your initiatives
moving forward) I'll work </t>
  </si>
  <si>
    <t>19c6da560c540b99</t>
  </si>
  <si>
    <t>Adnan Jalil &lt;adnan.jalil@cdw.ca&gt;, Tola Sobitan &lt;tola.sobitan@cdw.com&gt;, Srilakshmi Miryala &lt;srilu.miryala@cdw.com&gt;, Muhammad Ali &lt;muhammad.ali@cdw.ca&gt;, Maryna Moskalenko &lt;maryna.moskalenko@cdw.ca&gt;, John Davis &lt;john.davis@observepoint.com&gt;</t>
  </si>
  <si>
    <t>cdw.ca, cdw.com, observepoint.com</t>
  </si>
  <si>
    <t>ObservePoint Complimenting OneTrust</t>
  </si>
  <si>
    <t xml:space="preserve">Hi CDW team,
I wanted to introduce you to John who is CDW account manager from ObservePoint. ObservePoint is a tool that we are using for monitoring analytics tags on CDW websites.
John asked me to connect him with the team that manages cookies privacy as he wants to share some of best practices for complimenting OneTrust with ObservePoint monitoring of cookies . There is nothing we need to buy, we are already paying for ObservePoint out of marketing budget and the same access and </t>
  </si>
  <si>
    <t>19c6db8d7d4f7c45</t>
  </si>
  <si>
    <t>Adnan Jalil &lt;adnan.jalil@cdw.ca&gt;, Tola Sobitan &lt;tola.sobitan@cdw.com&gt;, Srilakshmi Miryala &lt;srilu.miryala@cdw.com&gt;, Muhammad Ali &lt;muhammad.ali@cdw.ca&gt;, Maryna Moskalenko &lt;maryna.moskalenko@cdw.ca&gt;</t>
  </si>
  <si>
    <t>cdw.ca, cdw.com</t>
  </si>
  <si>
    <t>Re: ObservePoint Complimenting OneTrust</t>
  </si>
  <si>
    <t>Hey CDW Team,
Thanks Tatyana!
I would love to set up a time to meet you all and show how ObservePoint can
help with verifying your OneTrust implementation across all your sites. I
can show you how to get the most value out of a tool that you are already
paying for. You have room in your contracted rate for exactly this.
Here are some time slots that work for me in *Mountain Time*, feel free to
grab one that works for your team:
Meeting length: 30 Minutes
Time Zone: (GMT-7) MST/D</t>
  </si>
  <si>
    <t>19c710c530595387</t>
  </si>
  <si>
    <t>Thanks Clarke,
Could you send the updated proposal with the revised volumes? Also, can you confirm whether our max capacity and any overages continue to be based on an annual calculation?
Since we’re already at capacity on audit usage but not on journey volume, is it possible to apply the savings toward additional audit capacity?
Thanks,
Grant
________________________________
From: Clarke Anderson &lt;clarke.anderson@observepoint.com&gt;
Sent: Tuesday, February 17, 2026 2:38 PM
To: Gra</t>
  </si>
  <si>
    <t>19c71ad7a8a0b6ed</t>
  </si>
  <si>
    <t>For today.
I ran this audit:  20260218_RWJF_WebSDK Audit_NewRuleSet
Here are results:  https://app.observepoint.com/audit/2050080/run/8847113/report/rule-summary
Here’s the error.  It looks like I didn’t config tag correctly.
[cid:image001.png@01DCA0CD.71FAE480]
-----Original Appointment-----
From: John Davis &lt;john.davis@observepoint.com&gt;
Sent: Thursday, February 12, 2026 1:06 AM
To: John Davis; Hagerty, Philip
Cc: Andy Compas
Subject: ObservePoint | RWJF - Sync
When: Wednes</t>
  </si>
  <si>
    <t>19c71ce841be9b2f</t>
  </si>
  <si>
    <t>Tatyana Zachary &lt;tatyana.zachary@cdw.com&gt;, Audrey Bombeck-Massel &lt;audrbom@cdw.com&gt;</t>
  </si>
  <si>
    <t>Fwd: CDW Self Enrollment Journey</t>
  </si>
  <si>
    <t>Hey Tatyana,
This is one of the journeys that we talked about yesterday. It looks like 
my team was able to fix it as far as we can now. It seems like there are 
sometimes your email verification takes a long time and that would cause 
this journey to fail. 
*Regards, *
John Davis *   |    * *Customer Success Manager*
Cell: 801.633.6013
john.davis@observepoint.com
www.observepoint.com 
&lt;https://groove.grvlnk4.com/url/typa6byifukvbtijwod94/aHR0cDovL3d3dy5vYnNlcnZlcG9pbnQuY29tLyN</t>
  </si>
  <si>
    <t>19c6d7c7e85e046f</t>
  </si>
  <si>
    <t>19c71cc3c9844a82</t>
  </si>
  <si>
    <t xml:space="preserve">Hey Phil,
It looks like its actually should be the "Adobe Experience Platform (AEP):
Analytics" tag, rather than the "Adobe Experience Platform (AEP): Interact"
tag. I have updated the rule and reprocessed the audit and it seems like
its working now, except for the eVar2 check which isn't really setup yet so
thats expected. We can take some time to setup the eVar2 check and/or other
checks today.
[image: image.png]
[image: image.png]
*Regards, *
John Davis *   |    * *Customer </t>
  </si>
  <si>
    <t>19c71cf98b969026</t>
  </si>
  <si>
    <t>HAA  I did the same thing.  (so that’s progress right? 😉 )
Literally, I did the same thing.  Updated the tag.  Ran the audit again.  Found were failures were, and was doing some fist pumps when your email came in.
From: John Davis &lt;john.davis@observepoint.com&gt;
Sent: Wednesday, February 18, 2026 12:29 PM
To: Hagerty, Philip &lt;phagerty@rwjf.org&gt;
Subject: Re: ObservePoint | RWJF - Sync
Hey Phil,
It looks like its actually should be the "Adobe Experience Platform (AEP): Analytics" t</t>
  </si>
  <si>
    <t>19c71d7cf029830a</t>
  </si>
  <si>
    <t xml:space="preserve">Hey Tatyana,
This is one of the journeys that we talked about yesterday. It looks like
my team was able to fix it as far as we can now. It seems like there are
sometimes your email verification takes a long time and that would cause
this journey to fail. It also looks like there are rule failures on step 11
that you should probably look into on your side, here is a screenshot of
that:
[image: image.png]
See the latest response from Lucian below for a description of the changes
thay </t>
  </si>
  <si>
    <t>19c71da2209b8bd5</t>
  </si>
  <si>
    <t>Haha thats awesome, see you in about 15 mins!
*Regards, *
John Davis *   |    * *Customer Success Manager*
Cell: 801.633.6013
john.davis@observepoint.com
www.observepoint.com
&lt;https://us-3129.email-composer-webhooks.gong.io/email-tracking/clicked?email-info-token=eyJhbGciOiJIUzI1NiJ9.eyJjb21wYW55SWQiOiI4OTgyMjM2MTQxODc2Mjk3NzAiLCJkcmFmdElkIjoici0xMDk2MjgwODQ5Nzk3NTg2NzYyIiwibGlua1VybCI6Imh0dHBzOi8vZ3Jvb3ZlLmdydmxuazQuY29tL3VybC90eXBhNmJ5aWZ1a3ZidGlqd29kOTQvYUhSMGNEb3ZMM2QzZHk1dlluTmx</t>
  </si>
  <si>
    <t>19c71e28d1123d32</t>
  </si>
  <si>
    <t>Re: CDW Self Enrollment Journey</t>
  </si>
  <si>
    <t>Moving Audrey to BCC as she has new role in the company.
I will follow up on this with Sai from my team.
Thank you for your help!
Tatyana
From: John Davis &lt;john.davis@observepoint.com&gt;
Date: Wednesday, February 18, 2026 at 12:41 PM
To: Tatyana Zachary &lt;tatyana.zachary@cdw.com&gt;, Audrey Bombeck-Massel &lt;audrbom@cdw.com&gt;
Subject: Fwd: CDW Self Enrollment Journey
Hey Tatyana,
This is one of the journeys that we talked about yesterday. It looks like my team was able to fix it as far</t>
  </si>
  <si>
    <t>19c71e5510d3e738</t>
  </si>
  <si>
    <t>Ok good to know, what is Sai's email address? I can update the calendar
event to remove Audrey and add Sai moving forward.
*Regards, *
John Davis *   |    * *Customer Success Manager*
Cell: 801.633.6013
john.davis@observepoint.com
www.observepoint.com
&lt;https://us-3129.email-composer-webhooks.gong.io/email-tracking/clicked?email-info-token=eyJhbGciOiJIUzI1NiJ9.eyJjb21wYW55SWQiOiI4OTgyMjM2MTQxODc2Mjk3NzAiLCJkcmFmdElkIjoicjE3ODI2ODU5MDQ4MDU5MDk2NjgiLCJsaW5rVXJsIjoiaHR0cHM6Ly9ncm9vdmUuZ</t>
  </si>
  <si>
    <t>19c7256f0158a950</t>
  </si>
  <si>
    <t>Hi Dallin,
I was finally assigned as Relationship Manager in out tools and got the ball rolling
At this point I need from you MSA and Order Form
For the Order Form, should we narrow down some specifics based on your proposals first?
Thank you,
Francesco S Ialongo | Lead Adobe Analytics Administrator
Amica Mutual Insurance Company | Marketing, Communications &amp; Growth
50 Amica Way | Lincoln, RI | 02865-1155
Voice: 800-652-6422 ext. 22312 | Fax: 401-333-5349
fialongo@amica.com&lt;</t>
  </si>
  <si>
    <t>19c725d17110ba1d</t>
  </si>
  <si>
    <t>Hi Franc!
Here is the MSA. And yes, happy to jump on a call to discuss options for
this coming year. @John Davis &lt;john.davis@observepoint.com&gt; could I join
your call on Friday and steal some time to discuss?
Best,
Dallin Madsen *   |    * *Enterprise Account Executive*
801.850.3709
dallin.madsen@observepoint.com
Schedule a Meeting With Me!
&lt;https://us-3129.email-composer-webhooks.gong.io/email-tracking/clicked?email-info-token=eyJhbGciOiJIUzI1NiJ9.eyJjb21wYW55SWQiOiI4OTgyMjM2MTQ</t>
  </si>
  <si>
    <t>19c72709f38e0515</t>
  </si>
  <si>
    <t>Yes, already invited you Dallin. See you both Friday!
*Regards, *
John Davis *   |    * *Customer Success Manager*
Cell: 801.633.6013
john.davis@observepoint.com
www.observepoint.com
&lt;https://us-3129.email-composer-webhooks.gong.io/email-tracking/clicked?email-info-token=eyJhbGciOiJIUzI1NiJ9.eyJjb21wYW55SWQiOiI4OTgyMjM2MTQxODc2Mjk3NzAiLCJkcmFmdElkIjoicjQ2NzA0MzMzNTYxOTg4NDk0NzAiLCJsaW5rVXJsIjoiaHR0cHM6Ly9ncm9vdmUuZ3J2bG5rNC5jb20vdXJsL3R5cGE2YnlpZnVrdmJ0aWp3b2Q5NC9hSFIwY0RvdkwzZDNkeTV</t>
  </si>
  <si>
    <t>19c7283a8487fbe1</t>
  </si>
  <si>
    <t>John Davis &lt;john.davis@observepoint.com&gt;, Dallin Madsen &lt;dallin.madsen@observepoint.com&gt;</t>
  </si>
  <si>
    <t>Hi,
Should we setup separate time for the contract? Depending on how long the convo can take………. Let me know if you feel 20-30 mins is sufficient for contract talks
Asking because we will likely have some from Principal Dig App Support Spec for Alerts and Knockout Detection
Let me know if you feel 20-30 mins is sufficient for contract talks and we can then keep it this way. I can then reach out to the App Support folks and let them know (unless you want to John)
Thank you,
Frances</t>
  </si>
  <si>
    <t>19c7287a3f8517d6</t>
  </si>
  <si>
    <t>Ahhh if that's the case, lets leave that convo for that purpose then.
Could you talk Tuesday at 3pm ET?
Dallin Madsen *   |    * *Enterprise Account Executive*
801.850.3709
dallin.madsen@observepoint.com
Schedule a Meeting With Me!
&lt;https://us-3129.email-composer-webhooks.gong.io/email-tracking/clicked?email-info-token=eyJhbGciOiJIUzI1NiJ9.eyJjb21wYW55SWQiOiI4OTgyMjM2MTQxODc2Mjk3NzAiLCJkcmFmdElkIjoici01OTc5ODQ3MDU2MjE5Mzg3NTgyIiwibGlua1VybCI6Imh0dHBzOi8vb2JzZXJ2ZXBvaW50LmNoaWxpcGlwZX</t>
  </si>
  <si>
    <t>19c728cf0ab6b73b</t>
  </si>
  <si>
    <t>Ya I agree, lets do a separate meeting for that, thanks Dallin
*Regards, *
John Davis *   |    * *Customer Success Manager*
Cell: 801.633.6013
john.davis@observepoint.com
www.observepoint.com
&lt;https://us-3129.email-composer-webhooks.gong.io/email-tracking/clicked?email-info-token=eyJhbGciOiJIUzI1NiJ9.eyJjb21wYW55SWQiOiI4OTgyMjM2MTQxODc2Mjk3NzAiLCJkcmFmdElkIjoicjMyNjQ0ODQ1NTk3ODE4MDMzMTMiLCJsaW5rVXJsIjoiaHR0cHM6Ly9ncm9vdmUuZ3J2bG5rNC5jb20vdXJsL3R5cGE2YnlpZnVrdmJ0aWp3b2Q5NC9hSFIwY0Rvdk</t>
  </si>
  <si>
    <t>19c72b3d899432db</t>
  </si>
  <si>
    <t>Hi,
Thank you! Tuesday 24tha t 3pm would work&gt; I can also make some more time Friday, let me know.
Thank you!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Dallin Madsen &lt;dallin.madsen@observepoint.com&gt;
Sent: Wednesday, F</t>
  </si>
  <si>
    <t>19c72b5645e746ba</t>
  </si>
  <si>
    <t>Thanks again Dallin and John,
As mentioned to Dallin in the last reply I am available 1pm to 430pm EST this Friday (to be more precise, as in my last email I only generally mentioned availability)
To me the sooner the better. Thank you!
Francesco S Ialongo | Lead Adobe Analytics Administrator
Amica Mutual Insurance Company | Marketing, Communications &amp; Growth
50 Amica Way | Lincoln, RI | 02865-1155
Voice: 800-652-6422 ext. 22312 | Fax: 401-333-5349
fialongo@amica.com&lt;mailto:%20fia</t>
  </si>
  <si>
    <t>19c72b9377b33f4a</t>
  </si>
  <si>
    <t>Sounds good! If it's ok, lets shoot for Tuesday. I'm booked all morning and
then need to take off early on Friday.
Just sent an invite out.
Best!
Dallin Madsen *   |    * *Enterprise Account Executive*
801.850.3709
dallin.madsen@observepoint.com
Schedule a Meeting With Me!
&lt;https://us-3129.email-composer-webhooks.gong.io/email-tracking/clicked?email-info-token=eyJhbGciOiJIUzI1NiJ9.eyJjb21wYW55SWQiOiI4OTgyMjM2MTQxODc2Mjk3NzAiLCJkcmFmdElkIjoici0xMTMwMDcxNDMyODk4MzI0MzQzIiwibGlua1Vy</t>
  </si>
  <si>
    <t>19c72ba886603917</t>
  </si>
  <si>
    <t>Ok sounds good!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Dallin Madsen &lt;dallin.madsen@observepoint.com&gt;
Sent: Wednesday, February 18, 2026 4:48 PM
To: IALONGO, FRANCESCO S. &lt;FIALONGO@AMICA.COM&gt;
Cc: John Davis &lt;john.davis</t>
  </si>
  <si>
    <t>19c7308159f41fd6</t>
  </si>
  <si>
    <t>Full website scans</t>
  </si>
  <si>
    <t xml:space="preserve">Hi Tamara --
Touching base to see how we can assist with the comprehensive web scans
Ross plans on kicking off between now and April 30.
Let us know what questions come up -- we are happy to help.
Thanks,
Clarke Anderson *   |    * *Account Executive*
m: (818) 421-3713
clarke.anderson@observepoint.com
</t>
  </si>
  <si>
    <t>19c73ff79cbcd528</t>
  </si>
  <si>
    <t>Re: [EXTERNAL] GA &amp; Page Health Framework Drafts</t>
  </si>
  <si>
    <t>Charlotte,
Thanks. Lots of interaction to go.
I'll ping you when there is more added.
On Fri, Feb 13, 2026 at 1:49 PM Castillo, Charlotte &lt;
Charlotte.Castillo@devry.edu&gt; wrote:
&gt; Hi Dylan,
&gt;
&gt;
&gt;
&gt; Really excellent job so far on this. Many kudos! I love what you’re doing
&gt; here on the articles for GA Implementation Framework.
&gt;
&gt;
&gt;
&gt; Let me know if I can help in any way or if you need a guinea pig. I
&gt; believe we’re starting on our first rule set next week.
&gt;
&gt;
&gt;
&gt; Char</t>
  </si>
  <si>
    <t>19c76370f421a800</t>
  </si>
  <si>
    <t>Hi Dallin,
This is what our Lead Procurement replied, can you please look into this and the amendment she is referring to:
“The agreement you sent is the executed agreement.  We did an amendment last year to extend one year as the agreement does have two one year renewal options.  I can draft an amendment if ObservePoint isn’t going to provide one. The last amendment had the end date co-term with the order form (2/28/26).  Will the new order form’s end date be 2/28/27?  Let me know.”
Th</t>
  </si>
  <si>
    <t>19c769221f1e94d7</t>
  </si>
  <si>
    <t>Clarke Anderson &lt;clarke.anderson@observepoint.com&gt;, "Fe Valencia (MARKETING)" &lt;fe.valencia@ros.com&gt;</t>
  </si>
  <si>
    <t>RE: Full website scans</t>
  </si>
  <si>
    <t>Hi Clare,
We are going through the process and will reach out with any questions.
Thanks for checking in.
Tamara
Tamara Saban
Marketing Operations Manager | Ross Stores, Inc.
[A picture containing text, font, logo, graphics  Description automatically generated]
From: Clarke Anderson &lt;clarke.anderson@observepoint.com&gt;
Sent: Wednesday, February 18, 2026 3:13 PM
To: Tamara Saban (MARKETING) &lt;tamara.saban@ros.com&gt;
Cc: John Davis &lt;john.davis@observepoint.com&gt;
Subject: Full websit</t>
  </si>
  <si>
    <t>19c76af150ad4877</t>
  </si>
  <si>
    <t xml:space="preserve">
[image: ObservePoint Logo_Gray_ON_YEllow_LOGO.jpeg]
A friendly reminder that it's time to renew.
Hi Robert,
Thank you for being an ObservePoint customer!
This is an automated notification to let you know that the end of your 
current term is* April 20, 2026*.
We know approval and procurement processes can take time, and we want to 
avoid any interruption of service, hence we are reaching out now.
Please reach out to your account team if you have any questions, or if you 
anticipate any</t>
  </si>
  <si>
    <t>19c76fe3ebf4e214</t>
  </si>
  <si>
    <t>Mike Vance &lt;michael.vance@prudential.com&gt;, Nick Maxon &lt;nick.maxon@prudential.com&gt;, Lauren Tajar &lt;lauren.tajar@prudential.com&gt;, Neal Ronaghan &lt;neal.ronaghan@prudential.com&gt;, Caitlin Diaz &lt;caitlin.diaz@prudential.com&gt;, Baijnath Gupta &lt;baijnath.gupta@prudential.com&gt;, Joaquin Viramontes &lt;joaquin.viramontes@prudential.com&gt;, Raghunath Munugala &lt;raghunath.munugala@prudential.com&gt;, Chirag Patel &lt;chirag1.patel@prudential.com&gt;, Eileen Cuevas &lt;eileen.cuevas@prudential.com&gt;, Jenny Castri &lt;jennifer.castri@prudential.com&gt;, Paula McNerney &lt;paula.mcnerney@prudential.com&gt;, Rolando Rafanan &lt;rolando.rafanan@prudential.com&gt;, Sanjana Dodley &lt;sanjana.dodley@prudential.com&gt;, Narender Reddy Karka &lt;narender.reddy@prudential.com&gt;, Soojin Kim &lt;soojin.1.kim@prudential.com&gt;, Jessica Kantor &lt;jessica.kantor@prudential.com&gt;, Danish Hazari &lt;danish.hazari@pramerica.ie&gt;</t>
  </si>
  <si>
    <t>Hey Steve,
I apologize for the late reply. I was hoping we could discuss this in our
next call. Are you going to be able to come to our next scheduled meeting @
4:30 Eastern on Monday? Or do we need to reschedule? I am OOO Tuesday
through Friday next week unfortunately.
*Regards, *
John Davis *   |    * *Customer Success Manager*
Cell: 801.633.6013
john.davis@observepoint.com
www.observepoint.com
&lt;https://us-3129.email-composer-webhooks.gong.io/email-tracking/clicked?email-info</t>
  </si>
  <si>
    <t>19c7701acf5c940b</t>
  </si>
  <si>
    <t>Re:  ObservePoint | Seagate Monthly Sync</t>
  </si>
  <si>
    <t>Hi John,
I don't think we need to meet today - I haven't had bandwidth to take the actions we discussed in our last check in - I'll make sure to implement those before our next scheduled check in.
Thanks,
Dipendra
________________________________
From: John Davis
Sent: Thursday, January 8, 2026 12:05 PM
To: John Davis &lt;john.davis@observepoint.com&gt;; Dipendra Bagchee &lt;dipendra.m.bagchee@seagate.com&gt;
Subject: ObservePoint | Seagate Monthly Sync
When: Thursday, February 19, 2026 12:</t>
  </si>
  <si>
    <t>19c77039dbac868f</t>
  </si>
  <si>
    <t>Re: ObservePoint | Seagate Monthly Sync</t>
  </si>
  <si>
    <t xml:space="preserve">No worries,
*Regards, *
John Davis *   |    * *Customer Success Manager*
Cell: 801.633.6013
john.davis@observepoint.com
www.observepoint.com 
&lt;https://groove.grvlnk4.com/url/typa6byifukvbtijwod94/aHR0cDovL3d3dy5vYnNlcnZlcG9pbnQuY29tLyNncm9vdmVzdW06LTc2MTEwNTM3MA%3D%3D&gt;
On Thu, Feb 19, 2026 at 10:45 AM Dipendra Bagchee &lt;
dipendra.m.bagchee@seagate.com&gt; wrote:
&gt; Hi John,
&gt;
&gt; I don't think we need to meet today - I haven't had bandwidth to take the 
&gt; actions we discussed </t>
  </si>
  <si>
    <t>19c7704303b26524</t>
  </si>
  <si>
    <t>No worries, thanks for letting me know. I will just cancel todays meeting
and I'll see you on the next one, thanks!
*Regards, *
John Davis *   |    * *Customer Success Manager*
Cell: 801.633.6013
john.davis@observepoint.com
www.observepoint.com
&lt;https://us-3129.email-composer-webhooks.gong.io/email-tracking/clicked?email-info-token=eyJhbGciOiJIUzI1NiJ9.eyJjb21wYW55SWQiOiI4OTgyMjM2MTQxODc2Mjk3NzAiLCJkcmFmdElkIjoici0zMTg0NTE5NDg1NjE2NzIyMzA1IiwibGlua1VybCI6Imh0dHBzOi8vZ3Jvb3ZlLmdydmxu</t>
  </si>
  <si>
    <t>19c771554528885b</t>
  </si>
  <si>
    <t>Brad Weidner &lt;Brad.Weidner@brunswick.com&gt;, Aparna Kumar &lt;Aparna.Kumar@brunswick.com&gt;</t>
  </si>
  <si>
    <t>Privacy Audits</t>
  </si>
  <si>
    <t>Hey Brad and Aparna,
I am working with my engineering team on that bug we we encountered
yesterday with importing your consent categories and they are working on a
fix, but in the meantime they have a work around on their side to do the
imports for us ad hoc to keep you going. Can you send me a list of all your
domains where your OneTrust is implemented on its homepage?
*Regards, *
John Davis *   |    * *Customer Success Manager*
Cell: 801.633.6013
john.davis@observepoint.com
w</t>
  </si>
  <si>
    <t>19c771229a6fc220</t>
  </si>
  <si>
    <t>19c77331a8919905</t>
  </si>
  <si>
    <t>RE: Privacy Audits</t>
  </si>
  <si>
    <t>Hi John,
Thanks for your help! Please see attached.
This data is internal to Brunswick.
From: John Davis &lt;john.davis@observepoint.com&gt;
Sent: Thursday, February 19, 2026 12:07 PM
To: Brad Weidner &lt;Brad.Weidner@brunswick.com&gt;; Aparna Kumar &lt;Aparna.Kumar@brunswick.com&gt;
Subject: Privacy Audits
** CAUTION: External email, be careful with links and attachments. **
Hey Brad and Aparna,
I am working with my engineering team on that bug we we encountered yesterday with importing yo</t>
  </si>
  <si>
    <t>19c774bd40521270</t>
  </si>
  <si>
    <t>Re: Privacy Audits</t>
  </si>
  <si>
    <t xml:space="preserve">Did you just want to pull them using the California region for now? Or did
you want the categories from other regions for some of these?
*Regards, *
John Davis *   |    * *Customer Success Manager*
Cell: 801.633.6013
john.davis@observepoint.com
www.observepoint.com
&lt;https://groove.grvlnk4.com/url/typa6byifukvbtijwod94/aHR0cDovL3d3dy5vYnNlcnZlcG9pbnQuY29tLyNncm9vdmVzdW06LTc2MTEwNTM3MA%3D%3D&gt;
On Thu, Feb 19, 2026 at 11:39 AM Brad Weidner &lt;Brad.Weidner@brunswick.com&gt;
wrote:
</t>
  </si>
  <si>
    <t>19c774b98429ec11</t>
  </si>
  <si>
    <t>19c775f350d03a66</t>
  </si>
  <si>
    <t>They should be the same.
This data is internal to Brunswick.
From: John Davis &lt;john.davis@observepoint.com&gt;
Sent: Thursday, February 19, 2026 1:06 PM
To: Brad Weidner &lt;Brad.Weidner@brunswick.com&gt;
Cc: Aparna Kumar &lt;Aparna.Kumar@brunswick.com&gt;
Subject: Re: Privacy Audits
** CAUTION: External email, be careful with links and attachments. **
Did you just want to pull them using the California region for now? Or did you want the categories from other regions for some of these?
Re</t>
  </si>
  <si>
    <t>19c77df4b94bc59d</t>
  </si>
  <si>
    <t xml:space="preserve">Ok so my team is going to work on those, hopefully they will have them all 
done mid-next week. I had them do the mercurymarine.com now so you can 
actually see those results
*Regards, *
John Davis *   |    * *Customer Success Manager*
Cell: 801.633.6013
john.davis@observepoint.com
www.observepoint.com 
&lt;https://groove.grvlnk4.com/url/typa6byifukvbtijwod94/aHR0cDovL3d3dy5vYnNlcnZlcG9pbnQuY29tLyNncm9vdmVzdW06LTc2MTEwNTM3MA%3D%3D&gt;
On Thu, Feb 19, 2026 at 12:27 PM Brad Weidner </t>
  </si>
  <si>
    <t>19c77db6db5ee9fb</t>
  </si>
  <si>
    <t>Hey Grant,
Do you think we could reschedule our sync to 30 mins earlier tomorrow and
moving forward? I have something in my home life that has come up that is
creeping into our regular time slot and its going to be tough for me to be
on time to it and I don't want to cut our time together short.
If not, can I send you a list of other slots that can work for me.
Let me know, sorry for the trouble!
*Regards, *
John Davis *   |    * *Customer Success Manager*
Cell: 801.633.6013</t>
  </si>
  <si>
    <t>19c77d6129c3221c</t>
  </si>
  <si>
    <t>19c77d40ecb0d53a</t>
  </si>
  <si>
    <t>anthony.mcmahon@pmi.org, John Davis &lt;john.davis@observepoint.com&gt;</t>
  </si>
  <si>
    <t>Hey Tony, are you able to join our meeting now?
ObservePoint | Project Management Institute Sync
Thursday Feb 19, 2026 ⋅ 2:30pm – 3pm
Mountain Time - Denver
Join Zoom Meeting
https://observepoint.zoom.us/j/3628593272?pwd=OfxX2kwpsuA5labBaZXephHbiAXlz9.1&amp;omn=91683024651&amp;jst=2
Join by phone
(US) +1 877-853-5247
passcode: 183089
Joining instructions
https://www.google.com/url?q=https://applications.zoom.us/addon/invitation/detail?meetingUuid%3D%252Bv14ZQCERKuz3x7eEcrNIQ%253D%2</t>
  </si>
  <si>
    <t>19c77ed2d8ba39dc</t>
  </si>
  <si>
    <t>Ok so my team is going to work on those, hopefully they will have them all 
done mid-next week. I had them do the mercurymarine.com now so you can 
actually see those results. 
I then assigned the strictly necessary category to both of the opt out 
audits then assigned all the categories to the opt in audits and 
reprocessed them.
So now you can see what cookies are being stored and if they are approved 
or not, for example:
https://app.observepoint.com/audit/2050163/run/8848741/repo</t>
  </si>
  <si>
    <t>19c77ee18ac22ecb</t>
  </si>
  <si>
    <t>Ok so my team is going to work on those, hopefully they will have them all
done mid-next week. I had them do the mercurymarine.com now so you can
actually see those results.
I then assigned the strictly necessary category to both of the opt out
audits then assigned all the categories to the opt in audits and
reprocessed them.
So now you can see what cookies are being stored and if they are approved
or not, for example:
https://app.observepoint.com/audit/2050163/run/8848741/report/pri</t>
  </si>
  <si>
    <t>19c78023c1f31eb6</t>
  </si>
  <si>
    <t>Hey John,
We can discuss further in our weekly check in at 4:30 ET on Monday.
As mentioned below, this is the Operation Model for ObservePoint audits we are considering.
  1.  Bi-weekly "Tier 1" -  Top 300 pages by site traffic for previous 3 months (these pages probably won’t change much).
     *   Estimated volume = 26 bi-weekly scans * 300 top pages = 7,800 annually
  1.  Monthly "Tier 2" scan - Start on Prudential.com and randomly start crawling 1,000 pages starting from Pru</t>
  </si>
  <si>
    <t>19c78029cbc65812</t>
  </si>
  <si>
    <t>Thanks, John. I can see this journey, but it looks like this is not
completed yet, still doesnt have all the steps. I think we need to book
some time to go through this.
[image: image.png]
*Best RegardsSatpal Singh*
*Digital Analytics Implementation Specialist*
*E: ssingh60@woolworths.com.au &lt;zzhang4@woolworths.com.au&gt;M: 0498 468 130*
On Tue, 17 Feb 2026 at 13:16, John Davis &lt;john.davis@observepoint.com&gt;
wrote:
&gt; That's weird that you can't open the link, I checked the</t>
  </si>
  <si>
    <t>19c78078231aac61</t>
  </si>
  <si>
    <t>We are meeting today in about an hour and a half and discuss it then or we 
can schedule another time to chat about this if you wanted to spend our 
time today on something else?
*Regards, *
John Davis *   |    * *Customer Success Manager*
Cell: 801.633.6013
john.davis@observepoint.com
www.observepoint.com 
&lt;https://groove.grvlnk4.com/url/typa6byifukvbtijwod94/aHR0cDovL3d3dy5vYnNlcnZlcG9pbnQuY29tLyNncm9vdmVzdW06LTc2MTEwNTM3MA%3D%3D&gt;
On Thu, Feb 19, 2026 at 3:26 PM Satpal Sin</t>
  </si>
  <si>
    <t>19c780a7221a02dd</t>
  </si>
  <si>
    <t xml:space="preserve">We are meeting today in about an hour and a half and discuss it then or we
can schedule another time to chat about this if you wanted to spend our
time today on something else?
*Regards, *
John Davis *   |    * *Customer Success Manager*
Cell: 801.633.6013
john.davis@observepoint.com
www.observepoint.com
&lt;https://groove.grvlnk4.com/url/typa6byifukvbtijwod94/aHR0cDovL3d3dy5vYnNlcnZlcG9pbnQuY29tLyNncm9vdmVzdW06LTc2MTEwNTM3MA%3D%3D&gt;
On Thu, Feb 19, 2026 at 3:26 PM Satpal Singh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</si>
</sst>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numFmt numFmtId="165" formatCode="$#,##0.00"/>
    <numFmt numFmtId="166" formatCode="m/d/yyyy h:mm:ss"/>
    <numFmt numFmtId="167" formatCode="0&quot;%&quot;"/>
    <numFmt numFmtId="168" formatCode="yyyy-mm-dd hh:mm"/>
    <numFmt numFmtId="169" formatCode="yyyy-mm-dd hh:mm:ss"/>
  </numFmts>
  <fonts count="7">
    <font>
      <sz val="10.0"/>
      <color rgb="FF000000"/>
      <name val="Arial"/>
      <scheme val="minor"/>
    </font>
    <font>
      <b/>
      <color rgb="FFFFFFFF"/>
      <name val="Arial"/>
      <scheme val="minor"/>
    </font>
    <font>
      <color theme="1"/>
      <name val="Arial"/>
      <scheme val="minor"/>
    </font>
    <font>
      <u/>
      <color rgb="FF0000FF"/>
    </font>
    <font>
      <u/>
      <color rgb="FF0000FF"/>
    </font>
    <font>
      <b/>
      <color rgb="FF000000"/>
      <name val="Arial"/>
      <scheme val="minor"/>
    </font>
    <font>
      <u/>
      <color rgb="FF0000FF"/>
    </font>
  </fonts>
  <fills count="14">
    <fill>
      <patternFill patternType="none"/>
    </fill>
    <fill>
      <patternFill patternType="lightGray"/>
    </fill>
    <fill>
      <patternFill patternType="solid">
        <fgColor rgb="FF4285F4"/>
        <bgColor rgb="FF4285F4"/>
      </patternFill>
    </fill>
    <fill>
      <patternFill patternType="solid">
        <fgColor rgb="FFEA4335"/>
        <bgColor rgb="FFEA4335"/>
      </patternFill>
    </fill>
    <fill>
      <patternFill patternType="solid">
        <fgColor rgb="FF1A1A2E"/>
        <bgColor rgb="FF1A1A2E"/>
      </patternFill>
    </fill>
    <fill>
      <patternFill patternType="solid">
        <fgColor rgb="FF9900FF"/>
        <bgColor rgb="FF9900FF"/>
      </patternFill>
    </fill>
    <fill>
      <patternFill patternType="solid">
        <fgColor rgb="FFFCE8B2"/>
        <bgColor rgb="FFFCE8B2"/>
      </patternFill>
    </fill>
    <fill>
      <patternFill patternType="solid">
        <fgColor rgb="FFB7E1CD"/>
        <bgColor rgb="FFB7E1CD"/>
      </patternFill>
    </fill>
    <fill>
      <patternFill patternType="solid">
        <fgColor rgb="FFF4C7C3"/>
        <bgColor rgb="FFF4C7C3"/>
      </patternFill>
    </fill>
    <fill>
      <patternFill patternType="solid">
        <fgColor rgb="FFF4B400"/>
        <bgColor rgb="FFF4B400"/>
      </patternFill>
    </fill>
    <fill>
      <patternFill patternType="solid">
        <fgColor rgb="FF34A853"/>
        <bgColor rgb="FF34A853"/>
      </patternFill>
    </fill>
    <fill>
      <patternFill patternType="solid">
        <fgColor rgb="FF1A73E8"/>
        <bgColor rgb="FF1A73E8"/>
      </patternFill>
    </fill>
    <fill>
      <patternFill patternType="solid">
        <fgColor rgb="FFFBBC04"/>
        <bgColor rgb="FFFBBC04"/>
      </patternFill>
    </fill>
    <fill>
      <patternFill patternType="solid">
        <fgColor rgb="FF4078C0"/>
        <bgColor rgb="FF4078C0"/>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Font="1"/>
    <xf borderId="0" fillId="0" fontId="2" numFmtId="0" xfId="0" applyAlignment="1" applyFont="1">
      <alignment readingOrder="0"/>
    </xf>
    <xf borderId="0" fillId="0" fontId="2" numFmtId="14" xfId="0" applyAlignment="1" applyFont="1" applyNumberFormat="1">
      <alignment readingOrder="0"/>
    </xf>
    <xf borderId="0" fillId="0" fontId="3" numFmtId="0" xfId="0" applyFont="1"/>
    <xf borderId="0" fillId="0" fontId="2" numFmtId="164" xfId="0" applyAlignment="1" applyFont="1" applyNumberFormat="1">
      <alignment readingOrder="0"/>
    </xf>
    <xf quotePrefix="1" borderId="0" fillId="0" fontId="2" numFmtId="0" xfId="0" applyAlignment="1" applyFont="1">
      <alignment readingOrder="0"/>
    </xf>
    <xf borderId="0" fillId="0" fontId="2" numFmtId="165" xfId="0" applyAlignment="1" applyFont="1" applyNumberFormat="1">
      <alignment readingOrder="0"/>
    </xf>
    <xf borderId="0" fillId="0" fontId="2" numFmtId="10" xfId="0" applyAlignment="1" applyFont="1" applyNumberFormat="1">
      <alignment readingOrder="0"/>
    </xf>
    <xf borderId="0" fillId="0" fontId="2" numFmtId="10" xfId="0" applyFont="1" applyNumberFormat="1"/>
    <xf borderId="0" fillId="0" fontId="2" numFmtId="165" xfId="0" applyFont="1" applyNumberFormat="1"/>
    <xf borderId="0" fillId="0" fontId="2" numFmtId="164" xfId="0" applyFont="1" applyNumberFormat="1"/>
    <xf borderId="0" fillId="3" fontId="1" numFmtId="0" xfId="0" applyAlignment="1" applyFill="1" applyFont="1">
      <alignment readingOrder="0"/>
    </xf>
    <xf borderId="0" fillId="4" fontId="1" numFmtId="0" xfId="0" applyAlignment="1" applyFill="1" applyFont="1">
      <alignment readingOrder="0"/>
    </xf>
    <xf borderId="0" fillId="0" fontId="2" numFmtId="166" xfId="0" applyAlignment="1" applyFont="1" applyNumberFormat="1">
      <alignment readingOrder="0"/>
    </xf>
    <xf borderId="0" fillId="5" fontId="1" numFmtId="0" xfId="0" applyAlignment="1" applyFill="1" applyFont="1">
      <alignment readingOrder="0"/>
    </xf>
    <xf borderId="0" fillId="0" fontId="2" numFmtId="14" xfId="0" applyFont="1" applyNumberFormat="1"/>
    <xf borderId="0" fillId="6" fontId="2" numFmtId="1" xfId="0" applyAlignment="1" applyFill="1" applyFont="1" applyNumberForma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167" xfId="0" applyAlignment="1" applyFont="1" applyNumberFormat="1">
      <alignment readingOrder="0"/>
    </xf>
    <xf borderId="0" fillId="0" fontId="2" numFmtId="164" xfId="0" applyFont="1" applyNumberFormat="1"/>
    <xf borderId="0" fillId="7" fontId="2" numFmtId="1" xfId="0" applyAlignment="1" applyFill="1" applyFont="1" applyNumberFormat="1">
      <alignment readingOrder="0"/>
    </xf>
    <xf borderId="0" fillId="8" fontId="2" numFmtId="1" xfId="0" applyAlignment="1" applyFill="1" applyFont="1" applyNumberFormat="1">
      <alignment readingOrder="0"/>
    </xf>
    <xf borderId="0" fillId="0" fontId="4" numFmtId="0" xfId="0" applyAlignment="1" applyFont="1">
      <alignment readingOrder="0"/>
    </xf>
    <xf borderId="0" fillId="9" fontId="1" numFmtId="0" xfId="0" applyAlignment="1" applyFill="1" applyFont="1">
      <alignment readingOrder="0"/>
    </xf>
    <xf borderId="0" fillId="0" fontId="2" numFmtId="0" xfId="0" applyFont="1"/>
    <xf borderId="0" fillId="10" fontId="1" numFmtId="0" xfId="0" applyAlignment="1" applyFill="1" applyFont="1">
      <alignment readingOrder="0"/>
    </xf>
    <xf borderId="0" fillId="0" fontId="2" numFmtId="168" xfId="0" applyAlignment="1" applyFont="1" applyNumberFormat="1">
      <alignment readingOrder="0"/>
    </xf>
    <xf borderId="0" fillId="0" fontId="2" numFmtId="2" xfId="0" applyAlignment="1" applyFont="1" applyNumberFormat="1">
      <alignment readingOrder="0"/>
    </xf>
    <xf borderId="0" fillId="0" fontId="2" numFmtId="168" xfId="0" applyFont="1" applyNumberFormat="1"/>
    <xf borderId="0" fillId="0" fontId="2" numFmtId="2" xfId="0" applyFont="1" applyNumberFormat="1"/>
    <xf borderId="0" fillId="11" fontId="1" numFmtId="0" xfId="0" applyAlignment="1" applyFill="1" applyFont="1">
      <alignment readingOrder="0"/>
    </xf>
    <xf borderId="0" fillId="0" fontId="2" numFmtId="0" xfId="0" applyAlignment="1" applyFont="1">
      <alignment shrinkToFit="0" wrapText="1"/>
    </xf>
    <xf borderId="0" fillId="0" fontId="2" numFmtId="0" xfId="0" applyAlignment="1" applyFont="1">
      <alignment readingOrder="0" shrinkToFit="0" wrapText="1"/>
    </xf>
    <xf borderId="0" fillId="12" fontId="5" numFmtId="0" xfId="0" applyAlignment="1" applyFill="1" applyFont="1">
      <alignment readingOrder="0"/>
    </xf>
    <xf borderId="0" fillId="13" fontId="1" numFmtId="0" xfId="0" applyAlignment="1" applyFill="1" applyFont="1">
      <alignment readingOrder="0"/>
    </xf>
    <xf borderId="0" fillId="3" fontId="1" numFmtId="0" xfId="0" applyAlignment="1" applyFont="1">
      <alignment readingOrder="0" shrinkToFit="0" wrapText="1"/>
    </xf>
    <xf borderId="0" fillId="0" fontId="2" numFmtId="169" xfId="0" applyAlignment="1" applyFont="1" applyNumberFormat="1">
      <alignment readingOrder="0" shrinkToFit="0" wrapText="1"/>
    </xf>
    <xf borderId="0" fillId="0" fontId="6" numFmtId="0" xfId="0" applyAlignment="1" applyFont="1">
      <alignment readingOrder="0" shrinkToFit="0" wrapText="1"/>
    </xf>
    <xf quotePrefix="1"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2020-ren-jet2.com" TargetMode="External"/><Relationship Id="rId2" Type="http://schemas.openxmlformats.org/officeDocument/2006/relationships/hyperlink" Target="http://2022-ren-jet2.com" TargetMode="External"/><Relationship Id="rId3" Type="http://schemas.openxmlformats.org/officeDocument/2006/relationships/hyperlink" Target="http://2022-ren-realtor.com" TargetMode="External"/><Relationship Id="rId4" Type="http://schemas.openxmlformats.org/officeDocument/2006/relationships/hyperlink" Target="http://2021-ren-realtor.com" TargetMode="External"/><Relationship Id="rId5" Type="http://schemas.openxmlformats.org/officeDocument/2006/relationships/hyperlink" Target="http://verizon.com" TargetMode="External"/><Relationship Id="rId6" Type="http://schemas.openxmlformats.org/officeDocument/2006/relationships/hyperlink" Target="http://2020-ren-moo.com"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booking.com"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drawing" Target="../drawings/drawing8.xml"/><Relationship Id="rId20" Type="http://schemas.openxmlformats.org/officeDocument/2006/relationships/hyperlink" Target="http://accenture.com" TargetMode="External"/><Relationship Id="rId41" Type="http://schemas.openxmlformats.org/officeDocument/2006/relationships/vmlDrawing" Target="../drawings/vmlDrawing1.vml"/><Relationship Id="rId22" Type="http://schemas.openxmlformats.org/officeDocument/2006/relationships/hyperlink" Target="http://lumen.com" TargetMode="External"/><Relationship Id="rId21" Type="http://schemas.openxmlformats.org/officeDocument/2006/relationships/hyperlink" Target="http://khov.com" TargetMode="External"/><Relationship Id="rId24" Type="http://schemas.openxmlformats.org/officeDocument/2006/relationships/hyperlink" Target="http://mediacorp.com.sg" TargetMode="External"/><Relationship Id="rId23" Type="http://schemas.openxmlformats.org/officeDocument/2006/relationships/hyperlink" Target="http://mms.org" TargetMode="External"/><Relationship Id="rId1" Type="http://schemas.openxmlformats.org/officeDocument/2006/relationships/comments" Target="../comments1.xml"/><Relationship Id="rId2" Type="http://schemas.openxmlformats.org/officeDocument/2006/relationships/hyperlink" Target="http://accentgr.com.au" TargetMode="External"/><Relationship Id="rId3" Type="http://schemas.openxmlformats.org/officeDocument/2006/relationships/hyperlink" Target="http://agilent.com" TargetMode="External"/><Relationship Id="rId4" Type="http://schemas.openxmlformats.org/officeDocument/2006/relationships/hyperlink" Target="http://amica.com" TargetMode="External"/><Relationship Id="rId9" Type="http://schemas.openxmlformats.org/officeDocument/2006/relationships/hyperlink" Target="http://brunswick.com" TargetMode="External"/><Relationship Id="rId26" Type="http://schemas.openxmlformats.org/officeDocument/2006/relationships/hyperlink" Target="http://officeworks.com.au" TargetMode="External"/><Relationship Id="rId25" Type="http://schemas.openxmlformats.org/officeDocument/2006/relationships/hyperlink" Target="http://mongodb.com" TargetMode="External"/><Relationship Id="rId28" Type="http://schemas.openxmlformats.org/officeDocument/2006/relationships/hyperlink" Target="http://questrade.com" TargetMode="External"/><Relationship Id="rId27" Type="http://schemas.openxmlformats.org/officeDocument/2006/relationships/hyperlink" Target="http://pmi.org" TargetMode="External"/><Relationship Id="rId5" Type="http://schemas.openxmlformats.org/officeDocument/2006/relationships/hyperlink" Target="http://athenahealth.com" TargetMode="External"/><Relationship Id="rId6" Type="http://schemas.openxmlformats.org/officeDocument/2006/relationships/hyperlink" Target="http://biogen.com" TargetMode="External"/><Relationship Id="rId29" Type="http://schemas.openxmlformats.org/officeDocument/2006/relationships/hyperlink" Target="http://rdoffutt.com" TargetMode="External"/><Relationship Id="rId7" Type="http://schemas.openxmlformats.org/officeDocument/2006/relationships/hyperlink" Target="http://bluebeam.com" TargetMode="External"/><Relationship Id="rId8" Type="http://schemas.openxmlformats.org/officeDocument/2006/relationships/hyperlink" Target="http://bsci.com" TargetMode="External"/><Relationship Id="rId31" Type="http://schemas.openxmlformats.org/officeDocument/2006/relationships/hyperlink" Target="http://ros.com" TargetMode="External"/><Relationship Id="rId30" Type="http://schemas.openxmlformats.org/officeDocument/2006/relationships/hyperlink" Target="http://rwjf.org" TargetMode="External"/><Relationship Id="rId11" Type="http://schemas.openxmlformats.org/officeDocument/2006/relationships/hyperlink" Target="http://caleres.com" TargetMode="External"/><Relationship Id="rId33" Type="http://schemas.openxmlformats.org/officeDocument/2006/relationships/hyperlink" Target="http://spark.co.nz" TargetMode="External"/><Relationship Id="rId10" Type="http://schemas.openxmlformats.org/officeDocument/2006/relationships/hyperlink" Target="http://caesars.com" TargetMode="External"/><Relationship Id="rId32" Type="http://schemas.openxmlformats.org/officeDocument/2006/relationships/hyperlink" Target="http://seagate.com" TargetMode="External"/><Relationship Id="rId13" Type="http://schemas.openxmlformats.org/officeDocument/2006/relationships/hyperlink" Target="http://worldmarket.com" TargetMode="External"/><Relationship Id="rId35" Type="http://schemas.openxmlformats.org/officeDocument/2006/relationships/hyperlink" Target="http://verisign.com" TargetMode="External"/><Relationship Id="rId12" Type="http://schemas.openxmlformats.org/officeDocument/2006/relationships/hyperlink" Target="http://cdw.com" TargetMode="External"/><Relationship Id="rId34" Type="http://schemas.openxmlformats.org/officeDocument/2006/relationships/hyperlink" Target="http://tyson.com" TargetMode="External"/><Relationship Id="rId15" Type="http://schemas.openxmlformats.org/officeDocument/2006/relationships/hyperlink" Target="http://crowdstrike.com" TargetMode="External"/><Relationship Id="rId37" Type="http://schemas.openxmlformats.org/officeDocument/2006/relationships/hyperlink" Target="http://woolworths.com.au" TargetMode="External"/><Relationship Id="rId14" Type="http://schemas.openxmlformats.org/officeDocument/2006/relationships/hyperlink" Target="http://cotiviti.com" TargetMode="External"/><Relationship Id="rId36" Type="http://schemas.openxmlformats.org/officeDocument/2006/relationships/hyperlink" Target="http://westjet.com" TargetMode="External"/><Relationship Id="rId17" Type="http://schemas.openxmlformats.org/officeDocument/2006/relationships/hyperlink" Target="http://darden.com" TargetMode="External"/><Relationship Id="rId39" Type="http://schemas.openxmlformats.org/officeDocument/2006/relationships/hyperlink" Target="http://ziffdavis.com" TargetMode="External"/><Relationship Id="rId16" Type="http://schemas.openxmlformats.org/officeDocument/2006/relationships/hyperlink" Target="http://cvshealth.com" TargetMode="External"/><Relationship Id="rId38" Type="http://schemas.openxmlformats.org/officeDocument/2006/relationships/hyperlink" Target="http://zenfolioinc.com" TargetMode="External"/><Relationship Id="rId19" Type="http://schemas.openxmlformats.org/officeDocument/2006/relationships/hyperlink" Target="http://commonspirit.org" TargetMode="External"/><Relationship Id="rId18" Type="http://schemas.openxmlformats.org/officeDocument/2006/relationships/hyperlink" Target="http://devry.edu"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0" Type="http://schemas.openxmlformats.org/officeDocument/2006/relationships/hyperlink" Target="https://docs.google.com/document/d/1bYxlKu9l23n9zIPRp5Wsp1Ap4hmbvLgeHB1NxkjtZK4/edit" TargetMode="External"/><Relationship Id="rId22" Type="http://schemas.openxmlformats.org/officeDocument/2006/relationships/drawing" Target="../drawings/drawing10.xml"/><Relationship Id="rId21" Type="http://schemas.openxmlformats.org/officeDocument/2006/relationships/hyperlink" Target="https://docs.google.com/document/d/1bYxlKu9l23n9zIPRp5Wsp1Ap4hmbvLgeHB1NxkjtZK4/edit" TargetMode="External"/><Relationship Id="rId1" Type="http://schemas.openxmlformats.org/officeDocument/2006/relationships/hyperlink" Target="https://observepoint.zoom.us/j/92849939183" TargetMode="External"/><Relationship Id="rId2" Type="http://schemas.openxmlformats.org/officeDocument/2006/relationships/hyperlink" Target="https://observepoint.zoom.us/j/3133456073?omn=98925617537&amp;jst=3" TargetMode="External"/><Relationship Id="rId3" Type="http://schemas.openxmlformats.org/officeDocument/2006/relationships/hyperlink" Target="https://observepoint.zoom.us/j/7387828030?pwd=WmdZQ24vM2htQmYydU56OFBidkU3Zz09" TargetMode="External"/><Relationship Id="rId4" Type="http://schemas.openxmlformats.org/officeDocument/2006/relationships/hyperlink" Target="https://www.google.com/url?q=https://teams.microsoft.com/l/meetup-join/19%253ameeting_ZjRkMzM1MjItZGNjOS00MWFhLWJlNjQtMjc4ZTJmOWM2NjJj%2540thread.v2/0?context%3D%257b%2522Tid%2522%253a%2522d8fde2f5-9392-4260-8a03-0ad01f4746e9%2522%252c%2522Oid%2522%253a%25224cf02d10-78dd-48bc-8462-dd3691fbdcba%2522%257d&amp;sa=D&amp;source=calendar&amp;ust=1765285820775070&amp;usg=AOvVaw3V0plEwdclZlUpwH8CYzX8" TargetMode="External"/><Relationship Id="rId9" Type="http://schemas.openxmlformats.org/officeDocument/2006/relationships/hyperlink" Target="https://observepoint.zoom.us/j/99974375314" TargetMode="External"/><Relationship Id="rId5" Type="http://schemas.openxmlformats.org/officeDocument/2006/relationships/hyperlink" Target="https://observepoint.zoom.us/j/3133456073?omn=97007834233&amp;jst=3" TargetMode="External"/><Relationship Id="rId6" Type="http://schemas.openxmlformats.org/officeDocument/2006/relationships/hyperlink" Target="https://observepoint.zoom.us/j/91033742956" TargetMode="External"/><Relationship Id="rId7" Type="http://schemas.openxmlformats.org/officeDocument/2006/relationships/hyperlink" Target="https://observepoint.zoom.us/j/93362340646" TargetMode="External"/><Relationship Id="rId8" Type="http://schemas.openxmlformats.org/officeDocument/2006/relationships/hyperlink" Target="https://observepoint.zoom.us/j/99401680681" TargetMode="External"/><Relationship Id="rId11" Type="http://schemas.openxmlformats.org/officeDocument/2006/relationships/hyperlink" Target="https://docs.google.com/document/d/1bYxlKu9l23n9zIPRp5Wsp1Ap4hmbvLgeHB1NxkjtZK4/edit" TargetMode="External"/><Relationship Id="rId10" Type="http://schemas.openxmlformats.org/officeDocument/2006/relationships/hyperlink" Target="https://docs.google.com/document/d/1bYxlKu9l23n9zIPRp5Wsp1Ap4hmbvLgeHB1NxkjtZK4/edit" TargetMode="External"/><Relationship Id="rId13" Type="http://schemas.openxmlformats.org/officeDocument/2006/relationships/hyperlink" Target="https://docs.google.com/document/d/1bYxlKu9l23n9zIPRp5Wsp1Ap4hmbvLgeHB1NxkjtZK4/edit" TargetMode="External"/><Relationship Id="rId12" Type="http://schemas.openxmlformats.org/officeDocument/2006/relationships/hyperlink" Target="https://docs.google.com/document/d/1bYxlKu9l23n9zIPRp5Wsp1Ap4hmbvLgeHB1NxkjtZK4/edit" TargetMode="External"/><Relationship Id="rId15" Type="http://schemas.openxmlformats.org/officeDocument/2006/relationships/hyperlink" Target="https://docs.google.com/document/d/1bYxlKu9l23n9zIPRp5Wsp1Ap4hmbvLgeHB1NxkjtZK4/edit" TargetMode="External"/><Relationship Id="rId14" Type="http://schemas.openxmlformats.org/officeDocument/2006/relationships/hyperlink" Target="https://docs.google.com/document/d/1bYxlKu9l23n9zIPRp5Wsp1Ap4hmbvLgeHB1NxkjtZK4/edit" TargetMode="External"/><Relationship Id="rId17" Type="http://schemas.openxmlformats.org/officeDocument/2006/relationships/hyperlink" Target="https://docs.google.com/document/d/1bYxlKu9l23n9zIPRp5Wsp1Ap4hmbvLgeHB1NxkjtZK4/edit" TargetMode="External"/><Relationship Id="rId16" Type="http://schemas.openxmlformats.org/officeDocument/2006/relationships/hyperlink" Target="https://docs.google.com/document/d/1bYxlKu9l23n9zIPRp5Wsp1Ap4hmbvLgeHB1NxkjtZK4/edit" TargetMode="External"/><Relationship Id="rId19" Type="http://schemas.openxmlformats.org/officeDocument/2006/relationships/hyperlink" Target="https://docs.google.com/document/d/1bYxlKu9l23n9zIPRp5Wsp1Ap4hmbvLgeHB1NxkjtZK4/edit" TargetMode="External"/><Relationship Id="rId18" Type="http://schemas.openxmlformats.org/officeDocument/2006/relationships/hyperlink" Target="https://docs.google.com/document/d/1bYxlKu9l23n9zIPRp5Wsp1Ap4hmbvLgeHB1NxkjtZK4/edit"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cvshealth.com" TargetMode="External"/><Relationship Id="rId20" Type="http://schemas.openxmlformats.org/officeDocument/2006/relationships/hyperlink" Target="http://cvshealth.com" TargetMode="External"/><Relationship Id="rId42" Type="http://schemas.openxmlformats.org/officeDocument/2006/relationships/drawing" Target="../drawings/drawing11.xml"/><Relationship Id="rId41" Type="http://schemas.openxmlformats.org/officeDocument/2006/relationships/hyperlink" Target="http://darden.com" TargetMode="External"/><Relationship Id="rId22" Type="http://schemas.openxmlformats.org/officeDocument/2006/relationships/hyperlink" Target="http://contractor.optavia.com" TargetMode="External"/><Relationship Id="rId21" Type="http://schemas.openxmlformats.org/officeDocument/2006/relationships/hyperlink" Target="http://cotiviti.com" TargetMode="External"/><Relationship Id="rId24" Type="http://schemas.openxmlformats.org/officeDocument/2006/relationships/hyperlink" Target="http://lumen.com" TargetMode="External"/><Relationship Id="rId23" Type="http://schemas.openxmlformats.org/officeDocument/2006/relationships/hyperlink" Target="http://cvshealth.com" TargetMode="External"/><Relationship Id="rId1" Type="http://schemas.openxmlformats.org/officeDocument/2006/relationships/hyperlink" Target="http://rwjf.org" TargetMode="External"/><Relationship Id="rId2" Type="http://schemas.openxmlformats.org/officeDocument/2006/relationships/hyperlink" Target="http://rwjf.org" TargetMode="External"/><Relationship Id="rId3" Type="http://schemas.openxmlformats.org/officeDocument/2006/relationships/hyperlink" Target="http://amica.com" TargetMode="External"/><Relationship Id="rId4" Type="http://schemas.openxmlformats.org/officeDocument/2006/relationships/hyperlink" Target="http://agilent.com" TargetMode="External"/><Relationship Id="rId9" Type="http://schemas.openxmlformats.org/officeDocument/2006/relationships/hyperlink" Target="http://agilent.com" TargetMode="External"/><Relationship Id="rId26" Type="http://schemas.openxmlformats.org/officeDocument/2006/relationships/hyperlink" Target="http://rwjf.org" TargetMode="External"/><Relationship Id="rId25" Type="http://schemas.openxmlformats.org/officeDocument/2006/relationships/hyperlink" Target="http://seagate.com" TargetMode="External"/><Relationship Id="rId28" Type="http://schemas.openxmlformats.org/officeDocument/2006/relationships/hyperlink" Target="http://worldmarket.com" TargetMode="External"/><Relationship Id="rId27" Type="http://schemas.openxmlformats.org/officeDocument/2006/relationships/hyperlink" Target="http://cotiviti.com" TargetMode="External"/><Relationship Id="rId5" Type="http://schemas.openxmlformats.org/officeDocument/2006/relationships/hyperlink" Target="http://verisign.com" TargetMode="External"/><Relationship Id="rId6" Type="http://schemas.openxmlformats.org/officeDocument/2006/relationships/hyperlink" Target="http://officeworks.com.au" TargetMode="External"/><Relationship Id="rId29" Type="http://schemas.openxmlformats.org/officeDocument/2006/relationships/hyperlink" Target="http://mongodb.com" TargetMode="External"/><Relationship Id="rId7" Type="http://schemas.openxmlformats.org/officeDocument/2006/relationships/hyperlink" Target="http://amica.com" TargetMode="External"/><Relationship Id="rId8" Type="http://schemas.openxmlformats.org/officeDocument/2006/relationships/hyperlink" Target="http://prudential.com" TargetMode="External"/><Relationship Id="rId31" Type="http://schemas.openxmlformats.org/officeDocument/2006/relationships/hyperlink" Target="http://devry.edu" TargetMode="External"/><Relationship Id="rId30" Type="http://schemas.openxmlformats.org/officeDocument/2006/relationships/hyperlink" Target="http://amica.com" TargetMode="External"/><Relationship Id="rId11" Type="http://schemas.openxmlformats.org/officeDocument/2006/relationships/hyperlink" Target="http://brunswick.com" TargetMode="External"/><Relationship Id="rId33" Type="http://schemas.openxmlformats.org/officeDocument/2006/relationships/hyperlink" Target="http://ziffdavis.com" TargetMode="External"/><Relationship Id="rId10" Type="http://schemas.openxmlformats.org/officeDocument/2006/relationships/hyperlink" Target="http://prudential.com" TargetMode="External"/><Relationship Id="rId32" Type="http://schemas.openxmlformats.org/officeDocument/2006/relationships/hyperlink" Target="http://rwjf.org" TargetMode="External"/><Relationship Id="rId13" Type="http://schemas.openxmlformats.org/officeDocument/2006/relationships/hyperlink" Target="http://commonspirit.org" TargetMode="External"/><Relationship Id="rId35" Type="http://schemas.openxmlformats.org/officeDocument/2006/relationships/hyperlink" Target="http://accentgr.com.au" TargetMode="External"/><Relationship Id="rId12" Type="http://schemas.openxmlformats.org/officeDocument/2006/relationships/hyperlink" Target="http://cdw.com" TargetMode="External"/><Relationship Id="rId34" Type="http://schemas.openxmlformats.org/officeDocument/2006/relationships/hyperlink" Target="http://devry.edu" TargetMode="External"/><Relationship Id="rId15" Type="http://schemas.openxmlformats.org/officeDocument/2006/relationships/hyperlink" Target="http://lumen.com" TargetMode="External"/><Relationship Id="rId37" Type="http://schemas.openxmlformats.org/officeDocument/2006/relationships/hyperlink" Target="http://rwjf.org" TargetMode="External"/><Relationship Id="rId14" Type="http://schemas.openxmlformats.org/officeDocument/2006/relationships/hyperlink" Target="http://setoyota.com" TargetMode="External"/><Relationship Id="rId36" Type="http://schemas.openxmlformats.org/officeDocument/2006/relationships/hyperlink" Target="http://cdw.com" TargetMode="External"/><Relationship Id="rId17" Type="http://schemas.openxmlformats.org/officeDocument/2006/relationships/hyperlink" Target="http://questrade.com" TargetMode="External"/><Relationship Id="rId39" Type="http://schemas.openxmlformats.org/officeDocument/2006/relationships/hyperlink" Target="http://lumen.com" TargetMode="External"/><Relationship Id="rId16" Type="http://schemas.openxmlformats.org/officeDocument/2006/relationships/hyperlink" Target="http://mongodb.com" TargetMode="External"/><Relationship Id="rId38" Type="http://schemas.openxmlformats.org/officeDocument/2006/relationships/hyperlink" Target="http://brunswick.com" TargetMode="External"/><Relationship Id="rId19" Type="http://schemas.openxmlformats.org/officeDocument/2006/relationships/hyperlink" Target="http://westjet.com" TargetMode="External"/><Relationship Id="rId18" Type="http://schemas.openxmlformats.org/officeDocument/2006/relationships/hyperlink" Target="http://contractor.optavia.com"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40" Type="http://schemas.openxmlformats.org/officeDocument/2006/relationships/hyperlink" Target="https://github.com/johndavis92790/OP-Tasklist/issues/9" TargetMode="External"/><Relationship Id="rId42" Type="http://schemas.openxmlformats.org/officeDocument/2006/relationships/hyperlink" Target="https://github.com/johndavis92790/OP-Tasklist/issues/1760" TargetMode="External"/><Relationship Id="rId41" Type="http://schemas.openxmlformats.org/officeDocument/2006/relationships/hyperlink" Target="https://github.com/johndavis92790/OP-Tasklist/issues/143" TargetMode="External"/><Relationship Id="rId44" Type="http://schemas.openxmlformats.org/officeDocument/2006/relationships/hyperlink" Target="https://github.com/johndavis92790/OP-Tasklist/issues/32" TargetMode="External"/><Relationship Id="rId43" Type="http://schemas.openxmlformats.org/officeDocument/2006/relationships/hyperlink" Target="https://github.com/johndavis92790/OP-Tasklist/issues/43" TargetMode="External"/><Relationship Id="rId46" Type="http://schemas.openxmlformats.org/officeDocument/2006/relationships/hyperlink" Target="https://github.com/johndavis92790/OP-Tasklist/issues/34" TargetMode="External"/><Relationship Id="rId45" Type="http://schemas.openxmlformats.org/officeDocument/2006/relationships/hyperlink" Target="https://github.com/johndavis92790/OP-Tasklist/issues/15" TargetMode="External"/><Relationship Id="rId48" Type="http://schemas.openxmlformats.org/officeDocument/2006/relationships/hyperlink" Target="https://github.com/johndavis92790/OP-Tasklist/issues/24" TargetMode="External"/><Relationship Id="rId47" Type="http://schemas.openxmlformats.org/officeDocument/2006/relationships/hyperlink" Target="https://github.com/johndavis92790/OP-Tasklist/issues/11" TargetMode="External"/><Relationship Id="rId49" Type="http://schemas.openxmlformats.org/officeDocument/2006/relationships/hyperlink" Target="https://github.com/johndavis92790/OP-Tasklist/issues/3" TargetMode="External"/><Relationship Id="rId102" Type="http://schemas.openxmlformats.org/officeDocument/2006/relationships/drawing" Target="../drawings/drawing14.xml"/><Relationship Id="rId101" Type="http://schemas.openxmlformats.org/officeDocument/2006/relationships/hyperlink" Target="https://github.com/johndavis92790/OP-Tasklist/issues/55" TargetMode="External"/><Relationship Id="rId100" Type="http://schemas.openxmlformats.org/officeDocument/2006/relationships/hyperlink" Target="https://github.com/johndavis92790/OP-Tasklist/issues/1751" TargetMode="External"/><Relationship Id="rId31" Type="http://schemas.openxmlformats.org/officeDocument/2006/relationships/hyperlink" Target="https://github.com/johndavis92790/OP-Tasklist/issues/1826" TargetMode="External"/><Relationship Id="rId30" Type="http://schemas.openxmlformats.org/officeDocument/2006/relationships/hyperlink" Target="https://github.com/johndavis92790/OP-Tasklist/issues/1792" TargetMode="External"/><Relationship Id="rId33" Type="http://schemas.openxmlformats.org/officeDocument/2006/relationships/hyperlink" Target="https://github.com/johndavis92790/OP-Tasklist/issues/1797" TargetMode="External"/><Relationship Id="rId32" Type="http://schemas.openxmlformats.org/officeDocument/2006/relationships/hyperlink" Target="https://github.com/johndavis92790/OP-Tasklist/issues/68" TargetMode="External"/><Relationship Id="rId35" Type="http://schemas.openxmlformats.org/officeDocument/2006/relationships/hyperlink" Target="https://github.com/johndavis92790/OP-Tasklist/issues/1827" TargetMode="External"/><Relationship Id="rId34" Type="http://schemas.openxmlformats.org/officeDocument/2006/relationships/hyperlink" Target="https://github.com/johndavis92790/OP-Tasklist/issues/1796" TargetMode="External"/><Relationship Id="rId37" Type="http://schemas.openxmlformats.org/officeDocument/2006/relationships/hyperlink" Target="https://github.com/johndavis92790/OP-Tasklist/issues/1825" TargetMode="External"/><Relationship Id="rId36" Type="http://schemas.openxmlformats.org/officeDocument/2006/relationships/hyperlink" Target="https://github.com/johndavis92790/OP-Tasklist/issues/1824" TargetMode="External"/><Relationship Id="rId39" Type="http://schemas.openxmlformats.org/officeDocument/2006/relationships/hyperlink" Target="https://github.com/johndavis92790/OP-Tasklist/issues/27" TargetMode="External"/><Relationship Id="rId38" Type="http://schemas.openxmlformats.org/officeDocument/2006/relationships/hyperlink" Target="https://github.com/johndavis92790/OP-Tasklist/issues/7" TargetMode="External"/><Relationship Id="rId20" Type="http://schemas.openxmlformats.org/officeDocument/2006/relationships/hyperlink" Target="https://github.com/johndavis92790/OP-Tasklist/issues/128" TargetMode="External"/><Relationship Id="rId22" Type="http://schemas.openxmlformats.org/officeDocument/2006/relationships/hyperlink" Target="https://github.com/johndavis92790/OP-Tasklist/issues/1758" TargetMode="External"/><Relationship Id="rId21" Type="http://schemas.openxmlformats.org/officeDocument/2006/relationships/hyperlink" Target="https://github.com/johndavis92790/OP-Tasklist/issues/140" TargetMode="External"/><Relationship Id="rId24" Type="http://schemas.openxmlformats.org/officeDocument/2006/relationships/hyperlink" Target="https://github.com/johndavis92790/OP-Tasklist/issues/154" TargetMode="External"/><Relationship Id="rId23" Type="http://schemas.openxmlformats.org/officeDocument/2006/relationships/hyperlink" Target="https://github.com/johndavis92790/OP-Tasklist/issues/155" TargetMode="External"/><Relationship Id="rId26" Type="http://schemas.openxmlformats.org/officeDocument/2006/relationships/hyperlink" Target="https://github.com/johndavis92790/OP-Tasklist/issues/151" TargetMode="External"/><Relationship Id="rId25" Type="http://schemas.openxmlformats.org/officeDocument/2006/relationships/hyperlink" Target="https://github.com/johndavis92790/OP-Tasklist/issues/150" TargetMode="External"/><Relationship Id="rId28" Type="http://schemas.openxmlformats.org/officeDocument/2006/relationships/hyperlink" Target="https://github.com/johndavis92790/OP-Tasklist/issues/1794" TargetMode="External"/><Relationship Id="rId27" Type="http://schemas.openxmlformats.org/officeDocument/2006/relationships/hyperlink" Target="https://github.com/johndavis92790/OP-Tasklist/issues/1793" TargetMode="External"/><Relationship Id="rId29" Type="http://schemas.openxmlformats.org/officeDocument/2006/relationships/hyperlink" Target="https://github.com/johndavis92790/OP-Tasklist/issues/1870" TargetMode="External"/><Relationship Id="rId95" Type="http://schemas.openxmlformats.org/officeDocument/2006/relationships/hyperlink" Target="https://github.com/johndavis92790/OP-Tasklist/issues/131" TargetMode="External"/><Relationship Id="rId94" Type="http://schemas.openxmlformats.org/officeDocument/2006/relationships/hyperlink" Target="https://github.com/johndavis92790/OP-Tasklist/issues/133" TargetMode="External"/><Relationship Id="rId97" Type="http://schemas.openxmlformats.org/officeDocument/2006/relationships/hyperlink" Target="https://github.com/johndavis92790/OP-Tasklist/issues/26" TargetMode="External"/><Relationship Id="rId96" Type="http://schemas.openxmlformats.org/officeDocument/2006/relationships/hyperlink" Target="https://github.com/johndavis92790/OP-Tasklist/issues/41" TargetMode="External"/><Relationship Id="rId11" Type="http://schemas.openxmlformats.org/officeDocument/2006/relationships/hyperlink" Target="https://github.com/johndavis92790/OP-Tasklist/issues/49" TargetMode="External"/><Relationship Id="rId99" Type="http://schemas.openxmlformats.org/officeDocument/2006/relationships/hyperlink" Target="https://github.com/johndavis92790/OP-Tasklist/issues/56" TargetMode="External"/><Relationship Id="rId10" Type="http://schemas.openxmlformats.org/officeDocument/2006/relationships/hyperlink" Target="https://github.com/johndavis92790/OP-Tasklist/issues/1810" TargetMode="External"/><Relationship Id="rId98" Type="http://schemas.openxmlformats.org/officeDocument/2006/relationships/hyperlink" Target="https://github.com/johndavis92790/OP-Tasklist/issues/1778" TargetMode="External"/><Relationship Id="rId13" Type="http://schemas.openxmlformats.org/officeDocument/2006/relationships/hyperlink" Target="https://github.com/johndavis92790/OP-Tasklist/issues/1802" TargetMode="External"/><Relationship Id="rId12" Type="http://schemas.openxmlformats.org/officeDocument/2006/relationships/hyperlink" Target="https://github.com/johndavis92790/OP-Tasklist/issues/64" TargetMode="External"/><Relationship Id="rId91" Type="http://schemas.openxmlformats.org/officeDocument/2006/relationships/hyperlink" Target="https://github.com/johndavis92790/OP-Tasklist/issues/1739" TargetMode="External"/><Relationship Id="rId90" Type="http://schemas.openxmlformats.org/officeDocument/2006/relationships/hyperlink" Target="https://github.com/johndavis92790/OP-Tasklist/issues/1832" TargetMode="External"/><Relationship Id="rId93" Type="http://schemas.openxmlformats.org/officeDocument/2006/relationships/hyperlink" Target="https://github.com/johndavis92790/OP-Tasklist/issues/1738" TargetMode="External"/><Relationship Id="rId92" Type="http://schemas.openxmlformats.org/officeDocument/2006/relationships/hyperlink" Target="https://github.com/johndavis92790/OP-Tasklist/issues/1831" TargetMode="External"/><Relationship Id="rId15" Type="http://schemas.openxmlformats.org/officeDocument/2006/relationships/hyperlink" Target="https://github.com/johndavis92790/OP-Tasklist/issues/65" TargetMode="External"/><Relationship Id="rId14" Type="http://schemas.openxmlformats.org/officeDocument/2006/relationships/hyperlink" Target="https://github.com/johndavis92790/OP-Tasklist/issues/1803" TargetMode="External"/><Relationship Id="rId17" Type="http://schemas.openxmlformats.org/officeDocument/2006/relationships/hyperlink" Target="https://github.com/johndavis92790/OP-Tasklist/issues/127" TargetMode="External"/><Relationship Id="rId16" Type="http://schemas.openxmlformats.org/officeDocument/2006/relationships/hyperlink" Target="https://github.com/johndavis92790/OP-Tasklist/issues/63" TargetMode="External"/><Relationship Id="rId19" Type="http://schemas.openxmlformats.org/officeDocument/2006/relationships/hyperlink" Target="https://github.com/johndavis92790/OP-Tasklist/issues/1771" TargetMode="External"/><Relationship Id="rId18" Type="http://schemas.openxmlformats.org/officeDocument/2006/relationships/hyperlink" Target="https://github.com/johndavis92790/OP-Tasklist/issues/1770" TargetMode="External"/><Relationship Id="rId84" Type="http://schemas.openxmlformats.org/officeDocument/2006/relationships/hyperlink" Target="https://github.com/johndavis92790/OP-Tasklist/issues/35" TargetMode="External"/><Relationship Id="rId83" Type="http://schemas.openxmlformats.org/officeDocument/2006/relationships/hyperlink" Target="https://github.com/johndavis92790/OP-Tasklist/issues/52" TargetMode="External"/><Relationship Id="rId86" Type="http://schemas.openxmlformats.org/officeDocument/2006/relationships/hyperlink" Target="https://github.com/johndavis92790/OP-Tasklist/issues/44" TargetMode="External"/><Relationship Id="rId85" Type="http://schemas.openxmlformats.org/officeDocument/2006/relationships/hyperlink" Target="https://github.com/johndavis92790/OP-Tasklist/issues/6" TargetMode="External"/><Relationship Id="rId88" Type="http://schemas.openxmlformats.org/officeDocument/2006/relationships/hyperlink" Target="https://github.com/johndavis92790/OP-Tasklist/issues/30" TargetMode="External"/><Relationship Id="rId87" Type="http://schemas.openxmlformats.org/officeDocument/2006/relationships/hyperlink" Target="https://github.com/johndavis92790/OP-Tasklist/issues/61" TargetMode="External"/><Relationship Id="rId89" Type="http://schemas.openxmlformats.org/officeDocument/2006/relationships/hyperlink" Target="https://github.com/johndavis92790/OP-Tasklist/issues/58" TargetMode="External"/><Relationship Id="rId80" Type="http://schemas.openxmlformats.org/officeDocument/2006/relationships/hyperlink" Target="https://github.com/johndavis92790/OP-Tasklist/issues/1828" TargetMode="External"/><Relationship Id="rId82" Type="http://schemas.openxmlformats.org/officeDocument/2006/relationships/hyperlink" Target="https://github.com/johndavis92790/OP-Tasklist/issues/1830" TargetMode="External"/><Relationship Id="rId81" Type="http://schemas.openxmlformats.org/officeDocument/2006/relationships/hyperlink" Target="https://github.com/johndavis92790/OP-Tasklist/issues/1829" TargetMode="External"/><Relationship Id="rId1" Type="http://schemas.openxmlformats.org/officeDocument/2006/relationships/hyperlink" Target="https://github.com/johndavis92790/OP-Tasklist/issues/1863" TargetMode="External"/><Relationship Id="rId2" Type="http://schemas.openxmlformats.org/officeDocument/2006/relationships/hyperlink" Target="https://github.com/johndavis92790/OP-Tasklist/issues/1788" TargetMode="External"/><Relationship Id="rId3" Type="http://schemas.openxmlformats.org/officeDocument/2006/relationships/hyperlink" Target="https://github.com/johndavis92790/OP-Tasklist/issues/1860" TargetMode="External"/><Relationship Id="rId4" Type="http://schemas.openxmlformats.org/officeDocument/2006/relationships/hyperlink" Target="https://github.com/johndavis92790/OP-Tasklist/issues/1805" TargetMode="External"/><Relationship Id="rId9" Type="http://schemas.openxmlformats.org/officeDocument/2006/relationships/hyperlink" Target="https://github.com/johndavis92790/OP-Tasklist/issues/1809" TargetMode="External"/><Relationship Id="rId5" Type="http://schemas.openxmlformats.org/officeDocument/2006/relationships/hyperlink" Target="https://github.com/johndavis92790/OP-Tasklist/issues/1806" TargetMode="External"/><Relationship Id="rId6" Type="http://schemas.openxmlformats.org/officeDocument/2006/relationships/hyperlink" Target="https://github.com/johndavis92790/OP-Tasklist/issues/1804" TargetMode="External"/><Relationship Id="rId7" Type="http://schemas.openxmlformats.org/officeDocument/2006/relationships/hyperlink" Target="https://github.com/johndavis92790/OP-Tasklist/issues/1807" TargetMode="External"/><Relationship Id="rId8" Type="http://schemas.openxmlformats.org/officeDocument/2006/relationships/hyperlink" Target="https://github.com/johndavis92790/OP-Tasklist/issues/1808" TargetMode="External"/><Relationship Id="rId73" Type="http://schemas.openxmlformats.org/officeDocument/2006/relationships/hyperlink" Target="https://github.com/johndavis92790/OP-Tasklist/issues/1784" TargetMode="External"/><Relationship Id="rId72" Type="http://schemas.openxmlformats.org/officeDocument/2006/relationships/hyperlink" Target="https://github.com/johndavis92790/OP-Tasklist/issues/1779" TargetMode="External"/><Relationship Id="rId75" Type="http://schemas.openxmlformats.org/officeDocument/2006/relationships/hyperlink" Target="https://github.com/johndavis92790/OP-Tasklist/issues/1867" TargetMode="External"/><Relationship Id="rId74" Type="http://schemas.openxmlformats.org/officeDocument/2006/relationships/hyperlink" Target="https://github.com/johndavis92790/OP-Tasklist/issues/1864" TargetMode="External"/><Relationship Id="rId77" Type="http://schemas.openxmlformats.org/officeDocument/2006/relationships/hyperlink" Target="https://github.com/johndavis92790/OP-Tasklist/issues/69" TargetMode="External"/><Relationship Id="rId76" Type="http://schemas.openxmlformats.org/officeDocument/2006/relationships/hyperlink" Target="https://github.com/johndavis92790/OP-Tasklist/issues/18" TargetMode="External"/><Relationship Id="rId79" Type="http://schemas.openxmlformats.org/officeDocument/2006/relationships/hyperlink" Target="https://github.com/johndavis92790/OP-Tasklist/issues/8" TargetMode="External"/><Relationship Id="rId78" Type="http://schemas.openxmlformats.org/officeDocument/2006/relationships/hyperlink" Target="https://github.com/johndavis92790/OP-Tasklist/issues/19" TargetMode="External"/><Relationship Id="rId71" Type="http://schemas.openxmlformats.org/officeDocument/2006/relationships/hyperlink" Target="https://github.com/johndavis92790/OP-Tasklist/issues/1777" TargetMode="External"/><Relationship Id="rId70" Type="http://schemas.openxmlformats.org/officeDocument/2006/relationships/hyperlink" Target="https://github.com/johndavis92790/OP-Tasklist/issues/1765" TargetMode="External"/><Relationship Id="rId62" Type="http://schemas.openxmlformats.org/officeDocument/2006/relationships/hyperlink" Target="https://github.com/johndavis92790/OP-Tasklist/issues/1737" TargetMode="External"/><Relationship Id="rId61" Type="http://schemas.openxmlformats.org/officeDocument/2006/relationships/hyperlink" Target="https://github.com/johndavis92790/OP-Tasklist/issues/1736" TargetMode="External"/><Relationship Id="rId64" Type="http://schemas.openxmlformats.org/officeDocument/2006/relationships/hyperlink" Target="https://github.com/johndavis92790/OP-Tasklist/issues/21" TargetMode="External"/><Relationship Id="rId63" Type="http://schemas.openxmlformats.org/officeDocument/2006/relationships/hyperlink" Target="https://github.com/johndavis92790/OP-Tasklist/issues/33" TargetMode="External"/><Relationship Id="rId66" Type="http://schemas.openxmlformats.org/officeDocument/2006/relationships/hyperlink" Target="https://mail.google.com/mail/u/0/" TargetMode="External"/><Relationship Id="rId65" Type="http://schemas.openxmlformats.org/officeDocument/2006/relationships/hyperlink" Target="https://github.com/johndavis92790/OP-Tasklist/issues/22" TargetMode="External"/><Relationship Id="rId68" Type="http://schemas.openxmlformats.org/officeDocument/2006/relationships/hyperlink" Target="https://github.com/johndavis92790/OP-Tasklist/issues/1761" TargetMode="External"/><Relationship Id="rId67" Type="http://schemas.openxmlformats.org/officeDocument/2006/relationships/hyperlink" Target="https://github.com/johndavis92790/OP-Tasklist/issues/39" TargetMode="External"/><Relationship Id="rId60" Type="http://schemas.openxmlformats.org/officeDocument/2006/relationships/hyperlink" Target="https://github.com/johndavis92790/OP-Tasklist/issues/10" TargetMode="External"/><Relationship Id="rId69" Type="http://schemas.openxmlformats.org/officeDocument/2006/relationships/hyperlink" Target="https://github.com/johndavis92790/OP-Tasklist/issues/1763" TargetMode="External"/><Relationship Id="rId51" Type="http://schemas.openxmlformats.org/officeDocument/2006/relationships/hyperlink" Target="https://github.com/johndavis92790/OP-Tasklist/issues/5" TargetMode="External"/><Relationship Id="rId50" Type="http://schemas.openxmlformats.org/officeDocument/2006/relationships/hyperlink" Target="https://github.com/johndavis92790/OP-Tasklist/issues/2" TargetMode="External"/><Relationship Id="rId53" Type="http://schemas.openxmlformats.org/officeDocument/2006/relationships/hyperlink" Target="https://github.com/johndavis92790/OP-Tasklist/issues/13" TargetMode="External"/><Relationship Id="rId52" Type="http://schemas.openxmlformats.org/officeDocument/2006/relationships/hyperlink" Target="https://github.com/johndavis92790/OP-Tasklist/issues/12" TargetMode="External"/><Relationship Id="rId55" Type="http://schemas.openxmlformats.org/officeDocument/2006/relationships/hyperlink" Target="https://github.com/johndavis92790/OP-Tasklist/issues/17" TargetMode="External"/><Relationship Id="rId54" Type="http://schemas.openxmlformats.org/officeDocument/2006/relationships/hyperlink" Target="https://github.com/johndavis92790/OP-Tasklist/issues/14" TargetMode="External"/><Relationship Id="rId57" Type="http://schemas.openxmlformats.org/officeDocument/2006/relationships/hyperlink" Target="https://github.com/johndavis92790/OP-Tasklist/issues/1833" TargetMode="External"/><Relationship Id="rId56" Type="http://schemas.openxmlformats.org/officeDocument/2006/relationships/hyperlink" Target="https://github.com/johndavis92790/OP-Tasklist/issues/37" TargetMode="External"/><Relationship Id="rId59" Type="http://schemas.openxmlformats.org/officeDocument/2006/relationships/hyperlink" Target="https://github.com/johndavis92790/OP-Tasklist/issues/20" TargetMode="External"/><Relationship Id="rId58" Type="http://schemas.openxmlformats.org/officeDocument/2006/relationships/hyperlink" Target="https://github.com/johndavis92790/OP-Tasklist/issues/54" TargetMode="External"/></Relationships>
</file>

<file path=xl/worksheets/_rels/sheet15.xml.rels><?xml version="1.0" encoding="UTF-8" standalone="yes"?><Relationships xmlns="http://schemas.openxmlformats.org/package/2006/relationships"><Relationship Id="rId392" Type="http://schemas.openxmlformats.org/officeDocument/2006/relationships/hyperlink" Target="http://observepoint.com" TargetMode="External"/><Relationship Id="rId391" Type="http://schemas.openxmlformats.org/officeDocument/2006/relationships/hyperlink" Target="http://accenture.com" TargetMode="External"/><Relationship Id="rId390" Type="http://schemas.openxmlformats.org/officeDocument/2006/relationships/hyperlink" Target="http://observepoint.com" TargetMode="External"/><Relationship Id="rId1" Type="http://schemas.openxmlformats.org/officeDocument/2006/relationships/hyperlink" Target="http://amica.com" TargetMode="External"/><Relationship Id="rId2" Type="http://schemas.openxmlformats.org/officeDocument/2006/relationships/hyperlink" Target="http://observepoint.com" TargetMode="External"/><Relationship Id="rId3" Type="http://schemas.openxmlformats.org/officeDocument/2006/relationships/hyperlink" Target="http://observepoint.com" TargetMode="External"/><Relationship Id="rId4" Type="http://schemas.openxmlformats.org/officeDocument/2006/relationships/hyperlink" Target="http://amica.com" TargetMode="External"/><Relationship Id="rId9" Type="http://schemas.openxmlformats.org/officeDocument/2006/relationships/hyperlink" Target="http://amica.com" TargetMode="External"/><Relationship Id="rId385" Type="http://schemas.openxmlformats.org/officeDocument/2006/relationships/hyperlink" Target="http://observepoint.com" TargetMode="External"/><Relationship Id="rId384" Type="http://schemas.openxmlformats.org/officeDocument/2006/relationships/hyperlink" Target="http://observepoint.com" TargetMode="External"/><Relationship Id="rId383" Type="http://schemas.openxmlformats.org/officeDocument/2006/relationships/hyperlink" Target="http://accenture.com" TargetMode="External"/><Relationship Id="rId382" Type="http://schemas.openxmlformats.org/officeDocument/2006/relationships/hyperlink" Target="http://accenture.com" TargetMode="External"/><Relationship Id="rId5" Type="http://schemas.openxmlformats.org/officeDocument/2006/relationships/hyperlink" Target="http://observepoint.com" TargetMode="External"/><Relationship Id="rId389" Type="http://schemas.openxmlformats.org/officeDocument/2006/relationships/hyperlink" Target="http://accenture.com" TargetMode="External"/><Relationship Id="rId6" Type="http://schemas.openxmlformats.org/officeDocument/2006/relationships/hyperlink" Target="http://observepoint.com" TargetMode="External"/><Relationship Id="rId388" Type="http://schemas.openxmlformats.org/officeDocument/2006/relationships/hyperlink" Target="http://observepoint.com" TargetMode="External"/><Relationship Id="rId7" Type="http://schemas.openxmlformats.org/officeDocument/2006/relationships/hyperlink" Target="http://observepoint.com" TargetMode="External"/><Relationship Id="rId387" Type="http://schemas.openxmlformats.org/officeDocument/2006/relationships/hyperlink" Target="http://accenture.com" TargetMode="External"/><Relationship Id="rId8" Type="http://schemas.openxmlformats.org/officeDocument/2006/relationships/hyperlink" Target="http://observepoint.com" TargetMode="External"/><Relationship Id="rId386" Type="http://schemas.openxmlformats.org/officeDocument/2006/relationships/hyperlink" Target="http://accenture.com" TargetMode="External"/><Relationship Id="rId381" Type="http://schemas.openxmlformats.org/officeDocument/2006/relationships/hyperlink" Target="http://observepoint.com" TargetMode="External"/><Relationship Id="rId380" Type="http://schemas.openxmlformats.org/officeDocument/2006/relationships/hyperlink" Target="http://accenture.com" TargetMode="External"/><Relationship Id="rId379" Type="http://schemas.openxmlformats.org/officeDocument/2006/relationships/hyperlink" Target="http://observepoint.com" TargetMode="External"/><Relationship Id="rId374" Type="http://schemas.openxmlformats.org/officeDocument/2006/relationships/hyperlink" Target="http://observepoint.com" TargetMode="External"/><Relationship Id="rId373" Type="http://schemas.openxmlformats.org/officeDocument/2006/relationships/hyperlink" Target="http://observepoint.com" TargetMode="External"/><Relationship Id="rId372" Type="http://schemas.openxmlformats.org/officeDocument/2006/relationships/hyperlink" Target="http://observepoint.com" TargetMode="External"/><Relationship Id="rId371" Type="http://schemas.openxmlformats.org/officeDocument/2006/relationships/hyperlink" Target="http://observepoint.com" TargetMode="External"/><Relationship Id="rId378" Type="http://schemas.openxmlformats.org/officeDocument/2006/relationships/hyperlink" Target="http://accenture.com" TargetMode="External"/><Relationship Id="rId377" Type="http://schemas.openxmlformats.org/officeDocument/2006/relationships/hyperlink" Target="http://observepoint.com" TargetMode="External"/><Relationship Id="rId376" Type="http://schemas.openxmlformats.org/officeDocument/2006/relationships/hyperlink" Target="http://observepoint.com" TargetMode="External"/><Relationship Id="rId375" Type="http://schemas.openxmlformats.org/officeDocument/2006/relationships/hyperlink" Target="http://observepoint.com" TargetMode="External"/><Relationship Id="rId396" Type="http://schemas.openxmlformats.org/officeDocument/2006/relationships/hyperlink" Target="http://accenture.com" TargetMode="External"/><Relationship Id="rId395" Type="http://schemas.openxmlformats.org/officeDocument/2006/relationships/hyperlink" Target="http://observepoint.com" TargetMode="External"/><Relationship Id="rId394" Type="http://schemas.openxmlformats.org/officeDocument/2006/relationships/hyperlink" Target="http://accenture.com" TargetMode="External"/><Relationship Id="rId393" Type="http://schemas.openxmlformats.org/officeDocument/2006/relationships/hyperlink" Target="http://accenture.com" TargetMode="External"/><Relationship Id="rId399" Type="http://schemas.openxmlformats.org/officeDocument/2006/relationships/hyperlink" Target="http://lumen.com" TargetMode="External"/><Relationship Id="rId398" Type="http://schemas.openxmlformats.org/officeDocument/2006/relationships/hyperlink" Target="http://observepoint.com" TargetMode="External"/><Relationship Id="rId397" Type="http://schemas.openxmlformats.org/officeDocument/2006/relationships/hyperlink" Target="http://observepoint.com" TargetMode="External"/><Relationship Id="rId1730" Type="http://schemas.openxmlformats.org/officeDocument/2006/relationships/hyperlink" Target="http://observepoint.com" TargetMode="External"/><Relationship Id="rId1731" Type="http://schemas.openxmlformats.org/officeDocument/2006/relationships/hyperlink" Target="http://devry.edu" TargetMode="External"/><Relationship Id="rId1732" Type="http://schemas.openxmlformats.org/officeDocument/2006/relationships/hyperlink" Target="http://observepoint.com" TargetMode="External"/><Relationship Id="rId1733" Type="http://schemas.openxmlformats.org/officeDocument/2006/relationships/hyperlink" Target="http://spark.co.nz" TargetMode="External"/><Relationship Id="rId1734" Type="http://schemas.openxmlformats.org/officeDocument/2006/relationships/hyperlink" Target="http://observepoint.com" TargetMode="External"/><Relationship Id="rId1735" Type="http://schemas.openxmlformats.org/officeDocument/2006/relationships/hyperlink" Target="http://darden.com" TargetMode="External"/><Relationship Id="rId1736" Type="http://schemas.openxmlformats.org/officeDocument/2006/relationships/hyperlink" Target="http://observepoint.com" TargetMode="External"/><Relationship Id="rId1737" Type="http://schemas.openxmlformats.org/officeDocument/2006/relationships/hyperlink" Target="http://observepoint.com" TargetMode="External"/><Relationship Id="rId1738" Type="http://schemas.openxmlformats.org/officeDocument/2006/relationships/hyperlink" Target="http://prudential.com" TargetMode="External"/><Relationship Id="rId1739" Type="http://schemas.openxmlformats.org/officeDocument/2006/relationships/hyperlink" Target="http://observepoint.com" TargetMode="External"/><Relationship Id="rId1720" Type="http://schemas.openxmlformats.org/officeDocument/2006/relationships/hyperlink" Target="http://observepoint.com" TargetMode="External"/><Relationship Id="rId1721" Type="http://schemas.openxmlformats.org/officeDocument/2006/relationships/hyperlink" Target="http://devry.edu" TargetMode="External"/><Relationship Id="rId1722" Type="http://schemas.openxmlformats.org/officeDocument/2006/relationships/hyperlink" Target="http://spark.co.nz" TargetMode="External"/><Relationship Id="rId1723" Type="http://schemas.openxmlformats.org/officeDocument/2006/relationships/hyperlink" Target="http://observepoint.com" TargetMode="External"/><Relationship Id="rId1724" Type="http://schemas.openxmlformats.org/officeDocument/2006/relationships/hyperlink" Target="http://observepoint.com" TargetMode="External"/><Relationship Id="rId1725" Type="http://schemas.openxmlformats.org/officeDocument/2006/relationships/hyperlink" Target="http://spark.co.nz" TargetMode="External"/><Relationship Id="rId1726" Type="http://schemas.openxmlformats.org/officeDocument/2006/relationships/hyperlink" Target="http://observepoint.com" TargetMode="External"/><Relationship Id="rId1727" Type="http://schemas.openxmlformats.org/officeDocument/2006/relationships/hyperlink" Target="http://observepoint.com" TargetMode="External"/><Relationship Id="rId1728" Type="http://schemas.openxmlformats.org/officeDocument/2006/relationships/hyperlink" Target="http://devry.edu" TargetMode="External"/><Relationship Id="rId1729" Type="http://schemas.openxmlformats.org/officeDocument/2006/relationships/hyperlink" Target="http://observepoint.com" TargetMode="External"/><Relationship Id="rId1752" Type="http://schemas.openxmlformats.org/officeDocument/2006/relationships/hyperlink" Target="http://observepoint.com" TargetMode="External"/><Relationship Id="rId1753" Type="http://schemas.openxmlformats.org/officeDocument/2006/relationships/hyperlink" Target="http://devry.edu" TargetMode="External"/><Relationship Id="rId1754" Type="http://schemas.openxmlformats.org/officeDocument/2006/relationships/hyperlink" Target="http://observepoint.com" TargetMode="External"/><Relationship Id="rId1755" Type="http://schemas.openxmlformats.org/officeDocument/2006/relationships/hyperlink" Target="http://darden.com" TargetMode="External"/><Relationship Id="rId1756" Type="http://schemas.openxmlformats.org/officeDocument/2006/relationships/hyperlink" Target="http://observepoint.com" TargetMode="External"/><Relationship Id="rId1757" Type="http://schemas.openxmlformats.org/officeDocument/2006/relationships/hyperlink" Target="http://prudential.com" TargetMode="External"/><Relationship Id="rId1758" Type="http://schemas.openxmlformats.org/officeDocument/2006/relationships/hyperlink" Target="http://prudential.com" TargetMode="External"/><Relationship Id="rId1759" Type="http://schemas.openxmlformats.org/officeDocument/2006/relationships/hyperlink" Target="http://amica.com" TargetMode="External"/><Relationship Id="rId808" Type="http://schemas.openxmlformats.org/officeDocument/2006/relationships/hyperlink" Target="http://prudential.com" TargetMode="External"/><Relationship Id="rId807" Type="http://schemas.openxmlformats.org/officeDocument/2006/relationships/hyperlink" Target="http://observepoint.com" TargetMode="External"/><Relationship Id="rId806" Type="http://schemas.openxmlformats.org/officeDocument/2006/relationships/hyperlink" Target="http://prudential.com" TargetMode="External"/><Relationship Id="rId805" Type="http://schemas.openxmlformats.org/officeDocument/2006/relationships/hyperlink" Target="http://prudential.com" TargetMode="External"/><Relationship Id="rId809" Type="http://schemas.openxmlformats.org/officeDocument/2006/relationships/hyperlink" Target="http://observepoint.com" TargetMode="External"/><Relationship Id="rId800" Type="http://schemas.openxmlformats.org/officeDocument/2006/relationships/hyperlink" Target="http://prudential.com" TargetMode="External"/><Relationship Id="rId804" Type="http://schemas.openxmlformats.org/officeDocument/2006/relationships/hyperlink" Target="http://observepoint.com" TargetMode="External"/><Relationship Id="rId803" Type="http://schemas.openxmlformats.org/officeDocument/2006/relationships/hyperlink" Target="http://prudential.com" TargetMode="External"/><Relationship Id="rId802" Type="http://schemas.openxmlformats.org/officeDocument/2006/relationships/hyperlink" Target="http://observepoint.com" TargetMode="External"/><Relationship Id="rId801" Type="http://schemas.openxmlformats.org/officeDocument/2006/relationships/hyperlink" Target="http://observepoint.com" TargetMode="External"/><Relationship Id="rId1750" Type="http://schemas.openxmlformats.org/officeDocument/2006/relationships/hyperlink" Target="http://observepoint.com" TargetMode="External"/><Relationship Id="rId1751" Type="http://schemas.openxmlformats.org/officeDocument/2006/relationships/hyperlink" Target="http://observepoint.com" TargetMode="External"/><Relationship Id="rId1741" Type="http://schemas.openxmlformats.org/officeDocument/2006/relationships/hyperlink" Target="http://observepoint.com" TargetMode="External"/><Relationship Id="rId1742" Type="http://schemas.openxmlformats.org/officeDocument/2006/relationships/hyperlink" Target="http://devry.edu" TargetMode="External"/><Relationship Id="rId1743" Type="http://schemas.openxmlformats.org/officeDocument/2006/relationships/hyperlink" Target="http://observepoint.com" TargetMode="External"/><Relationship Id="rId1744" Type="http://schemas.openxmlformats.org/officeDocument/2006/relationships/hyperlink" Target="http://prudential.com" TargetMode="External"/><Relationship Id="rId1745" Type="http://schemas.openxmlformats.org/officeDocument/2006/relationships/hyperlink" Target="http://observepoint.com" TargetMode="External"/><Relationship Id="rId1746" Type="http://schemas.openxmlformats.org/officeDocument/2006/relationships/hyperlink" Target="http://observepoint.com" TargetMode="External"/><Relationship Id="rId1747" Type="http://schemas.openxmlformats.org/officeDocument/2006/relationships/hyperlink" Target="http://prudential.com" TargetMode="External"/><Relationship Id="rId1748" Type="http://schemas.openxmlformats.org/officeDocument/2006/relationships/hyperlink" Target="http://observepoint.com" TargetMode="External"/><Relationship Id="rId1749" Type="http://schemas.openxmlformats.org/officeDocument/2006/relationships/hyperlink" Target="http://cvshealth.com" TargetMode="External"/><Relationship Id="rId1740" Type="http://schemas.openxmlformats.org/officeDocument/2006/relationships/hyperlink" Target="http://darden.com" TargetMode="External"/><Relationship Id="rId1710" Type="http://schemas.openxmlformats.org/officeDocument/2006/relationships/hyperlink" Target="http://devry.edu" TargetMode="External"/><Relationship Id="rId1711" Type="http://schemas.openxmlformats.org/officeDocument/2006/relationships/hyperlink" Target="http://observepoint.com" TargetMode="External"/><Relationship Id="rId1712" Type="http://schemas.openxmlformats.org/officeDocument/2006/relationships/hyperlink" Target="http://observepoint.com" TargetMode="External"/><Relationship Id="rId1713" Type="http://schemas.openxmlformats.org/officeDocument/2006/relationships/hyperlink" Target="http://devry.edu" TargetMode="External"/><Relationship Id="rId1714" Type="http://schemas.openxmlformats.org/officeDocument/2006/relationships/hyperlink" Target="http://devry.edu" TargetMode="External"/><Relationship Id="rId1715" Type="http://schemas.openxmlformats.org/officeDocument/2006/relationships/hyperlink" Target="http://observepoint.com" TargetMode="External"/><Relationship Id="rId1716" Type="http://schemas.openxmlformats.org/officeDocument/2006/relationships/hyperlink" Target="http://observepoint.com" TargetMode="External"/><Relationship Id="rId1717" Type="http://schemas.openxmlformats.org/officeDocument/2006/relationships/hyperlink" Target="http://devry.edu" TargetMode="External"/><Relationship Id="rId1718" Type="http://schemas.openxmlformats.org/officeDocument/2006/relationships/hyperlink" Target="http://observepoint.com" TargetMode="External"/><Relationship Id="rId1719" Type="http://schemas.openxmlformats.org/officeDocument/2006/relationships/hyperlink" Target="http://observepoint.com" TargetMode="External"/><Relationship Id="rId1700" Type="http://schemas.openxmlformats.org/officeDocument/2006/relationships/hyperlink" Target="http://devry.edu" TargetMode="External"/><Relationship Id="rId1701" Type="http://schemas.openxmlformats.org/officeDocument/2006/relationships/hyperlink" Target="http://observepoint.com" TargetMode="External"/><Relationship Id="rId1702" Type="http://schemas.openxmlformats.org/officeDocument/2006/relationships/hyperlink" Target="http://observepoint.com" TargetMode="External"/><Relationship Id="rId1703" Type="http://schemas.openxmlformats.org/officeDocument/2006/relationships/hyperlink" Target="http://devry.edu" TargetMode="External"/><Relationship Id="rId1704" Type="http://schemas.openxmlformats.org/officeDocument/2006/relationships/hyperlink" Target="http://observepoint.com" TargetMode="External"/><Relationship Id="rId1705" Type="http://schemas.openxmlformats.org/officeDocument/2006/relationships/hyperlink" Target="http://observepoint.com" TargetMode="External"/><Relationship Id="rId1706" Type="http://schemas.openxmlformats.org/officeDocument/2006/relationships/hyperlink" Target="http://observepoint.com" TargetMode="External"/><Relationship Id="rId1707" Type="http://schemas.openxmlformats.org/officeDocument/2006/relationships/hyperlink" Target="http://devry.edu" TargetMode="External"/><Relationship Id="rId1708" Type="http://schemas.openxmlformats.org/officeDocument/2006/relationships/hyperlink" Target="http://observepoint.com" TargetMode="External"/><Relationship Id="rId1709" Type="http://schemas.openxmlformats.org/officeDocument/2006/relationships/hyperlink" Target="http://observepoint.com" TargetMode="External"/><Relationship Id="rId40" Type="http://schemas.openxmlformats.org/officeDocument/2006/relationships/hyperlink" Target="http://amica.com" TargetMode="External"/><Relationship Id="rId1334" Type="http://schemas.openxmlformats.org/officeDocument/2006/relationships/hyperlink" Target="http://observepoint.com" TargetMode="External"/><Relationship Id="rId1335" Type="http://schemas.openxmlformats.org/officeDocument/2006/relationships/hyperlink" Target="http://accentgr.com.au" TargetMode="External"/><Relationship Id="rId42" Type="http://schemas.openxmlformats.org/officeDocument/2006/relationships/hyperlink" Target="http://observepoint.com" TargetMode="External"/><Relationship Id="rId1336" Type="http://schemas.openxmlformats.org/officeDocument/2006/relationships/hyperlink" Target="http://observepoint.com" TargetMode="External"/><Relationship Id="rId41" Type="http://schemas.openxmlformats.org/officeDocument/2006/relationships/hyperlink" Target="http://observepoint.com" TargetMode="External"/><Relationship Id="rId1337" Type="http://schemas.openxmlformats.org/officeDocument/2006/relationships/hyperlink" Target="http://observepoint.com" TargetMode="External"/><Relationship Id="rId44" Type="http://schemas.openxmlformats.org/officeDocument/2006/relationships/hyperlink" Target="http://observepoint.com" TargetMode="External"/><Relationship Id="rId1338" Type="http://schemas.openxmlformats.org/officeDocument/2006/relationships/hyperlink" Target="http://observepoint.com" TargetMode="External"/><Relationship Id="rId43" Type="http://schemas.openxmlformats.org/officeDocument/2006/relationships/hyperlink" Target="http://observepoint.com" TargetMode="External"/><Relationship Id="rId1339" Type="http://schemas.openxmlformats.org/officeDocument/2006/relationships/hyperlink" Target="http://questrade.com" TargetMode="External"/><Relationship Id="rId46" Type="http://schemas.openxmlformats.org/officeDocument/2006/relationships/hyperlink" Target="http://observepoint.com" TargetMode="External"/><Relationship Id="rId45" Type="http://schemas.openxmlformats.org/officeDocument/2006/relationships/hyperlink" Target="http://amica.com" TargetMode="External"/><Relationship Id="rId745" Type="http://schemas.openxmlformats.org/officeDocument/2006/relationships/hyperlink" Target="http://observepoint.com" TargetMode="External"/><Relationship Id="rId744" Type="http://schemas.openxmlformats.org/officeDocument/2006/relationships/hyperlink" Target="http://prudential.com" TargetMode="External"/><Relationship Id="rId743" Type="http://schemas.openxmlformats.org/officeDocument/2006/relationships/hyperlink" Target="http://prudential.com" TargetMode="External"/><Relationship Id="rId742" Type="http://schemas.openxmlformats.org/officeDocument/2006/relationships/hyperlink" Target="http://prudential.com" TargetMode="External"/><Relationship Id="rId749" Type="http://schemas.openxmlformats.org/officeDocument/2006/relationships/hyperlink" Target="http://prudential.com" TargetMode="External"/><Relationship Id="rId748" Type="http://schemas.openxmlformats.org/officeDocument/2006/relationships/hyperlink" Target="http://observepoint.com" TargetMode="External"/><Relationship Id="rId747" Type="http://schemas.openxmlformats.org/officeDocument/2006/relationships/hyperlink" Target="http://prudential.com" TargetMode="External"/><Relationship Id="rId746" Type="http://schemas.openxmlformats.org/officeDocument/2006/relationships/hyperlink" Target="http://observepoint.com" TargetMode="External"/><Relationship Id="rId48" Type="http://schemas.openxmlformats.org/officeDocument/2006/relationships/hyperlink" Target="http://amica.com" TargetMode="External"/><Relationship Id="rId47" Type="http://schemas.openxmlformats.org/officeDocument/2006/relationships/hyperlink" Target="http://observepoint.com" TargetMode="External"/><Relationship Id="rId49" Type="http://schemas.openxmlformats.org/officeDocument/2006/relationships/hyperlink" Target="http://observepoint.com" TargetMode="External"/><Relationship Id="rId741" Type="http://schemas.openxmlformats.org/officeDocument/2006/relationships/hyperlink" Target="http://observepoint.com" TargetMode="External"/><Relationship Id="rId1330" Type="http://schemas.openxmlformats.org/officeDocument/2006/relationships/hyperlink" Target="http://observepoint.com" TargetMode="External"/><Relationship Id="rId740" Type="http://schemas.openxmlformats.org/officeDocument/2006/relationships/hyperlink" Target="http://prudential.com" TargetMode="External"/><Relationship Id="rId1331" Type="http://schemas.openxmlformats.org/officeDocument/2006/relationships/hyperlink" Target="http://observepoint.com" TargetMode="External"/><Relationship Id="rId1332" Type="http://schemas.openxmlformats.org/officeDocument/2006/relationships/hyperlink" Target="http://observepoint.com" TargetMode="External"/><Relationship Id="rId1333" Type="http://schemas.openxmlformats.org/officeDocument/2006/relationships/hyperlink" Target="http://accentgr.com.au" TargetMode="External"/><Relationship Id="rId1323" Type="http://schemas.openxmlformats.org/officeDocument/2006/relationships/hyperlink" Target="http://woolworths.com.au" TargetMode="External"/><Relationship Id="rId1324" Type="http://schemas.openxmlformats.org/officeDocument/2006/relationships/hyperlink" Target="http://observepoint.com" TargetMode="External"/><Relationship Id="rId31" Type="http://schemas.openxmlformats.org/officeDocument/2006/relationships/hyperlink" Target="http://amica.com" TargetMode="External"/><Relationship Id="rId1325" Type="http://schemas.openxmlformats.org/officeDocument/2006/relationships/hyperlink" Target="http://observepoint.com" TargetMode="External"/><Relationship Id="rId30" Type="http://schemas.openxmlformats.org/officeDocument/2006/relationships/hyperlink" Target="http://observepoint.com" TargetMode="External"/><Relationship Id="rId1326" Type="http://schemas.openxmlformats.org/officeDocument/2006/relationships/hyperlink" Target="http://observepoint.com" TargetMode="External"/><Relationship Id="rId33" Type="http://schemas.openxmlformats.org/officeDocument/2006/relationships/hyperlink" Target="http://observepoint.com" TargetMode="External"/><Relationship Id="rId1327" Type="http://schemas.openxmlformats.org/officeDocument/2006/relationships/hyperlink" Target="http://observepoint.com" TargetMode="External"/><Relationship Id="rId32" Type="http://schemas.openxmlformats.org/officeDocument/2006/relationships/hyperlink" Target="http://observepoint.com" TargetMode="External"/><Relationship Id="rId1328" Type="http://schemas.openxmlformats.org/officeDocument/2006/relationships/hyperlink" Target="http://woolworths.com.au" TargetMode="External"/><Relationship Id="rId35" Type="http://schemas.openxmlformats.org/officeDocument/2006/relationships/hyperlink" Target="http://observepoint.com" TargetMode="External"/><Relationship Id="rId1329" Type="http://schemas.openxmlformats.org/officeDocument/2006/relationships/hyperlink" Target="http://accentgr.com.au" TargetMode="External"/><Relationship Id="rId34" Type="http://schemas.openxmlformats.org/officeDocument/2006/relationships/hyperlink" Target="http://amica.com" TargetMode="External"/><Relationship Id="rId739" Type="http://schemas.openxmlformats.org/officeDocument/2006/relationships/hyperlink" Target="http://prudential.com" TargetMode="External"/><Relationship Id="rId734" Type="http://schemas.openxmlformats.org/officeDocument/2006/relationships/hyperlink" Target="http://prudential.com" TargetMode="External"/><Relationship Id="rId733" Type="http://schemas.openxmlformats.org/officeDocument/2006/relationships/hyperlink" Target="http://prudential.com" TargetMode="External"/><Relationship Id="rId732" Type="http://schemas.openxmlformats.org/officeDocument/2006/relationships/hyperlink" Target="http://observepoint.com" TargetMode="External"/><Relationship Id="rId731" Type="http://schemas.openxmlformats.org/officeDocument/2006/relationships/hyperlink" Target="http://observepoint.com" TargetMode="External"/><Relationship Id="rId738" Type="http://schemas.openxmlformats.org/officeDocument/2006/relationships/hyperlink" Target="http://observepoint.com" TargetMode="External"/><Relationship Id="rId737" Type="http://schemas.openxmlformats.org/officeDocument/2006/relationships/hyperlink" Target="http://prudential.com" TargetMode="External"/><Relationship Id="rId736" Type="http://schemas.openxmlformats.org/officeDocument/2006/relationships/hyperlink" Target="http://prudential.com" TargetMode="External"/><Relationship Id="rId735" Type="http://schemas.openxmlformats.org/officeDocument/2006/relationships/hyperlink" Target="http://observepoint.com" TargetMode="External"/><Relationship Id="rId37" Type="http://schemas.openxmlformats.org/officeDocument/2006/relationships/hyperlink" Target="http://observepoint.com" TargetMode="External"/><Relationship Id="rId36" Type="http://schemas.openxmlformats.org/officeDocument/2006/relationships/hyperlink" Target="http://amica.com" TargetMode="External"/><Relationship Id="rId39" Type="http://schemas.openxmlformats.org/officeDocument/2006/relationships/hyperlink" Target="http://observepoint.com" TargetMode="External"/><Relationship Id="rId38" Type="http://schemas.openxmlformats.org/officeDocument/2006/relationships/hyperlink" Target="http://observepoint.com" TargetMode="External"/><Relationship Id="rId730" Type="http://schemas.openxmlformats.org/officeDocument/2006/relationships/hyperlink" Target="http://prudential.com" TargetMode="External"/><Relationship Id="rId1320" Type="http://schemas.openxmlformats.org/officeDocument/2006/relationships/hyperlink" Target="http://agilent.com" TargetMode="External"/><Relationship Id="rId1321" Type="http://schemas.openxmlformats.org/officeDocument/2006/relationships/hyperlink" Target="http://agilent.com" TargetMode="External"/><Relationship Id="rId1322" Type="http://schemas.openxmlformats.org/officeDocument/2006/relationships/hyperlink" Target="http://observepoint.com" TargetMode="External"/><Relationship Id="rId1356" Type="http://schemas.openxmlformats.org/officeDocument/2006/relationships/hyperlink" Target="http://observepoint.com" TargetMode="External"/><Relationship Id="rId1357" Type="http://schemas.openxmlformats.org/officeDocument/2006/relationships/hyperlink" Target="http://observepoint.com" TargetMode="External"/><Relationship Id="rId20" Type="http://schemas.openxmlformats.org/officeDocument/2006/relationships/hyperlink" Target="http://observepoint.com" TargetMode="External"/><Relationship Id="rId1358" Type="http://schemas.openxmlformats.org/officeDocument/2006/relationships/hyperlink" Target="http://brunswick.com" TargetMode="External"/><Relationship Id="rId1359" Type="http://schemas.openxmlformats.org/officeDocument/2006/relationships/hyperlink" Target="http://observepoint.com" TargetMode="External"/><Relationship Id="rId22" Type="http://schemas.openxmlformats.org/officeDocument/2006/relationships/hyperlink" Target="http://agilent.com" TargetMode="External"/><Relationship Id="rId21" Type="http://schemas.openxmlformats.org/officeDocument/2006/relationships/hyperlink" Target="http://observepoint.com" TargetMode="External"/><Relationship Id="rId24" Type="http://schemas.openxmlformats.org/officeDocument/2006/relationships/hyperlink" Target="http://observepoint.com" TargetMode="External"/><Relationship Id="rId23" Type="http://schemas.openxmlformats.org/officeDocument/2006/relationships/hyperlink" Target="http://observepoint.com" TargetMode="External"/><Relationship Id="rId767" Type="http://schemas.openxmlformats.org/officeDocument/2006/relationships/hyperlink" Target="http://observepoint.com" TargetMode="External"/><Relationship Id="rId766" Type="http://schemas.openxmlformats.org/officeDocument/2006/relationships/hyperlink" Target="http://observepoint.com" TargetMode="External"/><Relationship Id="rId765" Type="http://schemas.openxmlformats.org/officeDocument/2006/relationships/hyperlink" Target="http://observepoint.com" TargetMode="External"/><Relationship Id="rId764" Type="http://schemas.openxmlformats.org/officeDocument/2006/relationships/hyperlink" Target="http://observepoint.com" TargetMode="External"/><Relationship Id="rId769" Type="http://schemas.openxmlformats.org/officeDocument/2006/relationships/hyperlink" Target="http://observepoint.com" TargetMode="External"/><Relationship Id="rId768" Type="http://schemas.openxmlformats.org/officeDocument/2006/relationships/hyperlink" Target="http://prudential.com" TargetMode="External"/><Relationship Id="rId26" Type="http://schemas.openxmlformats.org/officeDocument/2006/relationships/hyperlink" Target="http://observepoint.com" TargetMode="External"/><Relationship Id="rId25" Type="http://schemas.openxmlformats.org/officeDocument/2006/relationships/hyperlink" Target="http://amica.com" TargetMode="External"/><Relationship Id="rId28" Type="http://schemas.openxmlformats.org/officeDocument/2006/relationships/hyperlink" Target="http://observepoint.com" TargetMode="External"/><Relationship Id="rId1350" Type="http://schemas.openxmlformats.org/officeDocument/2006/relationships/hyperlink" Target="http://observepoint.com" TargetMode="External"/><Relationship Id="rId27" Type="http://schemas.openxmlformats.org/officeDocument/2006/relationships/hyperlink" Target="http://amica.com" TargetMode="External"/><Relationship Id="rId1351" Type="http://schemas.openxmlformats.org/officeDocument/2006/relationships/hyperlink" Target="http://observepoint.com" TargetMode="External"/><Relationship Id="rId763" Type="http://schemas.openxmlformats.org/officeDocument/2006/relationships/hyperlink" Target="http://observepoint.com" TargetMode="External"/><Relationship Id="rId1352" Type="http://schemas.openxmlformats.org/officeDocument/2006/relationships/hyperlink" Target="http://observepoint.com" TargetMode="External"/><Relationship Id="rId29" Type="http://schemas.openxmlformats.org/officeDocument/2006/relationships/hyperlink" Target="http://amica.com" TargetMode="External"/><Relationship Id="rId762" Type="http://schemas.openxmlformats.org/officeDocument/2006/relationships/hyperlink" Target="http://prudential.com" TargetMode="External"/><Relationship Id="rId1353" Type="http://schemas.openxmlformats.org/officeDocument/2006/relationships/hyperlink" Target="http://woolworths.com.au" TargetMode="External"/><Relationship Id="rId761" Type="http://schemas.openxmlformats.org/officeDocument/2006/relationships/hyperlink" Target="http://observepoint.com" TargetMode="External"/><Relationship Id="rId1354" Type="http://schemas.openxmlformats.org/officeDocument/2006/relationships/hyperlink" Target="http://brunswick.com" TargetMode="External"/><Relationship Id="rId760" Type="http://schemas.openxmlformats.org/officeDocument/2006/relationships/hyperlink" Target="http://observepoint.com" TargetMode="External"/><Relationship Id="rId1355" Type="http://schemas.openxmlformats.org/officeDocument/2006/relationships/hyperlink" Target="http://observepoint.com" TargetMode="External"/><Relationship Id="rId1345" Type="http://schemas.openxmlformats.org/officeDocument/2006/relationships/hyperlink" Target="http://prudential.com" TargetMode="External"/><Relationship Id="rId1346" Type="http://schemas.openxmlformats.org/officeDocument/2006/relationships/hyperlink" Target="http://prudential.com" TargetMode="External"/><Relationship Id="rId1347" Type="http://schemas.openxmlformats.org/officeDocument/2006/relationships/hyperlink" Target="http://observepoint.com" TargetMode="External"/><Relationship Id="rId1348" Type="http://schemas.openxmlformats.org/officeDocument/2006/relationships/hyperlink" Target="http://observepoint.com" TargetMode="External"/><Relationship Id="rId11" Type="http://schemas.openxmlformats.org/officeDocument/2006/relationships/hyperlink" Target="http://amica.com" TargetMode="External"/><Relationship Id="rId1349" Type="http://schemas.openxmlformats.org/officeDocument/2006/relationships/hyperlink" Target="http://woolworths.com.au" TargetMode="External"/><Relationship Id="rId10" Type="http://schemas.openxmlformats.org/officeDocument/2006/relationships/hyperlink" Target="http://observepoint.com" TargetMode="External"/><Relationship Id="rId13" Type="http://schemas.openxmlformats.org/officeDocument/2006/relationships/hyperlink" Target="http://observepoint.com" TargetMode="External"/><Relationship Id="rId12" Type="http://schemas.openxmlformats.org/officeDocument/2006/relationships/hyperlink" Target="http://observepoint.com" TargetMode="External"/><Relationship Id="rId756" Type="http://schemas.openxmlformats.org/officeDocument/2006/relationships/hyperlink" Target="http://prudential.com" TargetMode="External"/><Relationship Id="rId755" Type="http://schemas.openxmlformats.org/officeDocument/2006/relationships/hyperlink" Target="http://observepoint.com" TargetMode="External"/><Relationship Id="rId754" Type="http://schemas.openxmlformats.org/officeDocument/2006/relationships/hyperlink" Target="http://prudential.com" TargetMode="External"/><Relationship Id="rId753" Type="http://schemas.openxmlformats.org/officeDocument/2006/relationships/hyperlink" Target="http://prudential.com" TargetMode="External"/><Relationship Id="rId759" Type="http://schemas.openxmlformats.org/officeDocument/2006/relationships/hyperlink" Target="http://prudential.com" TargetMode="External"/><Relationship Id="rId758" Type="http://schemas.openxmlformats.org/officeDocument/2006/relationships/hyperlink" Target="http://prudential.com" TargetMode="External"/><Relationship Id="rId757" Type="http://schemas.openxmlformats.org/officeDocument/2006/relationships/hyperlink" Target="http://prudential.com" TargetMode="External"/><Relationship Id="rId15" Type="http://schemas.openxmlformats.org/officeDocument/2006/relationships/hyperlink" Target="http://agilent.com" TargetMode="External"/><Relationship Id="rId14" Type="http://schemas.openxmlformats.org/officeDocument/2006/relationships/hyperlink" Target="http://amica.com" TargetMode="External"/><Relationship Id="rId17" Type="http://schemas.openxmlformats.org/officeDocument/2006/relationships/hyperlink" Target="http://observepoint.com" TargetMode="External"/><Relationship Id="rId16" Type="http://schemas.openxmlformats.org/officeDocument/2006/relationships/hyperlink" Target="http://observepoint.com" TargetMode="External"/><Relationship Id="rId1340" Type="http://schemas.openxmlformats.org/officeDocument/2006/relationships/hyperlink" Target="http://prudential.com" TargetMode="External"/><Relationship Id="rId19" Type="http://schemas.openxmlformats.org/officeDocument/2006/relationships/hyperlink" Target="http://agilent.com" TargetMode="External"/><Relationship Id="rId752" Type="http://schemas.openxmlformats.org/officeDocument/2006/relationships/hyperlink" Target="http://observepoint.com" TargetMode="External"/><Relationship Id="rId1341" Type="http://schemas.openxmlformats.org/officeDocument/2006/relationships/hyperlink" Target="http://observepoint.com" TargetMode="External"/><Relationship Id="rId18" Type="http://schemas.openxmlformats.org/officeDocument/2006/relationships/hyperlink" Target="http://observepoint.com" TargetMode="External"/><Relationship Id="rId751" Type="http://schemas.openxmlformats.org/officeDocument/2006/relationships/hyperlink" Target="http://prudential.com" TargetMode="External"/><Relationship Id="rId1342" Type="http://schemas.openxmlformats.org/officeDocument/2006/relationships/hyperlink" Target="http://observepoint.com" TargetMode="External"/><Relationship Id="rId750" Type="http://schemas.openxmlformats.org/officeDocument/2006/relationships/hyperlink" Target="http://prudential.com" TargetMode="External"/><Relationship Id="rId1343" Type="http://schemas.openxmlformats.org/officeDocument/2006/relationships/hyperlink" Target="http://prudential.com" TargetMode="External"/><Relationship Id="rId1344" Type="http://schemas.openxmlformats.org/officeDocument/2006/relationships/hyperlink" Target="http://observepoint.com" TargetMode="External"/><Relationship Id="rId84" Type="http://schemas.openxmlformats.org/officeDocument/2006/relationships/hyperlink" Target="http://observepoint.com" TargetMode="External"/><Relationship Id="rId1774" Type="http://schemas.openxmlformats.org/officeDocument/2006/relationships/hyperlink" Target="http://observepoint.com" TargetMode="External"/><Relationship Id="rId83" Type="http://schemas.openxmlformats.org/officeDocument/2006/relationships/hyperlink" Target="http://accentgr.com.au" TargetMode="External"/><Relationship Id="rId1775" Type="http://schemas.openxmlformats.org/officeDocument/2006/relationships/hyperlink" Target="http://observepoint.com" TargetMode="External"/><Relationship Id="rId86" Type="http://schemas.openxmlformats.org/officeDocument/2006/relationships/hyperlink" Target="http://observepoint.com" TargetMode="External"/><Relationship Id="rId1776" Type="http://schemas.openxmlformats.org/officeDocument/2006/relationships/hyperlink" Target="http://observepoint.com" TargetMode="External"/><Relationship Id="rId85" Type="http://schemas.openxmlformats.org/officeDocument/2006/relationships/hyperlink" Target="http://amica.com" TargetMode="External"/><Relationship Id="rId1777" Type="http://schemas.openxmlformats.org/officeDocument/2006/relationships/hyperlink" Target="http://verisign.com" TargetMode="External"/><Relationship Id="rId88" Type="http://schemas.openxmlformats.org/officeDocument/2006/relationships/hyperlink" Target="http://observepoint.com" TargetMode="External"/><Relationship Id="rId1778" Type="http://schemas.openxmlformats.org/officeDocument/2006/relationships/hyperlink" Target="http://observepoint.com" TargetMode="External"/><Relationship Id="rId87" Type="http://schemas.openxmlformats.org/officeDocument/2006/relationships/hyperlink" Target="http://amica.com" TargetMode="External"/><Relationship Id="rId1779" Type="http://schemas.openxmlformats.org/officeDocument/2006/relationships/hyperlink" Target="http://verisign.com" TargetMode="External"/><Relationship Id="rId89" Type="http://schemas.openxmlformats.org/officeDocument/2006/relationships/hyperlink" Target="http://observepoint.com" TargetMode="External"/><Relationship Id="rId709" Type="http://schemas.openxmlformats.org/officeDocument/2006/relationships/hyperlink" Target="http://prudential.com" TargetMode="External"/><Relationship Id="rId708" Type="http://schemas.openxmlformats.org/officeDocument/2006/relationships/hyperlink" Target="http://observepoint.com" TargetMode="External"/><Relationship Id="rId707" Type="http://schemas.openxmlformats.org/officeDocument/2006/relationships/hyperlink" Target="http://prudential.com" TargetMode="External"/><Relationship Id="rId706" Type="http://schemas.openxmlformats.org/officeDocument/2006/relationships/hyperlink" Target="http://prudential.com" TargetMode="External"/><Relationship Id="rId80" Type="http://schemas.openxmlformats.org/officeDocument/2006/relationships/hyperlink" Target="http://observepoint.com" TargetMode="External"/><Relationship Id="rId82" Type="http://schemas.openxmlformats.org/officeDocument/2006/relationships/hyperlink" Target="http://observepoint.com" TargetMode="External"/><Relationship Id="rId81" Type="http://schemas.openxmlformats.org/officeDocument/2006/relationships/hyperlink" Target="http://observepoint.com" TargetMode="External"/><Relationship Id="rId701" Type="http://schemas.openxmlformats.org/officeDocument/2006/relationships/hyperlink" Target="http://prudential.com" TargetMode="External"/><Relationship Id="rId700" Type="http://schemas.openxmlformats.org/officeDocument/2006/relationships/hyperlink" Target="http://observepoint.com" TargetMode="External"/><Relationship Id="rId705" Type="http://schemas.openxmlformats.org/officeDocument/2006/relationships/hyperlink" Target="http://prudential.com" TargetMode="External"/><Relationship Id="rId704" Type="http://schemas.openxmlformats.org/officeDocument/2006/relationships/hyperlink" Target="http://observepoint.com" TargetMode="External"/><Relationship Id="rId703" Type="http://schemas.openxmlformats.org/officeDocument/2006/relationships/hyperlink" Target="http://prudential.com" TargetMode="External"/><Relationship Id="rId702" Type="http://schemas.openxmlformats.org/officeDocument/2006/relationships/hyperlink" Target="http://prudential.com" TargetMode="External"/><Relationship Id="rId1770" Type="http://schemas.openxmlformats.org/officeDocument/2006/relationships/hyperlink" Target="http://observepoint.com" TargetMode="External"/><Relationship Id="rId1771" Type="http://schemas.openxmlformats.org/officeDocument/2006/relationships/hyperlink" Target="http://verisign.com" TargetMode="External"/><Relationship Id="rId1772" Type="http://schemas.openxmlformats.org/officeDocument/2006/relationships/hyperlink" Target="http://observepoint.com" TargetMode="External"/><Relationship Id="rId1773" Type="http://schemas.openxmlformats.org/officeDocument/2006/relationships/hyperlink" Target="http://verisign.com" TargetMode="External"/><Relationship Id="rId73" Type="http://schemas.openxmlformats.org/officeDocument/2006/relationships/hyperlink" Target="http://accentgr.com.au" TargetMode="External"/><Relationship Id="rId1763" Type="http://schemas.openxmlformats.org/officeDocument/2006/relationships/hyperlink" Target="http://observepoint.com" TargetMode="External"/><Relationship Id="rId72" Type="http://schemas.openxmlformats.org/officeDocument/2006/relationships/hyperlink" Target="http://observepoint.com" TargetMode="External"/><Relationship Id="rId1764" Type="http://schemas.openxmlformats.org/officeDocument/2006/relationships/hyperlink" Target="http://observepoint.com" TargetMode="External"/><Relationship Id="rId75" Type="http://schemas.openxmlformats.org/officeDocument/2006/relationships/hyperlink" Target="http://observepoint.com" TargetMode="External"/><Relationship Id="rId1765" Type="http://schemas.openxmlformats.org/officeDocument/2006/relationships/hyperlink" Target="http://observepoint.com" TargetMode="External"/><Relationship Id="rId74" Type="http://schemas.openxmlformats.org/officeDocument/2006/relationships/hyperlink" Target="http://observepoint.com" TargetMode="External"/><Relationship Id="rId1766" Type="http://schemas.openxmlformats.org/officeDocument/2006/relationships/hyperlink" Target="http://observepoint.com" TargetMode="External"/><Relationship Id="rId77" Type="http://schemas.openxmlformats.org/officeDocument/2006/relationships/hyperlink" Target="http://accentgr.com.au" TargetMode="External"/><Relationship Id="rId1767" Type="http://schemas.openxmlformats.org/officeDocument/2006/relationships/hyperlink" Target="http://amica.com" TargetMode="External"/><Relationship Id="rId76" Type="http://schemas.openxmlformats.org/officeDocument/2006/relationships/hyperlink" Target="http://observepoint.com" TargetMode="External"/><Relationship Id="rId1768" Type="http://schemas.openxmlformats.org/officeDocument/2006/relationships/hyperlink" Target="http://verisign.com" TargetMode="External"/><Relationship Id="rId79" Type="http://schemas.openxmlformats.org/officeDocument/2006/relationships/hyperlink" Target="http://accentgr.com.au" TargetMode="External"/><Relationship Id="rId1769" Type="http://schemas.openxmlformats.org/officeDocument/2006/relationships/hyperlink" Target="http://observepoint.com" TargetMode="External"/><Relationship Id="rId78" Type="http://schemas.openxmlformats.org/officeDocument/2006/relationships/hyperlink" Target="http://observepoint.com" TargetMode="External"/><Relationship Id="rId71" Type="http://schemas.openxmlformats.org/officeDocument/2006/relationships/hyperlink" Target="http://accentgr.com.au" TargetMode="External"/><Relationship Id="rId70" Type="http://schemas.openxmlformats.org/officeDocument/2006/relationships/hyperlink" Target="http://observepoint.com" TargetMode="External"/><Relationship Id="rId1760" Type="http://schemas.openxmlformats.org/officeDocument/2006/relationships/hyperlink" Target="http://observepoint.com" TargetMode="External"/><Relationship Id="rId1761" Type="http://schemas.openxmlformats.org/officeDocument/2006/relationships/hyperlink" Target="http://observepoint.com" TargetMode="External"/><Relationship Id="rId1762" Type="http://schemas.openxmlformats.org/officeDocument/2006/relationships/hyperlink" Target="http://devry.edu" TargetMode="External"/><Relationship Id="rId62" Type="http://schemas.openxmlformats.org/officeDocument/2006/relationships/hyperlink" Target="http://observepoint.com" TargetMode="External"/><Relationship Id="rId1312" Type="http://schemas.openxmlformats.org/officeDocument/2006/relationships/hyperlink" Target="http://observepoint.com" TargetMode="External"/><Relationship Id="rId1796" Type="http://schemas.openxmlformats.org/officeDocument/2006/relationships/hyperlink" Target="http://devry.edu" TargetMode="External"/><Relationship Id="rId61" Type="http://schemas.openxmlformats.org/officeDocument/2006/relationships/hyperlink" Target="http://accentgr.com.au" TargetMode="External"/><Relationship Id="rId1313" Type="http://schemas.openxmlformats.org/officeDocument/2006/relationships/hyperlink" Target="http://observepoint.com" TargetMode="External"/><Relationship Id="rId1797" Type="http://schemas.openxmlformats.org/officeDocument/2006/relationships/hyperlink" Target="http://observepoint.com" TargetMode="External"/><Relationship Id="rId64" Type="http://schemas.openxmlformats.org/officeDocument/2006/relationships/hyperlink" Target="http://observepoint.com" TargetMode="External"/><Relationship Id="rId1314" Type="http://schemas.openxmlformats.org/officeDocument/2006/relationships/hyperlink" Target="http://agilent.com" TargetMode="External"/><Relationship Id="rId1798" Type="http://schemas.openxmlformats.org/officeDocument/2006/relationships/hyperlink" Target="http://observepoint.com" TargetMode="External"/><Relationship Id="rId63" Type="http://schemas.openxmlformats.org/officeDocument/2006/relationships/hyperlink" Target="http://observepoint.com" TargetMode="External"/><Relationship Id="rId1315" Type="http://schemas.openxmlformats.org/officeDocument/2006/relationships/hyperlink" Target="http://observepoint.com" TargetMode="External"/><Relationship Id="rId1799" Type="http://schemas.openxmlformats.org/officeDocument/2006/relationships/hyperlink" Target="http://observepoint.com" TargetMode="External"/><Relationship Id="rId66" Type="http://schemas.openxmlformats.org/officeDocument/2006/relationships/hyperlink" Target="http://observepoint.com" TargetMode="External"/><Relationship Id="rId1316" Type="http://schemas.openxmlformats.org/officeDocument/2006/relationships/hyperlink" Target="http://lumen.com" TargetMode="External"/><Relationship Id="rId65" Type="http://schemas.openxmlformats.org/officeDocument/2006/relationships/hyperlink" Target="http://accentgr.com.au" TargetMode="External"/><Relationship Id="rId1317" Type="http://schemas.openxmlformats.org/officeDocument/2006/relationships/hyperlink" Target="http://observepoint.com" TargetMode="External"/><Relationship Id="rId68" Type="http://schemas.openxmlformats.org/officeDocument/2006/relationships/hyperlink" Target="http://observepoint.com" TargetMode="External"/><Relationship Id="rId1318" Type="http://schemas.openxmlformats.org/officeDocument/2006/relationships/hyperlink" Target="http://lumen.com" TargetMode="External"/><Relationship Id="rId67" Type="http://schemas.openxmlformats.org/officeDocument/2006/relationships/hyperlink" Target="http://accentgr.com.au" TargetMode="External"/><Relationship Id="rId1319" Type="http://schemas.openxmlformats.org/officeDocument/2006/relationships/hyperlink" Target="http://observepoint.com" TargetMode="External"/><Relationship Id="rId729" Type="http://schemas.openxmlformats.org/officeDocument/2006/relationships/hyperlink" Target="http://observepoint.com" TargetMode="External"/><Relationship Id="rId728" Type="http://schemas.openxmlformats.org/officeDocument/2006/relationships/hyperlink" Target="http://observepoint.com" TargetMode="External"/><Relationship Id="rId60" Type="http://schemas.openxmlformats.org/officeDocument/2006/relationships/hyperlink" Target="http://observepoint.com" TargetMode="External"/><Relationship Id="rId723" Type="http://schemas.openxmlformats.org/officeDocument/2006/relationships/hyperlink" Target="http://prudential.com" TargetMode="External"/><Relationship Id="rId722" Type="http://schemas.openxmlformats.org/officeDocument/2006/relationships/hyperlink" Target="http://prudential.com" TargetMode="External"/><Relationship Id="rId721" Type="http://schemas.openxmlformats.org/officeDocument/2006/relationships/hyperlink" Target="http://prudential.com" TargetMode="External"/><Relationship Id="rId720" Type="http://schemas.openxmlformats.org/officeDocument/2006/relationships/hyperlink" Target="http://observepoint.com" TargetMode="External"/><Relationship Id="rId727" Type="http://schemas.openxmlformats.org/officeDocument/2006/relationships/hyperlink" Target="http://observepoint.com" TargetMode="External"/><Relationship Id="rId726" Type="http://schemas.openxmlformats.org/officeDocument/2006/relationships/hyperlink" Target="http://observepoint.com" TargetMode="External"/><Relationship Id="rId725" Type="http://schemas.openxmlformats.org/officeDocument/2006/relationships/hyperlink" Target="http://prudential.com" TargetMode="External"/><Relationship Id="rId724" Type="http://schemas.openxmlformats.org/officeDocument/2006/relationships/hyperlink" Target="http://observepoint.com" TargetMode="External"/><Relationship Id="rId69" Type="http://schemas.openxmlformats.org/officeDocument/2006/relationships/hyperlink" Target="http://observepoint.com" TargetMode="External"/><Relationship Id="rId1790" Type="http://schemas.openxmlformats.org/officeDocument/2006/relationships/hyperlink" Target="http://brunswick.com" TargetMode="External"/><Relationship Id="rId1791" Type="http://schemas.openxmlformats.org/officeDocument/2006/relationships/hyperlink" Target="http://observepoint.com" TargetMode="External"/><Relationship Id="rId1792" Type="http://schemas.openxmlformats.org/officeDocument/2006/relationships/hyperlink" Target="http://observepoint.com" TargetMode="External"/><Relationship Id="rId1793" Type="http://schemas.openxmlformats.org/officeDocument/2006/relationships/hyperlink" Target="http://observepoint.com" TargetMode="External"/><Relationship Id="rId1310" Type="http://schemas.openxmlformats.org/officeDocument/2006/relationships/hyperlink" Target="http://observepoint.com" TargetMode="External"/><Relationship Id="rId1794" Type="http://schemas.openxmlformats.org/officeDocument/2006/relationships/hyperlink" Target="http://brunswick.com" TargetMode="External"/><Relationship Id="rId1311" Type="http://schemas.openxmlformats.org/officeDocument/2006/relationships/hyperlink" Target="http://mms.org" TargetMode="External"/><Relationship Id="rId1795" Type="http://schemas.openxmlformats.org/officeDocument/2006/relationships/hyperlink" Target="http://brunswick.com" TargetMode="External"/><Relationship Id="rId51" Type="http://schemas.openxmlformats.org/officeDocument/2006/relationships/hyperlink" Target="http://observepoint.com" TargetMode="External"/><Relationship Id="rId1301" Type="http://schemas.openxmlformats.org/officeDocument/2006/relationships/hyperlink" Target="http://questrade.com" TargetMode="External"/><Relationship Id="rId1785" Type="http://schemas.openxmlformats.org/officeDocument/2006/relationships/hyperlink" Target="http://observepoint.com" TargetMode="External"/><Relationship Id="rId50" Type="http://schemas.openxmlformats.org/officeDocument/2006/relationships/hyperlink" Target="http://observepoint.com" TargetMode="External"/><Relationship Id="rId1302" Type="http://schemas.openxmlformats.org/officeDocument/2006/relationships/hyperlink" Target="http://observepoint.com" TargetMode="External"/><Relationship Id="rId1786" Type="http://schemas.openxmlformats.org/officeDocument/2006/relationships/hyperlink" Target="http://devry.edu" TargetMode="External"/><Relationship Id="rId53" Type="http://schemas.openxmlformats.org/officeDocument/2006/relationships/hyperlink" Target="http://observepoint.com" TargetMode="External"/><Relationship Id="rId1303" Type="http://schemas.openxmlformats.org/officeDocument/2006/relationships/hyperlink" Target="http://observepoint.com" TargetMode="External"/><Relationship Id="rId1787" Type="http://schemas.openxmlformats.org/officeDocument/2006/relationships/hyperlink" Target="http://observepoint.com" TargetMode="External"/><Relationship Id="rId52" Type="http://schemas.openxmlformats.org/officeDocument/2006/relationships/hyperlink" Target="http://amica.com" TargetMode="External"/><Relationship Id="rId1304" Type="http://schemas.openxmlformats.org/officeDocument/2006/relationships/hyperlink" Target="http://observepoint.com" TargetMode="External"/><Relationship Id="rId1788" Type="http://schemas.openxmlformats.org/officeDocument/2006/relationships/hyperlink" Target="http://observepoint.com" TargetMode="External"/><Relationship Id="rId55" Type="http://schemas.openxmlformats.org/officeDocument/2006/relationships/hyperlink" Target="http://accentgr.com.au" TargetMode="External"/><Relationship Id="rId1305" Type="http://schemas.openxmlformats.org/officeDocument/2006/relationships/hyperlink" Target="http://observepoint.com" TargetMode="External"/><Relationship Id="rId1789" Type="http://schemas.openxmlformats.org/officeDocument/2006/relationships/hyperlink" Target="http://brunswick.com" TargetMode="External"/><Relationship Id="rId54" Type="http://schemas.openxmlformats.org/officeDocument/2006/relationships/hyperlink" Target="http://observepoint.com" TargetMode="External"/><Relationship Id="rId1306" Type="http://schemas.openxmlformats.org/officeDocument/2006/relationships/hyperlink" Target="http://questrade.com" TargetMode="External"/><Relationship Id="rId57" Type="http://schemas.openxmlformats.org/officeDocument/2006/relationships/hyperlink" Target="http://observepoint.com" TargetMode="External"/><Relationship Id="rId1307" Type="http://schemas.openxmlformats.org/officeDocument/2006/relationships/hyperlink" Target="http://observepoint.com" TargetMode="External"/><Relationship Id="rId56" Type="http://schemas.openxmlformats.org/officeDocument/2006/relationships/hyperlink" Target="http://observepoint.com" TargetMode="External"/><Relationship Id="rId1308" Type="http://schemas.openxmlformats.org/officeDocument/2006/relationships/hyperlink" Target="http://agilent.com" TargetMode="External"/><Relationship Id="rId1309" Type="http://schemas.openxmlformats.org/officeDocument/2006/relationships/hyperlink" Target="http://observepoint.com" TargetMode="External"/><Relationship Id="rId719" Type="http://schemas.openxmlformats.org/officeDocument/2006/relationships/hyperlink" Target="http://prudential.com" TargetMode="External"/><Relationship Id="rId718" Type="http://schemas.openxmlformats.org/officeDocument/2006/relationships/hyperlink" Target="http://observepoint.com" TargetMode="External"/><Relationship Id="rId717" Type="http://schemas.openxmlformats.org/officeDocument/2006/relationships/hyperlink" Target="http://observepoint.com" TargetMode="External"/><Relationship Id="rId712" Type="http://schemas.openxmlformats.org/officeDocument/2006/relationships/hyperlink" Target="http://prudential.com" TargetMode="External"/><Relationship Id="rId711" Type="http://schemas.openxmlformats.org/officeDocument/2006/relationships/hyperlink" Target="http://prudential.com" TargetMode="External"/><Relationship Id="rId710" Type="http://schemas.openxmlformats.org/officeDocument/2006/relationships/hyperlink" Target="http://observepoint.com" TargetMode="External"/><Relationship Id="rId716" Type="http://schemas.openxmlformats.org/officeDocument/2006/relationships/hyperlink" Target="http://prudential.com" TargetMode="External"/><Relationship Id="rId715" Type="http://schemas.openxmlformats.org/officeDocument/2006/relationships/hyperlink" Target="http://observepoint.com" TargetMode="External"/><Relationship Id="rId714" Type="http://schemas.openxmlformats.org/officeDocument/2006/relationships/hyperlink" Target="http://prudential.com" TargetMode="External"/><Relationship Id="rId713" Type="http://schemas.openxmlformats.org/officeDocument/2006/relationships/hyperlink" Target="http://observepoint.com" TargetMode="External"/><Relationship Id="rId59" Type="http://schemas.openxmlformats.org/officeDocument/2006/relationships/hyperlink" Target="http://accentgr.com.au" TargetMode="External"/><Relationship Id="rId58" Type="http://schemas.openxmlformats.org/officeDocument/2006/relationships/hyperlink" Target="http://observepoint.com" TargetMode="External"/><Relationship Id="rId1780" Type="http://schemas.openxmlformats.org/officeDocument/2006/relationships/hyperlink" Target="http://observepoint.com" TargetMode="External"/><Relationship Id="rId1781" Type="http://schemas.openxmlformats.org/officeDocument/2006/relationships/hyperlink" Target="http://observepoint.com" TargetMode="External"/><Relationship Id="rId1782" Type="http://schemas.openxmlformats.org/officeDocument/2006/relationships/hyperlink" Target="http://devry.edu" TargetMode="External"/><Relationship Id="rId1783" Type="http://schemas.openxmlformats.org/officeDocument/2006/relationships/hyperlink" Target="http://observepoint.com" TargetMode="External"/><Relationship Id="rId1300" Type="http://schemas.openxmlformats.org/officeDocument/2006/relationships/hyperlink" Target="http://observepoint.com" TargetMode="External"/><Relationship Id="rId1784" Type="http://schemas.openxmlformats.org/officeDocument/2006/relationships/hyperlink" Target="http://observepoint.com" TargetMode="External"/><Relationship Id="rId349" Type="http://schemas.openxmlformats.org/officeDocument/2006/relationships/hyperlink" Target="http://observepoint.com" TargetMode="External"/><Relationship Id="rId348" Type="http://schemas.openxmlformats.org/officeDocument/2006/relationships/hyperlink" Target="http://commonspirit.org" TargetMode="External"/><Relationship Id="rId347" Type="http://schemas.openxmlformats.org/officeDocument/2006/relationships/hyperlink" Target="http://observepoint.com" TargetMode="External"/><Relationship Id="rId346" Type="http://schemas.openxmlformats.org/officeDocument/2006/relationships/hyperlink" Target="http://observepoint.com" TargetMode="External"/><Relationship Id="rId341" Type="http://schemas.openxmlformats.org/officeDocument/2006/relationships/hyperlink" Target="http://commonspirit.org" TargetMode="External"/><Relationship Id="rId340" Type="http://schemas.openxmlformats.org/officeDocument/2006/relationships/hyperlink" Target="http://observepoint.com" TargetMode="External"/><Relationship Id="rId345" Type="http://schemas.openxmlformats.org/officeDocument/2006/relationships/hyperlink" Target="http://observepoint.com" TargetMode="External"/><Relationship Id="rId344" Type="http://schemas.openxmlformats.org/officeDocument/2006/relationships/hyperlink" Target="http://commonspirit.org" TargetMode="External"/><Relationship Id="rId343" Type="http://schemas.openxmlformats.org/officeDocument/2006/relationships/hyperlink" Target="http://observepoint.com" TargetMode="External"/><Relationship Id="rId342" Type="http://schemas.openxmlformats.org/officeDocument/2006/relationships/hyperlink" Target="http://observepoint.com" TargetMode="External"/><Relationship Id="rId338" Type="http://schemas.openxmlformats.org/officeDocument/2006/relationships/hyperlink" Target="http://observepoint.com" TargetMode="External"/><Relationship Id="rId337" Type="http://schemas.openxmlformats.org/officeDocument/2006/relationships/hyperlink" Target="http://observepoint.com" TargetMode="External"/><Relationship Id="rId336" Type="http://schemas.openxmlformats.org/officeDocument/2006/relationships/hyperlink" Target="http://observepoint.com" TargetMode="External"/><Relationship Id="rId335" Type="http://schemas.openxmlformats.org/officeDocument/2006/relationships/hyperlink" Target="http://commonspirit.org" TargetMode="External"/><Relationship Id="rId339" Type="http://schemas.openxmlformats.org/officeDocument/2006/relationships/hyperlink" Target="http://commonspirit.org" TargetMode="External"/><Relationship Id="rId330" Type="http://schemas.openxmlformats.org/officeDocument/2006/relationships/hyperlink" Target="http://observepoint.com" TargetMode="External"/><Relationship Id="rId334" Type="http://schemas.openxmlformats.org/officeDocument/2006/relationships/hyperlink" Target="http://observepoint.com" TargetMode="External"/><Relationship Id="rId333" Type="http://schemas.openxmlformats.org/officeDocument/2006/relationships/hyperlink" Target="http://commonspirit.org" TargetMode="External"/><Relationship Id="rId332" Type="http://schemas.openxmlformats.org/officeDocument/2006/relationships/hyperlink" Target="http://observepoint.com" TargetMode="External"/><Relationship Id="rId331" Type="http://schemas.openxmlformats.org/officeDocument/2006/relationships/hyperlink" Target="http://observepoint.com" TargetMode="External"/><Relationship Id="rId370" Type="http://schemas.openxmlformats.org/officeDocument/2006/relationships/hyperlink" Target="http://observepoint.com" TargetMode="External"/><Relationship Id="rId369" Type="http://schemas.openxmlformats.org/officeDocument/2006/relationships/hyperlink" Target="http://observepoint.com" TargetMode="External"/><Relationship Id="rId368" Type="http://schemas.openxmlformats.org/officeDocument/2006/relationships/hyperlink" Target="http://accenture.com" TargetMode="External"/><Relationship Id="rId363" Type="http://schemas.openxmlformats.org/officeDocument/2006/relationships/hyperlink" Target="http://devry.edu" TargetMode="External"/><Relationship Id="rId362" Type="http://schemas.openxmlformats.org/officeDocument/2006/relationships/hyperlink" Target="http://devry.edu" TargetMode="External"/><Relationship Id="rId361" Type="http://schemas.openxmlformats.org/officeDocument/2006/relationships/hyperlink" Target="http://observepoint.com" TargetMode="External"/><Relationship Id="rId360" Type="http://schemas.openxmlformats.org/officeDocument/2006/relationships/hyperlink" Target="http://devry.edu" TargetMode="External"/><Relationship Id="rId367" Type="http://schemas.openxmlformats.org/officeDocument/2006/relationships/hyperlink" Target="http://chilipiper.com" TargetMode="External"/><Relationship Id="rId366" Type="http://schemas.openxmlformats.org/officeDocument/2006/relationships/hyperlink" Target="http://observepoint.com" TargetMode="External"/><Relationship Id="rId365" Type="http://schemas.openxmlformats.org/officeDocument/2006/relationships/hyperlink" Target="http://devry.edu" TargetMode="External"/><Relationship Id="rId364" Type="http://schemas.openxmlformats.org/officeDocument/2006/relationships/hyperlink" Target="http://observepoint.com" TargetMode="External"/><Relationship Id="rId95" Type="http://schemas.openxmlformats.org/officeDocument/2006/relationships/hyperlink" Target="http://observepoint.com" TargetMode="External"/><Relationship Id="rId94" Type="http://schemas.openxmlformats.org/officeDocument/2006/relationships/hyperlink" Target="http://observepoint.com" TargetMode="External"/><Relationship Id="rId97" Type="http://schemas.openxmlformats.org/officeDocument/2006/relationships/hyperlink" Target="http://observepoint.com" TargetMode="External"/><Relationship Id="rId96" Type="http://schemas.openxmlformats.org/officeDocument/2006/relationships/hyperlink" Target="http://amica.com" TargetMode="External"/><Relationship Id="rId99" Type="http://schemas.openxmlformats.org/officeDocument/2006/relationships/hyperlink" Target="http://observepoint.com" TargetMode="External"/><Relationship Id="rId98" Type="http://schemas.openxmlformats.org/officeDocument/2006/relationships/hyperlink" Target="http://observepoint.com" TargetMode="External"/><Relationship Id="rId91" Type="http://schemas.openxmlformats.org/officeDocument/2006/relationships/hyperlink" Target="http://observepoint.com" TargetMode="External"/><Relationship Id="rId90" Type="http://schemas.openxmlformats.org/officeDocument/2006/relationships/hyperlink" Target="http://amica.com" TargetMode="External"/><Relationship Id="rId93" Type="http://schemas.openxmlformats.org/officeDocument/2006/relationships/hyperlink" Target="http://amica.com" TargetMode="External"/><Relationship Id="rId92" Type="http://schemas.openxmlformats.org/officeDocument/2006/relationships/hyperlink" Target="http://amica.com" TargetMode="External"/><Relationship Id="rId359" Type="http://schemas.openxmlformats.org/officeDocument/2006/relationships/hyperlink" Target="http://observepoint.com" TargetMode="External"/><Relationship Id="rId358" Type="http://schemas.openxmlformats.org/officeDocument/2006/relationships/hyperlink" Target="http://devry.edu" TargetMode="External"/><Relationship Id="rId357" Type="http://schemas.openxmlformats.org/officeDocument/2006/relationships/hyperlink" Target="http://observepoint.com" TargetMode="External"/><Relationship Id="rId352" Type="http://schemas.openxmlformats.org/officeDocument/2006/relationships/hyperlink" Target="http://accenture.com" TargetMode="External"/><Relationship Id="rId351" Type="http://schemas.openxmlformats.org/officeDocument/2006/relationships/hyperlink" Target="http://devry.edu" TargetMode="External"/><Relationship Id="rId350" Type="http://schemas.openxmlformats.org/officeDocument/2006/relationships/hyperlink" Target="http://chilipiper.com" TargetMode="External"/><Relationship Id="rId356" Type="http://schemas.openxmlformats.org/officeDocument/2006/relationships/hyperlink" Target="http://observepoint.com" TargetMode="External"/><Relationship Id="rId355" Type="http://schemas.openxmlformats.org/officeDocument/2006/relationships/hyperlink" Target="http://observepoint.com" TargetMode="External"/><Relationship Id="rId354" Type="http://schemas.openxmlformats.org/officeDocument/2006/relationships/hyperlink" Target="http://accenture.com" TargetMode="External"/><Relationship Id="rId353" Type="http://schemas.openxmlformats.org/officeDocument/2006/relationships/hyperlink" Target="http://observepoint.com" TargetMode="External"/><Relationship Id="rId1378" Type="http://schemas.openxmlformats.org/officeDocument/2006/relationships/hyperlink" Target="http://observepoint.com" TargetMode="External"/><Relationship Id="rId1379" Type="http://schemas.openxmlformats.org/officeDocument/2006/relationships/hyperlink" Target="http://observepoint.com" TargetMode="External"/><Relationship Id="rId305" Type="http://schemas.openxmlformats.org/officeDocument/2006/relationships/hyperlink" Target="http://observepoint.com" TargetMode="External"/><Relationship Id="rId789" Type="http://schemas.openxmlformats.org/officeDocument/2006/relationships/hyperlink" Target="http://observepoint.com" TargetMode="External"/><Relationship Id="rId304" Type="http://schemas.openxmlformats.org/officeDocument/2006/relationships/hyperlink" Target="http://setoyota.com" TargetMode="External"/><Relationship Id="rId788" Type="http://schemas.openxmlformats.org/officeDocument/2006/relationships/hyperlink" Target="http://observepoint.com" TargetMode="External"/><Relationship Id="rId303" Type="http://schemas.openxmlformats.org/officeDocument/2006/relationships/hyperlink" Target="http://observepoint.com" TargetMode="External"/><Relationship Id="rId787" Type="http://schemas.openxmlformats.org/officeDocument/2006/relationships/hyperlink" Target="http://prudential.com" TargetMode="External"/><Relationship Id="rId302" Type="http://schemas.openxmlformats.org/officeDocument/2006/relationships/hyperlink" Target="http://accenture.com" TargetMode="External"/><Relationship Id="rId786" Type="http://schemas.openxmlformats.org/officeDocument/2006/relationships/hyperlink" Target="http://observepoint.com" TargetMode="External"/><Relationship Id="rId309" Type="http://schemas.openxmlformats.org/officeDocument/2006/relationships/hyperlink" Target="http://setoyota.com" TargetMode="External"/><Relationship Id="rId308" Type="http://schemas.openxmlformats.org/officeDocument/2006/relationships/hyperlink" Target="http://observepoint.com" TargetMode="External"/><Relationship Id="rId307" Type="http://schemas.openxmlformats.org/officeDocument/2006/relationships/hyperlink" Target="http://observepoint.com" TargetMode="External"/><Relationship Id="rId306" Type="http://schemas.openxmlformats.org/officeDocument/2006/relationships/hyperlink" Target="http://observepoint.com" TargetMode="External"/><Relationship Id="rId781" Type="http://schemas.openxmlformats.org/officeDocument/2006/relationships/hyperlink" Target="http://prudential.com" TargetMode="External"/><Relationship Id="rId1370" Type="http://schemas.openxmlformats.org/officeDocument/2006/relationships/hyperlink" Target="http://agilent.com" TargetMode="External"/><Relationship Id="rId780" Type="http://schemas.openxmlformats.org/officeDocument/2006/relationships/hyperlink" Target="http://observepoint.com" TargetMode="External"/><Relationship Id="rId1371" Type="http://schemas.openxmlformats.org/officeDocument/2006/relationships/hyperlink" Target="http://observepoint.com" TargetMode="External"/><Relationship Id="rId1372" Type="http://schemas.openxmlformats.org/officeDocument/2006/relationships/hyperlink" Target="http://observepoint.com" TargetMode="External"/><Relationship Id="rId1373" Type="http://schemas.openxmlformats.org/officeDocument/2006/relationships/hyperlink" Target="http://ziffdavis.com" TargetMode="External"/><Relationship Id="rId301" Type="http://schemas.openxmlformats.org/officeDocument/2006/relationships/hyperlink" Target="http://observepoint.com" TargetMode="External"/><Relationship Id="rId785" Type="http://schemas.openxmlformats.org/officeDocument/2006/relationships/hyperlink" Target="http://observepoint.com" TargetMode="External"/><Relationship Id="rId1374" Type="http://schemas.openxmlformats.org/officeDocument/2006/relationships/hyperlink" Target="http://brunswick.com" TargetMode="External"/><Relationship Id="rId300" Type="http://schemas.openxmlformats.org/officeDocument/2006/relationships/hyperlink" Target="http://darden.com" TargetMode="External"/><Relationship Id="rId784" Type="http://schemas.openxmlformats.org/officeDocument/2006/relationships/hyperlink" Target="http://observepoint.com" TargetMode="External"/><Relationship Id="rId1375" Type="http://schemas.openxmlformats.org/officeDocument/2006/relationships/hyperlink" Target="http://observepoint.com" TargetMode="External"/><Relationship Id="rId783" Type="http://schemas.openxmlformats.org/officeDocument/2006/relationships/hyperlink" Target="http://prudential.com" TargetMode="External"/><Relationship Id="rId1376" Type="http://schemas.openxmlformats.org/officeDocument/2006/relationships/hyperlink" Target="http://brunswick.com" TargetMode="External"/><Relationship Id="rId782" Type="http://schemas.openxmlformats.org/officeDocument/2006/relationships/hyperlink" Target="http://observepoint.com" TargetMode="External"/><Relationship Id="rId1377" Type="http://schemas.openxmlformats.org/officeDocument/2006/relationships/hyperlink" Target="http://ziffdavis.com" TargetMode="External"/><Relationship Id="rId1367" Type="http://schemas.openxmlformats.org/officeDocument/2006/relationships/hyperlink" Target="http://prudential.com" TargetMode="External"/><Relationship Id="rId1368" Type="http://schemas.openxmlformats.org/officeDocument/2006/relationships/hyperlink" Target="http://ziffdavis.com" TargetMode="External"/><Relationship Id="rId1369" Type="http://schemas.openxmlformats.org/officeDocument/2006/relationships/hyperlink" Target="http://observepoint.com" TargetMode="External"/><Relationship Id="rId778" Type="http://schemas.openxmlformats.org/officeDocument/2006/relationships/hyperlink" Target="http://observepoint.com" TargetMode="External"/><Relationship Id="rId777" Type="http://schemas.openxmlformats.org/officeDocument/2006/relationships/hyperlink" Target="http://prudential.com" TargetMode="External"/><Relationship Id="rId776" Type="http://schemas.openxmlformats.org/officeDocument/2006/relationships/hyperlink" Target="http://observepoint.com" TargetMode="External"/><Relationship Id="rId775" Type="http://schemas.openxmlformats.org/officeDocument/2006/relationships/hyperlink" Target="http://prudential.com" TargetMode="External"/><Relationship Id="rId779" Type="http://schemas.openxmlformats.org/officeDocument/2006/relationships/hyperlink" Target="http://observepoint.com" TargetMode="External"/><Relationship Id="rId770" Type="http://schemas.openxmlformats.org/officeDocument/2006/relationships/hyperlink" Target="http://observepoint.com" TargetMode="External"/><Relationship Id="rId1360" Type="http://schemas.openxmlformats.org/officeDocument/2006/relationships/hyperlink" Target="http://observepoint.com" TargetMode="External"/><Relationship Id="rId1361" Type="http://schemas.openxmlformats.org/officeDocument/2006/relationships/hyperlink" Target="http://observepoint.com" TargetMode="External"/><Relationship Id="rId1362" Type="http://schemas.openxmlformats.org/officeDocument/2006/relationships/hyperlink" Target="http://brunswick.com" TargetMode="External"/><Relationship Id="rId774" Type="http://schemas.openxmlformats.org/officeDocument/2006/relationships/hyperlink" Target="http://observepoint.com" TargetMode="External"/><Relationship Id="rId1363" Type="http://schemas.openxmlformats.org/officeDocument/2006/relationships/hyperlink" Target="http://observepoint.com" TargetMode="External"/><Relationship Id="rId773" Type="http://schemas.openxmlformats.org/officeDocument/2006/relationships/hyperlink" Target="http://observepoint.com" TargetMode="External"/><Relationship Id="rId1364" Type="http://schemas.openxmlformats.org/officeDocument/2006/relationships/hyperlink" Target="http://observepoint.com" TargetMode="External"/><Relationship Id="rId772" Type="http://schemas.openxmlformats.org/officeDocument/2006/relationships/hyperlink" Target="http://observepoint.com" TargetMode="External"/><Relationship Id="rId1365" Type="http://schemas.openxmlformats.org/officeDocument/2006/relationships/hyperlink" Target="http://brunswick.com" TargetMode="External"/><Relationship Id="rId771" Type="http://schemas.openxmlformats.org/officeDocument/2006/relationships/hyperlink" Target="http://prudential.com" TargetMode="External"/><Relationship Id="rId1366" Type="http://schemas.openxmlformats.org/officeDocument/2006/relationships/hyperlink" Target="http://observepoint.com" TargetMode="External"/><Relationship Id="rId327" Type="http://schemas.openxmlformats.org/officeDocument/2006/relationships/hyperlink" Target="http://commonspirit.org" TargetMode="External"/><Relationship Id="rId326" Type="http://schemas.openxmlformats.org/officeDocument/2006/relationships/hyperlink" Target="http://observepoint.com" TargetMode="External"/><Relationship Id="rId325" Type="http://schemas.openxmlformats.org/officeDocument/2006/relationships/hyperlink" Target="http://observepoint.com" TargetMode="External"/><Relationship Id="rId324" Type="http://schemas.openxmlformats.org/officeDocument/2006/relationships/hyperlink" Target="http://observepoint.com" TargetMode="External"/><Relationship Id="rId329" Type="http://schemas.openxmlformats.org/officeDocument/2006/relationships/hyperlink" Target="http://commonspirit.org" TargetMode="External"/><Relationship Id="rId1390" Type="http://schemas.openxmlformats.org/officeDocument/2006/relationships/hyperlink" Target="http://darden.com" TargetMode="External"/><Relationship Id="rId328" Type="http://schemas.openxmlformats.org/officeDocument/2006/relationships/hyperlink" Target="http://observepoint.com" TargetMode="External"/><Relationship Id="rId1391" Type="http://schemas.openxmlformats.org/officeDocument/2006/relationships/hyperlink" Target="http://prudential.com" TargetMode="External"/><Relationship Id="rId1392" Type="http://schemas.openxmlformats.org/officeDocument/2006/relationships/hyperlink" Target="http://prudential.com" TargetMode="External"/><Relationship Id="rId1393" Type="http://schemas.openxmlformats.org/officeDocument/2006/relationships/hyperlink" Target="http://observepoint.com" TargetMode="External"/><Relationship Id="rId1394" Type="http://schemas.openxmlformats.org/officeDocument/2006/relationships/hyperlink" Target="http://observepoint.com" TargetMode="External"/><Relationship Id="rId1395" Type="http://schemas.openxmlformats.org/officeDocument/2006/relationships/hyperlink" Target="http://prudential.com" TargetMode="External"/><Relationship Id="rId323" Type="http://schemas.openxmlformats.org/officeDocument/2006/relationships/hyperlink" Target="http://commonspirit.org" TargetMode="External"/><Relationship Id="rId1396" Type="http://schemas.openxmlformats.org/officeDocument/2006/relationships/hyperlink" Target="http://prudential.com" TargetMode="External"/><Relationship Id="rId322" Type="http://schemas.openxmlformats.org/officeDocument/2006/relationships/hyperlink" Target="http://observepoint.com" TargetMode="External"/><Relationship Id="rId1397" Type="http://schemas.openxmlformats.org/officeDocument/2006/relationships/hyperlink" Target="http://observepoint.com" TargetMode="External"/><Relationship Id="rId321" Type="http://schemas.openxmlformats.org/officeDocument/2006/relationships/hyperlink" Target="http://commonspirit.org" TargetMode="External"/><Relationship Id="rId1398" Type="http://schemas.openxmlformats.org/officeDocument/2006/relationships/hyperlink" Target="http://verisign.com" TargetMode="External"/><Relationship Id="rId320" Type="http://schemas.openxmlformats.org/officeDocument/2006/relationships/hyperlink" Target="http://observepoint.com" TargetMode="External"/><Relationship Id="rId1399" Type="http://schemas.openxmlformats.org/officeDocument/2006/relationships/hyperlink" Target="http://observepoint.com" TargetMode="External"/><Relationship Id="rId1389" Type="http://schemas.openxmlformats.org/officeDocument/2006/relationships/hyperlink" Target="http://observepoint.com" TargetMode="External"/><Relationship Id="rId316" Type="http://schemas.openxmlformats.org/officeDocument/2006/relationships/hyperlink" Target="http://commonspirit.org" TargetMode="External"/><Relationship Id="rId315" Type="http://schemas.openxmlformats.org/officeDocument/2006/relationships/hyperlink" Target="http://observepoint.com" TargetMode="External"/><Relationship Id="rId799" Type="http://schemas.openxmlformats.org/officeDocument/2006/relationships/hyperlink" Target="http://observepoint.com" TargetMode="External"/><Relationship Id="rId314" Type="http://schemas.openxmlformats.org/officeDocument/2006/relationships/hyperlink" Target="http://observepoint.com" TargetMode="External"/><Relationship Id="rId798" Type="http://schemas.openxmlformats.org/officeDocument/2006/relationships/hyperlink" Target="http://prudential.com" TargetMode="External"/><Relationship Id="rId313" Type="http://schemas.openxmlformats.org/officeDocument/2006/relationships/hyperlink" Target="http://commonspirit.org" TargetMode="External"/><Relationship Id="rId797" Type="http://schemas.openxmlformats.org/officeDocument/2006/relationships/hyperlink" Target="http://observepoint.com" TargetMode="External"/><Relationship Id="rId319" Type="http://schemas.openxmlformats.org/officeDocument/2006/relationships/hyperlink" Target="http://observepoint.com" TargetMode="External"/><Relationship Id="rId318" Type="http://schemas.openxmlformats.org/officeDocument/2006/relationships/hyperlink" Target="http://observepoint.com" TargetMode="External"/><Relationship Id="rId317" Type="http://schemas.openxmlformats.org/officeDocument/2006/relationships/hyperlink" Target="http://commonspirit.org" TargetMode="External"/><Relationship Id="rId1380" Type="http://schemas.openxmlformats.org/officeDocument/2006/relationships/hyperlink" Target="http://torrid.com" TargetMode="External"/><Relationship Id="rId792" Type="http://schemas.openxmlformats.org/officeDocument/2006/relationships/hyperlink" Target="http://prudential.com" TargetMode="External"/><Relationship Id="rId1381" Type="http://schemas.openxmlformats.org/officeDocument/2006/relationships/hyperlink" Target="http://prudential.com" TargetMode="External"/><Relationship Id="rId791" Type="http://schemas.openxmlformats.org/officeDocument/2006/relationships/hyperlink" Target="http://observepoint.com" TargetMode="External"/><Relationship Id="rId1382" Type="http://schemas.openxmlformats.org/officeDocument/2006/relationships/hyperlink" Target="http://observepoint.com" TargetMode="External"/><Relationship Id="rId790" Type="http://schemas.openxmlformats.org/officeDocument/2006/relationships/hyperlink" Target="http://prudential.com" TargetMode="External"/><Relationship Id="rId1383" Type="http://schemas.openxmlformats.org/officeDocument/2006/relationships/hyperlink" Target="http://observepoint.com" TargetMode="External"/><Relationship Id="rId1384" Type="http://schemas.openxmlformats.org/officeDocument/2006/relationships/hyperlink" Target="http://prudential.com" TargetMode="External"/><Relationship Id="rId312" Type="http://schemas.openxmlformats.org/officeDocument/2006/relationships/hyperlink" Target="http://commonspirit.org" TargetMode="External"/><Relationship Id="rId796" Type="http://schemas.openxmlformats.org/officeDocument/2006/relationships/hyperlink" Target="http://prudential.com" TargetMode="External"/><Relationship Id="rId1385" Type="http://schemas.openxmlformats.org/officeDocument/2006/relationships/hyperlink" Target="http://observepoint.com" TargetMode="External"/><Relationship Id="rId311" Type="http://schemas.openxmlformats.org/officeDocument/2006/relationships/hyperlink" Target="http://observepoint.com" TargetMode="External"/><Relationship Id="rId795" Type="http://schemas.openxmlformats.org/officeDocument/2006/relationships/hyperlink" Target="http://observepoint.com" TargetMode="External"/><Relationship Id="rId1386" Type="http://schemas.openxmlformats.org/officeDocument/2006/relationships/hyperlink" Target="http://darden.com" TargetMode="External"/><Relationship Id="rId310" Type="http://schemas.openxmlformats.org/officeDocument/2006/relationships/hyperlink" Target="http://observepoint.com" TargetMode="External"/><Relationship Id="rId794" Type="http://schemas.openxmlformats.org/officeDocument/2006/relationships/hyperlink" Target="http://observepoint.com" TargetMode="External"/><Relationship Id="rId1387" Type="http://schemas.openxmlformats.org/officeDocument/2006/relationships/hyperlink" Target="http://darden.com" TargetMode="External"/><Relationship Id="rId793" Type="http://schemas.openxmlformats.org/officeDocument/2006/relationships/hyperlink" Target="http://observepoint.com" TargetMode="External"/><Relationship Id="rId1388" Type="http://schemas.openxmlformats.org/officeDocument/2006/relationships/hyperlink" Target="http://observepoint.com" TargetMode="External"/><Relationship Id="rId297" Type="http://schemas.openxmlformats.org/officeDocument/2006/relationships/hyperlink" Target="http://devry.edu" TargetMode="External"/><Relationship Id="rId296" Type="http://schemas.openxmlformats.org/officeDocument/2006/relationships/hyperlink" Target="http://devry.edu" TargetMode="External"/><Relationship Id="rId295" Type="http://schemas.openxmlformats.org/officeDocument/2006/relationships/hyperlink" Target="http://devry.edu" TargetMode="External"/><Relationship Id="rId294" Type="http://schemas.openxmlformats.org/officeDocument/2006/relationships/hyperlink" Target="http://devry.edu" TargetMode="External"/><Relationship Id="rId299" Type="http://schemas.openxmlformats.org/officeDocument/2006/relationships/hyperlink" Target="http://observepoint.com" TargetMode="External"/><Relationship Id="rId298" Type="http://schemas.openxmlformats.org/officeDocument/2006/relationships/hyperlink" Target="http://devry.edu" TargetMode="External"/><Relationship Id="rId271" Type="http://schemas.openxmlformats.org/officeDocument/2006/relationships/hyperlink" Target="http://observepoint.com" TargetMode="External"/><Relationship Id="rId270" Type="http://schemas.openxmlformats.org/officeDocument/2006/relationships/hyperlink" Target="http://observepoint.com" TargetMode="External"/><Relationship Id="rId269" Type="http://schemas.openxmlformats.org/officeDocument/2006/relationships/hyperlink" Target="http://observepoint.com" TargetMode="External"/><Relationship Id="rId264" Type="http://schemas.openxmlformats.org/officeDocument/2006/relationships/hyperlink" Target="http://observepoint.com" TargetMode="External"/><Relationship Id="rId263" Type="http://schemas.openxmlformats.org/officeDocument/2006/relationships/hyperlink" Target="http://cdw.com" TargetMode="External"/><Relationship Id="rId262" Type="http://schemas.openxmlformats.org/officeDocument/2006/relationships/hyperlink" Target="http://observepoint.com" TargetMode="External"/><Relationship Id="rId261" Type="http://schemas.openxmlformats.org/officeDocument/2006/relationships/hyperlink" Target="http://cdw.com" TargetMode="External"/><Relationship Id="rId268" Type="http://schemas.openxmlformats.org/officeDocument/2006/relationships/hyperlink" Target="http://observepoint.com" TargetMode="External"/><Relationship Id="rId267" Type="http://schemas.openxmlformats.org/officeDocument/2006/relationships/hyperlink" Target="http://cdw.com" TargetMode="External"/><Relationship Id="rId266" Type="http://schemas.openxmlformats.org/officeDocument/2006/relationships/hyperlink" Target="http://observepoint.com" TargetMode="External"/><Relationship Id="rId265" Type="http://schemas.openxmlformats.org/officeDocument/2006/relationships/hyperlink" Target="http://cdw.com" TargetMode="External"/><Relationship Id="rId260" Type="http://schemas.openxmlformats.org/officeDocument/2006/relationships/hyperlink" Target="http://observepoint.com" TargetMode="External"/><Relationship Id="rId259" Type="http://schemas.openxmlformats.org/officeDocument/2006/relationships/hyperlink" Target="http://cdw.com" TargetMode="External"/><Relationship Id="rId258" Type="http://schemas.openxmlformats.org/officeDocument/2006/relationships/hyperlink" Target="http://observepoint.com" TargetMode="External"/><Relationship Id="rId253" Type="http://schemas.openxmlformats.org/officeDocument/2006/relationships/hyperlink" Target="http://cdw.com" TargetMode="External"/><Relationship Id="rId252" Type="http://schemas.openxmlformats.org/officeDocument/2006/relationships/hyperlink" Target="http://observepoint.com" TargetMode="External"/><Relationship Id="rId251" Type="http://schemas.openxmlformats.org/officeDocument/2006/relationships/hyperlink" Target="http://cdw.com" TargetMode="External"/><Relationship Id="rId250" Type="http://schemas.openxmlformats.org/officeDocument/2006/relationships/hyperlink" Target="http://observepoint.com" TargetMode="External"/><Relationship Id="rId257" Type="http://schemas.openxmlformats.org/officeDocument/2006/relationships/hyperlink" Target="http://cdw.com" TargetMode="External"/><Relationship Id="rId256" Type="http://schemas.openxmlformats.org/officeDocument/2006/relationships/hyperlink" Target="http://observepoint.com" TargetMode="External"/><Relationship Id="rId255" Type="http://schemas.openxmlformats.org/officeDocument/2006/relationships/hyperlink" Target="http://cdw.com" TargetMode="External"/><Relationship Id="rId254" Type="http://schemas.openxmlformats.org/officeDocument/2006/relationships/hyperlink" Target="http://observepoint.com" TargetMode="External"/><Relationship Id="rId293" Type="http://schemas.openxmlformats.org/officeDocument/2006/relationships/hyperlink" Target="http://devry.edu" TargetMode="External"/><Relationship Id="rId292" Type="http://schemas.openxmlformats.org/officeDocument/2006/relationships/hyperlink" Target="http://observepoint.com" TargetMode="External"/><Relationship Id="rId291" Type="http://schemas.openxmlformats.org/officeDocument/2006/relationships/hyperlink" Target="http://devry.edu" TargetMode="External"/><Relationship Id="rId290" Type="http://schemas.openxmlformats.org/officeDocument/2006/relationships/hyperlink" Target="http://observepoint.com" TargetMode="External"/><Relationship Id="rId286" Type="http://schemas.openxmlformats.org/officeDocument/2006/relationships/hyperlink" Target="http://observepoint.com" TargetMode="External"/><Relationship Id="rId285" Type="http://schemas.openxmlformats.org/officeDocument/2006/relationships/hyperlink" Target="http://commonspirit.org" TargetMode="External"/><Relationship Id="rId284" Type="http://schemas.openxmlformats.org/officeDocument/2006/relationships/hyperlink" Target="http://observepoint.com" TargetMode="External"/><Relationship Id="rId283" Type="http://schemas.openxmlformats.org/officeDocument/2006/relationships/hyperlink" Target="http://observepoint.com" TargetMode="External"/><Relationship Id="rId289" Type="http://schemas.openxmlformats.org/officeDocument/2006/relationships/hyperlink" Target="http://devry.edu" TargetMode="External"/><Relationship Id="rId288" Type="http://schemas.openxmlformats.org/officeDocument/2006/relationships/hyperlink" Target="http://commonspirit.org" TargetMode="External"/><Relationship Id="rId287" Type="http://schemas.openxmlformats.org/officeDocument/2006/relationships/hyperlink" Target="http://observepoint.com" TargetMode="External"/><Relationship Id="rId282" Type="http://schemas.openxmlformats.org/officeDocument/2006/relationships/hyperlink" Target="http://observepoint.com" TargetMode="External"/><Relationship Id="rId281" Type="http://schemas.openxmlformats.org/officeDocument/2006/relationships/hyperlink" Target="http://observepoint.com" TargetMode="External"/><Relationship Id="rId280" Type="http://schemas.openxmlformats.org/officeDocument/2006/relationships/hyperlink" Target="http://crowdstrike.com" TargetMode="External"/><Relationship Id="rId275" Type="http://schemas.openxmlformats.org/officeDocument/2006/relationships/hyperlink" Target="http://observepoint.com" TargetMode="External"/><Relationship Id="rId274" Type="http://schemas.openxmlformats.org/officeDocument/2006/relationships/hyperlink" Target="http://crowdstrike.com" TargetMode="External"/><Relationship Id="rId273" Type="http://schemas.openxmlformats.org/officeDocument/2006/relationships/hyperlink" Target="http://crowdstrike.com" TargetMode="External"/><Relationship Id="rId272" Type="http://schemas.openxmlformats.org/officeDocument/2006/relationships/hyperlink" Target="http://observepoint.com" TargetMode="External"/><Relationship Id="rId279" Type="http://schemas.openxmlformats.org/officeDocument/2006/relationships/hyperlink" Target="http://observepoint.com" TargetMode="External"/><Relationship Id="rId278" Type="http://schemas.openxmlformats.org/officeDocument/2006/relationships/hyperlink" Target="http://observepoint.com" TargetMode="External"/><Relationship Id="rId277" Type="http://schemas.openxmlformats.org/officeDocument/2006/relationships/hyperlink" Target="http://crowdstrike.com" TargetMode="External"/><Relationship Id="rId276" Type="http://schemas.openxmlformats.org/officeDocument/2006/relationships/hyperlink" Target="http://observepoint.com" TargetMode="External"/><Relationship Id="rId1851" Type="http://schemas.openxmlformats.org/officeDocument/2006/relationships/hyperlink" Target="http://observepoint.com" TargetMode="External"/><Relationship Id="rId1852" Type="http://schemas.openxmlformats.org/officeDocument/2006/relationships/hyperlink" Target="http://cvshealth.com" TargetMode="External"/><Relationship Id="rId1853" Type="http://schemas.openxmlformats.org/officeDocument/2006/relationships/hyperlink" Target="http://observepoint.com" TargetMode="External"/><Relationship Id="rId1854" Type="http://schemas.openxmlformats.org/officeDocument/2006/relationships/hyperlink" Target="http://cvshealth.com" TargetMode="External"/><Relationship Id="rId1855" Type="http://schemas.openxmlformats.org/officeDocument/2006/relationships/hyperlink" Target="http://prudential.com" TargetMode="External"/><Relationship Id="rId1856" Type="http://schemas.openxmlformats.org/officeDocument/2006/relationships/hyperlink" Target="http://prudential.com" TargetMode="External"/><Relationship Id="rId1857" Type="http://schemas.openxmlformats.org/officeDocument/2006/relationships/hyperlink" Target="http://prudential.com" TargetMode="External"/><Relationship Id="rId1858" Type="http://schemas.openxmlformats.org/officeDocument/2006/relationships/hyperlink" Target="http://prudential.com" TargetMode="External"/><Relationship Id="rId1859" Type="http://schemas.openxmlformats.org/officeDocument/2006/relationships/hyperlink" Target="http://prudential.com" TargetMode="External"/><Relationship Id="rId1850" Type="http://schemas.openxmlformats.org/officeDocument/2006/relationships/hyperlink" Target="http://accentgr.com.au" TargetMode="External"/><Relationship Id="rId1840" Type="http://schemas.openxmlformats.org/officeDocument/2006/relationships/hyperlink" Target="http://athenahealth.com" TargetMode="External"/><Relationship Id="rId1841" Type="http://schemas.openxmlformats.org/officeDocument/2006/relationships/hyperlink" Target="http://observepoint.com" TargetMode="External"/><Relationship Id="rId1842" Type="http://schemas.openxmlformats.org/officeDocument/2006/relationships/hyperlink" Target="http://worldmarket.com" TargetMode="External"/><Relationship Id="rId1843" Type="http://schemas.openxmlformats.org/officeDocument/2006/relationships/hyperlink" Target="http://observepoint.com" TargetMode="External"/><Relationship Id="rId1844" Type="http://schemas.openxmlformats.org/officeDocument/2006/relationships/hyperlink" Target="http://observepoint.com" TargetMode="External"/><Relationship Id="rId1845" Type="http://schemas.openxmlformats.org/officeDocument/2006/relationships/hyperlink" Target="http://worldmarket.com" TargetMode="External"/><Relationship Id="rId1846" Type="http://schemas.openxmlformats.org/officeDocument/2006/relationships/hyperlink" Target="http://observepoint.com" TargetMode="External"/><Relationship Id="rId1847" Type="http://schemas.openxmlformats.org/officeDocument/2006/relationships/hyperlink" Target="http://observepoint.com" TargetMode="External"/><Relationship Id="rId1848" Type="http://schemas.openxmlformats.org/officeDocument/2006/relationships/hyperlink" Target="http://observepoint.com" TargetMode="External"/><Relationship Id="rId1849" Type="http://schemas.openxmlformats.org/officeDocument/2006/relationships/hyperlink" Target="http://observepoint.com" TargetMode="External"/><Relationship Id="rId1873" Type="http://schemas.openxmlformats.org/officeDocument/2006/relationships/hyperlink" Target="http://officeworks.com.au" TargetMode="External"/><Relationship Id="rId1874" Type="http://schemas.openxmlformats.org/officeDocument/2006/relationships/hyperlink" Target="http://observepoint.com" TargetMode="External"/><Relationship Id="rId1875" Type="http://schemas.openxmlformats.org/officeDocument/2006/relationships/hyperlink" Target="http://prudential.com" TargetMode="External"/><Relationship Id="rId1876" Type="http://schemas.openxmlformats.org/officeDocument/2006/relationships/hyperlink" Target="http://prudential.com" TargetMode="External"/><Relationship Id="rId1877" Type="http://schemas.openxmlformats.org/officeDocument/2006/relationships/hyperlink" Target="http://prudential.com" TargetMode="External"/><Relationship Id="rId1878" Type="http://schemas.openxmlformats.org/officeDocument/2006/relationships/hyperlink" Target="http://observepoint.com" TargetMode="External"/><Relationship Id="rId1879" Type="http://schemas.openxmlformats.org/officeDocument/2006/relationships/hyperlink" Target="http://amica.com" TargetMode="External"/><Relationship Id="rId1870" Type="http://schemas.openxmlformats.org/officeDocument/2006/relationships/hyperlink" Target="http://observepoint.com" TargetMode="External"/><Relationship Id="rId1871" Type="http://schemas.openxmlformats.org/officeDocument/2006/relationships/hyperlink" Target="http://observepoint.com" TargetMode="External"/><Relationship Id="rId1872" Type="http://schemas.openxmlformats.org/officeDocument/2006/relationships/hyperlink" Target="http://accentgr.com.au" TargetMode="External"/><Relationship Id="rId1862" Type="http://schemas.openxmlformats.org/officeDocument/2006/relationships/hyperlink" Target="http://prudential.com" TargetMode="External"/><Relationship Id="rId1863" Type="http://schemas.openxmlformats.org/officeDocument/2006/relationships/hyperlink" Target="http://observepoint.com" TargetMode="External"/><Relationship Id="rId1864" Type="http://schemas.openxmlformats.org/officeDocument/2006/relationships/hyperlink" Target="http://observepoint.com" TargetMode="External"/><Relationship Id="rId1865" Type="http://schemas.openxmlformats.org/officeDocument/2006/relationships/hyperlink" Target="http://pmi.org" TargetMode="External"/><Relationship Id="rId1866" Type="http://schemas.openxmlformats.org/officeDocument/2006/relationships/hyperlink" Target="http://observepoint.com" TargetMode="External"/><Relationship Id="rId1867" Type="http://schemas.openxmlformats.org/officeDocument/2006/relationships/hyperlink" Target="http://observepoint.com" TargetMode="External"/><Relationship Id="rId1868" Type="http://schemas.openxmlformats.org/officeDocument/2006/relationships/hyperlink" Target="http://pmi.org" TargetMode="External"/><Relationship Id="rId1869" Type="http://schemas.openxmlformats.org/officeDocument/2006/relationships/hyperlink" Target="http://accentgr.com.au" TargetMode="External"/><Relationship Id="rId1860" Type="http://schemas.openxmlformats.org/officeDocument/2006/relationships/hyperlink" Target="http://observepoint.com" TargetMode="External"/><Relationship Id="rId1861" Type="http://schemas.openxmlformats.org/officeDocument/2006/relationships/hyperlink" Target="http://prudential.com" TargetMode="External"/><Relationship Id="rId1810" Type="http://schemas.openxmlformats.org/officeDocument/2006/relationships/hyperlink" Target="http://brunswick.com" TargetMode="External"/><Relationship Id="rId1811" Type="http://schemas.openxmlformats.org/officeDocument/2006/relationships/hyperlink" Target="http://observepoint.com" TargetMode="External"/><Relationship Id="rId1812" Type="http://schemas.openxmlformats.org/officeDocument/2006/relationships/hyperlink" Target="http://brunswick.com" TargetMode="External"/><Relationship Id="rId1813" Type="http://schemas.openxmlformats.org/officeDocument/2006/relationships/hyperlink" Target="http://brunswick.com" TargetMode="External"/><Relationship Id="rId1814" Type="http://schemas.openxmlformats.org/officeDocument/2006/relationships/hyperlink" Target="http://observepoint.com" TargetMode="External"/><Relationship Id="rId1815" Type="http://schemas.openxmlformats.org/officeDocument/2006/relationships/hyperlink" Target="http://brunswick.com" TargetMode="External"/><Relationship Id="rId1816" Type="http://schemas.openxmlformats.org/officeDocument/2006/relationships/hyperlink" Target="http://brunswick.com" TargetMode="External"/><Relationship Id="rId1817" Type="http://schemas.openxmlformats.org/officeDocument/2006/relationships/hyperlink" Target="http://observepoint.com" TargetMode="External"/><Relationship Id="rId1818" Type="http://schemas.openxmlformats.org/officeDocument/2006/relationships/hyperlink" Target="http://brunswick.com" TargetMode="External"/><Relationship Id="rId1819" Type="http://schemas.openxmlformats.org/officeDocument/2006/relationships/hyperlink" Target="http://brunswick.com" TargetMode="External"/><Relationship Id="rId1800" Type="http://schemas.openxmlformats.org/officeDocument/2006/relationships/hyperlink" Target="http://brunswick.com" TargetMode="External"/><Relationship Id="rId1801" Type="http://schemas.openxmlformats.org/officeDocument/2006/relationships/hyperlink" Target="http://brunswick.com" TargetMode="External"/><Relationship Id="rId1802" Type="http://schemas.openxmlformats.org/officeDocument/2006/relationships/hyperlink" Target="http://observepoint.com" TargetMode="External"/><Relationship Id="rId1803" Type="http://schemas.openxmlformats.org/officeDocument/2006/relationships/hyperlink" Target="http://devry.edu" TargetMode="External"/><Relationship Id="rId1804" Type="http://schemas.openxmlformats.org/officeDocument/2006/relationships/hyperlink" Target="http://observepoint.com" TargetMode="External"/><Relationship Id="rId1805" Type="http://schemas.openxmlformats.org/officeDocument/2006/relationships/hyperlink" Target="http://observepoint.com" TargetMode="External"/><Relationship Id="rId1806" Type="http://schemas.openxmlformats.org/officeDocument/2006/relationships/hyperlink" Target="http://athenahealth.com" TargetMode="External"/><Relationship Id="rId1807" Type="http://schemas.openxmlformats.org/officeDocument/2006/relationships/hyperlink" Target="http://observepoint.com" TargetMode="External"/><Relationship Id="rId1808" Type="http://schemas.openxmlformats.org/officeDocument/2006/relationships/hyperlink" Target="http://observepoint.com" TargetMode="External"/><Relationship Id="rId1809" Type="http://schemas.openxmlformats.org/officeDocument/2006/relationships/hyperlink" Target="http://brunswick.com" TargetMode="External"/><Relationship Id="rId1830" Type="http://schemas.openxmlformats.org/officeDocument/2006/relationships/hyperlink" Target="http://worldmarket.com" TargetMode="External"/><Relationship Id="rId1831" Type="http://schemas.openxmlformats.org/officeDocument/2006/relationships/hyperlink" Target="http://observepoint.com" TargetMode="External"/><Relationship Id="rId1832" Type="http://schemas.openxmlformats.org/officeDocument/2006/relationships/hyperlink" Target="http://observepoint.com" TargetMode="External"/><Relationship Id="rId1833" Type="http://schemas.openxmlformats.org/officeDocument/2006/relationships/hyperlink" Target="http://worldmarket.com" TargetMode="External"/><Relationship Id="rId1834" Type="http://schemas.openxmlformats.org/officeDocument/2006/relationships/hyperlink" Target="http://observepoint.com" TargetMode="External"/><Relationship Id="rId1835" Type="http://schemas.openxmlformats.org/officeDocument/2006/relationships/hyperlink" Target="http://athenahealth.com" TargetMode="External"/><Relationship Id="rId1836" Type="http://schemas.openxmlformats.org/officeDocument/2006/relationships/hyperlink" Target="http://observepoint.com" TargetMode="External"/><Relationship Id="rId1837" Type="http://schemas.openxmlformats.org/officeDocument/2006/relationships/hyperlink" Target="http://observepoint.com" TargetMode="External"/><Relationship Id="rId1838" Type="http://schemas.openxmlformats.org/officeDocument/2006/relationships/hyperlink" Target="http://athenahealth.com" TargetMode="External"/><Relationship Id="rId1839" Type="http://schemas.openxmlformats.org/officeDocument/2006/relationships/hyperlink" Target="http://observepoint.com" TargetMode="External"/><Relationship Id="rId1820" Type="http://schemas.openxmlformats.org/officeDocument/2006/relationships/hyperlink" Target="http://observepoint.com" TargetMode="External"/><Relationship Id="rId1821" Type="http://schemas.openxmlformats.org/officeDocument/2006/relationships/hyperlink" Target="http://brunswick.com" TargetMode="External"/><Relationship Id="rId1822" Type="http://schemas.openxmlformats.org/officeDocument/2006/relationships/hyperlink" Target="http://brunswick.com" TargetMode="External"/><Relationship Id="rId1823" Type="http://schemas.openxmlformats.org/officeDocument/2006/relationships/hyperlink" Target="http://brunswick.com" TargetMode="External"/><Relationship Id="rId1824" Type="http://schemas.openxmlformats.org/officeDocument/2006/relationships/hyperlink" Target="http://observepoint.com" TargetMode="External"/><Relationship Id="rId1825" Type="http://schemas.openxmlformats.org/officeDocument/2006/relationships/hyperlink" Target="http://brunswick.com" TargetMode="External"/><Relationship Id="rId1826" Type="http://schemas.openxmlformats.org/officeDocument/2006/relationships/hyperlink" Target="http://observepoint.com" TargetMode="External"/><Relationship Id="rId1827" Type="http://schemas.openxmlformats.org/officeDocument/2006/relationships/hyperlink" Target="http://worldmarket.com" TargetMode="External"/><Relationship Id="rId1828" Type="http://schemas.openxmlformats.org/officeDocument/2006/relationships/hyperlink" Target="http://observepoint.com" TargetMode="External"/><Relationship Id="rId1829" Type="http://schemas.openxmlformats.org/officeDocument/2006/relationships/hyperlink" Target="http://observepoint.com" TargetMode="External"/><Relationship Id="rId1455" Type="http://schemas.openxmlformats.org/officeDocument/2006/relationships/hyperlink" Target="http://observepoint.com" TargetMode="External"/><Relationship Id="rId1456" Type="http://schemas.openxmlformats.org/officeDocument/2006/relationships/hyperlink" Target="http://agilent.com" TargetMode="External"/><Relationship Id="rId1457" Type="http://schemas.openxmlformats.org/officeDocument/2006/relationships/hyperlink" Target="http://observepoint.com" TargetMode="External"/><Relationship Id="rId1458" Type="http://schemas.openxmlformats.org/officeDocument/2006/relationships/hyperlink" Target="http://brunswick.com" TargetMode="External"/><Relationship Id="rId1459" Type="http://schemas.openxmlformats.org/officeDocument/2006/relationships/hyperlink" Target="http://brunswick.com" TargetMode="External"/><Relationship Id="rId629" Type="http://schemas.openxmlformats.org/officeDocument/2006/relationships/hyperlink" Target="http://observepoint.com" TargetMode="External"/><Relationship Id="rId624" Type="http://schemas.openxmlformats.org/officeDocument/2006/relationships/hyperlink" Target="http://questrade.com" TargetMode="External"/><Relationship Id="rId623" Type="http://schemas.openxmlformats.org/officeDocument/2006/relationships/hyperlink" Target="http://observepoint.com" TargetMode="External"/><Relationship Id="rId622" Type="http://schemas.openxmlformats.org/officeDocument/2006/relationships/hyperlink" Target="http://prudential.com" TargetMode="External"/><Relationship Id="rId621" Type="http://schemas.openxmlformats.org/officeDocument/2006/relationships/hyperlink" Target="http://observepoint.com" TargetMode="External"/><Relationship Id="rId628" Type="http://schemas.openxmlformats.org/officeDocument/2006/relationships/hyperlink" Target="http://questrade.com" TargetMode="External"/><Relationship Id="rId627" Type="http://schemas.openxmlformats.org/officeDocument/2006/relationships/hyperlink" Target="http://observepoint.com" TargetMode="External"/><Relationship Id="rId626" Type="http://schemas.openxmlformats.org/officeDocument/2006/relationships/hyperlink" Target="http://questrade.com" TargetMode="External"/><Relationship Id="rId625" Type="http://schemas.openxmlformats.org/officeDocument/2006/relationships/hyperlink" Target="http://observepoint.com" TargetMode="External"/><Relationship Id="rId1450" Type="http://schemas.openxmlformats.org/officeDocument/2006/relationships/hyperlink" Target="http://brunswick.com" TargetMode="External"/><Relationship Id="rId620" Type="http://schemas.openxmlformats.org/officeDocument/2006/relationships/hyperlink" Target="http://observepoint.com" TargetMode="External"/><Relationship Id="rId1451" Type="http://schemas.openxmlformats.org/officeDocument/2006/relationships/hyperlink" Target="http://observepoint.com" TargetMode="External"/><Relationship Id="rId1452" Type="http://schemas.openxmlformats.org/officeDocument/2006/relationships/hyperlink" Target="http://brunswick.com" TargetMode="External"/><Relationship Id="rId1453" Type="http://schemas.openxmlformats.org/officeDocument/2006/relationships/hyperlink" Target="http://observepoint.com" TargetMode="External"/><Relationship Id="rId1454" Type="http://schemas.openxmlformats.org/officeDocument/2006/relationships/hyperlink" Target="http://brunswick.com" TargetMode="External"/><Relationship Id="rId1444" Type="http://schemas.openxmlformats.org/officeDocument/2006/relationships/hyperlink" Target="http://observepoint.com" TargetMode="External"/><Relationship Id="rId1445" Type="http://schemas.openxmlformats.org/officeDocument/2006/relationships/hyperlink" Target="http://observepoint.com" TargetMode="External"/><Relationship Id="rId1446" Type="http://schemas.openxmlformats.org/officeDocument/2006/relationships/hyperlink" Target="http://brunswick.com" TargetMode="External"/><Relationship Id="rId1447" Type="http://schemas.openxmlformats.org/officeDocument/2006/relationships/hyperlink" Target="http://observepoint.com" TargetMode="External"/><Relationship Id="rId1448" Type="http://schemas.openxmlformats.org/officeDocument/2006/relationships/hyperlink" Target="http://brunswick.com" TargetMode="External"/><Relationship Id="rId1449" Type="http://schemas.openxmlformats.org/officeDocument/2006/relationships/hyperlink" Target="http://observepoint.com" TargetMode="External"/><Relationship Id="rId619" Type="http://schemas.openxmlformats.org/officeDocument/2006/relationships/hyperlink" Target="http://prudential.com" TargetMode="External"/><Relationship Id="rId618" Type="http://schemas.openxmlformats.org/officeDocument/2006/relationships/hyperlink" Target="http://prudential.com" TargetMode="External"/><Relationship Id="rId613" Type="http://schemas.openxmlformats.org/officeDocument/2006/relationships/hyperlink" Target="http://questrade.com" TargetMode="External"/><Relationship Id="rId612" Type="http://schemas.openxmlformats.org/officeDocument/2006/relationships/hyperlink" Target="http://observepoint.com" TargetMode="External"/><Relationship Id="rId611" Type="http://schemas.openxmlformats.org/officeDocument/2006/relationships/hyperlink" Target="http://rdoffutt.com" TargetMode="External"/><Relationship Id="rId610" Type="http://schemas.openxmlformats.org/officeDocument/2006/relationships/hyperlink" Target="http://observepoint.com" TargetMode="External"/><Relationship Id="rId617" Type="http://schemas.openxmlformats.org/officeDocument/2006/relationships/hyperlink" Target="http://observepoint.com" TargetMode="External"/><Relationship Id="rId616" Type="http://schemas.openxmlformats.org/officeDocument/2006/relationships/hyperlink" Target="http://observepoint.com" TargetMode="External"/><Relationship Id="rId615" Type="http://schemas.openxmlformats.org/officeDocument/2006/relationships/hyperlink" Target="http://questrade.com" TargetMode="External"/><Relationship Id="rId614" Type="http://schemas.openxmlformats.org/officeDocument/2006/relationships/hyperlink" Target="http://observepoint.com" TargetMode="External"/><Relationship Id="rId1440" Type="http://schemas.openxmlformats.org/officeDocument/2006/relationships/hyperlink" Target="http://tyson.com" TargetMode="External"/><Relationship Id="rId1441" Type="http://schemas.openxmlformats.org/officeDocument/2006/relationships/hyperlink" Target="http://observepoint.com" TargetMode="External"/><Relationship Id="rId1442" Type="http://schemas.openxmlformats.org/officeDocument/2006/relationships/hyperlink" Target="http://officeworks.com.au" TargetMode="External"/><Relationship Id="rId1443" Type="http://schemas.openxmlformats.org/officeDocument/2006/relationships/hyperlink" Target="http://observepoint.com" TargetMode="External"/><Relationship Id="rId1477" Type="http://schemas.openxmlformats.org/officeDocument/2006/relationships/hyperlink" Target="http://prudential.com" TargetMode="External"/><Relationship Id="rId1478" Type="http://schemas.openxmlformats.org/officeDocument/2006/relationships/hyperlink" Target="http://observepoint.com" TargetMode="External"/><Relationship Id="rId1479" Type="http://schemas.openxmlformats.org/officeDocument/2006/relationships/hyperlink" Target="http://devry.edu" TargetMode="External"/><Relationship Id="rId646" Type="http://schemas.openxmlformats.org/officeDocument/2006/relationships/hyperlink" Target="http://observepoint.com" TargetMode="External"/><Relationship Id="rId645" Type="http://schemas.openxmlformats.org/officeDocument/2006/relationships/hyperlink" Target="http://observepoint.com" TargetMode="External"/><Relationship Id="rId644" Type="http://schemas.openxmlformats.org/officeDocument/2006/relationships/hyperlink" Target="http://questrade.com" TargetMode="External"/><Relationship Id="rId643" Type="http://schemas.openxmlformats.org/officeDocument/2006/relationships/hyperlink" Target="http://observepoint.com" TargetMode="External"/><Relationship Id="rId649" Type="http://schemas.openxmlformats.org/officeDocument/2006/relationships/hyperlink" Target="http://observepoint.com" TargetMode="External"/><Relationship Id="rId648" Type="http://schemas.openxmlformats.org/officeDocument/2006/relationships/hyperlink" Target="http://observepoint.com" TargetMode="External"/><Relationship Id="rId647" Type="http://schemas.openxmlformats.org/officeDocument/2006/relationships/hyperlink" Target="http://observepoint.com" TargetMode="External"/><Relationship Id="rId1470" Type="http://schemas.openxmlformats.org/officeDocument/2006/relationships/hyperlink" Target="http://devry.edu" TargetMode="External"/><Relationship Id="rId1471" Type="http://schemas.openxmlformats.org/officeDocument/2006/relationships/hyperlink" Target="http://observepoint.com" TargetMode="External"/><Relationship Id="rId1472" Type="http://schemas.openxmlformats.org/officeDocument/2006/relationships/hyperlink" Target="http://observepoint.com" TargetMode="External"/><Relationship Id="rId642" Type="http://schemas.openxmlformats.org/officeDocument/2006/relationships/hyperlink" Target="http://questrade.com" TargetMode="External"/><Relationship Id="rId1473" Type="http://schemas.openxmlformats.org/officeDocument/2006/relationships/hyperlink" Target="http://devry.edu" TargetMode="External"/><Relationship Id="rId641" Type="http://schemas.openxmlformats.org/officeDocument/2006/relationships/hyperlink" Target="http://observepoint.com" TargetMode="External"/><Relationship Id="rId1474" Type="http://schemas.openxmlformats.org/officeDocument/2006/relationships/hyperlink" Target="http://observepoint.com" TargetMode="External"/><Relationship Id="rId640" Type="http://schemas.openxmlformats.org/officeDocument/2006/relationships/hyperlink" Target="http://observepoint.com" TargetMode="External"/><Relationship Id="rId1475" Type="http://schemas.openxmlformats.org/officeDocument/2006/relationships/hyperlink" Target="http://devry.edu" TargetMode="External"/><Relationship Id="rId1476" Type="http://schemas.openxmlformats.org/officeDocument/2006/relationships/hyperlink" Target="http://observepoint.com" TargetMode="External"/><Relationship Id="rId1466" Type="http://schemas.openxmlformats.org/officeDocument/2006/relationships/hyperlink" Target="http://observepoint.com" TargetMode="External"/><Relationship Id="rId1467" Type="http://schemas.openxmlformats.org/officeDocument/2006/relationships/hyperlink" Target="http://observepoint.com" TargetMode="External"/><Relationship Id="rId1468" Type="http://schemas.openxmlformats.org/officeDocument/2006/relationships/hyperlink" Target="http://devry.edu" TargetMode="External"/><Relationship Id="rId1469" Type="http://schemas.openxmlformats.org/officeDocument/2006/relationships/hyperlink" Target="http://observepoint.com" TargetMode="External"/><Relationship Id="rId635" Type="http://schemas.openxmlformats.org/officeDocument/2006/relationships/hyperlink" Target="http://prudential.com" TargetMode="External"/><Relationship Id="rId634" Type="http://schemas.openxmlformats.org/officeDocument/2006/relationships/hyperlink" Target="http://observepoint.com" TargetMode="External"/><Relationship Id="rId633" Type="http://schemas.openxmlformats.org/officeDocument/2006/relationships/hyperlink" Target="http://pmi.org" TargetMode="External"/><Relationship Id="rId632" Type="http://schemas.openxmlformats.org/officeDocument/2006/relationships/hyperlink" Target="http://observepoint.com" TargetMode="External"/><Relationship Id="rId639" Type="http://schemas.openxmlformats.org/officeDocument/2006/relationships/hyperlink" Target="http://prudential.com" TargetMode="External"/><Relationship Id="rId638" Type="http://schemas.openxmlformats.org/officeDocument/2006/relationships/hyperlink" Target="http://observepoint.com" TargetMode="External"/><Relationship Id="rId637" Type="http://schemas.openxmlformats.org/officeDocument/2006/relationships/hyperlink" Target="http://observepoint.com" TargetMode="External"/><Relationship Id="rId636" Type="http://schemas.openxmlformats.org/officeDocument/2006/relationships/hyperlink" Target="http://observepoint.com" TargetMode="External"/><Relationship Id="rId1460" Type="http://schemas.openxmlformats.org/officeDocument/2006/relationships/hyperlink" Target="http://observepoint.com" TargetMode="External"/><Relationship Id="rId1461" Type="http://schemas.openxmlformats.org/officeDocument/2006/relationships/hyperlink" Target="http://lumen.com" TargetMode="External"/><Relationship Id="rId631" Type="http://schemas.openxmlformats.org/officeDocument/2006/relationships/hyperlink" Target="http://observepoint.com" TargetMode="External"/><Relationship Id="rId1462" Type="http://schemas.openxmlformats.org/officeDocument/2006/relationships/hyperlink" Target="http://observepoint.com" TargetMode="External"/><Relationship Id="rId630" Type="http://schemas.openxmlformats.org/officeDocument/2006/relationships/hyperlink" Target="http://observepoint.com" TargetMode="External"/><Relationship Id="rId1463" Type="http://schemas.openxmlformats.org/officeDocument/2006/relationships/hyperlink" Target="http://observepoint.com" TargetMode="External"/><Relationship Id="rId1464" Type="http://schemas.openxmlformats.org/officeDocument/2006/relationships/hyperlink" Target="http://observepoint.com" TargetMode="External"/><Relationship Id="rId1465" Type="http://schemas.openxmlformats.org/officeDocument/2006/relationships/hyperlink" Target="http://observepoint.com" TargetMode="External"/><Relationship Id="rId1411" Type="http://schemas.openxmlformats.org/officeDocument/2006/relationships/hyperlink" Target="http://observepoint.com" TargetMode="External"/><Relationship Id="rId1895" Type="http://schemas.openxmlformats.org/officeDocument/2006/relationships/hyperlink" Target="http://observepoint.com" TargetMode="External"/><Relationship Id="rId1412" Type="http://schemas.openxmlformats.org/officeDocument/2006/relationships/hyperlink" Target="http://observepoint.com" TargetMode="External"/><Relationship Id="rId1896" Type="http://schemas.openxmlformats.org/officeDocument/2006/relationships/hyperlink" Target="http://ziffdavis.com" TargetMode="External"/><Relationship Id="rId1413" Type="http://schemas.openxmlformats.org/officeDocument/2006/relationships/hyperlink" Target="http://woolworths.com.au" TargetMode="External"/><Relationship Id="rId1897" Type="http://schemas.openxmlformats.org/officeDocument/2006/relationships/hyperlink" Target="http://observepoint.com" TargetMode="External"/><Relationship Id="rId1414" Type="http://schemas.openxmlformats.org/officeDocument/2006/relationships/hyperlink" Target="http://ziffdavis.com" TargetMode="External"/><Relationship Id="rId1898" Type="http://schemas.openxmlformats.org/officeDocument/2006/relationships/hyperlink" Target="http://observepoint.com" TargetMode="External"/><Relationship Id="rId1415" Type="http://schemas.openxmlformats.org/officeDocument/2006/relationships/hyperlink" Target="http://observepoint.com" TargetMode="External"/><Relationship Id="rId1899" Type="http://schemas.openxmlformats.org/officeDocument/2006/relationships/hyperlink" Target="http://ziffdavis.com" TargetMode="External"/><Relationship Id="rId1416" Type="http://schemas.openxmlformats.org/officeDocument/2006/relationships/hyperlink" Target="http://observepoint.com" TargetMode="External"/><Relationship Id="rId1417" Type="http://schemas.openxmlformats.org/officeDocument/2006/relationships/hyperlink" Target="http://ziffdavis.com" TargetMode="External"/><Relationship Id="rId1418" Type="http://schemas.openxmlformats.org/officeDocument/2006/relationships/hyperlink" Target="http://observepoint.com" TargetMode="External"/><Relationship Id="rId1419" Type="http://schemas.openxmlformats.org/officeDocument/2006/relationships/hyperlink" Target="http://agilent.com" TargetMode="External"/><Relationship Id="rId1890" Type="http://schemas.openxmlformats.org/officeDocument/2006/relationships/hyperlink" Target="http://amica.com" TargetMode="External"/><Relationship Id="rId1891" Type="http://schemas.openxmlformats.org/officeDocument/2006/relationships/hyperlink" Target="http://observepoint.com" TargetMode="External"/><Relationship Id="rId1892" Type="http://schemas.openxmlformats.org/officeDocument/2006/relationships/hyperlink" Target="http://observepoint.com" TargetMode="External"/><Relationship Id="rId1893" Type="http://schemas.openxmlformats.org/officeDocument/2006/relationships/hyperlink" Target="http://ziffdavis.com" TargetMode="External"/><Relationship Id="rId1410" Type="http://schemas.openxmlformats.org/officeDocument/2006/relationships/hyperlink" Target="http://observepoint.com" TargetMode="External"/><Relationship Id="rId1894" Type="http://schemas.openxmlformats.org/officeDocument/2006/relationships/hyperlink" Target="http://observepoint.com" TargetMode="External"/><Relationship Id="rId1400" Type="http://schemas.openxmlformats.org/officeDocument/2006/relationships/hyperlink" Target="http://observepoint.com" TargetMode="External"/><Relationship Id="rId1884" Type="http://schemas.openxmlformats.org/officeDocument/2006/relationships/hyperlink" Target="http://amica.com" TargetMode="External"/><Relationship Id="rId1401" Type="http://schemas.openxmlformats.org/officeDocument/2006/relationships/hyperlink" Target="http://ros.com" TargetMode="External"/><Relationship Id="rId1885" Type="http://schemas.openxmlformats.org/officeDocument/2006/relationships/hyperlink" Target="http://observepoint.com" TargetMode="External"/><Relationship Id="rId1402" Type="http://schemas.openxmlformats.org/officeDocument/2006/relationships/hyperlink" Target="http://ros.com" TargetMode="External"/><Relationship Id="rId1886" Type="http://schemas.openxmlformats.org/officeDocument/2006/relationships/hyperlink" Target="http://observepoint.com" TargetMode="External"/><Relationship Id="rId1403" Type="http://schemas.openxmlformats.org/officeDocument/2006/relationships/hyperlink" Target="http://observepoint.com" TargetMode="External"/><Relationship Id="rId1887" Type="http://schemas.openxmlformats.org/officeDocument/2006/relationships/hyperlink" Target="http://observepoint.com" TargetMode="External"/><Relationship Id="rId1404" Type="http://schemas.openxmlformats.org/officeDocument/2006/relationships/hyperlink" Target="http://observepoint.com" TargetMode="External"/><Relationship Id="rId1888" Type="http://schemas.openxmlformats.org/officeDocument/2006/relationships/hyperlink" Target="http://amica.com" TargetMode="External"/><Relationship Id="rId1405" Type="http://schemas.openxmlformats.org/officeDocument/2006/relationships/hyperlink" Target="http://ros.com" TargetMode="External"/><Relationship Id="rId1889" Type="http://schemas.openxmlformats.org/officeDocument/2006/relationships/hyperlink" Target="http://observepoint.com" TargetMode="External"/><Relationship Id="rId1406" Type="http://schemas.openxmlformats.org/officeDocument/2006/relationships/hyperlink" Target="http://cdw.com" TargetMode="External"/><Relationship Id="rId1407" Type="http://schemas.openxmlformats.org/officeDocument/2006/relationships/hyperlink" Target="http://cdw.com" TargetMode="External"/><Relationship Id="rId1408" Type="http://schemas.openxmlformats.org/officeDocument/2006/relationships/hyperlink" Target="http://woolworths.com.au" TargetMode="External"/><Relationship Id="rId1409" Type="http://schemas.openxmlformats.org/officeDocument/2006/relationships/hyperlink" Target="http://observepoint.com" TargetMode="External"/><Relationship Id="rId1880" Type="http://schemas.openxmlformats.org/officeDocument/2006/relationships/hyperlink" Target="http://amica.com" TargetMode="External"/><Relationship Id="rId1881" Type="http://schemas.openxmlformats.org/officeDocument/2006/relationships/hyperlink" Target="http://observepoint.com" TargetMode="External"/><Relationship Id="rId1882" Type="http://schemas.openxmlformats.org/officeDocument/2006/relationships/hyperlink" Target="http://observepoint.com" TargetMode="External"/><Relationship Id="rId1883" Type="http://schemas.openxmlformats.org/officeDocument/2006/relationships/hyperlink" Target="http://observepoint.com" TargetMode="External"/><Relationship Id="rId1433" Type="http://schemas.openxmlformats.org/officeDocument/2006/relationships/hyperlink" Target="http://observepoint.com" TargetMode="External"/><Relationship Id="rId1434" Type="http://schemas.openxmlformats.org/officeDocument/2006/relationships/hyperlink" Target="http://mongodb.com" TargetMode="External"/><Relationship Id="rId1435" Type="http://schemas.openxmlformats.org/officeDocument/2006/relationships/hyperlink" Target="http://observepoint.com" TargetMode="External"/><Relationship Id="rId1436" Type="http://schemas.openxmlformats.org/officeDocument/2006/relationships/hyperlink" Target="http://observepoint.com" TargetMode="External"/><Relationship Id="rId1437" Type="http://schemas.openxmlformats.org/officeDocument/2006/relationships/hyperlink" Target="http://tyson.com" TargetMode="External"/><Relationship Id="rId1438" Type="http://schemas.openxmlformats.org/officeDocument/2006/relationships/hyperlink" Target="http://observepoint.com" TargetMode="External"/><Relationship Id="rId1439" Type="http://schemas.openxmlformats.org/officeDocument/2006/relationships/hyperlink" Target="http://observepoint.com" TargetMode="External"/><Relationship Id="rId609" Type="http://schemas.openxmlformats.org/officeDocument/2006/relationships/hyperlink" Target="http://observepoint.com" TargetMode="External"/><Relationship Id="rId608" Type="http://schemas.openxmlformats.org/officeDocument/2006/relationships/hyperlink" Target="http://questrade.com" TargetMode="External"/><Relationship Id="rId607" Type="http://schemas.openxmlformats.org/officeDocument/2006/relationships/hyperlink" Target="http://observepoint.com" TargetMode="External"/><Relationship Id="rId602" Type="http://schemas.openxmlformats.org/officeDocument/2006/relationships/hyperlink" Target="http://questrade.com" TargetMode="External"/><Relationship Id="rId601" Type="http://schemas.openxmlformats.org/officeDocument/2006/relationships/hyperlink" Target="http://observepoint.com" TargetMode="External"/><Relationship Id="rId600" Type="http://schemas.openxmlformats.org/officeDocument/2006/relationships/hyperlink" Target="http://rdoffutt.com" TargetMode="External"/><Relationship Id="rId606" Type="http://schemas.openxmlformats.org/officeDocument/2006/relationships/hyperlink" Target="http://rdoffutt.com" TargetMode="External"/><Relationship Id="rId605" Type="http://schemas.openxmlformats.org/officeDocument/2006/relationships/hyperlink" Target="http://observepoint.com" TargetMode="External"/><Relationship Id="rId604" Type="http://schemas.openxmlformats.org/officeDocument/2006/relationships/hyperlink" Target="http://rdoffutt.com" TargetMode="External"/><Relationship Id="rId603" Type="http://schemas.openxmlformats.org/officeDocument/2006/relationships/hyperlink" Target="http://observepoint.com" TargetMode="External"/><Relationship Id="rId1430" Type="http://schemas.openxmlformats.org/officeDocument/2006/relationships/hyperlink" Target="http://observepoint.com" TargetMode="External"/><Relationship Id="rId1431" Type="http://schemas.openxmlformats.org/officeDocument/2006/relationships/hyperlink" Target="http://observepoint.com" TargetMode="External"/><Relationship Id="rId1432" Type="http://schemas.openxmlformats.org/officeDocument/2006/relationships/hyperlink" Target="http://merz.com" TargetMode="External"/><Relationship Id="rId1422" Type="http://schemas.openxmlformats.org/officeDocument/2006/relationships/hyperlink" Target="http://observepoint.com" TargetMode="External"/><Relationship Id="rId1423" Type="http://schemas.openxmlformats.org/officeDocument/2006/relationships/hyperlink" Target="http://observepoint.com" TargetMode="External"/><Relationship Id="rId1424" Type="http://schemas.openxmlformats.org/officeDocument/2006/relationships/hyperlink" Target="http://observepoint.com" TargetMode="External"/><Relationship Id="rId1425" Type="http://schemas.openxmlformats.org/officeDocument/2006/relationships/hyperlink" Target="http://agilent.com" TargetMode="External"/><Relationship Id="rId1426" Type="http://schemas.openxmlformats.org/officeDocument/2006/relationships/hyperlink" Target="http://cdw.com" TargetMode="External"/><Relationship Id="rId1427" Type="http://schemas.openxmlformats.org/officeDocument/2006/relationships/hyperlink" Target="http://cdw.com" TargetMode="External"/><Relationship Id="rId1428" Type="http://schemas.openxmlformats.org/officeDocument/2006/relationships/hyperlink" Target="http://cdw.com" TargetMode="External"/><Relationship Id="rId1429" Type="http://schemas.openxmlformats.org/officeDocument/2006/relationships/hyperlink" Target="http://agilent.com" TargetMode="External"/><Relationship Id="rId1420" Type="http://schemas.openxmlformats.org/officeDocument/2006/relationships/hyperlink" Target="http://cdw.com" TargetMode="External"/><Relationship Id="rId1421" Type="http://schemas.openxmlformats.org/officeDocument/2006/relationships/hyperlink" Target="http://cdw.com" TargetMode="External"/><Relationship Id="rId1059" Type="http://schemas.openxmlformats.org/officeDocument/2006/relationships/hyperlink" Target="http://observepoint.com" TargetMode="External"/><Relationship Id="rId228" Type="http://schemas.openxmlformats.org/officeDocument/2006/relationships/hyperlink" Target="http://observepoint.com" TargetMode="External"/><Relationship Id="rId227" Type="http://schemas.openxmlformats.org/officeDocument/2006/relationships/hyperlink" Target="http://cdw.com" TargetMode="External"/><Relationship Id="rId226" Type="http://schemas.openxmlformats.org/officeDocument/2006/relationships/hyperlink" Target="http://observepoint.com" TargetMode="External"/><Relationship Id="rId225" Type="http://schemas.openxmlformats.org/officeDocument/2006/relationships/hyperlink" Target="http://observepoint.com" TargetMode="External"/><Relationship Id="rId229" Type="http://schemas.openxmlformats.org/officeDocument/2006/relationships/hyperlink" Target="http://cdw.com" TargetMode="External"/><Relationship Id="rId1050" Type="http://schemas.openxmlformats.org/officeDocument/2006/relationships/hyperlink" Target="http://observepoint.com" TargetMode="External"/><Relationship Id="rId220" Type="http://schemas.openxmlformats.org/officeDocument/2006/relationships/hyperlink" Target="http://cdw.com" TargetMode="External"/><Relationship Id="rId1051" Type="http://schemas.openxmlformats.org/officeDocument/2006/relationships/hyperlink" Target="http://ros.com" TargetMode="External"/><Relationship Id="rId1052" Type="http://schemas.openxmlformats.org/officeDocument/2006/relationships/hyperlink" Target="http://ros.com" TargetMode="External"/><Relationship Id="rId1053" Type="http://schemas.openxmlformats.org/officeDocument/2006/relationships/hyperlink" Target="http://observepoint.com" TargetMode="External"/><Relationship Id="rId1054" Type="http://schemas.openxmlformats.org/officeDocument/2006/relationships/hyperlink" Target="http://observepoint.com" TargetMode="External"/><Relationship Id="rId224" Type="http://schemas.openxmlformats.org/officeDocument/2006/relationships/hyperlink" Target="http://observepoint.com" TargetMode="External"/><Relationship Id="rId1055" Type="http://schemas.openxmlformats.org/officeDocument/2006/relationships/hyperlink" Target="http://ros.com" TargetMode="External"/><Relationship Id="rId223" Type="http://schemas.openxmlformats.org/officeDocument/2006/relationships/hyperlink" Target="http://cdw.com" TargetMode="External"/><Relationship Id="rId1056" Type="http://schemas.openxmlformats.org/officeDocument/2006/relationships/hyperlink" Target="http://ros.com" TargetMode="External"/><Relationship Id="rId222" Type="http://schemas.openxmlformats.org/officeDocument/2006/relationships/hyperlink" Target="http://observepoint.com" TargetMode="External"/><Relationship Id="rId1057" Type="http://schemas.openxmlformats.org/officeDocument/2006/relationships/hyperlink" Target="http://observepoint.com" TargetMode="External"/><Relationship Id="rId221" Type="http://schemas.openxmlformats.org/officeDocument/2006/relationships/hyperlink" Target="http://observepoint.com" TargetMode="External"/><Relationship Id="rId1058" Type="http://schemas.openxmlformats.org/officeDocument/2006/relationships/hyperlink" Target="http://observepoint.com" TargetMode="External"/><Relationship Id="rId1048" Type="http://schemas.openxmlformats.org/officeDocument/2006/relationships/hyperlink" Target="http://observepoint.com" TargetMode="External"/><Relationship Id="rId1049" Type="http://schemas.openxmlformats.org/officeDocument/2006/relationships/hyperlink" Target="http://ros.com" TargetMode="External"/><Relationship Id="rId217" Type="http://schemas.openxmlformats.org/officeDocument/2006/relationships/hyperlink" Target="http://cdw.com" TargetMode="External"/><Relationship Id="rId216" Type="http://schemas.openxmlformats.org/officeDocument/2006/relationships/hyperlink" Target="http://cotiviti.com" TargetMode="External"/><Relationship Id="rId215" Type="http://schemas.openxmlformats.org/officeDocument/2006/relationships/hyperlink" Target="http://observepoint.com" TargetMode="External"/><Relationship Id="rId699" Type="http://schemas.openxmlformats.org/officeDocument/2006/relationships/hyperlink" Target="http://observepoint.com" TargetMode="External"/><Relationship Id="rId214" Type="http://schemas.openxmlformats.org/officeDocument/2006/relationships/hyperlink" Target="http://cotiviti.com" TargetMode="External"/><Relationship Id="rId698" Type="http://schemas.openxmlformats.org/officeDocument/2006/relationships/hyperlink" Target="http://questrade.com" TargetMode="External"/><Relationship Id="rId219" Type="http://schemas.openxmlformats.org/officeDocument/2006/relationships/hyperlink" Target="http://observepoint.com" TargetMode="External"/><Relationship Id="rId218" Type="http://schemas.openxmlformats.org/officeDocument/2006/relationships/hyperlink" Target="http://observepoint.com" TargetMode="External"/><Relationship Id="rId693" Type="http://schemas.openxmlformats.org/officeDocument/2006/relationships/hyperlink" Target="http://prudential.com" TargetMode="External"/><Relationship Id="rId1040" Type="http://schemas.openxmlformats.org/officeDocument/2006/relationships/hyperlink" Target="http://spark.co.nz" TargetMode="External"/><Relationship Id="rId692" Type="http://schemas.openxmlformats.org/officeDocument/2006/relationships/hyperlink" Target="http://observepoint.com" TargetMode="External"/><Relationship Id="rId1041" Type="http://schemas.openxmlformats.org/officeDocument/2006/relationships/hyperlink" Target="http://observepoint.com" TargetMode="External"/><Relationship Id="rId691" Type="http://schemas.openxmlformats.org/officeDocument/2006/relationships/hyperlink" Target="http://observepoint.com" TargetMode="External"/><Relationship Id="rId1042" Type="http://schemas.openxmlformats.org/officeDocument/2006/relationships/hyperlink" Target="http://spark.co.nz" TargetMode="External"/><Relationship Id="rId690" Type="http://schemas.openxmlformats.org/officeDocument/2006/relationships/hyperlink" Target="http://observepoint.com" TargetMode="External"/><Relationship Id="rId1043" Type="http://schemas.openxmlformats.org/officeDocument/2006/relationships/hyperlink" Target="http://observepoint.com" TargetMode="External"/><Relationship Id="rId213" Type="http://schemas.openxmlformats.org/officeDocument/2006/relationships/hyperlink" Target="http://observepoint.com" TargetMode="External"/><Relationship Id="rId697" Type="http://schemas.openxmlformats.org/officeDocument/2006/relationships/hyperlink" Target="http://observepoint.com" TargetMode="External"/><Relationship Id="rId1044" Type="http://schemas.openxmlformats.org/officeDocument/2006/relationships/hyperlink" Target="http://spark.co.nz" TargetMode="External"/><Relationship Id="rId212" Type="http://schemas.openxmlformats.org/officeDocument/2006/relationships/hyperlink" Target="http://observepoint.com" TargetMode="External"/><Relationship Id="rId696" Type="http://schemas.openxmlformats.org/officeDocument/2006/relationships/hyperlink" Target="http://observepoint.com" TargetMode="External"/><Relationship Id="rId1045" Type="http://schemas.openxmlformats.org/officeDocument/2006/relationships/hyperlink" Target="http://ros.com" TargetMode="External"/><Relationship Id="rId211" Type="http://schemas.openxmlformats.org/officeDocument/2006/relationships/hyperlink" Target="http://observepoint.com" TargetMode="External"/><Relationship Id="rId695" Type="http://schemas.openxmlformats.org/officeDocument/2006/relationships/hyperlink" Target="http://prudential.com" TargetMode="External"/><Relationship Id="rId1046" Type="http://schemas.openxmlformats.org/officeDocument/2006/relationships/hyperlink" Target="http://observepoint.com" TargetMode="External"/><Relationship Id="rId210" Type="http://schemas.openxmlformats.org/officeDocument/2006/relationships/hyperlink" Target="http://observepoint.com" TargetMode="External"/><Relationship Id="rId694" Type="http://schemas.openxmlformats.org/officeDocument/2006/relationships/hyperlink" Target="http://observepoint.com" TargetMode="External"/><Relationship Id="rId1047" Type="http://schemas.openxmlformats.org/officeDocument/2006/relationships/hyperlink" Target="http://seagate.com" TargetMode="External"/><Relationship Id="rId249" Type="http://schemas.openxmlformats.org/officeDocument/2006/relationships/hyperlink" Target="http://cvshealth.com" TargetMode="External"/><Relationship Id="rId248" Type="http://schemas.openxmlformats.org/officeDocument/2006/relationships/hyperlink" Target="http://cvshealth.com" TargetMode="External"/><Relationship Id="rId247" Type="http://schemas.openxmlformats.org/officeDocument/2006/relationships/hyperlink" Target="http://observepoint.com" TargetMode="External"/><Relationship Id="rId1070" Type="http://schemas.openxmlformats.org/officeDocument/2006/relationships/hyperlink" Target="http://rwjf.org" TargetMode="External"/><Relationship Id="rId1071" Type="http://schemas.openxmlformats.org/officeDocument/2006/relationships/hyperlink" Target="http://observepoint.com" TargetMode="External"/><Relationship Id="rId1072" Type="http://schemas.openxmlformats.org/officeDocument/2006/relationships/hyperlink" Target="http://ros.com" TargetMode="External"/><Relationship Id="rId242" Type="http://schemas.openxmlformats.org/officeDocument/2006/relationships/hyperlink" Target="http://observepoint.com" TargetMode="External"/><Relationship Id="rId1073" Type="http://schemas.openxmlformats.org/officeDocument/2006/relationships/hyperlink" Target="http://observepoint.com" TargetMode="External"/><Relationship Id="rId241" Type="http://schemas.openxmlformats.org/officeDocument/2006/relationships/hyperlink" Target="http://observepoint.com" TargetMode="External"/><Relationship Id="rId1074" Type="http://schemas.openxmlformats.org/officeDocument/2006/relationships/hyperlink" Target="http://ros.com" TargetMode="External"/><Relationship Id="rId240" Type="http://schemas.openxmlformats.org/officeDocument/2006/relationships/hyperlink" Target="http://observepoint.com" TargetMode="External"/><Relationship Id="rId1075" Type="http://schemas.openxmlformats.org/officeDocument/2006/relationships/hyperlink" Target="http://observepoint.com" TargetMode="External"/><Relationship Id="rId1076" Type="http://schemas.openxmlformats.org/officeDocument/2006/relationships/hyperlink" Target="http://observepoint.com" TargetMode="External"/><Relationship Id="rId246" Type="http://schemas.openxmlformats.org/officeDocument/2006/relationships/hyperlink" Target="http://cvshealth.com" TargetMode="External"/><Relationship Id="rId1077" Type="http://schemas.openxmlformats.org/officeDocument/2006/relationships/hyperlink" Target="http://ros.com" TargetMode="External"/><Relationship Id="rId245" Type="http://schemas.openxmlformats.org/officeDocument/2006/relationships/hyperlink" Target="http://observepoint.com" TargetMode="External"/><Relationship Id="rId1078" Type="http://schemas.openxmlformats.org/officeDocument/2006/relationships/hyperlink" Target="http://observepoint.com" TargetMode="External"/><Relationship Id="rId244" Type="http://schemas.openxmlformats.org/officeDocument/2006/relationships/hyperlink" Target="http://cvshealth.com" TargetMode="External"/><Relationship Id="rId1079" Type="http://schemas.openxmlformats.org/officeDocument/2006/relationships/hyperlink" Target="http://observepoint.com" TargetMode="External"/><Relationship Id="rId243" Type="http://schemas.openxmlformats.org/officeDocument/2006/relationships/hyperlink" Target="http://cvshealth.com" TargetMode="External"/><Relationship Id="rId239" Type="http://schemas.openxmlformats.org/officeDocument/2006/relationships/hyperlink" Target="http://observepoint.com" TargetMode="External"/><Relationship Id="rId238" Type="http://schemas.openxmlformats.org/officeDocument/2006/relationships/hyperlink" Target="http://cdw.com" TargetMode="External"/><Relationship Id="rId237" Type="http://schemas.openxmlformats.org/officeDocument/2006/relationships/hyperlink" Target="http://cdw.com" TargetMode="External"/><Relationship Id="rId236" Type="http://schemas.openxmlformats.org/officeDocument/2006/relationships/hyperlink" Target="http://observepoint.com" TargetMode="External"/><Relationship Id="rId1060" Type="http://schemas.openxmlformats.org/officeDocument/2006/relationships/hyperlink" Target="http://ros.com" TargetMode="External"/><Relationship Id="rId1061" Type="http://schemas.openxmlformats.org/officeDocument/2006/relationships/hyperlink" Target="http://observepoint.com" TargetMode="External"/><Relationship Id="rId231" Type="http://schemas.openxmlformats.org/officeDocument/2006/relationships/hyperlink" Target="http://observepoint.com" TargetMode="External"/><Relationship Id="rId1062" Type="http://schemas.openxmlformats.org/officeDocument/2006/relationships/hyperlink" Target="http://observepoint.com" TargetMode="External"/><Relationship Id="rId230" Type="http://schemas.openxmlformats.org/officeDocument/2006/relationships/hyperlink" Target="http://cdw.com" TargetMode="External"/><Relationship Id="rId1063" Type="http://schemas.openxmlformats.org/officeDocument/2006/relationships/hyperlink" Target="http://observepoint.com" TargetMode="External"/><Relationship Id="rId1064" Type="http://schemas.openxmlformats.org/officeDocument/2006/relationships/hyperlink" Target="http://ros.com" TargetMode="External"/><Relationship Id="rId1065" Type="http://schemas.openxmlformats.org/officeDocument/2006/relationships/hyperlink" Target="http://observepoint.com" TargetMode="External"/><Relationship Id="rId235" Type="http://schemas.openxmlformats.org/officeDocument/2006/relationships/hyperlink" Target="http://observepoint.com" TargetMode="External"/><Relationship Id="rId1066" Type="http://schemas.openxmlformats.org/officeDocument/2006/relationships/hyperlink" Target="http://ros.com" TargetMode="External"/><Relationship Id="rId234" Type="http://schemas.openxmlformats.org/officeDocument/2006/relationships/hyperlink" Target="http://cdw.com" TargetMode="External"/><Relationship Id="rId1067" Type="http://schemas.openxmlformats.org/officeDocument/2006/relationships/hyperlink" Target="http://observepoint.com" TargetMode="External"/><Relationship Id="rId233" Type="http://schemas.openxmlformats.org/officeDocument/2006/relationships/hyperlink" Target="http://observepoint.com" TargetMode="External"/><Relationship Id="rId1068" Type="http://schemas.openxmlformats.org/officeDocument/2006/relationships/hyperlink" Target="http://ros.com" TargetMode="External"/><Relationship Id="rId232" Type="http://schemas.openxmlformats.org/officeDocument/2006/relationships/hyperlink" Target="http://cdw.com" TargetMode="External"/><Relationship Id="rId1069" Type="http://schemas.openxmlformats.org/officeDocument/2006/relationships/hyperlink" Target="http://observepoint.com" TargetMode="External"/><Relationship Id="rId1015" Type="http://schemas.openxmlformats.org/officeDocument/2006/relationships/hyperlink" Target="http://observepoint.com" TargetMode="External"/><Relationship Id="rId1499" Type="http://schemas.openxmlformats.org/officeDocument/2006/relationships/hyperlink" Target="http://observepoint.com" TargetMode="External"/><Relationship Id="rId1016" Type="http://schemas.openxmlformats.org/officeDocument/2006/relationships/hyperlink" Target="http://rwjf.org" TargetMode="External"/><Relationship Id="rId1017" Type="http://schemas.openxmlformats.org/officeDocument/2006/relationships/hyperlink" Target="http://observepoint.com" TargetMode="External"/><Relationship Id="rId1018" Type="http://schemas.openxmlformats.org/officeDocument/2006/relationships/hyperlink" Target="http://rwjf.org" TargetMode="External"/><Relationship Id="rId1019" Type="http://schemas.openxmlformats.org/officeDocument/2006/relationships/hyperlink" Target="http://rwjf.org" TargetMode="External"/><Relationship Id="rId668" Type="http://schemas.openxmlformats.org/officeDocument/2006/relationships/hyperlink" Target="http://prudential.com" TargetMode="External"/><Relationship Id="rId667" Type="http://schemas.openxmlformats.org/officeDocument/2006/relationships/hyperlink" Target="http://observepoint.com" TargetMode="External"/><Relationship Id="rId666" Type="http://schemas.openxmlformats.org/officeDocument/2006/relationships/hyperlink" Target="http://prudential.com" TargetMode="External"/><Relationship Id="rId665" Type="http://schemas.openxmlformats.org/officeDocument/2006/relationships/hyperlink" Target="http://prudential.com" TargetMode="External"/><Relationship Id="rId669" Type="http://schemas.openxmlformats.org/officeDocument/2006/relationships/hyperlink" Target="http://observepoint.com" TargetMode="External"/><Relationship Id="rId1490" Type="http://schemas.openxmlformats.org/officeDocument/2006/relationships/hyperlink" Target="http://observepoint.com" TargetMode="External"/><Relationship Id="rId660" Type="http://schemas.openxmlformats.org/officeDocument/2006/relationships/hyperlink" Target="http://observepoint.com" TargetMode="External"/><Relationship Id="rId1491" Type="http://schemas.openxmlformats.org/officeDocument/2006/relationships/hyperlink" Target="http://devry.edu" TargetMode="External"/><Relationship Id="rId1492" Type="http://schemas.openxmlformats.org/officeDocument/2006/relationships/hyperlink" Target="http://observepoint.com" TargetMode="External"/><Relationship Id="rId1493" Type="http://schemas.openxmlformats.org/officeDocument/2006/relationships/hyperlink" Target="http://worldmarket.com" TargetMode="External"/><Relationship Id="rId1010" Type="http://schemas.openxmlformats.org/officeDocument/2006/relationships/hyperlink" Target="http://rwjf.org" TargetMode="External"/><Relationship Id="rId1494" Type="http://schemas.openxmlformats.org/officeDocument/2006/relationships/hyperlink" Target="http://observepoint.com" TargetMode="External"/><Relationship Id="rId664" Type="http://schemas.openxmlformats.org/officeDocument/2006/relationships/hyperlink" Target="http://prudential.com" TargetMode="External"/><Relationship Id="rId1011" Type="http://schemas.openxmlformats.org/officeDocument/2006/relationships/hyperlink" Target="http://observepoint.com" TargetMode="External"/><Relationship Id="rId1495" Type="http://schemas.openxmlformats.org/officeDocument/2006/relationships/hyperlink" Target="http://observepoint.com" TargetMode="External"/><Relationship Id="rId663" Type="http://schemas.openxmlformats.org/officeDocument/2006/relationships/hyperlink" Target="http://observepoint.com" TargetMode="External"/><Relationship Id="rId1012" Type="http://schemas.openxmlformats.org/officeDocument/2006/relationships/hyperlink" Target="http://rwjf.org" TargetMode="External"/><Relationship Id="rId1496" Type="http://schemas.openxmlformats.org/officeDocument/2006/relationships/hyperlink" Target="http://observepoint.com" TargetMode="External"/><Relationship Id="rId662" Type="http://schemas.openxmlformats.org/officeDocument/2006/relationships/hyperlink" Target="http://prudential.com" TargetMode="External"/><Relationship Id="rId1013" Type="http://schemas.openxmlformats.org/officeDocument/2006/relationships/hyperlink" Target="http://rwjf.org" TargetMode="External"/><Relationship Id="rId1497" Type="http://schemas.openxmlformats.org/officeDocument/2006/relationships/hyperlink" Target="http://worldmarket.com" TargetMode="External"/><Relationship Id="rId661" Type="http://schemas.openxmlformats.org/officeDocument/2006/relationships/hyperlink" Target="http://prudential.com" TargetMode="External"/><Relationship Id="rId1014" Type="http://schemas.openxmlformats.org/officeDocument/2006/relationships/hyperlink" Target="http://observepoint.com" TargetMode="External"/><Relationship Id="rId1498" Type="http://schemas.openxmlformats.org/officeDocument/2006/relationships/hyperlink" Target="http://observepoint.com" TargetMode="External"/><Relationship Id="rId1004" Type="http://schemas.openxmlformats.org/officeDocument/2006/relationships/hyperlink" Target="http://observepoint.com" TargetMode="External"/><Relationship Id="rId1488" Type="http://schemas.openxmlformats.org/officeDocument/2006/relationships/hyperlink" Target="http://observepoint.com" TargetMode="External"/><Relationship Id="rId1005" Type="http://schemas.openxmlformats.org/officeDocument/2006/relationships/hyperlink" Target="http://observepoint.com" TargetMode="External"/><Relationship Id="rId1489" Type="http://schemas.openxmlformats.org/officeDocument/2006/relationships/hyperlink" Target="http://observepoint.com" TargetMode="External"/><Relationship Id="rId1006" Type="http://schemas.openxmlformats.org/officeDocument/2006/relationships/hyperlink" Target="http://rwjf.org" TargetMode="External"/><Relationship Id="rId1007" Type="http://schemas.openxmlformats.org/officeDocument/2006/relationships/hyperlink" Target="http://rwjf.org" TargetMode="External"/><Relationship Id="rId1008" Type="http://schemas.openxmlformats.org/officeDocument/2006/relationships/hyperlink" Target="http://observepoint.com" TargetMode="External"/><Relationship Id="rId1009" Type="http://schemas.openxmlformats.org/officeDocument/2006/relationships/hyperlink" Target="http://observepoint.com" TargetMode="External"/><Relationship Id="rId657" Type="http://schemas.openxmlformats.org/officeDocument/2006/relationships/hyperlink" Target="http://observepoint.com" TargetMode="External"/><Relationship Id="rId656" Type="http://schemas.openxmlformats.org/officeDocument/2006/relationships/hyperlink" Target="http://questrade.com" TargetMode="External"/><Relationship Id="rId655" Type="http://schemas.openxmlformats.org/officeDocument/2006/relationships/hyperlink" Target="http://observepoint.com" TargetMode="External"/><Relationship Id="rId654" Type="http://schemas.openxmlformats.org/officeDocument/2006/relationships/hyperlink" Target="http://observepoint.com" TargetMode="External"/><Relationship Id="rId659" Type="http://schemas.openxmlformats.org/officeDocument/2006/relationships/hyperlink" Target="http://questrade.com" TargetMode="External"/><Relationship Id="rId658" Type="http://schemas.openxmlformats.org/officeDocument/2006/relationships/hyperlink" Target="http://observepoint.com" TargetMode="External"/><Relationship Id="rId1480" Type="http://schemas.openxmlformats.org/officeDocument/2006/relationships/hyperlink" Target="http://devry.edu" TargetMode="External"/><Relationship Id="rId1481" Type="http://schemas.openxmlformats.org/officeDocument/2006/relationships/hyperlink" Target="http://observepoint.com" TargetMode="External"/><Relationship Id="rId1482" Type="http://schemas.openxmlformats.org/officeDocument/2006/relationships/hyperlink" Target="http://observepoint.com" TargetMode="External"/><Relationship Id="rId1483" Type="http://schemas.openxmlformats.org/officeDocument/2006/relationships/hyperlink" Target="http://devry.edu" TargetMode="External"/><Relationship Id="rId653" Type="http://schemas.openxmlformats.org/officeDocument/2006/relationships/hyperlink" Target="http://questrade.com" TargetMode="External"/><Relationship Id="rId1000" Type="http://schemas.openxmlformats.org/officeDocument/2006/relationships/hyperlink" Target="http://observepoint.com" TargetMode="External"/><Relationship Id="rId1484" Type="http://schemas.openxmlformats.org/officeDocument/2006/relationships/hyperlink" Target="http://observepoint.com" TargetMode="External"/><Relationship Id="rId652" Type="http://schemas.openxmlformats.org/officeDocument/2006/relationships/hyperlink" Target="http://observepoint.com" TargetMode="External"/><Relationship Id="rId1001" Type="http://schemas.openxmlformats.org/officeDocument/2006/relationships/hyperlink" Target="http://observepoint.com" TargetMode="External"/><Relationship Id="rId1485" Type="http://schemas.openxmlformats.org/officeDocument/2006/relationships/hyperlink" Target="http://observepoint.com" TargetMode="External"/><Relationship Id="rId651" Type="http://schemas.openxmlformats.org/officeDocument/2006/relationships/hyperlink" Target="http://observepoint.com" TargetMode="External"/><Relationship Id="rId1002" Type="http://schemas.openxmlformats.org/officeDocument/2006/relationships/hyperlink" Target="http://rwjf.org" TargetMode="External"/><Relationship Id="rId1486" Type="http://schemas.openxmlformats.org/officeDocument/2006/relationships/hyperlink" Target="http://aetna.com" TargetMode="External"/><Relationship Id="rId650" Type="http://schemas.openxmlformats.org/officeDocument/2006/relationships/hyperlink" Target="http://observepoint.com" TargetMode="External"/><Relationship Id="rId1003" Type="http://schemas.openxmlformats.org/officeDocument/2006/relationships/hyperlink" Target="http://rwjf.org" TargetMode="External"/><Relationship Id="rId1487" Type="http://schemas.openxmlformats.org/officeDocument/2006/relationships/hyperlink" Target="http://devry.edu" TargetMode="External"/><Relationship Id="rId1037" Type="http://schemas.openxmlformats.org/officeDocument/2006/relationships/hyperlink" Target="http://observepoint.com" TargetMode="External"/><Relationship Id="rId1038" Type="http://schemas.openxmlformats.org/officeDocument/2006/relationships/hyperlink" Target="http://observepoint.com" TargetMode="External"/><Relationship Id="rId1039" Type="http://schemas.openxmlformats.org/officeDocument/2006/relationships/hyperlink" Target="http://ros.com" TargetMode="External"/><Relationship Id="rId206" Type="http://schemas.openxmlformats.org/officeDocument/2006/relationships/hyperlink" Target="http://chilipiper.com" TargetMode="External"/><Relationship Id="rId205" Type="http://schemas.openxmlformats.org/officeDocument/2006/relationships/hyperlink" Target="http://cotiviti.com" TargetMode="External"/><Relationship Id="rId689" Type="http://schemas.openxmlformats.org/officeDocument/2006/relationships/hyperlink" Target="http://observepoint.com" TargetMode="External"/><Relationship Id="rId204" Type="http://schemas.openxmlformats.org/officeDocument/2006/relationships/hyperlink" Target="http://chilipiper.com" TargetMode="External"/><Relationship Id="rId688" Type="http://schemas.openxmlformats.org/officeDocument/2006/relationships/hyperlink" Target="http://prudential.com" TargetMode="External"/><Relationship Id="rId203" Type="http://schemas.openxmlformats.org/officeDocument/2006/relationships/hyperlink" Target="http://observepoint.com" TargetMode="External"/><Relationship Id="rId687" Type="http://schemas.openxmlformats.org/officeDocument/2006/relationships/hyperlink" Target="http://observepoint.com" TargetMode="External"/><Relationship Id="rId209" Type="http://schemas.openxmlformats.org/officeDocument/2006/relationships/hyperlink" Target="http://cvshealth.com" TargetMode="External"/><Relationship Id="rId208" Type="http://schemas.openxmlformats.org/officeDocument/2006/relationships/hyperlink" Target="http://observepoint.com" TargetMode="External"/><Relationship Id="rId207" Type="http://schemas.openxmlformats.org/officeDocument/2006/relationships/hyperlink" Target="http://officeworks.com.au" TargetMode="External"/><Relationship Id="rId682" Type="http://schemas.openxmlformats.org/officeDocument/2006/relationships/hyperlink" Target="http://observepoint.com" TargetMode="External"/><Relationship Id="rId681" Type="http://schemas.openxmlformats.org/officeDocument/2006/relationships/hyperlink" Target="http://observepoint.com" TargetMode="External"/><Relationship Id="rId1030" Type="http://schemas.openxmlformats.org/officeDocument/2006/relationships/hyperlink" Target="http://observepoint.com" TargetMode="External"/><Relationship Id="rId680" Type="http://schemas.openxmlformats.org/officeDocument/2006/relationships/hyperlink" Target="http://prudential.com" TargetMode="External"/><Relationship Id="rId1031" Type="http://schemas.openxmlformats.org/officeDocument/2006/relationships/hyperlink" Target="http://ros.com" TargetMode="External"/><Relationship Id="rId1032" Type="http://schemas.openxmlformats.org/officeDocument/2006/relationships/hyperlink" Target="http://ros.com" TargetMode="External"/><Relationship Id="rId202" Type="http://schemas.openxmlformats.org/officeDocument/2006/relationships/hyperlink" Target="http://westjet.com" TargetMode="External"/><Relationship Id="rId686" Type="http://schemas.openxmlformats.org/officeDocument/2006/relationships/hyperlink" Target="http://observepoint.com" TargetMode="External"/><Relationship Id="rId1033" Type="http://schemas.openxmlformats.org/officeDocument/2006/relationships/hyperlink" Target="http://observepoint.com" TargetMode="External"/><Relationship Id="rId201" Type="http://schemas.openxmlformats.org/officeDocument/2006/relationships/hyperlink" Target="http://chilipiper.com" TargetMode="External"/><Relationship Id="rId685" Type="http://schemas.openxmlformats.org/officeDocument/2006/relationships/hyperlink" Target="http://observepoint.com" TargetMode="External"/><Relationship Id="rId1034" Type="http://schemas.openxmlformats.org/officeDocument/2006/relationships/hyperlink" Target="http://observepoint.com" TargetMode="External"/><Relationship Id="rId200" Type="http://schemas.openxmlformats.org/officeDocument/2006/relationships/hyperlink" Target="http://observepoint.com" TargetMode="External"/><Relationship Id="rId684" Type="http://schemas.openxmlformats.org/officeDocument/2006/relationships/hyperlink" Target="http://prudential.com" TargetMode="External"/><Relationship Id="rId1035" Type="http://schemas.openxmlformats.org/officeDocument/2006/relationships/hyperlink" Target="http://ros.com" TargetMode="External"/><Relationship Id="rId683" Type="http://schemas.openxmlformats.org/officeDocument/2006/relationships/hyperlink" Target="http://prudential.com" TargetMode="External"/><Relationship Id="rId1036" Type="http://schemas.openxmlformats.org/officeDocument/2006/relationships/hyperlink" Target="http://ros.com" TargetMode="External"/><Relationship Id="rId1026" Type="http://schemas.openxmlformats.org/officeDocument/2006/relationships/hyperlink" Target="http://rwjf.org" TargetMode="External"/><Relationship Id="rId1027" Type="http://schemas.openxmlformats.org/officeDocument/2006/relationships/hyperlink" Target="http://ros.com" TargetMode="External"/><Relationship Id="rId1028" Type="http://schemas.openxmlformats.org/officeDocument/2006/relationships/hyperlink" Target="http://observepoint.com" TargetMode="External"/><Relationship Id="rId1029" Type="http://schemas.openxmlformats.org/officeDocument/2006/relationships/hyperlink" Target="http://ros.com" TargetMode="External"/><Relationship Id="rId679" Type="http://schemas.openxmlformats.org/officeDocument/2006/relationships/hyperlink" Target="http://prudential.com" TargetMode="External"/><Relationship Id="rId678" Type="http://schemas.openxmlformats.org/officeDocument/2006/relationships/hyperlink" Target="http://observepoint.com" TargetMode="External"/><Relationship Id="rId677" Type="http://schemas.openxmlformats.org/officeDocument/2006/relationships/hyperlink" Target="http://observepoint.com" TargetMode="External"/><Relationship Id="rId676" Type="http://schemas.openxmlformats.org/officeDocument/2006/relationships/hyperlink" Target="http://prudential.com" TargetMode="External"/><Relationship Id="rId671" Type="http://schemas.openxmlformats.org/officeDocument/2006/relationships/hyperlink" Target="http://questrade.com" TargetMode="External"/><Relationship Id="rId670" Type="http://schemas.openxmlformats.org/officeDocument/2006/relationships/hyperlink" Target="http://prudential.com" TargetMode="External"/><Relationship Id="rId1020" Type="http://schemas.openxmlformats.org/officeDocument/2006/relationships/hyperlink" Target="http://observepoint.com" TargetMode="External"/><Relationship Id="rId1021" Type="http://schemas.openxmlformats.org/officeDocument/2006/relationships/hyperlink" Target="http://rwjf.org" TargetMode="External"/><Relationship Id="rId675" Type="http://schemas.openxmlformats.org/officeDocument/2006/relationships/hyperlink" Target="http://questrade.com" TargetMode="External"/><Relationship Id="rId1022" Type="http://schemas.openxmlformats.org/officeDocument/2006/relationships/hyperlink" Target="http://observepoint.com" TargetMode="External"/><Relationship Id="rId674" Type="http://schemas.openxmlformats.org/officeDocument/2006/relationships/hyperlink" Target="http://chilipiper.com" TargetMode="External"/><Relationship Id="rId1023" Type="http://schemas.openxmlformats.org/officeDocument/2006/relationships/hyperlink" Target="http://rwjf.org" TargetMode="External"/><Relationship Id="rId673" Type="http://schemas.openxmlformats.org/officeDocument/2006/relationships/hyperlink" Target="http://questrade.com" TargetMode="External"/><Relationship Id="rId1024" Type="http://schemas.openxmlformats.org/officeDocument/2006/relationships/hyperlink" Target="http://observepoint.com" TargetMode="External"/><Relationship Id="rId672" Type="http://schemas.openxmlformats.org/officeDocument/2006/relationships/hyperlink" Target="http://observepoint.com" TargetMode="External"/><Relationship Id="rId1025" Type="http://schemas.openxmlformats.org/officeDocument/2006/relationships/hyperlink" Target="http://observepoint.com" TargetMode="External"/><Relationship Id="rId190" Type="http://schemas.openxmlformats.org/officeDocument/2006/relationships/hyperlink" Target="http://bluebeam.com" TargetMode="External"/><Relationship Id="rId194" Type="http://schemas.openxmlformats.org/officeDocument/2006/relationships/hyperlink" Target="http://observepoint.com" TargetMode="External"/><Relationship Id="rId193" Type="http://schemas.openxmlformats.org/officeDocument/2006/relationships/hyperlink" Target="http://observepoint.com" TargetMode="External"/><Relationship Id="rId192" Type="http://schemas.openxmlformats.org/officeDocument/2006/relationships/hyperlink" Target="http://observepoint.com" TargetMode="External"/><Relationship Id="rId191" Type="http://schemas.openxmlformats.org/officeDocument/2006/relationships/hyperlink" Target="http://observepoint.com" TargetMode="External"/><Relationship Id="rId187" Type="http://schemas.openxmlformats.org/officeDocument/2006/relationships/hyperlink" Target="http://bluebeam.com" TargetMode="External"/><Relationship Id="rId186" Type="http://schemas.openxmlformats.org/officeDocument/2006/relationships/hyperlink" Target="http://observepoint.com" TargetMode="External"/><Relationship Id="rId185" Type="http://schemas.openxmlformats.org/officeDocument/2006/relationships/hyperlink" Target="http://observepoint.com" TargetMode="External"/><Relationship Id="rId184" Type="http://schemas.openxmlformats.org/officeDocument/2006/relationships/hyperlink" Target="http://observepoint.com" TargetMode="External"/><Relationship Id="rId189" Type="http://schemas.openxmlformats.org/officeDocument/2006/relationships/hyperlink" Target="http://observepoint.com" TargetMode="External"/><Relationship Id="rId188" Type="http://schemas.openxmlformats.org/officeDocument/2006/relationships/hyperlink" Target="http://observepoint.com" TargetMode="External"/><Relationship Id="rId183" Type="http://schemas.openxmlformats.org/officeDocument/2006/relationships/hyperlink" Target="http://observepoint.com" TargetMode="External"/><Relationship Id="rId182" Type="http://schemas.openxmlformats.org/officeDocument/2006/relationships/hyperlink" Target="http://observepoint.com" TargetMode="External"/><Relationship Id="rId181" Type="http://schemas.openxmlformats.org/officeDocument/2006/relationships/hyperlink" Target="http://brunswick.com" TargetMode="External"/><Relationship Id="rId180" Type="http://schemas.openxmlformats.org/officeDocument/2006/relationships/hyperlink" Target="http://observepoint.com" TargetMode="External"/><Relationship Id="rId176" Type="http://schemas.openxmlformats.org/officeDocument/2006/relationships/hyperlink" Target="http://observepoint.com" TargetMode="External"/><Relationship Id="rId175" Type="http://schemas.openxmlformats.org/officeDocument/2006/relationships/hyperlink" Target="http://brunswick.com" TargetMode="External"/><Relationship Id="rId174" Type="http://schemas.openxmlformats.org/officeDocument/2006/relationships/hyperlink" Target="http://observepoint.com" TargetMode="External"/><Relationship Id="rId173" Type="http://schemas.openxmlformats.org/officeDocument/2006/relationships/hyperlink" Target="http://observepoint.com" TargetMode="External"/><Relationship Id="rId179" Type="http://schemas.openxmlformats.org/officeDocument/2006/relationships/hyperlink" Target="http://observepoint.com" TargetMode="External"/><Relationship Id="rId178" Type="http://schemas.openxmlformats.org/officeDocument/2006/relationships/hyperlink" Target="http://brunswick.com" TargetMode="External"/><Relationship Id="rId177" Type="http://schemas.openxmlformats.org/officeDocument/2006/relationships/hyperlink" Target="http://observepoint.com" TargetMode="External"/><Relationship Id="rId1910" Type="http://schemas.openxmlformats.org/officeDocument/2006/relationships/hyperlink" Target="http://athenahealth.com" TargetMode="External"/><Relationship Id="rId1911" Type="http://schemas.openxmlformats.org/officeDocument/2006/relationships/hyperlink" Target="http://observepoint.com" TargetMode="External"/><Relationship Id="rId1912" Type="http://schemas.openxmlformats.org/officeDocument/2006/relationships/hyperlink" Target="http://athenahealth.com" TargetMode="External"/><Relationship Id="rId1913" Type="http://schemas.openxmlformats.org/officeDocument/2006/relationships/hyperlink" Target="http://amica.com" TargetMode="External"/><Relationship Id="rId1914" Type="http://schemas.openxmlformats.org/officeDocument/2006/relationships/hyperlink" Target="http://observepoint.com" TargetMode="External"/><Relationship Id="rId1915" Type="http://schemas.openxmlformats.org/officeDocument/2006/relationships/hyperlink" Target="http://observepoint.com" TargetMode="External"/><Relationship Id="rId1916" Type="http://schemas.openxmlformats.org/officeDocument/2006/relationships/hyperlink" Target="http://observepoint.com" TargetMode="External"/><Relationship Id="rId1917" Type="http://schemas.openxmlformats.org/officeDocument/2006/relationships/hyperlink" Target="http://observepoint.com" TargetMode="External"/><Relationship Id="rId1918" Type="http://schemas.openxmlformats.org/officeDocument/2006/relationships/hyperlink" Target="http://amica.com" TargetMode="External"/><Relationship Id="rId1919" Type="http://schemas.openxmlformats.org/officeDocument/2006/relationships/hyperlink" Target="http://observepoint.com" TargetMode="External"/><Relationship Id="rId1900" Type="http://schemas.openxmlformats.org/officeDocument/2006/relationships/hyperlink" Target="http://observepoint.com" TargetMode="External"/><Relationship Id="rId1901" Type="http://schemas.openxmlformats.org/officeDocument/2006/relationships/hyperlink" Target="http://athenahealth.com" TargetMode="External"/><Relationship Id="rId1902" Type="http://schemas.openxmlformats.org/officeDocument/2006/relationships/hyperlink" Target="http://observepoint.com" TargetMode="External"/><Relationship Id="rId1903" Type="http://schemas.openxmlformats.org/officeDocument/2006/relationships/hyperlink" Target="http://observepoint.com" TargetMode="External"/><Relationship Id="rId1904" Type="http://schemas.openxmlformats.org/officeDocument/2006/relationships/hyperlink" Target="http://amica.com" TargetMode="External"/><Relationship Id="rId1905" Type="http://schemas.openxmlformats.org/officeDocument/2006/relationships/hyperlink" Target="http://observepoint.com" TargetMode="External"/><Relationship Id="rId1906" Type="http://schemas.openxmlformats.org/officeDocument/2006/relationships/hyperlink" Target="http://observepoint.com" TargetMode="External"/><Relationship Id="rId1907" Type="http://schemas.openxmlformats.org/officeDocument/2006/relationships/hyperlink" Target="http://observepoint.com" TargetMode="External"/><Relationship Id="rId1908" Type="http://schemas.openxmlformats.org/officeDocument/2006/relationships/hyperlink" Target="http://observepoint.com" TargetMode="External"/><Relationship Id="rId1909" Type="http://schemas.openxmlformats.org/officeDocument/2006/relationships/hyperlink" Target="http://observepoint.com" TargetMode="External"/><Relationship Id="rId198" Type="http://schemas.openxmlformats.org/officeDocument/2006/relationships/hyperlink" Target="http://chilipiper.com" TargetMode="External"/><Relationship Id="rId197" Type="http://schemas.openxmlformats.org/officeDocument/2006/relationships/hyperlink" Target="http://observepoint.com" TargetMode="External"/><Relationship Id="rId196" Type="http://schemas.openxmlformats.org/officeDocument/2006/relationships/hyperlink" Target="http://cotiviti.com" TargetMode="External"/><Relationship Id="rId195" Type="http://schemas.openxmlformats.org/officeDocument/2006/relationships/hyperlink" Target="http://observepoint.com" TargetMode="External"/><Relationship Id="rId199" Type="http://schemas.openxmlformats.org/officeDocument/2006/relationships/hyperlink" Target="http://setoyota.com" TargetMode="External"/><Relationship Id="rId150" Type="http://schemas.openxmlformats.org/officeDocument/2006/relationships/hyperlink" Target="http://athenahealth.com" TargetMode="External"/><Relationship Id="rId149" Type="http://schemas.openxmlformats.org/officeDocument/2006/relationships/hyperlink" Target="http://observepoint.com" TargetMode="External"/><Relationship Id="rId148" Type="http://schemas.openxmlformats.org/officeDocument/2006/relationships/hyperlink" Target="http://observepoint.com" TargetMode="External"/><Relationship Id="rId1090" Type="http://schemas.openxmlformats.org/officeDocument/2006/relationships/hyperlink" Target="http://observepoint.com" TargetMode="External"/><Relationship Id="rId1091" Type="http://schemas.openxmlformats.org/officeDocument/2006/relationships/hyperlink" Target="http://observepoint.com" TargetMode="External"/><Relationship Id="rId1092" Type="http://schemas.openxmlformats.org/officeDocument/2006/relationships/hyperlink" Target="http://observepoint.com" TargetMode="External"/><Relationship Id="rId1093" Type="http://schemas.openxmlformats.org/officeDocument/2006/relationships/hyperlink" Target="http://observepoint.com" TargetMode="External"/><Relationship Id="rId1094" Type="http://schemas.openxmlformats.org/officeDocument/2006/relationships/hyperlink" Target="http://observepoint.com" TargetMode="External"/><Relationship Id="rId143" Type="http://schemas.openxmlformats.org/officeDocument/2006/relationships/hyperlink" Target="http://observepoint.com" TargetMode="External"/><Relationship Id="rId1095" Type="http://schemas.openxmlformats.org/officeDocument/2006/relationships/hyperlink" Target="http://observepoint.com" TargetMode="External"/><Relationship Id="rId142" Type="http://schemas.openxmlformats.org/officeDocument/2006/relationships/hyperlink" Target="http://amica.com" TargetMode="External"/><Relationship Id="rId1096" Type="http://schemas.openxmlformats.org/officeDocument/2006/relationships/hyperlink" Target="http://spark.co.nz" TargetMode="External"/><Relationship Id="rId141" Type="http://schemas.openxmlformats.org/officeDocument/2006/relationships/hyperlink" Target="http://observepoint.com" TargetMode="External"/><Relationship Id="rId1097" Type="http://schemas.openxmlformats.org/officeDocument/2006/relationships/hyperlink" Target="http://spark.co.nz" TargetMode="External"/><Relationship Id="rId140" Type="http://schemas.openxmlformats.org/officeDocument/2006/relationships/hyperlink" Target="http://observepoint.com" TargetMode="External"/><Relationship Id="rId1098" Type="http://schemas.openxmlformats.org/officeDocument/2006/relationships/hyperlink" Target="http://observepoint.com" TargetMode="External"/><Relationship Id="rId147" Type="http://schemas.openxmlformats.org/officeDocument/2006/relationships/hyperlink" Target="http://observepoint.com" TargetMode="External"/><Relationship Id="rId1099" Type="http://schemas.openxmlformats.org/officeDocument/2006/relationships/hyperlink" Target="http://spark.co.nz" TargetMode="External"/><Relationship Id="rId146" Type="http://schemas.openxmlformats.org/officeDocument/2006/relationships/hyperlink" Target="http://observepoint.com" TargetMode="External"/><Relationship Id="rId145" Type="http://schemas.openxmlformats.org/officeDocument/2006/relationships/hyperlink" Target="http://observepoint.com" TargetMode="External"/><Relationship Id="rId144" Type="http://schemas.openxmlformats.org/officeDocument/2006/relationships/hyperlink" Target="http://amica.com" TargetMode="External"/><Relationship Id="rId139" Type="http://schemas.openxmlformats.org/officeDocument/2006/relationships/hyperlink" Target="http://amica.com" TargetMode="External"/><Relationship Id="rId138" Type="http://schemas.openxmlformats.org/officeDocument/2006/relationships/hyperlink" Target="http://observepoint.com" TargetMode="External"/><Relationship Id="rId137" Type="http://schemas.openxmlformats.org/officeDocument/2006/relationships/hyperlink" Target="http://observepoint.com" TargetMode="External"/><Relationship Id="rId1080" Type="http://schemas.openxmlformats.org/officeDocument/2006/relationships/hyperlink" Target="http://ros.com" TargetMode="External"/><Relationship Id="rId1081" Type="http://schemas.openxmlformats.org/officeDocument/2006/relationships/hyperlink" Target="http://observepoint.com" TargetMode="External"/><Relationship Id="rId1082" Type="http://schemas.openxmlformats.org/officeDocument/2006/relationships/hyperlink" Target="http://spark.co.nz" TargetMode="External"/><Relationship Id="rId1083" Type="http://schemas.openxmlformats.org/officeDocument/2006/relationships/hyperlink" Target="http://observepoint.com" TargetMode="External"/><Relationship Id="rId132" Type="http://schemas.openxmlformats.org/officeDocument/2006/relationships/hyperlink" Target="http://observepoint.com" TargetMode="External"/><Relationship Id="rId1084" Type="http://schemas.openxmlformats.org/officeDocument/2006/relationships/hyperlink" Target="http://spark.co.nz" TargetMode="External"/><Relationship Id="rId131" Type="http://schemas.openxmlformats.org/officeDocument/2006/relationships/hyperlink" Target="http://amica.com" TargetMode="External"/><Relationship Id="rId1085" Type="http://schemas.openxmlformats.org/officeDocument/2006/relationships/hyperlink" Target="http://observepoint.com" TargetMode="External"/><Relationship Id="rId130" Type="http://schemas.openxmlformats.org/officeDocument/2006/relationships/hyperlink" Target="http://observepoint.com" TargetMode="External"/><Relationship Id="rId1086" Type="http://schemas.openxmlformats.org/officeDocument/2006/relationships/hyperlink" Target="http://observepoint.com" TargetMode="External"/><Relationship Id="rId1087" Type="http://schemas.openxmlformats.org/officeDocument/2006/relationships/hyperlink" Target="http://spark.co.nz" TargetMode="External"/><Relationship Id="rId136" Type="http://schemas.openxmlformats.org/officeDocument/2006/relationships/hyperlink" Target="http://amica.com" TargetMode="External"/><Relationship Id="rId1088" Type="http://schemas.openxmlformats.org/officeDocument/2006/relationships/hyperlink" Target="http://observepoint.com" TargetMode="External"/><Relationship Id="rId135" Type="http://schemas.openxmlformats.org/officeDocument/2006/relationships/hyperlink" Target="http://observepoint.com" TargetMode="External"/><Relationship Id="rId1089" Type="http://schemas.openxmlformats.org/officeDocument/2006/relationships/hyperlink" Target="http://spark.co.nz" TargetMode="External"/><Relationship Id="rId134" Type="http://schemas.openxmlformats.org/officeDocument/2006/relationships/hyperlink" Target="http://amica.com" TargetMode="External"/><Relationship Id="rId133" Type="http://schemas.openxmlformats.org/officeDocument/2006/relationships/hyperlink" Target="http://observepoint.com" TargetMode="External"/><Relationship Id="rId172" Type="http://schemas.openxmlformats.org/officeDocument/2006/relationships/hyperlink" Target="http://observepoint.com" TargetMode="External"/><Relationship Id="rId171" Type="http://schemas.openxmlformats.org/officeDocument/2006/relationships/hyperlink" Target="http://observepoint.com" TargetMode="External"/><Relationship Id="rId170" Type="http://schemas.openxmlformats.org/officeDocument/2006/relationships/hyperlink" Target="http://bluebeam.com" TargetMode="External"/><Relationship Id="rId165" Type="http://schemas.openxmlformats.org/officeDocument/2006/relationships/hyperlink" Target="http://observepoint.com" TargetMode="External"/><Relationship Id="rId164" Type="http://schemas.openxmlformats.org/officeDocument/2006/relationships/hyperlink" Target="http://caleres.com" TargetMode="External"/><Relationship Id="rId163" Type="http://schemas.openxmlformats.org/officeDocument/2006/relationships/hyperlink" Target="http://observepoint.com" TargetMode="External"/><Relationship Id="rId162" Type="http://schemas.openxmlformats.org/officeDocument/2006/relationships/hyperlink" Target="http://caleres.com" TargetMode="External"/><Relationship Id="rId169" Type="http://schemas.openxmlformats.org/officeDocument/2006/relationships/hyperlink" Target="http://observepoint.com" TargetMode="External"/><Relationship Id="rId168" Type="http://schemas.openxmlformats.org/officeDocument/2006/relationships/hyperlink" Target="http://bluebeam.com" TargetMode="External"/><Relationship Id="rId167" Type="http://schemas.openxmlformats.org/officeDocument/2006/relationships/hyperlink" Target="http://observepoint.com" TargetMode="External"/><Relationship Id="rId166" Type="http://schemas.openxmlformats.org/officeDocument/2006/relationships/hyperlink" Target="http://bluebeam.com" TargetMode="External"/><Relationship Id="rId161" Type="http://schemas.openxmlformats.org/officeDocument/2006/relationships/hyperlink" Target="http://observepoint.com" TargetMode="External"/><Relationship Id="rId160" Type="http://schemas.openxmlformats.org/officeDocument/2006/relationships/hyperlink" Target="http://caleres.com" TargetMode="External"/><Relationship Id="rId159" Type="http://schemas.openxmlformats.org/officeDocument/2006/relationships/hyperlink" Target="http://caleres.com" TargetMode="External"/><Relationship Id="rId154" Type="http://schemas.openxmlformats.org/officeDocument/2006/relationships/hyperlink" Target="http://caleres.com" TargetMode="External"/><Relationship Id="rId153" Type="http://schemas.openxmlformats.org/officeDocument/2006/relationships/hyperlink" Target="http://observepoint.com" TargetMode="External"/><Relationship Id="rId152" Type="http://schemas.openxmlformats.org/officeDocument/2006/relationships/hyperlink" Target="http://observepoint.com" TargetMode="External"/><Relationship Id="rId151" Type="http://schemas.openxmlformats.org/officeDocument/2006/relationships/hyperlink" Target="http://observepoint.com" TargetMode="External"/><Relationship Id="rId158" Type="http://schemas.openxmlformats.org/officeDocument/2006/relationships/hyperlink" Target="http://observepoint.com" TargetMode="External"/><Relationship Id="rId157" Type="http://schemas.openxmlformats.org/officeDocument/2006/relationships/hyperlink" Target="http://observepoint.com" TargetMode="External"/><Relationship Id="rId156" Type="http://schemas.openxmlformats.org/officeDocument/2006/relationships/hyperlink" Target="http://caleres.com" TargetMode="External"/><Relationship Id="rId155" Type="http://schemas.openxmlformats.org/officeDocument/2006/relationships/hyperlink" Target="http://observepoint.com" TargetMode="External"/><Relationship Id="rId1972" Type="http://schemas.openxmlformats.org/officeDocument/2006/relationships/hyperlink" Target="http://questrade.com" TargetMode="External"/><Relationship Id="rId1973" Type="http://schemas.openxmlformats.org/officeDocument/2006/relationships/hyperlink" Target="http://rwjf.org" TargetMode="External"/><Relationship Id="rId1974" Type="http://schemas.openxmlformats.org/officeDocument/2006/relationships/hyperlink" Target="http://observepoint.com" TargetMode="External"/><Relationship Id="rId1975" Type="http://schemas.openxmlformats.org/officeDocument/2006/relationships/hyperlink" Target="http://observepoint.com" TargetMode="External"/><Relationship Id="rId1976" Type="http://schemas.openxmlformats.org/officeDocument/2006/relationships/hyperlink" Target="http://observepoint.com" TargetMode="External"/><Relationship Id="rId1977" Type="http://schemas.openxmlformats.org/officeDocument/2006/relationships/hyperlink" Target="http://rwjf.org" TargetMode="External"/><Relationship Id="rId1978" Type="http://schemas.openxmlformats.org/officeDocument/2006/relationships/hyperlink" Target="http://observepoint.com" TargetMode="External"/><Relationship Id="rId1979" Type="http://schemas.openxmlformats.org/officeDocument/2006/relationships/hyperlink" Target="http://observepoint.com" TargetMode="External"/><Relationship Id="rId1970" Type="http://schemas.openxmlformats.org/officeDocument/2006/relationships/hyperlink" Target="http://observepoint.com" TargetMode="External"/><Relationship Id="rId1971" Type="http://schemas.openxmlformats.org/officeDocument/2006/relationships/hyperlink" Target="http://questrade.com" TargetMode="External"/><Relationship Id="rId1961" Type="http://schemas.openxmlformats.org/officeDocument/2006/relationships/hyperlink" Target="http://observepoint.com" TargetMode="External"/><Relationship Id="rId1962" Type="http://schemas.openxmlformats.org/officeDocument/2006/relationships/hyperlink" Target="http://observepoint.com" TargetMode="External"/><Relationship Id="rId1963" Type="http://schemas.openxmlformats.org/officeDocument/2006/relationships/hyperlink" Target="http://woolworths.com.au" TargetMode="External"/><Relationship Id="rId1964" Type="http://schemas.openxmlformats.org/officeDocument/2006/relationships/hyperlink" Target="http://observepoint.com" TargetMode="External"/><Relationship Id="rId1965" Type="http://schemas.openxmlformats.org/officeDocument/2006/relationships/hyperlink" Target="http://questrade.com" TargetMode="External"/><Relationship Id="rId1966" Type="http://schemas.openxmlformats.org/officeDocument/2006/relationships/hyperlink" Target="http://observepoint.com" TargetMode="External"/><Relationship Id="rId1967" Type="http://schemas.openxmlformats.org/officeDocument/2006/relationships/hyperlink" Target="http://questrade.com" TargetMode="External"/><Relationship Id="rId1968" Type="http://schemas.openxmlformats.org/officeDocument/2006/relationships/hyperlink" Target="http://worldmarket.com" TargetMode="External"/><Relationship Id="rId1969" Type="http://schemas.openxmlformats.org/officeDocument/2006/relationships/hyperlink" Target="http://observepoint.com" TargetMode="External"/><Relationship Id="rId1960" Type="http://schemas.openxmlformats.org/officeDocument/2006/relationships/hyperlink" Target="http://observepoint.com" TargetMode="External"/><Relationship Id="rId1510" Type="http://schemas.openxmlformats.org/officeDocument/2006/relationships/hyperlink" Target="http://observepoint.com" TargetMode="External"/><Relationship Id="rId1994" Type="http://schemas.openxmlformats.org/officeDocument/2006/relationships/hyperlink" Target="http://observepoint.com" TargetMode="External"/><Relationship Id="rId1511" Type="http://schemas.openxmlformats.org/officeDocument/2006/relationships/hyperlink" Target="http://mongodb.com" TargetMode="External"/><Relationship Id="rId1995" Type="http://schemas.openxmlformats.org/officeDocument/2006/relationships/hyperlink" Target="http://worldmarket.com" TargetMode="External"/><Relationship Id="rId1512" Type="http://schemas.openxmlformats.org/officeDocument/2006/relationships/hyperlink" Target="http://mongodb.com" TargetMode="External"/><Relationship Id="rId1996" Type="http://schemas.openxmlformats.org/officeDocument/2006/relationships/hyperlink" Target="http://cdw.com" TargetMode="External"/><Relationship Id="rId1513" Type="http://schemas.openxmlformats.org/officeDocument/2006/relationships/hyperlink" Target="http://observepoint.com" TargetMode="External"/><Relationship Id="rId1997" Type="http://schemas.openxmlformats.org/officeDocument/2006/relationships/hyperlink" Target="http://observepoint.com" TargetMode="External"/><Relationship Id="rId1514" Type="http://schemas.openxmlformats.org/officeDocument/2006/relationships/hyperlink" Target="http://amica.com" TargetMode="External"/><Relationship Id="rId1998" Type="http://schemas.openxmlformats.org/officeDocument/2006/relationships/hyperlink" Target="http://cdw.com" TargetMode="External"/><Relationship Id="rId1515" Type="http://schemas.openxmlformats.org/officeDocument/2006/relationships/hyperlink" Target="http://observepoint.com" TargetMode="External"/><Relationship Id="rId1999" Type="http://schemas.openxmlformats.org/officeDocument/2006/relationships/hyperlink" Target="http://worldmarket.com" TargetMode="External"/><Relationship Id="rId1516" Type="http://schemas.openxmlformats.org/officeDocument/2006/relationships/hyperlink" Target="http://observepoint.com" TargetMode="External"/><Relationship Id="rId1517" Type="http://schemas.openxmlformats.org/officeDocument/2006/relationships/hyperlink" Target="http://cvshealth.com" TargetMode="External"/><Relationship Id="rId1518" Type="http://schemas.openxmlformats.org/officeDocument/2006/relationships/hyperlink" Target="http://aetna.com" TargetMode="External"/><Relationship Id="rId1519" Type="http://schemas.openxmlformats.org/officeDocument/2006/relationships/hyperlink" Target="http://aetna.com" TargetMode="External"/><Relationship Id="rId1990" Type="http://schemas.openxmlformats.org/officeDocument/2006/relationships/hyperlink" Target="http://amica.com" TargetMode="External"/><Relationship Id="rId1991" Type="http://schemas.openxmlformats.org/officeDocument/2006/relationships/hyperlink" Target="http://observepoint.com" TargetMode="External"/><Relationship Id="rId1992" Type="http://schemas.openxmlformats.org/officeDocument/2006/relationships/hyperlink" Target="http://worldmarket.com" TargetMode="External"/><Relationship Id="rId1993" Type="http://schemas.openxmlformats.org/officeDocument/2006/relationships/hyperlink" Target="http://observepoint.com" TargetMode="External"/><Relationship Id="rId1983" Type="http://schemas.openxmlformats.org/officeDocument/2006/relationships/hyperlink" Target="http://observepoint.com" TargetMode="External"/><Relationship Id="rId1500" Type="http://schemas.openxmlformats.org/officeDocument/2006/relationships/hyperlink" Target="http://observepoint.com" TargetMode="External"/><Relationship Id="rId1984" Type="http://schemas.openxmlformats.org/officeDocument/2006/relationships/hyperlink" Target="http://questrade.com" TargetMode="External"/><Relationship Id="rId1501" Type="http://schemas.openxmlformats.org/officeDocument/2006/relationships/hyperlink" Target="http://amica.com" TargetMode="External"/><Relationship Id="rId1985" Type="http://schemas.openxmlformats.org/officeDocument/2006/relationships/hyperlink" Target="http://observepoint.com" TargetMode="External"/><Relationship Id="rId1502" Type="http://schemas.openxmlformats.org/officeDocument/2006/relationships/hyperlink" Target="http://observepoint.com" TargetMode="External"/><Relationship Id="rId1986" Type="http://schemas.openxmlformats.org/officeDocument/2006/relationships/hyperlink" Target="http://questrade.com" TargetMode="External"/><Relationship Id="rId1503" Type="http://schemas.openxmlformats.org/officeDocument/2006/relationships/hyperlink" Target="http://observepoint.com" TargetMode="External"/><Relationship Id="rId1987" Type="http://schemas.openxmlformats.org/officeDocument/2006/relationships/hyperlink" Target="http://observepoint.com" TargetMode="External"/><Relationship Id="rId1504" Type="http://schemas.openxmlformats.org/officeDocument/2006/relationships/hyperlink" Target="http://observepoint.com" TargetMode="External"/><Relationship Id="rId1988" Type="http://schemas.openxmlformats.org/officeDocument/2006/relationships/hyperlink" Target="http://questrade.com" TargetMode="External"/><Relationship Id="rId1505" Type="http://schemas.openxmlformats.org/officeDocument/2006/relationships/hyperlink" Target="http://lumen.com" TargetMode="External"/><Relationship Id="rId1989" Type="http://schemas.openxmlformats.org/officeDocument/2006/relationships/hyperlink" Target="http://questrade.com" TargetMode="External"/><Relationship Id="rId1506" Type="http://schemas.openxmlformats.org/officeDocument/2006/relationships/hyperlink" Target="http://lumen.com" TargetMode="External"/><Relationship Id="rId1507" Type="http://schemas.openxmlformats.org/officeDocument/2006/relationships/hyperlink" Target="http://observepoint.com" TargetMode="External"/><Relationship Id="rId1508" Type="http://schemas.openxmlformats.org/officeDocument/2006/relationships/hyperlink" Target="http://observepoint.com" TargetMode="External"/><Relationship Id="rId1509" Type="http://schemas.openxmlformats.org/officeDocument/2006/relationships/hyperlink" Target="http://lumen.com" TargetMode="External"/><Relationship Id="rId1980" Type="http://schemas.openxmlformats.org/officeDocument/2006/relationships/hyperlink" Target="http://worldmarket.com" TargetMode="External"/><Relationship Id="rId1981" Type="http://schemas.openxmlformats.org/officeDocument/2006/relationships/hyperlink" Target="http://rwjf.org" TargetMode="External"/><Relationship Id="rId1982" Type="http://schemas.openxmlformats.org/officeDocument/2006/relationships/hyperlink" Target="http://observepoint.com" TargetMode="External"/><Relationship Id="rId1930" Type="http://schemas.openxmlformats.org/officeDocument/2006/relationships/hyperlink" Target="http://devry.edu" TargetMode="External"/><Relationship Id="rId1931" Type="http://schemas.openxmlformats.org/officeDocument/2006/relationships/hyperlink" Target="http://observepoint.com" TargetMode="External"/><Relationship Id="rId1932" Type="http://schemas.openxmlformats.org/officeDocument/2006/relationships/hyperlink" Target="http://devry.edu" TargetMode="External"/><Relationship Id="rId1933" Type="http://schemas.openxmlformats.org/officeDocument/2006/relationships/hyperlink" Target="http://woolworths.com.au" TargetMode="External"/><Relationship Id="rId1934" Type="http://schemas.openxmlformats.org/officeDocument/2006/relationships/hyperlink" Target="http://observepoint.com" TargetMode="External"/><Relationship Id="rId1935" Type="http://schemas.openxmlformats.org/officeDocument/2006/relationships/hyperlink" Target="http://observepoint.com" TargetMode="External"/><Relationship Id="rId1936" Type="http://schemas.openxmlformats.org/officeDocument/2006/relationships/hyperlink" Target="http://cdw.com" TargetMode="External"/><Relationship Id="rId1937" Type="http://schemas.openxmlformats.org/officeDocument/2006/relationships/hyperlink" Target="http://observepoint.com" TargetMode="External"/><Relationship Id="rId1938" Type="http://schemas.openxmlformats.org/officeDocument/2006/relationships/hyperlink" Target="http://observepoint.com" TargetMode="External"/><Relationship Id="rId1939" Type="http://schemas.openxmlformats.org/officeDocument/2006/relationships/hyperlink" Target="http://questrade.com" TargetMode="External"/><Relationship Id="rId1920" Type="http://schemas.openxmlformats.org/officeDocument/2006/relationships/hyperlink" Target="http://accentgr.com.au" TargetMode="External"/><Relationship Id="rId1921" Type="http://schemas.openxmlformats.org/officeDocument/2006/relationships/hyperlink" Target="http://observepoint.com" TargetMode="External"/><Relationship Id="rId1922" Type="http://schemas.openxmlformats.org/officeDocument/2006/relationships/hyperlink" Target="http://worldmarket.com" TargetMode="External"/><Relationship Id="rId1923" Type="http://schemas.openxmlformats.org/officeDocument/2006/relationships/hyperlink" Target="http://observepoint.com" TargetMode="External"/><Relationship Id="rId1924" Type="http://schemas.openxmlformats.org/officeDocument/2006/relationships/hyperlink" Target="http://devry.edu" TargetMode="External"/><Relationship Id="rId1925" Type="http://schemas.openxmlformats.org/officeDocument/2006/relationships/hyperlink" Target="http://observepoint.com" TargetMode="External"/><Relationship Id="rId1926" Type="http://schemas.openxmlformats.org/officeDocument/2006/relationships/hyperlink" Target="http://observepoint.com" TargetMode="External"/><Relationship Id="rId1927" Type="http://schemas.openxmlformats.org/officeDocument/2006/relationships/hyperlink" Target="http://devry.edu" TargetMode="External"/><Relationship Id="rId1928" Type="http://schemas.openxmlformats.org/officeDocument/2006/relationships/hyperlink" Target="http://observepoint.com" TargetMode="External"/><Relationship Id="rId1929" Type="http://schemas.openxmlformats.org/officeDocument/2006/relationships/hyperlink" Target="http://observepoint.com" TargetMode="External"/><Relationship Id="rId1950" Type="http://schemas.openxmlformats.org/officeDocument/2006/relationships/hyperlink" Target="http://brunswick.com" TargetMode="External"/><Relationship Id="rId1951" Type="http://schemas.openxmlformats.org/officeDocument/2006/relationships/hyperlink" Target="http://observepoint.com" TargetMode="External"/><Relationship Id="rId1952" Type="http://schemas.openxmlformats.org/officeDocument/2006/relationships/hyperlink" Target="http://observepoint.com" TargetMode="External"/><Relationship Id="rId1953" Type="http://schemas.openxmlformats.org/officeDocument/2006/relationships/hyperlink" Target="http://woolworths.com.au" TargetMode="External"/><Relationship Id="rId1954" Type="http://schemas.openxmlformats.org/officeDocument/2006/relationships/hyperlink" Target="http://observepoint.com" TargetMode="External"/><Relationship Id="rId1955" Type="http://schemas.openxmlformats.org/officeDocument/2006/relationships/hyperlink" Target="http://cdw.com" TargetMode="External"/><Relationship Id="rId1956" Type="http://schemas.openxmlformats.org/officeDocument/2006/relationships/hyperlink" Target="http://observepoint.com" TargetMode="External"/><Relationship Id="rId1957" Type="http://schemas.openxmlformats.org/officeDocument/2006/relationships/hyperlink" Target="http://cdw.com" TargetMode="External"/><Relationship Id="rId1958" Type="http://schemas.openxmlformats.org/officeDocument/2006/relationships/hyperlink" Target="http://observepoint.com" TargetMode="External"/><Relationship Id="rId1959" Type="http://schemas.openxmlformats.org/officeDocument/2006/relationships/hyperlink" Target="http://woolworths.com.au" TargetMode="External"/><Relationship Id="rId1940" Type="http://schemas.openxmlformats.org/officeDocument/2006/relationships/hyperlink" Target="http://observepoint.com" TargetMode="External"/><Relationship Id="rId1941" Type="http://schemas.openxmlformats.org/officeDocument/2006/relationships/hyperlink" Target="http://brunswick.com" TargetMode="External"/><Relationship Id="rId1942" Type="http://schemas.openxmlformats.org/officeDocument/2006/relationships/hyperlink" Target="http://brunswick.com" TargetMode="External"/><Relationship Id="rId1943" Type="http://schemas.openxmlformats.org/officeDocument/2006/relationships/hyperlink" Target="http://questrade.com" TargetMode="External"/><Relationship Id="rId1944" Type="http://schemas.openxmlformats.org/officeDocument/2006/relationships/hyperlink" Target="http://observepoint.com" TargetMode="External"/><Relationship Id="rId1945" Type="http://schemas.openxmlformats.org/officeDocument/2006/relationships/hyperlink" Target="http://observepoint.com" TargetMode="External"/><Relationship Id="rId1946" Type="http://schemas.openxmlformats.org/officeDocument/2006/relationships/hyperlink" Target="http://questrade.com" TargetMode="External"/><Relationship Id="rId1947" Type="http://schemas.openxmlformats.org/officeDocument/2006/relationships/hyperlink" Target="http://observepoint.com" TargetMode="External"/><Relationship Id="rId1948" Type="http://schemas.openxmlformats.org/officeDocument/2006/relationships/hyperlink" Target="http://questrade.com" TargetMode="External"/><Relationship Id="rId1949" Type="http://schemas.openxmlformats.org/officeDocument/2006/relationships/hyperlink" Target="http://questrade.com" TargetMode="External"/><Relationship Id="rId1576" Type="http://schemas.openxmlformats.org/officeDocument/2006/relationships/hyperlink" Target="http://observepoint.com" TargetMode="External"/><Relationship Id="rId1577" Type="http://schemas.openxmlformats.org/officeDocument/2006/relationships/hyperlink" Target="http://observepoint.com" TargetMode="External"/><Relationship Id="rId1578" Type="http://schemas.openxmlformats.org/officeDocument/2006/relationships/hyperlink" Target="http://cdw.com" TargetMode="External"/><Relationship Id="rId1579" Type="http://schemas.openxmlformats.org/officeDocument/2006/relationships/hyperlink" Target="http://observepoint.com" TargetMode="External"/><Relationship Id="rId509" Type="http://schemas.openxmlformats.org/officeDocument/2006/relationships/hyperlink" Target="http://thinkbrg.com" TargetMode="External"/><Relationship Id="rId508" Type="http://schemas.openxmlformats.org/officeDocument/2006/relationships/hyperlink" Target="http://observepoint.com" TargetMode="External"/><Relationship Id="rId503" Type="http://schemas.openxmlformats.org/officeDocument/2006/relationships/hyperlink" Target="http://observepoint.com" TargetMode="External"/><Relationship Id="rId987" Type="http://schemas.openxmlformats.org/officeDocument/2006/relationships/hyperlink" Target="http://observepoint.com" TargetMode="External"/><Relationship Id="rId502" Type="http://schemas.openxmlformats.org/officeDocument/2006/relationships/hyperlink" Target="http://officeworks.com.au" TargetMode="External"/><Relationship Id="rId986" Type="http://schemas.openxmlformats.org/officeDocument/2006/relationships/hyperlink" Target="http://torrid.com" TargetMode="External"/><Relationship Id="rId501" Type="http://schemas.openxmlformats.org/officeDocument/2006/relationships/hyperlink" Target="http://observepoint.com" TargetMode="External"/><Relationship Id="rId985" Type="http://schemas.openxmlformats.org/officeDocument/2006/relationships/hyperlink" Target="http://observepoint.com" TargetMode="External"/><Relationship Id="rId500" Type="http://schemas.openxmlformats.org/officeDocument/2006/relationships/hyperlink" Target="http://officeworks.com.au" TargetMode="External"/><Relationship Id="rId984" Type="http://schemas.openxmlformats.org/officeDocument/2006/relationships/hyperlink" Target="http://observepoint.com" TargetMode="External"/><Relationship Id="rId507" Type="http://schemas.openxmlformats.org/officeDocument/2006/relationships/hyperlink" Target="http://observepoint.com" TargetMode="External"/><Relationship Id="rId506" Type="http://schemas.openxmlformats.org/officeDocument/2006/relationships/hyperlink" Target="http://observepoint.com" TargetMode="External"/><Relationship Id="rId505" Type="http://schemas.openxmlformats.org/officeDocument/2006/relationships/hyperlink" Target="http://mongodb.com" TargetMode="External"/><Relationship Id="rId989" Type="http://schemas.openxmlformats.org/officeDocument/2006/relationships/hyperlink" Target="http://torrid.com" TargetMode="External"/><Relationship Id="rId504" Type="http://schemas.openxmlformats.org/officeDocument/2006/relationships/hyperlink" Target="http://observepoint.com" TargetMode="External"/><Relationship Id="rId988" Type="http://schemas.openxmlformats.org/officeDocument/2006/relationships/hyperlink" Target="http://observepoint.com" TargetMode="External"/><Relationship Id="rId1570" Type="http://schemas.openxmlformats.org/officeDocument/2006/relationships/hyperlink" Target="http://observepoint.com" TargetMode="External"/><Relationship Id="rId1571" Type="http://schemas.openxmlformats.org/officeDocument/2006/relationships/hyperlink" Target="http://amica.com" TargetMode="External"/><Relationship Id="rId983" Type="http://schemas.openxmlformats.org/officeDocument/2006/relationships/hyperlink" Target="http://observepoint.com" TargetMode="External"/><Relationship Id="rId1572" Type="http://schemas.openxmlformats.org/officeDocument/2006/relationships/hyperlink" Target="http://observepoint.com" TargetMode="External"/><Relationship Id="rId982" Type="http://schemas.openxmlformats.org/officeDocument/2006/relationships/hyperlink" Target="http://observepoint.com" TargetMode="External"/><Relationship Id="rId1573" Type="http://schemas.openxmlformats.org/officeDocument/2006/relationships/hyperlink" Target="http://amica.com" TargetMode="External"/><Relationship Id="rId981" Type="http://schemas.openxmlformats.org/officeDocument/2006/relationships/hyperlink" Target="http://observepoint.com" TargetMode="External"/><Relationship Id="rId1574" Type="http://schemas.openxmlformats.org/officeDocument/2006/relationships/hyperlink" Target="http://observepoint.com" TargetMode="External"/><Relationship Id="rId980" Type="http://schemas.openxmlformats.org/officeDocument/2006/relationships/hyperlink" Target="http://observepoint.com" TargetMode="External"/><Relationship Id="rId1575" Type="http://schemas.openxmlformats.org/officeDocument/2006/relationships/hyperlink" Target="http://observepoint.com" TargetMode="External"/><Relationship Id="rId1565" Type="http://schemas.openxmlformats.org/officeDocument/2006/relationships/hyperlink" Target="http://observepoint.com" TargetMode="External"/><Relationship Id="rId1566" Type="http://schemas.openxmlformats.org/officeDocument/2006/relationships/hyperlink" Target="http://mongodb.com" TargetMode="External"/><Relationship Id="rId1567" Type="http://schemas.openxmlformats.org/officeDocument/2006/relationships/hyperlink" Target="http://observepoint.com" TargetMode="External"/><Relationship Id="rId1568" Type="http://schemas.openxmlformats.org/officeDocument/2006/relationships/hyperlink" Target="http://observepoint.com" TargetMode="External"/><Relationship Id="rId1569" Type="http://schemas.openxmlformats.org/officeDocument/2006/relationships/hyperlink" Target="http://mongodb.com" TargetMode="External"/><Relationship Id="rId976" Type="http://schemas.openxmlformats.org/officeDocument/2006/relationships/hyperlink" Target="http://observepoint.com" TargetMode="External"/><Relationship Id="rId975" Type="http://schemas.openxmlformats.org/officeDocument/2006/relationships/hyperlink" Target="http://observepoint.com" TargetMode="External"/><Relationship Id="rId974" Type="http://schemas.openxmlformats.org/officeDocument/2006/relationships/hyperlink" Target="http://observepoint.com" TargetMode="External"/><Relationship Id="rId973" Type="http://schemas.openxmlformats.org/officeDocument/2006/relationships/hyperlink" Target="http://questrade.com" TargetMode="External"/><Relationship Id="rId979" Type="http://schemas.openxmlformats.org/officeDocument/2006/relationships/hyperlink" Target="http://prudential.com" TargetMode="External"/><Relationship Id="rId978" Type="http://schemas.openxmlformats.org/officeDocument/2006/relationships/hyperlink" Target="http://observepoint.com" TargetMode="External"/><Relationship Id="rId977" Type="http://schemas.openxmlformats.org/officeDocument/2006/relationships/hyperlink" Target="http://prudential.com" TargetMode="External"/><Relationship Id="rId1560" Type="http://schemas.openxmlformats.org/officeDocument/2006/relationships/hyperlink" Target="http://observepoint.com" TargetMode="External"/><Relationship Id="rId972" Type="http://schemas.openxmlformats.org/officeDocument/2006/relationships/hyperlink" Target="http://observepoint.com" TargetMode="External"/><Relationship Id="rId1561" Type="http://schemas.openxmlformats.org/officeDocument/2006/relationships/hyperlink" Target="http://observepoint.com" TargetMode="External"/><Relationship Id="rId971" Type="http://schemas.openxmlformats.org/officeDocument/2006/relationships/hyperlink" Target="http://questrade.com" TargetMode="External"/><Relationship Id="rId1562" Type="http://schemas.openxmlformats.org/officeDocument/2006/relationships/hyperlink" Target="http://rwjf.org" TargetMode="External"/><Relationship Id="rId970" Type="http://schemas.openxmlformats.org/officeDocument/2006/relationships/hyperlink" Target="http://observepoint.com" TargetMode="External"/><Relationship Id="rId1563" Type="http://schemas.openxmlformats.org/officeDocument/2006/relationships/hyperlink" Target="http://observepoint.com" TargetMode="External"/><Relationship Id="rId1564" Type="http://schemas.openxmlformats.org/officeDocument/2006/relationships/hyperlink" Target="http://mongodb.com" TargetMode="External"/><Relationship Id="rId1114" Type="http://schemas.openxmlformats.org/officeDocument/2006/relationships/hyperlink" Target="http://observepoint.com" TargetMode="External"/><Relationship Id="rId1598" Type="http://schemas.openxmlformats.org/officeDocument/2006/relationships/hyperlink" Target="http://stackedanalytics.com" TargetMode="External"/><Relationship Id="rId1115" Type="http://schemas.openxmlformats.org/officeDocument/2006/relationships/hyperlink" Target="http://observepoint.com" TargetMode="External"/><Relationship Id="rId1599" Type="http://schemas.openxmlformats.org/officeDocument/2006/relationships/hyperlink" Target="http://observepoint.com" TargetMode="External"/><Relationship Id="rId1116" Type="http://schemas.openxmlformats.org/officeDocument/2006/relationships/hyperlink" Target="http://observepoint.com" TargetMode="External"/><Relationship Id="rId1117" Type="http://schemas.openxmlformats.org/officeDocument/2006/relationships/hyperlink" Target="http://observepoint.com" TargetMode="External"/><Relationship Id="rId1118" Type="http://schemas.openxmlformats.org/officeDocument/2006/relationships/hyperlink" Target="http://observepoint.com" TargetMode="External"/><Relationship Id="rId1119" Type="http://schemas.openxmlformats.org/officeDocument/2006/relationships/hyperlink" Target="http://zenfolioinc.com" TargetMode="External"/><Relationship Id="rId525" Type="http://schemas.openxmlformats.org/officeDocument/2006/relationships/hyperlink" Target="http://mongodb.com" TargetMode="External"/><Relationship Id="rId524" Type="http://schemas.openxmlformats.org/officeDocument/2006/relationships/hyperlink" Target="http://observepoint.com" TargetMode="External"/><Relationship Id="rId523" Type="http://schemas.openxmlformats.org/officeDocument/2006/relationships/hyperlink" Target="http://mongodb.com" TargetMode="External"/><Relationship Id="rId522" Type="http://schemas.openxmlformats.org/officeDocument/2006/relationships/hyperlink" Target="http://observepoint.com" TargetMode="External"/><Relationship Id="rId529" Type="http://schemas.openxmlformats.org/officeDocument/2006/relationships/hyperlink" Target="http://mongodb.com" TargetMode="External"/><Relationship Id="rId528" Type="http://schemas.openxmlformats.org/officeDocument/2006/relationships/hyperlink" Target="http://observepoint.com" TargetMode="External"/><Relationship Id="rId527" Type="http://schemas.openxmlformats.org/officeDocument/2006/relationships/hyperlink" Target="http://observepoint.com" TargetMode="External"/><Relationship Id="rId526" Type="http://schemas.openxmlformats.org/officeDocument/2006/relationships/hyperlink" Target="http://observepoint.com" TargetMode="External"/><Relationship Id="rId1590" Type="http://schemas.openxmlformats.org/officeDocument/2006/relationships/hyperlink" Target="http://devry.edu" TargetMode="External"/><Relationship Id="rId1591" Type="http://schemas.openxmlformats.org/officeDocument/2006/relationships/hyperlink" Target="http://observepoint.com" TargetMode="External"/><Relationship Id="rId1592" Type="http://schemas.openxmlformats.org/officeDocument/2006/relationships/hyperlink" Target="http://observepoint.com" TargetMode="External"/><Relationship Id="rId1593" Type="http://schemas.openxmlformats.org/officeDocument/2006/relationships/hyperlink" Target="http://worldmarket.com" TargetMode="External"/><Relationship Id="rId521" Type="http://schemas.openxmlformats.org/officeDocument/2006/relationships/hyperlink" Target="http://mongodb.com" TargetMode="External"/><Relationship Id="rId1110" Type="http://schemas.openxmlformats.org/officeDocument/2006/relationships/hyperlink" Target="http://observepoint.com" TargetMode="External"/><Relationship Id="rId1594" Type="http://schemas.openxmlformats.org/officeDocument/2006/relationships/hyperlink" Target="http://observepoint.com" TargetMode="External"/><Relationship Id="rId520" Type="http://schemas.openxmlformats.org/officeDocument/2006/relationships/hyperlink" Target="http://observepoint.com" TargetMode="External"/><Relationship Id="rId1111" Type="http://schemas.openxmlformats.org/officeDocument/2006/relationships/hyperlink" Target="http://spark.co.nz" TargetMode="External"/><Relationship Id="rId1595" Type="http://schemas.openxmlformats.org/officeDocument/2006/relationships/hyperlink" Target="http://observepoint.com" TargetMode="External"/><Relationship Id="rId1112" Type="http://schemas.openxmlformats.org/officeDocument/2006/relationships/hyperlink" Target="http://observepoint.com" TargetMode="External"/><Relationship Id="rId1596" Type="http://schemas.openxmlformats.org/officeDocument/2006/relationships/hyperlink" Target="http://worldmarket.com" TargetMode="External"/><Relationship Id="rId1113" Type="http://schemas.openxmlformats.org/officeDocument/2006/relationships/hyperlink" Target="http://observepoint.com" TargetMode="External"/><Relationship Id="rId1597" Type="http://schemas.openxmlformats.org/officeDocument/2006/relationships/hyperlink" Target="http://observepoint.com" TargetMode="External"/><Relationship Id="rId1103" Type="http://schemas.openxmlformats.org/officeDocument/2006/relationships/hyperlink" Target="http://spark.co.nz" TargetMode="External"/><Relationship Id="rId1587" Type="http://schemas.openxmlformats.org/officeDocument/2006/relationships/hyperlink" Target="http://devry.edu" TargetMode="External"/><Relationship Id="rId1104" Type="http://schemas.openxmlformats.org/officeDocument/2006/relationships/hyperlink" Target="http://observepoint.com" TargetMode="External"/><Relationship Id="rId1588" Type="http://schemas.openxmlformats.org/officeDocument/2006/relationships/hyperlink" Target="http://worldmarket.com" TargetMode="External"/><Relationship Id="rId1105" Type="http://schemas.openxmlformats.org/officeDocument/2006/relationships/hyperlink" Target="http://spark.co.nz" TargetMode="External"/><Relationship Id="rId1589" Type="http://schemas.openxmlformats.org/officeDocument/2006/relationships/hyperlink" Target="http://observepoint.com" TargetMode="External"/><Relationship Id="rId1106" Type="http://schemas.openxmlformats.org/officeDocument/2006/relationships/hyperlink" Target="http://observepoint.com" TargetMode="External"/><Relationship Id="rId1107" Type="http://schemas.openxmlformats.org/officeDocument/2006/relationships/hyperlink" Target="http://spark.co.nz" TargetMode="External"/><Relationship Id="rId1108" Type="http://schemas.openxmlformats.org/officeDocument/2006/relationships/hyperlink" Target="http://observepoint.com" TargetMode="External"/><Relationship Id="rId1109" Type="http://schemas.openxmlformats.org/officeDocument/2006/relationships/hyperlink" Target="http://spark.co.nz" TargetMode="External"/><Relationship Id="rId519" Type="http://schemas.openxmlformats.org/officeDocument/2006/relationships/hyperlink" Target="http://mongodb.com" TargetMode="External"/><Relationship Id="rId514" Type="http://schemas.openxmlformats.org/officeDocument/2006/relationships/hyperlink" Target="http://observepoint.com" TargetMode="External"/><Relationship Id="rId998" Type="http://schemas.openxmlformats.org/officeDocument/2006/relationships/hyperlink" Target="http://observepoint.com" TargetMode="External"/><Relationship Id="rId513" Type="http://schemas.openxmlformats.org/officeDocument/2006/relationships/hyperlink" Target="http://observepoint.com" TargetMode="External"/><Relationship Id="rId997" Type="http://schemas.openxmlformats.org/officeDocument/2006/relationships/hyperlink" Target="http://observepoint.com" TargetMode="External"/><Relationship Id="rId512" Type="http://schemas.openxmlformats.org/officeDocument/2006/relationships/hyperlink" Target="http://observepoint.com" TargetMode="External"/><Relationship Id="rId996" Type="http://schemas.openxmlformats.org/officeDocument/2006/relationships/hyperlink" Target="http://rwjf.org" TargetMode="External"/><Relationship Id="rId511" Type="http://schemas.openxmlformats.org/officeDocument/2006/relationships/hyperlink" Target="http://thinkbrg.com" TargetMode="External"/><Relationship Id="rId995" Type="http://schemas.openxmlformats.org/officeDocument/2006/relationships/hyperlink" Target="http://observepoint.com" TargetMode="External"/><Relationship Id="rId518" Type="http://schemas.openxmlformats.org/officeDocument/2006/relationships/hyperlink" Target="http://mongodb.com" TargetMode="External"/><Relationship Id="rId517" Type="http://schemas.openxmlformats.org/officeDocument/2006/relationships/hyperlink" Target="http://observepoint.com" TargetMode="External"/><Relationship Id="rId516" Type="http://schemas.openxmlformats.org/officeDocument/2006/relationships/hyperlink" Target="http://observepoint.com" TargetMode="External"/><Relationship Id="rId515" Type="http://schemas.openxmlformats.org/officeDocument/2006/relationships/hyperlink" Target="http://thinkbrg.com" TargetMode="External"/><Relationship Id="rId999" Type="http://schemas.openxmlformats.org/officeDocument/2006/relationships/hyperlink" Target="http://rwjf.org" TargetMode="External"/><Relationship Id="rId990" Type="http://schemas.openxmlformats.org/officeDocument/2006/relationships/hyperlink" Target="http://observepoint.com" TargetMode="External"/><Relationship Id="rId1580" Type="http://schemas.openxmlformats.org/officeDocument/2006/relationships/hyperlink" Target="http://commonspirit.org" TargetMode="External"/><Relationship Id="rId1581" Type="http://schemas.openxmlformats.org/officeDocument/2006/relationships/hyperlink" Target="http://prudential.com" TargetMode="External"/><Relationship Id="rId1582" Type="http://schemas.openxmlformats.org/officeDocument/2006/relationships/hyperlink" Target="http://observepoint.com" TargetMode="External"/><Relationship Id="rId510" Type="http://schemas.openxmlformats.org/officeDocument/2006/relationships/hyperlink" Target="http://observepoint.com" TargetMode="External"/><Relationship Id="rId994" Type="http://schemas.openxmlformats.org/officeDocument/2006/relationships/hyperlink" Target="http://rwjf.org" TargetMode="External"/><Relationship Id="rId1583" Type="http://schemas.openxmlformats.org/officeDocument/2006/relationships/hyperlink" Target="http://observepoint.com" TargetMode="External"/><Relationship Id="rId993" Type="http://schemas.openxmlformats.org/officeDocument/2006/relationships/hyperlink" Target="http://observepoint.com" TargetMode="External"/><Relationship Id="rId1100" Type="http://schemas.openxmlformats.org/officeDocument/2006/relationships/hyperlink" Target="http://spark.co.nz" TargetMode="External"/><Relationship Id="rId1584" Type="http://schemas.openxmlformats.org/officeDocument/2006/relationships/hyperlink" Target="http://prudential.com" TargetMode="External"/><Relationship Id="rId992" Type="http://schemas.openxmlformats.org/officeDocument/2006/relationships/hyperlink" Target="http://observepoint.com" TargetMode="External"/><Relationship Id="rId1101" Type="http://schemas.openxmlformats.org/officeDocument/2006/relationships/hyperlink" Target="http://spark.co.nz" TargetMode="External"/><Relationship Id="rId1585" Type="http://schemas.openxmlformats.org/officeDocument/2006/relationships/hyperlink" Target="http://observepoint.com" TargetMode="External"/><Relationship Id="rId991" Type="http://schemas.openxmlformats.org/officeDocument/2006/relationships/hyperlink" Target="http://seagate.com" TargetMode="External"/><Relationship Id="rId1102" Type="http://schemas.openxmlformats.org/officeDocument/2006/relationships/hyperlink" Target="http://spark.co.nz" TargetMode="External"/><Relationship Id="rId1586" Type="http://schemas.openxmlformats.org/officeDocument/2006/relationships/hyperlink" Target="http://observepoint.com" TargetMode="External"/><Relationship Id="rId1532" Type="http://schemas.openxmlformats.org/officeDocument/2006/relationships/hyperlink" Target="http://devry.edu" TargetMode="External"/><Relationship Id="rId1533" Type="http://schemas.openxmlformats.org/officeDocument/2006/relationships/hyperlink" Target="http://observepoint.com" TargetMode="External"/><Relationship Id="rId1534" Type="http://schemas.openxmlformats.org/officeDocument/2006/relationships/hyperlink" Target="http://observepoint.com" TargetMode="External"/><Relationship Id="rId1535" Type="http://schemas.openxmlformats.org/officeDocument/2006/relationships/hyperlink" Target="http://mongodb.com" TargetMode="External"/><Relationship Id="rId1536" Type="http://schemas.openxmlformats.org/officeDocument/2006/relationships/hyperlink" Target="http://mongodb.com" TargetMode="External"/><Relationship Id="rId1537" Type="http://schemas.openxmlformats.org/officeDocument/2006/relationships/hyperlink" Target="http://observepoint.com" TargetMode="External"/><Relationship Id="rId1538" Type="http://schemas.openxmlformats.org/officeDocument/2006/relationships/hyperlink" Target="http://mongodb.com" TargetMode="External"/><Relationship Id="rId1539" Type="http://schemas.openxmlformats.org/officeDocument/2006/relationships/hyperlink" Target="http://observepoint.com" TargetMode="External"/><Relationship Id="rId949" Type="http://schemas.openxmlformats.org/officeDocument/2006/relationships/hyperlink" Target="http://rdoffutt.com" TargetMode="External"/><Relationship Id="rId948" Type="http://schemas.openxmlformats.org/officeDocument/2006/relationships/hyperlink" Target="http://observepoint.com" TargetMode="External"/><Relationship Id="rId943" Type="http://schemas.openxmlformats.org/officeDocument/2006/relationships/hyperlink" Target="http://observepoint.com" TargetMode="External"/><Relationship Id="rId942" Type="http://schemas.openxmlformats.org/officeDocument/2006/relationships/hyperlink" Target="http://rdoffutt.com" TargetMode="External"/><Relationship Id="rId941" Type="http://schemas.openxmlformats.org/officeDocument/2006/relationships/hyperlink" Target="http://observepoint.com" TargetMode="External"/><Relationship Id="rId940" Type="http://schemas.openxmlformats.org/officeDocument/2006/relationships/hyperlink" Target="http://observepoint.com" TargetMode="External"/><Relationship Id="rId947" Type="http://schemas.openxmlformats.org/officeDocument/2006/relationships/hyperlink" Target="http://observepoint.com" TargetMode="External"/><Relationship Id="rId946" Type="http://schemas.openxmlformats.org/officeDocument/2006/relationships/hyperlink" Target="http://rdoffutt.com" TargetMode="External"/><Relationship Id="rId945" Type="http://schemas.openxmlformats.org/officeDocument/2006/relationships/hyperlink" Target="http://observepoint.com" TargetMode="External"/><Relationship Id="rId944" Type="http://schemas.openxmlformats.org/officeDocument/2006/relationships/hyperlink" Target="http://observepoint.com" TargetMode="External"/><Relationship Id="rId1530" Type="http://schemas.openxmlformats.org/officeDocument/2006/relationships/hyperlink" Target="http://observepoint.com" TargetMode="External"/><Relationship Id="rId1531" Type="http://schemas.openxmlformats.org/officeDocument/2006/relationships/hyperlink" Target="http://devry.edu" TargetMode="External"/><Relationship Id="rId1521" Type="http://schemas.openxmlformats.org/officeDocument/2006/relationships/hyperlink" Target="http://observepoint.com" TargetMode="External"/><Relationship Id="rId1522" Type="http://schemas.openxmlformats.org/officeDocument/2006/relationships/hyperlink" Target="http://cdw.com" TargetMode="External"/><Relationship Id="rId1523" Type="http://schemas.openxmlformats.org/officeDocument/2006/relationships/hyperlink" Target="http://observepoint.com" TargetMode="External"/><Relationship Id="rId1524" Type="http://schemas.openxmlformats.org/officeDocument/2006/relationships/hyperlink" Target="http://mongodb.com" TargetMode="External"/><Relationship Id="rId1525" Type="http://schemas.openxmlformats.org/officeDocument/2006/relationships/hyperlink" Target="http://observepoint.com" TargetMode="External"/><Relationship Id="rId1526" Type="http://schemas.openxmlformats.org/officeDocument/2006/relationships/hyperlink" Target="http://observepoint.com" TargetMode="External"/><Relationship Id="rId1527" Type="http://schemas.openxmlformats.org/officeDocument/2006/relationships/hyperlink" Target="http://amica.com" TargetMode="External"/><Relationship Id="rId1528" Type="http://schemas.openxmlformats.org/officeDocument/2006/relationships/hyperlink" Target="http://observepoint.com" TargetMode="External"/><Relationship Id="rId1529" Type="http://schemas.openxmlformats.org/officeDocument/2006/relationships/hyperlink" Target="http://questrade.com" TargetMode="External"/><Relationship Id="rId939" Type="http://schemas.openxmlformats.org/officeDocument/2006/relationships/hyperlink" Target="http://rdoffutt.com" TargetMode="External"/><Relationship Id="rId938" Type="http://schemas.openxmlformats.org/officeDocument/2006/relationships/hyperlink" Target="http://observepoint.com" TargetMode="External"/><Relationship Id="rId937" Type="http://schemas.openxmlformats.org/officeDocument/2006/relationships/hyperlink" Target="http://rdoffutt.com" TargetMode="External"/><Relationship Id="rId932" Type="http://schemas.openxmlformats.org/officeDocument/2006/relationships/hyperlink" Target="http://observepoint.com" TargetMode="External"/><Relationship Id="rId931" Type="http://schemas.openxmlformats.org/officeDocument/2006/relationships/hyperlink" Target="http://observepoint.com" TargetMode="External"/><Relationship Id="rId930" Type="http://schemas.openxmlformats.org/officeDocument/2006/relationships/hyperlink" Target="http://prudential.com" TargetMode="External"/><Relationship Id="rId936" Type="http://schemas.openxmlformats.org/officeDocument/2006/relationships/hyperlink" Target="http://observepoint.com" TargetMode="External"/><Relationship Id="rId935" Type="http://schemas.openxmlformats.org/officeDocument/2006/relationships/hyperlink" Target="http://rdoffutt.com" TargetMode="External"/><Relationship Id="rId934" Type="http://schemas.openxmlformats.org/officeDocument/2006/relationships/hyperlink" Target="http://observepoint.com" TargetMode="External"/><Relationship Id="rId933" Type="http://schemas.openxmlformats.org/officeDocument/2006/relationships/hyperlink" Target="http://prudential.com" TargetMode="External"/><Relationship Id="rId1520" Type="http://schemas.openxmlformats.org/officeDocument/2006/relationships/hyperlink" Target="http://aetna.com" TargetMode="External"/><Relationship Id="rId1554" Type="http://schemas.openxmlformats.org/officeDocument/2006/relationships/hyperlink" Target="http://mongodb.com" TargetMode="External"/><Relationship Id="rId1555" Type="http://schemas.openxmlformats.org/officeDocument/2006/relationships/hyperlink" Target="http://mongodb.com" TargetMode="External"/><Relationship Id="rId1556" Type="http://schemas.openxmlformats.org/officeDocument/2006/relationships/hyperlink" Target="http://observepoint.com" TargetMode="External"/><Relationship Id="rId1557" Type="http://schemas.openxmlformats.org/officeDocument/2006/relationships/hyperlink" Target="http://questrade.com" TargetMode="External"/><Relationship Id="rId1558" Type="http://schemas.openxmlformats.org/officeDocument/2006/relationships/hyperlink" Target="http://rwjf.org" TargetMode="External"/><Relationship Id="rId1559" Type="http://schemas.openxmlformats.org/officeDocument/2006/relationships/hyperlink" Target="http://observepoint.com" TargetMode="External"/><Relationship Id="rId965" Type="http://schemas.openxmlformats.org/officeDocument/2006/relationships/hyperlink" Target="http://observepoint.com" TargetMode="External"/><Relationship Id="rId964" Type="http://schemas.openxmlformats.org/officeDocument/2006/relationships/hyperlink" Target="http://observepoint.com" TargetMode="External"/><Relationship Id="rId963" Type="http://schemas.openxmlformats.org/officeDocument/2006/relationships/hyperlink" Target="http://observepoint.com" TargetMode="External"/><Relationship Id="rId962" Type="http://schemas.openxmlformats.org/officeDocument/2006/relationships/hyperlink" Target="http://observepoint.com" TargetMode="External"/><Relationship Id="rId969" Type="http://schemas.openxmlformats.org/officeDocument/2006/relationships/hyperlink" Target="http://observepoint.com" TargetMode="External"/><Relationship Id="rId968" Type="http://schemas.openxmlformats.org/officeDocument/2006/relationships/hyperlink" Target="http://questrade.com" TargetMode="External"/><Relationship Id="rId967" Type="http://schemas.openxmlformats.org/officeDocument/2006/relationships/hyperlink" Target="http://observepoint.com" TargetMode="External"/><Relationship Id="rId966" Type="http://schemas.openxmlformats.org/officeDocument/2006/relationships/hyperlink" Target="http://observepoint.com" TargetMode="External"/><Relationship Id="rId961" Type="http://schemas.openxmlformats.org/officeDocument/2006/relationships/hyperlink" Target="http://rdoffutt.com" TargetMode="External"/><Relationship Id="rId1550" Type="http://schemas.openxmlformats.org/officeDocument/2006/relationships/hyperlink" Target="http://observepoint.com" TargetMode="External"/><Relationship Id="rId960" Type="http://schemas.openxmlformats.org/officeDocument/2006/relationships/hyperlink" Target="http://observepoint.com" TargetMode="External"/><Relationship Id="rId1551" Type="http://schemas.openxmlformats.org/officeDocument/2006/relationships/hyperlink" Target="http://mongodb.com" TargetMode="External"/><Relationship Id="rId1552" Type="http://schemas.openxmlformats.org/officeDocument/2006/relationships/hyperlink" Target="http://mongodb.com" TargetMode="External"/><Relationship Id="rId1553" Type="http://schemas.openxmlformats.org/officeDocument/2006/relationships/hyperlink" Target="http://observepoint.com" TargetMode="External"/><Relationship Id="rId1543" Type="http://schemas.openxmlformats.org/officeDocument/2006/relationships/hyperlink" Target="http://mongodb.com" TargetMode="External"/><Relationship Id="rId1544" Type="http://schemas.openxmlformats.org/officeDocument/2006/relationships/hyperlink" Target="http://observepoint.com" TargetMode="External"/><Relationship Id="rId1545" Type="http://schemas.openxmlformats.org/officeDocument/2006/relationships/hyperlink" Target="http://mongodb.com" TargetMode="External"/><Relationship Id="rId1546" Type="http://schemas.openxmlformats.org/officeDocument/2006/relationships/hyperlink" Target="http://mongodb.com" TargetMode="External"/><Relationship Id="rId1547" Type="http://schemas.openxmlformats.org/officeDocument/2006/relationships/hyperlink" Target="http://observepoint.com" TargetMode="External"/><Relationship Id="rId1548" Type="http://schemas.openxmlformats.org/officeDocument/2006/relationships/hyperlink" Target="http://mongodb.com" TargetMode="External"/><Relationship Id="rId1549" Type="http://schemas.openxmlformats.org/officeDocument/2006/relationships/hyperlink" Target="http://mongodb.com" TargetMode="External"/><Relationship Id="rId959" Type="http://schemas.openxmlformats.org/officeDocument/2006/relationships/hyperlink" Target="http://observepoint.com" TargetMode="External"/><Relationship Id="rId954" Type="http://schemas.openxmlformats.org/officeDocument/2006/relationships/hyperlink" Target="http://observepoint.com" TargetMode="External"/><Relationship Id="rId953" Type="http://schemas.openxmlformats.org/officeDocument/2006/relationships/hyperlink" Target="http://observepoint.com" TargetMode="External"/><Relationship Id="rId952" Type="http://schemas.openxmlformats.org/officeDocument/2006/relationships/hyperlink" Target="http://rdoffutt.com" TargetMode="External"/><Relationship Id="rId951" Type="http://schemas.openxmlformats.org/officeDocument/2006/relationships/hyperlink" Target="http://rdoffutt.com" TargetMode="External"/><Relationship Id="rId958" Type="http://schemas.openxmlformats.org/officeDocument/2006/relationships/hyperlink" Target="http://rdoffutt.com" TargetMode="External"/><Relationship Id="rId957" Type="http://schemas.openxmlformats.org/officeDocument/2006/relationships/hyperlink" Target="http://observepoint.com" TargetMode="External"/><Relationship Id="rId956" Type="http://schemas.openxmlformats.org/officeDocument/2006/relationships/hyperlink" Target="http://observepoint.com" TargetMode="External"/><Relationship Id="rId955" Type="http://schemas.openxmlformats.org/officeDocument/2006/relationships/hyperlink" Target="http://rdoffutt.com" TargetMode="External"/><Relationship Id="rId950" Type="http://schemas.openxmlformats.org/officeDocument/2006/relationships/hyperlink" Target="http://observepoint.com" TargetMode="External"/><Relationship Id="rId1540" Type="http://schemas.openxmlformats.org/officeDocument/2006/relationships/hyperlink" Target="http://amica.com" TargetMode="External"/><Relationship Id="rId1541" Type="http://schemas.openxmlformats.org/officeDocument/2006/relationships/hyperlink" Target="http://observepoint.com" TargetMode="External"/><Relationship Id="rId1542" Type="http://schemas.openxmlformats.org/officeDocument/2006/relationships/hyperlink" Target="http://mongodb.com" TargetMode="External"/><Relationship Id="rId2027" Type="http://schemas.openxmlformats.org/officeDocument/2006/relationships/hyperlink" Target="http://observepoint.com" TargetMode="External"/><Relationship Id="rId2028" Type="http://schemas.openxmlformats.org/officeDocument/2006/relationships/hyperlink" Target="http://observepoint.com" TargetMode="External"/><Relationship Id="rId2029" Type="http://schemas.openxmlformats.org/officeDocument/2006/relationships/hyperlink" Target="http://amica.com" TargetMode="External"/><Relationship Id="rId590" Type="http://schemas.openxmlformats.org/officeDocument/2006/relationships/hyperlink" Target="http://observepoint.com" TargetMode="External"/><Relationship Id="rId107" Type="http://schemas.openxmlformats.org/officeDocument/2006/relationships/hyperlink" Target="http://amica.com" TargetMode="External"/><Relationship Id="rId106" Type="http://schemas.openxmlformats.org/officeDocument/2006/relationships/hyperlink" Target="http://amica.com" TargetMode="External"/><Relationship Id="rId105" Type="http://schemas.openxmlformats.org/officeDocument/2006/relationships/hyperlink" Target="http://observepoint.com" TargetMode="External"/><Relationship Id="rId589" Type="http://schemas.openxmlformats.org/officeDocument/2006/relationships/hyperlink" Target="http://officeworks.com.au" TargetMode="External"/><Relationship Id="rId104" Type="http://schemas.openxmlformats.org/officeDocument/2006/relationships/hyperlink" Target="http://amica.com" TargetMode="External"/><Relationship Id="rId588" Type="http://schemas.openxmlformats.org/officeDocument/2006/relationships/hyperlink" Target="http://officeworks.com.au" TargetMode="External"/><Relationship Id="rId109" Type="http://schemas.openxmlformats.org/officeDocument/2006/relationships/hyperlink" Target="http://observepoint.com" TargetMode="External"/><Relationship Id="rId1170" Type="http://schemas.openxmlformats.org/officeDocument/2006/relationships/hyperlink" Target="http://observepoint.com" TargetMode="External"/><Relationship Id="rId108" Type="http://schemas.openxmlformats.org/officeDocument/2006/relationships/hyperlink" Target="http://observepoint.com" TargetMode="External"/><Relationship Id="rId1171" Type="http://schemas.openxmlformats.org/officeDocument/2006/relationships/hyperlink" Target="http://observepoint.com" TargetMode="External"/><Relationship Id="rId583" Type="http://schemas.openxmlformats.org/officeDocument/2006/relationships/hyperlink" Target="http://observepoint.com" TargetMode="External"/><Relationship Id="rId1172" Type="http://schemas.openxmlformats.org/officeDocument/2006/relationships/hyperlink" Target="http://ziffdavis.com" TargetMode="External"/><Relationship Id="rId582" Type="http://schemas.openxmlformats.org/officeDocument/2006/relationships/hyperlink" Target="http://observepoint.com" TargetMode="External"/><Relationship Id="rId1173" Type="http://schemas.openxmlformats.org/officeDocument/2006/relationships/hyperlink" Target="http://commonspirit.org" TargetMode="External"/><Relationship Id="rId2020" Type="http://schemas.openxmlformats.org/officeDocument/2006/relationships/hyperlink" Target="http://observepoint.com" TargetMode="External"/><Relationship Id="rId581" Type="http://schemas.openxmlformats.org/officeDocument/2006/relationships/hyperlink" Target="http://observepoint.com" TargetMode="External"/><Relationship Id="rId1174" Type="http://schemas.openxmlformats.org/officeDocument/2006/relationships/hyperlink" Target="http://observepoint.com" TargetMode="External"/><Relationship Id="rId2021" Type="http://schemas.openxmlformats.org/officeDocument/2006/relationships/hyperlink" Target="http://amica.com" TargetMode="External"/><Relationship Id="rId580" Type="http://schemas.openxmlformats.org/officeDocument/2006/relationships/hyperlink" Target="http://observepoint.com" TargetMode="External"/><Relationship Id="rId1175" Type="http://schemas.openxmlformats.org/officeDocument/2006/relationships/hyperlink" Target="http://ros.com" TargetMode="External"/><Relationship Id="rId2022" Type="http://schemas.openxmlformats.org/officeDocument/2006/relationships/hyperlink" Target="http://observepoint.com" TargetMode="External"/><Relationship Id="rId103" Type="http://schemas.openxmlformats.org/officeDocument/2006/relationships/hyperlink" Target="http://observepoint.com" TargetMode="External"/><Relationship Id="rId587" Type="http://schemas.openxmlformats.org/officeDocument/2006/relationships/hyperlink" Target="http://officeworks.com.au" TargetMode="External"/><Relationship Id="rId1176" Type="http://schemas.openxmlformats.org/officeDocument/2006/relationships/hyperlink" Target="http://observepoint.com" TargetMode="External"/><Relationship Id="rId2023" Type="http://schemas.openxmlformats.org/officeDocument/2006/relationships/hyperlink" Target="http://observepoint.com" TargetMode="External"/><Relationship Id="rId102" Type="http://schemas.openxmlformats.org/officeDocument/2006/relationships/hyperlink" Target="http://observepoint.com" TargetMode="External"/><Relationship Id="rId586" Type="http://schemas.openxmlformats.org/officeDocument/2006/relationships/hyperlink" Target="http://observepoint.com" TargetMode="External"/><Relationship Id="rId1177" Type="http://schemas.openxmlformats.org/officeDocument/2006/relationships/hyperlink" Target="http://observepoint.com" TargetMode="External"/><Relationship Id="rId2024" Type="http://schemas.openxmlformats.org/officeDocument/2006/relationships/hyperlink" Target="http://observepoint.com" TargetMode="External"/><Relationship Id="rId101" Type="http://schemas.openxmlformats.org/officeDocument/2006/relationships/hyperlink" Target="http://amica.com" TargetMode="External"/><Relationship Id="rId585" Type="http://schemas.openxmlformats.org/officeDocument/2006/relationships/hyperlink" Target="http://observepoint.com" TargetMode="External"/><Relationship Id="rId1178" Type="http://schemas.openxmlformats.org/officeDocument/2006/relationships/hyperlink" Target="http://ros.com" TargetMode="External"/><Relationship Id="rId2025" Type="http://schemas.openxmlformats.org/officeDocument/2006/relationships/hyperlink" Target="http://amica.com" TargetMode="External"/><Relationship Id="rId100" Type="http://schemas.openxmlformats.org/officeDocument/2006/relationships/hyperlink" Target="http://amica.com" TargetMode="External"/><Relationship Id="rId584" Type="http://schemas.openxmlformats.org/officeDocument/2006/relationships/hyperlink" Target="http://observepoint.com" TargetMode="External"/><Relationship Id="rId1179" Type="http://schemas.openxmlformats.org/officeDocument/2006/relationships/hyperlink" Target="http://ros.com" TargetMode="External"/><Relationship Id="rId2026" Type="http://schemas.openxmlformats.org/officeDocument/2006/relationships/hyperlink" Target="http://observepoint.com" TargetMode="External"/><Relationship Id="rId1169" Type="http://schemas.openxmlformats.org/officeDocument/2006/relationships/hyperlink" Target="http://ziffdavis.com" TargetMode="External"/><Relationship Id="rId2016" Type="http://schemas.openxmlformats.org/officeDocument/2006/relationships/hyperlink" Target="http://cdw.com" TargetMode="External"/><Relationship Id="rId2017" Type="http://schemas.openxmlformats.org/officeDocument/2006/relationships/hyperlink" Target="http://amica.com" TargetMode="External"/><Relationship Id="rId2018" Type="http://schemas.openxmlformats.org/officeDocument/2006/relationships/hyperlink" Target="http://observepoint.com" TargetMode="External"/><Relationship Id="rId2019" Type="http://schemas.openxmlformats.org/officeDocument/2006/relationships/hyperlink" Target="http://observepoint.com" TargetMode="External"/><Relationship Id="rId579" Type="http://schemas.openxmlformats.org/officeDocument/2006/relationships/hyperlink" Target="http://observepoint.com" TargetMode="External"/><Relationship Id="rId578" Type="http://schemas.openxmlformats.org/officeDocument/2006/relationships/hyperlink" Target="http://officeworks.com.au" TargetMode="External"/><Relationship Id="rId577" Type="http://schemas.openxmlformats.org/officeDocument/2006/relationships/hyperlink" Target="http://chilipiper.com" TargetMode="External"/><Relationship Id="rId1160" Type="http://schemas.openxmlformats.org/officeDocument/2006/relationships/hyperlink" Target="http://ziffdavis.com" TargetMode="External"/><Relationship Id="rId572" Type="http://schemas.openxmlformats.org/officeDocument/2006/relationships/hyperlink" Target="http://observepoint.com" TargetMode="External"/><Relationship Id="rId1161" Type="http://schemas.openxmlformats.org/officeDocument/2006/relationships/hyperlink" Target="http://observepoint.com" TargetMode="External"/><Relationship Id="rId571" Type="http://schemas.openxmlformats.org/officeDocument/2006/relationships/hyperlink" Target="http://officeworks.com.au" TargetMode="External"/><Relationship Id="rId1162" Type="http://schemas.openxmlformats.org/officeDocument/2006/relationships/hyperlink" Target="http://ziffdavis.com" TargetMode="External"/><Relationship Id="rId570" Type="http://schemas.openxmlformats.org/officeDocument/2006/relationships/hyperlink" Target="http://observepoint.com" TargetMode="External"/><Relationship Id="rId1163" Type="http://schemas.openxmlformats.org/officeDocument/2006/relationships/hyperlink" Target="http://ziffdavis.com" TargetMode="External"/><Relationship Id="rId2010" Type="http://schemas.openxmlformats.org/officeDocument/2006/relationships/hyperlink" Target="http://cdw.com" TargetMode="External"/><Relationship Id="rId1164" Type="http://schemas.openxmlformats.org/officeDocument/2006/relationships/hyperlink" Target="http://observepoint.com" TargetMode="External"/><Relationship Id="rId2011" Type="http://schemas.openxmlformats.org/officeDocument/2006/relationships/hyperlink" Target="http://observepoint.com" TargetMode="External"/><Relationship Id="rId576" Type="http://schemas.openxmlformats.org/officeDocument/2006/relationships/hyperlink" Target="http://observepoint.com" TargetMode="External"/><Relationship Id="rId1165" Type="http://schemas.openxmlformats.org/officeDocument/2006/relationships/hyperlink" Target="http://ziffdavis.com" TargetMode="External"/><Relationship Id="rId2012" Type="http://schemas.openxmlformats.org/officeDocument/2006/relationships/hyperlink" Target="http://rwjf.org" TargetMode="External"/><Relationship Id="rId575" Type="http://schemas.openxmlformats.org/officeDocument/2006/relationships/hyperlink" Target="http://observepoint.com" TargetMode="External"/><Relationship Id="rId1166" Type="http://schemas.openxmlformats.org/officeDocument/2006/relationships/hyperlink" Target="http://observepoint.com" TargetMode="External"/><Relationship Id="rId2013" Type="http://schemas.openxmlformats.org/officeDocument/2006/relationships/hyperlink" Target="http://cdw.com" TargetMode="External"/><Relationship Id="rId574" Type="http://schemas.openxmlformats.org/officeDocument/2006/relationships/hyperlink" Target="http://observepoint.com" TargetMode="External"/><Relationship Id="rId1167" Type="http://schemas.openxmlformats.org/officeDocument/2006/relationships/hyperlink" Target="http://observepoint.com" TargetMode="External"/><Relationship Id="rId2014" Type="http://schemas.openxmlformats.org/officeDocument/2006/relationships/hyperlink" Target="http://observepoint.com" TargetMode="External"/><Relationship Id="rId573" Type="http://schemas.openxmlformats.org/officeDocument/2006/relationships/hyperlink" Target="http://officeworks.com.au" TargetMode="External"/><Relationship Id="rId1168" Type="http://schemas.openxmlformats.org/officeDocument/2006/relationships/hyperlink" Target="http://ziffdavis.com" TargetMode="External"/><Relationship Id="rId2015" Type="http://schemas.openxmlformats.org/officeDocument/2006/relationships/hyperlink" Target="http://observepoint.com" TargetMode="External"/><Relationship Id="rId2049" Type="http://schemas.openxmlformats.org/officeDocument/2006/relationships/hyperlink" Target="http://devry.edu" TargetMode="External"/><Relationship Id="rId129" Type="http://schemas.openxmlformats.org/officeDocument/2006/relationships/hyperlink" Target="http://observepoint.com" TargetMode="External"/><Relationship Id="rId128" Type="http://schemas.openxmlformats.org/officeDocument/2006/relationships/hyperlink" Target="http://amica.com" TargetMode="External"/><Relationship Id="rId127" Type="http://schemas.openxmlformats.org/officeDocument/2006/relationships/hyperlink" Target="http://observepoint.com" TargetMode="External"/><Relationship Id="rId126" Type="http://schemas.openxmlformats.org/officeDocument/2006/relationships/hyperlink" Target="http://observepoint.com" TargetMode="External"/><Relationship Id="rId1190" Type="http://schemas.openxmlformats.org/officeDocument/2006/relationships/hyperlink" Target="http://observepoint.com" TargetMode="External"/><Relationship Id="rId1191" Type="http://schemas.openxmlformats.org/officeDocument/2006/relationships/hyperlink" Target="http://observepoint.com" TargetMode="External"/><Relationship Id="rId1192" Type="http://schemas.openxmlformats.org/officeDocument/2006/relationships/hyperlink" Target="http://observepoint.com" TargetMode="External"/><Relationship Id="rId1193" Type="http://schemas.openxmlformats.org/officeDocument/2006/relationships/hyperlink" Target="http://pmi.org" TargetMode="External"/><Relationship Id="rId2040" Type="http://schemas.openxmlformats.org/officeDocument/2006/relationships/hyperlink" Target="http://amica.com" TargetMode="External"/><Relationship Id="rId121" Type="http://schemas.openxmlformats.org/officeDocument/2006/relationships/hyperlink" Target="http://amica.com" TargetMode="External"/><Relationship Id="rId1194" Type="http://schemas.openxmlformats.org/officeDocument/2006/relationships/hyperlink" Target="http://observepoint.com" TargetMode="External"/><Relationship Id="rId2041" Type="http://schemas.openxmlformats.org/officeDocument/2006/relationships/hyperlink" Target="http://observepoint.com" TargetMode="External"/><Relationship Id="rId120" Type="http://schemas.openxmlformats.org/officeDocument/2006/relationships/hyperlink" Target="http://observepoint.com" TargetMode="External"/><Relationship Id="rId1195" Type="http://schemas.openxmlformats.org/officeDocument/2006/relationships/hyperlink" Target="http://observepoint.com" TargetMode="External"/><Relationship Id="rId2042" Type="http://schemas.openxmlformats.org/officeDocument/2006/relationships/hyperlink" Target="http://amica.com" TargetMode="External"/><Relationship Id="rId1196" Type="http://schemas.openxmlformats.org/officeDocument/2006/relationships/hyperlink" Target="http://tyson.com" TargetMode="External"/><Relationship Id="rId2043" Type="http://schemas.openxmlformats.org/officeDocument/2006/relationships/hyperlink" Target="http://observepoint.com" TargetMode="External"/><Relationship Id="rId1197" Type="http://schemas.openxmlformats.org/officeDocument/2006/relationships/hyperlink" Target="http://observepoint.com" TargetMode="External"/><Relationship Id="rId2044" Type="http://schemas.openxmlformats.org/officeDocument/2006/relationships/hyperlink" Target="http://observepoint.com" TargetMode="External"/><Relationship Id="rId125" Type="http://schemas.openxmlformats.org/officeDocument/2006/relationships/hyperlink" Target="http://observepoint.com" TargetMode="External"/><Relationship Id="rId1198" Type="http://schemas.openxmlformats.org/officeDocument/2006/relationships/hyperlink" Target="http://observepoint.com" TargetMode="External"/><Relationship Id="rId2045" Type="http://schemas.openxmlformats.org/officeDocument/2006/relationships/hyperlink" Target="http://observepoint.com" TargetMode="External"/><Relationship Id="rId124" Type="http://schemas.openxmlformats.org/officeDocument/2006/relationships/hyperlink" Target="http://amica.com" TargetMode="External"/><Relationship Id="rId1199" Type="http://schemas.openxmlformats.org/officeDocument/2006/relationships/hyperlink" Target="http://pmi.org" TargetMode="External"/><Relationship Id="rId2046" Type="http://schemas.openxmlformats.org/officeDocument/2006/relationships/hyperlink" Target="http://ros.com" TargetMode="External"/><Relationship Id="rId123" Type="http://schemas.openxmlformats.org/officeDocument/2006/relationships/hyperlink" Target="http://observepoint.com" TargetMode="External"/><Relationship Id="rId2047" Type="http://schemas.openxmlformats.org/officeDocument/2006/relationships/hyperlink" Target="http://observepoint.com" TargetMode="External"/><Relationship Id="rId122" Type="http://schemas.openxmlformats.org/officeDocument/2006/relationships/hyperlink" Target="http://observepoint.com" TargetMode="External"/><Relationship Id="rId2048" Type="http://schemas.openxmlformats.org/officeDocument/2006/relationships/hyperlink" Target="http://observepoint.com" TargetMode="External"/><Relationship Id="rId2038" Type="http://schemas.openxmlformats.org/officeDocument/2006/relationships/hyperlink" Target="http://observepoint.com" TargetMode="External"/><Relationship Id="rId2039" Type="http://schemas.openxmlformats.org/officeDocument/2006/relationships/hyperlink" Target="http://observepoint.com" TargetMode="External"/><Relationship Id="rId118" Type="http://schemas.openxmlformats.org/officeDocument/2006/relationships/hyperlink" Target="http://amica.com" TargetMode="External"/><Relationship Id="rId117" Type="http://schemas.openxmlformats.org/officeDocument/2006/relationships/hyperlink" Target="http://observepoint.com" TargetMode="External"/><Relationship Id="rId116" Type="http://schemas.openxmlformats.org/officeDocument/2006/relationships/hyperlink" Target="http://amica.com" TargetMode="External"/><Relationship Id="rId115" Type="http://schemas.openxmlformats.org/officeDocument/2006/relationships/hyperlink" Target="http://observepoint.com" TargetMode="External"/><Relationship Id="rId599" Type="http://schemas.openxmlformats.org/officeDocument/2006/relationships/hyperlink" Target="http://questrade.com" TargetMode="External"/><Relationship Id="rId1180" Type="http://schemas.openxmlformats.org/officeDocument/2006/relationships/hyperlink" Target="http://observepoint.com" TargetMode="External"/><Relationship Id="rId1181" Type="http://schemas.openxmlformats.org/officeDocument/2006/relationships/hyperlink" Target="http://lumen.com" TargetMode="External"/><Relationship Id="rId119" Type="http://schemas.openxmlformats.org/officeDocument/2006/relationships/hyperlink" Target="http://amica.com" TargetMode="External"/><Relationship Id="rId1182" Type="http://schemas.openxmlformats.org/officeDocument/2006/relationships/hyperlink" Target="http://observepoint.com" TargetMode="External"/><Relationship Id="rId110" Type="http://schemas.openxmlformats.org/officeDocument/2006/relationships/hyperlink" Target="http://amica.com" TargetMode="External"/><Relationship Id="rId594" Type="http://schemas.openxmlformats.org/officeDocument/2006/relationships/hyperlink" Target="http://observepoint.com" TargetMode="External"/><Relationship Id="rId1183" Type="http://schemas.openxmlformats.org/officeDocument/2006/relationships/hyperlink" Target="http://observepoint.com" TargetMode="External"/><Relationship Id="rId2030" Type="http://schemas.openxmlformats.org/officeDocument/2006/relationships/hyperlink" Target="http://observepoint.com" TargetMode="External"/><Relationship Id="rId593" Type="http://schemas.openxmlformats.org/officeDocument/2006/relationships/hyperlink" Target="http://observepoint.com" TargetMode="External"/><Relationship Id="rId1184" Type="http://schemas.openxmlformats.org/officeDocument/2006/relationships/hyperlink" Target="http://lumen.com" TargetMode="External"/><Relationship Id="rId2031" Type="http://schemas.openxmlformats.org/officeDocument/2006/relationships/hyperlink" Target="http://observepoint.com" TargetMode="External"/><Relationship Id="rId592" Type="http://schemas.openxmlformats.org/officeDocument/2006/relationships/hyperlink" Target="http://officeworks.com.au" TargetMode="External"/><Relationship Id="rId1185" Type="http://schemas.openxmlformats.org/officeDocument/2006/relationships/hyperlink" Target="http://observepoint.com" TargetMode="External"/><Relationship Id="rId2032" Type="http://schemas.openxmlformats.org/officeDocument/2006/relationships/hyperlink" Target="http://observepoint.com" TargetMode="External"/><Relationship Id="rId591" Type="http://schemas.openxmlformats.org/officeDocument/2006/relationships/hyperlink" Target="http://officeworks.com.au" TargetMode="External"/><Relationship Id="rId1186" Type="http://schemas.openxmlformats.org/officeDocument/2006/relationships/hyperlink" Target="http://lumen.com" TargetMode="External"/><Relationship Id="rId2033" Type="http://schemas.openxmlformats.org/officeDocument/2006/relationships/hyperlink" Target="http://amica.com" TargetMode="External"/><Relationship Id="rId114" Type="http://schemas.openxmlformats.org/officeDocument/2006/relationships/hyperlink" Target="http://amica.com" TargetMode="External"/><Relationship Id="rId598" Type="http://schemas.openxmlformats.org/officeDocument/2006/relationships/hyperlink" Target="http://observepoint.com" TargetMode="External"/><Relationship Id="rId1187" Type="http://schemas.openxmlformats.org/officeDocument/2006/relationships/hyperlink" Target="http://observepoint.com" TargetMode="External"/><Relationship Id="rId2034" Type="http://schemas.openxmlformats.org/officeDocument/2006/relationships/hyperlink" Target="http://observepoint.com" TargetMode="External"/><Relationship Id="rId113" Type="http://schemas.openxmlformats.org/officeDocument/2006/relationships/hyperlink" Target="http://observepoint.com" TargetMode="External"/><Relationship Id="rId597" Type="http://schemas.openxmlformats.org/officeDocument/2006/relationships/hyperlink" Target="http://questrade.com" TargetMode="External"/><Relationship Id="rId1188" Type="http://schemas.openxmlformats.org/officeDocument/2006/relationships/hyperlink" Target="http://mms.org" TargetMode="External"/><Relationship Id="rId2035" Type="http://schemas.openxmlformats.org/officeDocument/2006/relationships/hyperlink" Target="http://observepoint.com" TargetMode="External"/><Relationship Id="rId112" Type="http://schemas.openxmlformats.org/officeDocument/2006/relationships/hyperlink" Target="http://amica.com" TargetMode="External"/><Relationship Id="rId596" Type="http://schemas.openxmlformats.org/officeDocument/2006/relationships/hyperlink" Target="http://observepoint.com" TargetMode="External"/><Relationship Id="rId1189" Type="http://schemas.openxmlformats.org/officeDocument/2006/relationships/hyperlink" Target="http://observepoint.com" TargetMode="External"/><Relationship Id="rId2036" Type="http://schemas.openxmlformats.org/officeDocument/2006/relationships/hyperlink" Target="http://amica.com" TargetMode="External"/><Relationship Id="rId111" Type="http://schemas.openxmlformats.org/officeDocument/2006/relationships/hyperlink" Target="http://observepoint.com" TargetMode="External"/><Relationship Id="rId595" Type="http://schemas.openxmlformats.org/officeDocument/2006/relationships/hyperlink" Target="http://officeworks.com.au" TargetMode="External"/><Relationship Id="rId2037" Type="http://schemas.openxmlformats.org/officeDocument/2006/relationships/hyperlink" Target="http://observepoint.com" TargetMode="External"/><Relationship Id="rId1136" Type="http://schemas.openxmlformats.org/officeDocument/2006/relationships/hyperlink" Target="http://observepoint.com" TargetMode="External"/><Relationship Id="rId1137" Type="http://schemas.openxmlformats.org/officeDocument/2006/relationships/hyperlink" Target="http://ziffdavis.com" TargetMode="External"/><Relationship Id="rId1138" Type="http://schemas.openxmlformats.org/officeDocument/2006/relationships/hyperlink" Target="http://observepoint.com" TargetMode="External"/><Relationship Id="rId1139" Type="http://schemas.openxmlformats.org/officeDocument/2006/relationships/hyperlink" Target="http://observepoint.com" TargetMode="External"/><Relationship Id="rId547" Type="http://schemas.openxmlformats.org/officeDocument/2006/relationships/hyperlink" Target="http://mongodb.com" TargetMode="External"/><Relationship Id="rId546" Type="http://schemas.openxmlformats.org/officeDocument/2006/relationships/hyperlink" Target="http://mongodb.com" TargetMode="External"/><Relationship Id="rId545" Type="http://schemas.openxmlformats.org/officeDocument/2006/relationships/hyperlink" Target="http://observepoint.com" TargetMode="External"/><Relationship Id="rId544" Type="http://schemas.openxmlformats.org/officeDocument/2006/relationships/hyperlink" Target="http://observepoint.com" TargetMode="External"/><Relationship Id="rId549" Type="http://schemas.openxmlformats.org/officeDocument/2006/relationships/hyperlink" Target="http://observepoint.com" TargetMode="External"/><Relationship Id="rId548" Type="http://schemas.openxmlformats.org/officeDocument/2006/relationships/hyperlink" Target="http://observepoint.com" TargetMode="External"/><Relationship Id="rId1130" Type="http://schemas.openxmlformats.org/officeDocument/2006/relationships/hyperlink" Target="http://observepoint.com" TargetMode="External"/><Relationship Id="rId1131" Type="http://schemas.openxmlformats.org/officeDocument/2006/relationships/hyperlink" Target="http://observepoint.com" TargetMode="External"/><Relationship Id="rId543" Type="http://schemas.openxmlformats.org/officeDocument/2006/relationships/hyperlink" Target="http://mongodb.com" TargetMode="External"/><Relationship Id="rId1132" Type="http://schemas.openxmlformats.org/officeDocument/2006/relationships/hyperlink" Target="http://observepoint.com" TargetMode="External"/><Relationship Id="rId542" Type="http://schemas.openxmlformats.org/officeDocument/2006/relationships/hyperlink" Target="http://observepoint.com" TargetMode="External"/><Relationship Id="rId1133" Type="http://schemas.openxmlformats.org/officeDocument/2006/relationships/hyperlink" Target="http://observepoint.com" TargetMode="External"/><Relationship Id="rId541" Type="http://schemas.openxmlformats.org/officeDocument/2006/relationships/hyperlink" Target="http://mongodb.com" TargetMode="External"/><Relationship Id="rId1134" Type="http://schemas.openxmlformats.org/officeDocument/2006/relationships/hyperlink" Target="http://observepoint.com" TargetMode="External"/><Relationship Id="rId540" Type="http://schemas.openxmlformats.org/officeDocument/2006/relationships/hyperlink" Target="http://observepoint.com" TargetMode="External"/><Relationship Id="rId1135" Type="http://schemas.openxmlformats.org/officeDocument/2006/relationships/hyperlink" Target="http://ziffdavis.com" TargetMode="External"/><Relationship Id="rId1125" Type="http://schemas.openxmlformats.org/officeDocument/2006/relationships/hyperlink" Target="http://observepoint.com" TargetMode="External"/><Relationship Id="rId1126" Type="http://schemas.openxmlformats.org/officeDocument/2006/relationships/hyperlink" Target="http://westjet.com" TargetMode="External"/><Relationship Id="rId1127" Type="http://schemas.openxmlformats.org/officeDocument/2006/relationships/hyperlink" Target="http://westjet.com" TargetMode="External"/><Relationship Id="rId1128" Type="http://schemas.openxmlformats.org/officeDocument/2006/relationships/hyperlink" Target="http://observepoint.com" TargetMode="External"/><Relationship Id="rId1129" Type="http://schemas.openxmlformats.org/officeDocument/2006/relationships/hyperlink" Target="http://westjet.com" TargetMode="External"/><Relationship Id="rId536" Type="http://schemas.openxmlformats.org/officeDocument/2006/relationships/hyperlink" Target="http://observepoint.com" TargetMode="External"/><Relationship Id="rId535" Type="http://schemas.openxmlformats.org/officeDocument/2006/relationships/hyperlink" Target="http://mongodb.com" TargetMode="External"/><Relationship Id="rId534" Type="http://schemas.openxmlformats.org/officeDocument/2006/relationships/hyperlink" Target="http://observepoint.com" TargetMode="External"/><Relationship Id="rId533" Type="http://schemas.openxmlformats.org/officeDocument/2006/relationships/hyperlink" Target="http://observepoint.com" TargetMode="External"/><Relationship Id="rId539" Type="http://schemas.openxmlformats.org/officeDocument/2006/relationships/hyperlink" Target="http://observepoint.com" TargetMode="External"/><Relationship Id="rId538" Type="http://schemas.openxmlformats.org/officeDocument/2006/relationships/hyperlink" Target="http://observepoint.com" TargetMode="External"/><Relationship Id="rId537" Type="http://schemas.openxmlformats.org/officeDocument/2006/relationships/hyperlink" Target="http://mongodb.com" TargetMode="External"/><Relationship Id="rId1120" Type="http://schemas.openxmlformats.org/officeDocument/2006/relationships/hyperlink" Target="http://observepoint.com" TargetMode="External"/><Relationship Id="rId532" Type="http://schemas.openxmlformats.org/officeDocument/2006/relationships/hyperlink" Target="http://observepoint.com" TargetMode="External"/><Relationship Id="rId1121" Type="http://schemas.openxmlformats.org/officeDocument/2006/relationships/hyperlink" Target="http://observepoint.com" TargetMode="External"/><Relationship Id="rId531" Type="http://schemas.openxmlformats.org/officeDocument/2006/relationships/hyperlink" Target="http://mongodb.com" TargetMode="External"/><Relationship Id="rId1122" Type="http://schemas.openxmlformats.org/officeDocument/2006/relationships/hyperlink" Target="http://observepoint.com" TargetMode="External"/><Relationship Id="rId530" Type="http://schemas.openxmlformats.org/officeDocument/2006/relationships/hyperlink" Target="http://observepoint.com" TargetMode="External"/><Relationship Id="rId1123" Type="http://schemas.openxmlformats.org/officeDocument/2006/relationships/hyperlink" Target="http://zenfolioinc.com" TargetMode="External"/><Relationship Id="rId1124" Type="http://schemas.openxmlformats.org/officeDocument/2006/relationships/hyperlink" Target="http://observepoint.com" TargetMode="External"/><Relationship Id="rId1158" Type="http://schemas.openxmlformats.org/officeDocument/2006/relationships/hyperlink" Target="http://observepoint.com" TargetMode="External"/><Relationship Id="rId2005" Type="http://schemas.openxmlformats.org/officeDocument/2006/relationships/hyperlink" Target="http://observepoint.com" TargetMode="External"/><Relationship Id="rId1159" Type="http://schemas.openxmlformats.org/officeDocument/2006/relationships/hyperlink" Target="http://observepoint.com" TargetMode="External"/><Relationship Id="rId2006" Type="http://schemas.openxmlformats.org/officeDocument/2006/relationships/hyperlink" Target="http://rwjf.org" TargetMode="External"/><Relationship Id="rId2007" Type="http://schemas.openxmlformats.org/officeDocument/2006/relationships/hyperlink" Target="http://rwjf.org" TargetMode="External"/><Relationship Id="rId2008" Type="http://schemas.openxmlformats.org/officeDocument/2006/relationships/hyperlink" Target="http://observepoint.com" TargetMode="External"/><Relationship Id="rId2009" Type="http://schemas.openxmlformats.org/officeDocument/2006/relationships/hyperlink" Target="http://observepoint.com" TargetMode="External"/><Relationship Id="rId569" Type="http://schemas.openxmlformats.org/officeDocument/2006/relationships/hyperlink" Target="http://officeworks.com.au" TargetMode="External"/><Relationship Id="rId568" Type="http://schemas.openxmlformats.org/officeDocument/2006/relationships/hyperlink" Target="http://observepoint.com" TargetMode="External"/><Relationship Id="rId567" Type="http://schemas.openxmlformats.org/officeDocument/2006/relationships/hyperlink" Target="http://observepoint.com" TargetMode="External"/><Relationship Id="rId566" Type="http://schemas.openxmlformats.org/officeDocument/2006/relationships/hyperlink" Target="http://mongodb.com" TargetMode="External"/><Relationship Id="rId561" Type="http://schemas.openxmlformats.org/officeDocument/2006/relationships/hyperlink" Target="http://observepoint.com" TargetMode="External"/><Relationship Id="rId1150" Type="http://schemas.openxmlformats.org/officeDocument/2006/relationships/hyperlink" Target="http://observepoint.com" TargetMode="External"/><Relationship Id="rId560" Type="http://schemas.openxmlformats.org/officeDocument/2006/relationships/hyperlink" Target="http://mongodb.com" TargetMode="External"/><Relationship Id="rId1151" Type="http://schemas.openxmlformats.org/officeDocument/2006/relationships/hyperlink" Target="http://ziffdavis.com" TargetMode="External"/><Relationship Id="rId1152" Type="http://schemas.openxmlformats.org/officeDocument/2006/relationships/hyperlink" Target="http://observepoint.com" TargetMode="External"/><Relationship Id="rId1153" Type="http://schemas.openxmlformats.org/officeDocument/2006/relationships/hyperlink" Target="http://ziffdavis.com" TargetMode="External"/><Relationship Id="rId2000" Type="http://schemas.openxmlformats.org/officeDocument/2006/relationships/hyperlink" Target="http://observepoint.com" TargetMode="External"/><Relationship Id="rId565" Type="http://schemas.openxmlformats.org/officeDocument/2006/relationships/hyperlink" Target="http://observepoint.com" TargetMode="External"/><Relationship Id="rId1154" Type="http://schemas.openxmlformats.org/officeDocument/2006/relationships/hyperlink" Target="http://ziffdavis.com" TargetMode="External"/><Relationship Id="rId2001" Type="http://schemas.openxmlformats.org/officeDocument/2006/relationships/hyperlink" Target="http://rwjf.org" TargetMode="External"/><Relationship Id="rId564" Type="http://schemas.openxmlformats.org/officeDocument/2006/relationships/hyperlink" Target="http://observepoint.com" TargetMode="External"/><Relationship Id="rId1155" Type="http://schemas.openxmlformats.org/officeDocument/2006/relationships/hyperlink" Target="http://observepoint.com" TargetMode="External"/><Relationship Id="rId2002" Type="http://schemas.openxmlformats.org/officeDocument/2006/relationships/hyperlink" Target="http://observepoint.com" TargetMode="External"/><Relationship Id="rId563" Type="http://schemas.openxmlformats.org/officeDocument/2006/relationships/hyperlink" Target="http://observepoint.com" TargetMode="External"/><Relationship Id="rId1156" Type="http://schemas.openxmlformats.org/officeDocument/2006/relationships/hyperlink" Target="http://ziffdavis.com" TargetMode="External"/><Relationship Id="rId2003" Type="http://schemas.openxmlformats.org/officeDocument/2006/relationships/hyperlink" Target="http://observepoint.com" TargetMode="External"/><Relationship Id="rId562" Type="http://schemas.openxmlformats.org/officeDocument/2006/relationships/hyperlink" Target="http://mongodb.com" TargetMode="External"/><Relationship Id="rId1157" Type="http://schemas.openxmlformats.org/officeDocument/2006/relationships/hyperlink" Target="http://ziffdavis.com" TargetMode="External"/><Relationship Id="rId2004" Type="http://schemas.openxmlformats.org/officeDocument/2006/relationships/hyperlink" Target="http://cdw.com" TargetMode="External"/><Relationship Id="rId1147" Type="http://schemas.openxmlformats.org/officeDocument/2006/relationships/hyperlink" Target="http://observepoint.com" TargetMode="External"/><Relationship Id="rId1148" Type="http://schemas.openxmlformats.org/officeDocument/2006/relationships/hyperlink" Target="http://observepoint.com" TargetMode="External"/><Relationship Id="rId1149" Type="http://schemas.openxmlformats.org/officeDocument/2006/relationships/hyperlink" Target="http://ziffdavis.com" TargetMode="External"/><Relationship Id="rId558" Type="http://schemas.openxmlformats.org/officeDocument/2006/relationships/hyperlink" Target="http://observepoint.com" TargetMode="External"/><Relationship Id="rId557" Type="http://schemas.openxmlformats.org/officeDocument/2006/relationships/hyperlink" Target="http://observepoint.com" TargetMode="External"/><Relationship Id="rId556" Type="http://schemas.openxmlformats.org/officeDocument/2006/relationships/hyperlink" Target="http://mongodb.com" TargetMode="External"/><Relationship Id="rId555" Type="http://schemas.openxmlformats.org/officeDocument/2006/relationships/hyperlink" Target="http://observepoint.com" TargetMode="External"/><Relationship Id="rId559" Type="http://schemas.openxmlformats.org/officeDocument/2006/relationships/hyperlink" Target="http://observepoint.com" TargetMode="External"/><Relationship Id="rId550" Type="http://schemas.openxmlformats.org/officeDocument/2006/relationships/hyperlink" Target="http://mongodb.com" TargetMode="External"/><Relationship Id="rId1140" Type="http://schemas.openxmlformats.org/officeDocument/2006/relationships/hyperlink" Target="http://observepoint.com" TargetMode="External"/><Relationship Id="rId1141" Type="http://schemas.openxmlformats.org/officeDocument/2006/relationships/hyperlink" Target="http://ziffdavis.com" TargetMode="External"/><Relationship Id="rId1142" Type="http://schemas.openxmlformats.org/officeDocument/2006/relationships/hyperlink" Target="http://ziffdavis.com" TargetMode="External"/><Relationship Id="rId554" Type="http://schemas.openxmlformats.org/officeDocument/2006/relationships/hyperlink" Target="http://observepoint.com" TargetMode="External"/><Relationship Id="rId1143" Type="http://schemas.openxmlformats.org/officeDocument/2006/relationships/hyperlink" Target="http://observepoint.com" TargetMode="External"/><Relationship Id="rId553" Type="http://schemas.openxmlformats.org/officeDocument/2006/relationships/hyperlink" Target="http://mongodb.com" TargetMode="External"/><Relationship Id="rId1144" Type="http://schemas.openxmlformats.org/officeDocument/2006/relationships/hyperlink" Target="http://observepoint.com" TargetMode="External"/><Relationship Id="rId552" Type="http://schemas.openxmlformats.org/officeDocument/2006/relationships/hyperlink" Target="http://observepoint.com" TargetMode="External"/><Relationship Id="rId1145" Type="http://schemas.openxmlformats.org/officeDocument/2006/relationships/hyperlink" Target="http://observepoint.com" TargetMode="External"/><Relationship Id="rId551" Type="http://schemas.openxmlformats.org/officeDocument/2006/relationships/hyperlink" Target="http://observepoint.com" TargetMode="External"/><Relationship Id="rId1146" Type="http://schemas.openxmlformats.org/officeDocument/2006/relationships/hyperlink" Target="http://ziffdavis.com" TargetMode="External"/><Relationship Id="rId2090" Type="http://schemas.openxmlformats.org/officeDocument/2006/relationships/hyperlink" Target="http://prudential.com" TargetMode="External"/><Relationship Id="rId2091" Type="http://schemas.openxmlformats.org/officeDocument/2006/relationships/hyperlink" Target="http://observepoint.com" TargetMode="External"/><Relationship Id="rId2092" Type="http://schemas.openxmlformats.org/officeDocument/2006/relationships/hyperlink" Target="http://woolworths.com.au" TargetMode="External"/><Relationship Id="rId2093" Type="http://schemas.openxmlformats.org/officeDocument/2006/relationships/hyperlink" Target="http://observepoint.com" TargetMode="External"/><Relationship Id="rId2094" Type="http://schemas.openxmlformats.org/officeDocument/2006/relationships/hyperlink" Target="http://observepoint.com" TargetMode="External"/><Relationship Id="rId2095" Type="http://schemas.openxmlformats.org/officeDocument/2006/relationships/hyperlink" Target="http://observepoint.com" TargetMode="External"/><Relationship Id="rId2096" Type="http://schemas.openxmlformats.org/officeDocument/2006/relationships/hyperlink" Target="http://woolworths.com.au" TargetMode="External"/><Relationship Id="rId2097" Type="http://schemas.openxmlformats.org/officeDocument/2006/relationships/hyperlink" Target="http://observepoint.com" TargetMode="External"/><Relationship Id="rId2098" Type="http://schemas.openxmlformats.org/officeDocument/2006/relationships/hyperlink" Target="http://observepoint.com" TargetMode="External"/><Relationship Id="rId2099" Type="http://schemas.openxmlformats.org/officeDocument/2006/relationships/hyperlink" Target="http://woolworths.com.au" TargetMode="External"/><Relationship Id="rId2060" Type="http://schemas.openxmlformats.org/officeDocument/2006/relationships/hyperlink" Target="http://observepoint.com" TargetMode="External"/><Relationship Id="rId2061" Type="http://schemas.openxmlformats.org/officeDocument/2006/relationships/hyperlink" Target="http://observepoint.com" TargetMode="External"/><Relationship Id="rId2062" Type="http://schemas.openxmlformats.org/officeDocument/2006/relationships/hyperlink" Target="http://seagate.com" TargetMode="External"/><Relationship Id="rId2063" Type="http://schemas.openxmlformats.org/officeDocument/2006/relationships/hyperlink" Target="http://observepoint.com" TargetMode="External"/><Relationship Id="rId2064" Type="http://schemas.openxmlformats.org/officeDocument/2006/relationships/hyperlink" Target="http://seagate.com" TargetMode="External"/><Relationship Id="rId2065" Type="http://schemas.openxmlformats.org/officeDocument/2006/relationships/hyperlink" Target="http://observepoint.com" TargetMode="External"/><Relationship Id="rId2066" Type="http://schemas.openxmlformats.org/officeDocument/2006/relationships/hyperlink" Target="http://brunswick.com" TargetMode="External"/><Relationship Id="rId2067" Type="http://schemas.openxmlformats.org/officeDocument/2006/relationships/hyperlink" Target="http://brunswick.com" TargetMode="External"/><Relationship Id="rId2068" Type="http://schemas.openxmlformats.org/officeDocument/2006/relationships/hyperlink" Target="http://observepoint.com" TargetMode="External"/><Relationship Id="rId2069" Type="http://schemas.openxmlformats.org/officeDocument/2006/relationships/hyperlink" Target="http://brunswick.com" TargetMode="External"/><Relationship Id="rId2050" Type="http://schemas.openxmlformats.org/officeDocument/2006/relationships/hyperlink" Target="http://observepoint.com" TargetMode="External"/><Relationship Id="rId2051" Type="http://schemas.openxmlformats.org/officeDocument/2006/relationships/hyperlink" Target="http://amica.com" TargetMode="External"/><Relationship Id="rId495" Type="http://schemas.openxmlformats.org/officeDocument/2006/relationships/hyperlink" Target="http://mongodb.com" TargetMode="External"/><Relationship Id="rId2052" Type="http://schemas.openxmlformats.org/officeDocument/2006/relationships/hyperlink" Target="http://observepoint.com" TargetMode="External"/><Relationship Id="rId494" Type="http://schemas.openxmlformats.org/officeDocument/2006/relationships/hyperlink" Target="http://observepoint.com" TargetMode="External"/><Relationship Id="rId2053" Type="http://schemas.openxmlformats.org/officeDocument/2006/relationships/hyperlink" Target="http://observepoint.com" TargetMode="External"/><Relationship Id="rId493" Type="http://schemas.openxmlformats.org/officeDocument/2006/relationships/hyperlink" Target="http://mongodb.com" TargetMode="External"/><Relationship Id="rId2054" Type="http://schemas.openxmlformats.org/officeDocument/2006/relationships/hyperlink" Target="http://ros.com" TargetMode="External"/><Relationship Id="rId492" Type="http://schemas.openxmlformats.org/officeDocument/2006/relationships/hyperlink" Target="http://mongodb.com" TargetMode="External"/><Relationship Id="rId2055" Type="http://schemas.openxmlformats.org/officeDocument/2006/relationships/hyperlink" Target="http://observepoint.com" TargetMode="External"/><Relationship Id="rId499" Type="http://schemas.openxmlformats.org/officeDocument/2006/relationships/hyperlink" Target="http://mongodb.com" TargetMode="External"/><Relationship Id="rId2056" Type="http://schemas.openxmlformats.org/officeDocument/2006/relationships/hyperlink" Target="http://observepoint.com" TargetMode="External"/><Relationship Id="rId498" Type="http://schemas.openxmlformats.org/officeDocument/2006/relationships/hyperlink" Target="http://mongodb.com" TargetMode="External"/><Relationship Id="rId2057" Type="http://schemas.openxmlformats.org/officeDocument/2006/relationships/hyperlink" Target="http://observepoint.com" TargetMode="External"/><Relationship Id="rId497" Type="http://schemas.openxmlformats.org/officeDocument/2006/relationships/hyperlink" Target="http://mongodb.com" TargetMode="External"/><Relationship Id="rId2058" Type="http://schemas.openxmlformats.org/officeDocument/2006/relationships/hyperlink" Target="http://prudential.com" TargetMode="External"/><Relationship Id="rId496" Type="http://schemas.openxmlformats.org/officeDocument/2006/relationships/hyperlink" Target="http://observepoint.com" TargetMode="External"/><Relationship Id="rId2059" Type="http://schemas.openxmlformats.org/officeDocument/2006/relationships/hyperlink" Target="http://seagate.com" TargetMode="External"/><Relationship Id="rId2080" Type="http://schemas.openxmlformats.org/officeDocument/2006/relationships/hyperlink" Target="http://brunswick.com" TargetMode="External"/><Relationship Id="rId2081" Type="http://schemas.openxmlformats.org/officeDocument/2006/relationships/hyperlink" Target="http://observepoint.com" TargetMode="External"/><Relationship Id="rId2082" Type="http://schemas.openxmlformats.org/officeDocument/2006/relationships/hyperlink" Target="http://worldmarket.com" TargetMode="External"/><Relationship Id="rId2083" Type="http://schemas.openxmlformats.org/officeDocument/2006/relationships/hyperlink" Target="http://observepoint.com" TargetMode="External"/><Relationship Id="rId2084" Type="http://schemas.openxmlformats.org/officeDocument/2006/relationships/hyperlink" Target="http://observepoint.com" TargetMode="External"/><Relationship Id="rId2085" Type="http://schemas.openxmlformats.org/officeDocument/2006/relationships/hyperlink" Target="http://brunswick.com" TargetMode="External"/><Relationship Id="rId2086" Type="http://schemas.openxmlformats.org/officeDocument/2006/relationships/hyperlink" Target="http://brunswick.com" TargetMode="External"/><Relationship Id="rId2087" Type="http://schemas.openxmlformats.org/officeDocument/2006/relationships/hyperlink" Target="http://observepoint.com" TargetMode="External"/><Relationship Id="rId2088" Type="http://schemas.openxmlformats.org/officeDocument/2006/relationships/hyperlink" Target="http://brunswick.com" TargetMode="External"/><Relationship Id="rId2089" Type="http://schemas.openxmlformats.org/officeDocument/2006/relationships/hyperlink" Target="http://brunswick.com" TargetMode="External"/><Relationship Id="rId2070" Type="http://schemas.openxmlformats.org/officeDocument/2006/relationships/hyperlink" Target="http://observepoint.com" TargetMode="External"/><Relationship Id="rId2071" Type="http://schemas.openxmlformats.org/officeDocument/2006/relationships/hyperlink" Target="http://brunswick.com" TargetMode="External"/><Relationship Id="rId2072" Type="http://schemas.openxmlformats.org/officeDocument/2006/relationships/hyperlink" Target="http://brunswick.com" TargetMode="External"/><Relationship Id="rId2073" Type="http://schemas.openxmlformats.org/officeDocument/2006/relationships/hyperlink" Target="http://lumen.com" TargetMode="External"/><Relationship Id="rId2074" Type="http://schemas.openxmlformats.org/officeDocument/2006/relationships/hyperlink" Target="http://observepoint.com" TargetMode="External"/><Relationship Id="rId2075" Type="http://schemas.openxmlformats.org/officeDocument/2006/relationships/hyperlink" Target="http://brunswick.com" TargetMode="External"/><Relationship Id="rId2076" Type="http://schemas.openxmlformats.org/officeDocument/2006/relationships/hyperlink" Target="http://observepoint.com" TargetMode="External"/><Relationship Id="rId2077" Type="http://schemas.openxmlformats.org/officeDocument/2006/relationships/hyperlink" Target="http://brunswick.com" TargetMode="External"/><Relationship Id="rId2078" Type="http://schemas.openxmlformats.org/officeDocument/2006/relationships/hyperlink" Target="http://observepoint.com" TargetMode="External"/><Relationship Id="rId2079" Type="http://schemas.openxmlformats.org/officeDocument/2006/relationships/hyperlink" Target="http://brunswick.com" TargetMode="External"/><Relationship Id="rId1610" Type="http://schemas.openxmlformats.org/officeDocument/2006/relationships/hyperlink" Target="http://observepoint.com" TargetMode="External"/><Relationship Id="rId1611" Type="http://schemas.openxmlformats.org/officeDocument/2006/relationships/hyperlink" Target="http://observepoint.com" TargetMode="External"/><Relationship Id="rId1612" Type="http://schemas.openxmlformats.org/officeDocument/2006/relationships/hyperlink" Target="http://observepoint.com" TargetMode="External"/><Relationship Id="rId1613" Type="http://schemas.openxmlformats.org/officeDocument/2006/relationships/hyperlink" Target="http://devry.edu" TargetMode="External"/><Relationship Id="rId1614" Type="http://schemas.openxmlformats.org/officeDocument/2006/relationships/hyperlink" Target="http://observepoint.com" TargetMode="External"/><Relationship Id="rId1615" Type="http://schemas.openxmlformats.org/officeDocument/2006/relationships/hyperlink" Target="http://worldmarket.com" TargetMode="External"/><Relationship Id="rId1616" Type="http://schemas.openxmlformats.org/officeDocument/2006/relationships/hyperlink" Target="http://observepoint.com" TargetMode="External"/><Relationship Id="rId907" Type="http://schemas.openxmlformats.org/officeDocument/2006/relationships/hyperlink" Target="http://prudential.com" TargetMode="External"/><Relationship Id="rId1617" Type="http://schemas.openxmlformats.org/officeDocument/2006/relationships/hyperlink" Target="http://observepoint.com" TargetMode="External"/><Relationship Id="rId906" Type="http://schemas.openxmlformats.org/officeDocument/2006/relationships/hyperlink" Target="http://prudential.com" TargetMode="External"/><Relationship Id="rId1618" Type="http://schemas.openxmlformats.org/officeDocument/2006/relationships/hyperlink" Target="http://questrade.com" TargetMode="External"/><Relationship Id="rId905" Type="http://schemas.openxmlformats.org/officeDocument/2006/relationships/hyperlink" Target="http://observepoint.com" TargetMode="External"/><Relationship Id="rId1619" Type="http://schemas.openxmlformats.org/officeDocument/2006/relationships/hyperlink" Target="http://observepoint.com" TargetMode="External"/><Relationship Id="rId904" Type="http://schemas.openxmlformats.org/officeDocument/2006/relationships/hyperlink" Target="http://observepoint.com" TargetMode="External"/><Relationship Id="rId909" Type="http://schemas.openxmlformats.org/officeDocument/2006/relationships/hyperlink" Target="http://observepoint.com" TargetMode="External"/><Relationship Id="rId908" Type="http://schemas.openxmlformats.org/officeDocument/2006/relationships/hyperlink" Target="http://prudential.com" TargetMode="External"/><Relationship Id="rId903" Type="http://schemas.openxmlformats.org/officeDocument/2006/relationships/hyperlink" Target="http://prudential.com" TargetMode="External"/><Relationship Id="rId902" Type="http://schemas.openxmlformats.org/officeDocument/2006/relationships/hyperlink" Target="http://observepoint.com" TargetMode="External"/><Relationship Id="rId901" Type="http://schemas.openxmlformats.org/officeDocument/2006/relationships/hyperlink" Target="http://observepoint.com" TargetMode="External"/><Relationship Id="rId900" Type="http://schemas.openxmlformats.org/officeDocument/2006/relationships/hyperlink" Target="http://observepoint.com" TargetMode="External"/><Relationship Id="rId1600" Type="http://schemas.openxmlformats.org/officeDocument/2006/relationships/hyperlink" Target="http://observepoint.com" TargetMode="External"/><Relationship Id="rId1601" Type="http://schemas.openxmlformats.org/officeDocument/2006/relationships/hyperlink" Target="http://stackedanalytics.com" TargetMode="External"/><Relationship Id="rId1602" Type="http://schemas.openxmlformats.org/officeDocument/2006/relationships/hyperlink" Target="http://observepoint.com" TargetMode="External"/><Relationship Id="rId1603" Type="http://schemas.openxmlformats.org/officeDocument/2006/relationships/hyperlink" Target="http://devry.edu" TargetMode="External"/><Relationship Id="rId1604" Type="http://schemas.openxmlformats.org/officeDocument/2006/relationships/hyperlink" Target="http://observepoint.com" TargetMode="External"/><Relationship Id="rId1605" Type="http://schemas.openxmlformats.org/officeDocument/2006/relationships/hyperlink" Target="http://observepoint.com" TargetMode="External"/><Relationship Id="rId1606" Type="http://schemas.openxmlformats.org/officeDocument/2006/relationships/hyperlink" Target="http://worldmarket.com" TargetMode="External"/><Relationship Id="rId1607" Type="http://schemas.openxmlformats.org/officeDocument/2006/relationships/hyperlink" Target="http://observepoint.com" TargetMode="External"/><Relationship Id="rId1608" Type="http://schemas.openxmlformats.org/officeDocument/2006/relationships/hyperlink" Target="http://observepoint.com" TargetMode="External"/><Relationship Id="rId1609" Type="http://schemas.openxmlformats.org/officeDocument/2006/relationships/hyperlink" Target="http://devry.edu" TargetMode="External"/><Relationship Id="rId1631" Type="http://schemas.openxmlformats.org/officeDocument/2006/relationships/hyperlink" Target="http://observepoint.com" TargetMode="External"/><Relationship Id="rId1632" Type="http://schemas.openxmlformats.org/officeDocument/2006/relationships/hyperlink" Target="http://amica.com" TargetMode="External"/><Relationship Id="rId1633" Type="http://schemas.openxmlformats.org/officeDocument/2006/relationships/hyperlink" Target="http://observepoint.com" TargetMode="External"/><Relationship Id="rId1634" Type="http://schemas.openxmlformats.org/officeDocument/2006/relationships/hyperlink" Target="http://verisign.com" TargetMode="External"/><Relationship Id="rId1635" Type="http://schemas.openxmlformats.org/officeDocument/2006/relationships/hyperlink" Target="http://observepoint.com" TargetMode="External"/><Relationship Id="rId1636" Type="http://schemas.openxmlformats.org/officeDocument/2006/relationships/hyperlink" Target="http://westjet.com" TargetMode="External"/><Relationship Id="rId1637" Type="http://schemas.openxmlformats.org/officeDocument/2006/relationships/hyperlink" Target="http://observepoint.com" TargetMode="External"/><Relationship Id="rId1638" Type="http://schemas.openxmlformats.org/officeDocument/2006/relationships/hyperlink" Target="http://observepoint.com" TargetMode="External"/><Relationship Id="rId929" Type="http://schemas.openxmlformats.org/officeDocument/2006/relationships/hyperlink" Target="http://prudential.com" TargetMode="External"/><Relationship Id="rId1639" Type="http://schemas.openxmlformats.org/officeDocument/2006/relationships/hyperlink" Target="http://observepoint.com" TargetMode="External"/><Relationship Id="rId928" Type="http://schemas.openxmlformats.org/officeDocument/2006/relationships/hyperlink" Target="http://observepoint.com" TargetMode="External"/><Relationship Id="rId927" Type="http://schemas.openxmlformats.org/officeDocument/2006/relationships/hyperlink" Target="http://observepoint.com" TargetMode="External"/><Relationship Id="rId926" Type="http://schemas.openxmlformats.org/officeDocument/2006/relationships/hyperlink" Target="http://prudential.com" TargetMode="External"/><Relationship Id="rId921" Type="http://schemas.openxmlformats.org/officeDocument/2006/relationships/hyperlink" Target="http://prudential.com" TargetMode="External"/><Relationship Id="rId920" Type="http://schemas.openxmlformats.org/officeDocument/2006/relationships/hyperlink" Target="http://observepoint.com" TargetMode="External"/><Relationship Id="rId925" Type="http://schemas.openxmlformats.org/officeDocument/2006/relationships/hyperlink" Target="http://prudential.com" TargetMode="External"/><Relationship Id="rId924" Type="http://schemas.openxmlformats.org/officeDocument/2006/relationships/hyperlink" Target="http://observepoint.com" TargetMode="External"/><Relationship Id="rId923" Type="http://schemas.openxmlformats.org/officeDocument/2006/relationships/hyperlink" Target="http://observepoint.com" TargetMode="External"/><Relationship Id="rId922" Type="http://schemas.openxmlformats.org/officeDocument/2006/relationships/hyperlink" Target="http://observepoint.com" TargetMode="External"/><Relationship Id="rId1630" Type="http://schemas.openxmlformats.org/officeDocument/2006/relationships/hyperlink" Target="http://worldmarket.com" TargetMode="External"/><Relationship Id="rId1620" Type="http://schemas.openxmlformats.org/officeDocument/2006/relationships/hyperlink" Target="http://mongodb.com" TargetMode="External"/><Relationship Id="rId1621" Type="http://schemas.openxmlformats.org/officeDocument/2006/relationships/hyperlink" Target="http://observepoint.com" TargetMode="External"/><Relationship Id="rId1622" Type="http://schemas.openxmlformats.org/officeDocument/2006/relationships/hyperlink" Target="http://questrade.com" TargetMode="External"/><Relationship Id="rId1623" Type="http://schemas.openxmlformats.org/officeDocument/2006/relationships/hyperlink" Target="http://observepoint.com" TargetMode="External"/><Relationship Id="rId1624" Type="http://schemas.openxmlformats.org/officeDocument/2006/relationships/hyperlink" Target="http://mongodb.com" TargetMode="External"/><Relationship Id="rId1625" Type="http://schemas.openxmlformats.org/officeDocument/2006/relationships/hyperlink" Target="http://mongodb.com" TargetMode="External"/><Relationship Id="rId1626" Type="http://schemas.openxmlformats.org/officeDocument/2006/relationships/hyperlink" Target="http://mongodb.com" TargetMode="External"/><Relationship Id="rId1627" Type="http://schemas.openxmlformats.org/officeDocument/2006/relationships/hyperlink" Target="http://observepoint.com" TargetMode="External"/><Relationship Id="rId918" Type="http://schemas.openxmlformats.org/officeDocument/2006/relationships/hyperlink" Target="http://observepoint.com" TargetMode="External"/><Relationship Id="rId1628" Type="http://schemas.openxmlformats.org/officeDocument/2006/relationships/hyperlink" Target="http://observepoint.com" TargetMode="External"/><Relationship Id="rId917" Type="http://schemas.openxmlformats.org/officeDocument/2006/relationships/hyperlink" Target="http://prudential.com" TargetMode="External"/><Relationship Id="rId1629" Type="http://schemas.openxmlformats.org/officeDocument/2006/relationships/hyperlink" Target="http://observepoint.com" TargetMode="External"/><Relationship Id="rId916" Type="http://schemas.openxmlformats.org/officeDocument/2006/relationships/hyperlink" Target="http://observepoint.com" TargetMode="External"/><Relationship Id="rId915" Type="http://schemas.openxmlformats.org/officeDocument/2006/relationships/hyperlink" Target="http://observepoint.com" TargetMode="External"/><Relationship Id="rId919" Type="http://schemas.openxmlformats.org/officeDocument/2006/relationships/hyperlink" Target="http://prudential.com" TargetMode="External"/><Relationship Id="rId910" Type="http://schemas.openxmlformats.org/officeDocument/2006/relationships/hyperlink" Target="http://prudential.com" TargetMode="External"/><Relationship Id="rId914" Type="http://schemas.openxmlformats.org/officeDocument/2006/relationships/hyperlink" Target="http://prudential.com" TargetMode="External"/><Relationship Id="rId913" Type="http://schemas.openxmlformats.org/officeDocument/2006/relationships/hyperlink" Target="http://observepoint.com" TargetMode="External"/><Relationship Id="rId912" Type="http://schemas.openxmlformats.org/officeDocument/2006/relationships/hyperlink" Target="http://observepoint.com" TargetMode="External"/><Relationship Id="rId911" Type="http://schemas.openxmlformats.org/officeDocument/2006/relationships/hyperlink" Target="http://prudential.com" TargetMode="External"/><Relationship Id="rId1213" Type="http://schemas.openxmlformats.org/officeDocument/2006/relationships/hyperlink" Target="http://observepoint.com" TargetMode="External"/><Relationship Id="rId1697" Type="http://schemas.openxmlformats.org/officeDocument/2006/relationships/hyperlink" Target="http://prudential.com" TargetMode="External"/><Relationship Id="rId1214" Type="http://schemas.openxmlformats.org/officeDocument/2006/relationships/hyperlink" Target="http://amica.com" TargetMode="External"/><Relationship Id="rId1698" Type="http://schemas.openxmlformats.org/officeDocument/2006/relationships/hyperlink" Target="http://prudential.com" TargetMode="External"/><Relationship Id="rId1215" Type="http://schemas.openxmlformats.org/officeDocument/2006/relationships/hyperlink" Target="http://lumen.com" TargetMode="External"/><Relationship Id="rId1699" Type="http://schemas.openxmlformats.org/officeDocument/2006/relationships/hyperlink" Target="http://observepoint.com" TargetMode="External"/><Relationship Id="rId1216" Type="http://schemas.openxmlformats.org/officeDocument/2006/relationships/hyperlink" Target="http://observepoint.com" TargetMode="External"/><Relationship Id="rId1217" Type="http://schemas.openxmlformats.org/officeDocument/2006/relationships/hyperlink" Target="http://observepoint.com" TargetMode="External"/><Relationship Id="rId1218" Type="http://schemas.openxmlformats.org/officeDocument/2006/relationships/hyperlink" Target="http://lumen.com" TargetMode="External"/><Relationship Id="rId1219" Type="http://schemas.openxmlformats.org/officeDocument/2006/relationships/hyperlink" Target="http://lumen.com" TargetMode="External"/><Relationship Id="rId866" Type="http://schemas.openxmlformats.org/officeDocument/2006/relationships/hyperlink" Target="http://prudential.com" TargetMode="External"/><Relationship Id="rId865" Type="http://schemas.openxmlformats.org/officeDocument/2006/relationships/hyperlink" Target="http://observepoint.com" TargetMode="External"/><Relationship Id="rId864" Type="http://schemas.openxmlformats.org/officeDocument/2006/relationships/hyperlink" Target="http://observepoint.com" TargetMode="External"/><Relationship Id="rId863" Type="http://schemas.openxmlformats.org/officeDocument/2006/relationships/hyperlink" Target="http://observepoint.com" TargetMode="External"/><Relationship Id="rId869" Type="http://schemas.openxmlformats.org/officeDocument/2006/relationships/hyperlink" Target="http://prudential.com" TargetMode="External"/><Relationship Id="rId868" Type="http://schemas.openxmlformats.org/officeDocument/2006/relationships/hyperlink" Target="http://chilipiper.com" TargetMode="External"/><Relationship Id="rId867" Type="http://schemas.openxmlformats.org/officeDocument/2006/relationships/hyperlink" Target="http://observepoint.com" TargetMode="External"/><Relationship Id="rId1690" Type="http://schemas.openxmlformats.org/officeDocument/2006/relationships/hyperlink" Target="http://observepoint.com" TargetMode="External"/><Relationship Id="rId1691" Type="http://schemas.openxmlformats.org/officeDocument/2006/relationships/hyperlink" Target="http://amica.com" TargetMode="External"/><Relationship Id="rId1692" Type="http://schemas.openxmlformats.org/officeDocument/2006/relationships/hyperlink" Target="http://devry.edu" TargetMode="External"/><Relationship Id="rId862" Type="http://schemas.openxmlformats.org/officeDocument/2006/relationships/hyperlink" Target="http://prudential.com" TargetMode="External"/><Relationship Id="rId1693" Type="http://schemas.openxmlformats.org/officeDocument/2006/relationships/hyperlink" Target="http://observepoint.com" TargetMode="External"/><Relationship Id="rId861" Type="http://schemas.openxmlformats.org/officeDocument/2006/relationships/hyperlink" Target="http://observepoint.com" TargetMode="External"/><Relationship Id="rId1210" Type="http://schemas.openxmlformats.org/officeDocument/2006/relationships/hyperlink" Target="http://observepoint.com" TargetMode="External"/><Relationship Id="rId1694" Type="http://schemas.openxmlformats.org/officeDocument/2006/relationships/hyperlink" Target="http://observepoint.com" TargetMode="External"/><Relationship Id="rId860" Type="http://schemas.openxmlformats.org/officeDocument/2006/relationships/hyperlink" Target="http://observepoint.com" TargetMode="External"/><Relationship Id="rId1211" Type="http://schemas.openxmlformats.org/officeDocument/2006/relationships/hyperlink" Target="http://amica.com" TargetMode="External"/><Relationship Id="rId1695" Type="http://schemas.openxmlformats.org/officeDocument/2006/relationships/hyperlink" Target="http://devry.edu" TargetMode="External"/><Relationship Id="rId1212" Type="http://schemas.openxmlformats.org/officeDocument/2006/relationships/hyperlink" Target="http://observepoint.com" TargetMode="External"/><Relationship Id="rId1696" Type="http://schemas.openxmlformats.org/officeDocument/2006/relationships/hyperlink" Target="http://observepoint.com" TargetMode="External"/><Relationship Id="rId1202" Type="http://schemas.openxmlformats.org/officeDocument/2006/relationships/hyperlink" Target="http://pmi.org" TargetMode="External"/><Relationship Id="rId1686" Type="http://schemas.openxmlformats.org/officeDocument/2006/relationships/hyperlink" Target="http://observepoint.com" TargetMode="External"/><Relationship Id="rId1203" Type="http://schemas.openxmlformats.org/officeDocument/2006/relationships/hyperlink" Target="http://agilent.com" TargetMode="External"/><Relationship Id="rId1687" Type="http://schemas.openxmlformats.org/officeDocument/2006/relationships/hyperlink" Target="http://bsci.com" TargetMode="External"/><Relationship Id="rId1204" Type="http://schemas.openxmlformats.org/officeDocument/2006/relationships/hyperlink" Target="http://observepoint.com" TargetMode="External"/><Relationship Id="rId1688" Type="http://schemas.openxmlformats.org/officeDocument/2006/relationships/hyperlink" Target="http://amica.com" TargetMode="External"/><Relationship Id="rId1205" Type="http://schemas.openxmlformats.org/officeDocument/2006/relationships/hyperlink" Target="http://torrid.com" TargetMode="External"/><Relationship Id="rId1689" Type="http://schemas.openxmlformats.org/officeDocument/2006/relationships/hyperlink" Target="http://observepoint.com" TargetMode="External"/><Relationship Id="rId1206" Type="http://schemas.openxmlformats.org/officeDocument/2006/relationships/hyperlink" Target="http://observepoint.com" TargetMode="External"/><Relationship Id="rId1207" Type="http://schemas.openxmlformats.org/officeDocument/2006/relationships/hyperlink" Target="http://torrid.com" TargetMode="External"/><Relationship Id="rId1208" Type="http://schemas.openxmlformats.org/officeDocument/2006/relationships/hyperlink" Target="http://observepoint.com" TargetMode="External"/><Relationship Id="rId1209" Type="http://schemas.openxmlformats.org/officeDocument/2006/relationships/hyperlink" Target="http://agilent.com" TargetMode="External"/><Relationship Id="rId855" Type="http://schemas.openxmlformats.org/officeDocument/2006/relationships/hyperlink" Target="http://prudential.com" TargetMode="External"/><Relationship Id="rId854" Type="http://schemas.openxmlformats.org/officeDocument/2006/relationships/hyperlink" Target="http://prudential.com" TargetMode="External"/><Relationship Id="rId853" Type="http://schemas.openxmlformats.org/officeDocument/2006/relationships/hyperlink" Target="http://prudential.com" TargetMode="External"/><Relationship Id="rId852" Type="http://schemas.openxmlformats.org/officeDocument/2006/relationships/hyperlink" Target="http://observepoint.com" TargetMode="External"/><Relationship Id="rId859" Type="http://schemas.openxmlformats.org/officeDocument/2006/relationships/hyperlink" Target="http://prudential.com" TargetMode="External"/><Relationship Id="rId858" Type="http://schemas.openxmlformats.org/officeDocument/2006/relationships/hyperlink" Target="http://prudential.com" TargetMode="External"/><Relationship Id="rId857" Type="http://schemas.openxmlformats.org/officeDocument/2006/relationships/hyperlink" Target="http://observepoint.com" TargetMode="External"/><Relationship Id="rId856" Type="http://schemas.openxmlformats.org/officeDocument/2006/relationships/hyperlink" Target="http://prudential.com" TargetMode="External"/><Relationship Id="rId1680" Type="http://schemas.openxmlformats.org/officeDocument/2006/relationships/hyperlink" Target="http://observepoint.com" TargetMode="External"/><Relationship Id="rId1681" Type="http://schemas.openxmlformats.org/officeDocument/2006/relationships/hyperlink" Target="http://observepoint.com" TargetMode="External"/><Relationship Id="rId851" Type="http://schemas.openxmlformats.org/officeDocument/2006/relationships/hyperlink" Target="http://observepoint.com" TargetMode="External"/><Relationship Id="rId1682" Type="http://schemas.openxmlformats.org/officeDocument/2006/relationships/hyperlink" Target="http://observepoint.com" TargetMode="External"/><Relationship Id="rId850" Type="http://schemas.openxmlformats.org/officeDocument/2006/relationships/hyperlink" Target="http://prudential.com" TargetMode="External"/><Relationship Id="rId1683" Type="http://schemas.openxmlformats.org/officeDocument/2006/relationships/hyperlink" Target="http://observepoint.com" TargetMode="External"/><Relationship Id="rId1200" Type="http://schemas.openxmlformats.org/officeDocument/2006/relationships/hyperlink" Target="http://observepoint.com" TargetMode="External"/><Relationship Id="rId1684" Type="http://schemas.openxmlformats.org/officeDocument/2006/relationships/hyperlink" Target="http://bsci.com" TargetMode="External"/><Relationship Id="rId1201" Type="http://schemas.openxmlformats.org/officeDocument/2006/relationships/hyperlink" Target="http://observepoint.com" TargetMode="External"/><Relationship Id="rId1685" Type="http://schemas.openxmlformats.org/officeDocument/2006/relationships/hyperlink" Target="http://observepoint.com" TargetMode="External"/><Relationship Id="rId1235" Type="http://schemas.openxmlformats.org/officeDocument/2006/relationships/hyperlink" Target="http://observepoint.com" TargetMode="External"/><Relationship Id="rId1236" Type="http://schemas.openxmlformats.org/officeDocument/2006/relationships/hyperlink" Target="http://spark.co.nz" TargetMode="External"/><Relationship Id="rId1237" Type="http://schemas.openxmlformats.org/officeDocument/2006/relationships/hyperlink" Target="http://observepoint.com" TargetMode="External"/><Relationship Id="rId1238" Type="http://schemas.openxmlformats.org/officeDocument/2006/relationships/hyperlink" Target="http://cdw.com" TargetMode="External"/><Relationship Id="rId1239" Type="http://schemas.openxmlformats.org/officeDocument/2006/relationships/hyperlink" Target="http://observepoint.com" TargetMode="External"/><Relationship Id="rId409" Type="http://schemas.openxmlformats.org/officeDocument/2006/relationships/hyperlink" Target="http://lumen.com" TargetMode="External"/><Relationship Id="rId404" Type="http://schemas.openxmlformats.org/officeDocument/2006/relationships/hyperlink" Target="http://observepoint.com" TargetMode="External"/><Relationship Id="rId888" Type="http://schemas.openxmlformats.org/officeDocument/2006/relationships/hyperlink" Target="http://observepoint.com" TargetMode="External"/><Relationship Id="rId403" Type="http://schemas.openxmlformats.org/officeDocument/2006/relationships/hyperlink" Target="http://lumen.com" TargetMode="External"/><Relationship Id="rId887" Type="http://schemas.openxmlformats.org/officeDocument/2006/relationships/hyperlink" Target="http://prudential.com" TargetMode="External"/><Relationship Id="rId402" Type="http://schemas.openxmlformats.org/officeDocument/2006/relationships/hyperlink" Target="http://observepoint.com" TargetMode="External"/><Relationship Id="rId886" Type="http://schemas.openxmlformats.org/officeDocument/2006/relationships/hyperlink" Target="http://observepoint.com" TargetMode="External"/><Relationship Id="rId401" Type="http://schemas.openxmlformats.org/officeDocument/2006/relationships/hyperlink" Target="http://lumen.com" TargetMode="External"/><Relationship Id="rId885" Type="http://schemas.openxmlformats.org/officeDocument/2006/relationships/hyperlink" Target="http://observepoint.com" TargetMode="External"/><Relationship Id="rId408" Type="http://schemas.openxmlformats.org/officeDocument/2006/relationships/hyperlink" Target="http://observepoint.com" TargetMode="External"/><Relationship Id="rId407" Type="http://schemas.openxmlformats.org/officeDocument/2006/relationships/hyperlink" Target="http://observepoint.com" TargetMode="External"/><Relationship Id="rId406" Type="http://schemas.openxmlformats.org/officeDocument/2006/relationships/hyperlink" Target="http://observepoint.com" TargetMode="External"/><Relationship Id="rId405" Type="http://schemas.openxmlformats.org/officeDocument/2006/relationships/hyperlink" Target="http://lumen.com" TargetMode="External"/><Relationship Id="rId889" Type="http://schemas.openxmlformats.org/officeDocument/2006/relationships/hyperlink" Target="http://prudential.com" TargetMode="External"/><Relationship Id="rId880" Type="http://schemas.openxmlformats.org/officeDocument/2006/relationships/hyperlink" Target="http://observepoint.com" TargetMode="External"/><Relationship Id="rId1230" Type="http://schemas.openxmlformats.org/officeDocument/2006/relationships/hyperlink" Target="http://spark.co.nz" TargetMode="External"/><Relationship Id="rId400" Type="http://schemas.openxmlformats.org/officeDocument/2006/relationships/hyperlink" Target="http://observepoint.com" TargetMode="External"/><Relationship Id="rId884" Type="http://schemas.openxmlformats.org/officeDocument/2006/relationships/hyperlink" Target="http://prudential.com" TargetMode="External"/><Relationship Id="rId1231" Type="http://schemas.openxmlformats.org/officeDocument/2006/relationships/hyperlink" Target="http://observepoint.com" TargetMode="External"/><Relationship Id="rId883" Type="http://schemas.openxmlformats.org/officeDocument/2006/relationships/hyperlink" Target="http://observepoint.com" TargetMode="External"/><Relationship Id="rId1232" Type="http://schemas.openxmlformats.org/officeDocument/2006/relationships/hyperlink" Target="http://spark.co.nz" TargetMode="External"/><Relationship Id="rId882" Type="http://schemas.openxmlformats.org/officeDocument/2006/relationships/hyperlink" Target="http://prudential.com" TargetMode="External"/><Relationship Id="rId1233" Type="http://schemas.openxmlformats.org/officeDocument/2006/relationships/hyperlink" Target="http://observepoint.com" TargetMode="External"/><Relationship Id="rId881" Type="http://schemas.openxmlformats.org/officeDocument/2006/relationships/hyperlink" Target="http://observepoint.com" TargetMode="External"/><Relationship Id="rId1234" Type="http://schemas.openxmlformats.org/officeDocument/2006/relationships/hyperlink" Target="http://spark.co.nz" TargetMode="External"/><Relationship Id="rId1224" Type="http://schemas.openxmlformats.org/officeDocument/2006/relationships/hyperlink" Target="http://observepoint.com" TargetMode="External"/><Relationship Id="rId1225" Type="http://schemas.openxmlformats.org/officeDocument/2006/relationships/hyperlink" Target="http://cdw.com" TargetMode="External"/><Relationship Id="rId1226" Type="http://schemas.openxmlformats.org/officeDocument/2006/relationships/hyperlink" Target="http://observepoint.com" TargetMode="External"/><Relationship Id="rId1227" Type="http://schemas.openxmlformats.org/officeDocument/2006/relationships/hyperlink" Target="http://cdw.com" TargetMode="External"/><Relationship Id="rId1228" Type="http://schemas.openxmlformats.org/officeDocument/2006/relationships/hyperlink" Target="http://spark.co.nz" TargetMode="External"/><Relationship Id="rId1229" Type="http://schemas.openxmlformats.org/officeDocument/2006/relationships/hyperlink" Target="http://observepoint.com" TargetMode="External"/><Relationship Id="rId877" Type="http://schemas.openxmlformats.org/officeDocument/2006/relationships/hyperlink" Target="http://observepoint.com" TargetMode="External"/><Relationship Id="rId876" Type="http://schemas.openxmlformats.org/officeDocument/2006/relationships/hyperlink" Target="http://prudential.com" TargetMode="External"/><Relationship Id="rId875" Type="http://schemas.openxmlformats.org/officeDocument/2006/relationships/hyperlink" Target="http://observepoint.com" TargetMode="External"/><Relationship Id="rId874" Type="http://schemas.openxmlformats.org/officeDocument/2006/relationships/hyperlink" Target="http://prudential.com" TargetMode="External"/><Relationship Id="rId879" Type="http://schemas.openxmlformats.org/officeDocument/2006/relationships/hyperlink" Target="http://prudential.com" TargetMode="External"/><Relationship Id="rId878" Type="http://schemas.openxmlformats.org/officeDocument/2006/relationships/hyperlink" Target="http://observepoint.com" TargetMode="External"/><Relationship Id="rId873" Type="http://schemas.openxmlformats.org/officeDocument/2006/relationships/hyperlink" Target="http://observepoint.com" TargetMode="External"/><Relationship Id="rId1220" Type="http://schemas.openxmlformats.org/officeDocument/2006/relationships/hyperlink" Target="http://observepoint.com" TargetMode="External"/><Relationship Id="rId872" Type="http://schemas.openxmlformats.org/officeDocument/2006/relationships/hyperlink" Target="http://observepoint.com" TargetMode="External"/><Relationship Id="rId1221" Type="http://schemas.openxmlformats.org/officeDocument/2006/relationships/hyperlink" Target="http://worldmarket.com" TargetMode="External"/><Relationship Id="rId871" Type="http://schemas.openxmlformats.org/officeDocument/2006/relationships/hyperlink" Target="http://prudential.com" TargetMode="External"/><Relationship Id="rId1222" Type="http://schemas.openxmlformats.org/officeDocument/2006/relationships/hyperlink" Target="http://observepoint.com" TargetMode="External"/><Relationship Id="rId870" Type="http://schemas.openxmlformats.org/officeDocument/2006/relationships/hyperlink" Target="http://observepoint.com" TargetMode="External"/><Relationship Id="rId1223" Type="http://schemas.openxmlformats.org/officeDocument/2006/relationships/hyperlink" Target="http://observepoint.com" TargetMode="External"/><Relationship Id="rId1653" Type="http://schemas.openxmlformats.org/officeDocument/2006/relationships/hyperlink" Target="http://observepoint.com" TargetMode="External"/><Relationship Id="rId1654" Type="http://schemas.openxmlformats.org/officeDocument/2006/relationships/hyperlink" Target="http://accenture.com" TargetMode="External"/><Relationship Id="rId1655" Type="http://schemas.openxmlformats.org/officeDocument/2006/relationships/hyperlink" Target="http://observepoint.com" TargetMode="External"/><Relationship Id="rId1656" Type="http://schemas.openxmlformats.org/officeDocument/2006/relationships/hyperlink" Target="http://amica.com" TargetMode="External"/><Relationship Id="rId1657" Type="http://schemas.openxmlformats.org/officeDocument/2006/relationships/hyperlink" Target="http://observepoint.com" TargetMode="External"/><Relationship Id="rId1658" Type="http://schemas.openxmlformats.org/officeDocument/2006/relationships/hyperlink" Target="http://accenture.com" TargetMode="External"/><Relationship Id="rId1659" Type="http://schemas.openxmlformats.org/officeDocument/2006/relationships/hyperlink" Target="http://questrade.com" TargetMode="External"/><Relationship Id="rId829" Type="http://schemas.openxmlformats.org/officeDocument/2006/relationships/hyperlink" Target="http://observepoint.com" TargetMode="External"/><Relationship Id="rId828" Type="http://schemas.openxmlformats.org/officeDocument/2006/relationships/hyperlink" Target="http://prudential.com" TargetMode="External"/><Relationship Id="rId827" Type="http://schemas.openxmlformats.org/officeDocument/2006/relationships/hyperlink" Target="http://observepoint.com" TargetMode="External"/><Relationship Id="rId822" Type="http://schemas.openxmlformats.org/officeDocument/2006/relationships/hyperlink" Target="http://prudential.com" TargetMode="External"/><Relationship Id="rId821" Type="http://schemas.openxmlformats.org/officeDocument/2006/relationships/hyperlink" Target="http://observepoint.com" TargetMode="External"/><Relationship Id="rId820" Type="http://schemas.openxmlformats.org/officeDocument/2006/relationships/hyperlink" Target="http://observepoint.com" TargetMode="External"/><Relationship Id="rId826" Type="http://schemas.openxmlformats.org/officeDocument/2006/relationships/hyperlink" Target="http://prudential.com" TargetMode="External"/><Relationship Id="rId825" Type="http://schemas.openxmlformats.org/officeDocument/2006/relationships/hyperlink" Target="http://prudential.com" TargetMode="External"/><Relationship Id="rId824" Type="http://schemas.openxmlformats.org/officeDocument/2006/relationships/hyperlink" Target="http://observepoint.com" TargetMode="External"/><Relationship Id="rId823" Type="http://schemas.openxmlformats.org/officeDocument/2006/relationships/hyperlink" Target="http://prudential.com" TargetMode="External"/><Relationship Id="rId1650" Type="http://schemas.openxmlformats.org/officeDocument/2006/relationships/hyperlink" Target="http://brunswick.com" TargetMode="External"/><Relationship Id="rId1651" Type="http://schemas.openxmlformats.org/officeDocument/2006/relationships/hyperlink" Target="http://amica.com" TargetMode="External"/><Relationship Id="rId1652" Type="http://schemas.openxmlformats.org/officeDocument/2006/relationships/hyperlink" Target="http://observepoint.com" TargetMode="External"/><Relationship Id="rId1642" Type="http://schemas.openxmlformats.org/officeDocument/2006/relationships/hyperlink" Target="http://westjet.com" TargetMode="External"/><Relationship Id="rId1643" Type="http://schemas.openxmlformats.org/officeDocument/2006/relationships/hyperlink" Target="http://devry.edu" TargetMode="External"/><Relationship Id="rId1644" Type="http://schemas.openxmlformats.org/officeDocument/2006/relationships/hyperlink" Target="http://observepoint.com" TargetMode="External"/><Relationship Id="rId1645" Type="http://schemas.openxmlformats.org/officeDocument/2006/relationships/hyperlink" Target="http://observepoint.com" TargetMode="External"/><Relationship Id="rId1646" Type="http://schemas.openxmlformats.org/officeDocument/2006/relationships/hyperlink" Target="http://accenture.com" TargetMode="External"/><Relationship Id="rId1647" Type="http://schemas.openxmlformats.org/officeDocument/2006/relationships/hyperlink" Target="http://observepoint.com" TargetMode="External"/><Relationship Id="rId1648" Type="http://schemas.openxmlformats.org/officeDocument/2006/relationships/hyperlink" Target="http://brunswick.com" TargetMode="External"/><Relationship Id="rId1649" Type="http://schemas.openxmlformats.org/officeDocument/2006/relationships/hyperlink" Target="http://observepoint.com" TargetMode="External"/><Relationship Id="rId819" Type="http://schemas.openxmlformats.org/officeDocument/2006/relationships/hyperlink" Target="http://prudential.com" TargetMode="External"/><Relationship Id="rId818" Type="http://schemas.openxmlformats.org/officeDocument/2006/relationships/hyperlink" Target="http://observepoint.com" TargetMode="External"/><Relationship Id="rId817" Type="http://schemas.openxmlformats.org/officeDocument/2006/relationships/hyperlink" Target="http://prudential.com" TargetMode="External"/><Relationship Id="rId816" Type="http://schemas.openxmlformats.org/officeDocument/2006/relationships/hyperlink" Target="http://observepoint.com" TargetMode="External"/><Relationship Id="rId811" Type="http://schemas.openxmlformats.org/officeDocument/2006/relationships/hyperlink" Target="http://prudential.com" TargetMode="External"/><Relationship Id="rId810" Type="http://schemas.openxmlformats.org/officeDocument/2006/relationships/hyperlink" Target="http://observepoint.com" TargetMode="External"/><Relationship Id="rId815" Type="http://schemas.openxmlformats.org/officeDocument/2006/relationships/hyperlink" Target="http://observepoint.com" TargetMode="External"/><Relationship Id="rId814" Type="http://schemas.openxmlformats.org/officeDocument/2006/relationships/hyperlink" Target="http://observepoint.com" TargetMode="External"/><Relationship Id="rId813" Type="http://schemas.openxmlformats.org/officeDocument/2006/relationships/hyperlink" Target="http://prudential.com" TargetMode="External"/><Relationship Id="rId812" Type="http://schemas.openxmlformats.org/officeDocument/2006/relationships/hyperlink" Target="http://observepoint.com" TargetMode="External"/><Relationship Id="rId1640" Type="http://schemas.openxmlformats.org/officeDocument/2006/relationships/hyperlink" Target="http://westjet.com" TargetMode="External"/><Relationship Id="rId1641" Type="http://schemas.openxmlformats.org/officeDocument/2006/relationships/hyperlink" Target="http://observepoint.com" TargetMode="External"/><Relationship Id="rId1675" Type="http://schemas.openxmlformats.org/officeDocument/2006/relationships/hyperlink" Target="http://observepoint.com" TargetMode="External"/><Relationship Id="rId1676" Type="http://schemas.openxmlformats.org/officeDocument/2006/relationships/hyperlink" Target="http://observepoint.com" TargetMode="External"/><Relationship Id="rId1677" Type="http://schemas.openxmlformats.org/officeDocument/2006/relationships/hyperlink" Target="http://observepoint.com" TargetMode="External"/><Relationship Id="rId1678" Type="http://schemas.openxmlformats.org/officeDocument/2006/relationships/hyperlink" Target="http://accenture.com" TargetMode="External"/><Relationship Id="rId1679" Type="http://schemas.openxmlformats.org/officeDocument/2006/relationships/hyperlink" Target="http://observepoint.com" TargetMode="External"/><Relationship Id="rId849" Type="http://schemas.openxmlformats.org/officeDocument/2006/relationships/hyperlink" Target="http://observepoint.com" TargetMode="External"/><Relationship Id="rId844" Type="http://schemas.openxmlformats.org/officeDocument/2006/relationships/hyperlink" Target="http://questrade.com" TargetMode="External"/><Relationship Id="rId843" Type="http://schemas.openxmlformats.org/officeDocument/2006/relationships/hyperlink" Target="http://observepoint.com" TargetMode="External"/><Relationship Id="rId842" Type="http://schemas.openxmlformats.org/officeDocument/2006/relationships/hyperlink" Target="http://questrade.com" TargetMode="External"/><Relationship Id="rId841" Type="http://schemas.openxmlformats.org/officeDocument/2006/relationships/hyperlink" Target="http://observepoint.com" TargetMode="External"/><Relationship Id="rId848" Type="http://schemas.openxmlformats.org/officeDocument/2006/relationships/hyperlink" Target="http://prudential.com" TargetMode="External"/><Relationship Id="rId847" Type="http://schemas.openxmlformats.org/officeDocument/2006/relationships/hyperlink" Target="http://observepoint.com" TargetMode="External"/><Relationship Id="rId846" Type="http://schemas.openxmlformats.org/officeDocument/2006/relationships/hyperlink" Target="http://observepoint.com" TargetMode="External"/><Relationship Id="rId845" Type="http://schemas.openxmlformats.org/officeDocument/2006/relationships/hyperlink" Target="http://observepoint.com" TargetMode="External"/><Relationship Id="rId1670" Type="http://schemas.openxmlformats.org/officeDocument/2006/relationships/hyperlink" Target="http://observepoint.com" TargetMode="External"/><Relationship Id="rId840" Type="http://schemas.openxmlformats.org/officeDocument/2006/relationships/hyperlink" Target="http://prudential.com" TargetMode="External"/><Relationship Id="rId1671" Type="http://schemas.openxmlformats.org/officeDocument/2006/relationships/hyperlink" Target="http://questrade.com" TargetMode="External"/><Relationship Id="rId1672" Type="http://schemas.openxmlformats.org/officeDocument/2006/relationships/hyperlink" Target="http://observepoint.com" TargetMode="External"/><Relationship Id="rId1673" Type="http://schemas.openxmlformats.org/officeDocument/2006/relationships/hyperlink" Target="http://observepoint.com" TargetMode="External"/><Relationship Id="rId1674" Type="http://schemas.openxmlformats.org/officeDocument/2006/relationships/hyperlink" Target="http://questrade.com" TargetMode="External"/><Relationship Id="rId1664" Type="http://schemas.openxmlformats.org/officeDocument/2006/relationships/hyperlink" Target="http://observepoint.com" TargetMode="External"/><Relationship Id="rId1665" Type="http://schemas.openxmlformats.org/officeDocument/2006/relationships/hyperlink" Target="http://observepoint.com" TargetMode="External"/><Relationship Id="rId1666" Type="http://schemas.openxmlformats.org/officeDocument/2006/relationships/hyperlink" Target="http://observepoint.com" TargetMode="External"/><Relationship Id="rId1667" Type="http://schemas.openxmlformats.org/officeDocument/2006/relationships/hyperlink" Target="http://observepoint.com" TargetMode="External"/><Relationship Id="rId1668" Type="http://schemas.openxmlformats.org/officeDocument/2006/relationships/hyperlink" Target="http://observepoint.com" TargetMode="External"/><Relationship Id="rId1669" Type="http://schemas.openxmlformats.org/officeDocument/2006/relationships/hyperlink" Target="http://observepoint.com" TargetMode="External"/><Relationship Id="rId839" Type="http://schemas.openxmlformats.org/officeDocument/2006/relationships/hyperlink" Target="http://prudential.com" TargetMode="External"/><Relationship Id="rId838" Type="http://schemas.openxmlformats.org/officeDocument/2006/relationships/hyperlink" Target="http://observepoint.com" TargetMode="External"/><Relationship Id="rId833" Type="http://schemas.openxmlformats.org/officeDocument/2006/relationships/hyperlink" Target="http://chilipiper.com" TargetMode="External"/><Relationship Id="rId832" Type="http://schemas.openxmlformats.org/officeDocument/2006/relationships/hyperlink" Target="http://observepoint.com" TargetMode="External"/><Relationship Id="rId831" Type="http://schemas.openxmlformats.org/officeDocument/2006/relationships/hyperlink" Target="http://prudential.com" TargetMode="External"/><Relationship Id="rId830" Type="http://schemas.openxmlformats.org/officeDocument/2006/relationships/hyperlink" Target="http://observepoint.com" TargetMode="External"/><Relationship Id="rId837" Type="http://schemas.openxmlformats.org/officeDocument/2006/relationships/hyperlink" Target="http://observepoint.com" TargetMode="External"/><Relationship Id="rId836" Type="http://schemas.openxmlformats.org/officeDocument/2006/relationships/hyperlink" Target="http://observepoint.com" TargetMode="External"/><Relationship Id="rId835" Type="http://schemas.openxmlformats.org/officeDocument/2006/relationships/hyperlink" Target="http://observepoint.com" TargetMode="External"/><Relationship Id="rId834" Type="http://schemas.openxmlformats.org/officeDocument/2006/relationships/hyperlink" Target="http://prudential.com" TargetMode="External"/><Relationship Id="rId1660" Type="http://schemas.openxmlformats.org/officeDocument/2006/relationships/hyperlink" Target="http://observepoint.com" TargetMode="External"/><Relationship Id="rId1661" Type="http://schemas.openxmlformats.org/officeDocument/2006/relationships/hyperlink" Target="http://observepoint.com" TargetMode="External"/><Relationship Id="rId1662" Type="http://schemas.openxmlformats.org/officeDocument/2006/relationships/hyperlink" Target="http://observepoint.com" TargetMode="External"/><Relationship Id="rId1663" Type="http://schemas.openxmlformats.org/officeDocument/2006/relationships/hyperlink" Target="http://observepoint.com" TargetMode="External"/><Relationship Id="rId469" Type="http://schemas.openxmlformats.org/officeDocument/2006/relationships/hyperlink" Target="http://mongodb.com" TargetMode="External"/><Relationship Id="rId468" Type="http://schemas.openxmlformats.org/officeDocument/2006/relationships/hyperlink" Target="http://observepoint.com" TargetMode="External"/><Relationship Id="rId467" Type="http://schemas.openxmlformats.org/officeDocument/2006/relationships/hyperlink" Target="http://mongodb.com" TargetMode="External"/><Relationship Id="rId1290" Type="http://schemas.openxmlformats.org/officeDocument/2006/relationships/hyperlink" Target="http://observepoint.com" TargetMode="External"/><Relationship Id="rId1291" Type="http://schemas.openxmlformats.org/officeDocument/2006/relationships/hyperlink" Target="http://observepoint.com" TargetMode="External"/><Relationship Id="rId1292" Type="http://schemas.openxmlformats.org/officeDocument/2006/relationships/hyperlink" Target="http://observepoint.com" TargetMode="External"/><Relationship Id="rId462" Type="http://schemas.openxmlformats.org/officeDocument/2006/relationships/hyperlink" Target="http://officeworks.com.au" TargetMode="External"/><Relationship Id="rId1293" Type="http://schemas.openxmlformats.org/officeDocument/2006/relationships/hyperlink" Target="http://woolworths.com.au" TargetMode="External"/><Relationship Id="rId461" Type="http://schemas.openxmlformats.org/officeDocument/2006/relationships/hyperlink" Target="http://observepoint.com" TargetMode="External"/><Relationship Id="rId1294" Type="http://schemas.openxmlformats.org/officeDocument/2006/relationships/hyperlink" Target="http://observepoint.com" TargetMode="External"/><Relationship Id="rId460" Type="http://schemas.openxmlformats.org/officeDocument/2006/relationships/hyperlink" Target="http://observepoint.com" TargetMode="External"/><Relationship Id="rId1295" Type="http://schemas.openxmlformats.org/officeDocument/2006/relationships/hyperlink" Target="http://observepoint.com" TargetMode="External"/><Relationship Id="rId1296" Type="http://schemas.openxmlformats.org/officeDocument/2006/relationships/hyperlink" Target="http://woolworths.com.au" TargetMode="External"/><Relationship Id="rId466" Type="http://schemas.openxmlformats.org/officeDocument/2006/relationships/hyperlink" Target="http://observepoint.com" TargetMode="External"/><Relationship Id="rId1297" Type="http://schemas.openxmlformats.org/officeDocument/2006/relationships/hyperlink" Target="http://observepoint.com" TargetMode="External"/><Relationship Id="rId465" Type="http://schemas.openxmlformats.org/officeDocument/2006/relationships/hyperlink" Target="http://observepoint.com" TargetMode="External"/><Relationship Id="rId1298" Type="http://schemas.openxmlformats.org/officeDocument/2006/relationships/hyperlink" Target="http://observepoint.com" TargetMode="External"/><Relationship Id="rId464" Type="http://schemas.openxmlformats.org/officeDocument/2006/relationships/hyperlink" Target="http://officeworks.com.au" TargetMode="External"/><Relationship Id="rId1299" Type="http://schemas.openxmlformats.org/officeDocument/2006/relationships/hyperlink" Target="http://woolworths.com.au" TargetMode="External"/><Relationship Id="rId463" Type="http://schemas.openxmlformats.org/officeDocument/2006/relationships/hyperlink" Target="http://observepoint.com" TargetMode="External"/><Relationship Id="rId459" Type="http://schemas.openxmlformats.org/officeDocument/2006/relationships/hyperlink" Target="http://merz.com" TargetMode="External"/><Relationship Id="rId458" Type="http://schemas.openxmlformats.org/officeDocument/2006/relationships/hyperlink" Target="http://observepoint.com" TargetMode="External"/><Relationship Id="rId457" Type="http://schemas.openxmlformats.org/officeDocument/2006/relationships/hyperlink" Target="http://observepoint.com" TargetMode="External"/><Relationship Id="rId456" Type="http://schemas.openxmlformats.org/officeDocument/2006/relationships/hyperlink" Target="http://observepoint.com" TargetMode="External"/><Relationship Id="rId1280" Type="http://schemas.openxmlformats.org/officeDocument/2006/relationships/hyperlink" Target="http://woolworths.com.au" TargetMode="External"/><Relationship Id="rId1281" Type="http://schemas.openxmlformats.org/officeDocument/2006/relationships/hyperlink" Target="http://observepoint.com" TargetMode="External"/><Relationship Id="rId451" Type="http://schemas.openxmlformats.org/officeDocument/2006/relationships/hyperlink" Target="http://observepoint.com" TargetMode="External"/><Relationship Id="rId1282" Type="http://schemas.openxmlformats.org/officeDocument/2006/relationships/hyperlink" Target="http://observepoint.com" TargetMode="External"/><Relationship Id="rId450" Type="http://schemas.openxmlformats.org/officeDocument/2006/relationships/hyperlink" Target="http://merz.com" TargetMode="External"/><Relationship Id="rId1283" Type="http://schemas.openxmlformats.org/officeDocument/2006/relationships/hyperlink" Target="http://agilent.com" TargetMode="External"/><Relationship Id="rId1284" Type="http://schemas.openxmlformats.org/officeDocument/2006/relationships/hyperlink" Target="http://observepoint.com" TargetMode="External"/><Relationship Id="rId1285" Type="http://schemas.openxmlformats.org/officeDocument/2006/relationships/hyperlink" Target="http://observepoint.com" TargetMode="External"/><Relationship Id="rId455" Type="http://schemas.openxmlformats.org/officeDocument/2006/relationships/hyperlink" Target="http://merz.com" TargetMode="External"/><Relationship Id="rId1286" Type="http://schemas.openxmlformats.org/officeDocument/2006/relationships/hyperlink" Target="http://observepoint.com" TargetMode="External"/><Relationship Id="rId454" Type="http://schemas.openxmlformats.org/officeDocument/2006/relationships/hyperlink" Target="http://observepoint.com" TargetMode="External"/><Relationship Id="rId1287" Type="http://schemas.openxmlformats.org/officeDocument/2006/relationships/hyperlink" Target="http://observepoint.com" TargetMode="External"/><Relationship Id="rId453" Type="http://schemas.openxmlformats.org/officeDocument/2006/relationships/hyperlink" Target="http://merz.com" TargetMode="External"/><Relationship Id="rId1288" Type="http://schemas.openxmlformats.org/officeDocument/2006/relationships/hyperlink" Target="http://observepoint.com" TargetMode="External"/><Relationship Id="rId452" Type="http://schemas.openxmlformats.org/officeDocument/2006/relationships/hyperlink" Target="http://observepoint.com" TargetMode="External"/><Relationship Id="rId1289" Type="http://schemas.openxmlformats.org/officeDocument/2006/relationships/hyperlink" Target="http://woolworths.com.au" TargetMode="External"/><Relationship Id="rId491" Type="http://schemas.openxmlformats.org/officeDocument/2006/relationships/hyperlink" Target="http://mongodb.com" TargetMode="External"/><Relationship Id="rId490" Type="http://schemas.openxmlformats.org/officeDocument/2006/relationships/hyperlink" Target="http://observepoint.com" TargetMode="External"/><Relationship Id="rId489" Type="http://schemas.openxmlformats.org/officeDocument/2006/relationships/hyperlink" Target="http://mongodb.com" TargetMode="External"/><Relationship Id="rId484" Type="http://schemas.openxmlformats.org/officeDocument/2006/relationships/hyperlink" Target="http://mongodb.com" TargetMode="External"/><Relationship Id="rId483" Type="http://schemas.openxmlformats.org/officeDocument/2006/relationships/hyperlink" Target="http://observepoint.com" TargetMode="External"/><Relationship Id="rId482" Type="http://schemas.openxmlformats.org/officeDocument/2006/relationships/hyperlink" Target="http://observepoint.com" TargetMode="External"/><Relationship Id="rId481" Type="http://schemas.openxmlformats.org/officeDocument/2006/relationships/hyperlink" Target="http://mongodb.com" TargetMode="External"/><Relationship Id="rId488" Type="http://schemas.openxmlformats.org/officeDocument/2006/relationships/hyperlink" Target="http://mongodb.com" TargetMode="External"/><Relationship Id="rId487" Type="http://schemas.openxmlformats.org/officeDocument/2006/relationships/hyperlink" Target="http://observepoint.com" TargetMode="External"/><Relationship Id="rId486" Type="http://schemas.openxmlformats.org/officeDocument/2006/relationships/hyperlink" Target="http://observepoint.com" TargetMode="External"/><Relationship Id="rId485" Type="http://schemas.openxmlformats.org/officeDocument/2006/relationships/hyperlink" Target="http://mongodb.com" TargetMode="External"/><Relationship Id="rId480" Type="http://schemas.openxmlformats.org/officeDocument/2006/relationships/hyperlink" Target="http://mongodb.com" TargetMode="External"/><Relationship Id="rId479" Type="http://schemas.openxmlformats.org/officeDocument/2006/relationships/hyperlink" Target="http://observepoint.com" TargetMode="External"/><Relationship Id="rId478" Type="http://schemas.openxmlformats.org/officeDocument/2006/relationships/hyperlink" Target="http://mongodb.com" TargetMode="External"/><Relationship Id="rId473" Type="http://schemas.openxmlformats.org/officeDocument/2006/relationships/hyperlink" Target="http://observepoint.com" TargetMode="External"/><Relationship Id="rId472" Type="http://schemas.openxmlformats.org/officeDocument/2006/relationships/hyperlink" Target="http://observepoint.com" TargetMode="External"/><Relationship Id="rId471" Type="http://schemas.openxmlformats.org/officeDocument/2006/relationships/hyperlink" Target="http://mongodb.com" TargetMode="External"/><Relationship Id="rId470" Type="http://schemas.openxmlformats.org/officeDocument/2006/relationships/hyperlink" Target="http://observepoint.com" TargetMode="External"/><Relationship Id="rId477" Type="http://schemas.openxmlformats.org/officeDocument/2006/relationships/hyperlink" Target="http://mongodb.com" TargetMode="External"/><Relationship Id="rId476" Type="http://schemas.openxmlformats.org/officeDocument/2006/relationships/hyperlink" Target="http://observepoint.com" TargetMode="External"/><Relationship Id="rId475" Type="http://schemas.openxmlformats.org/officeDocument/2006/relationships/hyperlink" Target="http://observepoint.com" TargetMode="External"/><Relationship Id="rId474" Type="http://schemas.openxmlformats.org/officeDocument/2006/relationships/hyperlink" Target="http://mongodb.com" TargetMode="External"/><Relationship Id="rId1257" Type="http://schemas.openxmlformats.org/officeDocument/2006/relationships/hyperlink" Target="http://observepoint.com" TargetMode="External"/><Relationship Id="rId1258" Type="http://schemas.openxmlformats.org/officeDocument/2006/relationships/hyperlink" Target="http://prudential.com" TargetMode="External"/><Relationship Id="rId1259" Type="http://schemas.openxmlformats.org/officeDocument/2006/relationships/hyperlink" Target="http://cdw.com" TargetMode="External"/><Relationship Id="rId426" Type="http://schemas.openxmlformats.org/officeDocument/2006/relationships/hyperlink" Target="http://observepoint.com" TargetMode="External"/><Relationship Id="rId425" Type="http://schemas.openxmlformats.org/officeDocument/2006/relationships/hyperlink" Target="http://lumen.com" TargetMode="External"/><Relationship Id="rId424" Type="http://schemas.openxmlformats.org/officeDocument/2006/relationships/hyperlink" Target="http://observepoint.com" TargetMode="External"/><Relationship Id="rId423" Type="http://schemas.openxmlformats.org/officeDocument/2006/relationships/hyperlink" Target="http://lumen.com" TargetMode="External"/><Relationship Id="rId429" Type="http://schemas.openxmlformats.org/officeDocument/2006/relationships/hyperlink" Target="http://observepoint.com" TargetMode="External"/><Relationship Id="rId428" Type="http://schemas.openxmlformats.org/officeDocument/2006/relationships/hyperlink" Target="http://observepoint.com" TargetMode="External"/><Relationship Id="rId427" Type="http://schemas.openxmlformats.org/officeDocument/2006/relationships/hyperlink" Target="http://lumen.com" TargetMode="External"/><Relationship Id="rId1250" Type="http://schemas.openxmlformats.org/officeDocument/2006/relationships/hyperlink" Target="http://worldmarket.com" TargetMode="External"/><Relationship Id="rId1251" Type="http://schemas.openxmlformats.org/officeDocument/2006/relationships/hyperlink" Target="http://observepoint.com" TargetMode="External"/><Relationship Id="rId1252" Type="http://schemas.openxmlformats.org/officeDocument/2006/relationships/hyperlink" Target="http://observepoint.com" TargetMode="External"/><Relationship Id="rId422" Type="http://schemas.openxmlformats.org/officeDocument/2006/relationships/hyperlink" Target="http://mms.org" TargetMode="External"/><Relationship Id="rId1253" Type="http://schemas.openxmlformats.org/officeDocument/2006/relationships/hyperlink" Target="http://observepoint.com" TargetMode="External"/><Relationship Id="rId2100" Type="http://schemas.openxmlformats.org/officeDocument/2006/relationships/hyperlink" Target="http://observepoint.com" TargetMode="External"/><Relationship Id="rId421" Type="http://schemas.openxmlformats.org/officeDocument/2006/relationships/hyperlink" Target="http://observepoint.com" TargetMode="External"/><Relationship Id="rId1254" Type="http://schemas.openxmlformats.org/officeDocument/2006/relationships/hyperlink" Target="http://prudential.com" TargetMode="External"/><Relationship Id="rId2101" Type="http://schemas.openxmlformats.org/officeDocument/2006/relationships/drawing" Target="../drawings/drawing15.xml"/><Relationship Id="rId420" Type="http://schemas.openxmlformats.org/officeDocument/2006/relationships/hyperlink" Target="http://lumen.com" TargetMode="External"/><Relationship Id="rId1255" Type="http://schemas.openxmlformats.org/officeDocument/2006/relationships/hyperlink" Target="http://prudential.com" TargetMode="External"/><Relationship Id="rId1256" Type="http://schemas.openxmlformats.org/officeDocument/2006/relationships/hyperlink" Target="http://observepoint.com" TargetMode="External"/><Relationship Id="rId1246" Type="http://schemas.openxmlformats.org/officeDocument/2006/relationships/hyperlink" Target="http://observepoint.com" TargetMode="External"/><Relationship Id="rId1247" Type="http://schemas.openxmlformats.org/officeDocument/2006/relationships/hyperlink" Target="http://prudential.com" TargetMode="External"/><Relationship Id="rId1248" Type="http://schemas.openxmlformats.org/officeDocument/2006/relationships/hyperlink" Target="http://ros.com" TargetMode="External"/><Relationship Id="rId1249" Type="http://schemas.openxmlformats.org/officeDocument/2006/relationships/hyperlink" Target="http://observepoint.com" TargetMode="External"/><Relationship Id="rId415" Type="http://schemas.openxmlformats.org/officeDocument/2006/relationships/hyperlink" Target="http://observepoint.com" TargetMode="External"/><Relationship Id="rId899" Type="http://schemas.openxmlformats.org/officeDocument/2006/relationships/hyperlink" Target="http://prudential.com" TargetMode="External"/><Relationship Id="rId414" Type="http://schemas.openxmlformats.org/officeDocument/2006/relationships/hyperlink" Target="http://lumen.com" TargetMode="External"/><Relationship Id="rId898" Type="http://schemas.openxmlformats.org/officeDocument/2006/relationships/hyperlink" Target="http://observepoint.com" TargetMode="External"/><Relationship Id="rId413" Type="http://schemas.openxmlformats.org/officeDocument/2006/relationships/hyperlink" Target="http://observepoint.com" TargetMode="External"/><Relationship Id="rId897" Type="http://schemas.openxmlformats.org/officeDocument/2006/relationships/hyperlink" Target="http://observepoint.com" TargetMode="External"/><Relationship Id="rId412" Type="http://schemas.openxmlformats.org/officeDocument/2006/relationships/hyperlink" Target="http://observepoint.com" TargetMode="External"/><Relationship Id="rId896" Type="http://schemas.openxmlformats.org/officeDocument/2006/relationships/hyperlink" Target="http://observepoint.com" TargetMode="External"/><Relationship Id="rId419" Type="http://schemas.openxmlformats.org/officeDocument/2006/relationships/hyperlink" Target="http://observepoint.com" TargetMode="External"/><Relationship Id="rId418" Type="http://schemas.openxmlformats.org/officeDocument/2006/relationships/hyperlink" Target="http://lumen.com" TargetMode="External"/><Relationship Id="rId417" Type="http://schemas.openxmlformats.org/officeDocument/2006/relationships/hyperlink" Target="http://observepoint.com" TargetMode="External"/><Relationship Id="rId416" Type="http://schemas.openxmlformats.org/officeDocument/2006/relationships/hyperlink" Target="http://lumen.com" TargetMode="External"/><Relationship Id="rId891" Type="http://schemas.openxmlformats.org/officeDocument/2006/relationships/hyperlink" Target="http://observepoint.com" TargetMode="External"/><Relationship Id="rId890" Type="http://schemas.openxmlformats.org/officeDocument/2006/relationships/hyperlink" Target="http://observepoint.com" TargetMode="External"/><Relationship Id="rId1240" Type="http://schemas.openxmlformats.org/officeDocument/2006/relationships/hyperlink" Target="http://observepoint.com" TargetMode="External"/><Relationship Id="rId1241" Type="http://schemas.openxmlformats.org/officeDocument/2006/relationships/hyperlink" Target="http://worldmarket.com" TargetMode="External"/><Relationship Id="rId411" Type="http://schemas.openxmlformats.org/officeDocument/2006/relationships/hyperlink" Target="http://observepoint.com" TargetMode="External"/><Relationship Id="rId895" Type="http://schemas.openxmlformats.org/officeDocument/2006/relationships/hyperlink" Target="http://prudential.com" TargetMode="External"/><Relationship Id="rId1242" Type="http://schemas.openxmlformats.org/officeDocument/2006/relationships/hyperlink" Target="http://observepoint.com" TargetMode="External"/><Relationship Id="rId410" Type="http://schemas.openxmlformats.org/officeDocument/2006/relationships/hyperlink" Target="http://observepoint.com" TargetMode="External"/><Relationship Id="rId894" Type="http://schemas.openxmlformats.org/officeDocument/2006/relationships/hyperlink" Target="http://observepoint.com" TargetMode="External"/><Relationship Id="rId1243" Type="http://schemas.openxmlformats.org/officeDocument/2006/relationships/hyperlink" Target="http://observepoint.com" TargetMode="External"/><Relationship Id="rId893" Type="http://schemas.openxmlformats.org/officeDocument/2006/relationships/hyperlink" Target="http://prudential.com" TargetMode="External"/><Relationship Id="rId1244" Type="http://schemas.openxmlformats.org/officeDocument/2006/relationships/hyperlink" Target="http://worldmarket.com" TargetMode="External"/><Relationship Id="rId892" Type="http://schemas.openxmlformats.org/officeDocument/2006/relationships/hyperlink" Target="http://observepoint.com" TargetMode="External"/><Relationship Id="rId1245" Type="http://schemas.openxmlformats.org/officeDocument/2006/relationships/hyperlink" Target="http://observepoint.com" TargetMode="External"/><Relationship Id="rId1279" Type="http://schemas.openxmlformats.org/officeDocument/2006/relationships/hyperlink" Target="http://observepoint.com" TargetMode="External"/><Relationship Id="rId448" Type="http://schemas.openxmlformats.org/officeDocument/2006/relationships/hyperlink" Target="http://observepoint.com" TargetMode="External"/><Relationship Id="rId447" Type="http://schemas.openxmlformats.org/officeDocument/2006/relationships/hyperlink" Target="http://officeworks.com.au" TargetMode="External"/><Relationship Id="rId446" Type="http://schemas.openxmlformats.org/officeDocument/2006/relationships/hyperlink" Target="http://observepoint.com" TargetMode="External"/><Relationship Id="rId445" Type="http://schemas.openxmlformats.org/officeDocument/2006/relationships/hyperlink" Target="http://officeworks.com.au" TargetMode="External"/><Relationship Id="rId449" Type="http://schemas.openxmlformats.org/officeDocument/2006/relationships/hyperlink" Target="http://observepoint.com" TargetMode="External"/><Relationship Id="rId1270" Type="http://schemas.openxmlformats.org/officeDocument/2006/relationships/hyperlink" Target="http://worldmarket.com" TargetMode="External"/><Relationship Id="rId440" Type="http://schemas.openxmlformats.org/officeDocument/2006/relationships/hyperlink" Target="http://observepoint.com" TargetMode="External"/><Relationship Id="rId1271" Type="http://schemas.openxmlformats.org/officeDocument/2006/relationships/hyperlink" Target="http://observepoint.com" TargetMode="External"/><Relationship Id="rId1272" Type="http://schemas.openxmlformats.org/officeDocument/2006/relationships/hyperlink" Target="http://cdw.com" TargetMode="External"/><Relationship Id="rId1273" Type="http://schemas.openxmlformats.org/officeDocument/2006/relationships/hyperlink" Target="http://cdw.com" TargetMode="External"/><Relationship Id="rId1274" Type="http://schemas.openxmlformats.org/officeDocument/2006/relationships/hyperlink" Target="http://observepoint.com" TargetMode="External"/><Relationship Id="rId444" Type="http://schemas.openxmlformats.org/officeDocument/2006/relationships/hyperlink" Target="http://observepoint.com" TargetMode="External"/><Relationship Id="rId1275" Type="http://schemas.openxmlformats.org/officeDocument/2006/relationships/hyperlink" Target="http://worldmarket.com" TargetMode="External"/><Relationship Id="rId443" Type="http://schemas.openxmlformats.org/officeDocument/2006/relationships/hyperlink" Target="http://officeworks.com.au" TargetMode="External"/><Relationship Id="rId1276" Type="http://schemas.openxmlformats.org/officeDocument/2006/relationships/hyperlink" Target="http://observepoint.com" TargetMode="External"/><Relationship Id="rId442" Type="http://schemas.openxmlformats.org/officeDocument/2006/relationships/hyperlink" Target="http://observepoint.com" TargetMode="External"/><Relationship Id="rId1277" Type="http://schemas.openxmlformats.org/officeDocument/2006/relationships/hyperlink" Target="http://observepoint.com" TargetMode="External"/><Relationship Id="rId441" Type="http://schemas.openxmlformats.org/officeDocument/2006/relationships/hyperlink" Target="http://officeworks.com.au" TargetMode="External"/><Relationship Id="rId1278" Type="http://schemas.openxmlformats.org/officeDocument/2006/relationships/hyperlink" Target="http://ros.com" TargetMode="External"/><Relationship Id="rId1268" Type="http://schemas.openxmlformats.org/officeDocument/2006/relationships/hyperlink" Target="http://observepoint.com" TargetMode="External"/><Relationship Id="rId1269" Type="http://schemas.openxmlformats.org/officeDocument/2006/relationships/hyperlink" Target="http://observepoint.com" TargetMode="External"/><Relationship Id="rId437" Type="http://schemas.openxmlformats.org/officeDocument/2006/relationships/hyperlink" Target="http://observepoint.com" TargetMode="External"/><Relationship Id="rId436" Type="http://schemas.openxmlformats.org/officeDocument/2006/relationships/hyperlink" Target="http://observepoint.com" TargetMode="External"/><Relationship Id="rId435" Type="http://schemas.openxmlformats.org/officeDocument/2006/relationships/hyperlink" Target="http://lumen.com" TargetMode="External"/><Relationship Id="rId434" Type="http://schemas.openxmlformats.org/officeDocument/2006/relationships/hyperlink" Target="http://observepoint.com" TargetMode="External"/><Relationship Id="rId439" Type="http://schemas.openxmlformats.org/officeDocument/2006/relationships/hyperlink" Target="http://observepoint.com" TargetMode="External"/><Relationship Id="rId438" Type="http://schemas.openxmlformats.org/officeDocument/2006/relationships/hyperlink" Target="http://observepoint.com" TargetMode="External"/><Relationship Id="rId1260" Type="http://schemas.openxmlformats.org/officeDocument/2006/relationships/hyperlink" Target="http://cdw.com" TargetMode="External"/><Relationship Id="rId1261" Type="http://schemas.openxmlformats.org/officeDocument/2006/relationships/hyperlink" Target="http://observepoint.com" TargetMode="External"/><Relationship Id="rId1262" Type="http://schemas.openxmlformats.org/officeDocument/2006/relationships/hyperlink" Target="http://observepoint.com" TargetMode="External"/><Relationship Id="rId1263" Type="http://schemas.openxmlformats.org/officeDocument/2006/relationships/hyperlink" Target="http://woolworths.com.au" TargetMode="External"/><Relationship Id="rId433" Type="http://schemas.openxmlformats.org/officeDocument/2006/relationships/hyperlink" Target="http://observepoint.com" TargetMode="External"/><Relationship Id="rId1264" Type="http://schemas.openxmlformats.org/officeDocument/2006/relationships/hyperlink" Target="http://observepoint.com" TargetMode="External"/><Relationship Id="rId432" Type="http://schemas.openxmlformats.org/officeDocument/2006/relationships/hyperlink" Target="http://observepoint.com" TargetMode="External"/><Relationship Id="rId1265" Type="http://schemas.openxmlformats.org/officeDocument/2006/relationships/hyperlink" Target="http://observepoint.com" TargetMode="External"/><Relationship Id="rId431" Type="http://schemas.openxmlformats.org/officeDocument/2006/relationships/hyperlink" Target="http://observepoint.com" TargetMode="External"/><Relationship Id="rId1266" Type="http://schemas.openxmlformats.org/officeDocument/2006/relationships/hyperlink" Target="http://cdw.com" TargetMode="External"/><Relationship Id="rId430" Type="http://schemas.openxmlformats.org/officeDocument/2006/relationships/hyperlink" Target="http://lumen.com" TargetMode="External"/><Relationship Id="rId1267" Type="http://schemas.openxmlformats.org/officeDocument/2006/relationships/hyperlink" Target="http://spark.co.nz"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10.88"/>
    <col customWidth="1" min="3" max="3" width="7.63"/>
    <col customWidth="1" min="4" max="5" width="9.0"/>
    <col customWidth="1" min="6" max="6" width="7.38"/>
    <col customWidth="1" min="7" max="7" width="18.63"/>
    <col customWidth="1" min="8" max="8" width="12.38"/>
    <col customWidth="1" min="9" max="9" width="9.63"/>
    <col customWidth="1" min="10" max="10" width="13.25"/>
    <col customWidth="1" min="11" max="11" width="12.38"/>
    <col customWidth="1" min="12" max="12" width="7.13"/>
    <col customWidth="1" min="13" max="13" width="6.13"/>
    <col customWidth="1" min="14" max="14" width="3.38"/>
    <col customWidth="1" min="15" max="15" width="9.13"/>
    <col customWidth="1" min="16" max="16" width="11.38"/>
    <col customWidth="1" min="17" max="17" width="11.88"/>
    <col customWidth="1" min="18" max="18" width="3.0"/>
    <col customWidth="1" min="19" max="19" width="8.88"/>
    <col customWidth="1" min="20" max="20" width="12.88"/>
    <col customWidth="1" min="21" max="24" width="12.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c r="W1" s="3" t="s">
        <v>21</v>
      </c>
      <c r="X1" s="4">
        <v>46072.106723599536</v>
      </c>
    </row>
    <row r="2">
      <c r="A2" s="5" t="str">
        <f>HYPERLINK("https://observepoint.my.salesforce.com/006VH00000UMli9YAD", "2026 - REN - Merz Pharma")</f>
        <v>2026 - REN - Merz Pharma</v>
      </c>
      <c r="B2" s="6">
        <v>46081.0</v>
      </c>
      <c r="C2" s="7" t="s">
        <v>22</v>
      </c>
      <c r="D2" s="8">
        <v>7200.0</v>
      </c>
      <c r="E2" s="8">
        <v>7200.0</v>
      </c>
      <c r="F2" s="3" t="s">
        <v>23</v>
      </c>
      <c r="G2" s="3" t="s">
        <v>24</v>
      </c>
      <c r="H2" s="8">
        <v>7200.0</v>
      </c>
      <c r="I2" s="3">
        <v>0.0</v>
      </c>
      <c r="J2" s="9">
        <v>0.543333333333333</v>
      </c>
      <c r="K2" s="10"/>
      <c r="L2" s="3">
        <v>105.0</v>
      </c>
      <c r="M2" s="3">
        <v>211.0</v>
      </c>
      <c r="N2" s="3">
        <v>1.0</v>
      </c>
      <c r="O2" s="6">
        <v>46081.0</v>
      </c>
      <c r="P2" s="3">
        <v>0.0</v>
      </c>
      <c r="Q2" s="3" t="s">
        <v>25</v>
      </c>
      <c r="R2" s="3">
        <v>1.0</v>
      </c>
      <c r="S2" s="3" t="s">
        <v>26</v>
      </c>
      <c r="T2" s="3" t="s">
        <v>27</v>
      </c>
      <c r="U2" s="3" t="s">
        <v>28</v>
      </c>
      <c r="V2" s="2"/>
      <c r="W2" s="2"/>
      <c r="X2" s="2"/>
    </row>
    <row r="3">
      <c r="A3" s="5" t="str">
        <f>HYPERLINK("https://observepoint.my.salesforce.com/006VH00000T9aunYAB", "2026 - REN - Amica Mutual Insurance")</f>
        <v>2026 - REN - Amica Mutual Insurance</v>
      </c>
      <c r="B3" s="6">
        <v>46081.0</v>
      </c>
      <c r="C3" s="7" t="s">
        <v>22</v>
      </c>
      <c r="D3" s="8">
        <v>29000.0</v>
      </c>
      <c r="E3" s="8">
        <v>29000.0</v>
      </c>
      <c r="F3" s="3" t="s">
        <v>29</v>
      </c>
      <c r="G3" s="3" t="s">
        <v>30</v>
      </c>
      <c r="H3" s="8">
        <v>29000.0</v>
      </c>
      <c r="I3" s="3">
        <v>56.0</v>
      </c>
      <c r="J3" s="9">
        <v>0.140616666666666</v>
      </c>
      <c r="K3" s="9">
        <v>0.04</v>
      </c>
      <c r="L3" s="3">
        <v>91.0</v>
      </c>
      <c r="M3" s="3">
        <v>120.0</v>
      </c>
      <c r="N3" s="3">
        <v>1.0</v>
      </c>
      <c r="O3" s="6">
        <v>46081.0</v>
      </c>
      <c r="P3" s="3">
        <v>0.0</v>
      </c>
      <c r="Q3" s="3" t="s">
        <v>25</v>
      </c>
      <c r="R3" s="3">
        <v>1.0</v>
      </c>
      <c r="S3" s="3" t="s">
        <v>26</v>
      </c>
      <c r="T3" s="3" t="s">
        <v>31</v>
      </c>
      <c r="U3" s="3" t="s">
        <v>32</v>
      </c>
      <c r="V3" s="2"/>
      <c r="W3" s="2"/>
      <c r="X3" s="2"/>
    </row>
    <row r="4">
      <c r="A4" s="5" t="str">
        <f>HYPERLINK("https://observepoint.my.salesforce.com/006VH00000TpppOYAR", "2026 - REN - Bluebeam Inc.")</f>
        <v>2026 - REN - Bluebeam Inc.</v>
      </c>
      <c r="B4" s="6">
        <v>46081.0</v>
      </c>
      <c r="C4" s="3" t="s">
        <v>33</v>
      </c>
      <c r="D4" s="8">
        <v>33000.0</v>
      </c>
      <c r="E4" s="8">
        <v>0.0</v>
      </c>
      <c r="F4" s="3" t="s">
        <v>29</v>
      </c>
      <c r="G4" s="3" t="s">
        <v>34</v>
      </c>
      <c r="H4" s="8">
        <v>0.0</v>
      </c>
      <c r="I4" s="3">
        <v>0.0</v>
      </c>
      <c r="J4" s="9">
        <v>0.53352</v>
      </c>
      <c r="K4" s="10"/>
      <c r="L4" s="3">
        <v>99.0</v>
      </c>
      <c r="M4" s="3">
        <v>257.0</v>
      </c>
      <c r="N4" s="3">
        <v>1.0</v>
      </c>
      <c r="O4" s="6">
        <v>46081.0</v>
      </c>
      <c r="P4" s="3">
        <v>0.0</v>
      </c>
      <c r="Q4" s="3" t="s">
        <v>35</v>
      </c>
      <c r="R4" s="3">
        <v>1.0</v>
      </c>
      <c r="S4" s="3" t="s">
        <v>26</v>
      </c>
      <c r="T4" s="3" t="s">
        <v>27</v>
      </c>
      <c r="U4" s="3" t="s">
        <v>28</v>
      </c>
      <c r="V4" s="2"/>
      <c r="W4" s="2"/>
      <c r="X4" s="2"/>
    </row>
    <row r="5">
      <c r="A5" s="5" t="str">
        <f>HYPERLINK("https://observepoint.my.salesforce.com/006VH00000TnDZhYAN", "2026 - REN - Cost Plus World Market")</f>
        <v>2026 - REN - Cost Plus World Market</v>
      </c>
      <c r="B5" s="6">
        <v>46082.0</v>
      </c>
      <c r="C5" s="7" t="s">
        <v>22</v>
      </c>
      <c r="D5" s="8">
        <v>30000.0</v>
      </c>
      <c r="E5" s="8">
        <v>30000.0</v>
      </c>
      <c r="F5" s="3" t="s">
        <v>29</v>
      </c>
      <c r="G5" s="3" t="s">
        <v>30</v>
      </c>
      <c r="H5" s="8">
        <v>30000.0</v>
      </c>
      <c r="I5" s="3">
        <v>32.0</v>
      </c>
      <c r="J5" s="9">
        <v>0.882546666666666</v>
      </c>
      <c r="K5" s="9">
        <v>0.484666666666666</v>
      </c>
      <c r="L5" s="3">
        <v>90.0</v>
      </c>
      <c r="M5" s="3">
        <v>142.0</v>
      </c>
      <c r="N5" s="3">
        <v>2.0</v>
      </c>
      <c r="O5" s="6">
        <v>46082.0</v>
      </c>
      <c r="P5" s="3">
        <v>0.0</v>
      </c>
      <c r="Q5" s="3" t="s">
        <v>25</v>
      </c>
      <c r="R5" s="3">
        <v>1.0</v>
      </c>
      <c r="S5" s="3" t="s">
        <v>26</v>
      </c>
      <c r="T5" s="3" t="s">
        <v>36</v>
      </c>
      <c r="U5" s="3" t="s">
        <v>37</v>
      </c>
      <c r="V5" s="2"/>
      <c r="W5" s="2"/>
      <c r="X5" s="2"/>
    </row>
    <row r="6">
      <c r="A6" s="5" t="str">
        <f>HYPERLINK("https://observepoint.my.salesforce.com/006VH00000TnENhYAN", "2026 - REN - Questrade")</f>
        <v>2026 - REN - Questrade</v>
      </c>
      <c r="B6" s="6">
        <v>46096.0</v>
      </c>
      <c r="C6" s="7" t="s">
        <v>22</v>
      </c>
      <c r="D6" s="8">
        <v>32500.0</v>
      </c>
      <c r="E6" s="8">
        <v>32500.0</v>
      </c>
      <c r="F6" s="3" t="s">
        <v>29</v>
      </c>
      <c r="G6" s="3" t="s">
        <v>30</v>
      </c>
      <c r="H6" s="8">
        <v>32500.0</v>
      </c>
      <c r="I6" s="3">
        <v>20.0</v>
      </c>
      <c r="J6" s="9">
        <v>0.121525063430021</v>
      </c>
      <c r="K6" s="9">
        <v>0.219333333333333</v>
      </c>
      <c r="L6" s="3">
        <v>85.0</v>
      </c>
      <c r="M6" s="3">
        <v>174.0</v>
      </c>
      <c r="N6" s="3">
        <v>2.0</v>
      </c>
      <c r="O6" s="6">
        <v>46096.0</v>
      </c>
      <c r="P6" s="3">
        <v>0.0</v>
      </c>
      <c r="Q6" s="3" t="s">
        <v>25</v>
      </c>
      <c r="R6" s="3">
        <v>1.0</v>
      </c>
      <c r="S6" s="3" t="s">
        <v>26</v>
      </c>
      <c r="T6" s="3" t="s">
        <v>38</v>
      </c>
      <c r="U6" s="3" t="s">
        <v>37</v>
      </c>
      <c r="V6" s="2"/>
      <c r="W6" s="2"/>
      <c r="X6" s="2"/>
    </row>
    <row r="7">
      <c r="A7" s="5" t="str">
        <f>HYPERLINK("https://observepoint.my.salesforce.com/006VH00000VufGLYAZ", "2026 - REN - Caleres")</f>
        <v>2026 - REN - Caleres</v>
      </c>
      <c r="B7" s="6">
        <v>46105.0</v>
      </c>
      <c r="C7" s="7" t="s">
        <v>22</v>
      </c>
      <c r="D7" s="8">
        <v>38000.0</v>
      </c>
      <c r="E7" s="8">
        <v>38000.0</v>
      </c>
      <c r="F7" s="3" t="s">
        <v>29</v>
      </c>
      <c r="G7" s="3" t="s">
        <v>39</v>
      </c>
      <c r="H7" s="8">
        <v>38000.0</v>
      </c>
      <c r="I7" s="3">
        <v>52.0</v>
      </c>
      <c r="J7" s="9">
        <v>0.68724</v>
      </c>
      <c r="K7" s="9">
        <v>0.310666666666666</v>
      </c>
      <c r="L7" s="3">
        <v>96.0</v>
      </c>
      <c r="M7" s="3">
        <v>124.0</v>
      </c>
      <c r="N7" s="3">
        <v>1.0</v>
      </c>
      <c r="O7" s="6">
        <v>46105.0</v>
      </c>
      <c r="P7" s="3">
        <v>0.0</v>
      </c>
      <c r="Q7" s="3" t="s">
        <v>25</v>
      </c>
      <c r="R7" s="3">
        <v>1.0</v>
      </c>
      <c r="S7" s="3" t="s">
        <v>26</v>
      </c>
      <c r="T7" s="3" t="s">
        <v>40</v>
      </c>
      <c r="U7" s="3" t="s">
        <v>37</v>
      </c>
      <c r="V7" s="2"/>
      <c r="W7" s="2"/>
      <c r="X7" s="2"/>
    </row>
    <row r="8">
      <c r="A8" s="5" t="str">
        <f>HYPERLINK("https://observepoint.my.salesforce.com/006VH00000WteYfYAJ", "2026 - REN - MongoDB Inc.")</f>
        <v>2026 - REN - MongoDB Inc.</v>
      </c>
      <c r="B8" s="6">
        <v>46112.0</v>
      </c>
      <c r="C8" s="7" t="s">
        <v>22</v>
      </c>
      <c r="D8" s="8">
        <v>14830.0</v>
      </c>
      <c r="E8" s="8">
        <v>14830.0</v>
      </c>
      <c r="F8" s="3" t="s">
        <v>29</v>
      </c>
      <c r="G8" s="3" t="s">
        <v>41</v>
      </c>
      <c r="H8" s="8">
        <v>14830.0</v>
      </c>
      <c r="I8" s="3">
        <v>76.0</v>
      </c>
      <c r="J8" s="9">
        <v>2.44447111537846</v>
      </c>
      <c r="K8" s="9">
        <v>0.824</v>
      </c>
      <c r="L8" s="3">
        <v>99.0</v>
      </c>
      <c r="M8" s="3">
        <v>121.0</v>
      </c>
      <c r="N8" s="3">
        <v>1.0</v>
      </c>
      <c r="O8" s="6">
        <v>46112.0</v>
      </c>
      <c r="P8" s="3">
        <v>0.0</v>
      </c>
      <c r="Q8" s="3" t="s">
        <v>25</v>
      </c>
      <c r="R8" s="3">
        <v>1.0</v>
      </c>
      <c r="S8" s="3" t="s">
        <v>26</v>
      </c>
      <c r="T8" s="3" t="s">
        <v>31</v>
      </c>
      <c r="U8" s="3" t="s">
        <v>37</v>
      </c>
      <c r="V8" s="2"/>
      <c r="W8" s="2"/>
      <c r="X8" s="2"/>
    </row>
    <row r="9">
      <c r="A9" s="5" t="str">
        <f>HYPERLINK("https://observepoint.my.salesforce.com/006VH00000WKt9EYAT", "2026 - REN - Ross Stores Inc.")</f>
        <v>2026 - REN - Ross Stores Inc.</v>
      </c>
      <c r="B9" s="6">
        <v>46112.0</v>
      </c>
      <c r="C9" s="7" t="s">
        <v>42</v>
      </c>
      <c r="D9" s="8">
        <v>6630.0</v>
      </c>
      <c r="E9" s="8">
        <v>6630.0</v>
      </c>
      <c r="F9" s="3" t="s">
        <v>29</v>
      </c>
      <c r="G9" s="3" t="s">
        <v>43</v>
      </c>
      <c r="H9" s="8">
        <v>6630.0</v>
      </c>
      <c r="I9" s="3">
        <v>36.0</v>
      </c>
      <c r="J9" s="9">
        <v>0.0564056405640564</v>
      </c>
      <c r="K9" s="9">
        <v>0.0</v>
      </c>
      <c r="L9" s="3">
        <v>85.0</v>
      </c>
      <c r="M9" s="3">
        <v>138.0</v>
      </c>
      <c r="N9" s="3">
        <v>1.0</v>
      </c>
      <c r="O9" s="6">
        <v>46112.0</v>
      </c>
      <c r="P9" s="3">
        <v>663.0</v>
      </c>
      <c r="Q9" s="3" t="s">
        <v>25</v>
      </c>
      <c r="R9" s="3">
        <v>1.0</v>
      </c>
      <c r="S9" s="3" t="s">
        <v>26</v>
      </c>
      <c r="T9" s="3" t="s">
        <v>36</v>
      </c>
      <c r="U9" s="2"/>
      <c r="V9" s="2"/>
      <c r="W9" s="2"/>
      <c r="X9" s="2"/>
    </row>
    <row r="10">
      <c r="A10" s="5" t="str">
        <f>HYPERLINK("https://observepoint.my.salesforce.com/006VH00000ApjTZYAZ", "2026 - REN - CVS Pharmacy")</f>
        <v>2026 - REN - CVS Pharmacy</v>
      </c>
      <c r="B10" s="6">
        <v>46126.0</v>
      </c>
      <c r="C10" s="7" t="s">
        <v>22</v>
      </c>
      <c r="D10" s="8">
        <v>35000.0</v>
      </c>
      <c r="E10" s="8">
        <v>35000.0</v>
      </c>
      <c r="F10" s="3" t="s">
        <v>29</v>
      </c>
      <c r="G10" s="3" t="s">
        <v>43</v>
      </c>
      <c r="H10" s="8">
        <v>35000.0</v>
      </c>
      <c r="I10" s="3">
        <v>24.0</v>
      </c>
      <c r="J10" s="9">
        <v>0.370693333333333</v>
      </c>
      <c r="K10" s="9">
        <v>0.14</v>
      </c>
      <c r="L10" s="3">
        <v>104.0</v>
      </c>
      <c r="M10" s="3">
        <v>132.0</v>
      </c>
      <c r="N10" s="3">
        <v>1.0</v>
      </c>
      <c r="O10" s="6">
        <v>46126.0</v>
      </c>
      <c r="P10" s="3">
        <v>0.0</v>
      </c>
      <c r="Q10" s="3" t="s">
        <v>25</v>
      </c>
      <c r="R10" s="3">
        <v>1.0</v>
      </c>
      <c r="S10" s="3" t="s">
        <v>26</v>
      </c>
      <c r="T10" s="3" t="s">
        <v>38</v>
      </c>
      <c r="U10" s="3" t="s">
        <v>37</v>
      </c>
      <c r="V10" s="2"/>
      <c r="W10" s="2"/>
      <c r="X10" s="2"/>
    </row>
    <row r="11">
      <c r="A11" s="5" t="str">
        <f>HYPERLINK("https://observepoint.my.salesforce.com/006VH00000WhZRVYA3", "2026 - REN - Medifast Inc.")</f>
        <v>2026 - REN - Medifast Inc.</v>
      </c>
      <c r="B11" s="6">
        <v>46126.0</v>
      </c>
      <c r="C11" s="7" t="s">
        <v>22</v>
      </c>
      <c r="D11" s="8">
        <v>18880.0</v>
      </c>
      <c r="E11" s="8">
        <v>18880.0</v>
      </c>
      <c r="F11" s="3" t="s">
        <v>29</v>
      </c>
      <c r="G11" s="3" t="s">
        <v>44</v>
      </c>
      <c r="H11" s="8">
        <v>18880.0</v>
      </c>
      <c r="I11" s="3">
        <v>44.0</v>
      </c>
      <c r="J11" s="9">
        <v>0.378215128605144</v>
      </c>
      <c r="K11" s="9">
        <v>0.0373333333333333</v>
      </c>
      <c r="L11" s="3">
        <v>153.0</v>
      </c>
      <c r="M11" s="3">
        <v>153.0</v>
      </c>
      <c r="N11" s="3">
        <v>1.0</v>
      </c>
      <c r="O11" s="6">
        <v>46126.0</v>
      </c>
      <c r="P11" s="3">
        <v>0.0</v>
      </c>
      <c r="Q11" s="3" t="s">
        <v>25</v>
      </c>
      <c r="R11" s="3">
        <v>1.0</v>
      </c>
      <c r="S11" s="3" t="s">
        <v>26</v>
      </c>
      <c r="T11" s="3" t="s">
        <v>31</v>
      </c>
      <c r="U11" s="2"/>
      <c r="V11" s="2"/>
      <c r="W11" s="2"/>
      <c r="X11" s="2"/>
    </row>
    <row r="12">
      <c r="A12" s="5" t="str">
        <f>HYPERLINK("https://observepoint.my.salesforce.com/006VH00000WwRTeYAN", "2026 - REN - Ziff Davis Inc.")</f>
        <v>2026 - REN - Ziff Davis Inc.</v>
      </c>
      <c r="B12" s="6">
        <v>46132.0</v>
      </c>
      <c r="C12" s="7" t="s">
        <v>45</v>
      </c>
      <c r="D12" s="8">
        <v>14823.04</v>
      </c>
      <c r="E12" s="8">
        <v>3705.76</v>
      </c>
      <c r="F12" s="3" t="s">
        <v>29</v>
      </c>
      <c r="G12" s="3" t="s">
        <v>44</v>
      </c>
      <c r="H12" s="8">
        <v>14823.04</v>
      </c>
      <c r="I12" s="3">
        <v>12.0</v>
      </c>
      <c r="J12" s="9">
        <v>0.0210297316896301</v>
      </c>
      <c r="K12" s="9">
        <v>0.0346666666666666</v>
      </c>
      <c r="L12" s="3">
        <v>85.0</v>
      </c>
      <c r="M12" s="3">
        <v>153.0</v>
      </c>
      <c r="N12" s="3">
        <v>1.0</v>
      </c>
      <c r="O12" s="6">
        <v>46132.0</v>
      </c>
      <c r="P12" s="3">
        <v>0.0</v>
      </c>
      <c r="Q12" s="3" t="s">
        <v>46</v>
      </c>
      <c r="R12" s="3">
        <v>1.0</v>
      </c>
      <c r="S12" s="3" t="s">
        <v>26</v>
      </c>
      <c r="T12" s="3" t="s">
        <v>31</v>
      </c>
      <c r="U12" s="2"/>
      <c r="V12" s="2"/>
      <c r="W12" s="2"/>
      <c r="X12" s="2"/>
    </row>
    <row r="13">
      <c r="A13" s="5" t="str">
        <f>HYPERLINK("https://observepoint.my.salesforce.com/006VH00000XQMBbYAP", "2026 - REN - Brunswick")</f>
        <v>2026 - REN - Brunswick</v>
      </c>
      <c r="B13" s="6">
        <v>46142.0</v>
      </c>
      <c r="C13" s="7" t="s">
        <v>45</v>
      </c>
      <c r="D13" s="8">
        <v>5000.0</v>
      </c>
      <c r="E13" s="8">
        <v>1250.0</v>
      </c>
      <c r="F13" s="3" t="s">
        <v>29</v>
      </c>
      <c r="G13" s="3" t="s">
        <v>44</v>
      </c>
      <c r="H13" s="8">
        <v>5000.0</v>
      </c>
      <c r="I13" s="3">
        <v>32.0</v>
      </c>
      <c r="J13" s="9">
        <v>0.0</v>
      </c>
      <c r="K13" s="9">
        <v>0.122</v>
      </c>
      <c r="L13" s="3">
        <v>161.0</v>
      </c>
      <c r="M13" s="3">
        <v>189.0</v>
      </c>
      <c r="N13" s="3">
        <v>1.0</v>
      </c>
      <c r="O13" s="6">
        <v>46142.0</v>
      </c>
      <c r="P13" s="3">
        <v>0.0</v>
      </c>
      <c r="Q13" s="3" t="s">
        <v>46</v>
      </c>
      <c r="R13" s="3">
        <v>1.0</v>
      </c>
      <c r="S13" s="3" t="s">
        <v>26</v>
      </c>
      <c r="T13" s="3" t="s">
        <v>40</v>
      </c>
      <c r="U13" s="3" t="s">
        <v>32</v>
      </c>
    </row>
    <row r="14">
      <c r="A14" s="5" t="str">
        <f>HYPERLINK("https://observepoint.my.salesforce.com/006VH00000YoIPZYA3", "2026 - REN - RDO Equipment")</f>
        <v>2026 - REN - RDO Equipment</v>
      </c>
      <c r="B14" s="6">
        <v>46177.0</v>
      </c>
      <c r="C14" s="7" t="s">
        <v>22</v>
      </c>
      <c r="D14" s="8">
        <v>8330.0</v>
      </c>
      <c r="E14" s="8">
        <v>8330.0</v>
      </c>
      <c r="F14" s="3" t="s">
        <v>29</v>
      </c>
      <c r="G14" s="3" t="s">
        <v>44</v>
      </c>
      <c r="H14" s="8">
        <v>8330.0</v>
      </c>
      <c r="I14" s="3">
        <v>56.0</v>
      </c>
      <c r="J14" s="9">
        <v>0.352216354616738</v>
      </c>
      <c r="K14" s="9">
        <v>0.0</v>
      </c>
      <c r="L14" s="3">
        <v>63.0</v>
      </c>
      <c r="M14" s="3">
        <v>63.0</v>
      </c>
      <c r="N14" s="3">
        <v>1.0</v>
      </c>
      <c r="O14" s="6">
        <v>46177.0</v>
      </c>
      <c r="P14" s="3">
        <v>0.0</v>
      </c>
      <c r="Q14" s="3" t="s">
        <v>25</v>
      </c>
      <c r="R14" s="3">
        <v>1.0</v>
      </c>
      <c r="S14" s="3" t="s">
        <v>26</v>
      </c>
      <c r="T14" s="3" t="s">
        <v>40</v>
      </c>
      <c r="U14" s="3" t="s">
        <v>32</v>
      </c>
      <c r="V14" s="2"/>
      <c r="W14" s="2"/>
      <c r="X14" s="2"/>
    </row>
    <row r="15">
      <c r="A15" s="5" t="str">
        <f>HYPERLINK("https://observepoint.my.salesforce.com/006VH00000Ysz9OYAR", "2026 - REN - Tyson Foods")</f>
        <v>2026 - REN - Tyson Foods</v>
      </c>
      <c r="B15" s="6">
        <v>46183.0</v>
      </c>
      <c r="C15" s="7" t="s">
        <v>47</v>
      </c>
      <c r="D15" s="8">
        <v>24008.0</v>
      </c>
      <c r="E15" s="8">
        <v>0.0</v>
      </c>
      <c r="F15" s="3" t="s">
        <v>29</v>
      </c>
      <c r="G15" s="3" t="s">
        <v>44</v>
      </c>
      <c r="H15" s="8">
        <v>24008.0</v>
      </c>
      <c r="I15" s="3">
        <v>12.0</v>
      </c>
      <c r="J15" s="9">
        <v>0.00473484848484848</v>
      </c>
      <c r="K15" s="9">
        <v>0.0</v>
      </c>
      <c r="L15" s="3">
        <v>104.0</v>
      </c>
      <c r="M15" s="3">
        <v>132.0</v>
      </c>
      <c r="N15" s="3">
        <v>2.0</v>
      </c>
      <c r="O15" s="6">
        <v>46183.0</v>
      </c>
      <c r="P15" s="3">
        <v>0.0</v>
      </c>
      <c r="Q15" s="3" t="s">
        <v>46</v>
      </c>
      <c r="R15" s="3">
        <v>1.0</v>
      </c>
      <c r="S15" s="3" t="s">
        <v>26</v>
      </c>
      <c r="T15" s="3" t="s">
        <v>38</v>
      </c>
      <c r="U15" s="3" t="s">
        <v>32</v>
      </c>
    </row>
    <row r="16">
      <c r="A16" s="5" t="str">
        <f>HYPERLINK("https://observepoint.my.salesforce.com/006VH00000ZSb8aYAD", "2026 - REN - Seagate")</f>
        <v>2026 - REN - Seagate</v>
      </c>
      <c r="B16" s="6">
        <v>46203.0</v>
      </c>
      <c r="C16" s="7" t="s">
        <v>22</v>
      </c>
      <c r="D16" s="8">
        <v>30080.0</v>
      </c>
      <c r="E16" s="8">
        <v>30080.0</v>
      </c>
      <c r="F16" s="3" t="s">
        <v>23</v>
      </c>
      <c r="G16" s="3" t="s">
        <v>44</v>
      </c>
      <c r="H16" s="8">
        <v>30080.0</v>
      </c>
      <c r="I16" s="3">
        <v>12.0</v>
      </c>
      <c r="J16" s="9">
        <v>0.855066666666666</v>
      </c>
      <c r="K16" s="9">
        <v>1.87466666666666</v>
      </c>
      <c r="L16" s="3">
        <v>121.0</v>
      </c>
      <c r="M16" s="3">
        <v>195.0</v>
      </c>
      <c r="N16" s="3">
        <v>1.0</v>
      </c>
      <c r="O16" s="6">
        <v>46203.0</v>
      </c>
      <c r="P16" s="3">
        <v>0.0</v>
      </c>
      <c r="Q16" s="3" t="s">
        <v>25</v>
      </c>
      <c r="R16" s="3">
        <v>1.0</v>
      </c>
      <c r="S16" s="3" t="s">
        <v>26</v>
      </c>
      <c r="T16" s="3" t="s">
        <v>36</v>
      </c>
      <c r="U16" s="2"/>
    </row>
    <row r="17">
      <c r="A17" s="5" t="str">
        <f>HYPERLINK("https://observepoint.my.salesforce.com/006VH00000ZIUy0YAH", "2026 - REN - Verisign")</f>
        <v>2026 - REN - Verisign</v>
      </c>
      <c r="B17" s="6">
        <v>46212.0</v>
      </c>
      <c r="C17" s="7" t="s">
        <v>22</v>
      </c>
      <c r="D17" s="8">
        <v>14000.0</v>
      </c>
      <c r="E17" s="8">
        <v>14000.0</v>
      </c>
      <c r="F17" s="3" t="s">
        <v>23</v>
      </c>
      <c r="G17" s="3" t="s">
        <v>44</v>
      </c>
      <c r="H17" s="8">
        <v>14000.0</v>
      </c>
      <c r="I17" s="3">
        <v>32.0</v>
      </c>
      <c r="J17" s="9">
        <v>0.517466666666666</v>
      </c>
      <c r="K17" s="9">
        <v>0.0706666666666666</v>
      </c>
      <c r="L17" s="3">
        <v>105.0</v>
      </c>
      <c r="M17" s="3">
        <v>125.0</v>
      </c>
      <c r="N17" s="3">
        <v>1.0</v>
      </c>
      <c r="O17" s="6">
        <v>46212.0</v>
      </c>
      <c r="P17" s="3">
        <v>0.0</v>
      </c>
      <c r="Q17" s="3" t="s">
        <v>25</v>
      </c>
      <c r="R17" s="3">
        <v>1.0</v>
      </c>
      <c r="S17" s="3" t="s">
        <v>26</v>
      </c>
      <c r="T17" s="3" t="s">
        <v>31</v>
      </c>
      <c r="U17" s="3" t="s">
        <v>32</v>
      </c>
      <c r="V17" s="2"/>
      <c r="W17" s="2"/>
      <c r="X17" s="2"/>
    </row>
    <row r="18">
      <c r="A18" s="5" t="str">
        <f>HYPERLINK("https://observepoint.my.salesforce.com/006VH00000Zjfm3YAB", "2026 - REN - Officeworks")</f>
        <v>2026 - REN - Officeworks</v>
      </c>
      <c r="B18" s="6">
        <v>46217.0</v>
      </c>
      <c r="C18" s="7" t="s">
        <v>45</v>
      </c>
      <c r="D18" s="8">
        <v>28000.0</v>
      </c>
      <c r="E18" s="8">
        <v>7000.0</v>
      </c>
      <c r="F18" s="3" t="s">
        <v>29</v>
      </c>
      <c r="G18" s="3" t="s">
        <v>48</v>
      </c>
      <c r="H18" s="8">
        <v>28000.0</v>
      </c>
      <c r="I18" s="3">
        <v>12.0</v>
      </c>
      <c r="J18" s="9">
        <v>0.181821487663412</v>
      </c>
      <c r="K18" s="9">
        <v>0.014</v>
      </c>
      <c r="L18" s="3">
        <v>85.0</v>
      </c>
      <c r="M18" s="3">
        <v>187.0</v>
      </c>
      <c r="N18" s="3">
        <v>1.0</v>
      </c>
      <c r="O18" s="6">
        <v>46217.0</v>
      </c>
      <c r="P18" s="3">
        <v>0.0</v>
      </c>
      <c r="Q18" s="3" t="s">
        <v>46</v>
      </c>
      <c r="R18" s="3">
        <v>1.0</v>
      </c>
      <c r="S18" s="3" t="s">
        <v>26</v>
      </c>
      <c r="T18" s="3" t="s">
        <v>38</v>
      </c>
      <c r="U18" s="3" t="s">
        <v>32</v>
      </c>
      <c r="V18" s="2"/>
      <c r="W18" s="2"/>
      <c r="X18" s="2"/>
    </row>
    <row r="19">
      <c r="A19" s="5" t="str">
        <f>HYPERLINK("https://observepoint.my.salesforce.com/006VH00000aMoUTYA0", "2026 - REN - Project Management Institute")</f>
        <v>2026 - REN - Project Management Institute</v>
      </c>
      <c r="B19" s="6">
        <v>46225.0</v>
      </c>
      <c r="C19" s="7" t="s">
        <v>22</v>
      </c>
      <c r="D19" s="8">
        <v>17000.0</v>
      </c>
      <c r="E19" s="8">
        <v>17000.0</v>
      </c>
      <c r="F19" s="3" t="s">
        <v>23</v>
      </c>
      <c r="G19" s="3" t="s">
        <v>44</v>
      </c>
      <c r="H19" s="8">
        <v>17000.0</v>
      </c>
      <c r="I19" s="3">
        <v>0.0</v>
      </c>
      <c r="J19" s="9">
        <v>0.602733333333333</v>
      </c>
      <c r="K19" s="9">
        <v>0.122666666666666</v>
      </c>
      <c r="L19" s="3">
        <v>91.0</v>
      </c>
      <c r="M19" s="3">
        <v>133.0</v>
      </c>
      <c r="N19" s="3">
        <v>0.0</v>
      </c>
      <c r="O19" s="6">
        <v>46225.0</v>
      </c>
      <c r="P19" s="3">
        <v>0.0</v>
      </c>
      <c r="Q19" s="3" t="s">
        <v>25</v>
      </c>
      <c r="R19" s="3">
        <v>1.0</v>
      </c>
      <c r="S19" s="3" t="s">
        <v>26</v>
      </c>
      <c r="T19" s="3" t="s">
        <v>38</v>
      </c>
      <c r="U19" s="3" t="s">
        <v>32</v>
      </c>
      <c r="V19" s="2"/>
      <c r="W19" s="2"/>
      <c r="X19" s="2"/>
    </row>
    <row r="20">
      <c r="A20" s="5" t="str">
        <f>HYPERLINK("https://observepoint.my.salesforce.com/006VH00000ajQWHYA2", "2026 - REN - Caesars Entertainment")</f>
        <v>2026 - REN - Caesars Entertainment</v>
      </c>
      <c r="B20" s="6">
        <v>46234.0</v>
      </c>
      <c r="C20" s="7" t="s">
        <v>22</v>
      </c>
      <c r="D20" s="8">
        <v>40500.0</v>
      </c>
      <c r="E20" s="8">
        <v>40500.0</v>
      </c>
      <c r="F20" s="3" t="s">
        <v>29</v>
      </c>
      <c r="G20" s="3" t="s">
        <v>48</v>
      </c>
      <c r="H20" s="8">
        <v>40500.0</v>
      </c>
      <c r="I20" s="3">
        <v>44.0</v>
      </c>
      <c r="J20" s="9">
        <v>0.486743787900606</v>
      </c>
      <c r="K20" s="9">
        <v>0.0</v>
      </c>
      <c r="L20" s="3">
        <v>154.0</v>
      </c>
      <c r="M20" s="3">
        <v>127.0</v>
      </c>
      <c r="N20" s="3">
        <v>1.0</v>
      </c>
      <c r="O20" s="6">
        <v>46234.0</v>
      </c>
      <c r="P20" s="3">
        <v>0.0</v>
      </c>
      <c r="Q20" s="3" t="s">
        <v>25</v>
      </c>
      <c r="R20" s="3">
        <v>1.0</v>
      </c>
      <c r="S20" s="3" t="s">
        <v>26</v>
      </c>
      <c r="T20" s="3" t="s">
        <v>27</v>
      </c>
      <c r="U20" s="3" t="s">
        <v>32</v>
      </c>
      <c r="V20" s="2"/>
      <c r="W20" s="2"/>
      <c r="X20" s="2"/>
    </row>
    <row r="21">
      <c r="A21" s="5" t="str">
        <f>HYPERLINK("https://observepoint.my.salesforce.com/006VH00000aKd3hYAC", "2026 - REN - Cotiviti")</f>
        <v>2026 - REN - Cotiviti</v>
      </c>
      <c r="B21" s="6">
        <v>46234.0</v>
      </c>
      <c r="C21" s="7" t="s">
        <v>22</v>
      </c>
      <c r="D21" s="8">
        <v>29380.0</v>
      </c>
      <c r="E21" s="8">
        <v>29380.0</v>
      </c>
      <c r="F21" s="3" t="s">
        <v>29</v>
      </c>
      <c r="G21" s="3" t="s">
        <v>48</v>
      </c>
      <c r="H21" s="8">
        <v>29380.0</v>
      </c>
      <c r="I21" s="3">
        <v>12.0</v>
      </c>
      <c r="J21" s="9">
        <v>0.391400966183574</v>
      </c>
      <c r="K21" s="10"/>
      <c r="L21" s="3">
        <v>103.0</v>
      </c>
      <c r="M21" s="3">
        <v>129.0</v>
      </c>
      <c r="N21" s="3">
        <v>1.0</v>
      </c>
      <c r="O21" s="6">
        <v>46234.0</v>
      </c>
      <c r="P21" s="3">
        <v>0.0</v>
      </c>
      <c r="Q21" s="3" t="s">
        <v>25</v>
      </c>
      <c r="R21" s="3">
        <v>1.0</v>
      </c>
      <c r="S21" s="3" t="s">
        <v>26</v>
      </c>
      <c r="T21" s="3" t="s">
        <v>27</v>
      </c>
      <c r="U21" s="3" t="s">
        <v>32</v>
      </c>
    </row>
    <row r="22">
      <c r="A22" s="5" t="str">
        <f>HYPERLINK("https://observepoint.my.salesforce.com/006VH00000afYYsYAM", "2026 - REN - DeVry University")</f>
        <v>2026 - REN - DeVry University</v>
      </c>
      <c r="B22" s="6">
        <v>46234.0</v>
      </c>
      <c r="C22" s="7" t="s">
        <v>22</v>
      </c>
      <c r="D22" s="8">
        <v>20000.0</v>
      </c>
      <c r="E22" s="8">
        <v>20000.0</v>
      </c>
      <c r="F22" s="3" t="s">
        <v>29</v>
      </c>
      <c r="G22" s="3" t="s">
        <v>48</v>
      </c>
      <c r="H22" s="8">
        <v>20000.0</v>
      </c>
      <c r="I22" s="3">
        <v>20.0</v>
      </c>
      <c r="J22" s="9">
        <v>1.34155555555555</v>
      </c>
      <c r="K22" s="9">
        <v>0.0213333333333333</v>
      </c>
      <c r="L22" s="3">
        <v>118.0</v>
      </c>
      <c r="M22" s="3">
        <v>153.0</v>
      </c>
      <c r="N22" s="3">
        <v>1.0</v>
      </c>
      <c r="O22" s="6">
        <v>46234.0</v>
      </c>
      <c r="P22" s="3">
        <v>0.0</v>
      </c>
      <c r="Q22" s="3" t="s">
        <v>25</v>
      </c>
      <c r="R22" s="3">
        <v>1.0</v>
      </c>
      <c r="S22" s="3" t="s">
        <v>26</v>
      </c>
      <c r="T22" s="3" t="s">
        <v>40</v>
      </c>
      <c r="U22" s="2"/>
      <c r="V22" s="2"/>
      <c r="W22" s="2"/>
      <c r="X22" s="2"/>
    </row>
    <row r="23">
      <c r="A23" s="5" t="str">
        <f>HYPERLINK("https://observepoint.my.salesforce.com/006VH00000aMlQ9YAK", "2026 - REN - Woolworths Group")</f>
        <v>2026 - REN - Woolworths Group</v>
      </c>
      <c r="B23" s="6">
        <v>46242.0</v>
      </c>
      <c r="C23" s="7" t="s">
        <v>22</v>
      </c>
      <c r="D23" s="8">
        <v>22100.0</v>
      </c>
      <c r="E23" s="8">
        <v>22100.0</v>
      </c>
      <c r="F23" s="3" t="s">
        <v>29</v>
      </c>
      <c r="G23" s="3" t="s">
        <v>48</v>
      </c>
      <c r="H23" s="8">
        <v>22100.0</v>
      </c>
      <c r="I23" s="3">
        <v>60.0</v>
      </c>
      <c r="J23" s="9">
        <v>0.572812059201246</v>
      </c>
      <c r="K23" s="9">
        <v>0.29</v>
      </c>
      <c r="L23" s="3">
        <v>91.0</v>
      </c>
      <c r="M23" s="3">
        <v>132.0</v>
      </c>
      <c r="N23" s="3">
        <v>1.0</v>
      </c>
      <c r="O23" s="6">
        <v>46242.0</v>
      </c>
      <c r="P23" s="3">
        <v>0.0</v>
      </c>
      <c r="Q23" s="3" t="s">
        <v>25</v>
      </c>
      <c r="R23" s="3">
        <v>1.0</v>
      </c>
      <c r="S23" s="3" t="s">
        <v>26</v>
      </c>
      <c r="T23" s="3" t="s">
        <v>38</v>
      </c>
      <c r="U23" s="3" t="s">
        <v>32</v>
      </c>
      <c r="V23" s="2"/>
      <c r="W23" s="2"/>
      <c r="X23" s="2"/>
    </row>
    <row r="24">
      <c r="A24" s="5" t="str">
        <f>HYPERLINK("https://observepoint.my.salesforce.com/006VH00000dNgg2YAC", "2026 - REN - Darden Restaurants")</f>
        <v>2026 - REN - Darden Restaurants</v>
      </c>
      <c r="B24" s="6">
        <v>46295.0</v>
      </c>
      <c r="C24" s="7" t="s">
        <v>22</v>
      </c>
      <c r="D24" s="8">
        <v>30000.0</v>
      </c>
      <c r="E24" s="8">
        <v>30000.0</v>
      </c>
      <c r="F24" s="3" t="s">
        <v>23</v>
      </c>
      <c r="G24" s="3" t="s">
        <v>44</v>
      </c>
      <c r="H24" s="8">
        <v>30000.0</v>
      </c>
      <c r="I24" s="3">
        <v>0.0</v>
      </c>
      <c r="J24" s="9">
        <v>0.119249550244153</v>
      </c>
      <c r="K24" s="9">
        <v>0.014</v>
      </c>
      <c r="L24" s="3">
        <v>120.0</v>
      </c>
      <c r="M24" s="3">
        <v>120.0</v>
      </c>
      <c r="N24" s="3">
        <v>1.0</v>
      </c>
      <c r="O24" s="6">
        <v>46295.0</v>
      </c>
      <c r="P24" s="3">
        <v>0.0</v>
      </c>
      <c r="Q24" s="3" t="s">
        <v>25</v>
      </c>
      <c r="R24" s="3">
        <v>1.0</v>
      </c>
      <c r="S24" s="3" t="s">
        <v>26</v>
      </c>
      <c r="T24" s="3" t="s">
        <v>27</v>
      </c>
      <c r="U24" s="3" t="s">
        <v>32</v>
      </c>
      <c r="V24" s="2"/>
      <c r="W24" s="2"/>
      <c r="X24" s="2"/>
    </row>
    <row r="25">
      <c r="A25" s="5" t="str">
        <f>HYPERLINK("https://observepoint.my.salesforce.com/006VH00000d4Bb9YAE", "2026 - REN - Spark New Zealand")</f>
        <v>2026 - REN - Spark New Zealand</v>
      </c>
      <c r="B25" s="6">
        <v>46296.0</v>
      </c>
      <c r="C25" s="7" t="s">
        <v>22</v>
      </c>
      <c r="D25" s="8">
        <v>27280.0</v>
      </c>
      <c r="E25" s="8">
        <v>27280.0</v>
      </c>
      <c r="F25" s="3" t="s">
        <v>23</v>
      </c>
      <c r="G25" s="3" t="s">
        <v>44</v>
      </c>
      <c r="H25" s="8">
        <v>27280.0</v>
      </c>
      <c r="I25" s="3">
        <v>12.0</v>
      </c>
      <c r="J25" s="9">
        <v>0.124444444444444</v>
      </c>
      <c r="K25" s="9">
        <v>0.134333333333333</v>
      </c>
      <c r="L25" s="3">
        <v>85.0</v>
      </c>
      <c r="M25" s="3">
        <v>133.0</v>
      </c>
      <c r="N25" s="3">
        <v>1.0</v>
      </c>
      <c r="O25" s="6">
        <v>46296.0</v>
      </c>
      <c r="P25" s="3">
        <v>0.0</v>
      </c>
      <c r="Q25" s="3" t="s">
        <v>25</v>
      </c>
      <c r="R25" s="3">
        <v>1.0</v>
      </c>
      <c r="S25" s="3" t="s">
        <v>26</v>
      </c>
      <c r="T25" s="3" t="s">
        <v>38</v>
      </c>
      <c r="U25" s="3" t="s">
        <v>32</v>
      </c>
      <c r="V25" s="2"/>
      <c r="W25" s="2"/>
      <c r="X25" s="2"/>
    </row>
    <row r="26">
      <c r="A26" s="5" t="str">
        <f>HYPERLINK("https://observepoint.my.salesforce.com/006VH00000QAzxhYAD", "2026 - REN - WestJet")</f>
        <v>2026 - REN - WestJet</v>
      </c>
      <c r="B26" s="6">
        <v>46306.0</v>
      </c>
      <c r="C26" s="7" t="s">
        <v>22</v>
      </c>
      <c r="D26" s="8">
        <v>36500.0</v>
      </c>
      <c r="E26" s="8">
        <v>36500.0</v>
      </c>
      <c r="F26" s="3" t="s">
        <v>23</v>
      </c>
      <c r="G26" s="3" t="s">
        <v>44</v>
      </c>
      <c r="H26" s="8">
        <v>36500.0</v>
      </c>
      <c r="I26" s="3">
        <v>12.0</v>
      </c>
      <c r="J26" s="9">
        <v>0.0407877325445629</v>
      </c>
      <c r="K26" s="9">
        <v>0.0233333333333333</v>
      </c>
      <c r="L26" s="3">
        <v>104.0</v>
      </c>
      <c r="M26" s="3">
        <v>138.0</v>
      </c>
      <c r="N26" s="3">
        <v>2.0</v>
      </c>
      <c r="O26" s="6">
        <v>46306.0</v>
      </c>
      <c r="P26" s="3">
        <v>0.0</v>
      </c>
      <c r="Q26" s="3" t="s">
        <v>25</v>
      </c>
      <c r="R26" s="3">
        <v>1.0</v>
      </c>
      <c r="S26" s="3" t="s">
        <v>26</v>
      </c>
      <c r="T26" s="3" t="s">
        <v>27</v>
      </c>
      <c r="U26" s="3" t="s">
        <v>28</v>
      </c>
      <c r="V26" s="2"/>
      <c r="W26" s="2"/>
      <c r="X26" s="2"/>
    </row>
    <row r="27">
      <c r="A27" s="5" t="str">
        <f>HYPERLINK("https://observepoint.my.salesforce.com/006VH00000eaxP7YAI", "2026 - REN - Boston Scientific")</f>
        <v>2026 - REN - Boston Scientific</v>
      </c>
      <c r="B27" s="6">
        <v>46326.0</v>
      </c>
      <c r="C27" s="7" t="s">
        <v>22</v>
      </c>
      <c r="D27" s="8">
        <v>15650.0</v>
      </c>
      <c r="E27" s="8">
        <v>15650.0</v>
      </c>
      <c r="F27" s="3" t="s">
        <v>23</v>
      </c>
      <c r="G27" s="3" t="s">
        <v>44</v>
      </c>
      <c r="H27" s="8">
        <v>15650.0</v>
      </c>
      <c r="I27" s="3">
        <v>36.0</v>
      </c>
      <c r="J27" s="9">
        <v>0.0505882352941176</v>
      </c>
      <c r="K27" s="9">
        <v>0.0</v>
      </c>
      <c r="L27" s="3">
        <v>103.0</v>
      </c>
      <c r="M27" s="3">
        <v>125.0</v>
      </c>
      <c r="N27" s="3">
        <v>1.0</v>
      </c>
      <c r="O27" s="6">
        <v>46326.0</v>
      </c>
      <c r="P27" s="3">
        <v>0.0</v>
      </c>
      <c r="Q27" s="3" t="s">
        <v>25</v>
      </c>
      <c r="R27" s="3">
        <v>1.0</v>
      </c>
      <c r="S27" s="3" t="s">
        <v>26</v>
      </c>
      <c r="T27" s="3" t="s">
        <v>27</v>
      </c>
      <c r="U27" s="3" t="s">
        <v>32</v>
      </c>
    </row>
    <row r="28">
      <c r="A28" s="5" t="str">
        <f>HYPERLINK("https://observepoint.my.salesforce.com/006VH00000ei9dFYAQ", "2026 - REN - Dignity Health")</f>
        <v>2026 - REN - Dignity Health</v>
      </c>
      <c r="B28" s="6">
        <v>46326.0</v>
      </c>
      <c r="C28" s="7" t="s">
        <v>22</v>
      </c>
      <c r="D28" s="8">
        <v>35000.0</v>
      </c>
      <c r="E28" s="8">
        <v>35000.0</v>
      </c>
      <c r="F28" s="3" t="s">
        <v>23</v>
      </c>
      <c r="G28" s="3" t="s">
        <v>48</v>
      </c>
      <c r="H28" s="8">
        <v>35000.0</v>
      </c>
      <c r="I28" s="3">
        <v>20.0</v>
      </c>
      <c r="J28" s="9">
        <v>0.649686666666666</v>
      </c>
      <c r="K28" s="9">
        <v>0.0</v>
      </c>
      <c r="L28" s="3">
        <v>105.0</v>
      </c>
      <c r="M28" s="3">
        <v>134.0</v>
      </c>
      <c r="N28" s="3">
        <v>1.0</v>
      </c>
      <c r="O28" s="6">
        <v>46326.0</v>
      </c>
      <c r="P28" s="3">
        <v>0.0</v>
      </c>
      <c r="Q28" s="3" t="s">
        <v>25</v>
      </c>
      <c r="R28" s="3">
        <v>1.0</v>
      </c>
      <c r="S28" s="3" t="s">
        <v>26</v>
      </c>
      <c r="T28" s="3" t="s">
        <v>40</v>
      </c>
      <c r="U28" s="3" t="s">
        <v>37</v>
      </c>
      <c r="V28" s="2"/>
      <c r="W28" s="2"/>
      <c r="X28" s="2"/>
    </row>
    <row r="29">
      <c r="A29" s="5" t="str">
        <f>HYPERLINK("https://observepoint.my.salesforce.com/006VH00000eXhS9YAK", "2026 - REN - Robert Wood Johnson Foundation")</f>
        <v>2026 - REN - Robert Wood Johnson Foundation</v>
      </c>
      <c r="B29" s="6">
        <v>46326.0</v>
      </c>
      <c r="C29" s="7" t="s">
        <v>22</v>
      </c>
      <c r="D29" s="8">
        <v>15000.0</v>
      </c>
      <c r="E29" s="8">
        <v>15000.0</v>
      </c>
      <c r="F29" s="3" t="s">
        <v>23</v>
      </c>
      <c r="G29" s="3" t="s">
        <v>44</v>
      </c>
      <c r="H29" s="8">
        <v>15000.0</v>
      </c>
      <c r="I29" s="3">
        <v>20.0</v>
      </c>
      <c r="J29" s="9">
        <v>0.0</v>
      </c>
      <c r="K29" s="9">
        <v>0.012</v>
      </c>
      <c r="L29" s="3">
        <v>106.0</v>
      </c>
      <c r="M29" s="3">
        <v>125.0</v>
      </c>
      <c r="N29" s="3">
        <v>1.0</v>
      </c>
      <c r="O29" s="6">
        <v>46326.0</v>
      </c>
      <c r="P29" s="3">
        <v>0.0</v>
      </c>
      <c r="Q29" s="3" t="s">
        <v>25</v>
      </c>
      <c r="R29" s="3">
        <v>1.0</v>
      </c>
      <c r="S29" s="3" t="s">
        <v>26</v>
      </c>
      <c r="T29" s="3" t="s">
        <v>27</v>
      </c>
      <c r="U29" s="3" t="s">
        <v>32</v>
      </c>
      <c r="V29" s="2"/>
      <c r="W29" s="2"/>
      <c r="X29" s="2"/>
    </row>
    <row r="30">
      <c r="A30" s="5" t="str">
        <f>HYPERLINK("https://observepoint.my.salesforce.com/006VH00000g1qh7YAA", "2026 - REN - Zenfolio")</f>
        <v>2026 - REN - Zenfolio</v>
      </c>
      <c r="B30" s="6">
        <v>46349.0</v>
      </c>
      <c r="C30" s="7" t="s">
        <v>49</v>
      </c>
      <c r="D30" s="8">
        <v>1479.0</v>
      </c>
      <c r="E30" s="11"/>
      <c r="F30" s="3" t="s">
        <v>23</v>
      </c>
      <c r="G30" s="3" t="s">
        <v>48</v>
      </c>
      <c r="H30" s="8">
        <v>1479.0</v>
      </c>
      <c r="I30" s="3">
        <v>0.0</v>
      </c>
      <c r="J30" s="9">
        <v>1.79455445544554</v>
      </c>
      <c r="K30" s="9">
        <v>0.0</v>
      </c>
      <c r="L30" s="2"/>
      <c r="M30" s="2"/>
      <c r="N30" s="3">
        <v>0.0</v>
      </c>
      <c r="O30" s="6">
        <v>46349.0</v>
      </c>
      <c r="P30" s="3">
        <v>0.0</v>
      </c>
      <c r="Q30" s="3" t="s">
        <v>46</v>
      </c>
      <c r="R30" s="3">
        <v>0.0</v>
      </c>
      <c r="S30" s="3" t="s">
        <v>26</v>
      </c>
      <c r="T30" s="3" t="s">
        <v>36</v>
      </c>
      <c r="U30" s="2"/>
      <c r="V30" s="2"/>
      <c r="W30" s="2"/>
      <c r="X30" s="2"/>
    </row>
    <row r="31">
      <c r="A31" s="5" t="str">
        <f>HYPERLINK("https://observepoint.my.salesforce.com/006VH00000gFGh2YAG", "2026 - REN - K. Hovnanian")</f>
        <v>2026 - REN - K. Hovnanian</v>
      </c>
      <c r="B31" s="6">
        <v>46356.0</v>
      </c>
      <c r="C31" s="7" t="s">
        <v>22</v>
      </c>
      <c r="D31" s="8">
        <v>32000.0</v>
      </c>
      <c r="E31" s="8">
        <v>32000.0</v>
      </c>
      <c r="F31" s="3" t="s">
        <v>23</v>
      </c>
      <c r="G31" s="3" t="s">
        <v>48</v>
      </c>
      <c r="H31" s="8">
        <v>32000.0</v>
      </c>
      <c r="I31" s="3">
        <v>44.0</v>
      </c>
      <c r="J31" s="9">
        <v>1.84253354362385</v>
      </c>
      <c r="K31" s="9">
        <v>0.683</v>
      </c>
      <c r="L31" s="3">
        <v>106.0</v>
      </c>
      <c r="M31" s="3">
        <v>145.0</v>
      </c>
      <c r="N31" s="3">
        <v>1.0</v>
      </c>
      <c r="O31" s="6">
        <v>46356.0</v>
      </c>
      <c r="P31" s="3">
        <v>0.0</v>
      </c>
      <c r="Q31" s="3" t="s">
        <v>25</v>
      </c>
      <c r="R31" s="3">
        <v>2.0</v>
      </c>
      <c r="S31" s="3" t="s">
        <v>26</v>
      </c>
      <c r="T31" s="3" t="s">
        <v>31</v>
      </c>
      <c r="U31" s="3" t="s">
        <v>37</v>
      </c>
      <c r="V31" s="2"/>
      <c r="W31" s="2"/>
      <c r="X31" s="2"/>
    </row>
    <row r="32">
      <c r="A32" s="5" t="str">
        <f>HYPERLINK("https://observepoint.my.salesforce.com/006VH00000gKc8zYAC", "2026 - REN - Prudential Financial Inc.")</f>
        <v>2026 - REN - Prudential Financial Inc.</v>
      </c>
      <c r="B32" s="6">
        <v>46387.0</v>
      </c>
      <c r="C32" s="7" t="s">
        <v>50</v>
      </c>
      <c r="D32" s="8">
        <v>19500.0</v>
      </c>
      <c r="E32" s="8">
        <v>9750.0</v>
      </c>
      <c r="F32" s="3" t="s">
        <v>23</v>
      </c>
      <c r="G32" s="3" t="s">
        <v>48</v>
      </c>
      <c r="H32" s="8">
        <v>19500.0</v>
      </c>
      <c r="I32" s="3">
        <v>44.0</v>
      </c>
      <c r="J32" s="9">
        <v>1.10063432196125</v>
      </c>
      <c r="K32" s="9">
        <v>0.0</v>
      </c>
      <c r="L32" s="3">
        <v>92.0</v>
      </c>
      <c r="M32" s="3">
        <v>124.0</v>
      </c>
      <c r="N32" s="3">
        <v>1.0</v>
      </c>
      <c r="O32" s="6">
        <v>46387.0</v>
      </c>
      <c r="P32" s="3">
        <v>0.0</v>
      </c>
      <c r="Q32" s="3" t="s">
        <v>46</v>
      </c>
      <c r="R32" s="3">
        <v>1.0</v>
      </c>
      <c r="S32" s="3" t="s">
        <v>26</v>
      </c>
      <c r="T32" s="3" t="s">
        <v>31</v>
      </c>
      <c r="U32" s="3" t="s">
        <v>32</v>
      </c>
      <c r="V32" s="2"/>
      <c r="W32" s="2"/>
      <c r="X32" s="2"/>
    </row>
    <row r="33">
      <c r="A33" s="5" t="str">
        <f>HYPERLINK("https://observepoint.my.salesforce.com/006VH00000fpCkLYAU", "2026 - REN - CDW")</f>
        <v>2026 - REN - CDW</v>
      </c>
      <c r="B33" s="6">
        <v>46387.0</v>
      </c>
      <c r="C33" s="7" t="s">
        <v>50</v>
      </c>
      <c r="D33" s="8">
        <v>22200.0</v>
      </c>
      <c r="E33" s="8">
        <v>11100.0</v>
      </c>
      <c r="F33" s="3" t="s">
        <v>23</v>
      </c>
      <c r="G33" s="3" t="s">
        <v>48</v>
      </c>
      <c r="H33" s="8">
        <v>22200.0</v>
      </c>
      <c r="I33" s="3">
        <v>60.0</v>
      </c>
      <c r="J33" s="9">
        <v>0.308566666666666</v>
      </c>
      <c r="K33" s="9">
        <v>0.208444444444444</v>
      </c>
      <c r="L33" s="3">
        <v>91.0</v>
      </c>
      <c r="M33" s="3">
        <v>134.0</v>
      </c>
      <c r="N33" s="3">
        <v>1.0</v>
      </c>
      <c r="O33" s="6">
        <v>46387.0</v>
      </c>
      <c r="P33" s="3">
        <v>0.0</v>
      </c>
      <c r="Q33" s="3" t="s">
        <v>46</v>
      </c>
      <c r="R33" s="3">
        <v>1.0</v>
      </c>
      <c r="S33" s="3" t="s">
        <v>26</v>
      </c>
      <c r="T33" s="3" t="s">
        <v>27</v>
      </c>
      <c r="U33" s="3" t="s">
        <v>32</v>
      </c>
      <c r="V33" s="2"/>
      <c r="W33" s="2"/>
      <c r="X33" s="2"/>
    </row>
    <row r="34">
      <c r="A34" s="5" t="str">
        <f>HYPERLINK("https://observepoint.my.salesforce.com/006VH00000hSNozYAG", "2027 - REN - Massachusetts Medical Society")</f>
        <v>2027 - REN - Massachusetts Medical Society</v>
      </c>
      <c r="B34" s="6">
        <v>46418.0</v>
      </c>
      <c r="C34" s="7" t="s">
        <v>22</v>
      </c>
      <c r="D34" s="8">
        <v>20000.0</v>
      </c>
      <c r="E34" s="8">
        <v>20000.0</v>
      </c>
      <c r="F34" s="3" t="s">
        <v>23</v>
      </c>
      <c r="G34" s="3" t="s">
        <v>48</v>
      </c>
      <c r="H34" s="8">
        <v>20000.0</v>
      </c>
      <c r="I34" s="3">
        <v>20.0</v>
      </c>
      <c r="J34" s="9">
        <v>0.406908333333333</v>
      </c>
      <c r="K34" s="9">
        <v>0.329523809523809</v>
      </c>
      <c r="L34" s="3">
        <v>113.0</v>
      </c>
      <c r="M34" s="3">
        <v>223.0</v>
      </c>
      <c r="N34" s="3">
        <v>1.0</v>
      </c>
      <c r="O34" s="6">
        <v>46418.0</v>
      </c>
      <c r="P34" s="3">
        <v>0.0</v>
      </c>
      <c r="Q34" s="3" t="s">
        <v>25</v>
      </c>
      <c r="R34" s="3">
        <v>1.0</v>
      </c>
      <c r="S34" s="3" t="s">
        <v>26</v>
      </c>
      <c r="T34" s="3" t="s">
        <v>27</v>
      </c>
      <c r="U34" s="3" t="s">
        <v>37</v>
      </c>
      <c r="V34" s="2"/>
      <c r="W34" s="2"/>
      <c r="X34" s="2"/>
    </row>
    <row r="35">
      <c r="A35" s="5" t="str">
        <f>HYPERLINK("https://observepoint.my.salesforce.com/006VH00000hYYPtYAO", "2027 - REN - Biogen")</f>
        <v>2027 - REN - Biogen</v>
      </c>
      <c r="B35" s="6">
        <v>46418.0</v>
      </c>
      <c r="C35" s="7" t="s">
        <v>47</v>
      </c>
      <c r="D35" s="8">
        <v>30000.0</v>
      </c>
      <c r="E35" s="8">
        <v>0.0</v>
      </c>
      <c r="F35" s="3" t="s">
        <v>23</v>
      </c>
      <c r="G35" s="3" t="s">
        <v>48</v>
      </c>
      <c r="H35" s="8">
        <v>30000.0</v>
      </c>
      <c r="I35" s="3">
        <v>20.0</v>
      </c>
      <c r="J35" s="9">
        <v>0.386666666666666</v>
      </c>
      <c r="K35" s="9">
        <v>0.318</v>
      </c>
      <c r="L35" s="3">
        <v>161.0</v>
      </c>
      <c r="M35" s="3">
        <v>163.0</v>
      </c>
      <c r="N35" s="3">
        <v>1.0</v>
      </c>
      <c r="O35" s="6">
        <v>46418.0</v>
      </c>
      <c r="P35" s="3">
        <v>0.0</v>
      </c>
      <c r="Q35" s="3" t="s">
        <v>46</v>
      </c>
      <c r="R35" s="3">
        <v>1.0</v>
      </c>
      <c r="S35" s="3" t="s">
        <v>26</v>
      </c>
      <c r="T35" s="3" t="s">
        <v>27</v>
      </c>
      <c r="U35" s="3" t="s">
        <v>37</v>
      </c>
    </row>
    <row r="36">
      <c r="A36" s="5" t="str">
        <f>HYPERLINK("https://observepoint.my.salesforce.com/006VH00000gYVQzYAO", "2027 - REN - Crowdstrike")</f>
        <v>2027 - REN - Crowdstrike</v>
      </c>
      <c r="B36" s="6">
        <v>46418.0</v>
      </c>
      <c r="C36" s="7" t="s">
        <v>50</v>
      </c>
      <c r="D36" s="8">
        <v>30500.0</v>
      </c>
      <c r="E36" s="8">
        <v>15250.0</v>
      </c>
      <c r="F36" s="3" t="s">
        <v>23</v>
      </c>
      <c r="G36" s="3" t="s">
        <v>48</v>
      </c>
      <c r="H36" s="8">
        <v>30500.0</v>
      </c>
      <c r="I36" s="3">
        <v>12.0</v>
      </c>
      <c r="J36" s="9">
        <v>0.912213333333333</v>
      </c>
      <c r="K36" s="9">
        <v>0.352666666666666</v>
      </c>
      <c r="L36" s="3">
        <v>85.0</v>
      </c>
      <c r="M36" s="3">
        <v>180.0</v>
      </c>
      <c r="N36" s="3">
        <v>1.0</v>
      </c>
      <c r="O36" s="6">
        <v>46418.0</v>
      </c>
      <c r="P36" s="3">
        <v>0.0</v>
      </c>
      <c r="Q36" s="3" t="s">
        <v>46</v>
      </c>
      <c r="R36" s="3">
        <v>1.0</v>
      </c>
      <c r="S36" s="3" t="s">
        <v>26</v>
      </c>
      <c r="T36" s="3" t="s">
        <v>38</v>
      </c>
      <c r="U36" s="3" t="s">
        <v>28</v>
      </c>
      <c r="V36" s="2"/>
      <c r="W36" s="2"/>
      <c r="X36" s="2"/>
    </row>
    <row r="37">
      <c r="A37" s="5" t="str">
        <f>HYPERLINK("https://observepoint.my.salesforce.com/006VH00000iRqIvYAK", "2027 - REN - Accent Group")</f>
        <v>2027 - REN - Accent Group</v>
      </c>
      <c r="B37" s="6">
        <v>46429.0</v>
      </c>
      <c r="C37" s="7" t="s">
        <v>50</v>
      </c>
      <c r="D37" s="8">
        <v>20930.0</v>
      </c>
      <c r="E37" s="8">
        <v>10465.0</v>
      </c>
      <c r="F37" s="3" t="s">
        <v>23</v>
      </c>
      <c r="G37" s="3" t="s">
        <v>48</v>
      </c>
      <c r="H37" s="8">
        <v>20930.0</v>
      </c>
      <c r="I37" s="3">
        <v>24.0</v>
      </c>
      <c r="J37" s="9">
        <v>0.85</v>
      </c>
      <c r="K37" s="9">
        <v>0.875166666666666</v>
      </c>
      <c r="L37" s="3">
        <v>209.0</v>
      </c>
      <c r="M37" s="3">
        <v>209.0</v>
      </c>
      <c r="N37" s="3">
        <v>1.0</v>
      </c>
      <c r="O37" s="6">
        <v>46429.0</v>
      </c>
      <c r="P37" s="3">
        <v>0.0</v>
      </c>
      <c r="Q37" s="3" t="s">
        <v>51</v>
      </c>
      <c r="R37" s="3">
        <v>1.0</v>
      </c>
      <c r="S37" s="3" t="s">
        <v>26</v>
      </c>
      <c r="T37" s="3" t="s">
        <v>38</v>
      </c>
      <c r="U37" s="3" t="s">
        <v>32</v>
      </c>
      <c r="V37" s="2"/>
      <c r="W37" s="2"/>
      <c r="X37" s="2"/>
    </row>
    <row r="38">
      <c r="A38" s="5" t="str">
        <f>HYPERLINK("https://observepoint.my.salesforce.com/006VH000004sghaYAA", "2027 - REN - Export Development Canada")</f>
        <v>2027 - REN - Export Development Canada</v>
      </c>
      <c r="B38" s="6">
        <v>46446.0</v>
      </c>
      <c r="C38" s="7" t="s">
        <v>22</v>
      </c>
      <c r="D38" s="8">
        <v>18000.0</v>
      </c>
      <c r="E38" s="8">
        <v>18000.0</v>
      </c>
      <c r="F38" s="3" t="s">
        <v>23</v>
      </c>
      <c r="G38" s="3" t="s">
        <v>48</v>
      </c>
      <c r="H38" s="8">
        <v>18000.0</v>
      </c>
      <c r="I38" s="3">
        <v>44.0</v>
      </c>
      <c r="J38" s="9">
        <v>0.274033333333333</v>
      </c>
      <c r="K38" s="10"/>
      <c r="L38" s="3">
        <v>161.0</v>
      </c>
      <c r="M38" s="3">
        <v>239.0</v>
      </c>
      <c r="N38" s="3">
        <v>1.0</v>
      </c>
      <c r="O38" s="6">
        <v>46446.0</v>
      </c>
      <c r="P38" s="3">
        <v>0.0</v>
      </c>
      <c r="Q38" s="3" t="s">
        <v>25</v>
      </c>
      <c r="R38" s="3">
        <v>1.0</v>
      </c>
      <c r="S38" s="3" t="s">
        <v>26</v>
      </c>
      <c r="T38" s="3" t="s">
        <v>27</v>
      </c>
      <c r="U38" s="3" t="s">
        <v>37</v>
      </c>
      <c r="V38" s="2"/>
      <c r="W38" s="2"/>
      <c r="X38" s="2"/>
    </row>
    <row r="39">
      <c r="A39" s="5" t="str">
        <f>HYPERLINK("https://observepoint.my.salesforce.com/006VH00000hphgTYAQ", "2027 - REN - Lumen")</f>
        <v>2027 - REN - Lumen</v>
      </c>
      <c r="B39" s="6">
        <v>46446.0</v>
      </c>
      <c r="C39" s="7" t="s">
        <v>50</v>
      </c>
      <c r="D39" s="8">
        <v>23000.0</v>
      </c>
      <c r="E39" s="8">
        <v>11500.0</v>
      </c>
      <c r="F39" s="3" t="s">
        <v>23</v>
      </c>
      <c r="G39" s="3" t="s">
        <v>48</v>
      </c>
      <c r="H39" s="8">
        <v>23000.0</v>
      </c>
      <c r="I39" s="3">
        <v>36.0</v>
      </c>
      <c r="J39" s="9">
        <v>1.22093333333333</v>
      </c>
      <c r="K39" s="9">
        <v>0.184</v>
      </c>
      <c r="L39" s="3">
        <v>89.0</v>
      </c>
      <c r="M39" s="3">
        <v>293.0</v>
      </c>
      <c r="N39" s="3">
        <v>1.0</v>
      </c>
      <c r="O39" s="6">
        <v>46446.0</v>
      </c>
      <c r="P39" s="3">
        <v>0.0</v>
      </c>
      <c r="Q39" s="3" t="s">
        <v>51</v>
      </c>
      <c r="R39" s="3">
        <v>1.0</v>
      </c>
      <c r="S39" s="3" t="s">
        <v>26</v>
      </c>
      <c r="T39" s="3" t="s">
        <v>38</v>
      </c>
      <c r="U39" s="3" t="s">
        <v>32</v>
      </c>
      <c r="V39" s="2"/>
      <c r="W39" s="2"/>
      <c r="X39" s="2"/>
    </row>
    <row r="40">
      <c r="A40" s="5" t="str">
        <f>HYPERLINK("https://observepoint.my.salesforce.com/006VH00000iVUjfYAG", "2027 - REN - Agilent")</f>
        <v>2027 - REN - Agilent</v>
      </c>
      <c r="B40" s="6">
        <v>46507.0</v>
      </c>
      <c r="C40" s="7" t="s">
        <v>45</v>
      </c>
      <c r="D40" s="8">
        <v>30000.0</v>
      </c>
      <c r="E40" s="8">
        <v>7500.0</v>
      </c>
      <c r="F40" s="3" t="s">
        <v>23</v>
      </c>
      <c r="G40" s="3" t="s">
        <v>48</v>
      </c>
      <c r="H40" s="8">
        <v>30000.0</v>
      </c>
      <c r="I40" s="3">
        <v>12.0</v>
      </c>
      <c r="J40" s="9">
        <v>0.169054404965482</v>
      </c>
      <c r="K40" s="10"/>
      <c r="L40" s="3">
        <v>117.0</v>
      </c>
      <c r="M40" s="3">
        <v>128.0</v>
      </c>
      <c r="N40" s="3">
        <v>1.0</v>
      </c>
      <c r="O40" s="6">
        <v>46507.0</v>
      </c>
      <c r="P40" s="3">
        <v>0.0</v>
      </c>
      <c r="Q40" s="3" t="s">
        <v>51</v>
      </c>
      <c r="R40" s="3">
        <v>1.0</v>
      </c>
      <c r="S40" s="3" t="s">
        <v>26</v>
      </c>
      <c r="T40" s="3" t="s">
        <v>36</v>
      </c>
      <c r="U40" s="3" t="s">
        <v>37</v>
      </c>
      <c r="V40" s="2"/>
      <c r="W40" s="2"/>
      <c r="X40" s="2"/>
    </row>
    <row r="41">
      <c r="A41" s="5" t="str">
        <f>HYPERLINK("https://observepoint.my.salesforce.com/006VH00000ajztpYAA", "2027 - REN - Athenahealth")</f>
        <v>2027 - REN - Athenahealth</v>
      </c>
      <c r="B41" s="6">
        <v>46598.0</v>
      </c>
      <c r="C41" s="7" t="s">
        <v>22</v>
      </c>
      <c r="D41" s="8">
        <v>27341.0</v>
      </c>
      <c r="E41" s="8">
        <v>27341.0</v>
      </c>
      <c r="F41" s="3" t="s">
        <v>23</v>
      </c>
      <c r="G41" s="3" t="s">
        <v>44</v>
      </c>
      <c r="H41" s="8">
        <v>27341.0</v>
      </c>
      <c r="I41" s="3">
        <v>84.0</v>
      </c>
      <c r="J41" s="9">
        <v>0.820047784535186</v>
      </c>
      <c r="K41" s="9">
        <v>0.0</v>
      </c>
      <c r="L41" s="3">
        <v>118.0</v>
      </c>
      <c r="M41" s="3">
        <v>75.0</v>
      </c>
      <c r="N41" s="3">
        <v>1.0</v>
      </c>
      <c r="O41" s="6">
        <v>46598.0</v>
      </c>
      <c r="P41" s="3">
        <v>0.0</v>
      </c>
      <c r="Q41" s="3" t="s">
        <v>25</v>
      </c>
      <c r="R41" s="3">
        <v>1.0</v>
      </c>
      <c r="S41" s="3" t="s">
        <v>26</v>
      </c>
      <c r="T41" s="3" t="s">
        <v>27</v>
      </c>
      <c r="U41" s="2"/>
      <c r="V41" s="2"/>
      <c r="W41" s="2"/>
      <c r="X41" s="2"/>
    </row>
    <row r="42">
      <c r="A42" s="5" t="str">
        <f>HYPERLINK("https://observepoint.my.salesforce.com/006VH00000aichcYAA", "2027 - REN - Mediacorp Pte Ltd")</f>
        <v>2027 - REN - Mediacorp Pte Ltd</v>
      </c>
      <c r="B42" s="6">
        <v>46599.0</v>
      </c>
      <c r="C42" s="7" t="s">
        <v>22</v>
      </c>
      <c r="D42" s="8">
        <v>41000.0</v>
      </c>
      <c r="E42" s="8">
        <v>41000.0</v>
      </c>
      <c r="F42" s="3" t="s">
        <v>23</v>
      </c>
      <c r="G42" s="3" t="s">
        <v>44</v>
      </c>
      <c r="H42" s="8">
        <v>41000.0</v>
      </c>
      <c r="I42" s="3">
        <v>24.0</v>
      </c>
      <c r="J42" s="9">
        <v>0.28534</v>
      </c>
      <c r="K42" s="9">
        <v>0.0</v>
      </c>
      <c r="L42" s="3">
        <v>161.0</v>
      </c>
      <c r="M42" s="3">
        <v>161.0</v>
      </c>
      <c r="N42" s="3">
        <v>1.0</v>
      </c>
      <c r="O42" s="6">
        <v>46599.0</v>
      </c>
      <c r="P42" s="3">
        <v>0.0</v>
      </c>
      <c r="Q42" s="3" t="s">
        <v>25</v>
      </c>
      <c r="R42" s="3">
        <v>1.0</v>
      </c>
      <c r="S42" s="3" t="s">
        <v>26</v>
      </c>
      <c r="T42" s="3" t="s">
        <v>40</v>
      </c>
      <c r="U42" s="3" t="s">
        <v>37</v>
      </c>
      <c r="V42" s="2"/>
      <c r="W42" s="2"/>
      <c r="X42" s="2"/>
    </row>
    <row r="43">
      <c r="A43" s="5" t="str">
        <f>HYPERLINK("https://observepoint.my.salesforce.com/006VH00000e3aEPYAY", "2027 - REN - JM Family Enterprises")</f>
        <v>2027 - REN - JM Family Enterprises</v>
      </c>
      <c r="B43" s="6">
        <v>46690.0</v>
      </c>
      <c r="C43" s="7" t="s">
        <v>22</v>
      </c>
      <c r="D43" s="8">
        <v>40000.0</v>
      </c>
      <c r="E43" s="8">
        <v>40000.0</v>
      </c>
      <c r="F43" s="3" t="s">
        <v>23</v>
      </c>
      <c r="G43" s="3" t="s">
        <v>48</v>
      </c>
      <c r="H43" s="8">
        <v>40000.0</v>
      </c>
      <c r="I43" s="3">
        <v>32.0</v>
      </c>
      <c r="J43" s="9">
        <v>0.528013200330008</v>
      </c>
      <c r="K43" s="9">
        <v>0.188</v>
      </c>
      <c r="L43" s="3">
        <v>104.0</v>
      </c>
      <c r="M43" s="3">
        <v>188.0</v>
      </c>
      <c r="N43" s="3">
        <v>1.0</v>
      </c>
      <c r="O43" s="6">
        <v>46690.0</v>
      </c>
      <c r="P43" s="3">
        <v>0.0</v>
      </c>
      <c r="Q43" s="3" t="s">
        <v>25</v>
      </c>
      <c r="R43" s="3">
        <v>1.0</v>
      </c>
      <c r="S43" s="3" t="s">
        <v>26</v>
      </c>
      <c r="T43" s="3" t="s">
        <v>27</v>
      </c>
      <c r="U43" s="3" t="s">
        <v>37</v>
      </c>
    </row>
    <row r="44">
      <c r="B44" s="12"/>
      <c r="C44" s="2"/>
      <c r="D44" s="11"/>
      <c r="E44" s="11"/>
      <c r="F44" s="2"/>
      <c r="G44" s="2"/>
      <c r="H44" s="11"/>
      <c r="I44" s="2"/>
      <c r="J44" s="10"/>
      <c r="K44" s="10"/>
      <c r="L44" s="2"/>
      <c r="M44" s="2"/>
      <c r="N44" s="2"/>
      <c r="O44" s="12"/>
      <c r="P44" s="2"/>
      <c r="Q44" s="2"/>
      <c r="R44" s="2"/>
      <c r="S44" s="2"/>
      <c r="T44" s="2"/>
      <c r="U44" s="2"/>
      <c r="V44" s="2"/>
      <c r="W44" s="2"/>
      <c r="X44" s="2"/>
    </row>
    <row r="45">
      <c r="B45" s="12"/>
      <c r="C45" s="2"/>
      <c r="D45" s="11"/>
      <c r="E45" s="11"/>
      <c r="F45" s="2"/>
      <c r="G45" s="2"/>
      <c r="H45" s="11"/>
      <c r="I45" s="2"/>
      <c r="J45" s="10"/>
      <c r="K45" s="10"/>
      <c r="L45" s="2"/>
      <c r="M45" s="2"/>
      <c r="N45" s="2"/>
      <c r="O45" s="12"/>
      <c r="P45" s="2"/>
      <c r="Q45" s="2"/>
      <c r="R45" s="2"/>
      <c r="S45" s="2"/>
      <c r="T45" s="2"/>
      <c r="U45" s="2"/>
      <c r="V45" s="2"/>
      <c r="W45" s="2"/>
      <c r="X45"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2.0"/>
    <col customWidth="1" min="3" max="3" width="32.38"/>
  </cols>
  <sheetData>
    <row r="1">
      <c r="A1" s="13" t="s">
        <v>52</v>
      </c>
      <c r="B1" s="13" t="s">
        <v>53</v>
      </c>
      <c r="C1" s="13" t="s">
        <v>54</v>
      </c>
      <c r="D1" s="13" t="s">
        <v>55</v>
      </c>
    </row>
    <row r="2">
      <c r="A2" s="4">
        <v>46070.50939623843</v>
      </c>
      <c r="B2" s="3" t="s">
        <v>56</v>
      </c>
      <c r="D2" s="3" t="s">
        <v>57</v>
      </c>
    </row>
    <row r="3">
      <c r="A3" s="4">
        <v>46070.50939623843</v>
      </c>
      <c r="B3" s="3" t="s">
        <v>58</v>
      </c>
      <c r="D3" s="3" t="s">
        <v>59</v>
      </c>
    </row>
    <row r="4">
      <c r="A4" s="4">
        <v>46070.50939623843</v>
      </c>
      <c r="B4" s="3" t="s">
        <v>60</v>
      </c>
      <c r="D4" s="3" t="s">
        <v>61</v>
      </c>
    </row>
    <row r="5">
      <c r="A5" s="4">
        <v>46070.50939623843</v>
      </c>
      <c r="B5" s="3" t="s">
        <v>62</v>
      </c>
      <c r="D5" s="3" t="s">
        <v>63</v>
      </c>
    </row>
    <row r="6">
      <c r="A6" s="4">
        <v>46070.50939623843</v>
      </c>
      <c r="B6" s="3" t="s">
        <v>64</v>
      </c>
      <c r="D6" s="3" t="s">
        <v>65</v>
      </c>
    </row>
    <row r="7">
      <c r="A7" s="4">
        <v>46070.50939623843</v>
      </c>
      <c r="B7" s="3" t="s">
        <v>66</v>
      </c>
      <c r="D7" s="3" t="s">
        <v>67</v>
      </c>
    </row>
    <row r="8">
      <c r="A8" s="4">
        <v>46070.50939623843</v>
      </c>
      <c r="B8" s="3" t="s">
        <v>68</v>
      </c>
      <c r="D8" s="3" t="s">
        <v>69</v>
      </c>
    </row>
    <row r="9">
      <c r="A9" s="4">
        <v>46070.50939623843</v>
      </c>
      <c r="B9" s="3" t="s">
        <v>70</v>
      </c>
      <c r="D9" s="3" t="s">
        <v>71</v>
      </c>
    </row>
    <row r="10">
      <c r="A10" s="4">
        <v>46070.50939623843</v>
      </c>
      <c r="B10" s="3" t="s">
        <v>72</v>
      </c>
      <c r="D10" s="3" t="s">
        <v>73</v>
      </c>
    </row>
    <row r="11">
      <c r="A11" s="4">
        <v>46070.50939623843</v>
      </c>
      <c r="B11" s="3" t="s">
        <v>74</v>
      </c>
      <c r="D11" s="3" t="s">
        <v>75</v>
      </c>
    </row>
    <row r="12">
      <c r="A12" s="4">
        <v>46070.50939623843</v>
      </c>
      <c r="B12" s="3" t="s">
        <v>76</v>
      </c>
      <c r="D12" s="3" t="s">
        <v>77</v>
      </c>
    </row>
    <row r="13">
      <c r="A13" s="4">
        <v>46070.50939623843</v>
      </c>
      <c r="B13" s="3" t="s">
        <v>78</v>
      </c>
      <c r="D13" s="3" t="s">
        <v>79</v>
      </c>
    </row>
    <row r="14">
      <c r="A14" s="4">
        <v>46070.50939623843</v>
      </c>
      <c r="B14" s="3" t="s">
        <v>80</v>
      </c>
      <c r="D14" s="3" t="s">
        <v>81</v>
      </c>
    </row>
    <row r="15">
      <c r="A15" s="4">
        <v>46070.50939623843</v>
      </c>
      <c r="B15" s="3" t="s">
        <v>82</v>
      </c>
      <c r="D15" s="3" t="s">
        <v>83</v>
      </c>
    </row>
    <row r="16">
      <c r="A16" s="4">
        <v>46070.50939623843</v>
      </c>
      <c r="B16" s="3" t="s">
        <v>84</v>
      </c>
      <c r="D16" s="3" t="s">
        <v>85</v>
      </c>
    </row>
    <row r="17">
      <c r="A17" s="4">
        <v>46070.50939623843</v>
      </c>
      <c r="B17" s="3" t="s">
        <v>86</v>
      </c>
      <c r="D17" s="3" t="s">
        <v>87</v>
      </c>
    </row>
    <row r="18">
      <c r="A18" s="4">
        <v>46070.50939623843</v>
      </c>
      <c r="B18" s="3" t="s">
        <v>88</v>
      </c>
      <c r="D18" s="3" t="s">
        <v>89</v>
      </c>
    </row>
    <row r="19">
      <c r="A19" s="4">
        <v>46070.50939623843</v>
      </c>
      <c r="B19" s="3" t="s">
        <v>90</v>
      </c>
      <c r="D19" s="3" t="s">
        <v>91</v>
      </c>
    </row>
    <row r="20">
      <c r="A20" s="4">
        <v>46070.50939623843</v>
      </c>
      <c r="B20" s="3" t="s">
        <v>92</v>
      </c>
      <c r="D20" s="3" t="s">
        <v>93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5.13"/>
    <col customWidth="1" min="3" max="3" width="62.63"/>
    <col customWidth="1" min="4" max="4" width="22.63"/>
  </cols>
  <sheetData>
    <row r="1">
      <c r="A1" s="14" t="s">
        <v>94</v>
      </c>
      <c r="B1" s="14" t="s">
        <v>95</v>
      </c>
      <c r="C1" s="14" t="s">
        <v>96</v>
      </c>
      <c r="D1" s="14" t="s">
        <v>97</v>
      </c>
    </row>
    <row r="2">
      <c r="A2" s="3" t="s">
        <v>98</v>
      </c>
      <c r="B2" s="3" t="s">
        <v>99</v>
      </c>
      <c r="C2" s="3" t="s">
        <v>100</v>
      </c>
      <c r="D2" s="15">
        <v>46062.60330903935</v>
      </c>
    </row>
    <row r="3">
      <c r="A3" s="3" t="s">
        <v>101</v>
      </c>
      <c r="B3" s="3" t="s">
        <v>102</v>
      </c>
      <c r="C3" s="3" t="s">
        <v>103</v>
      </c>
      <c r="D3" s="15">
        <v>46072.652213194444</v>
      </c>
    </row>
    <row r="4">
      <c r="A4" s="3" t="s">
        <v>104</v>
      </c>
      <c r="B4" s="3" t="s">
        <v>105</v>
      </c>
      <c r="C4" s="3" t="s">
        <v>106</v>
      </c>
      <c r="D4" s="15">
        <v>46072.652213194444</v>
      </c>
    </row>
    <row r="5">
      <c r="A5" s="3" t="s">
        <v>107</v>
      </c>
      <c r="B5" s="3" t="s">
        <v>108</v>
      </c>
      <c r="C5" s="3" t="s">
        <v>109</v>
      </c>
      <c r="D5" s="15">
        <v>46072.652213194444</v>
      </c>
    </row>
    <row r="6">
      <c r="A6" s="3" t="s">
        <v>110</v>
      </c>
      <c r="B6" s="3" t="s">
        <v>111</v>
      </c>
      <c r="C6" s="3" t="s">
        <v>112</v>
      </c>
      <c r="D6" s="15">
        <v>46072.65715190972</v>
      </c>
    </row>
    <row r="7">
      <c r="A7" s="3" t="s">
        <v>113</v>
      </c>
      <c r="B7" s="3" t="s">
        <v>114</v>
      </c>
      <c r="C7" s="3" t="s">
        <v>115</v>
      </c>
      <c r="D7" s="15">
        <v>46072.652213194444</v>
      </c>
    </row>
    <row r="8">
      <c r="A8" s="3" t="s">
        <v>116</v>
      </c>
      <c r="B8" s="3" t="s">
        <v>117</v>
      </c>
      <c r="C8" s="3" t="s">
        <v>118</v>
      </c>
      <c r="D8" s="15">
        <v>46072.65289</v>
      </c>
    </row>
    <row r="9">
      <c r="A9" s="3" t="s">
        <v>119</v>
      </c>
      <c r="B9" s="3" t="s">
        <v>120</v>
      </c>
      <c r="C9" s="3" t="s">
        <v>121</v>
      </c>
      <c r="D9" s="15">
        <v>46072.652213194444</v>
      </c>
    </row>
    <row r="10">
      <c r="A10" s="3" t="s">
        <v>122</v>
      </c>
      <c r="B10" s="3" t="s">
        <v>123</v>
      </c>
      <c r="C10" s="3" t="s">
        <v>124</v>
      </c>
      <c r="D10" s="15">
        <v>46072.652213194444</v>
      </c>
    </row>
    <row r="11">
      <c r="A11" s="3" t="s">
        <v>125</v>
      </c>
      <c r="B11" s="3" t="s">
        <v>126</v>
      </c>
      <c r="C11" s="3" t="s">
        <v>127</v>
      </c>
      <c r="D11" s="15">
        <v>46072.652213194444</v>
      </c>
    </row>
    <row r="12">
      <c r="A12" s="3" t="s">
        <v>128</v>
      </c>
      <c r="B12" s="3" t="s">
        <v>129</v>
      </c>
      <c r="C12" s="3" t="s">
        <v>130</v>
      </c>
      <c r="D12" s="15">
        <v>46072.652213194444</v>
      </c>
    </row>
    <row r="13">
      <c r="A13" s="3" t="s">
        <v>131</v>
      </c>
      <c r="B13" s="3" t="s">
        <v>132</v>
      </c>
      <c r="C13" s="3" t="s">
        <v>133</v>
      </c>
      <c r="D13" s="15">
        <v>46072.652213194444</v>
      </c>
    </row>
    <row r="14">
      <c r="B14" s="3" t="s">
        <v>134</v>
      </c>
      <c r="C14" s="3" t="s">
        <v>135</v>
      </c>
      <c r="D14" s="15">
        <v>46072.652213194444</v>
      </c>
    </row>
    <row r="15">
      <c r="A15" s="3" t="s">
        <v>136</v>
      </c>
      <c r="B15" s="3" t="s">
        <v>137</v>
      </c>
      <c r="C15" s="3" t="s">
        <v>138</v>
      </c>
      <c r="D15" s="15">
        <v>46072.652213194444</v>
      </c>
    </row>
    <row r="16">
      <c r="A16" s="3" t="s">
        <v>139</v>
      </c>
      <c r="B16" s="3" t="s">
        <v>140</v>
      </c>
      <c r="C16" s="3" t="s">
        <v>141</v>
      </c>
      <c r="D16" s="15">
        <v>46072.652213194444</v>
      </c>
    </row>
    <row r="17">
      <c r="A17" s="3" t="s">
        <v>142</v>
      </c>
      <c r="B17" s="3" t="s">
        <v>143</v>
      </c>
      <c r="C17" s="3" t="s">
        <v>144</v>
      </c>
      <c r="D17" s="15">
        <v>46072.652213194444</v>
      </c>
    </row>
    <row r="18">
      <c r="A18" s="3" t="s">
        <v>145</v>
      </c>
      <c r="B18" s="3" t="s">
        <v>146</v>
      </c>
      <c r="C18" s="3" t="s">
        <v>147</v>
      </c>
      <c r="D18" s="15">
        <v>46072.652213194444</v>
      </c>
    </row>
    <row r="19">
      <c r="A19" s="3" t="s">
        <v>148</v>
      </c>
      <c r="B19" s="3" t="s">
        <v>149</v>
      </c>
      <c r="C19" s="3" t="s">
        <v>150</v>
      </c>
      <c r="D19" s="15">
        <v>46072.652213194444</v>
      </c>
    </row>
    <row r="20">
      <c r="A20" s="3" t="s">
        <v>151</v>
      </c>
      <c r="B20" s="3" t="s">
        <v>152</v>
      </c>
      <c r="C20" s="3" t="s">
        <v>153</v>
      </c>
      <c r="D20" s="15">
        <v>46072.652213194444</v>
      </c>
    </row>
    <row r="21">
      <c r="A21" s="3" t="s">
        <v>154</v>
      </c>
      <c r="B21" s="3" t="s">
        <v>155</v>
      </c>
      <c r="C21" s="3" t="s">
        <v>156</v>
      </c>
      <c r="D21" s="15">
        <v>46072.652213194444</v>
      </c>
    </row>
    <row r="22">
      <c r="A22" s="3" t="s">
        <v>157</v>
      </c>
      <c r="B22" s="3" t="s">
        <v>158</v>
      </c>
      <c r="C22" s="3" t="s">
        <v>159</v>
      </c>
      <c r="D22" s="15">
        <v>46072.652213194444</v>
      </c>
    </row>
    <row r="23">
      <c r="A23" s="3" t="s">
        <v>160</v>
      </c>
      <c r="B23" s="3" t="s">
        <v>161</v>
      </c>
      <c r="C23" s="3" t="s">
        <v>162</v>
      </c>
      <c r="D23" s="15">
        <v>46072.652213194444</v>
      </c>
    </row>
    <row r="24">
      <c r="A24" s="3" t="s">
        <v>163</v>
      </c>
      <c r="B24" s="3" t="s">
        <v>164</v>
      </c>
      <c r="C24" s="3" t="s">
        <v>165</v>
      </c>
      <c r="D24" s="15">
        <v>46072.652213194444</v>
      </c>
    </row>
    <row r="25">
      <c r="A25" s="3" t="s">
        <v>166</v>
      </c>
      <c r="B25" s="3" t="s">
        <v>167</v>
      </c>
      <c r="C25" s="3" t="s">
        <v>168</v>
      </c>
      <c r="D25" s="15">
        <v>46072.65812431713</v>
      </c>
    </row>
    <row r="26">
      <c r="A26" s="3" t="s">
        <v>169</v>
      </c>
      <c r="B26" s="3" t="s">
        <v>170</v>
      </c>
      <c r="C26" s="3" t="s">
        <v>171</v>
      </c>
      <c r="D26" s="15">
        <v>46072.652213194444</v>
      </c>
    </row>
    <row r="27">
      <c r="A27" s="3" t="s">
        <v>172</v>
      </c>
      <c r="B27" s="3" t="s">
        <v>173</v>
      </c>
      <c r="C27" s="3" t="s">
        <v>174</v>
      </c>
      <c r="D27" s="15">
        <v>46072.652213194444</v>
      </c>
    </row>
    <row r="28">
      <c r="A28" s="3" t="s">
        <v>175</v>
      </c>
      <c r="B28" s="3" t="s">
        <v>176</v>
      </c>
      <c r="C28" s="3" t="s">
        <v>177</v>
      </c>
      <c r="D28" s="15">
        <v>46072.652213194444</v>
      </c>
    </row>
    <row r="29">
      <c r="A29" s="3" t="s">
        <v>178</v>
      </c>
      <c r="B29" s="3" t="s">
        <v>179</v>
      </c>
      <c r="C29" s="3" t="s">
        <v>180</v>
      </c>
      <c r="D29" s="15">
        <v>46072.652213194444</v>
      </c>
    </row>
    <row r="30">
      <c r="A30" s="3" t="s">
        <v>181</v>
      </c>
      <c r="B30" s="3" t="s">
        <v>182</v>
      </c>
      <c r="C30" s="3" t="s">
        <v>183</v>
      </c>
      <c r="D30" s="15">
        <v>46072.652213194444</v>
      </c>
    </row>
    <row r="31">
      <c r="A31" s="3" t="s">
        <v>184</v>
      </c>
      <c r="B31" s="3" t="s">
        <v>185</v>
      </c>
      <c r="C31" s="3" t="s">
        <v>186</v>
      </c>
      <c r="D31" s="15">
        <v>46072.652213194444</v>
      </c>
    </row>
    <row r="32">
      <c r="A32" s="3" t="s">
        <v>187</v>
      </c>
      <c r="B32" s="3" t="s">
        <v>188</v>
      </c>
      <c r="C32" s="3" t="s">
        <v>189</v>
      </c>
      <c r="D32" s="15">
        <v>46072.652213194444</v>
      </c>
    </row>
    <row r="33">
      <c r="A33" s="3" t="s">
        <v>190</v>
      </c>
      <c r="B33" s="3" t="s">
        <v>191</v>
      </c>
      <c r="C33" s="3" t="s">
        <v>192</v>
      </c>
      <c r="D33" s="15">
        <v>46072.652213194444</v>
      </c>
    </row>
    <row r="34">
      <c r="A34" s="3" t="s">
        <v>193</v>
      </c>
      <c r="B34" s="3" t="s">
        <v>194</v>
      </c>
      <c r="C34" s="3" t="s">
        <v>195</v>
      </c>
      <c r="D34" s="15">
        <v>46072.652213194444</v>
      </c>
    </row>
    <row r="35">
      <c r="A35" s="3" t="s">
        <v>196</v>
      </c>
      <c r="B35" s="3" t="s">
        <v>197</v>
      </c>
      <c r="C35" s="3" t="s">
        <v>198</v>
      </c>
      <c r="D35" s="15">
        <v>46072.652213194444</v>
      </c>
    </row>
    <row r="36">
      <c r="A36" s="3" t="s">
        <v>199</v>
      </c>
      <c r="B36" s="3" t="s">
        <v>200</v>
      </c>
      <c r="C36" s="3" t="s">
        <v>201</v>
      </c>
      <c r="D36" s="15">
        <v>46072.652213194444</v>
      </c>
    </row>
    <row r="37">
      <c r="A37" s="3" t="s">
        <v>202</v>
      </c>
      <c r="B37" s="3" t="s">
        <v>203</v>
      </c>
      <c r="C37" s="3" t="s">
        <v>204</v>
      </c>
      <c r="D37" s="15">
        <v>46072.652213194444</v>
      </c>
    </row>
    <row r="38">
      <c r="A38" s="3" t="s">
        <v>205</v>
      </c>
      <c r="B38" s="3" t="s">
        <v>206</v>
      </c>
      <c r="C38" s="3" t="s">
        <v>207</v>
      </c>
      <c r="D38" s="15">
        <v>46072.652213194444</v>
      </c>
    </row>
    <row r="39">
      <c r="A39" s="3" t="s">
        <v>208</v>
      </c>
      <c r="B39" s="3" t="s">
        <v>209</v>
      </c>
      <c r="C39" s="3" t="s">
        <v>210</v>
      </c>
      <c r="D39" s="15">
        <v>46072.652213194444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63"/>
    <col customWidth="1" min="2" max="2" width="34.88"/>
    <col customWidth="1" min="3" max="3" width="13.5"/>
    <col customWidth="1" min="4" max="4" width="13.38"/>
    <col customWidth="1" min="5" max="5" width="11.38"/>
    <col customWidth="1" min="6" max="6" width="9.0"/>
    <col customWidth="1" min="7" max="7" width="8.13"/>
    <col customWidth="1" min="8" max="8" width="18.63"/>
    <col customWidth="1" min="9" max="9" width="14.88"/>
    <col customWidth="1" min="10" max="10" width="12.13"/>
    <col customWidth="1" min="11" max="11" width="12.38"/>
    <col customWidth="1" min="12" max="12" width="14.38"/>
    <col customWidth="1" min="13" max="13" width="11.88"/>
    <col customWidth="1" min="14" max="14" width="8.88"/>
    <col customWidth="1" min="15" max="15" width="12.88"/>
    <col customWidth="1" min="16" max="16" width="13.13"/>
    <col customWidth="1" min="17" max="17" width="17.25"/>
    <col customWidth="1" min="18" max="18" width="21.13"/>
    <col customWidth="1" min="19" max="19" width="17.38"/>
    <col customWidth="1" min="20" max="20" width="12.13"/>
    <col customWidth="1" min="21" max="21" width="15.38"/>
    <col customWidth="1" min="22" max="23" width="16.63"/>
    <col customWidth="1" min="24" max="24" width="14.75"/>
    <col customWidth="1" min="25" max="25" width="15.13"/>
    <col customWidth="1" min="26" max="26" width="16.5"/>
    <col customWidth="1" min="27" max="27" width="14.63"/>
    <col customWidth="1" min="28" max="28" width="23.0"/>
    <col customWidth="1" min="29" max="29" width="16.75"/>
    <col customWidth="1" min="30" max="30" width="17.0"/>
    <col customWidth="1" min="31" max="31" width="18.25"/>
    <col customWidth="1" min="32" max="32" width="18.5"/>
    <col customWidth="1" min="33" max="33" width="19.75"/>
    <col customWidth="1" min="34" max="34" width="20.0"/>
    <col customWidth="1" min="35" max="35" width="17.5"/>
    <col customWidth="1" min="36" max="44" width="62.63"/>
    <col customWidth="1" min="45" max="45" width="50.13"/>
    <col customWidth="1" min="46" max="46" width="30.0"/>
    <col customWidth="1" min="47" max="49" width="50.13"/>
  </cols>
  <sheetData>
    <row r="1">
      <c r="A1" s="16" t="s">
        <v>95</v>
      </c>
      <c r="B1" s="16" t="s">
        <v>0</v>
      </c>
      <c r="C1" s="16" t="s">
        <v>211</v>
      </c>
      <c r="D1" s="16" t="s">
        <v>1</v>
      </c>
      <c r="E1" s="16" t="s">
        <v>3</v>
      </c>
      <c r="F1" s="16" t="s">
        <v>4</v>
      </c>
      <c r="G1" s="16" t="s">
        <v>5</v>
      </c>
      <c r="H1" s="16" t="s">
        <v>6</v>
      </c>
      <c r="I1" s="16" t="s">
        <v>7</v>
      </c>
      <c r="J1" s="16" t="s">
        <v>8</v>
      </c>
      <c r="K1" s="16" t="s">
        <v>9</v>
      </c>
      <c r="L1" s="16" t="s">
        <v>10</v>
      </c>
      <c r="M1" s="16" t="s">
        <v>16</v>
      </c>
      <c r="N1" s="16" t="s">
        <v>18</v>
      </c>
      <c r="O1" s="16" t="s">
        <v>19</v>
      </c>
      <c r="P1" s="16" t="s">
        <v>20</v>
      </c>
      <c r="Q1" s="16" t="s">
        <v>212</v>
      </c>
      <c r="R1" s="16" t="s">
        <v>213</v>
      </c>
      <c r="S1" s="16" t="s">
        <v>214</v>
      </c>
      <c r="T1" s="16" t="s">
        <v>215</v>
      </c>
      <c r="U1" s="16" t="s">
        <v>216</v>
      </c>
      <c r="V1" s="16" t="s">
        <v>217</v>
      </c>
      <c r="W1" s="16" t="s">
        <v>218</v>
      </c>
      <c r="X1" s="16" t="s">
        <v>219</v>
      </c>
      <c r="Y1" s="16" t="s">
        <v>220</v>
      </c>
      <c r="Z1" s="16" t="s">
        <v>221</v>
      </c>
      <c r="AA1" s="16" t="s">
        <v>222</v>
      </c>
      <c r="AB1" s="16" t="s">
        <v>223</v>
      </c>
      <c r="AC1" s="16" t="s">
        <v>224</v>
      </c>
      <c r="AD1" s="16" t="s">
        <v>225</v>
      </c>
      <c r="AE1" s="16" t="s">
        <v>226</v>
      </c>
      <c r="AF1" s="16" t="s">
        <v>227</v>
      </c>
      <c r="AG1" s="16" t="s">
        <v>228</v>
      </c>
      <c r="AH1" s="16" t="s">
        <v>229</v>
      </c>
      <c r="AI1" s="16" t="s">
        <v>230</v>
      </c>
      <c r="AJ1" s="16" t="s">
        <v>231</v>
      </c>
      <c r="AK1" s="16" t="s">
        <v>232</v>
      </c>
      <c r="AL1" s="16" t="s">
        <v>233</v>
      </c>
      <c r="AM1" s="16" t="s">
        <v>234</v>
      </c>
      <c r="AN1" s="16" t="s">
        <v>235</v>
      </c>
      <c r="AO1" s="16" t="s">
        <v>236</v>
      </c>
      <c r="AP1" s="16" t="s">
        <v>237</v>
      </c>
      <c r="AQ1" s="16" t="s">
        <v>238</v>
      </c>
      <c r="AR1" s="16" t="s">
        <v>239</v>
      </c>
      <c r="AS1" s="16" t="s">
        <v>240</v>
      </c>
      <c r="AT1" s="16" t="s">
        <v>241</v>
      </c>
      <c r="AU1" s="17"/>
      <c r="AV1" s="3" t="s">
        <v>21</v>
      </c>
      <c r="AW1" s="4">
        <v>46072.661217037035</v>
      </c>
    </row>
    <row r="2">
      <c r="A2" s="3" t="s">
        <v>242</v>
      </c>
      <c r="B2" s="3" t="s">
        <v>243</v>
      </c>
      <c r="C2" s="2"/>
      <c r="D2" s="4">
        <v>46081.0</v>
      </c>
      <c r="E2" s="8">
        <v>7200.0</v>
      </c>
      <c r="F2" s="8">
        <v>7200.0</v>
      </c>
      <c r="G2" s="3" t="s">
        <v>23</v>
      </c>
      <c r="H2" s="3" t="s">
        <v>24</v>
      </c>
      <c r="I2" s="8">
        <v>7200.0</v>
      </c>
      <c r="K2" s="9">
        <v>0.543333333333333</v>
      </c>
      <c r="L2" s="10"/>
      <c r="M2" s="3" t="s">
        <v>25</v>
      </c>
      <c r="N2" s="3" t="s">
        <v>26</v>
      </c>
      <c r="O2" s="3" t="s">
        <v>27</v>
      </c>
      <c r="P2" s="3" t="s">
        <v>28</v>
      </c>
      <c r="Q2" s="18">
        <v>45.0</v>
      </c>
      <c r="R2" s="3">
        <v>21.0</v>
      </c>
      <c r="S2" s="3">
        <v>11.0</v>
      </c>
      <c r="T2" s="3">
        <v>9.0</v>
      </c>
      <c r="U2" s="3">
        <v>2.0</v>
      </c>
      <c r="V2" s="3">
        <v>2.0</v>
      </c>
      <c r="W2" s="19">
        <v>11.0</v>
      </c>
      <c r="X2" s="20">
        <v>46051.48905092593</v>
      </c>
      <c r="Y2" s="19">
        <v>2.0</v>
      </c>
      <c r="Z2" s="19">
        <v>0.0</v>
      </c>
      <c r="AA2" s="19">
        <v>0.0</v>
      </c>
      <c r="AB2" s="21">
        <v>50.0</v>
      </c>
      <c r="AC2" s="20">
        <v>46035.41666666667</v>
      </c>
      <c r="AD2" s="22"/>
      <c r="AE2" s="19">
        <v>2.0</v>
      </c>
      <c r="AF2" s="19">
        <v>0.0</v>
      </c>
      <c r="AG2" s="19">
        <v>2.0</v>
      </c>
      <c r="AH2" s="19">
        <v>0.0</v>
      </c>
      <c r="AI2" s="19">
        <v>0.0</v>
      </c>
      <c r="AJ2" s="3" t="s">
        <v>244</v>
      </c>
      <c r="AK2" s="2"/>
      <c r="AL2" s="2"/>
      <c r="AM2" s="3" t="s">
        <v>245</v>
      </c>
      <c r="AN2" s="3" t="s">
        <v>246</v>
      </c>
      <c r="AO2" s="3" t="s">
        <v>247</v>
      </c>
      <c r="AP2" s="3" t="s">
        <v>248</v>
      </c>
      <c r="AQ2" s="3" t="s">
        <v>248</v>
      </c>
      <c r="AR2" s="3" t="s">
        <v>249</v>
      </c>
      <c r="AS2" s="2" t="str">
        <f>IFERROR(__xludf.DUMMYFUNCTION("AI(""You are a customer success manager reviewing account health. Write a 3-4 sentence engagement summary for: Merz Pharma
Renewal: 2026-02-28 | Stage: Closing Interactions (14) | CSM: John Davis | Engagement Score: 45/100 | Days since last contact: 21 | "&amp;"Emails 30d/90d: 2/11 | Meetings past/future/30d: 2/0/0 | Last meeting: 2026-01-13 | Next meeting:  | Open tasks: 0 | Recaps: 0 | Action items: 0
--- RECENT EMAILS (newest first) ---
2026-01-29 (OUT): Re: Merz renewal &amp; Extended Data Retention SO — Can I "&amp;"nudge on this?
 Preah, have you had a chance to review and or speak with Elvis?
 If there is anything that you need clarification on please le
2026-01-29 (OUT): Upcoming ObservePoint Renewal on February 28, 2026 - Merz Pharma — [image: ObservePoint Logo"&amp;"_Gray_ON_YEllow_LOGO.jpeg]  A friendly reminder that it's time to renew.   Hi Preah,   The last day of your current term is *
2026-01-20 (OUT): Re: Merz renewal &amp; Extended Data Retention SO — Thank you Elvis
 *Andy Compas* *   |    Account Executive*
"&amp;" 
   801.361.4079
   *andy.compas@observepoint.com &lt;andy.compas@observepoint.com&gt;
--- OPEN/RECENT GITHUB TASKS ---
--- RECENT MEETING RECAPS ---
Based on all of the above, describe the engagement level, call out any concerns (e.g. no recent con"&amp;"tact, low score, no future meetings booked, overdue action items), and suggest one specific next step."")"),"=AI(""You are a customer success manager reviewing account health. Write a 3-4 sentence engagement summary for: Merz Pharma
Renewal: 2026-02-28 | Stage: Closing Interactions (14) | CSM: John Davis | Engagement Score: 45/100 | Days since last contact: 21 |"&amp;" Emails 30d/90d: 2/11 | Meetings past/future/30d: 2/0/0 | Last meeting: 2026-01-13 | Next meeting:  | Open tasks: 0 | Recaps: 0 | Action items: 0
--- RECENT EMAILS (newest first) ---
2026-01-29 (OUT): Re: Merz renewal &amp; Extended Data Retention SO — Can I"&amp;" nudge on this?
 Preah, have you had a chance to review and or speak with Elvis?
 If there is anything that you need clarification on please le
2026-01-29 (OUT): Upcoming ObservePoint Renewal on February 28, 2026 - Merz Pharma — [image: ObservePoint Log"&amp;"o_Gray_ON_YEllow_LOGO.jpeg]  A friendly reminder that it's time to renew.   Hi Preah,   The last day of your current term is *
2026-01-20 (OUT): Re: Merz renewal &amp; Extended Data Retention SO — Thank you Elvis
 *Andy Compas* *   |    Account Executive*"&amp;"
   801.361.4079
   *andy.compas@observepoint.com &lt;andy.compas@observepoint.com&gt;
--- OPEN/RECENT GITHUB TASKS ---
--- RECENT MEETING RECAPS ---
Based on all of the above, describe the engagement level, call out any concerns (e.g. no recent co"&amp;"ntact, low score, no future meetings booked, overdue action items), and suggest one specific next step."")")</f>
        <v>=AI("You are a customer success manager reviewing account health. Write a 3-4 sentence engagement summary for: Merz Pharma
Renewal: 2026-02-28 | Stage: Closing Interactions (14) | CSM: John Davis | Engagement Score: 45/100 | Days since last contact: 21 | Emails 30d/90d: 2/11 | Meetings past/future/30d: 2/0/0 | Last meeting: 2026-01-13 | Next meeting:  | Open tasks: 0 | Recaps: 0 | Action items: 0
--- RECENT EMAILS (newest first) ---
2026-01-29 (OUT): Re: Merz renewal &amp; Extended Data Retention SO — Can I nudge on this?
 Preah, have you had a chance to review and or speak with Elvis?
 If there is anything that you need clarification on please le
2026-01-29 (OUT): Upcoming ObservePoint Renewal on February 28, 2026 - Merz Pharma — [image: ObservePoint Logo_Gray_ON_YEllow_LOGO.jpeg]  A friendly reminder that it's time to renew.   Hi Preah,   The last day of your current term is *
2026-01-20 (OUT): Re: Merz renewal &amp; Extended Data Retention SO — Thank you Elvis
 *Andy Compas* *   |    Account Executive*
   801.361.4079
   *andy.compas@observepoint.com &lt;andy.compas@observepoint.com&gt;
--- OPEN/RECENT GITHUB TASKS ---
--- RECENT MEETING RECAPS ---
Based on all of the above, describe the engagement level, call out any concerns (e.g. no recent contact, low score, no future meetings booked, overdue action items), and suggest one specific next step.")</v>
      </c>
      <c r="AT2" s="3" t="s">
        <v>250</v>
      </c>
      <c r="AU2" s="2"/>
      <c r="AV2" s="2"/>
      <c r="AW2" s="2"/>
    </row>
    <row r="3">
      <c r="A3" s="3" t="s">
        <v>251</v>
      </c>
      <c r="B3" s="3" t="s">
        <v>252</v>
      </c>
      <c r="C3" s="2"/>
      <c r="D3" s="4">
        <v>46081.0</v>
      </c>
      <c r="E3" s="8">
        <v>29000.0</v>
      </c>
      <c r="F3" s="8">
        <v>29000.0</v>
      </c>
      <c r="G3" s="3" t="s">
        <v>29</v>
      </c>
      <c r="H3" s="3" t="s">
        <v>30</v>
      </c>
      <c r="I3" s="8">
        <v>29000.0</v>
      </c>
      <c r="J3" s="19">
        <v>56.0</v>
      </c>
      <c r="K3" s="9">
        <v>0.140616666666666</v>
      </c>
      <c r="L3" s="9">
        <v>0.04</v>
      </c>
      <c r="M3" s="3" t="s">
        <v>25</v>
      </c>
      <c r="N3" s="3" t="s">
        <v>26</v>
      </c>
      <c r="O3" s="3" t="s">
        <v>31</v>
      </c>
      <c r="P3" s="3" t="s">
        <v>32</v>
      </c>
      <c r="Q3" s="23">
        <v>89.0</v>
      </c>
      <c r="R3" s="3">
        <v>13.0</v>
      </c>
      <c r="S3" s="3">
        <v>57.0</v>
      </c>
      <c r="T3" s="3">
        <v>34.0</v>
      </c>
      <c r="U3" s="3">
        <v>23.0</v>
      </c>
      <c r="V3" s="3">
        <v>12.0</v>
      </c>
      <c r="W3" s="19">
        <v>57.0</v>
      </c>
      <c r="X3" s="20">
        <v>46056.51170138889</v>
      </c>
      <c r="Y3" s="19">
        <v>9.0</v>
      </c>
      <c r="Z3" s="19">
        <v>50.0</v>
      </c>
      <c r="AA3" s="19">
        <v>3.0</v>
      </c>
      <c r="AB3" s="21">
        <v>72.0</v>
      </c>
      <c r="AC3" s="20">
        <v>46059.47916666667</v>
      </c>
      <c r="AD3" s="20">
        <v>46073.47916666667</v>
      </c>
      <c r="AE3" s="19">
        <v>7.0</v>
      </c>
      <c r="AF3" s="19">
        <v>1.0</v>
      </c>
      <c r="AG3" s="19">
        <v>6.0</v>
      </c>
      <c r="AH3" s="19">
        <v>3.0</v>
      </c>
      <c r="AI3" s="19">
        <v>8.0</v>
      </c>
      <c r="AJ3" s="3" t="s">
        <v>253</v>
      </c>
      <c r="AK3" s="3" t="s">
        <v>254</v>
      </c>
      <c r="AL3" s="3" t="s">
        <v>255</v>
      </c>
      <c r="AM3" s="3" t="s">
        <v>256</v>
      </c>
      <c r="AN3" s="3" t="s">
        <v>257</v>
      </c>
      <c r="AO3" s="3" t="s">
        <v>258</v>
      </c>
      <c r="AP3" s="3" t="s">
        <v>259</v>
      </c>
      <c r="AQ3" s="3" t="s">
        <v>260</v>
      </c>
      <c r="AR3" s="3" t="s">
        <v>261</v>
      </c>
      <c r="AS3" s="2" t="str">
        <f>IFERROR(__xludf.DUMMYFUNCTION("AI(""You are a customer success manager reviewing account health. Write a 3-4 sentence engagement summary for: Amica Mutual Insurance
Renewal: 2026-02-28 | Stage: Negotiation (63) | CSM: John Davis | Engagement Score: 89/100 | Days since last contact: 13 "&amp;"| Emails 30d/90d: 12/57 | Meetings past/future/30d: 9/50/3 | Last meeting: 2026-02-06 | Next meeting: 2026-02-20 | Open tasks: 1 | Recaps: 3 | Action items: 8
--- RECENT EMAILS (newest first) ---
2026-02-03 (OUT): Re: Re: Amica Mutual Single Sign-On conf"&amp;"iguration — #74079270: Re: Amica Mutual Single Sign-On configuration  Submitted  We'll pick up your ticket soon   Thanks Dallin, I will be your main point of cont
2026-02-03 (OUT): Re: Amica Mutual Single Sign-On configuration — Thanks Dallin,
 I will b"&amp;"e your main point of contact for this, but our Support team will be
 setting this up for you, so I have looped them in as we
2026-02-03 (OUT): Re: Amica Mutual Single Sign-On configuration — Thanks Dallin,
 I will be your main point of contact 
 *Rega"&amp;"rds, *
 John Davis *   |    * *Customer Success Manager*
 Cell: 801.633.6013
 john
--- OPEN/RECENT GITHUB TASKS ---
[OPEN] Send expansion pricing proposals to Frank (In progress)
--- RECENT MEETING RECAPS ---
2026-02-06: ObservePoint | Amica Weekly "&amp;"Sync
This meeting transcript covers two separate conversations. In the first conversation, John Davis and Arthur Engelhard discuss the redesigned rule UI for custom tags in ObservePoint's tag database, with Arthur mentioning upcoming needs for custom tag "&amp;"additions and CI/CD automation for their custom tag manager called Pathway, though GitHub Actions aren't currently enabled in their environment. In the second conversation, Frank Ialongo updates John on contract renewal progress, explaining that budg
---
"&amp;"2026-01-30: ObservePoint | Amica Weekly Sync
John Davis and Frank Ialongo discussed organizing ObservePoint journeys and audits, with a focus on creating effective alerting systems for marketing tag monitoring. They worked through setting up folder struct"&amp;"ures, building custom reports filtered by labels and folders, and establishing rules and alerts to monitor Facebook conversion tags across web pages. The session concluded with creating an alert that would notify the team when more than five pages (or 1% "&amp;"of total pages) are missing the Fac
Based on all of the above, describe the engagement level, call out any concerns (e.g. no recent contact, low score, no future meetings booked, overdue action items), and suggest one specific next step."")"),"=AI(""You are a customer success manager reviewing account health. Write a 3-4 sentence engagement summary for: Amica Mutual Insurance
Renewal: 2026-02-28 | Stage: Negotiation (63) | CSM: John Davis | Engagement Score: 89/100 | Days since last contact: 13"&amp;" | Emails 30d/90d: 12/57 | Meetings past/future/30d: 9/50/3 | Last meeting: 2026-02-06 | Next meeting: 2026-02-20 | Open tasks: 1 | Recaps: 3 | Action items: 8
--- RECENT EMAILS (newest first) ---
2026-02-03 (OUT): Re: Re: Amica Mutual Single Sign-On con"&amp;"figuration — #74079270: Re: Amica Mutual Single Sign-On configuration  Submitted  We'll pick up your ticket soon   Thanks Dallin, I will be your main point of cont
2026-02-03 (OUT): Re: Amica Mutual Single Sign-On configuration — Thanks Dallin,
 I will "&amp;"be your main point of contact for this, but our Support team will be
 setting this up for you, so I have looped them in as we
2026-02-03 (OUT): Re: Amica Mutual Single Sign-On configuration — Thanks Dallin,
 I will be your main point of contact 
 *Reg"&amp;"ards, *
 John Davis *   |    * *Customer Success Manager*
 Cell: 801.633.6013
 john
--- OPEN/RECENT GITHUB TASKS ---
[OPEN] Send expansion pricing proposals to Frank (In progress)
--- RECENT MEETING RECAPS ---
2026-02-06: ObservePoint | Amica Weekly"&amp;" Sync
This meeting transcript covers two separate conversations. In the first conversation, John Davis and Arthur Engelhard discuss the redesigned rule UI for custom tags in ObservePoint's tag database, with Arthur mentioning upcoming needs for custom tag"&amp;" additions and CI/CD automation for their custom tag manager called Pathway, though GitHub Actions aren't currently enabled in their environment. In the second conversation, Frank Ialongo updates John on contract renewal progress, explaining that budg
---"&amp;"
2026-01-30: ObservePoint | Amica Weekly Sync
John Davis and Frank Ialongo discussed organizing ObservePoint journeys and audits, with a focus on creating effective alerting systems for marketing tag monitoring. They worked through setting up folder struc"&amp;"tures, building custom reports filtered by labels and folders, and establishing rules and alerts to monitor Facebook conversion tags across web pages. The session concluded with creating an alert that would notify the team when more than five pages (or 1%"&amp;" of total pages) are missing the Fac
Based on all of the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Amica Mutual Insurance
Renewal: 2026-02-28 | Stage: Negotiation (63) | CSM: John Davis | Engagement Score: 89/100 | Days since last contact: 13 | Emails 30d/90d: 12/57 | Meetings past/future/30d: 9/50/3 | Last meeting: 2026-02-06 | Next meeting: 2026-02-20 | Open tasks: 1 | Recaps: 3 | Action items: 8
--- RECENT EMAILS (newest first) ---
2026-02-03 (OUT): Re: Re: Amica Mutual Single Sign-On configuration — #74079270: Re: Amica Mutual Single Sign-On configuration  Submitted  We'll pick up your ticket soon   Thanks Dallin, I will be your main point of cont
2026-02-03 (OUT): Re: Amica Mutual Single Sign-On configuration — Thanks Dallin,
 I will be your main point of contact for this, but our Support team will be
 setting this up for you, so I have looped them in as we
2026-02-03 (OUT): Re: Amica Mutual Single Sign-On configuration — Thanks Dallin,
 I will be your main point of contact 
 *Regards, *
 John Davis *   |    * *Customer Success Manager*
 Cell: 801.633.6013
 john
--- OPEN/RECENT GITHUB TASKS ---
[OPEN] Send expansion pricing proposals to Frank (In progress)
--- RECENT MEETING RECAPS ---
2026-02-06: ObservePoint | Amica Weekly Sync
This meeting transcript covers two separate conversations. In the first conversation, John Davis and Arthur Engelhard discuss the redesigned rule UI for custom tags in ObservePoint's tag database, with Arthur mentioning upcoming needs for custom tag additions and CI/CD automation for their custom tag manager called Pathway, though GitHub Actions aren't currently enabled in their environment. In the second conversation, Frank Ialongo updates John on contract renewal progress, explaining that budg
---
2026-01-30: ObservePoint | Amica Weekly Sync
John Davis and Frank Ialongo discussed organizing ObservePoint journeys and audits, with a focus on creating effective alerting systems for marketing tag monitoring. They worked through setting up folder structures, building custom reports filtered by labels and folders, and establishing rules and alerts to monitor Facebook conversion tags across web pages. The session concluded with creating an alert that would notify the team when more than five pages (or 1% of total pages) are missing the Fac
Based on all of the above, describe the engagement level, call out any concerns (e.g. no recent contact, low score, no future meetings booked, overdue action items), and suggest one specific next step.")</v>
      </c>
      <c r="AT3" s="3" t="s">
        <v>262</v>
      </c>
      <c r="AU3" s="2"/>
      <c r="AV3" s="2"/>
      <c r="AW3" s="2"/>
    </row>
    <row r="4">
      <c r="A4" s="3" t="s">
        <v>263</v>
      </c>
      <c r="B4" s="3" t="s">
        <v>264</v>
      </c>
      <c r="C4" s="2"/>
      <c r="D4" s="4">
        <v>46081.0</v>
      </c>
      <c r="E4" s="8">
        <v>33000.0</v>
      </c>
      <c r="F4" s="11"/>
      <c r="G4" s="3" t="s">
        <v>29</v>
      </c>
      <c r="H4" s="3" t="s">
        <v>34</v>
      </c>
      <c r="I4" s="11"/>
      <c r="K4" s="9">
        <v>0.53352</v>
      </c>
      <c r="L4" s="10"/>
      <c r="M4" s="3" t="s">
        <v>35</v>
      </c>
      <c r="N4" s="3" t="s">
        <v>26</v>
      </c>
      <c r="O4" s="3" t="s">
        <v>27</v>
      </c>
      <c r="P4" s="3" t="s">
        <v>28</v>
      </c>
      <c r="Q4" s="24">
        <v>31.0</v>
      </c>
      <c r="R4" s="3">
        <v>37.0</v>
      </c>
      <c r="S4" s="3">
        <v>8.0</v>
      </c>
      <c r="T4" s="3">
        <v>4.0</v>
      </c>
      <c r="U4" s="3">
        <v>4.0</v>
      </c>
      <c r="V4" s="3">
        <v>0.0</v>
      </c>
      <c r="W4" s="19">
        <v>8.0</v>
      </c>
      <c r="X4" s="20">
        <v>46034.67354166666</v>
      </c>
      <c r="Y4" s="19">
        <v>2.0</v>
      </c>
      <c r="Z4" s="19">
        <v>0.0</v>
      </c>
      <c r="AA4" s="19">
        <v>0.0</v>
      </c>
      <c r="AB4" s="21">
        <v>70.0</v>
      </c>
      <c r="AC4" s="20">
        <v>46034.64583333333</v>
      </c>
      <c r="AD4" s="22"/>
      <c r="AE4" s="19">
        <v>3.0</v>
      </c>
      <c r="AF4" s="19">
        <v>1.0</v>
      </c>
      <c r="AG4" s="19">
        <v>2.0</v>
      </c>
      <c r="AH4" s="19">
        <v>0.0</v>
      </c>
      <c r="AI4" s="19">
        <v>0.0</v>
      </c>
      <c r="AJ4" s="3" t="s">
        <v>265</v>
      </c>
      <c r="AK4" s="3" t="s">
        <v>266</v>
      </c>
      <c r="AL4" s="2"/>
      <c r="AM4" s="3" t="s">
        <v>267</v>
      </c>
      <c r="AN4" s="3" t="s">
        <v>268</v>
      </c>
      <c r="AO4" s="3" t="s">
        <v>269</v>
      </c>
      <c r="AP4" s="3" t="s">
        <v>248</v>
      </c>
      <c r="AQ4" s="3" t="s">
        <v>248</v>
      </c>
      <c r="AR4" s="3" t="s">
        <v>270</v>
      </c>
      <c r="AS4" s="2" t="str">
        <f>IFERROR(__xludf.DUMMYFUNCTION("AI(""You are a customer success manager reviewing account health. Write a 3-4 sentence engagement summary for: Bluebeam Inc.
Renewal: 2026-02-28 | Stage: Discovery (170) | CSM: John Davis | Engagement Score: 31/100 | Days since last contact: 37 | Emails 3"&amp;"0d/90d: 0/8 | Meetings past/future/30d: 2/0/0 | Last meeting: 2026-01-12 | Next meeting:  | Open tasks: 1 | Recaps: 0 | Action items: 0
--- RECENT EMAILS (newest first) ---
2026-01-12 (IN): Example of EBR — Hi all,
 Please see an example of EBR from an"&amp;"other vendor we have that demonstrates value to our executives in a helpful way. Granted this tool has 
2026-01-12 (IN): Accepted: ObservePoint | Bluebeam Inc. Sync
2026-01-12 (IN): Accepted: ObservePoint | Bluebeam Inc. Sync
--- OPEN/RECENT GITHUB TASKS"&amp;" ---
[OPEN] Bluebeam - Create an end of year review style presentation before contract is up to show value (Blocked)
--- RECENT MEETING RECAPS ---
Based on all of the above, describe the engagement level, call out any concerns (e.g. no recent contact, "&amp;"low score, no future meetings booked, overdue action items), and suggest one specific next step."")"),"=AI(""You are a customer success manager reviewing account health. Write a 3-4 sentence engagement summary for: Bluebeam Inc.
Renewal: 2026-02-28 | Stage: Discovery (170) | CSM: John Davis | Engagement Score: 31/100 | Days since last contact: 37 | Emails "&amp;"30d/90d: 0/8 | Meetings past/future/30d: 2/0/0 | Last meeting: 2026-01-12 | Next meeting:  | Open tasks: 1 | Recaps: 0 | Action items: 0
--- RECENT EMAILS (newest first) ---
2026-01-12 (IN): Example of EBR — Hi all,
 Please see an example of EBR from a"&amp;"nother vendor we have that demonstrates value to our executives in a helpful way. Granted this tool has 
2026-01-12 (IN): Accepted: ObservePoint | Bluebeam Inc. Sync
2026-01-12 (IN): Accepted: ObservePoint | Bluebeam Inc. Sync
--- OPEN/RECENT GITHUB TASK"&amp;"S ---
[OPEN] Bluebeam - Create an end of year review style presentation before contract is up to show value (Blocked)
--- RECENT MEETING RECAPS ---
Based on all of the above, describe the engagement level, call out any concerns (e.g. no recent contact,"&amp;" low score, no future meetings booked, overdue action items), and suggest one specific next step."")")</f>
        <v>=AI("You are a customer success manager reviewing account health. Write a 3-4 sentence engagement summary for: Bluebeam Inc.
Renewal: 2026-02-28 | Stage: Discovery (170) | CSM: John Davis | Engagement Score: 31/100 | Days since last contact: 37 | Emails 30d/90d: 0/8 | Meetings past/future/30d: 2/0/0 | Last meeting: 2026-01-12 | Next meeting:  | Open tasks: 1 | Recaps: 0 | Action items: 0
--- RECENT EMAILS (newest first) ---
2026-01-12 (IN): Example of EBR — Hi all,
 Please see an example of EBR from another vendor we have that demonstrates value to our executives in a helpful way. Granted this tool has 
2026-01-12 (IN): Accepted: ObservePoint | Bluebeam Inc. Sync
2026-01-12 (IN): Accepted: ObservePoint | Bluebeam Inc. Sync
--- OPEN/RECENT GITHUB TASKS ---
[OPEN] Bluebeam - Create an end of year review style presentation before contract is up to show value (Blocked)
--- RECENT MEETING RECAPS ---
Based on all of the above, describe the engagement level, call out any concerns (e.g. no recent contact, low score, no future meetings booked, overdue action items), and suggest one specific next step.")</v>
      </c>
      <c r="AT4" s="3" t="s">
        <v>271</v>
      </c>
      <c r="AU4" s="2"/>
      <c r="AV4" s="2"/>
      <c r="AW4" s="2"/>
    </row>
    <row r="5">
      <c r="A5" s="3" t="s">
        <v>272</v>
      </c>
      <c r="B5" s="3" t="s">
        <v>273</v>
      </c>
      <c r="C5" s="2"/>
      <c r="D5" s="4">
        <v>46082.0</v>
      </c>
      <c r="E5" s="8">
        <v>30000.0</v>
      </c>
      <c r="F5" s="8">
        <v>30000.0</v>
      </c>
      <c r="G5" s="3" t="s">
        <v>29</v>
      </c>
      <c r="H5" s="3" t="s">
        <v>30</v>
      </c>
      <c r="I5" s="8">
        <v>30000.0</v>
      </c>
      <c r="J5" s="19">
        <v>32.0</v>
      </c>
      <c r="K5" s="9">
        <v>0.882546666666666</v>
      </c>
      <c r="L5" s="9">
        <v>0.484666666666666</v>
      </c>
      <c r="M5" s="3" t="s">
        <v>25</v>
      </c>
      <c r="N5" s="3" t="s">
        <v>26</v>
      </c>
      <c r="O5" s="3" t="s">
        <v>36</v>
      </c>
      <c r="P5" s="3" t="s">
        <v>37</v>
      </c>
      <c r="Q5" s="23">
        <v>84.0</v>
      </c>
      <c r="R5" s="3">
        <v>13.0</v>
      </c>
      <c r="S5" s="3">
        <v>21.0</v>
      </c>
      <c r="T5" s="3">
        <v>17.0</v>
      </c>
      <c r="U5" s="3">
        <v>4.0</v>
      </c>
      <c r="V5" s="3">
        <v>17.0</v>
      </c>
      <c r="W5" s="19">
        <v>21.0</v>
      </c>
      <c r="X5" s="20">
        <v>46057.66055555556</v>
      </c>
      <c r="Y5" s="19">
        <v>3.0</v>
      </c>
      <c r="Z5" s="19">
        <v>26.0</v>
      </c>
      <c r="AA5" s="19">
        <v>2.0</v>
      </c>
      <c r="AB5" s="21">
        <v>38.0</v>
      </c>
      <c r="AC5" s="20">
        <v>46059.41666666667</v>
      </c>
      <c r="AD5" s="20">
        <v>46073.41666666667</v>
      </c>
      <c r="AE5" s="19">
        <v>1.0</v>
      </c>
      <c r="AF5" s="19">
        <v>1.0</v>
      </c>
      <c r="AG5" s="19">
        <v>0.0</v>
      </c>
      <c r="AH5" s="19">
        <v>1.0</v>
      </c>
      <c r="AI5" s="19">
        <v>2.0</v>
      </c>
      <c r="AJ5" s="3" t="s">
        <v>274</v>
      </c>
      <c r="AK5" s="3" t="s">
        <v>275</v>
      </c>
      <c r="AL5" s="3" t="s">
        <v>276</v>
      </c>
      <c r="AM5" s="3" t="s">
        <v>277</v>
      </c>
      <c r="AN5" s="3" t="s">
        <v>278</v>
      </c>
      <c r="AO5" s="3" t="s">
        <v>279</v>
      </c>
      <c r="AP5" s="3" t="s">
        <v>280</v>
      </c>
      <c r="AQ5" s="3" t="s">
        <v>281</v>
      </c>
      <c r="AR5" s="3" t="s">
        <v>282</v>
      </c>
      <c r="AS5" s="2" t="str">
        <f>IFERROR(__xludf.DUMMYFUNCTION("AI(""You are a customer success manager reviewing account health. Write a 3-4 sentence engagement summary for: Cost Plus World Market
Renewal: 2026-03-01 | Stage: Negotiation (63) | CSM: John Davis | Engagement Score: 84/100 | Days since last contact: 13 "&amp;"| Emails 30d/90d: 17/21 | Meetings past/future/30d: 3/26/2 | Last meeting: 2026-02-06 | Next meeting: 2026-02-20 | Open tasks: 1 | Recaps: 1 | Action items: 2
--- RECENT EMAILS (newest first) ---
2026-02-04 (OUT): Re: Contract Renewal — Thanks John.
 G"&amp;"rant -- looking forward to speaking on Friday. We've got some ideas to
 help your scanning value take off this year.
 Clarke Ande
2026-02-04 (OUT): Re: Contract Renewal — Hey Grant,
 Yes it is up on March 1st. I have looped Clark Anderson (your AE) "&amp;"into this
 thread for any questions that you might have for him.
 Yo
2026-02-04 (OUT): Re: Contract Renewal — Hey Grant,
 Yes it is up on March 1st. I have looped Clark Anderson (your AE) into this 
 thread for any questions that you might have for hi"&amp;"m.
 Y
--- OPEN/RECENT GITHUB TASKS ---
[OPEN] Configure 404 error page alerts (In progress)
--- RECENT MEETING RECAPS ---
2026-02-06: ObservePoint | World Market - Sync
Grant Menefee and the ObservePoint team discussed their upcoming March 1st contrac"&amp;"t renewal, with Grant expressing satisfaction with the tool's value delivery to the business, particularly for ecommerce website functionality and performance monitoring. Clark explored opportunities for expanding privacy scanning coverage and optimizing "&amp;"audit configurations, while Grant requested pricing options for a multi-year agreement that could potentially increase capacity or improve pricing. The team identi
Based on all of the above, describe the engagement level, call out any concerns (e.g. no r"&amp;"ecent contact, low score, no future meetings booked, overdue action items), and suggest one specific next step."")"),"=AI(""You are a customer success manager reviewing account health. Write a 3-4 sentence engagement summary for: Cost Plus World Market
Renewal: 2026-03-01 | Stage: Negotiation (63) | CSM: John Davis | Engagement Score: 84/100 | Days since last contact: 13"&amp;" | Emails 30d/90d: 17/21 | Meetings past/future/30d: 3/26/2 | Last meeting: 2026-02-06 | Next meeting: 2026-02-20 | Open tasks: 1 | Recaps: 1 | Action items: 2
--- RECENT EMAILS (newest first) ---
2026-02-04 (OUT): Re: Contract Renewal — Thanks John.
 "&amp;"Grant -- looking forward to speaking on Friday. We've got some ideas to
 help your scanning value take off this year.
 Clarke Ande
2026-02-04 (OUT): Re: Contract Renewal — Hey Grant,
 Yes it is up on March 1st. I have looped Clark Anderson (your AE)"&amp;" into this
 thread for any questions that you might have for him.
 Yo
2026-02-04 (OUT): Re: Contract Renewal — Hey Grant,
 Yes it is up on March 1st. I have looped Clark Anderson (your AE) into this 
 thread for any questions that you might have for h"&amp;"im.
 Y
--- OPEN/RECENT GITHUB TASKS ---
[OPEN] Configure 404 error page alerts (In progress)
--- RECENT MEETING RECAPS ---
2026-02-06: ObservePoint | World Market - Sync
Grant Menefee and the ObservePoint team discussed their upcoming March 1st contra"&amp;"ct renewal, with Grant expressing satisfaction with the tool's value delivery to the business, particularly for ecommerce website functionality and performance monitoring. Clark explored opportunities for expanding privacy scanning coverage and optimizing"&amp;" audit configurations, while Grant requested pricing options for a multi-year agreement that could potentially increase capacity or improve pricing. The team identi
Based on all of the above, describe the engagement level, call out any concerns (e.g. no "&amp;"recent contact, low score, no future meetings booked, overdue action items), and suggest one specific next step."")")</f>
        <v>=AI("You are a customer success manager reviewing account health. Write a 3-4 sentence engagement summary for: Cost Plus World Market
Renewal: 2026-03-01 | Stage: Negotiation (63) | CSM: John Davis | Engagement Score: 84/100 | Days since last contact: 13 | Emails 30d/90d: 17/21 | Meetings past/future/30d: 3/26/2 | Last meeting: 2026-02-06 | Next meeting: 2026-02-20 | Open tasks: 1 | Recaps: 1 | Action items: 2
--- RECENT EMAILS (newest first) ---
2026-02-04 (OUT): Re: Contract Renewal — Thanks John.
 Grant -- looking forward to speaking on Friday. We've got some ideas to
 help your scanning value take off this year.
 Clarke Ande
2026-02-04 (OUT): Re: Contract Renewal — Hey Grant,
 Yes it is up on March 1st. I have looped Clark Anderson (your AE) into this
 thread for any questions that you might have for him.
 Yo
2026-02-04 (OUT): Re: Contract Renewal — Hey Grant,
 Yes it is up on March 1st. I have looped Clark Anderson (your AE) into this 
 thread for any questions that you might have for him.
 Y
--- OPEN/RECENT GITHUB TASKS ---
[OPEN] Configure 404 error page alerts (In progress)
--- RECENT MEETING RECAPS ---
2026-02-06: ObservePoint | World Market - Sync
Grant Menefee and the ObservePoint team discussed their upcoming March 1st contract renewal, with Grant expressing satisfaction with the tool's value delivery to the business, particularly for ecommerce website functionality and performance monitoring. Clark explored opportunities for expanding privacy scanning coverage and optimizing audit configurations, while Grant requested pricing options for a multi-year agreement that could potentially increase capacity or improve pricing. The team identi
Based on all of the above, describe the engagement level, call out any concerns (e.g. no recent contact, low score, no future meetings booked, overdue action items), and suggest one specific next step.")</v>
      </c>
      <c r="AT5" s="3" t="s">
        <v>283</v>
      </c>
      <c r="AU5" s="2"/>
      <c r="AV5" s="2"/>
      <c r="AW5" s="2"/>
    </row>
    <row r="6">
      <c r="A6" s="3" t="s">
        <v>132</v>
      </c>
      <c r="B6" s="3" t="s">
        <v>284</v>
      </c>
      <c r="C6" s="2"/>
      <c r="D6" s="4">
        <v>46096.0</v>
      </c>
      <c r="E6" s="8">
        <v>32500.0</v>
      </c>
      <c r="F6" s="8">
        <v>32500.0</v>
      </c>
      <c r="G6" s="3" t="s">
        <v>29</v>
      </c>
      <c r="H6" s="3" t="s">
        <v>30</v>
      </c>
      <c r="I6" s="8">
        <v>32500.0</v>
      </c>
      <c r="J6" s="19">
        <v>20.0</v>
      </c>
      <c r="K6" s="9">
        <v>0.121525063430021</v>
      </c>
      <c r="L6" s="9">
        <v>0.219333333333333</v>
      </c>
      <c r="M6" s="3" t="s">
        <v>25</v>
      </c>
      <c r="N6" s="3" t="s">
        <v>26</v>
      </c>
      <c r="O6" s="3" t="s">
        <v>38</v>
      </c>
      <c r="P6" s="3" t="s">
        <v>37</v>
      </c>
      <c r="Q6" s="23">
        <v>90.0</v>
      </c>
      <c r="R6" s="3">
        <v>6.0</v>
      </c>
      <c r="S6" s="3">
        <v>42.0</v>
      </c>
      <c r="T6" s="3">
        <v>26.0</v>
      </c>
      <c r="U6" s="3">
        <v>16.0</v>
      </c>
      <c r="V6" s="3">
        <v>9.0</v>
      </c>
      <c r="W6" s="19">
        <v>42.0</v>
      </c>
      <c r="X6" s="20">
        <v>46062.33333333333</v>
      </c>
      <c r="Y6" s="19">
        <v>6.0</v>
      </c>
      <c r="Z6" s="19">
        <v>26.0</v>
      </c>
      <c r="AA6" s="19">
        <v>4.0</v>
      </c>
      <c r="AB6" s="21">
        <v>56.0</v>
      </c>
      <c r="AC6" s="20">
        <v>46066.58333333333</v>
      </c>
      <c r="AD6" s="20">
        <v>46083.54166666667</v>
      </c>
      <c r="AE6" s="19">
        <v>7.0</v>
      </c>
      <c r="AF6" s="19">
        <v>0.0</v>
      </c>
      <c r="AG6" s="19">
        <v>7.0</v>
      </c>
      <c r="AH6" s="19">
        <v>1.0</v>
      </c>
      <c r="AI6" s="19">
        <v>2.0</v>
      </c>
      <c r="AJ6" s="3" t="s">
        <v>285</v>
      </c>
      <c r="AK6" s="2"/>
      <c r="AL6" s="3" t="s">
        <v>286</v>
      </c>
      <c r="AM6" s="3" t="s">
        <v>287</v>
      </c>
      <c r="AN6" s="3" t="s">
        <v>288</v>
      </c>
      <c r="AO6" s="3" t="s">
        <v>289</v>
      </c>
      <c r="AP6" s="3" t="s">
        <v>290</v>
      </c>
      <c r="AQ6" s="3" t="s">
        <v>291</v>
      </c>
      <c r="AR6" s="3" t="s">
        <v>292</v>
      </c>
      <c r="AS6" s="2" t="str">
        <f>IFERROR(__xludf.DUMMYFUNCTION("AI(""You are a customer success manager reviewing account health. Write a 3-4 sentence engagement summary for: Questrade
Renewal: 2026-03-15 | Stage: Negotiation (63) | CSM: John Davis | Engagement Score: 90/100 | Days since last contact: 6 | Emails 30d/9"&amp;"0d: 9/42 | Meetings past/future/30d: 6/26/4 | Last meeting: 2026-02-13 | Next meeting: 2026-03-02 | Open tasks: 0 | Recaps: 1 | Action items: 2
--- RECENT EMAILS (newest first) ---
2026-02-09 (OUT): Skyline Team Connection — Hey Winnie,
 Hope you were "&amp;"able to have some fun during your time off!
 I wanted to reach out before our next scheduled meeting to talk about your
2026-02-04 (OUT): Skyline Team Connection — Hey Winnie,
 Hope you were able to have some fun during your time off!
 I wanted to r"&amp;"each out before our next scheduled meeting to talk about your
2026-02-03 (OUT): Re: Re: Journey Followup — Hi Raymond,     Just checking in to see if you had a chance to review our previous message. Happy to help if you have any questions.     Thank you!
"&amp;"
--- OPEN/RECENT GITHUB TASKS ---
--- RECENT MEETING RECAPS ---
2026-02-04: ObservePoint | Questrade Sync
John Davis and Raymond Chau discussed troubleshooting a blocked domain issue in ObservePoint's journey setup, specifically at step 10 involving the"&amp;"ir UAT portal environment. John agreed to follow up internally with support team member Bogdan to clarify the VPN and network configuration context, as the issue appears related to their Content Security Policy blocking certain tracking pixels like Pinter"&amp;"est. They also explored potential use cases for ObservePoint audits, including marketing pixel val
Based on all of the above, describe the engagement level, call out any concerns (e.g. no recent contact, low score, no future meetings booked, overdue acti"&amp;"on items), and suggest one specific next step."")"),"=AI(""You are a customer success manager reviewing account health. Write a 3-4 sentence engagement summary for: Questrade
Renewal: 2026-03-15 | Stage: Negotiation (63) | CSM: John Davis | Engagement Score: 90/100 | Days since last contact: 6 | Emails 30d/"&amp;"90d: 9/42 | Meetings past/future/30d: 6/26/4 | Last meeting: 2026-02-13 | Next meeting: 2026-03-02 | Open tasks: 0 | Recaps: 1 | Action items: 2
--- RECENT EMAILS (newest first) ---
2026-02-09 (OUT): Skyline Team Connection — Hey Winnie,
 Hope you were"&amp;" able to have some fun during your time off!
 I wanted to reach out before our next scheduled meeting to talk about your
2026-02-04 (OUT): Skyline Team Connection — Hey Winnie,
 Hope you were able to have some fun during your time off!
 I wanted to "&amp;"reach out before our next scheduled meeting to talk about your
2026-02-03 (OUT): Re: Re: Journey Followup — Hi Raymond,     Just checking in to see if you had a chance to review our previous message. Happy to help if you have any questions.     Thank you!"&amp;"
--- OPEN/RECENT GITHUB TASKS ---
--- RECENT MEETING RECAPS ---
2026-02-04: ObservePoint | Questrade Sync
John Davis and Raymond Chau discussed troubleshooting a blocked domain issue in ObservePoint's journey setup, specifically at step 10 involving th"&amp;"eir UAT portal environment. John agreed to follow up internally with support team member Bogdan to clarify the VPN and network configuration context, as the issue appears related to their Content Security Policy blocking certain tracking pixels like Pinte"&amp;"rest. They also explored potential use cases for ObservePoint audits, including marketing pixel val
Based on all of the above, describe the engagement level, call out any concerns (e.g. no recent contact, low score, no future meetings booked, overdue act"&amp;"ion items), and suggest one specific next step."")")</f>
        <v>=AI("You are a customer success manager reviewing account health. Write a 3-4 sentence engagement summary for: Questrade
Renewal: 2026-03-15 | Stage: Negotiation (63) | CSM: John Davis | Engagement Score: 90/100 | Days since last contact: 6 | Emails 30d/90d: 9/42 | Meetings past/future/30d: 6/26/4 | Last meeting: 2026-02-13 | Next meeting: 2026-03-02 | Open tasks: 0 | Recaps: 1 | Action items: 2
--- RECENT EMAILS (newest first) ---
2026-02-09 (OUT): Skyline Team Connection — Hey Winnie,
 Hope you were able to have some fun during your time off!
 I wanted to reach out before our next scheduled meeting to talk about your
2026-02-04 (OUT): Skyline Team Connection — Hey Winnie,
 Hope you were able to have some fun during your time off!
 I wanted to reach out before our next scheduled meeting to talk about your
2026-02-03 (OUT): Re: Re: Journey Followup — Hi Raymond,     Just checking in to see if you had a chance to review our previous message. Happy to help if you have any questions.     Thank you!
--- OPEN/RECENT GITHUB TASKS ---
--- RECENT MEETING RECAPS ---
2026-02-04: ObservePoint | Questrade Sync
John Davis and Raymond Chau discussed troubleshooting a blocked domain issue in ObservePoint's journey setup, specifically at step 10 involving their UAT portal environment. John agreed to follow up internally with support team member Bogdan to clarify the VPN and network configuration context, as the issue appears related to their Content Security Policy blocking certain tracking pixels like Pinterest. They also explored potential use cases for ObservePoint audits, including marketing pixel val
Based on all of the above, describe the engagement level, call out any concerns (e.g. no recent contact, low score, no future meetings booked, overdue action items), and suggest one specific next step.")</v>
      </c>
      <c r="AT6" s="3" t="s">
        <v>293</v>
      </c>
      <c r="AU6" s="2"/>
      <c r="AV6" s="2"/>
      <c r="AW6" s="2"/>
    </row>
    <row r="7">
      <c r="A7" s="3" t="s">
        <v>294</v>
      </c>
      <c r="B7" s="3" t="s">
        <v>295</v>
      </c>
      <c r="C7" s="3" t="b">
        <v>1</v>
      </c>
      <c r="D7" s="4">
        <v>46105.0</v>
      </c>
      <c r="E7" s="8">
        <v>38000.0</v>
      </c>
      <c r="F7" s="8">
        <v>38000.0</v>
      </c>
      <c r="G7" s="3" t="s">
        <v>29</v>
      </c>
      <c r="H7" s="3" t="s">
        <v>39</v>
      </c>
      <c r="I7" s="8">
        <v>38000.0</v>
      </c>
      <c r="J7" s="19">
        <v>52.0</v>
      </c>
      <c r="K7" s="9">
        <v>0.68724</v>
      </c>
      <c r="L7" s="9">
        <v>0.310666666666666</v>
      </c>
      <c r="M7" s="3" t="s">
        <v>25</v>
      </c>
      <c r="N7" s="3" t="s">
        <v>26</v>
      </c>
      <c r="O7" s="3" t="s">
        <v>40</v>
      </c>
      <c r="P7" s="3" t="s">
        <v>37</v>
      </c>
      <c r="Q7" s="18">
        <v>55.0</v>
      </c>
      <c r="R7" s="3">
        <v>27.0</v>
      </c>
      <c r="S7" s="3">
        <v>10.0</v>
      </c>
      <c r="T7" s="3">
        <v>5.0</v>
      </c>
      <c r="U7" s="3">
        <v>5.0</v>
      </c>
      <c r="V7" s="3">
        <v>1.0</v>
      </c>
      <c r="W7" s="19">
        <v>10.0</v>
      </c>
      <c r="X7" s="20">
        <v>46045.38547453703</v>
      </c>
      <c r="Y7" s="19">
        <v>6.0</v>
      </c>
      <c r="Z7" s="19">
        <v>12.0</v>
      </c>
      <c r="AA7" s="19">
        <v>0.0</v>
      </c>
      <c r="AB7" s="21">
        <v>83.0</v>
      </c>
      <c r="AC7" s="20">
        <v>46038.41666666667</v>
      </c>
      <c r="AD7" s="20">
        <v>46073.41666666667</v>
      </c>
      <c r="AE7" s="19">
        <v>1.0</v>
      </c>
      <c r="AF7" s="19">
        <v>0.0</v>
      </c>
      <c r="AG7" s="19">
        <v>1.0</v>
      </c>
      <c r="AH7" s="19">
        <v>0.0</v>
      </c>
      <c r="AI7" s="19">
        <v>0.0</v>
      </c>
      <c r="AJ7" s="3" t="s">
        <v>296</v>
      </c>
      <c r="AK7" s="2"/>
      <c r="AL7" s="2"/>
      <c r="AM7" s="3" t="s">
        <v>297</v>
      </c>
      <c r="AN7" s="3" t="s">
        <v>298</v>
      </c>
      <c r="AO7" s="3" t="s">
        <v>299</v>
      </c>
      <c r="AP7" s="3" t="s">
        <v>248</v>
      </c>
      <c r="AQ7" s="3" t="s">
        <v>248</v>
      </c>
      <c r="AR7" s="2"/>
      <c r="AS7" s="2" t="str">
        <f>IFERROR(__xludf.DUMMYFUNCTION("AI(""You are a customer success manager reviewing account health. Write a 3-4 sentence engagement summary for: Caleres
Renewal: 2026-03-24 | Stage: Discovery (241) | CSM: John Davis | Engagement Score: 55/100 | Days since last contact: 27 | Emails 30d/90d"&amp;": 1/10 | Meetings past/future/30d: 6/12/0 | Last meeting: 2026-01-16 | Next meeting: 2026-02-20 | Open tasks: 0 | Recaps: 0 | Action items: 0
--- RECENT EMAILS (newest first) ---
2026-01-23 (OUT): Upcoming ObservePoint Renewal on March 24, 2026 - Caleres"&amp;" — [image: ObservePoint Logo_Gray_ON_YEllow_LOGO.jpeg]  A friendly reminder that it's time to renew.   Hi Thor,  Thank you for being an ObservePoint cust
2026-01-20 (IN): Accepted: ObservePoint | Caleres - Monthly Sync
2026-01-20 (IN): Accepted: ObservePo"&amp;"int | Caleres - Monthly Sync
--- OPEN/RECENT GITHUB TASKS ---
--- RECENT MEETING RECAPS ---
Based on all of the above, describe the engagement level, call out any concerns (e.g. no recent contact, low score, no future meetings booked, overdue action "&amp;"items), and suggest one specific next step."")"),"=AI(""You are a customer success manager reviewing account health. Write a 3-4 sentence engagement summary for: Caleres
Renewal: 2026-03-24 | Stage: Discovery (241) | CSM: John Davis | Engagement Score: 55/100 | Days since last contact: 27 | Emails 30d/90"&amp;"d: 1/10 | Meetings past/future/30d: 6/12/0 | Last meeting: 2026-01-16 | Next meeting: 2026-02-20 | Open tasks: 0 | Recaps: 0 | Action items: 0
--- RECENT EMAILS (newest first) ---
2026-01-23 (OUT): Upcoming ObservePoint Renewal on March 24, 2026 - Calere"&amp;"s — [image: ObservePoint Logo_Gray_ON_YEllow_LOGO.jpeg]  A friendly reminder that it's time to renew.   Hi Thor,  Thank you for being an ObservePoint cust
2026-01-20 (IN): Accepted: ObservePoint | Caleres - Monthly Sync
2026-01-20 (IN): Accepted: ObserveP"&amp;"oint | Caleres - Monthly Sync
--- OPEN/RECENT GITHUB TASKS ---
--- RECENT MEETING RECAPS ---
Based on all of the above, describe the engagement level, call out any concerns (e.g. no recent contact, low score, no future meetings booked, overdue action"&amp;" items), and suggest one specific next step."")")</f>
        <v>=AI("You are a customer success manager reviewing account health. Write a 3-4 sentence engagement summary for: Caleres
Renewal: 2026-03-24 | Stage: Discovery (241) | CSM: John Davis | Engagement Score: 55/100 | Days since last contact: 27 | Emails 30d/90d: 1/10 | Meetings past/future/30d: 6/12/0 | Last meeting: 2026-01-16 | Next meeting: 2026-02-20 | Open tasks: 0 | Recaps: 0 | Action items: 0
--- RECENT EMAILS (newest first) ---
2026-01-23 (OUT): Upcoming ObservePoint Renewal on March 24, 2026 - Caleres — [image: ObservePoint Logo_Gray_ON_YEllow_LOGO.jpeg]  A friendly reminder that it's time to renew.   Hi Thor,  Thank you for being an ObservePoint cust
2026-01-20 (IN): Accepted: ObservePoint | Caleres - Monthly Sync
2026-01-20 (IN): Accepted: ObservePoint | Caleres - Monthly Sync
--- OPEN/RECENT GITHUB TASKS ---
--- RECENT MEETING RECAPS ---
Based on all of the above, describe the engagement level, call out any concerns (e.g. no recent contact, low score, no future meetings booked, overdue action items), and suggest one specific next step.")</v>
      </c>
      <c r="AT7" s="3" t="s">
        <v>300</v>
      </c>
      <c r="AU7" s="2"/>
      <c r="AV7" s="2"/>
      <c r="AW7" s="2"/>
    </row>
    <row r="8">
      <c r="A8" s="3" t="s">
        <v>301</v>
      </c>
      <c r="B8" s="3" t="s">
        <v>302</v>
      </c>
      <c r="C8" s="2"/>
      <c r="D8" s="4">
        <v>46112.0</v>
      </c>
      <c r="E8" s="8">
        <v>14830.0</v>
      </c>
      <c r="F8" s="8">
        <v>14830.0</v>
      </c>
      <c r="G8" s="3" t="s">
        <v>29</v>
      </c>
      <c r="H8" s="3" t="s">
        <v>41</v>
      </c>
      <c r="I8" s="8">
        <v>14830.0</v>
      </c>
      <c r="J8" s="19">
        <v>76.0</v>
      </c>
      <c r="K8" s="9">
        <v>2.44447111537846</v>
      </c>
      <c r="L8" s="9">
        <v>0.824</v>
      </c>
      <c r="M8" s="3" t="s">
        <v>25</v>
      </c>
      <c r="N8" s="3" t="s">
        <v>26</v>
      </c>
      <c r="O8" s="3" t="s">
        <v>31</v>
      </c>
      <c r="P8" s="3" t="s">
        <v>37</v>
      </c>
      <c r="Q8" s="23">
        <v>85.0</v>
      </c>
      <c r="R8" s="3">
        <v>13.0</v>
      </c>
      <c r="S8" s="3">
        <v>58.0</v>
      </c>
      <c r="T8" s="3">
        <v>29.0</v>
      </c>
      <c r="U8" s="3">
        <v>29.0</v>
      </c>
      <c r="V8" s="3">
        <v>18.0</v>
      </c>
      <c r="W8" s="19">
        <v>58.0</v>
      </c>
      <c r="X8" s="20">
        <v>46057.63738425926</v>
      </c>
      <c r="Y8" s="19">
        <v>8.0</v>
      </c>
      <c r="Z8" s="19">
        <v>13.0</v>
      </c>
      <c r="AA8" s="19">
        <v>3.0</v>
      </c>
      <c r="AB8" s="21">
        <v>88.0</v>
      </c>
      <c r="AC8" s="20">
        <v>46059.45833333333</v>
      </c>
      <c r="AD8" s="20">
        <v>46086.4375</v>
      </c>
      <c r="AE8" s="19">
        <v>2.0</v>
      </c>
      <c r="AF8" s="19">
        <v>0.0</v>
      </c>
      <c r="AG8" s="19">
        <v>2.0</v>
      </c>
      <c r="AH8" s="19">
        <v>2.0</v>
      </c>
      <c r="AI8" s="19">
        <v>9.0</v>
      </c>
      <c r="AJ8" s="3" t="s">
        <v>303</v>
      </c>
      <c r="AK8" s="2"/>
      <c r="AL8" s="3" t="s">
        <v>304</v>
      </c>
      <c r="AM8" s="3" t="s">
        <v>305</v>
      </c>
      <c r="AN8" s="3" t="s">
        <v>306</v>
      </c>
      <c r="AO8" s="3" t="s">
        <v>307</v>
      </c>
      <c r="AP8" s="3" t="s">
        <v>308</v>
      </c>
      <c r="AQ8" s="3" t="s">
        <v>309</v>
      </c>
      <c r="AR8" s="3" t="s">
        <v>310</v>
      </c>
      <c r="AS8" s="2" t="str">
        <f>IFERROR(__xludf.DUMMYFUNCTION("AI(""You are a customer success manager reviewing account health. Write a 3-4 sentence engagement summary for: MongoDB Inc.
Renewal: 2026-03-31 | Stage: Negotiation (45) | CSM: John Davis | Engagement Score: 85/100 | Days since last contact: 13 | Emails 3"&amp;"0d/90d: 18/58 | Meetings past/future/30d: 8/13/3 | Last meeting: 2026-02-06 | Next meeting: 2026-03-05 | Open tasks: 0 | Recaps: 2 | Action items: 9
--- RECENT EMAILS (newest first) ---
2026-02-04 (IN): Re: Sync Followup — Thanks for handling this, John."&amp;" I trust you all to take this across the
 finish line.
 On Wed, Feb 4, 2026, 5:11 PM John Davis &lt;john.davis@observepo
2026-02-04 (OUT): Sync Followup — Hey Wendi and Michaleen,
 It was great to see you two again today!
 Here is a link that talks abo"&amp;"ut integrating Jira with journeys and rules
 and 
2026-02-04 (OUT): (no subject) — *Regards, *
 John Davis *   |    * *Customer Success Manager*
 Cell: 801.633.6013
 john.davis@observepoint.com
 www.observepoint.com 
 &lt;https://gr
--- OPEN/RECENT GITH"&amp;"UB TASKS ---
--- RECENT MEETING RECAPS ---
2026-02-06: ObservePoint | MongoDB Inc. Sync
John Davis and Arthur Engelhard discussed several ObservePoint implementation projects for MongoDB, including email validation, landing page performance tracking, an"&amp;"d network request mapping. The email validation project is stalled due to technical challenges with hidden tracking links that create false negatives, while the landing page validator needs iteration to incorporate Core Web Vitals and conversion rate data"&amp;". Arthur identified network request mapping as a high priority for Q1 to analyze
---
2026-02-04: ObservePoint | MongoDB Inc. Sync
This meeting covered the setup and configuration of ObservePoint journey monitoring for MongoDB's website, focusing on two ch"&amp;"at functionality tests (chat now and contact us). John Davis walked the team through the journey actions, including cookie banner handling and iframe verification, explained the usage dashboard showing their 1,500 journey run allocation, and discussed sch"&amp;"eduling options and notification settings for automated testing. The team plans to consult with Arthur about optimal run
Based on all of the above, describe the engagement level, call out any concerns (e.g. no recent contact, low score, no future meeting"&amp;"s booked, overdue action items), and suggest one specific next step."")"),"=AI(""You are a customer success manager reviewing account health. Write a 3-4 sentence engagement summary for: MongoDB Inc.
Renewal: 2026-03-31 | Stage: Negotiation (45) | CSM: John Davis | Engagement Score: 85/100 | Days since last contact: 13 | Emails "&amp;"30d/90d: 18/58 | Meetings past/future/30d: 8/13/3 | Last meeting: 2026-02-06 | Next meeting: 2026-03-05 | Open tasks: 0 | Recaps: 2 | Action items: 9
--- RECENT EMAILS (newest first) ---
2026-02-04 (IN): Re: Sync Followup — Thanks for handling this, John"&amp;". I trust you all to take this across the
 finish line.
 On Wed, Feb 4, 2026, 5:11 PM John Davis &lt;john.davis@observepo
2026-02-04 (OUT): Sync Followup — Hey Wendi and Michaleen,
 It was great to see you two again today!
 Here is a link that talks ab"&amp;"out integrating Jira with journeys and rules
 and 
2026-02-04 (OUT): (no subject) — *Regards, *
 John Davis *   |    * *Customer Success Manager*
 Cell: 801.633.6013
 john.davis@observepoint.com
 www.observepoint.com 
 &lt;https://gr
--- OPEN/RECENT GIT"&amp;"HUB TASKS ---
--- RECENT MEETING RECAPS ---
2026-02-06: ObservePoint | MongoDB Inc. Sync
John Davis and Arthur Engelhard discussed several ObservePoint implementation projects for MongoDB, including email validation, landing page performance tracking, a"&amp;"nd network request mapping. The email validation project is stalled due to technical challenges with hidden tracking links that create false negatives, while the landing page validator needs iteration to incorporate Core Web Vitals and conversion rate dat"&amp;"a. Arthur identified network request mapping as a high priority for Q1 to analyze
---
2026-02-04: ObservePoint | MongoDB Inc. Sync
This meeting covered the setup and configuration of ObservePoint journey monitoring for MongoDB's website, focusing on two c"&amp;"hat functionality tests (chat now and contact us). John Davis walked the team through the journey actions, including cookie banner handling and iframe verification, explained the usage dashboard showing their 1,500 journey run allocation, and discussed sc"&amp;"heduling options and notification settings for automated testing. The team plans to consult with Arthur about optimal run
Based on all of the above, describe the engagement level, call out any concerns (e.g. no recent contact, low score, no future meetin"&amp;"gs booked, overdue action items), and suggest one specific next step."")")</f>
        <v>=AI("You are a customer success manager reviewing account health. Write a 3-4 sentence engagement summary for: MongoDB Inc.
Renewal: 2026-03-31 | Stage: Negotiation (45) | CSM: John Davis | Engagement Score: 85/100 | Days since last contact: 13 | Emails 30d/90d: 18/58 | Meetings past/future/30d: 8/13/3 | Last meeting: 2026-02-06 | Next meeting: 2026-03-05 | Open tasks: 0 | Recaps: 2 | Action items: 9
--- RECENT EMAILS (newest first) ---
2026-02-04 (IN): Re: Sync Followup — Thanks for handling this, John. I trust you all to take this across the
 finish line.
 On Wed, Feb 4, 2026, 5:11 PM John Davis &lt;john.davis@observepo
2026-02-04 (OUT): Sync Followup — Hey Wendi and Michaleen,
 It was great to see you two again today!
 Here is a link that talks about integrating Jira with journeys and rules
 and 
2026-02-04 (OUT): (no subject) — *Regards, *
 John Davis *   |    * *Customer Success Manager*
 Cell: 801.633.6013
 john.davis@observepoint.com
 www.observepoint.com 
 &lt;https://gr
--- OPEN/RECENT GITHUB TASKS ---
--- RECENT MEETING RECAPS ---
2026-02-06: ObservePoint | MongoDB Inc. Sync
John Davis and Arthur Engelhard discussed several ObservePoint implementation projects for MongoDB, including email validation, landing page performance tracking, and network request mapping. The email validation project is stalled due to technical challenges with hidden tracking links that create false negatives, while the landing page validator needs iteration to incorporate Core Web Vitals and conversion rate data. Arthur identified network request mapping as a high priority for Q1 to analyze
---
2026-02-04: ObservePoint | MongoDB Inc. Sync
This meeting covered the setup and configuration of ObservePoint journey monitoring for MongoDB's website, focusing on two chat functionality tests (chat now and contact us). John Davis walked the team through the journey actions, including cookie banner handling and iframe verification, explained the usage dashboard showing their 1,500 journey run allocation, and discussed scheduling options and notification settings for automated testing. The team plans to consult with Arthur about optimal run
Based on all of the above, describe the engagement level, call out any concerns (e.g. no recent contact, low score, no future meetings booked, overdue action items), and suggest one specific next step.")</v>
      </c>
      <c r="AT8" s="3" t="s">
        <v>311</v>
      </c>
      <c r="AU8" s="2"/>
      <c r="AV8" s="2"/>
      <c r="AW8" s="2"/>
    </row>
    <row r="9">
      <c r="A9" s="3" t="s">
        <v>312</v>
      </c>
      <c r="B9" s="3" t="s">
        <v>313</v>
      </c>
      <c r="C9" s="2"/>
      <c r="D9" s="4">
        <v>46112.0</v>
      </c>
      <c r="E9" s="8">
        <v>6630.0</v>
      </c>
      <c r="F9" s="8">
        <v>6630.0</v>
      </c>
      <c r="G9" s="3" t="s">
        <v>29</v>
      </c>
      <c r="H9" s="3" t="s">
        <v>43</v>
      </c>
      <c r="I9" s="8">
        <v>6630.0</v>
      </c>
      <c r="J9" s="19">
        <v>36.0</v>
      </c>
      <c r="K9" s="9">
        <v>0.0564056405640564</v>
      </c>
      <c r="L9" s="10"/>
      <c r="M9" s="3" t="s">
        <v>25</v>
      </c>
      <c r="N9" s="3" t="s">
        <v>26</v>
      </c>
      <c r="O9" s="3" t="s">
        <v>36</v>
      </c>
      <c r="P9" s="2"/>
      <c r="Q9" s="18">
        <v>45.0</v>
      </c>
      <c r="R9" s="3">
        <v>20.0</v>
      </c>
      <c r="S9" s="3">
        <v>33.0</v>
      </c>
      <c r="T9" s="3">
        <v>15.0</v>
      </c>
      <c r="U9" s="3">
        <v>18.0</v>
      </c>
      <c r="V9" s="3">
        <v>9.0</v>
      </c>
      <c r="W9" s="19">
        <v>33.0</v>
      </c>
      <c r="X9" s="20">
        <v>46052.38552083333</v>
      </c>
      <c r="Y9" s="19">
        <v>2.0</v>
      </c>
      <c r="Z9" s="19">
        <v>0.0</v>
      </c>
      <c r="AA9" s="19">
        <v>0.0</v>
      </c>
      <c r="AB9" s="21">
        <v>46.0</v>
      </c>
      <c r="AC9" s="20">
        <v>46035.47916666667</v>
      </c>
      <c r="AD9" s="22"/>
      <c r="AE9" s="19">
        <v>1.0</v>
      </c>
      <c r="AF9" s="19">
        <v>0.0</v>
      </c>
      <c r="AG9" s="19">
        <v>1.0</v>
      </c>
      <c r="AH9" s="19">
        <v>0.0</v>
      </c>
      <c r="AI9" s="19">
        <v>0.0</v>
      </c>
      <c r="AJ9" s="3" t="s">
        <v>314</v>
      </c>
      <c r="AK9" s="2"/>
      <c r="AL9" s="2"/>
      <c r="AM9" s="3" t="s">
        <v>315</v>
      </c>
      <c r="AN9" s="3" t="s">
        <v>316</v>
      </c>
      <c r="AO9" s="3" t="s">
        <v>317</v>
      </c>
      <c r="AP9" s="3" t="s">
        <v>248</v>
      </c>
      <c r="AQ9" s="3" t="s">
        <v>248</v>
      </c>
      <c r="AR9" s="2"/>
      <c r="AS9" s="2" t="str">
        <f>IFERROR(__xludf.DUMMYFUNCTION("AI(""You are a customer success manager reviewing account health. Write a 3-4 sentence engagement summary for: Ross Stores Inc.
Renewal: 2026-03-31 | Stage: Negotiation (30) | CSM: John Davis | Engagement Score: 45/100 | Days since last contact: 20 | Emai"&amp;"ls 30d/90d: 9/33 | Meetings past/future/30d: 2/0/0 | Last meeting: 2026-01-13 | Next meeting:  | Open tasks: 0 | Recaps: 0 | Action items: 0
--- RECENT EMAILS (newest first) ---
2026-01-30 (OUT): Upcoming ObservePoint Renewal on March 31, 2026 - Ross Sto"&amp;"res Inc. — [image: ObservePoint Logo_Gray_ON_YEllow_LOGO.jpeg]  A friendly reminder that it's time to renew.   Hi Deepa,  Thank you for being an ObservePoint cus
2026-01-28 (OUT): Re: [EXTERNAL] New data retention policy -- ObservePoint — Sounds great -- "&amp;"I'll disregard the addendum and look forward to hearing
 back from you soon.
 Thanks!
 Clarke Anderson *   |    * *Account Execu
2026-01-28 (IN): RE: [EXTERNAL] New data retention policy -- ObservePoint — Hi Clarke,
 Thanks for the follow up. Unfo"&amp;"rtunately, we won’t be able to move forward quickly.
 As part of closing out our fiscal year, we are abo
--- OPEN/RECENT GITHUB TASKS ---
--- RECENT MEETING RECAPS ---
Based on all of the above, describe the engagement level, call out any concerns "&amp;"(e.g. no recent contact, low score, no future meetings booked, overdue action items), and suggest one specific next step."")"),"=AI(""You are a customer success manager reviewing account health. Write a 3-4 sentence engagement summary for: Ross Stores Inc.
Renewal: 2026-03-31 | Stage: Negotiation (30) | CSM: John Davis | Engagement Score: 45/100 | Days since last contact: 20 | Ema"&amp;"ils 30d/90d: 9/33 | Meetings past/future/30d: 2/0/0 | Last meeting: 2026-01-13 | Next meeting:  | Open tasks: 0 | Recaps: 0 | Action items: 0
--- RECENT EMAILS (newest first) ---
2026-01-30 (OUT): Upcoming ObservePoint Renewal on March 31, 2026 - Ross St"&amp;"ores Inc. — [image: ObservePoint Logo_Gray_ON_YEllow_LOGO.jpeg]  A friendly reminder that it's time to renew.   Hi Deepa,  Thank you for being an ObservePoint cus
2026-01-28 (OUT): Re: [EXTERNAL] New data retention policy -- ObservePoint — Sounds great --"&amp;" I'll disregard the addendum and look forward to hearing
 back from you soon.
 Thanks!
 Clarke Anderson *   |    * *Account Execu
2026-01-28 (IN): RE: [EXTERNAL] New data retention policy -- ObservePoint — Hi Clarke,
 Thanks for the follow up. Unf"&amp;"ortunately, we won’t be able to move forward quickly.
 As part of closing out our fiscal year, we are abo
--- OPEN/RECENT GITHUB TASKS ---
--- RECENT MEETING RECAPS ---
Based on all of the above, describe the engagement level, call out any concerns"&amp;" (e.g. no recent contact, low score, no future meetings booked, overdue action items), and suggest one specific next step."")")</f>
        <v>=AI("You are a customer success manager reviewing account health. Write a 3-4 sentence engagement summary for: Ross Stores Inc.
Renewal: 2026-03-31 | Stage: Negotiation (30) | CSM: John Davis | Engagement Score: 45/100 | Days since last contact: 20 | Emails 30d/90d: 9/33 | Meetings past/future/30d: 2/0/0 | Last meeting: 2026-01-13 | Next meeting:  | Open tasks: 0 | Recaps: 0 | Action items: 0
--- RECENT EMAILS (newest first) ---
2026-01-30 (OUT): Upcoming ObservePoint Renewal on March 31, 2026 - Ross Stores Inc. — [image: ObservePoint Logo_Gray_ON_YEllow_LOGO.jpeg]  A friendly reminder that it's time to renew.   Hi Deepa,  Thank you for being an ObservePoint cus
2026-01-28 (OUT): Re: [EXTERNAL] New data retention policy -- ObservePoint — Sounds great -- I'll disregard the addendum and look forward to hearing
 back from you soon.
 Thanks!
 Clarke Anderson *   |    * *Account Execu
2026-01-28 (IN): RE: [EXTERNAL] New data retention policy -- ObservePoint — Hi Clarke,
 Thanks for the follow up. Unfortunately, we won’t be able to move forward quickly.
 As part of closing out our fiscal year, we are abo
--- OPEN/RECENT GITHUB TASKS ---
--- RECENT MEETING RECAPS ---
Based on all of the above, describe the engagement level, call out any concerns (e.g. no recent contact, low score, no future meetings booked, overdue action items), and suggest one specific next step.")</v>
      </c>
      <c r="AT9" s="3" t="s">
        <v>318</v>
      </c>
      <c r="AU9" s="2"/>
      <c r="AV9" s="2"/>
      <c r="AW9" s="2"/>
    </row>
    <row r="10">
      <c r="A10" s="3" t="s">
        <v>319</v>
      </c>
      <c r="B10" s="3" t="s">
        <v>320</v>
      </c>
      <c r="C10" s="3" t="b">
        <v>1</v>
      </c>
      <c r="D10" s="4">
        <v>46126.0</v>
      </c>
      <c r="E10" s="8">
        <v>18880.0</v>
      </c>
      <c r="F10" s="8">
        <v>18880.0</v>
      </c>
      <c r="G10" s="3" t="s">
        <v>29</v>
      </c>
      <c r="H10" s="3" t="s">
        <v>44</v>
      </c>
      <c r="I10" s="8">
        <v>18880.0</v>
      </c>
      <c r="J10" s="19">
        <v>44.0</v>
      </c>
      <c r="K10" s="9">
        <v>0.378215128605144</v>
      </c>
      <c r="L10" s="9">
        <v>0.0373333333333333</v>
      </c>
      <c r="M10" s="3" t="s">
        <v>25</v>
      </c>
      <c r="N10" s="3" t="s">
        <v>26</v>
      </c>
      <c r="O10" s="3" t="s">
        <v>31</v>
      </c>
      <c r="P10" s="2"/>
      <c r="Q10" s="18">
        <v>61.0</v>
      </c>
      <c r="R10" s="3">
        <v>14.0</v>
      </c>
      <c r="S10" s="3">
        <v>4.0</v>
      </c>
      <c r="T10" s="3">
        <v>4.0</v>
      </c>
      <c r="U10" s="3">
        <v>0.0</v>
      </c>
      <c r="V10" s="3">
        <v>0.0</v>
      </c>
      <c r="W10" s="19">
        <v>4.0</v>
      </c>
      <c r="X10" s="20">
        <v>46030.62760416667</v>
      </c>
      <c r="Y10" s="19">
        <v>4.0</v>
      </c>
      <c r="Z10" s="19">
        <v>13.0</v>
      </c>
      <c r="AA10" s="19">
        <v>1.0</v>
      </c>
      <c r="AB10" s="21">
        <v>31.0</v>
      </c>
      <c r="AC10" s="20">
        <v>46058.33333333333</v>
      </c>
      <c r="AD10" s="20">
        <v>46086.33333333333</v>
      </c>
      <c r="AE10" s="19">
        <v>3.0</v>
      </c>
      <c r="AF10" s="19">
        <v>0.0</v>
      </c>
      <c r="AG10" s="19">
        <v>3.0</v>
      </c>
      <c r="AH10" s="19">
        <v>2.0</v>
      </c>
      <c r="AI10" s="19">
        <v>3.0</v>
      </c>
      <c r="AJ10" s="3" t="s">
        <v>321</v>
      </c>
      <c r="AK10" s="2"/>
      <c r="AL10" s="3" t="s">
        <v>322</v>
      </c>
      <c r="AM10" s="3" t="s">
        <v>323</v>
      </c>
      <c r="AN10" s="3" t="s">
        <v>324</v>
      </c>
      <c r="AO10" s="3" t="s">
        <v>325</v>
      </c>
      <c r="AP10" s="3" t="s">
        <v>326</v>
      </c>
      <c r="AQ10" s="3" t="s">
        <v>327</v>
      </c>
      <c r="AR10" s="2"/>
      <c r="AS10" s="2" t="str">
        <f>IFERROR(__xludf.DUMMYFUNCTION("AI(""You are a customer success manager reviewing account health. Write a 3-4 sentence engagement summary for: Medifast Inc.
Renewal: 2026-04-14 | Stage: Discovery (91) | CSM: John Davis | Engagement Score: 61/100 | Days since last contact: 14 | Emails 30"&amp;"d/90d: 0/4 | Meetings past/future/30d: 4/13/1 | Last meeting: 2026-02-05 | Next meeting: 2026-03-05 | Open tasks: 0 | Recaps: 2 | Action items: 3
--- RECENT EMAILS (newest first) ---
2026-01-08 (OUT): Email Links Validation — Hey Chandra,
 Just in case"&amp;" you missed Macey's messages in the chat in our Zoom meeting
 today, here is our latest documentation on the email links v
2025-12-11 (OUT): Updated invitation: ObservePoint | Medifast - Sync @ Thu Dec 18, 2025 8am - 8:30 — This event has been updated
 Ch"&amp;"anged: time
 ObservePoint | Medifast - Sync
 Thursday Dec 18, 2025 ⋅ 8am – 8:30am
 Mountain Time - Denver
 Joi
2025-12-11 (OUT): Re: New Time Proposed: ObservePoint | Medifast - Sync — Hi Sonia!
 You will actually have a new primary contact in "&amp;"John Davis moving forward
 and I was hoping to introduce him as your new CSM. If this mor
--- OPEN/RECENT GITHUB TASKS ---
--- RECENT MEETING RECAPS ---
2026-02-05: ObservePoint | Medifast - Sync
John Davis met with the Medifast team (Sonia, Chandra, a"&amp;"nd others) to troubleshoot alerts triggered by recent website audits on their production environment. They identified that approximately half of the scanned pages were returning 404 errors, which was causing multiple alert failures including missing Googl"&amp;"e Analytics 4 tags. John guided the team through modifying their rules to only flag pages with 200 status codes and demonstrated how to reprocess audits in bulk, recommending that the team
---
2026-01-08: ObservePoint | Medifast - Sync
This meeting focuse"&amp;"d on establishing success criteria and future plans for the client's ObservePoint usage, with their contract renewal approaching in April 2026. The team discussed expanding their current implementation to include email link validation features and improvi"&amp;"ng privacy compliance coverage, though no major new projects are planned for Q1. Chandra committed to connecting with their client stakeholders and privacy team to explore additional use cases and ensure they're maximizing val
Based on all of the above, "&amp;"describe the engagement level, call out any concerns (e.g. no recent contact, low score, no future meetings booked, overdue action items), and suggest one specific next step."")"),"=AI(""You are a customer success manager reviewing account health. Write a 3-4 sentence engagement summary for: Medifast Inc.
Renewal: 2026-04-14 | Stage: Discovery (91) | CSM: John Davis | Engagement Score: 61/100 | Days since last contact: 14 | Emails 3"&amp;"0d/90d: 0/4 | Meetings past/future/30d: 4/13/1 | Last meeting: 2026-02-05 | Next meeting: 2026-03-05 | Open tasks: 0 | Recaps: 2 | Action items: 3
--- RECENT EMAILS (newest first) ---
2026-01-08 (OUT): Email Links Validation — Hey Chandra,
 Just in cas"&amp;"e you missed Macey's messages in the chat in our Zoom meeting
 today, here is our latest documentation on the email links v
2025-12-11 (OUT): Updated invitation: ObservePoint | Medifast - Sync @ Thu Dec 18, 2025 8am - 8:30 — This event has been updated
 C"&amp;"hanged: time
 ObservePoint | Medifast - Sync
 Thursday Dec 18, 2025 ⋅ 8am – 8:30am
 Mountain Time - Denver
 Joi
2025-12-11 (OUT): Re: New Time Proposed: ObservePoint | Medifast - Sync — Hi Sonia!
 You will actually have a new primary contact in"&amp;" John Davis moving forward
 and I was hoping to introduce him as your new CSM. If this mor
--- OPEN/RECENT GITHUB TASKS ---
--- RECENT MEETING RECAPS ---
2026-02-05: ObservePoint | Medifast - Sync
John Davis met with the Medifast team (Sonia, Chandra, "&amp;"and others) to troubleshoot alerts triggered by recent website audits on their production environment. They identified that approximately half of the scanned pages were returning 404 errors, which was causing multiple alert failures including missing Goog"&amp;"le Analytics 4 tags. John guided the team through modifying their rules to only flag pages with 200 status codes and demonstrated how to reprocess audits in bulk, recommending that the team
---
2026-01-08: ObservePoint | Medifast - Sync
This meeting focus"&amp;"ed on establishing success criteria and future plans for the client's ObservePoint usage, with their contract renewal approaching in April 2026. The team discussed expanding their current implementation to include email link validation features and improv"&amp;"ing privacy compliance coverage, though no major new projects are planned for Q1. Chandra committed to connecting with their client stakeholders and privacy team to explore additional use cases and ensure they're maximizing val
Based on all of the above,"&amp;" describe the engagement level, call out any concerns (e.g. no recent contact, low score, no future meetings booked, overdue action items), and suggest one specific next step."")")</f>
        <v>=AI("You are a customer success manager reviewing account health. Write a 3-4 sentence engagement summary for: Medifast Inc.
Renewal: 2026-04-14 | Stage: Discovery (91) | CSM: John Davis | Engagement Score: 61/100 | Days since last contact: 14 | Emails 30d/90d: 0/4 | Meetings past/future/30d: 4/13/1 | Last meeting: 2026-02-05 | Next meeting: 2026-03-05 | Open tasks: 0 | Recaps: 2 | Action items: 3
--- RECENT EMAILS (newest first) ---
2026-01-08 (OUT): Email Links Validation — Hey Chandra,
 Just in case you missed Macey's messages in the chat in our Zoom meeting
 today, here is our latest documentation on the email links v
2025-12-11 (OUT): Updated invitation: ObservePoint | Medifast - Sync @ Thu Dec 18, 2025 8am - 8:30 — This event has been updated
 Changed: time
 ObservePoint | Medifast - Sync
 Thursday Dec 18, 2025 ⋅ 8am – 8:30am
 Mountain Time - Denver
 Joi
2025-12-11 (OUT): Re: New Time Proposed: ObservePoint | Medifast - Sync — Hi Sonia!
 You will actually have a new primary contact in John Davis moving forward
 and I was hoping to introduce him as your new CSM. If this mor
--- OPEN/RECENT GITHUB TASKS ---
--- RECENT MEETING RECAPS ---
2026-02-05: ObservePoint | Medifast - Sync
John Davis met with the Medifast team (Sonia, Chandra, and others) to troubleshoot alerts triggered by recent website audits on their production environment. They identified that approximately half of the scanned pages were returning 404 errors, which was causing multiple alert failures including missing Google Analytics 4 tags. John guided the team through modifying their rules to only flag pages with 200 status codes and demonstrated how to reprocess audits in bulk, recommending that the team
---
2026-01-08: ObservePoint | Medifast - Sync
This meeting focused on establishing success criteria and future plans for the client's ObservePoint usage, with their contract renewal approaching in April 2026. The team discussed expanding their current implementation to include email link validation features and improving privacy compliance coverage, though no major new projects are planned for Q1. Chandra committed to connecting with their client stakeholders and privacy team to explore additional use cases and ensure they're maximizing val
Based on all of the above, describe the engagement level, call out any concerns (e.g. no recent contact, low score, no future meetings booked, overdue action items), and suggest one specific next step.")</v>
      </c>
      <c r="AT10" s="3" t="s">
        <v>328</v>
      </c>
      <c r="AU10" s="2"/>
      <c r="AV10" s="2"/>
      <c r="AW10" s="2"/>
    </row>
    <row r="11">
      <c r="A11" s="3" t="s">
        <v>329</v>
      </c>
      <c r="B11" s="3" t="s">
        <v>330</v>
      </c>
      <c r="C11" s="2"/>
      <c r="D11" s="4">
        <v>46126.0</v>
      </c>
      <c r="E11" s="8">
        <v>35000.0</v>
      </c>
      <c r="F11" s="8">
        <v>35000.0</v>
      </c>
      <c r="G11" s="3" t="s">
        <v>29</v>
      </c>
      <c r="H11" s="3" t="s">
        <v>43</v>
      </c>
      <c r="I11" s="8">
        <v>35000.0</v>
      </c>
      <c r="J11" s="19">
        <v>24.0</v>
      </c>
      <c r="K11" s="9">
        <v>0.370693333333333</v>
      </c>
      <c r="L11" s="9">
        <v>0.14</v>
      </c>
      <c r="M11" s="3" t="s">
        <v>25</v>
      </c>
      <c r="N11" s="3" t="s">
        <v>26</v>
      </c>
      <c r="O11" s="3" t="s">
        <v>38</v>
      </c>
      <c r="P11" s="3" t="s">
        <v>37</v>
      </c>
      <c r="Q11" s="23">
        <v>90.0</v>
      </c>
      <c r="R11" s="3">
        <v>0.0</v>
      </c>
      <c r="S11" s="3">
        <v>12.0</v>
      </c>
      <c r="T11" s="3">
        <v>6.0</v>
      </c>
      <c r="U11" s="3">
        <v>6.0</v>
      </c>
      <c r="V11" s="3">
        <v>5.0</v>
      </c>
      <c r="W11" s="19">
        <v>12.0</v>
      </c>
      <c r="X11" s="20">
        <v>46055.393796296295</v>
      </c>
      <c r="Y11" s="19">
        <v>13.0</v>
      </c>
      <c r="Z11" s="19">
        <v>26.0</v>
      </c>
      <c r="AA11" s="19">
        <v>3.0</v>
      </c>
      <c r="AB11" s="21">
        <v>67.0</v>
      </c>
      <c r="AC11" s="20">
        <v>46072.54166666667</v>
      </c>
      <c r="AD11" s="20">
        <v>46079.4375</v>
      </c>
      <c r="AE11" s="19">
        <v>0.0</v>
      </c>
      <c r="AF11" s="19">
        <v>0.0</v>
      </c>
      <c r="AG11" s="19">
        <v>0.0</v>
      </c>
      <c r="AH11" s="19">
        <v>3.0</v>
      </c>
      <c r="AI11" s="19">
        <v>9.0</v>
      </c>
      <c r="AJ11" s="3" t="s">
        <v>331</v>
      </c>
      <c r="AK11" s="2"/>
      <c r="AL11" s="3" t="s">
        <v>332</v>
      </c>
      <c r="AM11" s="3" t="s">
        <v>248</v>
      </c>
      <c r="AN11" s="3" t="s">
        <v>333</v>
      </c>
      <c r="AO11" s="3" t="s">
        <v>334</v>
      </c>
      <c r="AP11" s="3" t="s">
        <v>335</v>
      </c>
      <c r="AQ11" s="3" t="s">
        <v>336</v>
      </c>
      <c r="AR11" s="3" t="s">
        <v>337</v>
      </c>
      <c r="AS11" s="2" t="str">
        <f>IFERROR(__xludf.DUMMYFUNCTION("AI(""You are a customer success manager reviewing account health. Write a 3-4 sentence engagement summary for: CVS Pharmacy
Renewal: 2026-04-14 | Stage: Negotiation (30) | CSM: John Davis | Engagement Score: 90/100 | Days since last contact: 0 | Emails 30"&amp;"d/90d: 5/12 | Meetings past/future/30d: 13/26/3 | Last meeting: 2026-02-19 | Next meeting: 2026-02-26 | Open tasks: 0 | Recaps: 3 | Action items: 9
--- RECENT EMAILS (newest first) ---
2026-02-02 (IN): Re: [EXTERNAL] Re: ObservePoint Demo — Fantastic! I'"&amp;"m traveling at that time but Mike we can connect after if you need any support for next steps.
 Danielle Coulson (she/her) | Lead Dir
2026-02-02 (IN): Re: [EXTERNAL] Re: ObservePoint Demo — Yes. Meeting was scheduled 02/05 Thursday 1PM EST.
 Thanks,"&amp;"
 Mike
 From: Coulson, Danielle (Sachs), &lt;CoulsonD@aetna.com&gt;
 Date: Monday, February 2
2026-02-02 (OUT): Out of office Re: Accepted: ObservePoint | CVS Pharmacy Sync — I am out of the office Monday February 2nd, please reach out to
 support@observepoin"&amp;"t.com if
 you have something urgent, otherwise I will get back to 
--- OPEN/RECENT GITHUB TASKS ---
--- RECENT MEETING RECAPS ---
2026-02-19: ObservePoint | CVS Pharmacy Sync
This meeting discussed the status of whitelisting ObservePoint for CVS's fron"&amp;"t store segment, with Maria explaining she has given the internal team until end of day Thursday to provide requirements or she will escalate the issue, as ObservePoint is already an approved vendor for other segments. John presented ObservePoint's new """&amp;"""frameworks"""" feature, which provides implementation recommendations and pre-built reports based on best practices from working with Fortune 1000 companies and consulting
---
2026-02-05: ObservePoint | CVS Pharmacy Sync
This meeting was an introductory"&amp;" call between ObservePoint's CSM John Davis and CVS Health's Aetna team members Mike Tanedo and Bruce to discuss using ObservePoint for automated QA and data validation. Mike, who manages measurement and Adobe implementation for Aetna's authenticated DTC "&amp;"sites, expressed interest in leveraging AI-powered automation to streamline their manual QA processes, particularly for their critical Medicare enrollment funnel where accurate tracking of multi-step forms and err
Based on all of the above, describe the "&amp;"engagement level, call out any concerns (e.g. no recent contact, low score, no future meetings booked, overdue action items), and suggest one specific next step."")"),"=AI(""You are a customer success manager reviewing account health. Write a 3-4 sentence engagement summary for: CVS Pharmacy
Renewal: 2026-04-14 | Stage: Negotiation (30) | CSM: John Davis | Engagement Score: 90/100 | Days since last contact: 0 | Emails 3"&amp;"0d/90d: 5/12 | Meetings past/future/30d: 13/26/3 | Last meeting: 2026-02-19 | Next meeting: 2026-02-26 | Open tasks: 0 | Recaps: 3 | Action items: 9
--- RECENT EMAILS (newest first) ---
2026-02-02 (IN): Re: [EXTERNAL] Re: ObservePoint Demo — Fantastic! I"&amp;"'m traveling at that time but Mike we can connect after if you need any support for next steps.
 Danielle Coulson (she/her) | Lead Dir
2026-02-02 (IN): Re: [EXTERNAL] Re: ObservePoint Demo — Yes. Meeting was scheduled 02/05 Thursday 1PM EST.
 Thanks"&amp;",
 Mike
 From: Coulson, Danielle (Sachs), &lt;CoulsonD@aetna.com&gt;
 Date: Monday, February 2
2026-02-02 (OUT): Out of office Re: Accepted: ObservePoint | CVS Pharmacy Sync — I am out of the office Monday February 2nd, please reach out to
 support@observepoi"&amp;"nt.com if
 you have something urgent, otherwise I will get back to 
--- OPEN/RECENT GITHUB TASKS ---
--- RECENT MEETING RECAPS ---
2026-02-19: ObservePoint | CVS Pharmacy Sync
This meeting discussed the status of whitelisting ObservePoint for CVS's fro"&amp;"nt store segment, with Maria explaining she has given the internal team until end of day Thursday to provide requirements or she will escalate the issue, as ObservePoint is already an approved vendor for other segments. John presented ObservePoint's new "&amp;"""""frameworks"""" feature, which provides implementation recommendations and pre-built reports based on best practices from working with Fortune 1000 companies and consulting
---
2026-02-05: ObservePoint | CVS Pharmacy Sync
This meeting was an introducto"&amp;"ry call between ObservePoint's CSM John Davis and CVS Health's Aetna team members Mike Tanedo and Bruce to discuss using ObservePoint for automated QA and data validation. Mike, who manages measurement and Adobe implementation for Aetna's authenticated DT"&amp;"C sites, expressed interest in leveraging AI-powered automation to streamline their manual QA processes, particularly for their critical Medicare enrollment funnel where accurate tracking of multi-step forms and err
Based on all of the above, describe th"&amp;"e engagement level, call out any concerns (e.g. no recent contact, low score, no future meetings booked, overdue action items), and suggest one specific next step."")")</f>
        <v>=AI("You are a customer success manager reviewing account health. Write a 3-4 sentence engagement summary for: CVS Pharmacy
Renewal: 2026-04-14 | Stage: Negotiation (30) | CSM: John Davis | Engagement Score: 90/100 | Days since last contact: 0 | Emails 30d/90d: 5/12 | Meetings past/future/30d: 13/26/3 | Last meeting: 2026-02-19 | Next meeting: 2026-02-26 | Open tasks: 0 | Recaps: 3 | Action items: 9
--- RECENT EMAILS (newest first) ---
2026-02-02 (IN): Re: [EXTERNAL] Re: ObservePoint Demo — Fantastic! I'm traveling at that time but Mike we can connect after if you need any support for next steps.
 Danielle Coulson (she/her) | Lead Dir
2026-02-02 (IN): Re: [EXTERNAL] Re: ObservePoint Demo — Yes. Meeting was scheduled 02/05 Thursday 1PM EST.
 Thanks,
 Mike
 From: Coulson, Danielle (Sachs), &lt;CoulsonD@aetna.com&gt;
 Date: Monday, February 2
2026-02-02 (OUT): Out of office Re: Accepted: ObservePoint | CVS Pharmacy Sync — I am out of the office Monday February 2nd, please reach out to
 support@observepoint.com if
 you have something urgent, otherwise I will get back to 
--- OPEN/RECENT GITHUB TASKS ---
--- RECENT MEETING RECAPS ---
2026-02-19: ObservePoint | CVS Pharmacy Sync
This meeting discussed the status of whitelisting ObservePoint for CVS's front store segment, with Maria explaining she has given the internal team until end of day Thursday to provide requirements or she will escalate the issue, as ObservePoint is already an approved vendor for other segments. John presented ObservePoint's new ""frameworks"" feature, which provides implementation recommendations and pre-built reports based on best practices from working with Fortune 1000 companies and consulting
---
2026-02-05: ObservePoint | CVS Pharmacy Sync
This meeting was an introductory call between ObservePoint's CSM John Davis and CVS Health's Aetna team members Mike Tanedo and Bruce to discuss using ObservePoint for automated QA and data validation. Mike, who manages measurement and Adobe implementation for Aetna's authenticated DTC sites, expressed interest in leveraging AI-powered automation to streamline their manual QA processes, particularly for their critical Medicare enrollment funnel where accurate tracking of multi-step forms and err
Based on all of the above, describe the engagement level, call out any concerns (e.g. no recent contact, low score, no future meetings booked, overdue action items), and suggest one specific next step.")</v>
      </c>
      <c r="AT11" s="3" t="s">
        <v>338</v>
      </c>
      <c r="AU11" s="2"/>
      <c r="AV11" s="2"/>
      <c r="AW11" s="2"/>
    </row>
    <row r="12">
      <c r="A12" s="3" t="s">
        <v>117</v>
      </c>
      <c r="B12" s="3" t="s">
        <v>339</v>
      </c>
      <c r="C12" s="2"/>
      <c r="D12" s="4">
        <v>46132.0</v>
      </c>
      <c r="E12" s="8">
        <v>14823.04</v>
      </c>
      <c r="F12" s="8">
        <v>3705.76</v>
      </c>
      <c r="G12" s="3" t="s">
        <v>29</v>
      </c>
      <c r="H12" s="3" t="s">
        <v>44</v>
      </c>
      <c r="I12" s="8">
        <v>14823.04</v>
      </c>
      <c r="J12" s="19">
        <v>12.0</v>
      </c>
      <c r="K12" s="9">
        <v>0.0210297316896301</v>
      </c>
      <c r="L12" s="9">
        <v>0.0346666666666666</v>
      </c>
      <c r="M12" s="3" t="s">
        <v>46</v>
      </c>
      <c r="N12" s="3" t="s">
        <v>26</v>
      </c>
      <c r="O12" s="3" t="s">
        <v>31</v>
      </c>
      <c r="P12" s="2"/>
      <c r="Q12" s="23">
        <v>74.0</v>
      </c>
      <c r="R12" s="3">
        <v>7.0</v>
      </c>
      <c r="S12" s="3">
        <v>23.0</v>
      </c>
      <c r="T12" s="3">
        <v>11.0</v>
      </c>
      <c r="U12" s="3">
        <v>12.0</v>
      </c>
      <c r="V12" s="3">
        <v>5.0</v>
      </c>
      <c r="W12" s="19">
        <v>23.0</v>
      </c>
      <c r="X12" s="20">
        <v>46050.8759837963</v>
      </c>
      <c r="Y12" s="19">
        <v>2.0</v>
      </c>
      <c r="Z12" s="19">
        <v>0.0</v>
      </c>
      <c r="AA12" s="19">
        <v>1.0</v>
      </c>
      <c r="AB12" s="21">
        <v>75.0</v>
      </c>
      <c r="AC12" s="20">
        <v>46065.60416666667</v>
      </c>
      <c r="AD12" s="22"/>
      <c r="AE12" s="19">
        <v>1.0</v>
      </c>
      <c r="AF12" s="19">
        <v>1.0</v>
      </c>
      <c r="AG12" s="19">
        <v>0.0</v>
      </c>
      <c r="AH12" s="19">
        <v>1.0</v>
      </c>
      <c r="AI12" s="19">
        <v>6.0</v>
      </c>
      <c r="AJ12" s="3" t="s">
        <v>340</v>
      </c>
      <c r="AK12" s="3" t="s">
        <v>341</v>
      </c>
      <c r="AL12" s="3" t="s">
        <v>342</v>
      </c>
      <c r="AM12" s="3" t="s">
        <v>343</v>
      </c>
      <c r="AN12" s="3" t="s">
        <v>344</v>
      </c>
      <c r="AO12" s="3" t="s">
        <v>345</v>
      </c>
      <c r="AP12" s="3" t="s">
        <v>346</v>
      </c>
      <c r="AQ12" s="3" t="s">
        <v>347</v>
      </c>
      <c r="AR12" s="3" t="s">
        <v>348</v>
      </c>
      <c r="AS12" s="2" t="str">
        <f>IFERROR(__xludf.DUMMYFUNCTION("AI(""You are a customer success manager reviewing account health. Write a 3-4 sentence engagement summary for: Ziff Davis Inc.
Renewal: 2026-04-20 | Stage: Discovery (91) | CSM: John Davis | Engagement Score: 74/100 | Days since last contact: 7 | Emails 3"&amp;"0d/90d: 5/23 | Meetings past/future/30d: 2/0/1 | Last meeting: 2026-02-12 | Next meeting:  | Open tasks: 1 | Recaps: 1 | Action items: 6
--- RECENT EMAILS (newest first) ---
2026-01-29 (OUT): Re: Updated invitation: ObservePoint | Ziff Davis Inc. 60 min "&amp;"Sync @ Thu Feb 5,  — Sure I can make that work, you should get an event update in a separate
 email, thanks Robert!
 *Regards, *
 John Davis *   |    * *Customer Succe
2026-01-29 (IN): Re: Updated invitation: ObservePoint | Ziff Davis Inc. 60 min Sync"&amp;" @ Thu Feb 5,  — Hi John,
 I will be travelling for work February 5.  Would it be possible to aim for
 the same time February 12?
 &lt;https://www.ziffdavis.com/&gt; R
2026-01-28 (IN): Proposed new time: ObservePoint | Ziff Davis Inc. 60 min Sync @ Tue Fe"&amp;"b 3, 2026  — Filippo Caprioli has accepted this invitation and proposed a new time:
 Thu Feb 5, 2026 2:30pm – 3:30pm
 """"Rescheduling due to a conflict""""
 ObservePo
--- OPEN/RECENT GITHUB TASKS ---
[OPEN] Ziff Davis - Prepare for meeting on Feb 3rd,"&amp;" maybe ask for help on what to do about their privacy us (Backlog)
--- RECENT MEETING RECAPS ---
2026-02-12: ObservePoint | Ziff Davis Inc. 60 min Sync
John Davis from ObservePoint met with Filippo and Robert to discuss setting up privacy compliance audi"&amp;"ts for their website properties. Robert clarified that while their original urgent need has diminished due to cookie banner improvements, they still want to use ObservePoint to proactively catch compliance issues before they become problems, focusing init"&amp;"ially on Mashable, IGN, and CNET for California users. John walked Filippo through creating audits with OneTrust integration to detect unauthor
Based on all of the above, describe the engagement level, call out any concerns (e.g. no recent contact, low s"&amp;"core, no future meetings booked, overdue action items), and suggest one specific next step."")"),"=AI(""You are a customer success manager reviewing account health. Write a 3-4 sentence engagement summary for: Ziff Davis Inc.
Renewal: 2026-04-20 | Stage: Discovery (91) | CSM: John Davis | Engagement Score: 74/100 | Days since last contact: 7 | Emails "&amp;"30d/90d: 5/23 | Meetings past/future/30d: 2/0/1 | Last meeting: 2026-02-12 | Next meeting:  | Open tasks: 1 | Recaps: 1 | Action items: 6
--- RECENT EMAILS (newest first) ---
2026-01-29 (OUT): Re: Updated invitation: ObservePoint | Ziff Davis Inc. 60 min"&amp;" Sync @ Thu Feb 5,  — Sure I can make that work, you should get an event update in a separate
 email, thanks Robert!
 *Regards, *
 John Davis *   |    * *Customer Succe
2026-01-29 (IN): Re: Updated invitation: ObservePoint | Ziff Davis Inc. 60 min Syn"&amp;"c @ Thu Feb 5,  — Hi John,
 I will be travelling for work February 5.  Would it be possible to aim for
 the same time February 12?
 &lt;https://www.ziffdavis.com/&gt; R
2026-01-28 (IN): Proposed new time: ObservePoint | Ziff Davis Inc. 60 min Sync @ Tue F"&amp;"eb 3, 2026  — Filippo Caprioli has accepted this invitation and proposed a new time:
 Thu Feb 5, 2026 2:30pm – 3:30pm
 """"Rescheduling due to a conflict""""
 ObservePo
--- OPEN/RECENT GITHUB TASKS ---
[OPEN] Ziff Davis - Prepare for meeting on Feb 3rd"&amp;", maybe ask for help on what to do about their privacy us (Backlog)
--- RECENT MEETING RECAPS ---
2026-02-12: ObservePoint | Ziff Davis Inc. 60 min Sync
John Davis from ObservePoint met with Filippo and Robert to discuss setting up privacy compliance aud"&amp;"its for their website properties. Robert clarified that while their original urgent need has diminished due to cookie banner improvements, they still want to use ObservePoint to proactively catch compliance issues before they become problems, focusing ini"&amp;"tially on Mashable, IGN, and CNET for California users. John walked Filippo through creating audits with OneTrust integration to detect unauthor
Based on all of the above, describe the engagement level, call out any concerns (e.g. no recent contact, low "&amp;"score, no future meetings booked, overdue action items), and suggest one specific next step."")")</f>
        <v>=AI("You are a customer success manager reviewing account health. Write a 3-4 sentence engagement summary for: Ziff Davis Inc.
Renewal: 2026-04-20 | Stage: Discovery (91) | CSM: John Davis | Engagement Score: 74/100 | Days since last contact: 7 | Emails 30d/90d: 5/23 | Meetings past/future/30d: 2/0/1 | Last meeting: 2026-02-12 | Next meeting:  | Open tasks: 1 | Recaps: 1 | Action items: 6
--- RECENT EMAILS (newest first) ---
2026-01-29 (OUT): Re: Updated invitation: ObservePoint | Ziff Davis Inc. 60 min Sync @ Thu Feb 5,  — Sure I can make that work, you should get an event update in a separate
 email, thanks Robert!
 *Regards, *
 John Davis *   |    * *Customer Succe
2026-01-29 (IN): Re: Updated invitation: ObservePoint | Ziff Davis Inc. 60 min Sync @ Thu Feb 5,  — Hi John,
 I will be travelling for work February 5.  Would it be possible to aim for
 the same time February 12?
 &lt;https://www.ziffdavis.com/&gt; R
2026-01-28 (IN): Proposed new time: ObservePoint | Ziff Davis Inc. 60 min Sync @ Tue Feb 3, 2026  — Filippo Caprioli has accepted this invitation and proposed a new time:
 Thu Feb 5, 2026 2:30pm – 3:30pm
 ""Rescheduling due to a conflict""
 ObservePo
--- OPEN/RECENT GITHUB TASKS ---
[OPEN] Ziff Davis - Prepare for meeting on Feb 3rd, maybe ask for help on what to do about their privacy us (Backlog)
--- RECENT MEETING RECAPS ---
2026-02-12: ObservePoint | Ziff Davis Inc. 60 min Sync
John Davis from ObservePoint met with Filippo and Robert to discuss setting up privacy compliance audits for their website properties. Robert clarified that while their original urgent need has diminished due to cookie banner improvements, they still want to use ObservePoint to proactively catch compliance issues before they become problems, focusing initially on Mashable, IGN, and CNET for California users. John walked Filippo through creating audits with OneTrust integration to detect unauthor
Based on all of the above, describe the engagement level, call out any concerns (e.g. no recent contact, low score, no future meetings booked, overdue action items), and suggest one specific next step.")</v>
      </c>
      <c r="AT12" s="3" t="s">
        <v>349</v>
      </c>
      <c r="AU12" s="2"/>
      <c r="AV12" s="2"/>
      <c r="AW12" s="2"/>
    </row>
    <row r="13">
      <c r="A13" s="3" t="s">
        <v>209</v>
      </c>
      <c r="B13" s="3" t="s">
        <v>350</v>
      </c>
      <c r="C13" s="2"/>
      <c r="D13" s="4">
        <v>46142.0</v>
      </c>
      <c r="E13" s="8">
        <v>5000.0</v>
      </c>
      <c r="F13" s="8">
        <v>1250.0</v>
      </c>
      <c r="G13" s="3" t="s">
        <v>29</v>
      </c>
      <c r="H13" s="3" t="s">
        <v>44</v>
      </c>
      <c r="I13" s="8">
        <v>5000.0</v>
      </c>
      <c r="J13" s="19">
        <v>32.0</v>
      </c>
      <c r="K13" s="10"/>
      <c r="L13" s="9">
        <v>0.122</v>
      </c>
      <c r="M13" s="3" t="s">
        <v>46</v>
      </c>
      <c r="N13" s="3" t="s">
        <v>26</v>
      </c>
      <c r="O13" s="3" t="s">
        <v>40</v>
      </c>
      <c r="P13" s="3" t="s">
        <v>32</v>
      </c>
      <c r="Q13" s="23">
        <v>79.0</v>
      </c>
      <c r="R13" s="3">
        <v>1.0</v>
      </c>
      <c r="S13" s="3">
        <v>17.0</v>
      </c>
      <c r="T13" s="3">
        <v>13.0</v>
      </c>
      <c r="U13" s="3">
        <v>4.0</v>
      </c>
      <c r="V13" s="3">
        <v>13.0</v>
      </c>
      <c r="W13" s="19">
        <v>17.0</v>
      </c>
      <c r="X13" s="20">
        <v>46052.38553240741</v>
      </c>
      <c r="Y13" s="19">
        <v>2.0</v>
      </c>
      <c r="Z13" s="19">
        <v>0.0</v>
      </c>
      <c r="AA13" s="19">
        <v>2.0</v>
      </c>
      <c r="AB13" s="21">
        <v>100.0</v>
      </c>
      <c r="AC13" s="20">
        <v>46071.58333333333</v>
      </c>
      <c r="AD13" s="22"/>
      <c r="AE13" s="19">
        <v>4.0</v>
      </c>
      <c r="AF13" s="19">
        <v>1.0</v>
      </c>
      <c r="AG13" s="19">
        <v>3.0</v>
      </c>
      <c r="AH13" s="19">
        <v>2.0</v>
      </c>
      <c r="AI13" s="19">
        <v>10.0</v>
      </c>
      <c r="AJ13" s="3" t="s">
        <v>351</v>
      </c>
      <c r="AK13" s="3" t="s">
        <v>352</v>
      </c>
      <c r="AL13" s="3" t="s">
        <v>353</v>
      </c>
      <c r="AM13" s="3" t="s">
        <v>354</v>
      </c>
      <c r="AN13" s="3" t="s">
        <v>355</v>
      </c>
      <c r="AO13" s="3" t="s">
        <v>356</v>
      </c>
      <c r="AP13" s="3" t="s">
        <v>357</v>
      </c>
      <c r="AQ13" s="3" t="s">
        <v>358</v>
      </c>
      <c r="AR13" s="3" t="s">
        <v>359</v>
      </c>
      <c r="AS13" s="2" t="str">
        <f>IFERROR(__xludf.DUMMYFUNCTION("AI(""You are a customer success manager reviewing account health. Write a 3-4 sentence engagement summary for: Brunswick
Renewal: 2026-04-30 | Stage: Discovery (91) | CSM: John Davis | Engagement Score: 79/100 | Days since last contact: 1 | Emails 30d/90d"&amp;": 13/17 | Meetings past/future/30d: 2/0/2 | Last meeting: 2026-02-18 | Next meeting:  | Open tasks: 1 | Recaps: 2 | Action items: 10
--- RECENT EMAILS (newest first) ---
2026-01-30 (OUT): Upcoming ObservePoint Renewal on April 30, 2026 - Brunswick — [ima"&amp;"ge: ObservePoint Logo_Gray_ON_YEllow_LOGO.jpeg]  A friendly reminder that it's time to renew.   Hi Brian,   Thank you for being an ObservePoint cu
2026-01-30 (IN): Following: ObservePoint | Brunswick Sync — Preston Tyler is following this meeting
 Learn m"&amp;"ore about Follow&lt;https://go.microsoft.com/fwlink/?linkid=2252265&gt;
 They can't attend, but they're inte
2026-01-30 (OUT): Re: Brad, let me introduce your new CSM John — Hey Brad,
 Thanks for sending this over! Its super helpful
 I'd love to connect and"&amp;" chat about the rules we need to setup for your
 needs.
 In p
--- OPEN/RECENT GITHUB TASKS ---
[OPEN] Investigate and fix consent category sync bug (In progress)
--- RECENT MEETING RECAPS ---
2026-02-18: ObservePoint | Brunswick Sync
This meeting focu"&amp;"sed on implementing ObservePoint's journey tracking and privacy compliance auditing for Brunswick's websites. John Davis demonstrated how to use custom data layers and JavaScript to capture dynamic form values for journey validation, though Brad ultimatel"&amp;"y decided to simplify the approach due to limited developer resources and lack of standardized data layers across their sites. The conversation shifted to privacy compliance testing, where John showcased ObservePoint's audit cap
---
2026-02-03: ObservePoi"&amp;"nt | Brunswick Sync
John Davis met with Brad and Aparna from Brunswick to discuss implementing ObservePoint's journey mapping and rule-building features across their 20+ websites to monitor lead form submissions. The team is struggling to create reusable "&amp;"rules because different forms require specific variable values (like SQL vs. MQL lead status), and using the standard UI would require creating approximately 60+ individual rules across their sites. John proposed using custom JavaScript tags to handle the"&amp;" condition
Based on all of the above, describe the engagement level, call out any concerns (e.g. no recent contact, low score, no future meetings booked, overdue action items), and suggest one specific next step."")"),"=AI(""You are a customer success manager reviewing account health. Write a 3-4 sentence engagement summary for: Brunswick
Renewal: 2026-04-30 | Stage: Discovery (91) | CSM: John Davis | Engagement Score: 79/100 | Days since last contact: 1 | Emails 30d/90"&amp;"d: 13/17 | Meetings past/future/30d: 2/0/2 | Last meeting: 2026-02-18 | Next meeting:  | Open tasks: 1 | Recaps: 2 | Action items: 10
--- RECENT EMAILS (newest first) ---
2026-01-30 (OUT): Upcoming ObservePoint Renewal on April 30, 2026 - Brunswick — [im"&amp;"age: ObservePoint Logo_Gray_ON_YEllow_LOGO.jpeg]  A friendly reminder that it's time to renew.   Hi Brian,   Thank you for being an ObservePoint cu
2026-01-30 (IN): Following: ObservePoint | Brunswick Sync — Preston Tyler is following this meeting
 Learn "&amp;"more about Follow&lt;https://go.microsoft.com/fwlink/?linkid=2252265&gt;
 They can't attend, but they're inte
2026-01-30 (OUT): Re: Brad, let me introduce your new CSM John — Hey Brad,
 Thanks for sending this over! Its super helpful
 I'd love to connect an"&amp;"d chat about the rules we need to setup for your
 needs.
 In p
--- OPEN/RECENT GITHUB TASKS ---
[OPEN] Investigate and fix consent category sync bug (In progress)
--- RECENT MEETING RECAPS ---
2026-02-18: ObservePoint | Brunswick Sync
This meeting foc"&amp;"used on implementing ObservePoint's journey tracking and privacy compliance auditing for Brunswick's websites. John Davis demonstrated how to use custom data layers and JavaScript to capture dynamic form values for journey validation, though Brad ultimate"&amp;"ly decided to simplify the approach due to limited developer resources and lack of standardized data layers across their sites. The conversation shifted to privacy compliance testing, where John showcased ObservePoint's audit cap
---
2026-02-03: ObservePo"&amp;"int | Brunswick Sync
John Davis met with Brad and Aparna from Brunswick to discuss implementing ObservePoint's journey mapping and rule-building features across their 20+ websites to monitor lead form submissions. The team is struggling to create reusable"&amp;" rules because different forms require specific variable values (like SQL vs. MQL lead status), and using the standard UI would require creating approximately 60+ individual rules across their sites. John proposed using custom JavaScript tags to handle th"&amp;"e condition
Based on all of the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Brunswick
Renewal: 2026-04-30 | Stage: Discovery (91) | CSM: John Davis | Engagement Score: 79/100 | Days since last contact: 1 | Emails 30d/90d: 13/17 | Meetings past/future/30d: 2/0/2 | Last meeting: 2026-02-18 | Next meeting:  | Open tasks: 1 | Recaps: 2 | Action items: 10
--- RECENT EMAILS (newest first) ---
2026-01-30 (OUT): Upcoming ObservePoint Renewal on April 30, 2026 - Brunswick — [image: ObservePoint Logo_Gray_ON_YEllow_LOGO.jpeg]  A friendly reminder that it's time to renew.   Hi Brian,   Thank you for being an ObservePoint cu
2026-01-30 (IN): Following: ObservePoint | Brunswick Sync — Preston Tyler is following this meeting
 Learn more about Follow&lt;https://go.microsoft.com/fwlink/?linkid=2252265&gt;
 They can't attend, but they're inte
2026-01-30 (OUT): Re: Brad, let me introduce your new CSM John — Hey Brad,
 Thanks for sending this over! Its super helpful
 I'd love to connect and chat about the rules we need to setup for your
 needs.
 In p
--- OPEN/RECENT GITHUB TASKS ---
[OPEN] Investigate and fix consent category sync bug (In progress)
--- RECENT MEETING RECAPS ---
2026-02-18: ObservePoint | Brunswick Sync
This meeting focused on implementing ObservePoint's journey tracking and privacy compliance auditing for Brunswick's websites. John Davis demonstrated how to use custom data layers and JavaScript to capture dynamic form values for journey validation, though Brad ultimately decided to simplify the approach due to limited developer resources and lack of standardized data layers across their sites. The conversation shifted to privacy compliance testing, where John showcased ObservePoint's audit cap
---
2026-02-03: ObservePoint | Brunswick Sync
John Davis met with Brad and Aparna from Brunswick to discuss implementing ObservePoint's journey mapping and rule-building features across their 20+ websites to monitor lead form submissions. The team is struggling to create reusable rules because different forms require specific variable values (like SQL vs. MQL lead status), and using the standard UI would require creating approximately 60+ individual rules across their sites. John proposed using custom JavaScript tags to handle the condition
Based on all of the above, describe the engagement level, call out any concerns (e.g. no recent contact, low score, no future meetings booked, overdue action items), and suggest one specific next step.")</v>
      </c>
      <c r="AT13" s="3" t="s">
        <v>360</v>
      </c>
      <c r="AU13" s="2"/>
      <c r="AV13" s="2"/>
      <c r="AW13" s="2"/>
    </row>
    <row r="14">
      <c r="A14" s="3" t="s">
        <v>361</v>
      </c>
      <c r="B14" s="3" t="s">
        <v>362</v>
      </c>
      <c r="C14" s="3" t="b">
        <v>1</v>
      </c>
      <c r="D14" s="4">
        <v>46177.0</v>
      </c>
      <c r="E14" s="8">
        <v>8330.0</v>
      </c>
      <c r="F14" s="8">
        <v>8330.0</v>
      </c>
      <c r="G14" s="3" t="s">
        <v>29</v>
      </c>
      <c r="H14" s="3" t="s">
        <v>44</v>
      </c>
      <c r="I14" s="8">
        <v>8330.0</v>
      </c>
      <c r="J14" s="19">
        <v>56.0</v>
      </c>
      <c r="K14" s="9">
        <v>0.352216354616738</v>
      </c>
      <c r="L14" s="10"/>
      <c r="M14" s="3" t="s">
        <v>25</v>
      </c>
      <c r="N14" s="3" t="s">
        <v>26</v>
      </c>
      <c r="O14" s="3" t="s">
        <v>40</v>
      </c>
      <c r="P14" s="3" t="s">
        <v>32</v>
      </c>
      <c r="Q14" s="18">
        <v>59.0</v>
      </c>
      <c r="R14" s="3">
        <v>28.0</v>
      </c>
      <c r="S14" s="3">
        <v>21.0</v>
      </c>
      <c r="T14" s="3">
        <v>12.0</v>
      </c>
      <c r="U14" s="3">
        <v>9.0</v>
      </c>
      <c r="V14" s="3">
        <v>0.0</v>
      </c>
      <c r="W14" s="19">
        <v>21.0</v>
      </c>
      <c r="X14" s="20">
        <v>46042.47201388889</v>
      </c>
      <c r="Y14" s="19">
        <v>2.0</v>
      </c>
      <c r="Z14" s="19">
        <v>0.0</v>
      </c>
      <c r="AA14" s="19">
        <v>1.0</v>
      </c>
      <c r="AB14" s="21">
        <v>63.0</v>
      </c>
      <c r="AC14" s="20">
        <v>46044.54166666667</v>
      </c>
      <c r="AD14" s="22"/>
      <c r="AE14" s="19">
        <v>1.0</v>
      </c>
      <c r="AF14" s="19">
        <v>1.0</v>
      </c>
      <c r="AG14" s="19">
        <v>0.0</v>
      </c>
      <c r="AH14" s="19">
        <v>0.0</v>
      </c>
      <c r="AI14" s="19">
        <v>0.0</v>
      </c>
      <c r="AJ14" s="3" t="s">
        <v>363</v>
      </c>
      <c r="AK14" s="3" t="s">
        <v>364</v>
      </c>
      <c r="AL14" s="2"/>
      <c r="AM14" s="3" t="s">
        <v>365</v>
      </c>
      <c r="AN14" s="3" t="s">
        <v>366</v>
      </c>
      <c r="AO14" s="3" t="s">
        <v>367</v>
      </c>
      <c r="AP14" s="3" t="s">
        <v>248</v>
      </c>
      <c r="AQ14" s="3" t="s">
        <v>248</v>
      </c>
      <c r="AR14" s="3" t="s">
        <v>368</v>
      </c>
      <c r="AS14" s="2" t="str">
        <f>IFERROR(__xludf.DUMMYFUNCTION("AI(""You are a customer success manager reviewing account health. Write a 3-4 sentence engagement summary for: RDO Equipment
Renewal: 2026-06-04 | Stage: Discovery (91) | CSM: John Davis | Engagement Score: 59/100 | Days since last contact: 28 | Emails 30"&amp;"d/90d: 0/21 | Meetings past/future/30d: 2/0/1 | Last meeting: 2026-01-22 | Next meeting:  | Open tasks: 1 | Recaps: 0 | Action items: 0
--- RECENT EMAILS (newest first) ---
2026-01-20 (IN): Tentative: ObservePoint | RDO Equipment Sync
2026-01-19 (IN): Te"&amp;"ntative: ObservePoint | RDO Equipment Sync
2026-01-19 (IN): Accepted: ObservePoint | RDO Equipment Sync
--- OPEN/RECENT GITHUB TASKS ---
[OPEN] Provide detailed explanation of vulnerable same site policy (Backlog)
--- RECENT MEETING RECAPS ---
Based o"&amp;"n all of the above, describe the engagement level, call out any concerns (e.g. no recent contact, low score, no future meetings booked, overdue action items), and suggest one specific next step."")"),"=AI(""You are a customer success manager reviewing account health. Write a 3-4 sentence engagement summary for: RDO Equipment
Renewal: 2026-06-04 | Stage: Discovery (91) | CSM: John Davis | Engagement Score: 59/100 | Days since last contact: 28 | Emails 3"&amp;"0d/90d: 0/21 | Meetings past/future/30d: 2/0/1 | Last meeting: 2026-01-22 | Next meeting:  | Open tasks: 1 | Recaps: 0 | Action items: 0
--- RECENT EMAILS (newest first) ---
2026-01-20 (IN): Tentative: ObservePoint | RDO Equipment Sync
2026-01-19 (IN): T"&amp;"entative: ObservePoint | RDO Equipment Sync
2026-01-19 (IN): Accepted: ObservePoint | RDO Equipment Sync
--- OPEN/RECENT GITHUB TASKS ---
[OPEN] Provide detailed explanation of vulnerable same site policy (Backlog)
--- RECENT MEETING RECAPS ---
Based "&amp;"on all of the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RDO Equipment
Renewal: 2026-06-04 | Stage: Discovery (91) | CSM: John Davis | Engagement Score: 59/100 | Days since last contact: 28 | Emails 30d/90d: 0/21 | Meetings past/future/30d: 2/0/1 | Last meeting: 2026-01-22 | Next meeting:  | Open tasks: 1 | Recaps: 0 | Action items: 0
--- RECENT EMAILS (newest first) ---
2026-01-20 (IN): Tentative: ObservePoint | RDO Equipment Sync
2026-01-19 (IN): Tentative: ObservePoint | RDO Equipment Sync
2026-01-19 (IN): Accepted: ObservePoint | RDO Equipment Sync
--- OPEN/RECENT GITHUB TASKS ---
[OPEN] Provide detailed explanation of vulnerable same site policy (Backlog)
--- RECENT MEETING RECAPS ---
Based on all of the above, describe the engagement level, call out any concerns (e.g. no recent contact, low score, no future meetings booked, overdue action items), and suggest one specific next step.")</v>
      </c>
      <c r="AT14" s="3" t="s">
        <v>369</v>
      </c>
      <c r="AU14" s="2"/>
      <c r="AV14" s="2"/>
      <c r="AW14" s="2"/>
    </row>
    <row r="15">
      <c r="A15" s="3" t="s">
        <v>370</v>
      </c>
      <c r="B15" s="3" t="s">
        <v>371</v>
      </c>
      <c r="C15" s="2"/>
      <c r="D15" s="4">
        <v>46183.0</v>
      </c>
      <c r="E15" s="8">
        <v>24008.0</v>
      </c>
      <c r="F15" s="11"/>
      <c r="G15" s="3" t="s">
        <v>29</v>
      </c>
      <c r="H15" s="3" t="s">
        <v>44</v>
      </c>
      <c r="I15" s="8">
        <v>24008.0</v>
      </c>
      <c r="J15" s="19">
        <v>12.0</v>
      </c>
      <c r="K15" s="9">
        <v>0.00473484848484848</v>
      </c>
      <c r="L15" s="10"/>
      <c r="M15" s="3" t="s">
        <v>46</v>
      </c>
      <c r="N15" s="3" t="s">
        <v>26</v>
      </c>
      <c r="O15" s="3" t="s">
        <v>38</v>
      </c>
      <c r="P15" s="3" t="s">
        <v>32</v>
      </c>
      <c r="Q15" s="18">
        <v>57.0</v>
      </c>
      <c r="R15" s="3">
        <v>21.0</v>
      </c>
      <c r="S15" s="3">
        <v>5.0</v>
      </c>
      <c r="T15" s="3">
        <v>5.0</v>
      </c>
      <c r="U15" s="3">
        <v>0.0</v>
      </c>
      <c r="V15" s="3">
        <v>4.0</v>
      </c>
      <c r="W15" s="19">
        <v>5.0</v>
      </c>
      <c r="X15" s="20">
        <v>46051.59688657407</v>
      </c>
      <c r="Y15" s="19">
        <v>16.0</v>
      </c>
      <c r="Z15" s="19">
        <v>26.0</v>
      </c>
      <c r="AA15" s="19">
        <v>1.0</v>
      </c>
      <c r="AB15" s="21">
        <v>17.0</v>
      </c>
      <c r="AC15" s="20">
        <v>46051.58333333333</v>
      </c>
      <c r="AD15" s="20">
        <v>46079.58333333333</v>
      </c>
      <c r="AE15" s="19">
        <v>1.0</v>
      </c>
      <c r="AF15" s="19">
        <v>0.0</v>
      </c>
      <c r="AG15" s="19">
        <v>1.0</v>
      </c>
      <c r="AH15" s="19">
        <v>0.0</v>
      </c>
      <c r="AI15" s="19">
        <v>0.0</v>
      </c>
      <c r="AJ15" s="3" t="s">
        <v>372</v>
      </c>
      <c r="AK15" s="2"/>
      <c r="AL15" s="2"/>
      <c r="AM15" s="3" t="s">
        <v>373</v>
      </c>
      <c r="AN15" s="3" t="s">
        <v>374</v>
      </c>
      <c r="AO15" s="3" t="s">
        <v>375</v>
      </c>
      <c r="AP15" s="3" t="s">
        <v>248</v>
      </c>
      <c r="AQ15" s="3" t="s">
        <v>248</v>
      </c>
      <c r="AR15" s="3" t="s">
        <v>376</v>
      </c>
      <c r="AS15" s="2" t="str">
        <f>IFERROR(__xludf.DUMMYFUNCTION("AI(""You are a customer success manager reviewing account health. Write a 3-4 sentence engagement summary for: Tyson Foods
Renewal: 2026-06-10 | Stage: Discovery (91) | CSM: John Davis | Engagement Score: 57/100 | Days since last contact: 21 | Emails 30d/"&amp;"90d: 4/5 | Meetings past/future/30d: 16/26/1 | Last meeting: 2026-01-29 | Next meeting: 2026-02-26 | Open tasks: 0 | Recaps: 0 | Action items: 0
--- RECENT EMAILS (newest first) ---
2026-01-29 (OUT): New CSM — Hey Landon,
 I just wanted to introduce my"&amp;"self as your new CSM moving forward.
 I also wanted to check with you because I know that David Neels wa
2026-01-29 (OUT): New CSM — Hey Landon,
 I just wanted to introduce myself as your new CSM moving forward. 
 I also wanted to check with you bec"&amp;"ause I know that David Neels w
2026-01-22 (OUT): Re: ObservePoint | Tyson -Sync — Thanks Todd!
 Hey Tyson Team,
 I would love to meet and talk about your 2026 goals. Please let me know if
 that regular scheduled time works for y
--- OPEN/RECENT GITHU"&amp;"B TASKS ---
--- RECENT MEETING RECAPS ---
Based on all of the above, describe the engagement level, call out any concerns (e.g. no recent contact, low score, no future meetings booked, overdue action items), and suggest one specific next step."")"),"=AI(""You are a customer success manager reviewing account health. Write a 3-4 sentence engagement summary for: Tyson Foods
Renewal: 2026-06-10 | Stage: Discovery (91) | CSM: John Davis | Engagement Score: 57/100 | Days since last contact: 21 | Emails 30d"&amp;"/90d: 4/5 | Meetings past/future/30d: 16/26/1 | Last meeting: 2026-01-29 | Next meeting: 2026-02-26 | Open tasks: 0 | Recaps: 0 | Action items: 0
--- RECENT EMAILS (newest first) ---
2026-01-29 (OUT): New CSM — Hey Landon,
 I just wanted to introduce m"&amp;"yself as your new CSM moving forward.
 I also wanted to check with you because I know that David Neels wa
2026-01-29 (OUT): New CSM — Hey Landon,
 I just wanted to introduce myself as your new CSM moving forward. 
 I also wanted to check with you be"&amp;"cause I know that David Neels w
2026-01-22 (OUT): Re: ObservePoint | Tyson -Sync — Thanks Todd!
 Hey Tyson Team,
 I would love to meet and talk about your 2026 goals. Please let me know if
 that regular scheduled time works for y
--- OPEN/RECENT GITH"&amp;"UB TASKS ---
--- RECENT MEETING RECAPS ---
Based on all of the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Tyson Foods
Renewal: 2026-06-10 | Stage: Discovery (91) | CSM: John Davis | Engagement Score: 57/100 | Days since last contact: 21 | Emails 30d/90d: 4/5 | Meetings past/future/30d: 16/26/1 | Last meeting: 2026-01-29 | Next meeting: 2026-02-26 | Open tasks: 0 | Recaps: 0 | Action items: 0
--- RECENT EMAILS (newest first) ---
2026-01-29 (OUT): New CSM — Hey Landon,
 I just wanted to introduce myself as your new CSM moving forward.
 I also wanted to check with you because I know that David Neels wa
2026-01-29 (OUT): New CSM — Hey Landon,
 I just wanted to introduce myself as your new CSM moving forward. 
 I also wanted to check with you because I know that David Neels w
2026-01-22 (OUT): Re: ObservePoint | Tyson -Sync — Thanks Todd!
 Hey Tyson Team,
 I would love to meet and talk about your 2026 goals. Please let me know if
 that regular scheduled time works for y
--- OPEN/RECENT GITHUB TASKS ---
--- RECENT MEETING RECAPS ---
Based on all of the above, describe the engagement level, call out any concerns (e.g. no recent contact, low score, no future meetings booked, overdue action items), and suggest one specific next step.")</v>
      </c>
      <c r="AT15" s="3" t="s">
        <v>377</v>
      </c>
      <c r="AU15" s="2"/>
      <c r="AV15" s="2"/>
      <c r="AW15" s="2"/>
    </row>
    <row r="16">
      <c r="A16" s="3" t="s">
        <v>158</v>
      </c>
      <c r="B16" s="3" t="s">
        <v>378</v>
      </c>
      <c r="C16" s="2"/>
      <c r="D16" s="4">
        <v>46203.0</v>
      </c>
      <c r="E16" s="8">
        <v>30080.0</v>
      </c>
      <c r="F16" s="8">
        <v>30080.0</v>
      </c>
      <c r="G16" s="3" t="s">
        <v>23</v>
      </c>
      <c r="H16" s="3" t="s">
        <v>44</v>
      </c>
      <c r="I16" s="8">
        <v>30080.0</v>
      </c>
      <c r="J16" s="19">
        <v>12.0</v>
      </c>
      <c r="K16" s="9">
        <v>0.855066666666666</v>
      </c>
      <c r="L16" s="9">
        <v>1.87466666666666</v>
      </c>
      <c r="M16" s="3" t="s">
        <v>25</v>
      </c>
      <c r="N16" s="3" t="s">
        <v>26</v>
      </c>
      <c r="O16" s="3" t="s">
        <v>36</v>
      </c>
      <c r="P16" s="2"/>
      <c r="Q16" s="18">
        <v>61.0</v>
      </c>
      <c r="R16" s="3">
        <v>14.0</v>
      </c>
      <c r="S16" s="3">
        <v>4.0</v>
      </c>
      <c r="T16" s="3">
        <v>3.0</v>
      </c>
      <c r="U16" s="3">
        <v>1.0</v>
      </c>
      <c r="V16" s="3">
        <v>0.0</v>
      </c>
      <c r="W16" s="19">
        <v>4.0</v>
      </c>
      <c r="X16" s="20">
        <v>46036.61158564815</v>
      </c>
      <c r="Y16" s="19">
        <v>3.0</v>
      </c>
      <c r="Z16" s="19">
        <v>26.0</v>
      </c>
      <c r="AA16" s="19">
        <v>1.0</v>
      </c>
      <c r="AB16" s="21">
        <v>89.0</v>
      </c>
      <c r="AC16" s="20">
        <v>46058.5</v>
      </c>
      <c r="AD16" s="20">
        <v>46086.5</v>
      </c>
      <c r="AE16" s="19">
        <v>5.0</v>
      </c>
      <c r="AF16" s="19">
        <v>0.0</v>
      </c>
      <c r="AG16" s="19">
        <v>5.0</v>
      </c>
      <c r="AH16" s="19">
        <v>1.0</v>
      </c>
      <c r="AI16" s="19">
        <v>3.0</v>
      </c>
      <c r="AJ16" s="3" t="s">
        <v>379</v>
      </c>
      <c r="AK16" s="2"/>
      <c r="AL16" s="3" t="s">
        <v>380</v>
      </c>
      <c r="AM16" s="3" t="s">
        <v>381</v>
      </c>
      <c r="AN16" s="3" t="s">
        <v>382</v>
      </c>
      <c r="AO16" s="3" t="s">
        <v>383</v>
      </c>
      <c r="AP16" s="3" t="s">
        <v>384</v>
      </c>
      <c r="AQ16" s="3" t="s">
        <v>385</v>
      </c>
      <c r="AR16" s="3" t="s">
        <v>386</v>
      </c>
      <c r="AS16" s="2" t="str">
        <f>IFERROR(__xludf.DUMMYFUNCTION("AI(""You are a customer success manager reviewing account health. Write a 3-4 sentence engagement summary for: Seagate
Renewal: 2026-06-30 | Stage: Discovery (91) | CSM: John Davis | Engagement Score: 61/100 | Days since last contact: 14 | Emails 30d/90d:"&amp;" 0/4 | Meetings past/future/30d: 3/26/1 | Last meeting: 2026-02-05 | Next meeting: 2026-03-05 | Open tasks: 0 | Recaps: 1 | Action items: 3
--- RECENT EMAILS (newest first) ---
2026-01-14 (OUT): OneTrust Regex Issue — Hey Dipendra,
 Following up on our"&amp;" discussion regarding the OneTrust regex issue you
 raised with Macey two meetings ago, I have an update after spe
2026-01-08 (IN): Accepted:  ObservePoint | Seagate Monthly Sync
2025-12-09 (OUT): Updated invitation: ObservePoint | Seagate- Sync @ Thu Dec"&amp;" 18, 2025 12pm - 12:30 — This event has been updated
 Changed: time
 ObservePoint | Seagate- Sync
 Thursday Dec 18, 2025 ⋅ 12pm – 12:30pm
 Mountain Time - Denver
 Joi
--- OPEN/RECENT GITHUB TASKS ---
--- RECENT MEETING RECAPS ---
2026-02-05: O"&amp;"bservePoint | Seagate Monthly Sync
John Davis and Dipendra Bagchee discussed troubleshooting cookie compliance tracking between ObservePoint and OneTrust. They identified that Dipendra's report was incorrectly mixing opt-in and opt-out audit data, causing"&amp;" confusion about which cookies were truly unapproved versus those appropriately flagged in opt-out scenarios. John clarified that cookies showing as """"unapproved"""" in opt-out audits (like targeting cookies) are correctly identified as non-compliant si"&amp;"nce they shouldn't fire after u
Based on all of the above, describe the engagement level, call out any concerns (e.g. no recent contact, low score, no future meetings booked, overdue action items), and suggest one specific next step."")"),"=AI(""You are a customer success manager reviewing account health. Write a 3-4 sentence engagement summary for: Seagate
Renewal: 2026-06-30 | Stage: Discovery (91) | CSM: John Davis | Engagement Score: 61/100 | Days since last contact: 14 | Emails 30d/90d"&amp;": 0/4 | Meetings past/future/30d: 3/26/1 | Last meeting: 2026-02-05 | Next meeting: 2026-03-05 | Open tasks: 0 | Recaps: 1 | Action items: 3
--- RECENT EMAILS (newest first) ---
2026-01-14 (OUT): OneTrust Regex Issue — Hey Dipendra,
 Following up on ou"&amp;"r discussion regarding the OneTrust regex issue you
 raised with Macey two meetings ago, I have an update after spe
2026-01-08 (IN): Accepted:  ObservePoint | Seagate Monthly Sync
2025-12-09 (OUT): Updated invitation: ObservePoint | Seagate- Sync @ Thu De"&amp;"c 18, 2025 12pm - 12:30 — This event has been updated
 Changed: time
 ObservePoint | Seagate- Sync
 Thursday Dec 18, 2025 ⋅ 12pm – 12:30pm
 Mountain Time - Denver
 Joi
--- OPEN/RECENT GITHUB TASKS ---
--- RECENT MEETING RECAPS ---
2026-02-05: "&amp;"ObservePoint | Seagate Monthly Sync
John Davis and Dipendra Bagchee discussed troubleshooting cookie compliance tracking between ObservePoint and OneTrust. They identified that Dipendra's report was incorrectly mixing opt-in and opt-out audit data, causin"&amp;"g confusion about which cookies were truly unapproved versus those appropriately flagged in opt-out scenarios. John clarified that cookies showing as """"unapproved"""" in opt-out audits (like targeting cookies) are correctly identified as non-compliant s"&amp;"ince they shouldn't fire after u
Based on all of the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Seagate
Renewal: 2026-06-30 | Stage: Discovery (91) | CSM: John Davis | Engagement Score: 61/100 | Days since last contact: 14 | Emails 30d/90d: 0/4 | Meetings past/future/30d: 3/26/1 | Last meeting: 2026-02-05 | Next meeting: 2026-03-05 | Open tasks: 0 | Recaps: 1 | Action items: 3
--- RECENT EMAILS (newest first) ---
2026-01-14 (OUT): OneTrust Regex Issue — Hey Dipendra,
 Following up on our discussion regarding the OneTrust regex issue you
 raised with Macey two meetings ago, I have an update after spe
2026-01-08 (IN): Accepted:  ObservePoint | Seagate Monthly Sync
2025-12-09 (OUT): Updated invitation: ObservePoint | Seagate- Sync @ Thu Dec 18, 2025 12pm - 12:30 — This event has been updated
 Changed: time
 ObservePoint | Seagate- Sync
 Thursday Dec 18, 2025 ⋅ 12pm – 12:30pm
 Mountain Time - Denver
 Joi
--- OPEN/RECENT GITHUB TASKS ---
--- RECENT MEETING RECAPS ---
2026-02-05: ObservePoint | Seagate Monthly Sync
John Davis and Dipendra Bagchee discussed troubleshooting cookie compliance tracking between ObservePoint and OneTrust. They identified that Dipendra's report was incorrectly mixing opt-in and opt-out audit data, causing confusion about which cookies were truly unapproved versus those appropriately flagged in opt-out scenarios. John clarified that cookies showing as ""unapproved"" in opt-out audits (like targeting cookies) are correctly identified as non-compliant since they shouldn't fire after u
Based on all of the above, describe the engagement level, call out any concerns (e.g. no recent contact, low score, no future meetings booked, overdue action items), and suggest one specific next step.")</v>
      </c>
      <c r="AT16" s="3" t="s">
        <v>387</v>
      </c>
      <c r="AU16" s="2"/>
      <c r="AV16" s="2"/>
      <c r="AW16" s="2"/>
    </row>
    <row r="17">
      <c r="A17" s="3" t="s">
        <v>203</v>
      </c>
      <c r="B17" s="3" t="s">
        <v>388</v>
      </c>
      <c r="C17" s="3" t="b">
        <v>1</v>
      </c>
      <c r="D17" s="4">
        <v>46212.0</v>
      </c>
      <c r="E17" s="8">
        <v>14000.0</v>
      </c>
      <c r="F17" s="8">
        <v>14000.0</v>
      </c>
      <c r="G17" s="3" t="s">
        <v>23</v>
      </c>
      <c r="H17" s="3" t="s">
        <v>44</v>
      </c>
      <c r="I17" s="8">
        <v>14000.0</v>
      </c>
      <c r="J17" s="19">
        <v>32.0</v>
      </c>
      <c r="K17" s="9">
        <v>0.517466666666666</v>
      </c>
      <c r="L17" s="9">
        <v>0.0706666666666666</v>
      </c>
      <c r="M17" s="3" t="s">
        <v>25</v>
      </c>
      <c r="N17" s="3" t="s">
        <v>26</v>
      </c>
      <c r="O17" s="3" t="s">
        <v>31</v>
      </c>
      <c r="P17" s="3" t="s">
        <v>32</v>
      </c>
      <c r="Q17" s="18">
        <v>57.0</v>
      </c>
      <c r="R17" s="3">
        <v>15.0</v>
      </c>
      <c r="S17" s="3">
        <v>5.0</v>
      </c>
      <c r="T17" s="3">
        <v>3.0</v>
      </c>
      <c r="U17" s="3">
        <v>2.0</v>
      </c>
      <c r="V17" s="3">
        <v>3.0</v>
      </c>
      <c r="W17" s="19">
        <v>5.0</v>
      </c>
      <c r="X17" s="20">
        <v>46057.49763888889</v>
      </c>
      <c r="Y17" s="19">
        <v>3.0</v>
      </c>
      <c r="Z17" s="19">
        <v>13.0</v>
      </c>
      <c r="AA17" s="19">
        <v>1.0</v>
      </c>
      <c r="AB17" s="21">
        <v>89.0</v>
      </c>
      <c r="AC17" s="20">
        <v>46050.5625</v>
      </c>
      <c r="AD17" s="20">
        <v>46076.5625</v>
      </c>
      <c r="AE17" s="19">
        <v>0.0</v>
      </c>
      <c r="AF17" s="19">
        <v>0.0</v>
      </c>
      <c r="AG17" s="19">
        <v>0.0</v>
      </c>
      <c r="AH17" s="19">
        <v>1.0</v>
      </c>
      <c r="AI17" s="19">
        <v>0.0</v>
      </c>
      <c r="AJ17" s="3" t="s">
        <v>389</v>
      </c>
      <c r="AK17" s="2"/>
      <c r="AL17" s="3" t="s">
        <v>390</v>
      </c>
      <c r="AM17" s="3" t="s">
        <v>248</v>
      </c>
      <c r="AN17" s="3" t="s">
        <v>391</v>
      </c>
      <c r="AO17" s="3" t="s">
        <v>392</v>
      </c>
      <c r="AP17" s="3" t="s">
        <v>393</v>
      </c>
      <c r="AQ17" s="3" t="s">
        <v>248</v>
      </c>
      <c r="AR17" s="3" t="s">
        <v>394</v>
      </c>
      <c r="AS17" s="2" t="str">
        <f>IFERROR(__xludf.DUMMYFUNCTION("AI(""You are a customer success manager reviewing account health. Write a 3-4 sentence engagement summary for: Verisign
Renewal: 2026-07-09 | Stage: Discovery (91) | CSM: John Davis | Engagement Score: 57/100 | Days since last contact: 15 | Emails 30d/90d"&amp;": 3/5 | Meetings past/future/30d: 3/13/1 | Last meeting: 2026-01-28 | Next meeting: 2026-02-23 | Open tasks: 0 | Recaps: 1 | Action items: 0
--- RECENT EMAILS (newest first) ---
2026-02-04 (OUT): Re: Question: Where are we with OP hosting Apps Script web"&amp;"hooks? — Hi Charlie,
 Done!
 Best regards!
 On Wed, Feb 4, 2026 at 8:49 PM Charlie Tysse &lt;
 charlie.tysse@stackedanalytics.com&gt; wrote:
 &gt; Hi Alex,
 &gt;
2026-02-04 (IN): Re: Question: Where are we with OP hosting Apps Script webhooks? — Hi Alex,
"&amp;" Sorry to bug you — I made a change to the Google sheet again, could you
 redeploy?
 Looping in John Davis, Verisign’s new account rep (r
2026-01-28 (IN): Enrique's email — My email address.
--- OPEN/RECENT GITHUB TASKS ---
--- RECENT MEETING RECAPS "&amp;"---
2026-01-28: ObservePoint | Verisign - Sync
This meeting transcript captures a brief informal conversation where participants are getting organized at the start of a call. John Davis and others discuss concerns about recording the session, noting that "&amp;"their company has strict policies against it. The conversation involves some confusion about meeting room ownership and how to disable the recording feature, with participants trying to figure out the technical steps to remove the recording bot from the s"&amp;"ession.
Based on all of the above, describe the engagement level, call out any concerns (e.g. no recent contact, low score, no future meetings booked, overdue action items), and suggest one specific next step."")"),"=AI(""You are a customer success manager reviewing account health. Write a 3-4 sentence engagement summary for: Verisign
Renewal: 2026-07-09 | Stage: Discovery (91) | CSM: John Davis | Engagement Score: 57/100 | Days since last contact: 15 | Emails 30d/90"&amp;"d: 3/5 | Meetings past/future/30d: 3/13/1 | Last meeting: 2026-01-28 | Next meeting: 2026-02-23 | Open tasks: 0 | Recaps: 1 | Action items: 0
--- RECENT EMAILS (newest first) ---
2026-02-04 (OUT): Re: Question: Where are we with OP hosting Apps Script we"&amp;"bhooks? — Hi Charlie,
 Done!
 Best regards!
 On Wed, Feb 4, 2026 at 8:49 PM Charlie Tysse &lt;
 charlie.tysse@stackedanalytics.com&gt; wrote:
 &gt; Hi Alex,
 &gt;
2026-02-04 (IN): Re: Question: Where are we with OP hosting Apps Script webhooks? — Hi Alex,
 "&amp;"
 Sorry to bug you — I made a change to the Google sheet again, could you
 redeploy?
 Looping in John Davis, Verisign’s new account rep (r
2026-01-28 (IN): Enrique's email — My email address.
--- OPEN/RECENT GITHUB TASKS ---
--- RECENT MEETING RECAPS"&amp;" ---
2026-01-28: ObservePoint | Verisign - Sync
This meeting transcript captures a brief informal conversation where participants are getting organized at the start of a call. John Davis and others discuss concerns about recording the session, noting that"&amp;" their company has strict policies against it. The conversation involves some confusion about meeting room ownership and how to disable the recording feature, with participants trying to figure out the technical steps to remove the recording bot from the "&amp;"session.
Based on all of the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Verisign
Renewal: 2026-07-09 | Stage: Discovery (91) | CSM: John Davis | Engagement Score: 57/100 | Days since last contact: 15 | Emails 30d/90d: 3/5 | Meetings past/future/30d: 3/13/1 | Last meeting: 2026-01-28 | Next meeting: 2026-02-23 | Open tasks: 0 | Recaps: 1 | Action items: 0
--- RECENT EMAILS (newest first) ---
2026-02-04 (OUT): Re: Question: Where are we with OP hosting Apps Script webhooks? — Hi Charlie,
 Done!
 Best regards!
 On Wed, Feb 4, 2026 at 8:49 PM Charlie Tysse &lt;
 charlie.tysse@stackedanalytics.com&gt; wrote:
 &gt; Hi Alex,
 &gt;
2026-02-04 (IN): Re: Question: Where are we with OP hosting Apps Script webhooks? — Hi Alex,
 Sorry to bug you — I made a change to the Google sheet again, could you
 redeploy?
 Looping in John Davis, Verisign’s new account rep (r
2026-01-28 (IN): Enrique's email — My email address.
--- OPEN/RECENT GITHUB TASKS ---
--- RECENT MEETING RECAPS ---
2026-01-28: ObservePoint | Verisign - Sync
This meeting transcript captures a brief informal conversation where participants are getting organized at the start of a call. John Davis and others discuss concerns about recording the session, noting that their company has strict policies against it. The conversation involves some confusion about meeting room ownership and how to disable the recording feature, with participants trying to figure out the technical steps to remove the recording bot from the session.
Based on all of the above, describe the engagement level, call out any concerns (e.g. no recent contact, low score, no future meetings booked, overdue action items), and suggest one specific next step.")</v>
      </c>
      <c r="AT17" s="3" t="s">
        <v>395</v>
      </c>
      <c r="AU17" s="2"/>
      <c r="AV17" s="2"/>
      <c r="AW17" s="2"/>
    </row>
    <row r="18">
      <c r="A18" s="3" t="s">
        <v>123</v>
      </c>
      <c r="B18" s="3" t="s">
        <v>396</v>
      </c>
      <c r="C18" s="3" t="b">
        <v>1</v>
      </c>
      <c r="D18" s="4">
        <v>46217.0</v>
      </c>
      <c r="E18" s="8">
        <v>28000.0</v>
      </c>
      <c r="F18" s="8">
        <v>7000.0</v>
      </c>
      <c r="G18" s="3" t="s">
        <v>29</v>
      </c>
      <c r="H18" s="3" t="s">
        <v>48</v>
      </c>
      <c r="I18" s="8">
        <v>28000.0</v>
      </c>
      <c r="J18" s="19">
        <v>12.0</v>
      </c>
      <c r="K18" s="9">
        <v>0.181821487663412</v>
      </c>
      <c r="L18" s="9">
        <v>0.014</v>
      </c>
      <c r="M18" s="3" t="s">
        <v>46</v>
      </c>
      <c r="N18" s="3" t="s">
        <v>26</v>
      </c>
      <c r="O18" s="3" t="s">
        <v>38</v>
      </c>
      <c r="P18" s="3" t="s">
        <v>32</v>
      </c>
      <c r="Q18" s="18">
        <v>65.0</v>
      </c>
      <c r="R18" s="3">
        <v>21.0</v>
      </c>
      <c r="S18" s="3">
        <v>26.0</v>
      </c>
      <c r="T18" s="3">
        <v>11.0</v>
      </c>
      <c r="U18" s="3">
        <v>15.0</v>
      </c>
      <c r="V18" s="3">
        <v>2.0</v>
      </c>
      <c r="W18" s="19">
        <v>26.0</v>
      </c>
      <c r="X18" s="20">
        <v>46051.63260416666</v>
      </c>
      <c r="Y18" s="19">
        <v>3.0</v>
      </c>
      <c r="Z18" s="19">
        <v>13.0</v>
      </c>
      <c r="AA18" s="19">
        <v>1.0</v>
      </c>
      <c r="AB18" s="21">
        <v>50.0</v>
      </c>
      <c r="AC18" s="20">
        <v>46051.64583333333</v>
      </c>
      <c r="AD18" s="20">
        <v>46079.64583333333</v>
      </c>
      <c r="AE18" s="19">
        <v>1.0</v>
      </c>
      <c r="AF18" s="19">
        <v>0.0</v>
      </c>
      <c r="AG18" s="19">
        <v>1.0</v>
      </c>
      <c r="AH18" s="19">
        <v>1.0</v>
      </c>
      <c r="AI18" s="19">
        <v>3.0</v>
      </c>
      <c r="AJ18" s="3" t="s">
        <v>397</v>
      </c>
      <c r="AK18" s="2"/>
      <c r="AL18" s="3" t="s">
        <v>398</v>
      </c>
      <c r="AM18" s="3" t="s">
        <v>399</v>
      </c>
      <c r="AN18" s="3" t="s">
        <v>400</v>
      </c>
      <c r="AO18" s="3" t="s">
        <v>401</v>
      </c>
      <c r="AP18" s="3" t="s">
        <v>402</v>
      </c>
      <c r="AQ18" s="3" t="s">
        <v>403</v>
      </c>
      <c r="AR18" s="3" t="s">
        <v>404</v>
      </c>
      <c r="AS18" s="2" t="str">
        <f>IFERROR(__xludf.DUMMYFUNCTION("AI(""You are a customer success manager reviewing account health. Write a 3-4 sentence engagement summary for: Officeworks
Renewal: 2026-07-14 | Stage: Identified () | CSM: John Davis | Engagement Score: 65/100 | Days since last contact: 21 | Emails 30d/9"&amp;"0d: 2/26 | Meetings past/future/30d: 3/13/1 | Last meeting: 2026-01-29 | Next meeting: 2026-02-26 | Open tasks: 0 | Recaps: 1 | Action items: 3
--- RECENT EMAILS (newest first) ---
2026-01-29 (OUT): ObservePoint | Officeworks Sync — Look forward to chatt"&amp;"ing about your 2026 plans and how ObservePoint can  
 help!
 ObservePoint | Officeworks Sync
 Thursday Jan 29, 2026 ⋅ 3:30pm – 
2026-01-29 (IN): Tentative: ObservePoint | Officeworks Sync — ________________________________
 This email and any attachment"&amp;"s may contain privileged and confidential information and are intended for the named ad
2026-01-18 (IN): Accepted: ObservePoint | Officeworks Sync — ________________________________
  This email and any attachments may contain privileged and confidential "&amp;"information and are intended for the named a
--- OPEN/RECENT GITHUB TASKS ---
--- RECENT MEETING RECAPS ---
2026-01-29: ObservePoint | Officeworks Sync
This meeting focused on helping Officeworks better utilize ObservePoint for data quality monitoring "&amp;"and governance. The team discussed implementing automated audits to validate their data layer consistency across three tag managers (Tealium, Google Tag Manager, and Adobe Launch), with particular emphasis on monitoring critical conversion events like add"&amp;"-to-cart and checkout processes. Key action items include exploring GitHub integration for automated testing during code releases, scheduling a f
Based on all of the above, describe the engagement level, call out any concerns (e.g. no recent contact, low"&amp;" score, no future meetings booked, overdue action items), and suggest one specific next step."")"),"=AI(""You are a customer success manager reviewing account health. Write a 3-4 sentence engagement summary for: Officeworks
Renewal: 2026-07-14 | Stage: Identified () | CSM: John Davis | Engagement Score: 65/100 | Days since last contact: 21 | Emails 30d/"&amp;"90d: 2/26 | Meetings past/future/30d: 3/13/1 | Last meeting: 2026-01-29 | Next meeting: 2026-02-26 | Open tasks: 0 | Recaps: 1 | Action items: 3
--- RECENT EMAILS (newest first) ---
2026-01-29 (OUT): ObservePoint | Officeworks Sync — Look forward to chat"&amp;"ting about your 2026 plans and how ObservePoint can  
 help!
 ObservePoint | Officeworks Sync
 Thursday Jan 29, 2026 ⋅ 3:30pm – 
2026-01-29 (IN): Tentative: ObservePoint | Officeworks Sync — ________________________________
 This email and any attachmen"&amp;"ts may contain privileged and confidential information and are intended for the named ad
2026-01-18 (IN): Accepted: ObservePoint | Officeworks Sync — ________________________________
  This email and any attachments may contain privileged and confidential"&amp;" information and are intended for the named a
--- OPEN/RECENT GITHUB TASKS ---
--- RECENT MEETING RECAPS ---
2026-01-29: ObservePoint | Officeworks Sync
This meeting focused on helping Officeworks better utilize ObservePoint for data quality monitoring"&amp;" and governance. The team discussed implementing automated audits to validate their data layer consistency across three tag managers (Tealium, Google Tag Manager, and Adobe Launch), with particular emphasis on monitoring critical conversion events like ad"&amp;"d-to-cart and checkout processes. Key action items include exploring GitHub integration for automated testing during code releases, scheduling a f
Based on all of the above, describe the engagement level, call out any concerns (e.g. no recent contact, lo"&amp;"w score, no future meetings booked, overdue action items), and suggest one specific next step."")")</f>
        <v>=AI("You are a customer success manager reviewing account health. Write a 3-4 sentence engagement summary for: Officeworks
Renewal: 2026-07-14 | Stage: Identified () | CSM: John Davis | Engagement Score: 65/100 | Days since last contact: 21 | Emails 30d/90d: 2/26 | Meetings past/future/30d: 3/13/1 | Last meeting: 2026-01-29 | Next meeting: 2026-02-26 | Open tasks: 0 | Recaps: 1 | Action items: 3
--- RECENT EMAILS (newest first) ---
2026-01-29 (OUT): ObservePoint | Officeworks Sync — Look forward to chatting about your 2026 plans and how ObservePoint can  
 help!
 ObservePoint | Officeworks Sync
 Thursday Jan 29, 2026 ⋅ 3:30pm – 
2026-01-29 (IN): Tentative: ObservePoint | Officeworks Sync — ________________________________
 This email and any attachments may contain privileged and confidential information and are intended for the named ad
2026-01-18 (IN): Accepted: ObservePoint | Officeworks Sync — ________________________________
  This email and any attachments may contain privileged and confidential information and are intended for the named a
--- OPEN/RECENT GITHUB TASKS ---
--- RECENT MEETING RECAPS ---
2026-01-29: ObservePoint | Officeworks Sync
This meeting focused on helping Officeworks better utilize ObservePoint for data quality monitoring and governance. The team discussed implementing automated audits to validate their data layer consistency across three tag managers (Tealium, Google Tag Manager, and Adobe Launch), with particular emphasis on monitoring critical conversion events like add-to-cart and checkout processes. Key action items include exploring GitHub integration for automated testing during code releases, scheduling a f
Based on all of the above, describe the engagement level, call out any concerns (e.g. no recent contact, low score, no future meetings booked, overdue action items), and suggest one specific next step.")</v>
      </c>
      <c r="AT18" s="3" t="s">
        <v>405</v>
      </c>
      <c r="AU18" s="2"/>
      <c r="AV18" s="2"/>
      <c r="AW18" s="2"/>
    </row>
    <row r="19">
      <c r="A19" s="3" t="s">
        <v>406</v>
      </c>
      <c r="B19" s="3" t="s">
        <v>407</v>
      </c>
      <c r="C19" s="3" t="b">
        <v>1</v>
      </c>
      <c r="D19" s="4">
        <v>46225.0</v>
      </c>
      <c r="E19" s="8">
        <v>17000.0</v>
      </c>
      <c r="F19" s="8">
        <v>17000.0</v>
      </c>
      <c r="G19" s="3" t="s">
        <v>23</v>
      </c>
      <c r="H19" s="3" t="s">
        <v>44</v>
      </c>
      <c r="I19" s="8">
        <v>17000.0</v>
      </c>
      <c r="K19" s="9">
        <v>0.602733333333333</v>
      </c>
      <c r="L19" s="9">
        <v>0.122666666666666</v>
      </c>
      <c r="M19" s="3" t="s">
        <v>25</v>
      </c>
      <c r="N19" s="3" t="s">
        <v>26</v>
      </c>
      <c r="O19" s="3" t="s">
        <v>38</v>
      </c>
      <c r="P19" s="3" t="s">
        <v>32</v>
      </c>
      <c r="Q19" s="18">
        <v>67.0</v>
      </c>
      <c r="R19" s="3">
        <v>0.0</v>
      </c>
      <c r="S19" s="3">
        <v>5.0</v>
      </c>
      <c r="T19" s="3">
        <v>5.0</v>
      </c>
      <c r="U19" s="3">
        <v>0.0</v>
      </c>
      <c r="V19" s="3">
        <v>3.0</v>
      </c>
      <c r="W19" s="19">
        <v>5.0</v>
      </c>
      <c r="X19" s="20">
        <v>46044.693078703705</v>
      </c>
      <c r="Y19" s="19">
        <v>2.0</v>
      </c>
      <c r="Z19" s="19">
        <v>0.0</v>
      </c>
      <c r="AA19" s="19">
        <v>2.0</v>
      </c>
      <c r="AB19" s="21">
        <v>42.0</v>
      </c>
      <c r="AC19" s="20">
        <v>46072.60416666667</v>
      </c>
      <c r="AD19" s="22"/>
      <c r="AE19" s="19">
        <v>0.0</v>
      </c>
      <c r="AF19" s="19">
        <v>0.0</v>
      </c>
      <c r="AG19" s="19">
        <v>0.0</v>
      </c>
      <c r="AH19" s="19">
        <v>0.0</v>
      </c>
      <c r="AI19" s="19">
        <v>0.0</v>
      </c>
      <c r="AJ19" s="3" t="s">
        <v>408</v>
      </c>
      <c r="AK19" s="2"/>
      <c r="AL19" s="2"/>
      <c r="AM19" s="3" t="s">
        <v>248</v>
      </c>
      <c r="AN19" s="3" t="s">
        <v>409</v>
      </c>
      <c r="AO19" s="3" t="s">
        <v>410</v>
      </c>
      <c r="AP19" s="3" t="s">
        <v>248</v>
      </c>
      <c r="AQ19" s="3" t="s">
        <v>248</v>
      </c>
      <c r="AR19" s="3" t="s">
        <v>411</v>
      </c>
      <c r="AS19" s="2" t="str">
        <f>IFERROR(__xludf.DUMMYFUNCTION("AI(""You are a customer success manager reviewing account health. Write a 3-4 sentence engagement summary for: Project Management Institute
Renewal: 2026-07-22 | Stage: Discovery (91) | CSM: John Davis | Engagement Score: 67/100 | Days since last contact:"&amp;" 0 | Emails 30d/90d: 3/5 | Meetings past/future/30d: 2/0/2 | Last meeting: 2026-02-19 | Next meeting:  | Open tasks: 0 | Recaps: 0 | Action items: 0
--- RECENT EMAILS (newest first) ---
2026-01-22 (OUT): Re: PMI | ObservePoint Monthly Sync — Hey Tony,
"&amp;" I would love to connect with you and go over your 2026 goals. Can we find a
 time that works for both of us?
 Here are some slots that 
2026-01-22 (OUT): Re: PMI | ObservePoint Monthly Sync — Hey Tony,
 I would love to connect with you and go over yo"&amp;"ur 2026 goals. Can we find a 
 time that works for both of us? 
 Here are some 
 *Rega
2026-01-22 (OUT): Re: PMI | ObservePoint Monthly Sync — Hey Tony,
 I would love to connect with you and go over your 2026 goals. Can we find a 
 time that works f"&amp;"or both of us? 
 *Regards, *
 John Dav
--- OPEN/RECENT GITHUB TASKS ---
--- RECENT MEETING RECAPS ---
Based on all of the above, describe the engagement level, call out any concerns (e.g. no recent contact, low score, no future meetings booked, o"&amp;"verdue action items), and suggest one specific next step."")"),"=AI(""You are a customer success manager reviewing account health. Write a 3-4 sentence engagement summary for: Project Management Institute
Renewal: 2026-07-22 | Stage: Discovery (91) | CSM: John Davis | Engagement Score: 67/100 | Days since last contact"&amp;": 0 | Emails 30d/90d: 3/5 | Meetings past/future/30d: 2/0/2 | Last meeting: 2026-02-19 | Next meeting:  | Open tasks: 0 | Recaps: 0 | Action items: 0
--- RECENT EMAILS (newest first) ---
2026-01-22 (OUT): Re: PMI | ObservePoint Monthly Sync — Hey Tony,
 "&amp;"
 I would love to connect with you and go over your 2026 goals. Can we find a
 time that works for both of us?
 Here are some slots that 
2026-01-22 (OUT): Re: PMI | ObservePoint Monthly Sync — Hey Tony,
 I would love to connect with you and go over y"&amp;"our 2026 goals. Can we find a 
 time that works for both of us? 
 Here are some 
 *Rega
2026-01-22 (OUT): Re: PMI | ObservePoint Monthly Sync — Hey Tony,
 I would love to connect with you and go over your 2026 goals. Can we find a 
 time that works "&amp;"for both of us? 
 *Regards, *
 John Dav
--- OPEN/RECENT GITHUB TASKS ---
--- RECENT MEETING RECAPS ---
Based on all of the above, describe the engagement level, call out any concerns (e.g. no recent contact, low score, no future meetings booked, "&amp;"overdue action items), and suggest one specific next step."")")</f>
        <v>=AI("You are a customer success manager reviewing account health. Write a 3-4 sentence engagement summary for: Project Management Institute
Renewal: 2026-07-22 | Stage: Discovery (91) | CSM: John Davis | Engagement Score: 67/100 | Days since last contact: 0 | Emails 30d/90d: 3/5 | Meetings past/future/30d: 2/0/2 | Last meeting: 2026-02-19 | Next meeting:  | Open tasks: 0 | Recaps: 0 | Action items: 0
--- RECENT EMAILS (newest first) ---
2026-01-22 (OUT): Re: PMI | ObservePoint Monthly Sync — Hey Tony,
 I would love to connect with you and go over your 2026 goals. Can we find a
 time that works for both of us?
 Here are some slots that 
2026-01-22 (OUT): Re: PMI | ObservePoint Monthly Sync — Hey Tony,
 I would love to connect with you and go over your 2026 goals. Can we find a 
 time that works for both of us? 
 Here are some 
 *Rega
2026-01-22 (OUT): Re: PMI | ObservePoint Monthly Sync — Hey Tony,
 I would love to connect with you and go over your 2026 goals. Can we find a 
 time that works for both of us? 
 *Regards, *
 John Dav
--- OPEN/RECENT GITHUB TASKS ---
--- RECENT MEETING RECAPS ---
Based on all of the above, describe the engagement level, call out any concerns (e.g. no recent contact, low score, no future meetings booked, overdue action items), and suggest one specific next step.")</v>
      </c>
      <c r="AT19" s="3" t="s">
        <v>412</v>
      </c>
      <c r="AU19" s="2"/>
      <c r="AV19" s="2"/>
      <c r="AW19" s="2"/>
    </row>
    <row r="20">
      <c r="A20" s="3" t="s">
        <v>191</v>
      </c>
      <c r="B20" s="3" t="s">
        <v>413</v>
      </c>
      <c r="C20" s="3" t="b">
        <v>1</v>
      </c>
      <c r="D20" s="4">
        <v>46234.0</v>
      </c>
      <c r="E20" s="8">
        <v>29380.0</v>
      </c>
      <c r="F20" s="8">
        <v>29380.0</v>
      </c>
      <c r="G20" s="3" t="s">
        <v>29</v>
      </c>
      <c r="H20" s="3" t="s">
        <v>48</v>
      </c>
      <c r="I20" s="8">
        <v>29380.0</v>
      </c>
      <c r="J20" s="19">
        <v>12.0</v>
      </c>
      <c r="K20" s="9">
        <v>0.391400966183574</v>
      </c>
      <c r="L20" s="10"/>
      <c r="M20" s="3" t="s">
        <v>25</v>
      </c>
      <c r="N20" s="3" t="s">
        <v>26</v>
      </c>
      <c r="O20" s="3" t="s">
        <v>27</v>
      </c>
      <c r="P20" s="3" t="s">
        <v>32</v>
      </c>
      <c r="Q20" s="18">
        <v>67.0</v>
      </c>
      <c r="R20" s="3">
        <v>14.0</v>
      </c>
      <c r="S20" s="3">
        <v>8.0</v>
      </c>
      <c r="T20" s="3">
        <v>5.0</v>
      </c>
      <c r="U20" s="3">
        <v>3.0</v>
      </c>
      <c r="V20" s="3">
        <v>0.0</v>
      </c>
      <c r="W20" s="19">
        <v>8.0</v>
      </c>
      <c r="X20" s="20">
        <v>46038.551828703705</v>
      </c>
      <c r="Y20" s="19">
        <v>2.0</v>
      </c>
      <c r="Z20" s="19">
        <v>13.0</v>
      </c>
      <c r="AA20" s="19">
        <v>1.0</v>
      </c>
      <c r="AB20" s="21">
        <v>67.0</v>
      </c>
      <c r="AC20" s="20">
        <v>46058.5625</v>
      </c>
      <c r="AD20" s="20">
        <v>46086.5625</v>
      </c>
      <c r="AE20" s="19">
        <v>0.0</v>
      </c>
      <c r="AF20" s="19">
        <v>0.0</v>
      </c>
      <c r="AG20" s="19">
        <v>0.0</v>
      </c>
      <c r="AH20" s="19">
        <v>2.0</v>
      </c>
      <c r="AI20" s="19">
        <v>5.0</v>
      </c>
      <c r="AJ20" s="3" t="s">
        <v>414</v>
      </c>
      <c r="AK20" s="2"/>
      <c r="AL20" s="3" t="s">
        <v>415</v>
      </c>
      <c r="AM20" s="3" t="s">
        <v>248</v>
      </c>
      <c r="AN20" s="3" t="s">
        <v>416</v>
      </c>
      <c r="AO20" s="3" t="s">
        <v>417</v>
      </c>
      <c r="AP20" s="3" t="s">
        <v>418</v>
      </c>
      <c r="AQ20" s="3" t="s">
        <v>419</v>
      </c>
      <c r="AR20" s="3" t="s">
        <v>420</v>
      </c>
      <c r="AS20" s="2" t="str">
        <f>IFERROR(__xludf.DUMMYFUNCTION("AI(""You are a customer success manager reviewing account health. Write a 3-4 sentence engagement summary for: Cotiviti
Renewal: 2026-07-31 | Stage: Identified () | CSM: John Davis | Engagement Score: 67/100 | Days since last contact: 14 | Emails 30d/90d:"&amp;" 0/8 | Meetings past/future/30d: 2/13/1 | Last meeting: 2026-02-05 | Next meeting: 2026-03-05 | Open tasks: 0 | Recaps: 2 | Action items: 5
--- RECENT EMAILS (newest first) ---
2026-01-16 (IN): Accepted: ObservePoint | Cotiviti Monthly Sync
2026-01-15 (I"&amp;"N): Our meeting in an hour — Hi,  Looking forward to speaking to you in a short while.  Best,
2026-01-15 (OUT): Updated invitation: ObservePoint | Cotiviti - Sync @ Thu Jan 15, 2026 1:30pm - 2 — This event has been updated
 Changed: title
 ObservePoin"&amp;"t | Cotiviti - Sync
 Thursday Jan 15, 2026 ⋅ 1:30pm – 2pm
 Mountain Time - Denver
 Jo
--- OPEN/RECENT GITHUB TASKS ---
--- RECENT MEETING RECAPS ---
2026-02-05: ObservePoint | Cotiviti Monthly Sync
John Davis met with Walter and Chris from Cotivit"&amp;"y/EdFX to discuss their ObservePoint implementation while they're in the midst of rebuilding the EdFX website in HubSpot's CMS. John recommended they document their website quality questions and standards in plain English (particularly around accessibilit"&amp;"y and privacy compliance) to better leverage ObservePoint's capabilities once the migration is complete. He provided resources on whitelisting ObservePoint's crawlers, confirmed they have ample pa
---
2026-01-15: ObservePoint | Cotiviti - Sync
This meetin"&amp;"g served as a transition call where Macey Bell introduced John Davis as the new Customer Success Manager for Cotivity's ObservePoint account. The team discussed their current use of ObservePoint for cookie compliance and privacy monitoring, with plans to "&amp;"expand into accessibility scanning and broken link detection, while noting they're in the middle of migrating their edfx.com website from a self-hosted Gatsby JS platform to HubSpot. John and the team agreed to establish monthly recur
Based on all of the"&amp;" above, describe the engagement level, call out any concerns (e.g. no recent contact, low score, no future meetings booked, overdue action items), and suggest one specific next step."")"),"=AI(""You are a customer success manager reviewing account health. Write a 3-4 sentence engagement summary for: Cotiviti
Renewal: 2026-07-31 | Stage: Identified () | CSM: John Davis | Engagement Score: 67/100 | Days since last contact: 14 | Emails 30d/90d"&amp;": 0/8 | Meetings past/future/30d: 2/13/1 | Last meeting: 2026-02-05 | Next meeting: 2026-03-05 | Open tasks: 0 | Recaps: 2 | Action items: 5
--- RECENT EMAILS (newest first) ---
2026-01-16 (IN): Accepted: ObservePoint | Cotiviti Monthly Sync
2026-01-15 ("&amp;"IN): Our meeting in an hour — Hi,  Looking forward to speaking to you in a short while.  Best,
2026-01-15 (OUT): Updated invitation: ObservePoint | Cotiviti - Sync @ Thu Jan 15, 2026 1:30pm - 2 — This event has been updated
 Changed: title
 ObservePoi"&amp;"nt | Cotiviti - Sync
 Thursday Jan 15, 2026 ⋅ 1:30pm – 2pm
 Mountain Time - Denver
 Jo
--- OPEN/RECENT GITHUB TASKS ---
--- RECENT MEETING RECAPS ---
2026-02-05: ObservePoint | Cotiviti Monthly Sync
John Davis met with Walter and Chris from Cotivi"&amp;"ty/EdFX to discuss their ObservePoint implementation while they're in the midst of rebuilding the EdFX website in HubSpot's CMS. John recommended they document their website quality questions and standards in plain English (particularly around accessibili"&amp;"ty and privacy compliance) to better leverage ObservePoint's capabilities once the migration is complete. He provided resources on whitelisting ObservePoint's crawlers, confirmed they have ample pa
---
2026-01-15: ObservePoint | Cotiviti - Sync
This meeti"&amp;"ng served as a transition call where Macey Bell introduced John Davis as the new Customer Success Manager for Cotivity's ObservePoint account. The team discussed their current use of ObservePoint for cookie compliance and privacy monitoring, with plans to"&amp;" expand into accessibility scanning and broken link detection, while noting they're in the middle of migrating their edfx.com website from a self-hosted Gatsby JS platform to HubSpot. John and the team agreed to establish monthly recur
Based on all of th"&amp;"e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Cotiviti
Renewal: 2026-07-31 | Stage: Identified () | CSM: John Davis | Engagement Score: 67/100 | Days since last contact: 14 | Emails 30d/90d: 0/8 | Meetings past/future/30d: 2/13/1 | Last meeting: 2026-02-05 | Next meeting: 2026-03-05 | Open tasks: 0 | Recaps: 2 | Action items: 5
--- RECENT EMAILS (newest first) ---
2026-01-16 (IN): Accepted: ObservePoint | Cotiviti Monthly Sync
2026-01-15 (IN): Our meeting in an hour — Hi,  Looking forward to speaking to you in a short while.  Best,
2026-01-15 (OUT): Updated invitation: ObservePoint | Cotiviti - Sync @ Thu Jan 15, 2026 1:30pm - 2 — This event has been updated
 Changed: title
 ObservePoint | Cotiviti - Sync
 Thursday Jan 15, 2026 ⋅ 1:30pm – 2pm
 Mountain Time - Denver
 Jo
--- OPEN/RECENT GITHUB TASKS ---
--- RECENT MEETING RECAPS ---
2026-02-05: ObservePoint | Cotiviti Monthly Sync
John Davis met with Walter and Chris from Cotivity/EdFX to discuss their ObservePoint implementation while they're in the midst of rebuilding the EdFX website in HubSpot's CMS. John recommended they document their website quality questions and standards in plain English (particularly around accessibility and privacy compliance) to better leverage ObservePoint's capabilities once the migration is complete. He provided resources on whitelisting ObservePoint's crawlers, confirmed they have ample pa
---
2026-01-15: ObservePoint | Cotiviti - Sync
This meeting served as a transition call where Macey Bell introduced John Davis as the new Customer Success Manager for Cotivity's ObservePoint account. The team discussed their current use of ObservePoint for cookie compliance and privacy monitoring, with plans to expand into accessibility scanning and broken link detection, while noting they're in the middle of migrating their edfx.com website from a self-hosted Gatsby JS platform to HubSpot. John and the team agreed to establish monthly recur
Based on all of the above, describe the engagement level, call out any concerns (e.g. no recent contact, low score, no future meetings booked, overdue action items), and suggest one specific next step.")</v>
      </c>
      <c r="AT20" s="3" t="s">
        <v>421</v>
      </c>
      <c r="AU20" s="2"/>
      <c r="AV20" s="2"/>
      <c r="AW20" s="2"/>
    </row>
    <row r="21">
      <c r="A21" s="3" t="s">
        <v>422</v>
      </c>
      <c r="B21" s="3" t="s">
        <v>423</v>
      </c>
      <c r="C21" s="3" t="b">
        <v>1</v>
      </c>
      <c r="D21" s="4">
        <v>46234.0</v>
      </c>
      <c r="E21" s="8">
        <v>40500.0</v>
      </c>
      <c r="F21" s="8">
        <v>40500.0</v>
      </c>
      <c r="G21" s="3" t="s">
        <v>29</v>
      </c>
      <c r="H21" s="3" t="s">
        <v>48</v>
      </c>
      <c r="I21" s="8">
        <v>40500.0</v>
      </c>
      <c r="J21" s="19">
        <v>44.0</v>
      </c>
      <c r="K21" s="9">
        <v>0.486743787900606</v>
      </c>
      <c r="L21" s="10"/>
      <c r="M21" s="3" t="s">
        <v>25</v>
      </c>
      <c r="N21" s="3" t="s">
        <v>26</v>
      </c>
      <c r="O21" s="3" t="s">
        <v>27</v>
      </c>
      <c r="P21" s="3" t="s">
        <v>32</v>
      </c>
      <c r="Q21" s="18">
        <v>51.0</v>
      </c>
      <c r="R21" s="3">
        <v>16.0</v>
      </c>
      <c r="S21" s="3">
        <v>4.0</v>
      </c>
      <c r="T21" s="3">
        <v>4.0</v>
      </c>
      <c r="U21" s="3">
        <v>0.0</v>
      </c>
      <c r="V21" s="3">
        <v>1.0</v>
      </c>
      <c r="W21" s="19">
        <v>4.0</v>
      </c>
      <c r="X21" s="20">
        <v>46056.54375</v>
      </c>
      <c r="Y21" s="19">
        <v>7.0</v>
      </c>
      <c r="Z21" s="19">
        <v>13.0</v>
      </c>
      <c r="AA21" s="19">
        <v>1.0</v>
      </c>
      <c r="AB21" s="21">
        <v>59.0</v>
      </c>
      <c r="AC21" s="20">
        <v>46056.54166666667</v>
      </c>
      <c r="AD21" s="20">
        <v>46084.54166666667</v>
      </c>
      <c r="AE21" s="19">
        <v>1.0</v>
      </c>
      <c r="AF21" s="19">
        <v>0.0</v>
      </c>
      <c r="AG21" s="19">
        <v>1.0</v>
      </c>
      <c r="AH21" s="19">
        <v>0.0</v>
      </c>
      <c r="AI21" s="19">
        <v>0.0</v>
      </c>
      <c r="AJ21" s="3" t="s">
        <v>424</v>
      </c>
      <c r="AK21" s="2"/>
      <c r="AL21" s="2"/>
      <c r="AM21" s="3" t="s">
        <v>425</v>
      </c>
      <c r="AN21" s="3" t="s">
        <v>426</v>
      </c>
      <c r="AO21" s="3" t="s">
        <v>427</v>
      </c>
      <c r="AP21" s="3" t="s">
        <v>248</v>
      </c>
      <c r="AQ21" s="3" t="s">
        <v>248</v>
      </c>
      <c r="AR21" s="3" t="s">
        <v>428</v>
      </c>
      <c r="AS21" s="2" t="str">
        <f>IFERROR(__xludf.DUMMYFUNCTION("AI(""You are a customer success manager reviewing account health. Write a 3-4 sentence engagement summary for: Caesars Entertainment
Renewal: 2026-07-31 | Stage: Identified () | CSM: John Davis | Engagement Score: 51/100 | Days since last contact: 16 | Em"&amp;"ails 30d/90d: 1/4 | Meetings past/future/30d: 7/13/1 | Last meeting: 2026-02-03 | Next meeting: 2026-03-03 | Open tasks: 0 | Recaps: 0 | Action items: 0
--- RECENT EMAILS (newest first) ---
2026-02-03 (OUT): ObservePoint | Caesars - Sync — Here is the up"&amp;"dated zoom link, sorry for the troubles!  
 https://observepoint.zoom.us/j/3628593272?pwd=OfxX2kwpsuA5labBaZXephHbiAXlz9.1&amp;omn=933004512
2025-12-16 (OUT): Invitation: ObservePoint | Caesars - Sync @ Every 4 weeks from 1pm to 1:30pm on  — ObservePoint | Ca"&amp;"esars - Sync
 Every 4 weeks from 1pm to 1:30pm on Tuesday
 Mountain Time - Denver
 Join Zoom Meeting
 https://observepoint.zoom.
2025-12-09 (OUT): Updated invitation: ObservePoint | Caesars - Sync @ Fri Dec 12, 2025 12pm - 12:3 — This event has been "&amp;"updated
 Changed: time
 ObservePoint | Caesars - Sync
 Friday Dec 12, 2025 ⋅ 12pm – 12:30pm
 Mountain Time - Denver
 Join
--- OPEN/RECENT GITHUB TASKS ---
--- RECENT MEETING RECAPS ---
Based on all of the above, describe the engagement level"&amp;", call out any concerns (e.g. no recent contact, low score, no future meetings booked, overdue action items), and suggest one specific next step."")"),"=AI(""You are a customer success manager reviewing account health. Write a 3-4 sentence engagement summary for: Caesars Entertainment
Renewal: 2026-07-31 | Stage: Identified () | CSM: John Davis | Engagement Score: 51/100 | Days since last contact: 16 | E"&amp;"mails 30d/90d: 1/4 | Meetings past/future/30d: 7/13/1 | Last meeting: 2026-02-03 | Next meeting: 2026-03-03 | Open tasks: 0 | Recaps: 0 | Action items: 0
--- RECENT EMAILS (newest first) ---
2026-02-03 (OUT): ObservePoint | Caesars - Sync — Here is the u"&amp;"pdated zoom link, sorry for the troubles!  
 https://observepoint.zoom.us/j/3628593272?pwd=OfxX2kwpsuA5labBaZXephHbiAXlz9.1&amp;omn=933004512
2025-12-16 (OUT): Invitation: ObservePoint | Caesars - Sync @ Every 4 weeks from 1pm to 1:30pm on  — ObservePoint | C"&amp;"aesars - Sync
 Every 4 weeks from 1pm to 1:30pm on Tuesday
 Mountain Time - Denver
 Join Zoom Meeting
 https://observepoint.zoom.
2025-12-09 (OUT): Updated invitation: ObservePoint | Caesars - Sync @ Fri Dec 12, 2025 12pm - 12:3 — This event has been"&amp;" updated
 Changed: time
 ObservePoint | Caesars - Sync
 Friday Dec 12, 2025 ⋅ 12pm – 12:30pm
 Mountain Time - Denver
 Join
--- OPEN/RECENT GITHUB TASKS ---
--- RECENT MEETING RECAPS ---
Based on all of the above, describe the engagement leve"&amp;"l, call out any concerns (e.g. no recent contact, low score, no future meetings booked, overdue action items), and suggest one specific next step."")")</f>
        <v>=AI("You are a customer success manager reviewing account health. Write a 3-4 sentence engagement summary for: Caesars Entertainment
Renewal: 2026-07-31 | Stage: Identified () | CSM: John Davis | Engagement Score: 51/100 | Days since last contact: 16 | Emails 30d/90d: 1/4 | Meetings past/future/30d: 7/13/1 | Last meeting: 2026-02-03 | Next meeting: 2026-03-03 | Open tasks: 0 | Recaps: 0 | Action items: 0
--- RECENT EMAILS (newest first) ---
2026-02-03 (OUT): ObservePoint | Caesars - Sync — Here is the updated zoom link, sorry for the troubles!  
 https://observepoint.zoom.us/j/3628593272?pwd=OfxX2kwpsuA5labBaZXephHbiAXlz9.1&amp;omn=933004512
2025-12-16 (OUT): Invitation: ObservePoint | Caesars - Sync @ Every 4 weeks from 1pm to 1:30pm on  — ObservePoint | Caesars - Sync
 Every 4 weeks from 1pm to 1:30pm on Tuesday
 Mountain Time - Denver
 Join Zoom Meeting
 https://observepoint.zoom.
2025-12-09 (OUT): Updated invitation: ObservePoint | Caesars - Sync @ Fri Dec 12, 2025 12pm - 12:3 — This event has been updated
 Changed: time
 ObservePoint | Caesars - Sync
 Friday Dec 12, 2025 ⋅ 12pm – 12:30pm
 Mountain Time - Denver
 Join
--- OPEN/RECENT GITHUB TASKS ---
--- RECENT MEETING RECAPS ---
Based on all of the above, describe the engagement level, call out any concerns (e.g. no recent contact, low score, no future meetings booked, overdue action items), and suggest one specific next step.")</v>
      </c>
      <c r="AT21" s="3" t="s">
        <v>429</v>
      </c>
      <c r="AU21" s="2"/>
      <c r="AV21" s="2"/>
      <c r="AW21" s="2"/>
    </row>
    <row r="22">
      <c r="A22" s="3" t="s">
        <v>430</v>
      </c>
      <c r="B22" s="3" t="s">
        <v>431</v>
      </c>
      <c r="C22" s="2"/>
      <c r="D22" s="4">
        <v>46234.0</v>
      </c>
      <c r="E22" s="8">
        <v>20000.0</v>
      </c>
      <c r="F22" s="8">
        <v>20000.0</v>
      </c>
      <c r="G22" s="3" t="s">
        <v>29</v>
      </c>
      <c r="H22" s="3" t="s">
        <v>48</v>
      </c>
      <c r="I22" s="8">
        <v>20000.0</v>
      </c>
      <c r="J22" s="19">
        <v>20.0</v>
      </c>
      <c r="K22" s="9">
        <v>1.34155555555555</v>
      </c>
      <c r="L22" s="9">
        <v>0.0213333333333333</v>
      </c>
      <c r="M22" s="3" t="s">
        <v>25</v>
      </c>
      <c r="N22" s="3" t="s">
        <v>26</v>
      </c>
      <c r="O22" s="3" t="s">
        <v>40</v>
      </c>
      <c r="P22" s="2"/>
      <c r="Q22" s="23">
        <v>80.0</v>
      </c>
      <c r="R22" s="3">
        <v>3.0</v>
      </c>
      <c r="S22" s="3">
        <v>29.0</v>
      </c>
      <c r="T22" s="3">
        <v>14.0</v>
      </c>
      <c r="U22" s="3">
        <v>15.0</v>
      </c>
      <c r="V22" s="3">
        <v>16.0</v>
      </c>
      <c r="W22" s="19">
        <v>29.0</v>
      </c>
      <c r="X22" s="20">
        <v>46057.55541666667</v>
      </c>
      <c r="Y22" s="19">
        <v>4.0</v>
      </c>
      <c r="Z22" s="19">
        <v>0.0</v>
      </c>
      <c r="AA22" s="19">
        <v>3.0</v>
      </c>
      <c r="AB22" s="21">
        <v>57.0</v>
      </c>
      <c r="AC22" s="20">
        <v>46069.45833333333</v>
      </c>
      <c r="AD22" s="22"/>
      <c r="AE22" s="19">
        <v>0.0</v>
      </c>
      <c r="AF22" s="19">
        <v>0.0</v>
      </c>
      <c r="AG22" s="19">
        <v>0.0</v>
      </c>
      <c r="AH22" s="19">
        <v>2.0</v>
      </c>
      <c r="AI22" s="19">
        <v>9.0</v>
      </c>
      <c r="AJ22" s="3" t="s">
        <v>432</v>
      </c>
      <c r="AK22" s="2"/>
      <c r="AL22" s="3" t="s">
        <v>433</v>
      </c>
      <c r="AM22" s="3" t="s">
        <v>248</v>
      </c>
      <c r="AN22" s="3" t="s">
        <v>434</v>
      </c>
      <c r="AO22" s="3" t="s">
        <v>435</v>
      </c>
      <c r="AP22" s="3" t="s">
        <v>436</v>
      </c>
      <c r="AQ22" s="3" t="s">
        <v>437</v>
      </c>
      <c r="AR22" s="3" t="s">
        <v>438</v>
      </c>
      <c r="AS22" s="2" t="str">
        <f>IFERROR(__xludf.DUMMYFUNCTION("AI(""You are a customer success manager reviewing account health. Write a 3-4 sentence engagement summary for: DeVry University
Renewal: 2026-07-31 | Stage: Identified () | CSM: John Davis | Engagement Score: 80/100 | Days since last contact: 3 | Emails 3"&amp;"0d/90d: 16/29 | Meetings past/future/30d: 4/0/3 | Last meeting: 2026-02-16 | Next meeting:  | Open tasks: 0 | Recaps: 2 | Action items: 9
--- RECENT EMAILS (newest first) ---
2026-02-04 (OUT): Re: Re: DeVry // Journeys Sample Template — #74288523: Re: De"&amp;"Vry // Journeys Sample Template  Submitted  We'll pick up your ticket soon   Thanks for sending this over Charlotte! I am looping in 
2026-02-04 (OUT): Re: DeVry // Journeys Sample Template — Thanks for sending this over Charlotte!
 I am looping in my j"&amp;"ourney support team to take a look since it looks
 pretty comprehensive on the forms th
2026-02-04 (OUT): Re: DeVry // Journeys Sample Template — Thanks for sending this over Charlotte!
 I am looping in my journey support team to take a look since it lo"&amp;"oks 
 pretty comprehensive on the forms t
--- OPEN/RECENT GITHUB TASKS ---
--- RECENT MEETING RECAPS ---
2026-02-16: ObservePoint | DeVry University Sync
John Davis and Charlotte discussed CCPA compliance issues on their website, focusing on cookie con"&amp;"sent management. Charlotte wanted to verify compliance using ObservePoint's audit tools, particularly examining their single-page application where legacy tags were loading despite opt-out selections. John explained how to set up consent category audits, "&amp;"import OneTrust categories, and create compliance reports, recommending they establish separate audits for each subdomain and implement proper OneT
---
2026-02-06: ObservePoint | DeVry University Sync
John Davis and Dylan Sellers met with Charlotte to pre"&amp;"sent ObservePoint's new framework initiative, which provides structured documentation and automated checks for validating website governance across analytics, privacy compliance, and site health. Dylan demonstrated comprehensive framework templates for Go"&amp;"ogle Analytics 4 and CCPA compliance that include automated checks, remediation guides, source citations, and pre-built report templates, with plans to deliver polished versions by Tuesday fo
Based on all of the above, describe the engagement level, call"&amp;" out any concerns (e.g. no recent contact, low score, no future meetings booked, overdue action items), and suggest one specific next step."")"),"=AI(""You are a customer success manager reviewing account health. Write a 3-4 sentence engagement summary for: DeVry University
Renewal: 2026-07-31 | Stage: Identified () | CSM: John Davis | Engagement Score: 80/100 | Days since last contact: 3 | Emails "&amp;"30d/90d: 16/29 | Meetings past/future/30d: 4/0/3 | Last meeting: 2026-02-16 | Next meeting:  | Open tasks: 0 | Recaps: 2 | Action items: 9
--- RECENT EMAILS (newest first) ---
2026-02-04 (OUT): Re: Re: DeVry // Journeys Sample Template — #74288523: Re: D"&amp;"eVry // Journeys Sample Template  Submitted  We'll pick up your ticket soon   Thanks for sending this over Charlotte! I am looping in 
2026-02-04 (OUT): Re: DeVry // Journeys Sample Template — Thanks for sending this over Charlotte!
 I am looping in my "&amp;"journey support team to take a look since it looks
 pretty comprehensive on the forms th
2026-02-04 (OUT): Re: DeVry // Journeys Sample Template — Thanks for sending this over Charlotte!
 I am looping in my journey support team to take a look since it l"&amp;"ooks 
 pretty comprehensive on the forms t
--- OPEN/RECENT GITHUB TASKS ---
--- RECENT MEETING RECAPS ---
2026-02-16: ObservePoint | DeVry University Sync
John Davis and Charlotte discussed CCPA compliance issues on their website, focusing on cookie co"&amp;"nsent management. Charlotte wanted to verify compliance using ObservePoint's audit tools, particularly examining their single-page application where legacy tags were loading despite opt-out selections. John explained how to set up consent category audits,"&amp;" import OneTrust categories, and create compliance reports, recommending they establish separate audits for each subdomain and implement proper OneT
---
2026-02-06: ObservePoint | DeVry University Sync
John Davis and Dylan Sellers met with Charlotte to pr"&amp;"esent ObservePoint's new framework initiative, which provides structured documentation and automated checks for validating website governance across analytics, privacy compliance, and site health. Dylan demonstrated comprehensive framework templates for G"&amp;"oogle Analytics 4 and CCPA compliance that include automated checks, remediation guides, source citations, and pre-built report templates, with plans to deliver polished versions by Tuesday fo
Based on all of the above, describe the engagement level, cal"&amp;"l out any concerns (e.g. no recent contact, low score, no future meetings booked, overdue action items), and suggest one specific next step."")")</f>
        <v>=AI("You are a customer success manager reviewing account health. Write a 3-4 sentence engagement summary for: DeVry University
Renewal: 2026-07-31 | Stage: Identified () | CSM: John Davis | Engagement Score: 80/100 | Days since last contact: 3 | Emails 30d/90d: 16/29 | Meetings past/future/30d: 4/0/3 | Last meeting: 2026-02-16 | Next meeting:  | Open tasks: 0 | Recaps: 2 | Action items: 9
--- RECENT EMAILS (newest first) ---
2026-02-04 (OUT): Re: Re: DeVry // Journeys Sample Template — #74288523: Re: DeVry // Journeys Sample Template  Submitted  We'll pick up your ticket soon   Thanks for sending this over Charlotte! I am looping in 
2026-02-04 (OUT): Re: DeVry // Journeys Sample Template — Thanks for sending this over Charlotte!
 I am looping in my journey support team to take a look since it looks
 pretty comprehensive on the forms th
2026-02-04 (OUT): Re: DeVry // Journeys Sample Template — Thanks for sending this over Charlotte!
 I am looping in my journey support team to take a look since it looks 
 pretty comprehensive on the forms t
--- OPEN/RECENT GITHUB TASKS ---
--- RECENT MEETING RECAPS ---
2026-02-16: ObservePoint | DeVry University Sync
John Davis and Charlotte discussed CCPA compliance issues on their website, focusing on cookie consent management. Charlotte wanted to verify compliance using ObservePoint's audit tools, particularly examining their single-page application where legacy tags were loading despite opt-out selections. John explained how to set up consent category audits, import OneTrust categories, and create compliance reports, recommending they establish separate audits for each subdomain and implement proper OneT
---
2026-02-06: ObservePoint | DeVry University Sync
John Davis and Dylan Sellers met with Charlotte to present ObservePoint's new framework initiative, which provides structured documentation and automated checks for validating website governance across analytics, privacy compliance, and site health. Dylan demonstrated comprehensive framework templates for Google Analytics 4 and CCPA compliance that include automated checks, remediation guides, source citations, and pre-built report templates, with plans to deliver polished versions by Tuesday fo
Based on all of the above, describe the engagement level, call out any concerns (e.g. no recent contact, low score, no future meetings booked, overdue action items), and suggest one specific next step.")</v>
      </c>
      <c r="AT22" s="3" t="s">
        <v>439</v>
      </c>
      <c r="AU22" s="2"/>
      <c r="AV22" s="2"/>
      <c r="AW22" s="2"/>
    </row>
    <row r="23">
      <c r="A23" s="3" t="s">
        <v>440</v>
      </c>
      <c r="B23" s="3" t="s">
        <v>441</v>
      </c>
      <c r="C23" s="2"/>
      <c r="D23" s="4">
        <v>46242.0</v>
      </c>
      <c r="E23" s="8">
        <v>22100.0</v>
      </c>
      <c r="F23" s="8">
        <v>22100.0</v>
      </c>
      <c r="G23" s="3" t="s">
        <v>29</v>
      </c>
      <c r="H23" s="3" t="s">
        <v>48</v>
      </c>
      <c r="I23" s="8">
        <v>22100.0</v>
      </c>
      <c r="J23" s="19">
        <v>60.0</v>
      </c>
      <c r="K23" s="9">
        <v>0.572812059201246</v>
      </c>
      <c r="L23" s="9">
        <v>0.29</v>
      </c>
      <c r="M23" s="3" t="s">
        <v>25</v>
      </c>
      <c r="N23" s="3" t="s">
        <v>26</v>
      </c>
      <c r="O23" s="3" t="s">
        <v>38</v>
      </c>
      <c r="P23" s="3" t="s">
        <v>32</v>
      </c>
      <c r="Q23" s="18">
        <v>55.0</v>
      </c>
      <c r="R23" s="3">
        <v>21.0</v>
      </c>
      <c r="S23" s="3">
        <v>13.0</v>
      </c>
      <c r="T23" s="3">
        <v>10.0</v>
      </c>
      <c r="U23" s="3">
        <v>3.0</v>
      </c>
      <c r="V23" s="3">
        <v>12.0</v>
      </c>
      <c r="W23" s="19">
        <v>13.0</v>
      </c>
      <c r="X23" s="20">
        <v>46050.73415509259</v>
      </c>
      <c r="Y23" s="19">
        <v>10.0</v>
      </c>
      <c r="Z23" s="19">
        <v>13.0</v>
      </c>
      <c r="AA23" s="19">
        <v>0.0</v>
      </c>
      <c r="AB23" s="21">
        <v>53.0</v>
      </c>
      <c r="AC23" s="20">
        <v>46037.70833333333</v>
      </c>
      <c r="AD23" s="20">
        <v>46072.70833333333</v>
      </c>
      <c r="AE23" s="19">
        <v>0.0</v>
      </c>
      <c r="AF23" s="19">
        <v>0.0</v>
      </c>
      <c r="AG23" s="19">
        <v>0.0</v>
      </c>
      <c r="AH23" s="19">
        <v>0.0</v>
      </c>
      <c r="AI23" s="19">
        <v>0.0</v>
      </c>
      <c r="AJ23" s="3" t="s">
        <v>442</v>
      </c>
      <c r="AK23" s="2"/>
      <c r="AL23" s="2"/>
      <c r="AM23" s="3" t="s">
        <v>248</v>
      </c>
      <c r="AN23" s="3" t="s">
        <v>443</v>
      </c>
      <c r="AO23" s="3" t="s">
        <v>444</v>
      </c>
      <c r="AP23" s="3" t="s">
        <v>248</v>
      </c>
      <c r="AQ23" s="3" t="s">
        <v>248</v>
      </c>
      <c r="AR23" s="3" t="s">
        <v>445</v>
      </c>
      <c r="AS23" s="2" t="str">
        <f>IFERROR(__xludf.DUMMYFUNCTION("AI(""You are a customer success manager reviewing account health. Write a 3-4 sentence engagement summary for: Woolworths Group
Renewal: 2026-08-08 | Stage: Identified () | CSM: John Davis | Engagement Score: 55/100 | Days since last contact: 21 | Emails "&amp;"30d/90d: 12/13 | Meetings past/future/30d: 10/13/0 | Last meeting: 2026-01-16 | Next meeting: 2026-02-20 | Open tasks: 0 | Recaps: 0 | Action items: 0
--- RECENT EMAILS (newest first) ---
2026-01-29 (OUT): Re: Re: Create Journey for giftcard purchase flo"&amp;"w. — #71365801: Re: Create Journey for giftcard purchase flow.  In progress  We're working on your ticket   Hey Satpal, I have looped in our journey suppor
2026-01-29 (IN): Re: Re: Create Journey for giftcard purchase flow. — hi Lucian-Gabriel
 these CT"&amp;"As are working fine on dev env for me, i have also checked with few
 other people and they never had login issue,
 can 
2026-01-28 (OUT): Re: Re: Create Journey for giftcard purchase flow. — #71365801: Re: Create Journey for giftcard purchase flow.  Wai"&amp;"ting on you  We need more information   Hey Satpal, I have looped in our journey support
--- OPEN/RECENT GITHUB TASKS ---
--- RECENT MEETING RECAPS ---
Based on all of the above, describe the engagement level, call out any concerns (e.g. no recent co"&amp;"ntact, low score, no future meetings booked, overdue action items), and suggest one specific next step."")"),"=AI(""You are a customer success manager reviewing account health. Write a 3-4 sentence engagement summary for: Woolworths Group
Renewal: 2026-08-08 | Stage: Identified () | CSM: John Davis | Engagement Score: 55/100 | Days since last contact: 21 | Emails"&amp;" 30d/90d: 12/13 | Meetings past/future/30d: 10/13/0 | Last meeting: 2026-01-16 | Next meeting: 2026-02-20 | Open tasks: 0 | Recaps: 0 | Action items: 0
--- RECENT EMAILS (newest first) ---
2026-01-29 (OUT): Re: Re: Create Journey for giftcard purchase fl"&amp;"ow. — #71365801: Re: Create Journey for giftcard purchase flow.  In progress  We're working on your ticket   Hey Satpal, I have looped in our journey suppor
2026-01-29 (IN): Re: Re: Create Journey for giftcard purchase flow. — hi Lucian-Gabriel
 these C"&amp;"TAs are working fine on dev env for me, i have also checked with few
 other people and they never had login issue,
 can 
2026-01-28 (OUT): Re: Re: Create Journey for giftcard purchase flow. — #71365801: Re: Create Journey for giftcard purchase flow.  Wa"&amp;"iting on you  We need more information   Hey Satpal, I have looped in our journey support
--- OPEN/RECENT GITHUB TASKS ---
--- RECENT MEETING RECAPS ---
Based on all of the above, describe the engagement level, call out any concerns (e.g. no recent c"&amp;"ontact, low score, no future meetings booked, overdue action items), and suggest one specific next step."")")</f>
        <v>=AI("You are a customer success manager reviewing account health. Write a 3-4 sentence engagement summary for: Woolworths Group
Renewal: 2026-08-08 | Stage: Identified () | CSM: John Davis | Engagement Score: 55/100 | Days since last contact: 21 | Emails 30d/90d: 12/13 | Meetings past/future/30d: 10/13/0 | Last meeting: 2026-01-16 | Next meeting: 2026-02-20 | Open tasks: 0 | Recaps: 0 | Action items: 0
--- RECENT EMAILS (newest first) ---
2026-01-29 (OUT): Re: Re: Create Journey for giftcard purchase flow. — #71365801: Re: Create Journey for giftcard purchase flow.  In progress  We're working on your ticket   Hey Satpal, I have looped in our journey suppor
2026-01-29 (IN): Re: Re: Create Journey for giftcard purchase flow. — hi Lucian-Gabriel
 these CTAs are working fine on dev env for me, i have also checked with few
 other people and they never had login issue,
 can 
2026-01-28 (OUT): Re: Re: Create Journey for giftcard purchase flow. — #71365801: Re: Create Journey for giftcard purchase flow.  Waiting on you  We need more information   Hey Satpal, I have looped in our journey support
--- OPEN/RECENT GITHUB TASKS ---
--- RECENT MEETING RECAPS ---
Based on all of the above, describe the engagement level, call out any concerns (e.g. no recent contact, low score, no future meetings booked, overdue action items), and suggest one specific next step.")</v>
      </c>
      <c r="AT23" s="3" t="s">
        <v>446</v>
      </c>
      <c r="AU23" s="2"/>
      <c r="AV23" s="2"/>
      <c r="AW23" s="2"/>
    </row>
    <row r="24">
      <c r="A24" s="3" t="s">
        <v>188</v>
      </c>
      <c r="B24" s="3" t="s">
        <v>447</v>
      </c>
      <c r="C24" s="3" t="b">
        <v>1</v>
      </c>
      <c r="D24" s="4">
        <v>46295.0</v>
      </c>
      <c r="E24" s="8">
        <v>30000.0</v>
      </c>
      <c r="F24" s="8">
        <v>30000.0</v>
      </c>
      <c r="G24" s="3" t="s">
        <v>23</v>
      </c>
      <c r="H24" s="3" t="s">
        <v>44</v>
      </c>
      <c r="I24" s="8">
        <v>30000.0</v>
      </c>
      <c r="K24" s="9">
        <v>0.119249550244153</v>
      </c>
      <c r="L24" s="9">
        <v>0.014</v>
      </c>
      <c r="M24" s="3" t="s">
        <v>25</v>
      </c>
      <c r="N24" s="3" t="s">
        <v>26</v>
      </c>
      <c r="O24" s="3" t="s">
        <v>27</v>
      </c>
      <c r="P24" s="3" t="s">
        <v>32</v>
      </c>
      <c r="Q24" s="23">
        <v>77.0</v>
      </c>
      <c r="R24" s="3">
        <v>0.0</v>
      </c>
      <c r="S24" s="3">
        <v>5.0</v>
      </c>
      <c r="T24" s="3">
        <v>3.0</v>
      </c>
      <c r="U24" s="3">
        <v>2.0</v>
      </c>
      <c r="V24" s="3">
        <v>3.0</v>
      </c>
      <c r="W24" s="19">
        <v>5.0</v>
      </c>
      <c r="X24" s="20">
        <v>46050.54922453704</v>
      </c>
      <c r="Y24" s="19">
        <v>7.0</v>
      </c>
      <c r="Z24" s="19">
        <v>25.0</v>
      </c>
      <c r="AA24" s="19">
        <v>2.0</v>
      </c>
      <c r="AB24" s="21">
        <v>95.0</v>
      </c>
      <c r="AC24" s="20">
        <v>46072.5625</v>
      </c>
      <c r="AD24" s="20">
        <v>46092.54166666667</v>
      </c>
      <c r="AE24" s="19">
        <v>0.0</v>
      </c>
      <c r="AF24" s="19">
        <v>0.0</v>
      </c>
      <c r="AG24" s="19">
        <v>0.0</v>
      </c>
      <c r="AH24" s="19">
        <v>1.0</v>
      </c>
      <c r="AI24" s="19">
        <v>1.0</v>
      </c>
      <c r="AJ24" s="3" t="s">
        <v>448</v>
      </c>
      <c r="AK24" s="2"/>
      <c r="AL24" s="3" t="s">
        <v>449</v>
      </c>
      <c r="AM24" s="3" t="s">
        <v>248</v>
      </c>
      <c r="AN24" s="3" t="s">
        <v>450</v>
      </c>
      <c r="AO24" s="3" t="s">
        <v>451</v>
      </c>
      <c r="AP24" s="3" t="s">
        <v>452</v>
      </c>
      <c r="AQ24" s="3" t="s">
        <v>453</v>
      </c>
      <c r="AR24" s="3" t="s">
        <v>454</v>
      </c>
      <c r="AS24" s="2" t="str">
        <f>IFERROR(__xludf.DUMMYFUNCTION("AI(""You are a customer success manager reviewing account health. Write a 3-4 sentence engagement summary for: Darden Restaurants
Renewal: 2026-09-30 | Stage: Discovery (91) | CSM: John Davis | Engagement Score: 77/100 | Days since last contact: 0 | Email"&amp;"s 30d/90d: 3/5 | Meetings past/future/30d: 7/25/2 | Last meeting: 2026-02-19 | Next meeting: 2026-03-11 | Open tasks: 0 | Recaps: 1 | Action items: 1
--- RECENT EMAILS (newest first) ---
2026-01-28 (OUT): Re: [EXTERNAL] Re: Declined: ObservePoint | Darde"&amp;"n Restaurants Sync — No worries, see you at the next one!
 *Regards, *
 John Davis *   |    * *Customer Success Manager*
 Cell: 801.633.6013
 john.davis@observepoint
2026-01-28 (IN): RE: [EXTERNAL] Re: Declined: ObservePoint | Darden Restaurants Syn"&amp;"c — He probably won’t, I believe he had a conflict.
 Thank you,
 Brooke Tymoniewicz
 Analyst, CRM &amp; Digital Analytics | Darden
 BTymoniewicz@Darden.co
2026-01-28 (OUT): Re: Declined: ObservePoint | Darden Restaurants Sync — No worries, I will show up "&amp;"to the call anyways in case Blake jumps in,
 unless you know that he won't?
 *Regards, *
 John Davis *   |    * *Custom
--- OPEN/RECENT GITHUB TASKS ---
--- RECENT MEETING RECAPS ---
2026-02-19: ObservePoint | Darden Restaurants Sync
John Davis and"&amp;" Brooke Tymoniewicz discussed ObservePoint's new frameworks feature, which provides expert recommendations for Adobe Analytics implementation and monitoring based on collaboration with Adobe and Google. John explained how these frameworks serve as checkli"&amp;"sts for common use cases and will eventually be productized to automatically generate audits and reports based on selected priorities. Brooke expressed interest in focusing on tag load times, preventing duplicate tag fires, and int
Based on all of the ab"&amp;"ove, describe the engagement level, call out any concerns (e.g. no recent contact, low score, no future meetings booked, overdue action items), and suggest one specific next step."")"),"=AI(""You are a customer success manager reviewing account health. Write a 3-4 sentence engagement summary for: Darden Restaurants
Renewal: 2026-09-30 | Stage: Discovery (91) | CSM: John Davis | Engagement Score: 77/100 | Days since last contact: 0 | Emai"&amp;"ls 30d/90d: 3/5 | Meetings past/future/30d: 7/25/2 | Last meeting: 2026-02-19 | Next meeting: 2026-03-11 | Open tasks: 0 | Recaps: 1 | Action items: 1
--- RECENT EMAILS (newest first) ---
2026-01-28 (OUT): Re: [EXTERNAL] Re: Declined: ObservePoint | Dard"&amp;"en Restaurants Sync — No worries, see you at the next one!
 *Regards, *
 John Davis *   |    * *Customer Success Manager*
 Cell: 801.633.6013
 john.davis@observepoint
2026-01-28 (IN): RE: [EXTERNAL] Re: Declined: ObservePoint | Darden Restaurants Sy"&amp;"nc — He probably won’t, I believe he had a conflict.
 Thank you,
 Brooke Tymoniewicz
 Analyst, CRM &amp; Digital Analytics | Darden
 BTymoniewicz@Darden.co
2026-01-28 (OUT): Re: Declined: ObservePoint | Darden Restaurants Sync — No worries, I will show up"&amp;" to the call anyways in case Blake jumps in,
 unless you know that he won't?
 *Regards, *
 John Davis *   |    * *Custom
--- OPEN/RECENT GITHUB TASKS ---
--- RECENT MEETING RECAPS ---
2026-02-19: ObservePoint | Darden Restaurants Sync
John Davis an"&amp;"d Brooke Tymoniewicz discussed ObservePoint's new frameworks feature, which provides expert recommendations for Adobe Analytics implementation and monitoring based on collaboration with Adobe and Google. John explained how these frameworks serve as checkl"&amp;"ists for common use cases and will eventually be productized to automatically generate audits and reports based on selected priorities. Brooke expressed interest in focusing on tag load times, preventing duplicate tag fires, and int
Based on all of the a"&amp;"bove, describe the engagement level, call out any concerns (e.g. no recent contact, low score, no future meetings booked, overdue action items), and suggest one specific next step."")")</f>
        <v>=AI("You are a customer success manager reviewing account health. Write a 3-4 sentence engagement summary for: Darden Restaurants
Renewal: 2026-09-30 | Stage: Discovery (91) | CSM: John Davis | Engagement Score: 77/100 | Days since last contact: 0 | Emails 30d/90d: 3/5 | Meetings past/future/30d: 7/25/2 | Last meeting: 2026-02-19 | Next meeting: 2026-03-11 | Open tasks: 0 | Recaps: 1 | Action items: 1
--- RECENT EMAILS (newest first) ---
2026-01-28 (OUT): Re: [EXTERNAL] Re: Declined: ObservePoint | Darden Restaurants Sync — No worries, see you at the next one!
 *Regards, *
 John Davis *   |    * *Customer Success Manager*
 Cell: 801.633.6013
 john.davis@observepoint
2026-01-28 (IN): RE: [EXTERNAL] Re: Declined: ObservePoint | Darden Restaurants Sync — He probably won’t, I believe he had a conflict.
 Thank you,
 Brooke Tymoniewicz
 Analyst, CRM &amp; Digital Analytics | Darden
 BTymoniewicz@Darden.co
2026-01-28 (OUT): Re: Declined: ObservePoint | Darden Restaurants Sync — No worries, I will show up to the call anyways in case Blake jumps in,
 unless you know that he won't?
 *Regards, *
 John Davis *   |    * *Custom
--- OPEN/RECENT GITHUB TASKS ---
--- RECENT MEETING RECAPS ---
2026-02-19: ObservePoint | Darden Restaurants Sync
John Davis and Brooke Tymoniewicz discussed ObservePoint's new frameworks feature, which provides expert recommendations for Adobe Analytics implementation and monitoring based on collaboration with Adobe and Google. John explained how these frameworks serve as checklists for common use cases and will eventually be productized to automatically generate audits and reports based on selected priorities. Brooke expressed interest in focusing on tag load times, preventing duplicate tag fires, and int
Based on all of the above, describe the engagement level, call out any concerns (e.g. no recent contact, low score, no future meetings booked, overdue action items), and suggest one specific next step.")</v>
      </c>
      <c r="AT24" s="3" t="s">
        <v>455</v>
      </c>
      <c r="AU24" s="2"/>
      <c r="AV24" s="2"/>
      <c r="AW24" s="2"/>
    </row>
    <row r="25">
      <c r="A25" s="3" t="s">
        <v>99</v>
      </c>
      <c r="B25" s="3" t="s">
        <v>456</v>
      </c>
      <c r="C25" s="3" t="b">
        <v>1</v>
      </c>
      <c r="D25" s="4">
        <v>46296.0</v>
      </c>
      <c r="E25" s="8">
        <v>27280.0</v>
      </c>
      <c r="F25" s="8">
        <v>27280.0</v>
      </c>
      <c r="G25" s="3" t="s">
        <v>23</v>
      </c>
      <c r="H25" s="3" t="s">
        <v>44</v>
      </c>
      <c r="I25" s="8">
        <v>27280.0</v>
      </c>
      <c r="J25" s="19">
        <v>12.0</v>
      </c>
      <c r="K25" s="9">
        <v>0.124444444444444</v>
      </c>
      <c r="L25" s="9">
        <v>0.134333333333333</v>
      </c>
      <c r="M25" s="3" t="s">
        <v>25</v>
      </c>
      <c r="N25" s="3" t="s">
        <v>26</v>
      </c>
      <c r="O25" s="3" t="s">
        <v>38</v>
      </c>
      <c r="P25" s="3" t="s">
        <v>32</v>
      </c>
      <c r="Q25" s="18">
        <v>55.0</v>
      </c>
      <c r="R25" s="3">
        <v>23.0</v>
      </c>
      <c r="S25" s="3">
        <v>24.0</v>
      </c>
      <c r="T25" s="3">
        <v>11.0</v>
      </c>
      <c r="U25" s="3">
        <v>13.0</v>
      </c>
      <c r="V25" s="3">
        <v>6.0</v>
      </c>
      <c r="W25" s="19">
        <v>24.0</v>
      </c>
      <c r="X25" s="20">
        <v>46048.74793981481</v>
      </c>
      <c r="Y25" s="19">
        <v>1.0</v>
      </c>
      <c r="Z25" s="19">
        <v>13.0</v>
      </c>
      <c r="AA25" s="19">
        <v>0.0</v>
      </c>
      <c r="AB25" s="21">
        <v>100.0</v>
      </c>
      <c r="AC25" s="20">
        <v>46001.58333333333</v>
      </c>
      <c r="AD25" s="20">
        <v>46090.58333333333</v>
      </c>
      <c r="AE25" s="19">
        <v>0.0</v>
      </c>
      <c r="AF25" s="19">
        <v>0.0</v>
      </c>
      <c r="AG25" s="19">
        <v>0.0</v>
      </c>
      <c r="AH25" s="19">
        <v>0.0</v>
      </c>
      <c r="AI25" s="19">
        <v>0.0</v>
      </c>
      <c r="AJ25" s="3" t="s">
        <v>457</v>
      </c>
      <c r="AK25" s="2"/>
      <c r="AL25" s="2"/>
      <c r="AM25" s="3" t="s">
        <v>248</v>
      </c>
      <c r="AN25" s="3" t="s">
        <v>458</v>
      </c>
      <c r="AO25" s="3" t="s">
        <v>459</v>
      </c>
      <c r="AP25" s="3" t="s">
        <v>248</v>
      </c>
      <c r="AQ25" s="3" t="s">
        <v>248</v>
      </c>
      <c r="AR25" s="3" t="s">
        <v>460</v>
      </c>
      <c r="AS25" s="2" t="str">
        <f>IFERROR(__xludf.DUMMYFUNCTION("AI(""You are a customer success manager reviewing account health. Write a 3-4 sentence engagement summary for: Spark New Zealand
Renewal: 2026-10-01 | Stage: Discovery (91) | CSM: John Davis | Engagement Score: 55/100 | Days since last contact: 23 | Email"&amp;"s 30d/90d: 6/24 | Meetings past/future/30d: 1/13/0 | Last meeting: 2025-12-10 | Next meeting: 2026-03-09 | Open tasks: 0 | Recaps: 0 | Action items: 0
--- RECENT EMAILS (newest first) ---
2026-01-27 (IN): Re: Accepted: ObservePoint | Spark Bi-Weekly Sync"&amp;" Up — All good we'll catch up on the 9th.
 I hadn't seen Krushi's email when i responded
 Scott Kempster
 He / Him
 Architect
 Spark New Zealand T
2026-01-26 (OUT): Re: Accepted: ObservePoint | Spark Bi-Weekly Sync Up — Hey Scott,
 I guess I f"&amp;"orgot that you accepted today's meeting before I got that email
 from Krushi.
 Did you still want to sync today? Or did you
2026-01-26 (IN): Automatic reply: ObservePoint | Spark Bi-Weekly Sync Up — Thank you for your email. Mycal Tamariki is no longer "&amp;"with Spark NZ Ltd.
 If you have an alternative contact within Spark, please reach out to them.
--- OPEN/RECENT GITHUB TASKS ---
--- RECENT MEETING RECAPS ---
Based on all of the above, describe the engagement level, call out any concerns (e.g. no r"&amp;"ecent contact, low score, no future meetings booked, overdue action items), and suggest one specific next step."")"),"=AI(""You are a customer success manager reviewing account health. Write a 3-4 sentence engagement summary for: Spark New Zealand
Renewal: 2026-10-01 | Stage: Discovery (91) | CSM: John Davis | Engagement Score: 55/100 | Days since last contact: 23 | Emai"&amp;"ls 30d/90d: 6/24 | Meetings past/future/30d: 1/13/0 | Last meeting: 2025-12-10 | Next meeting: 2026-03-09 | Open tasks: 0 | Recaps: 0 | Action items: 0
--- RECENT EMAILS (newest first) ---
2026-01-27 (IN): Re: Accepted: ObservePoint | Spark Bi-Weekly Syn"&amp;"c Up — All good we'll catch up on the 9th.
 I hadn't seen Krushi's email when i responded
 Scott Kempster
 He / Him
 Architect
 Spark New Zealand T
2026-01-26 (OUT): Re: Accepted: ObservePoint | Spark Bi-Weekly Sync Up — Hey Scott,
 I guess I "&amp;"forgot that you accepted today's meeting before I got that email
 from Krushi.
 Did you still want to sync today? Or did you
2026-01-26 (IN): Automatic reply: ObservePoint | Spark Bi-Weekly Sync Up — Thank you for your email. Mycal Tamariki is no longer"&amp;" with Spark NZ Ltd.
 If you have an alternative contact within Spark, please reach out to them.
--- OPEN/RECENT GITHUB TASKS ---
--- RECENT MEETING RECAPS ---
Based on all of the above, describe the engagement level, call out any concerns (e.g. no "&amp;"recent contact, low score, no future meetings booked, overdue action items), and suggest one specific next step."")")</f>
        <v>=AI("You are a customer success manager reviewing account health. Write a 3-4 sentence engagement summary for: Spark New Zealand
Renewal: 2026-10-01 | Stage: Discovery (91) | CSM: John Davis | Engagement Score: 55/100 | Days since last contact: 23 | Emails 30d/90d: 6/24 | Meetings past/future/30d: 1/13/0 | Last meeting: 2025-12-10 | Next meeting: 2026-03-09 | Open tasks: 0 | Recaps: 0 | Action items: 0
--- RECENT EMAILS (newest first) ---
2026-01-27 (IN): Re: Accepted: ObservePoint | Spark Bi-Weekly Sync Up — All good we'll catch up on the 9th.
 I hadn't seen Krushi's email when i responded
 Scott Kempster
 He / Him
 Architect
 Spark New Zealand T
2026-01-26 (OUT): Re: Accepted: ObservePoint | Spark Bi-Weekly Sync Up — Hey Scott,
 I guess I forgot that you accepted today's meeting before I got that email
 from Krushi.
 Did you still want to sync today? Or did you
2026-01-26 (IN): Automatic reply: ObservePoint | Spark Bi-Weekly Sync Up — Thank you for your email. Mycal Tamariki is no longer with Spark NZ Ltd.
 If you have an alternative contact within Spark, please reach out to them.
--- OPEN/RECENT GITHUB TASKS ---
--- RECENT MEETING RECAPS ---
Based on all of the above, describe the engagement level, call out any concerns (e.g. no recent contact, low score, no future meetings booked, overdue action items), and suggest one specific next step.")</v>
      </c>
      <c r="AT25" s="3" t="s">
        <v>461</v>
      </c>
      <c r="AU25" s="2"/>
      <c r="AV25" s="2"/>
      <c r="AW25" s="2"/>
    </row>
    <row r="26">
      <c r="A26" s="3" t="s">
        <v>179</v>
      </c>
      <c r="B26" s="3" t="s">
        <v>462</v>
      </c>
      <c r="C26" s="3" t="b">
        <v>1</v>
      </c>
      <c r="D26" s="4">
        <v>46306.0</v>
      </c>
      <c r="E26" s="8">
        <v>36500.0</v>
      </c>
      <c r="F26" s="8">
        <v>36500.0</v>
      </c>
      <c r="G26" s="3" t="s">
        <v>23</v>
      </c>
      <c r="H26" s="3" t="s">
        <v>44</v>
      </c>
      <c r="I26" s="8">
        <v>36500.0</v>
      </c>
      <c r="J26" s="19">
        <v>12.0</v>
      </c>
      <c r="K26" s="9">
        <v>0.0407877325445629</v>
      </c>
      <c r="L26" s="9">
        <v>0.0233333333333333</v>
      </c>
      <c r="M26" s="3" t="s">
        <v>25</v>
      </c>
      <c r="N26" s="3" t="s">
        <v>26</v>
      </c>
      <c r="O26" s="3" t="s">
        <v>27</v>
      </c>
      <c r="P26" s="3" t="s">
        <v>28</v>
      </c>
      <c r="Q26" s="18">
        <v>67.0</v>
      </c>
      <c r="R26" s="3">
        <v>14.0</v>
      </c>
      <c r="S26" s="3">
        <v>5.0</v>
      </c>
      <c r="T26" s="3">
        <v>3.0</v>
      </c>
      <c r="U26" s="3">
        <v>2.0</v>
      </c>
      <c r="V26" s="3">
        <v>0.0</v>
      </c>
      <c r="W26" s="19">
        <v>5.0</v>
      </c>
      <c r="X26" s="20">
        <v>46037.45836805555</v>
      </c>
      <c r="Y26" s="19">
        <v>8.0</v>
      </c>
      <c r="Z26" s="19">
        <v>12.0</v>
      </c>
      <c r="AA26" s="19">
        <v>1.0</v>
      </c>
      <c r="AB26" s="21">
        <v>45.0</v>
      </c>
      <c r="AC26" s="20">
        <v>46058.39583333333</v>
      </c>
      <c r="AD26" s="20">
        <v>46086.39583333333</v>
      </c>
      <c r="AE26" s="19">
        <v>4.0</v>
      </c>
      <c r="AF26" s="19">
        <v>0.0</v>
      </c>
      <c r="AG26" s="19">
        <v>4.0</v>
      </c>
      <c r="AH26" s="19">
        <v>1.0</v>
      </c>
      <c r="AI26" s="19">
        <v>4.0</v>
      </c>
      <c r="AJ26" s="3" t="s">
        <v>463</v>
      </c>
      <c r="AK26" s="2"/>
      <c r="AL26" s="3" t="s">
        <v>464</v>
      </c>
      <c r="AM26" s="3" t="s">
        <v>465</v>
      </c>
      <c r="AN26" s="3" t="s">
        <v>466</v>
      </c>
      <c r="AO26" s="3" t="s">
        <v>467</v>
      </c>
      <c r="AP26" s="3" t="s">
        <v>468</v>
      </c>
      <c r="AQ26" s="3" t="s">
        <v>469</v>
      </c>
      <c r="AR26" s="3" t="s">
        <v>470</v>
      </c>
      <c r="AS26" s="2" t="str">
        <f>IFERROR(__xludf.DUMMYFUNCTION("AI(""You are a customer success manager reviewing account health. Write a 3-4 sentence engagement summary for: WestJet
Renewal: 2026-10-11 | Stage: Discovery (91) | CSM: John Davis | Engagement Score: 67/100 | Days since last contact: 14 | Emails 30d/90d:"&amp;" 0/5 | Meetings past/future/30d: 8/12/1 | Last meeting: 2026-02-05 | Next meeting: 2026-03-05 | Open tasks: 0 | Recaps: 1 | Action items: 4
--- RECENT EMAILS (newest first) ---
2026-01-15 (IN): Our meeting in an hour — Hi,  Looking forward to speaking to"&amp;" you in a short while.  Best,
2025-12-15 (OUT): WestJet | ObservePoint Monthly Sync — Can we reschedule this? We are out of office between Christmas and New  
 Years. Use this link to schedule something before the holidays that works  
2025-12-11 (IN): R"&amp;"e: Request to Skip Today’s Connect - WestJet (Chinmay) — Hi Macey,
 Sounds perfect, we can meet in new year and also will be prepared with our 2026 goals and objectives.
 Thanks,
 Chinmay Satam | Int. 
--- OPEN/RECENT GITHUB TASKS ---
--- RECENT "&amp;"MEETING RECAPS ---
2026-01-08: WestJet | ObservePoint Monthly Sync
This meeting introduced John Davis as Chinmay Satam's new Customer Success Manager at ObservePoint, transitioning from Macey Bell who is taking on a new book of business. Chinmay, an analy"&amp;"st at WestJet responsible for implementation, validation, and investigation, outlined his roadmap through May 2026, which includes rebuilding all journeys due to a major brand refresh, shifting journey focus from alerting to QA purposes, implementing priv"&amp;"acy compliance monitoring (planned for end of January), a
Based on all of the above, describe the engagement level, call out any concerns (e.g. no recent contact, low score, no future meetings booked, overdue action items), and suggest one specific next "&amp;"step."")"),"=AI(""You are a customer success manager reviewing account health. Write a 3-4 sentence engagement summary for: WestJet
Renewal: 2026-10-11 | Stage: Discovery (91) | CSM: John Davis | Engagement Score: 67/100 | Days since last contact: 14 | Emails 30d/90d"&amp;": 0/5 | Meetings past/future/30d: 8/12/1 | Last meeting: 2026-02-05 | Next meeting: 2026-03-05 | Open tasks: 0 | Recaps: 1 | Action items: 4
--- RECENT EMAILS (newest first) ---
2026-01-15 (IN): Our meeting in an hour — Hi,  Looking forward to speaking t"&amp;"o you in a short while.  Best,
2025-12-15 (OUT): WestJet | ObservePoint Monthly Sync — Can we reschedule this? We are out of office between Christmas and New  
 Years. Use this link to schedule something before the holidays that works  
2025-12-11 (IN): "&amp;"Re: Request to Skip Today’s Connect - WestJet (Chinmay) — Hi Macey,
 Sounds perfect, we can meet in new year and also will be prepared with our 2026 goals and objectives.
 Thanks,
 Chinmay Satam | Int. 
--- OPEN/RECENT GITHUB TASKS ---
--- RECENT"&amp;" MEETING RECAPS ---
2026-01-08: WestJet | ObservePoint Monthly Sync
This meeting introduced John Davis as Chinmay Satam's new Customer Success Manager at ObservePoint, transitioning from Macey Bell who is taking on a new book of business. Chinmay, an anal"&amp;"yst at WestJet responsible for implementation, validation, and investigation, outlined his roadmap through May 2026, which includes rebuilding all journeys due to a major brand refresh, shifting journey focus from alerting to QA purposes, implementing pri"&amp;"vacy compliance monitoring (planned for end of January), a
Based on all of the above, describe the engagement level, call out any concerns (e.g. no recent contact, low score, no future meetings booked, overdue action items), and suggest one specific next"&amp;" step."")")</f>
        <v>=AI("You are a customer success manager reviewing account health. Write a 3-4 sentence engagement summary for: WestJet
Renewal: 2026-10-11 | Stage: Discovery (91) | CSM: John Davis | Engagement Score: 67/100 | Days since last contact: 14 | Emails 30d/90d: 0/5 | Meetings past/future/30d: 8/12/1 | Last meeting: 2026-02-05 | Next meeting: 2026-03-05 | Open tasks: 0 | Recaps: 1 | Action items: 4
--- RECENT EMAILS (newest first) ---
2026-01-15 (IN): Our meeting in an hour — Hi,  Looking forward to speaking to you in a short while.  Best,
2025-12-15 (OUT): WestJet | ObservePoint Monthly Sync — Can we reschedule this? We are out of office between Christmas and New  
 Years. Use this link to schedule something before the holidays that works  
2025-12-11 (IN): Re: Request to Skip Today’s Connect - WestJet (Chinmay) — Hi Macey,
 Sounds perfect, we can meet in new year and also will be prepared with our 2026 goals and objectives.
 Thanks,
 Chinmay Satam | Int. 
--- OPEN/RECENT GITHUB TASKS ---
--- RECENT MEETING RECAPS ---
2026-01-08: WestJet | ObservePoint Monthly Sync
This meeting introduced John Davis as Chinmay Satam's new Customer Success Manager at ObservePoint, transitioning from Macey Bell who is taking on a new book of business. Chinmay, an analyst at WestJet responsible for implementation, validation, and investigation, outlined his roadmap through May 2026, which includes rebuilding all journeys due to a major brand refresh, shifting journey focus from alerting to QA purposes, implementing privacy compliance monitoring (planned for end of January), a
Based on all of the above, describe the engagement level, call out any concerns (e.g. no recent contact, low score, no future meetings booked, overdue action items), and suggest one specific next step.")</v>
      </c>
      <c r="AT26" s="3" t="s">
        <v>471</v>
      </c>
      <c r="AU26" s="2"/>
      <c r="AV26" s="2"/>
      <c r="AW26" s="2"/>
    </row>
    <row r="27">
      <c r="A27" s="3" t="s">
        <v>170</v>
      </c>
      <c r="B27" s="3" t="s">
        <v>472</v>
      </c>
      <c r="C27" s="3" t="b">
        <v>1</v>
      </c>
      <c r="D27" s="4">
        <v>46326.0</v>
      </c>
      <c r="E27" s="8">
        <v>15650.0</v>
      </c>
      <c r="F27" s="8">
        <v>15650.0</v>
      </c>
      <c r="G27" s="3" t="s">
        <v>23</v>
      </c>
      <c r="H27" s="3" t="s">
        <v>44</v>
      </c>
      <c r="I27" s="8">
        <v>15650.0</v>
      </c>
      <c r="J27" s="19">
        <v>36.0</v>
      </c>
      <c r="K27" s="9">
        <v>0.0505882352941176</v>
      </c>
      <c r="L27" s="10"/>
      <c r="M27" s="3" t="s">
        <v>25</v>
      </c>
      <c r="N27" s="3" t="s">
        <v>26</v>
      </c>
      <c r="O27" s="3" t="s">
        <v>27</v>
      </c>
      <c r="P27" s="3" t="s">
        <v>32</v>
      </c>
      <c r="Q27" s="18">
        <v>61.0</v>
      </c>
      <c r="R27" s="3">
        <v>13.0</v>
      </c>
      <c r="S27" s="3">
        <v>1.0</v>
      </c>
      <c r="T27" s="3">
        <v>1.0</v>
      </c>
      <c r="U27" s="3">
        <v>0.0</v>
      </c>
      <c r="V27" s="3">
        <v>0.0</v>
      </c>
      <c r="W27" s="19">
        <v>1.0</v>
      </c>
      <c r="X27" s="20">
        <v>45986.076828703706</v>
      </c>
      <c r="Y27" s="19">
        <v>9.0</v>
      </c>
      <c r="Z27" s="19">
        <v>12.0</v>
      </c>
      <c r="AA27" s="19">
        <v>1.0</v>
      </c>
      <c r="AB27" s="21">
        <v>61.0</v>
      </c>
      <c r="AC27" s="20">
        <v>46059.39583333333</v>
      </c>
      <c r="AD27" s="20">
        <v>46087.39583333333</v>
      </c>
      <c r="AE27" s="19">
        <v>0.0</v>
      </c>
      <c r="AF27" s="19">
        <v>0.0</v>
      </c>
      <c r="AG27" s="19">
        <v>0.0</v>
      </c>
      <c r="AH27" s="19">
        <v>0.0</v>
      </c>
      <c r="AI27" s="19">
        <v>0.0</v>
      </c>
      <c r="AJ27" s="3" t="s">
        <v>473</v>
      </c>
      <c r="AK27" s="2"/>
      <c r="AL27" s="2"/>
      <c r="AM27" s="3" t="s">
        <v>248</v>
      </c>
      <c r="AN27" s="3" t="s">
        <v>474</v>
      </c>
      <c r="AO27" s="3" t="s">
        <v>475</v>
      </c>
      <c r="AP27" s="3" t="s">
        <v>248</v>
      </c>
      <c r="AQ27" s="3" t="s">
        <v>248</v>
      </c>
      <c r="AR27" s="3" t="s">
        <v>476</v>
      </c>
      <c r="AS27" s="2" t="str">
        <f>IFERROR(__xludf.DUMMYFUNCTION("AI(""You are a customer success manager reviewing account health. Write a 3-4 sentence engagement summary for: Boston Scientific
Renewal: 2026-10-31 | Stage: Discovery (91) | CSM: John Davis | Engagement Score: 61/100 | Days since last contact: 13 | Email"&amp;"s 30d/90d: 0/1 | Meetings past/future/30d: 9/12/1 | Last meeting: 2026-02-06 | Next meeting: 2026-03-06 | Open tasks: 0 | Recaps: 0 | Action items: 0
--- RECENT EMAILS (newest first) ---
2025-11-25 (OUT): Invitation: ObservePoint | Boston Scientific - Sy"&amp;"nc @ Monthly from 9:30am to 10a — ObservePoint | Boston Scientific - Sync
 Monthly from 9:30am to 10am on the first Friday
 Mountain Time - Denver
 Join Zoom Meeting
 https://obse
--- OPEN/RECENT GITHUB TASKS ---
--- RECENT MEETING RECAPS ---
Ba"&amp;"sed on all of the above, describe the engagement level, call out any concerns (e.g. no recent contact, low score, no future meetings booked, overdue action items), and suggest one specific next step."")"),"=AI(""You are a customer success manager reviewing account health. Write a 3-4 sentence engagement summary for: Boston Scientific
Renewal: 2026-10-31 | Stage: Discovery (91) | CSM: John Davis | Engagement Score: 61/100 | Days since last contact: 13 | Emai"&amp;"ls 30d/90d: 0/1 | Meetings past/future/30d: 9/12/1 | Last meeting: 2026-02-06 | Next meeting: 2026-03-06 | Open tasks: 0 | Recaps: 0 | Action items: 0
--- RECENT EMAILS (newest first) ---
2025-11-25 (OUT): Invitation: ObservePoint | Boston Scientific - S"&amp;"ync @ Monthly from 9:30am to 10a — ObservePoint | Boston Scientific - Sync
 Monthly from 9:30am to 10am on the first Friday
 Mountain Time - Denver
 Join Zoom Meeting
 https://obse
--- OPEN/RECENT GITHUB TASKS ---
--- RECENT MEETING RECAPS ---
B"&amp;"ased on all of the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Boston Scientific
Renewal: 2026-10-31 | Stage: Discovery (91) | CSM: John Davis | Engagement Score: 61/100 | Days since last contact: 13 | Emails 30d/90d: 0/1 | Meetings past/future/30d: 9/12/1 | Last meeting: 2026-02-06 | Next meeting: 2026-03-06 | Open tasks: 0 | Recaps: 0 | Action items: 0
--- RECENT EMAILS (newest first) ---
2025-11-25 (OUT): Invitation: ObservePoint | Boston Scientific - Sync @ Monthly from 9:30am to 10a — ObservePoint | Boston Scientific - Sync
 Monthly from 9:30am to 10am on the first Friday
 Mountain Time - Denver
 Join Zoom Meeting
 https://obse
--- OPEN/RECENT GITHUB TASKS ---
--- RECENT MEETING RECAPS ---
Based on all of the above, describe the engagement level, call out any concerns (e.g. no recent contact, low score, no future meetings booked, overdue action items), and suggest one specific next step.")</v>
      </c>
      <c r="AT27" s="3" t="s">
        <v>477</v>
      </c>
      <c r="AU27" s="2"/>
      <c r="AV27" s="2"/>
      <c r="AW27" s="2"/>
    </row>
    <row r="28">
      <c r="A28" s="3" t="s">
        <v>478</v>
      </c>
      <c r="B28" s="3" t="s">
        <v>479</v>
      </c>
      <c r="C28" s="3" t="b">
        <v>1</v>
      </c>
      <c r="D28" s="4">
        <v>46326.0</v>
      </c>
      <c r="E28" s="8">
        <v>15000.0</v>
      </c>
      <c r="F28" s="8">
        <v>15000.0</v>
      </c>
      <c r="G28" s="3" t="s">
        <v>23</v>
      </c>
      <c r="H28" s="3" t="s">
        <v>44</v>
      </c>
      <c r="I28" s="8">
        <v>15000.0</v>
      </c>
      <c r="J28" s="19">
        <v>20.0</v>
      </c>
      <c r="K28" s="10"/>
      <c r="L28" s="9">
        <v>0.012</v>
      </c>
      <c r="M28" s="3" t="s">
        <v>25</v>
      </c>
      <c r="N28" s="3" t="s">
        <v>26</v>
      </c>
      <c r="O28" s="3" t="s">
        <v>27</v>
      </c>
      <c r="P28" s="3" t="s">
        <v>32</v>
      </c>
      <c r="Q28" s="23">
        <v>90.0</v>
      </c>
      <c r="R28" s="3">
        <v>1.0</v>
      </c>
      <c r="S28" s="3">
        <v>21.0</v>
      </c>
      <c r="T28" s="3">
        <v>11.0</v>
      </c>
      <c r="U28" s="3">
        <v>10.0</v>
      </c>
      <c r="V28" s="3">
        <v>6.0</v>
      </c>
      <c r="W28" s="19">
        <v>21.0</v>
      </c>
      <c r="X28" s="20">
        <v>46056.41354166667</v>
      </c>
      <c r="Y28" s="19">
        <v>21.0</v>
      </c>
      <c r="Z28" s="19">
        <v>50.0</v>
      </c>
      <c r="AA28" s="19">
        <v>4.0</v>
      </c>
      <c r="AB28" s="21">
        <v>61.0</v>
      </c>
      <c r="AC28" s="20">
        <v>46071.45833333333</v>
      </c>
      <c r="AD28" s="20">
        <v>46077.5</v>
      </c>
      <c r="AE28" s="19">
        <v>8.0</v>
      </c>
      <c r="AF28" s="19">
        <v>0.0</v>
      </c>
      <c r="AG28" s="19">
        <v>8.0</v>
      </c>
      <c r="AH28" s="19">
        <v>4.0</v>
      </c>
      <c r="AI28" s="19">
        <v>4.0</v>
      </c>
      <c r="AJ28" s="3" t="s">
        <v>480</v>
      </c>
      <c r="AK28" s="2"/>
      <c r="AL28" s="3" t="s">
        <v>481</v>
      </c>
      <c r="AM28" s="3" t="s">
        <v>482</v>
      </c>
      <c r="AN28" s="3" t="s">
        <v>483</v>
      </c>
      <c r="AO28" s="3" t="s">
        <v>484</v>
      </c>
      <c r="AP28" s="3" t="s">
        <v>485</v>
      </c>
      <c r="AQ28" s="3" t="s">
        <v>486</v>
      </c>
      <c r="AR28" s="3" t="s">
        <v>487</v>
      </c>
      <c r="AS28" s="2" t="str">
        <f>IFERROR(__xludf.DUMMYFUNCTION("AI(""You are a customer success manager reviewing account health. Write a 3-4 sentence engagement summary for: Robert Wood Johnson Foundation
Renewal: 2026-10-31 | Stage: Discovery (91) | CSM: John Davis | Engagement Score: 90/100 | Days since last contac"&amp;"t: 1 | Emails 30d/90d: 6/21 | Meetings past/future/30d: 21/50/4 | Last meeting: 2026-02-18 | Next meeting: 2026-02-24 | Open tasks: 0 | Recaps: 4 | Action items: 4
--- RECENT EMAILS (newest first) ---
2026-02-03 (OUT): Re: ObservePoint | RWJF - Sync — He"&amp;"y Phil,
 Here are some slots that work for me on Thursday in *Eastern Time*, feel
 free to grab one or we can wait until Tuesday, either way works
2026-02-03 (IN): RE: ObservePoint | RWJF - Sync — John, I need to either reschedule or cancel for today.  "&amp;"If your schedule allows for Thursday, lets reschedule.  If not, next tues will do.
 My goal 
2026-01-21 (OUT): Re: evar13 Journey — Hey Phil,
 No worries, this can definitely be confusing in the beginning, but before
 you know it, you will be a full f"&amp;"ledged QA Automation Engineer
--- OPEN/RECENT GITHUB TASKS ---
--- RECENT MEETING RECAPS ---
2026-02-18: ObservePoint | RWJF - Sync
John Davis and Phil Hagerty discussed ObservePoint implementation strategy, deciding that Phil should create separate jo"&amp;"urneys for each user interaction or conversion event rather than combining multiple tests into single journeys to avoid cascading failures and maintain clarity. They reviewed Phil's progress on setting up audits and journeys for tracking analytics variabl"&amp;"es, with John explaining best practices for structuring end-to-end tests and offering support from ObservePoint's journey-bui
---
2026-02-10: ObservePoint | RWJF - Sync
John and Phil discussed setting up ObservePoint rules to validate Adobe Analytics vari"&amp;"ables on page loads, with Phil creating a comprehensive rule to check multiple eVars using ObservePoint's browser extension to capture variable names. They encountered a challenge with eVar2 (site section two), which isn't always set on top-level pages li"&amp;"ke the homepage, and explored potential solutions including URL filtering and using query parameters with on-page actions to dynamically validate the variable.
Based on all of the above, describe the engagement level, call out any concerns (e.g. no recen"&amp;"t contact, low score, no future meetings booked, overdue action items), and suggest one specific next step."")"),"=AI(""You are a customer success manager reviewing account health. Write a 3-4 sentence engagement summary for: Robert Wood Johnson Foundation
Renewal: 2026-10-31 | Stage: Discovery (91) | CSM: John Davis | Engagement Score: 90/100 | Days since last conta"&amp;"ct: 1 | Emails 30d/90d: 6/21 | Meetings past/future/30d: 21/50/4 | Last meeting: 2026-02-18 | Next meeting: 2026-02-24 | Open tasks: 0 | Recaps: 4 | Action items: 4
--- RECENT EMAILS (newest first) ---
2026-02-03 (OUT): Re: ObservePoint | RWJF - Sync — H"&amp;"ey Phil,
 Here are some slots that work for me on Thursday in *Eastern Time*, feel
 free to grab one or we can wait until Tuesday, either way works
2026-02-03 (IN): RE: ObservePoint | RWJF - Sync — John, I need to either reschedule or cancel for today. "&amp;" If your schedule allows for Thursday, lets reschedule.  If not, next tues will do.
 My goal 
2026-01-21 (OUT): Re: evar13 Journey — Hey Phil,
 No worries, this can definitely be confusing in the beginning, but before
 you know it, you will be a full "&amp;"fledged QA Automation Engineer
--- OPEN/RECENT GITHUB TASKS ---
--- RECENT MEETING RECAPS ---
2026-02-18: ObservePoint | RWJF - Sync
John Davis and Phil Hagerty discussed ObservePoint implementation strategy, deciding that Phil should create separate j"&amp;"ourneys for each user interaction or conversion event rather than combining multiple tests into single journeys to avoid cascading failures and maintain clarity. They reviewed Phil's progress on setting up audits and journeys for tracking analytics variab"&amp;"les, with John explaining best practices for structuring end-to-end tests and offering support from ObservePoint's journey-bui
---
2026-02-10: ObservePoint | RWJF - Sync
John and Phil discussed setting up ObservePoint rules to validate Adobe Analytics var"&amp;"iables on page loads, with Phil creating a comprehensive rule to check multiple eVars using ObservePoint's browser extension to capture variable names. They encountered a challenge with eVar2 (site section two), which isn't always set on top-level pages l"&amp;"ike the homepage, and explored potential solutions including URL filtering and using query parameters with on-page actions to dynamically validate the variable.
Based on all of the above, describe the engagement level, call out any concerns (e.g. no rece"&amp;"nt contact, low score, no future meetings booked, overdue action items), and suggest one specific next step."")")</f>
        <v>=AI("You are a customer success manager reviewing account health. Write a 3-4 sentence engagement summary for: Robert Wood Johnson Foundation
Renewal: 2026-10-31 | Stage: Discovery (91) | CSM: John Davis | Engagement Score: 90/100 | Days since last contact: 1 | Emails 30d/90d: 6/21 | Meetings past/future/30d: 21/50/4 | Last meeting: 2026-02-18 | Next meeting: 2026-02-24 | Open tasks: 0 | Recaps: 4 | Action items: 4
--- RECENT EMAILS (newest first) ---
2026-02-03 (OUT): Re: ObservePoint | RWJF - Sync — Hey Phil,
 Here are some slots that work for me on Thursday in *Eastern Time*, feel
 free to grab one or we can wait until Tuesday, either way works
2026-02-03 (IN): RE: ObservePoint | RWJF - Sync — John, I need to either reschedule or cancel for today.  If your schedule allows for Thursday, lets reschedule.  If not, next tues will do.
 My goal 
2026-01-21 (OUT): Re: evar13 Journey — Hey Phil,
 No worries, this can definitely be confusing in the beginning, but before
 you know it, you will be a full fledged QA Automation Engineer
--- OPEN/RECENT GITHUB TASKS ---
--- RECENT MEETING RECAPS ---
2026-02-18: ObservePoint | RWJF - Sync
John Davis and Phil Hagerty discussed ObservePoint implementation strategy, deciding that Phil should create separate journeys for each user interaction or conversion event rather than combining multiple tests into single journeys to avoid cascading failures and maintain clarity. They reviewed Phil's progress on setting up audits and journeys for tracking analytics variables, with John explaining best practices for structuring end-to-end tests and offering support from ObservePoint's journey-bui
---
2026-02-10: ObservePoint | RWJF - Sync
John and Phil discussed setting up ObservePoint rules to validate Adobe Analytics variables on page loads, with Phil creating a comprehensive rule to check multiple eVars using ObservePoint's browser extension to capture variable names. They encountered a challenge with eVar2 (site section two), which isn't always set on top-level pages like the homepage, and explored potential solutions including URL filtering and using query parameters with on-page actions to dynamically validate the variable.
Based on all of the above, describe the engagement level, call out any concerns (e.g. no recent contact, low score, no future meetings booked, overdue action items), and suggest one specific next step.")</v>
      </c>
      <c r="AT28" s="3" t="s">
        <v>488</v>
      </c>
      <c r="AU28" s="2"/>
      <c r="AV28" s="2"/>
      <c r="AW28" s="2"/>
    </row>
    <row r="29">
      <c r="A29" s="3" t="s">
        <v>111</v>
      </c>
      <c r="B29" s="3" t="s">
        <v>489</v>
      </c>
      <c r="C29" s="3" t="b">
        <v>1</v>
      </c>
      <c r="D29" s="4">
        <v>46326.0</v>
      </c>
      <c r="E29" s="8">
        <v>35000.0</v>
      </c>
      <c r="F29" s="8">
        <v>35000.0</v>
      </c>
      <c r="G29" s="3" t="s">
        <v>23</v>
      </c>
      <c r="H29" s="3" t="s">
        <v>48</v>
      </c>
      <c r="I29" s="8">
        <v>35000.0</v>
      </c>
      <c r="J29" s="19">
        <v>20.0</v>
      </c>
      <c r="K29" s="9">
        <v>0.649686666666666</v>
      </c>
      <c r="L29" s="10"/>
      <c r="M29" s="3" t="s">
        <v>25</v>
      </c>
      <c r="N29" s="3" t="s">
        <v>26</v>
      </c>
      <c r="O29" s="3" t="s">
        <v>40</v>
      </c>
      <c r="P29" s="3" t="s">
        <v>37</v>
      </c>
      <c r="Q29" s="18">
        <v>69.0</v>
      </c>
      <c r="R29" s="3">
        <v>16.0</v>
      </c>
      <c r="S29" s="3">
        <v>20.0</v>
      </c>
      <c r="T29" s="3">
        <v>11.0</v>
      </c>
      <c r="U29" s="3">
        <v>9.0</v>
      </c>
      <c r="V29" s="3">
        <v>4.0</v>
      </c>
      <c r="W29" s="19">
        <v>20.0</v>
      </c>
      <c r="X29" s="20">
        <v>46056.58619212963</v>
      </c>
      <c r="Y29" s="19">
        <v>12.0</v>
      </c>
      <c r="Z29" s="19">
        <v>12.0</v>
      </c>
      <c r="AA29" s="19">
        <v>1.0</v>
      </c>
      <c r="AB29" s="21">
        <v>29.0</v>
      </c>
      <c r="AC29" s="20">
        <v>46056.58333333333</v>
      </c>
      <c r="AD29" s="20">
        <v>46084.58333333333</v>
      </c>
      <c r="AE29" s="19">
        <v>3.0</v>
      </c>
      <c r="AF29" s="19">
        <v>2.0</v>
      </c>
      <c r="AG29" s="19">
        <v>1.0</v>
      </c>
      <c r="AH29" s="19">
        <v>1.0</v>
      </c>
      <c r="AI29" s="19">
        <v>2.0</v>
      </c>
      <c r="AJ29" s="3" t="s">
        <v>490</v>
      </c>
      <c r="AK29" s="3" t="s">
        <v>491</v>
      </c>
      <c r="AL29" s="3" t="s">
        <v>492</v>
      </c>
      <c r="AM29" s="3" t="s">
        <v>493</v>
      </c>
      <c r="AN29" s="3" t="s">
        <v>494</v>
      </c>
      <c r="AO29" s="3" t="s">
        <v>495</v>
      </c>
      <c r="AP29" s="3" t="s">
        <v>496</v>
      </c>
      <c r="AQ29" s="3" t="s">
        <v>497</v>
      </c>
      <c r="AR29" s="3" t="s">
        <v>498</v>
      </c>
      <c r="AS29" s="2" t="str">
        <f>IFERROR(__xludf.DUMMYFUNCTION("AI(""You are a customer success manager reviewing account health. Write a 3-4 sentence engagement summary for: Dignity Health
Renewal: 2026-10-31 | Stage: Identified () | CSM: John Davis | Engagement Score: 69/100 | Days since last contact: 16 | Emails 30"&amp;"d/90d: 4/20 | Meetings past/future/30d: 12/12/1 | Last meeting: 2026-02-03 | Next meeting: 2026-03-03 | Open tasks: 2 | Recaps: 1 | Action items: 2
--- RECENT EMAILS (newest first) ---
2026-02-03 (OUT): Meeting — Sorry Stanton,
 My waiting room hasn't "&amp;"worked today for some reason, you can join here:
 https://observepoint.zoom.us/j/3628593272?pwd=OfxX2kwpsuA
2026-01-22 (IN): Re: help with an audit — Hey John,
 Great points and that's pretty much what I told my boss, except for the
 point about it be"&amp;"ing better as a Journey.  I'll convey what you 
2026-01-21 (OUT): Re: help with an audit — Hey Stanton,
 I took a look at this and my first question is, do we need to actually
 click all the """"Bio video"""" buttons for all the providers that h
--- OP"&amp;"EN/RECENT GITHUB TASKS ---
[OPEN] Dignity Health - Build example journey (Backlog)
[OPEN] Dignity Health - Work on automating txt file checks (In progress)
--- RECENT MEETING RECAPS ---
2026-02-03: ObservePoint | Dignity Health - Monthly Sync
The team di"&amp;"scussed organizing and cleaning up CDW website validation journeys, identifying that they were missing an order version for cdw.com while having duplicates of other journeys. They determined that one unlabeled journey was actually an order flow (not a quo"&amp;"te) based on its steps, and decided to rename it accordingly and delete unnecessary duplicate entries from their tracking spreadsheet. The team agreed to increase their meeting cadence from biweekly to weekly temporarily to expedite t
Based on all of the"&amp;" above, describe the engagement level, call out any concerns (e.g. no recent contact, low score, no future meetings booked, overdue action items), and suggest one specific next step."")"),"=AI(""You are a customer success manager reviewing account health. Write a 3-4 sentence engagement summary for: Dignity Health
Renewal: 2026-10-31 | Stage: Identified () | CSM: John Davis | Engagement Score: 69/100 | Days since last contact: 16 | Emails 3"&amp;"0d/90d: 4/20 | Meetings past/future/30d: 12/12/1 | Last meeting: 2026-02-03 | Next meeting: 2026-03-03 | Open tasks: 2 | Recaps: 1 | Action items: 2
--- RECENT EMAILS (newest first) ---
2026-02-03 (OUT): Meeting — Sorry Stanton,
 My waiting room hasn't"&amp;" worked today for some reason, you can join here:
 https://observepoint.zoom.us/j/3628593272?pwd=OfxX2kwpsuA
2026-01-22 (IN): Re: help with an audit — Hey John,
 Great points and that's pretty much what I told my boss, except for the
 point about it b"&amp;"eing better as a Journey.  I'll convey what you 
2026-01-21 (OUT): Re: help with an audit — Hey Stanton,
 I took a look at this and my first question is, do we need to actually
 click all the """"Bio video"""" buttons for all the providers that h
--- O"&amp;"PEN/RECENT GITHUB TASKS ---
[OPEN] Dignity Health - Build example journey (Backlog)
[OPEN] Dignity Health - Work on automating txt file checks (In progress)
--- RECENT MEETING RECAPS ---
2026-02-03: ObservePoint | Dignity Health - Monthly Sync
The team d"&amp;"iscussed organizing and cleaning up CDW website validation journeys, identifying that they were missing an order version for cdw.com while having duplicates of other journeys. They determined that one unlabeled journey was actually an order flow (not a qu"&amp;"ote) based on its steps, and decided to rename it accordingly and delete unnecessary duplicate entries from their tracking spreadsheet. The team agreed to increase their meeting cadence from biweekly to weekly temporarily to expedite t
Based on all of th"&amp;"e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Dignity Health
Renewal: 2026-10-31 | Stage: Identified () | CSM: John Davis | Engagement Score: 69/100 | Days since last contact: 16 | Emails 30d/90d: 4/20 | Meetings past/future/30d: 12/12/1 | Last meeting: 2026-02-03 | Next meeting: 2026-03-03 | Open tasks: 2 | Recaps: 1 | Action items: 2
--- RECENT EMAILS (newest first) ---
2026-02-03 (OUT): Meeting — Sorry Stanton,
 My waiting room hasn't worked today for some reason, you can join here:
 https://observepoint.zoom.us/j/3628593272?pwd=OfxX2kwpsuA
2026-01-22 (IN): Re: help with an audit — Hey John,
 Great points and that's pretty much what I told my boss, except for the
 point about it being better as a Journey.  I'll convey what you 
2026-01-21 (OUT): Re: help with an audit — Hey Stanton,
 I took a look at this and my first question is, do we need to actually
 click all the ""Bio video"" buttons for all the providers that h
--- OPEN/RECENT GITHUB TASKS ---
[OPEN] Dignity Health - Build example journey (Backlog)
[OPEN] Dignity Health - Work on automating txt file checks (In progress)
--- RECENT MEETING RECAPS ---
2026-02-03: ObservePoint | Dignity Health - Monthly Sync
The team discussed organizing and cleaning up CDW website validation journeys, identifying that they were missing an order version for cdw.com while having duplicates of other journeys. They determined that one unlabeled journey was actually an order flow (not a quote) based on its steps, and decided to rename it accordingly and delete unnecessary duplicate entries from their tracking spreadsheet. The team agreed to increase their meeting cadence from biweekly to weekly temporarily to expedite t
Based on all of the above, describe the engagement level, call out any concerns (e.g. no recent contact, low score, no future meetings booked, overdue action items), and suggest one specific next step.")</v>
      </c>
      <c r="AT29" s="3" t="s">
        <v>499</v>
      </c>
      <c r="AU29" s="2"/>
      <c r="AV29" s="2"/>
      <c r="AW29" s="2"/>
    </row>
    <row r="30">
      <c r="A30" s="3" t="s">
        <v>500</v>
      </c>
      <c r="B30" s="3" t="s">
        <v>501</v>
      </c>
      <c r="C30" s="3" t="b">
        <v>1</v>
      </c>
      <c r="D30" s="4">
        <v>46349.0</v>
      </c>
      <c r="E30" s="8">
        <v>1479.0</v>
      </c>
      <c r="F30" s="11"/>
      <c r="G30" s="3" t="s">
        <v>23</v>
      </c>
      <c r="H30" s="3" t="s">
        <v>48</v>
      </c>
      <c r="I30" s="8">
        <v>1479.0</v>
      </c>
      <c r="K30" s="9">
        <v>1.79455445544554</v>
      </c>
      <c r="L30" s="10"/>
      <c r="M30" s="3" t="s">
        <v>46</v>
      </c>
      <c r="N30" s="3" t="s">
        <v>26</v>
      </c>
      <c r="O30" s="3" t="s">
        <v>36</v>
      </c>
      <c r="P30" s="2"/>
      <c r="Q30" s="24">
        <v>21.0</v>
      </c>
      <c r="R30" s="3">
        <v>38.0</v>
      </c>
      <c r="S30" s="3">
        <v>2.0</v>
      </c>
      <c r="T30" s="3">
        <v>2.0</v>
      </c>
      <c r="U30" s="3">
        <v>0.0</v>
      </c>
      <c r="V30" s="3">
        <v>0.0</v>
      </c>
      <c r="W30" s="19">
        <v>2.0</v>
      </c>
      <c r="X30" s="20">
        <v>46034.627488425926</v>
      </c>
      <c r="Y30" s="19">
        <v>0.0</v>
      </c>
      <c r="Z30" s="19">
        <v>0.0</v>
      </c>
      <c r="AA30" s="19">
        <v>0.0</v>
      </c>
      <c r="AB30" s="21">
        <v>0.0</v>
      </c>
      <c r="AC30" s="22"/>
      <c r="AD30" s="22"/>
      <c r="AE30" s="19">
        <v>0.0</v>
      </c>
      <c r="AF30" s="19">
        <v>0.0</v>
      </c>
      <c r="AG30" s="19">
        <v>0.0</v>
      </c>
      <c r="AH30" s="19">
        <v>0.0</v>
      </c>
      <c r="AI30" s="19">
        <v>0.0</v>
      </c>
      <c r="AJ30" s="3" t="s">
        <v>502</v>
      </c>
      <c r="AK30" s="2"/>
      <c r="AL30" s="2"/>
      <c r="AM30" s="3" t="s">
        <v>248</v>
      </c>
      <c r="AN30" s="3" t="s">
        <v>503</v>
      </c>
      <c r="AO30" s="3" t="s">
        <v>248</v>
      </c>
      <c r="AP30" s="3" t="s">
        <v>248</v>
      </c>
      <c r="AQ30" s="3" t="s">
        <v>248</v>
      </c>
      <c r="AR30" s="2"/>
      <c r="AS30" s="2" t="str">
        <f>IFERROR(__xludf.DUMMYFUNCTION("AI(""You are a customer success manager reviewing account health. Write a 3-4 sentence engagement summary for: Zenfolio
Renewal: 2026-11-23 | Stage: Identified () | CSM: John Davis | Engagement Score: 21/100 | Days since last contact: 38 | Emails 30d/90d:"&amp;" 0/2 | Meetings past/future/30d: 0/0/0 | Last meeting:  | Next meeting:  | Open tasks: 0 | Recaps: 0 | Action items: 0
--- RECENT EMAILS (newest first) ---
2026-01-12 (OUT): Re: CSM Introduction — Thanks Jarrod
 Hey Gavin and Bill,
 I agree with Jarr"&amp;"od, great job setting up your account! Let me know how I
 can help you in 2026.
 You can al
2026-01-12 (OUT): CSM Introduction — Hi Gavin and Bill,
 I wanted to introduce John Davis, your Customer Success Manager and primary
 point of contact at Obser"&amp;"vePoint. John is highly te
--- OPEN/RECENT GITHUB TASKS ---
--- RECENT MEETING RECAPS ---
Based on all of the above, describe the engagement level, call out any concerns (e.g. no recent contact, low score, no future meetings booked, overdue action it"&amp;"ems), and suggest one specific next step."")"),"=AI(""You are a customer success manager reviewing account health. Write a 3-4 sentence engagement summary for: Zenfolio
Renewal: 2026-11-23 | Stage: Identified () | CSM: John Davis | Engagement Score: 21/100 | Days since last contact: 38 | Emails 30d/90d"&amp;": 0/2 | Meetings past/future/30d: 0/0/0 | Last meeting:  | Next meeting:  | Open tasks: 0 | Recaps: 0 | Action items: 0
--- RECENT EMAILS (newest first) ---
2026-01-12 (OUT): Re: CSM Introduction — Thanks Jarrod
 Hey Gavin and Bill,
 I agree with Jar"&amp;"rod, great job setting up your account! Let me know how I
 can help you in 2026.
 You can al
2026-01-12 (OUT): CSM Introduction — Hi Gavin and Bill,
 I wanted to introduce John Davis, your Customer Success Manager and primary
 point of contact at Obse"&amp;"rvePoint. John is highly te
--- OPEN/RECENT GITHUB TASKS ---
--- RECENT MEETING RECAPS ---
Based on all of the above, describe the engagement level, call out any concerns (e.g. no recent contact, low score, no future meetings booked, overdue action i"&amp;"tems), and suggest one specific next step."")")</f>
        <v>=AI("You are a customer success manager reviewing account health. Write a 3-4 sentence engagement summary for: Zenfolio
Renewal: 2026-11-23 | Stage: Identified () | CSM: John Davis | Engagement Score: 21/100 | Days since last contact: 38 | Emails 30d/90d: 0/2 | Meetings past/future/30d: 0/0/0 | Last meeting:  | Next meeting:  | Open tasks: 0 | Recaps: 0 | Action items: 0
--- RECENT EMAILS (newest first) ---
2026-01-12 (OUT): Re: CSM Introduction — Thanks Jarrod
 Hey Gavin and Bill,
 I agree with Jarrod, great job setting up your account! Let me know how I
 can help you in 2026.
 You can al
2026-01-12 (OUT): CSM Introduction — Hi Gavin and Bill,
 I wanted to introduce John Davis, your Customer Success Manager and primary
 point of contact at ObservePoint. John is highly te
--- OPEN/RECENT GITHUB TASKS ---
--- RECENT MEETING RECAPS ---
Based on all of the above, describe the engagement level, call out any concerns (e.g. no recent contact, low score, no future meetings booked, overdue action items), and suggest one specific next step.")</v>
      </c>
      <c r="AT30" s="3" t="s">
        <v>504</v>
      </c>
      <c r="AU30" s="2"/>
      <c r="AV30" s="2"/>
      <c r="AW30" s="2"/>
    </row>
    <row r="31">
      <c r="A31" s="3" t="s">
        <v>206</v>
      </c>
      <c r="B31" s="3" t="s">
        <v>505</v>
      </c>
      <c r="C31" s="3" t="b">
        <v>1</v>
      </c>
      <c r="D31" s="4">
        <v>46356.0</v>
      </c>
      <c r="E31" s="8">
        <v>32000.0</v>
      </c>
      <c r="F31" s="8">
        <v>32000.0</v>
      </c>
      <c r="G31" s="3" t="s">
        <v>23</v>
      </c>
      <c r="H31" s="3" t="s">
        <v>48</v>
      </c>
      <c r="I31" s="8">
        <v>32000.0</v>
      </c>
      <c r="J31" s="19">
        <v>44.0</v>
      </c>
      <c r="K31" s="9">
        <v>1.84253354362385</v>
      </c>
      <c r="L31" s="9">
        <v>0.683</v>
      </c>
      <c r="M31" s="3" t="s">
        <v>25</v>
      </c>
      <c r="N31" s="3" t="s">
        <v>26</v>
      </c>
      <c r="O31" s="3" t="s">
        <v>31</v>
      </c>
      <c r="P31" s="3" t="s">
        <v>37</v>
      </c>
      <c r="Q31" s="18">
        <v>51.0</v>
      </c>
      <c r="R31" s="3">
        <v>20.0</v>
      </c>
      <c r="S31" s="3">
        <v>2.0</v>
      </c>
      <c r="T31" s="3">
        <v>2.0</v>
      </c>
      <c r="U31" s="3">
        <v>0.0</v>
      </c>
      <c r="V31" s="3">
        <v>0.0</v>
      </c>
      <c r="W31" s="19">
        <v>2.0</v>
      </c>
      <c r="X31" s="20">
        <v>46006.442777777775</v>
      </c>
      <c r="Y31" s="19">
        <v>8.0</v>
      </c>
      <c r="Z31" s="19">
        <v>12.0</v>
      </c>
      <c r="AA31" s="19">
        <v>1.0</v>
      </c>
      <c r="AB31" s="21">
        <v>72.0</v>
      </c>
      <c r="AC31" s="20">
        <v>46052.54166666667</v>
      </c>
      <c r="AD31" s="20">
        <v>46087.54166666667</v>
      </c>
      <c r="AE31" s="19">
        <v>0.0</v>
      </c>
      <c r="AF31" s="19">
        <v>0.0</v>
      </c>
      <c r="AG31" s="19">
        <v>0.0</v>
      </c>
      <c r="AH31" s="19">
        <v>0.0</v>
      </c>
      <c r="AI31" s="19">
        <v>0.0</v>
      </c>
      <c r="AJ31" s="3" t="s">
        <v>506</v>
      </c>
      <c r="AK31" s="2"/>
      <c r="AL31" s="2"/>
      <c r="AM31" s="3" t="s">
        <v>248</v>
      </c>
      <c r="AN31" s="3" t="s">
        <v>507</v>
      </c>
      <c r="AO31" s="3" t="s">
        <v>508</v>
      </c>
      <c r="AP31" s="3" t="s">
        <v>248</v>
      </c>
      <c r="AQ31" s="3" t="s">
        <v>248</v>
      </c>
      <c r="AR31" s="3" t="s">
        <v>509</v>
      </c>
      <c r="AS31" s="2" t="str">
        <f>IFERROR(__xludf.DUMMYFUNCTION("AI(""You are a customer success manager reviewing account health. Write a 3-4 sentence engagement summary for: K. Hovnanian
Renewal: 2026-11-30 | Stage: Identified () | CSM: John Davis | Engagement Score: 51/100 | Days since last contact: 20 | Emails 30d/"&amp;"90d: 0/2 | Meetings past/future/30d: 8/12/1 | Last meeting: 2026-01-30 | Next meeting: 2026-03-06 | Open tasks: 0 | Recaps: 0 | Action items: 0
--- RECENT EMAILS (newest first) ---
2025-12-15 (OUT): K. Hovnanian | ObservePoint Monthly Sync — Can we resch"&amp;"edule this? We are out of office between Christmas and New  
 Years. Use this link to schedule something before the holidays that works  
2025-11-25 (OUT): Invitation: K. Hovnanian | ObservePoint Monthly Sync @ Monthly from 1pm to 1:30p — K. Hovnanian | "&amp;"ObservePoint Monthly Sync
 Monthly from 1pm to 1:30pm on the last Friday
 Mountain Time - Denver
 Join Zoom Meeting
 https://obser
--- OPEN/RECENT GITHUB TASKS ---
--- RECENT MEETING RECAPS ---
Based on all of the above, describe the engagement "&amp;"level, call out any concerns (e.g. no recent contact, low score, no future meetings booked, overdue action items), and suggest one specific next step."")"),"=AI(""You are a customer success manager reviewing account health. Write a 3-4 sentence engagement summary for: K. Hovnanian
Renewal: 2026-11-30 | Stage: Identified () | CSM: John Davis | Engagement Score: 51/100 | Days since last contact: 20 | Emails 30d"&amp;"/90d: 0/2 | Meetings past/future/30d: 8/12/1 | Last meeting: 2026-01-30 | Next meeting: 2026-03-06 | Open tasks: 0 | Recaps: 0 | Action items: 0
--- RECENT EMAILS (newest first) ---
2025-12-15 (OUT): K. Hovnanian | ObservePoint Monthly Sync — Can we resc"&amp;"hedule this? We are out of office between Christmas and New  
 Years. Use this link to schedule something before the holidays that works  
2025-11-25 (OUT): Invitation: K. Hovnanian | ObservePoint Monthly Sync @ Monthly from 1pm to 1:30p — K. Hovnanian |"&amp;" ObservePoint Monthly Sync
 Monthly from 1pm to 1:30pm on the last Friday
 Mountain Time - Denver
 Join Zoom Meeting
 https://obser
--- OPEN/RECENT GITHUB TASKS ---
--- RECENT MEETING RECAPS ---
Based on all of the above, describe the engagement"&amp;" level, call out any concerns (e.g. no recent contact, low score, no future meetings booked, overdue action items), and suggest one specific next step."")")</f>
        <v>=AI("You are a customer success manager reviewing account health. Write a 3-4 sentence engagement summary for: K. Hovnanian
Renewal: 2026-11-30 | Stage: Identified () | CSM: John Davis | Engagement Score: 51/100 | Days since last contact: 20 | Emails 30d/90d: 0/2 | Meetings past/future/30d: 8/12/1 | Last meeting: 2026-01-30 | Next meeting: 2026-03-06 | Open tasks: 0 | Recaps: 0 | Action items: 0
--- RECENT EMAILS (newest first) ---
2025-12-15 (OUT): K. Hovnanian | ObservePoint Monthly Sync — Can we reschedule this? We are out of office between Christmas and New  
 Years. Use this link to schedule something before the holidays that works  
2025-11-25 (OUT): Invitation: K. Hovnanian | ObservePoint Monthly Sync @ Monthly from 1pm to 1:30p — K. Hovnanian | ObservePoint Monthly Sync
 Monthly from 1pm to 1:30pm on the last Friday
 Mountain Time - Denver
 Join Zoom Meeting
 https://obser
--- OPEN/RECENT GITHUB TASKS ---
--- RECENT MEETING RECAPS ---
Based on all of the above, describe the engagement level, call out any concerns (e.g. no recent contact, low score, no future meetings booked, overdue action items), and suggest one specific next step.")</v>
      </c>
      <c r="AT31" s="3" t="s">
        <v>510</v>
      </c>
      <c r="AU31" s="2"/>
      <c r="AV31" s="2"/>
      <c r="AW31" s="2"/>
    </row>
    <row r="32">
      <c r="A32" s="3" t="s">
        <v>511</v>
      </c>
      <c r="B32" s="3" t="s">
        <v>512</v>
      </c>
      <c r="C32" s="2"/>
      <c r="D32" s="4">
        <v>46387.0</v>
      </c>
      <c r="E32" s="8">
        <v>19500.0</v>
      </c>
      <c r="F32" s="8">
        <v>9750.0</v>
      </c>
      <c r="G32" s="3" t="s">
        <v>23</v>
      </c>
      <c r="H32" s="3" t="s">
        <v>48</v>
      </c>
      <c r="I32" s="8">
        <v>19500.0</v>
      </c>
      <c r="J32" s="19">
        <v>44.0</v>
      </c>
      <c r="K32" s="9">
        <v>1.10063432196125</v>
      </c>
      <c r="L32" s="10"/>
      <c r="M32" s="3" t="s">
        <v>46</v>
      </c>
      <c r="N32" s="3" t="s">
        <v>26</v>
      </c>
      <c r="O32" s="3" t="s">
        <v>31</v>
      </c>
      <c r="P32" s="3" t="s">
        <v>32</v>
      </c>
      <c r="Q32" s="23">
        <v>90.0</v>
      </c>
      <c r="R32" s="3">
        <v>3.0</v>
      </c>
      <c r="S32" s="3">
        <v>153.0</v>
      </c>
      <c r="T32" s="3">
        <v>77.0</v>
      </c>
      <c r="U32" s="3">
        <v>76.0</v>
      </c>
      <c r="V32" s="3">
        <v>18.0</v>
      </c>
      <c r="W32" s="19">
        <v>150.0</v>
      </c>
      <c r="X32" s="20">
        <v>46056.66663194445</v>
      </c>
      <c r="Y32" s="19">
        <v>14.0</v>
      </c>
      <c r="Z32" s="19">
        <v>50.0</v>
      </c>
      <c r="AA32" s="19">
        <v>4.0</v>
      </c>
      <c r="AB32" s="21">
        <v>27.0</v>
      </c>
      <c r="AC32" s="20">
        <v>46069.60416666667</v>
      </c>
      <c r="AD32" s="20">
        <v>46076.60416666667</v>
      </c>
      <c r="AE32" s="19">
        <v>4.0</v>
      </c>
      <c r="AF32" s="19">
        <v>0.0</v>
      </c>
      <c r="AG32" s="19">
        <v>4.0</v>
      </c>
      <c r="AH32" s="19">
        <v>2.0</v>
      </c>
      <c r="AI32" s="19">
        <v>10.0</v>
      </c>
      <c r="AJ32" s="3" t="s">
        <v>513</v>
      </c>
      <c r="AK32" s="2"/>
      <c r="AL32" s="3" t="s">
        <v>514</v>
      </c>
      <c r="AM32" s="3" t="s">
        <v>515</v>
      </c>
      <c r="AN32" s="3" t="s">
        <v>516</v>
      </c>
      <c r="AO32" s="3" t="s">
        <v>517</v>
      </c>
      <c r="AP32" s="3" t="s">
        <v>518</v>
      </c>
      <c r="AQ32" s="3" t="s">
        <v>519</v>
      </c>
      <c r="AR32" s="3" t="s">
        <v>520</v>
      </c>
      <c r="AS32" s="2" t="str">
        <f>IFERROR(__xludf.DUMMYFUNCTION("AI(""You are a customer success manager reviewing account health. Write a 3-4 sentence engagement summary for: Prudential Financial Inc.
Renewal: 2026-12-31 | Stage: Identified () | CSM: John Davis | Engagement Score: 90/100 | Days since last contact: 3 |"&amp;" Emails 30d/90d: 18/150 | Meetings past/future/30d: 14/50/4 | Last meeting: 2026-02-16 | Next meeting: 2026-02-23 | Open tasks: 0 | Recaps: 2 | Action items: 10
--- RECENT EMAILS (newest first) ---
2026-02-03 (OUT): Re: Sync Meeting — Sure thing, Steve.
"&amp;" 
 Next week is our quarterly summit so I don't have a ton of slots available,
 so I will include the this week and the next two we
2026-02-03 (IN): RE: Sync Meeting — Hi John,
 Good meeting today.
 Can we have similar call with PGIM team?  Can you se"&amp;"nd availability for this week and next week?  If you can includ
2026-01-30 (OUT): Re: ObservePoint &amp; Prudential Sync — Hey Steve, are you able to make our meeting right now?
 *Regards, *
 John Davis *   |    * *Customer Success Manager*
 Cell: 801.6"&amp;"33.6013
 john.
--- OPEN/RECENT GITHUB TASKS ---
--- RECENT MEETING RECAPS ---
2026-02-03: Review ObservePoint Audit of Pru.com
The meeting focused on establishing a formal process for ObservePoint website audits at Prudential. The team discussed creati"&amp;"ng a tiered scanning approach (tier 1: high-traffic pages scanned biweekly, tier 2: monthly, tier 3: quarterly) within their 70,000 annual page scan limit, with the goal of identifying approximately 40 tier-1 pages representing 1% or more of site traffic."&amp;" Lauren committed to working with the content team over the next few weeks to audit and categorize pages across all Prud
---
2026-01-30: ObservePoint &amp; Prudential Sync
John Davis and Steve Choi discussed formalizing ObservePoint's audit process for Pruden"&amp;"tial's websites using a three-tier system aligned with their biweekly release cadence. They planned an upcoming Tuesday meeting where John will demonstrate audit capabilities and gather specific use cases and questions from the team to configure appropria"&amp;"te monitoring rules and alerts. Steve needs to collect tier-specific URLs from both the .com and PGIM teams, with their annual contract allowing approximately
Based on all of the above, describe the engagement level, call out any concerns (e.g. no recent"&amp;" contact, low score, no future meetings booked, overdue action items), and suggest one specific next step."")"),"=AI(""You are a customer success manager reviewing account health. Write a 3-4 sentence engagement summary for: Prudential Financial Inc.
Renewal: 2026-12-31 | Stage: Identified () | CSM: John Davis | Engagement Score: 90/100 | Days since last contact: 3 "&amp;"| Emails 30d/90d: 18/150 | Meetings past/future/30d: 14/50/4 | Last meeting: 2026-02-16 | Next meeting: 2026-02-23 | Open tasks: 0 | Recaps: 2 | Action items: 10
--- RECENT EMAILS (newest first) ---
2026-02-03 (OUT): Re: Sync Meeting — Sure thing, Steve."&amp;"
 Next week is our quarterly summit so I don't have a ton of slots available,
 so I will include the this week and the next two we
2026-02-03 (IN): RE: Sync Meeting — Hi John,
 Good meeting today.
 Can we have similar call with PGIM team?  Can you s"&amp;"end availability for this week and next week?  If you can includ
2026-01-30 (OUT): Re: ObservePoint &amp; Prudential Sync — Hey Steve, are you able to make our meeting right now?
 *Regards, *
 John Davis *   |    * *Customer Success Manager*
 Cell: 801."&amp;"633.6013
 john.
--- OPEN/RECENT GITHUB TASKS ---
--- RECENT MEETING RECAPS ---
2026-02-03: Review ObservePoint Audit of Pru.com
The meeting focused on establishing a formal process for ObservePoint website audits at Prudential. The team discussed creat"&amp;"ing a tiered scanning approach (tier 1: high-traffic pages scanned biweekly, tier 2: monthly, tier 3: quarterly) within their 70,000 annual page scan limit, with the goal of identifying approximately 40 tier-1 pages representing 1% or more of site traffic"&amp;". Lauren committed to working with the content team over the next few weeks to audit and categorize pages across all Prud
---
2026-01-30: ObservePoint &amp; Prudential Sync
John Davis and Steve Choi discussed formalizing ObservePoint's audit process for Prude"&amp;"ntial's websites using a three-tier system aligned with their biweekly release cadence. They planned an upcoming Tuesday meeting where John will demonstrate audit capabilities and gather specific use cases and questions from the team to configure appropri"&amp;"ate monitoring rules and alerts. Steve needs to collect tier-specific URLs from both the .com and PGIM teams, with their annual contract allowing approximately
Based on all of the above, describe the engagement level, call out any concerns (e.g. no recen"&amp;"t contact, low score, no future meetings booked, overdue action items), and suggest one specific next step."")")</f>
        <v>=AI("You are a customer success manager reviewing account health. Write a 3-4 sentence engagement summary for: Prudential Financial Inc.
Renewal: 2026-12-31 | Stage: Identified () | CSM: John Davis | Engagement Score: 90/100 | Days since last contact: 3 | Emails 30d/90d: 18/150 | Meetings past/future/30d: 14/50/4 | Last meeting: 2026-02-16 | Next meeting: 2026-02-23 | Open tasks: 0 | Recaps: 2 | Action items: 10
--- RECENT EMAILS (newest first) ---
2026-02-03 (OUT): Re: Sync Meeting — Sure thing, Steve.
 Next week is our quarterly summit so I don't have a ton of slots available,
 so I will include the this week and the next two we
2026-02-03 (IN): RE: Sync Meeting — Hi John,
 Good meeting today.
 Can we have similar call with PGIM team?  Can you send availability for this week and next week?  If you can includ
2026-01-30 (OUT): Re: ObservePoint &amp; Prudential Sync — Hey Steve, are you able to make our meeting right now?
 *Regards, *
 John Davis *   |    * *Customer Success Manager*
 Cell: 801.633.6013
 john.
--- OPEN/RECENT GITHUB TASKS ---
--- RECENT MEETING RECAPS ---
2026-02-03: Review ObservePoint Audit of Pru.com
The meeting focused on establishing a formal process for ObservePoint website audits at Prudential. The team discussed creating a tiered scanning approach (tier 1: high-traffic pages scanned biweekly, tier 2: monthly, tier 3: quarterly) within their 70,000 annual page scan limit, with the goal of identifying approximately 40 tier-1 pages representing 1% or more of site traffic. Lauren committed to working with the content team over the next few weeks to audit and categorize pages across all Prud
---
2026-01-30: ObservePoint &amp; Prudential Sync
John Davis and Steve Choi discussed formalizing ObservePoint's audit process for Prudential's websites using a three-tier system aligned with their biweekly release cadence. They planned an upcoming Tuesday meeting where John will demonstrate audit capabilities and gather specific use cases and questions from the team to configure appropriate monitoring rules and alerts. Steve needs to collect tier-specific URLs from both the .com and PGIM teams, with their annual contract allowing approximately
Based on all of the above, describe the engagement level, call out any concerns (e.g. no recent contact, low score, no future meetings booked, overdue action items), and suggest one specific next step.")</v>
      </c>
      <c r="AT32" s="3" t="s">
        <v>521</v>
      </c>
      <c r="AU32" s="2"/>
      <c r="AV32" s="2"/>
      <c r="AW32" s="2"/>
    </row>
    <row r="33">
      <c r="A33" s="3" t="s">
        <v>143</v>
      </c>
      <c r="B33" s="3" t="s">
        <v>522</v>
      </c>
      <c r="C33" s="2"/>
      <c r="D33" s="4">
        <v>46387.0</v>
      </c>
      <c r="E33" s="8">
        <v>22200.0</v>
      </c>
      <c r="F33" s="8">
        <v>11100.0</v>
      </c>
      <c r="G33" s="3" t="s">
        <v>23</v>
      </c>
      <c r="H33" s="3" t="s">
        <v>48</v>
      </c>
      <c r="I33" s="8">
        <v>22200.0</v>
      </c>
      <c r="J33" s="19">
        <v>60.0</v>
      </c>
      <c r="K33" s="9">
        <v>0.308566666666666</v>
      </c>
      <c r="L33" s="9">
        <v>0.208444444444444</v>
      </c>
      <c r="M33" s="3" t="s">
        <v>46</v>
      </c>
      <c r="N33" s="3" t="s">
        <v>26</v>
      </c>
      <c r="O33" s="3" t="s">
        <v>27</v>
      </c>
      <c r="P33" s="3" t="s">
        <v>32</v>
      </c>
      <c r="Q33" s="23">
        <v>90.0</v>
      </c>
      <c r="R33" s="3">
        <v>2.0</v>
      </c>
      <c r="S33" s="3">
        <v>30.0</v>
      </c>
      <c r="T33" s="3">
        <v>11.0</v>
      </c>
      <c r="U33" s="3">
        <v>19.0</v>
      </c>
      <c r="V33" s="3">
        <v>11.0</v>
      </c>
      <c r="W33" s="19">
        <v>30.0</v>
      </c>
      <c r="X33" s="20">
        <v>46056.56421296296</v>
      </c>
      <c r="Y33" s="19">
        <v>19.0</v>
      </c>
      <c r="Z33" s="19">
        <v>27.0</v>
      </c>
      <c r="AA33" s="19">
        <v>3.0</v>
      </c>
      <c r="AB33" s="21">
        <v>61.0</v>
      </c>
      <c r="AC33" s="20">
        <v>46070.60416666667</v>
      </c>
      <c r="AD33" s="20">
        <v>46073.54166666667</v>
      </c>
      <c r="AE33" s="19">
        <v>2.0</v>
      </c>
      <c r="AF33" s="19">
        <v>0.0</v>
      </c>
      <c r="AG33" s="19">
        <v>2.0</v>
      </c>
      <c r="AH33" s="19">
        <v>2.0</v>
      </c>
      <c r="AI33" s="19">
        <v>3.0</v>
      </c>
      <c r="AJ33" s="3" t="s">
        <v>523</v>
      </c>
      <c r="AK33" s="2"/>
      <c r="AL33" s="3" t="s">
        <v>524</v>
      </c>
      <c r="AM33" s="3" t="s">
        <v>525</v>
      </c>
      <c r="AN33" s="3" t="s">
        <v>526</v>
      </c>
      <c r="AO33" s="3" t="s">
        <v>527</v>
      </c>
      <c r="AP33" s="3" t="s">
        <v>528</v>
      </c>
      <c r="AQ33" s="3" t="s">
        <v>529</v>
      </c>
      <c r="AR33" s="3" t="s">
        <v>530</v>
      </c>
      <c r="AS33" s="2" t="str">
        <f>IFERROR(__xludf.DUMMYFUNCTION("AI(""You are a customer success manager reviewing account health. Write a 3-4 sentence engagement summary for: CDW
Renewal: 2026-12-31 | Stage: Identified () | CSM: John Davis | Engagement Score: 90/100 | Days since last contact: 2 | Emails 30d/90d: 11/30"&amp;" | Meetings past/future/30d: 19/27/3 | Last meeting: 2026-02-17 | Next meeting: 2026-02-20 | Open tasks: 0 | Recaps: 2 | Action items: 3
--- RECENT EMAILS (newest first) ---
2026-02-03 (OUT): (no subject) — *Regards, *
 John Davis *   |    * *Customer "&amp;"Success Manager*
 Cell: 801.633.6013
 john.davis@observepoint.com
 www.observepoint.com 
 &lt;https://gr
2026-02-02 (OUT): Out of office Re: Accepted: ObservePoint | CDW Sync — I am out of the office Monday February 2nd, please reach out to
 support@observ"&amp;"epoint.com if
 you have something urgent, otherwise I will get back to 
2026-01-29 (IN): FW: New Invoice #INV8103997 from ObservePoint — Bharat Sarma Gandikota
 Please find PO 17564 with the additional $200 to pay the attached invoice from ObservePoint "&amp;"for $22,200,00.
 Thank you,
--- OPEN/RECENT GITHUB TASKS ---
--- RECENT MEETING RECAPS ---
2026-02-17: ObservePoint | CDW Sync
John and Tatyana discussed the status of CDW's journey monitoring in ObservePoint, reviewing action failures (yellow ind"&amp;"icators) and rules failures (red indicators) across their order and quote journeys. John explained that his team would fix the action failures and enabled the """"monitored journey"""" feature on their six most critical journeys, which automatically notif"&amp;"ies support when issues occur, while Tatyana agreed to follow up on rules failures with her analytics team. They also discussed exp
---
2026-02-03: ObservePoint | CDW Sync
The meeting focused on coordinating accessibility feature demonstrations for Observ"&amp;"ePoint's platform. While John Davis acknowledged that accessibility auditing is available in their tool but not their primary specialty, the team agreed to schedule a walkthrough for Chelsey's center of excellence team. Now that SSO access issues have bee"&amp;"n resolved, PFrei and Chelsey will coordinate with John to arrange a demonstration of the accessibility audit features for their team members.
Based on all of the above, describe the engagement level, call out any concerns (e.g. no recent contact, low sc"&amp;"ore, no future meetings booked, overdue action items), and suggest one specific next step."")"),"=AI(""You are a customer success manager reviewing account health. Write a 3-4 sentence engagement summary for: CDW
Renewal: 2026-12-31 | Stage: Identified () | CSM: John Davis | Engagement Score: 90/100 | Days since last contact: 2 | Emails 30d/90d: 11/3"&amp;"0 | Meetings past/future/30d: 19/27/3 | Last meeting: 2026-02-17 | Next meeting: 2026-02-20 | Open tasks: 0 | Recaps: 2 | Action items: 3
--- RECENT EMAILS (newest first) ---
2026-02-03 (OUT): (no subject) — *Regards, *
 John Davis *   |    * *Customer"&amp;" Success Manager*
 Cell: 801.633.6013
 john.davis@observepoint.com
 www.observepoint.com 
 &lt;https://gr
2026-02-02 (OUT): Out of office Re: Accepted: ObservePoint | CDW Sync — I am out of the office Monday February 2nd, please reach out to
 support@obser"&amp;"vepoint.com if
 you have something urgent, otherwise I will get back to 
2026-01-29 (IN): FW: New Invoice #INV8103997 from ObservePoint — Bharat Sarma Gandikota
 Please find PO 17564 with the additional $200 to pay the attached invoice from ObservePoint"&amp;" for $22,200,00.
 Thank you,
--- OPEN/RECENT GITHUB TASKS ---
--- RECENT MEETING RECAPS ---
2026-02-17: ObservePoint | CDW Sync
John and Tatyana discussed the status of CDW's journey monitoring in ObservePoint, reviewing action failures (yellow in"&amp;"dicators) and rules failures (red indicators) across their order and quote journeys. John explained that his team would fix the action failures and enabled the """"monitored journey"""" feature on their six most critical journeys, which automatically noti"&amp;"fies support when issues occur, while Tatyana agreed to follow up on rules failures with her analytics team. They also discussed exp
---
2026-02-03: ObservePoint | CDW Sync
The meeting focused on coordinating accessibility feature demonstrations for Obser"&amp;"vePoint's platform. While John Davis acknowledged that accessibility auditing is available in their tool but not their primary specialty, the team agreed to schedule a walkthrough for Chelsey's center of excellence team. Now that SSO access issues have be"&amp;"en resolved, PFrei and Chelsey will coordinate with John to arrange a demonstration of the accessibility audit features for their team members.
Based on all of the above, describe the engagement level, call out any concerns (e.g. no recent contact, low s"&amp;"core, no future meetings booked, overdue action items), and suggest one specific next step."")")</f>
        <v>=AI("You are a customer success manager reviewing account health. Write a 3-4 sentence engagement summary for: CDW
Renewal: 2026-12-31 | Stage: Identified () | CSM: John Davis | Engagement Score: 90/100 | Days since last contact: 2 | Emails 30d/90d: 11/30 | Meetings past/future/30d: 19/27/3 | Last meeting: 2026-02-17 | Next meeting: 2026-02-20 | Open tasks: 0 | Recaps: 2 | Action items: 3
--- RECENT EMAILS (newest first) ---
2026-02-03 (OUT): (no subject) — *Regards, *
 John Davis *   |    * *Customer Success Manager*
 Cell: 801.633.6013
 john.davis@observepoint.com
 www.observepoint.com 
 &lt;https://gr
2026-02-02 (OUT): Out of office Re: Accepted: ObservePoint | CDW Sync — I am out of the office Monday February 2nd, please reach out to
 support@observepoint.com if
 you have something urgent, otherwise I will get back to 
2026-01-29 (IN): FW: New Invoice #INV8103997 from ObservePoint — Bharat Sarma Gandikota
 Please find PO 17564 with the additional $200 to pay the attached invoice from ObservePoint for $22,200,00.
 Thank you,
--- OPEN/RECENT GITHUB TASKS ---
--- RECENT MEETING RECAPS ---
2026-02-17: ObservePoint | CDW Sync
John and Tatyana discussed the status of CDW's journey monitoring in ObservePoint, reviewing action failures (yellow indicators) and rules failures (red indicators) across their order and quote journeys. John explained that his team would fix the action failures and enabled the ""monitored journey"" feature on their six most critical journeys, which automatically notifies support when issues occur, while Tatyana agreed to follow up on rules failures with her analytics team. They also discussed exp
---
2026-02-03: ObservePoint | CDW Sync
The meeting focused on coordinating accessibility feature demonstrations for ObservePoint's platform. While John Davis acknowledged that accessibility auditing is available in their tool but not their primary specialty, the team agreed to schedule a walkthrough for Chelsey's center of excellence team. Now that SSO access issues have been resolved, PFrei and Chelsey will coordinate with John to arrange a demonstration of the accessibility audit features for their team members.
Based on all of the above, describe the engagement level, call out any concerns (e.g. no recent contact, low score, no future meetings booked, overdue action items), and suggest one specific next step.")</v>
      </c>
      <c r="AT33" s="3" t="s">
        <v>531</v>
      </c>
      <c r="AU33" s="2"/>
      <c r="AV33" s="2"/>
      <c r="AW33" s="2"/>
    </row>
    <row r="34">
      <c r="A34" s="3" t="s">
        <v>532</v>
      </c>
      <c r="B34" s="3" t="s">
        <v>533</v>
      </c>
      <c r="C34" s="2"/>
      <c r="D34" s="4">
        <v>46418.0</v>
      </c>
      <c r="E34" s="8">
        <v>30500.0</v>
      </c>
      <c r="F34" s="8">
        <v>15250.0</v>
      </c>
      <c r="G34" s="3" t="s">
        <v>23</v>
      </c>
      <c r="H34" s="3" t="s">
        <v>48</v>
      </c>
      <c r="I34" s="8">
        <v>30500.0</v>
      </c>
      <c r="J34" s="19">
        <v>12.0</v>
      </c>
      <c r="K34" s="9">
        <v>0.912213333333333</v>
      </c>
      <c r="L34" s="9">
        <v>0.352666666666666</v>
      </c>
      <c r="M34" s="3" t="s">
        <v>46</v>
      </c>
      <c r="N34" s="3" t="s">
        <v>26</v>
      </c>
      <c r="O34" s="3" t="s">
        <v>38</v>
      </c>
      <c r="P34" s="3" t="s">
        <v>28</v>
      </c>
      <c r="Q34" s="24">
        <v>27.0</v>
      </c>
      <c r="R34" s="3">
        <v>44.0</v>
      </c>
      <c r="S34" s="3">
        <v>5.0</v>
      </c>
      <c r="T34" s="3">
        <v>4.0</v>
      </c>
      <c r="U34" s="3">
        <v>1.0</v>
      </c>
      <c r="V34" s="3">
        <v>0.0</v>
      </c>
      <c r="W34" s="19">
        <v>5.0</v>
      </c>
      <c r="X34" s="20">
        <v>46028.51039351852</v>
      </c>
      <c r="Y34" s="19">
        <v>0.0</v>
      </c>
      <c r="Z34" s="19">
        <v>0.0</v>
      </c>
      <c r="AA34" s="19">
        <v>0.0</v>
      </c>
      <c r="AB34" s="21">
        <v>0.0</v>
      </c>
      <c r="AC34" s="22"/>
      <c r="AD34" s="22"/>
      <c r="AE34" s="19">
        <v>1.0</v>
      </c>
      <c r="AF34" s="19">
        <v>0.0</v>
      </c>
      <c r="AG34" s="19">
        <v>1.0</v>
      </c>
      <c r="AH34" s="19">
        <v>0.0</v>
      </c>
      <c r="AI34" s="19">
        <v>0.0</v>
      </c>
      <c r="AJ34" s="3" t="s">
        <v>534</v>
      </c>
      <c r="AK34" s="2"/>
      <c r="AL34" s="2"/>
      <c r="AM34" s="3" t="s">
        <v>535</v>
      </c>
      <c r="AN34" s="3" t="s">
        <v>536</v>
      </c>
      <c r="AO34" s="3" t="s">
        <v>248</v>
      </c>
      <c r="AP34" s="3" t="s">
        <v>248</v>
      </c>
      <c r="AQ34" s="3" t="s">
        <v>248</v>
      </c>
      <c r="AR34" s="2"/>
      <c r="AS34" s="2" t="str">
        <f>IFERROR(__xludf.DUMMYFUNCTION("AI(""You are a customer success manager reviewing account health. Write a 3-4 sentence engagement summary for: Crowdstrike
Renewal: 2027-01-31 | Stage: Identified () | CSM: John Davis | Engagement Score: 27/100 | Days since last contact: 44 | Emails 30d/9"&amp;"0d: 0/5 | Meetings past/future/30d: 0/0/0 | Last meeting:  | Next meeting:  | Open tasks: 0 | Recaps: 0 | Action items: 0
--- RECENT EMAILS (newest first) ---
2026-01-06 (OUT): Re: [External] Re: New CSM Introduction — Hey Zack,
 Here are some updated "&amp;"slots to meet next week, now that we are past the
 holidays. Feel free to grab one that works for you:
 Meeting l
2025-12-09 (OUT): Re: [External] Re: New CSM Introduction — Hey Zack,
 Here is an updated list of times that should work for myself and M"&amp;"acey over
 the next week or so. Feel free to grab one that works for yo
2025-12-02 (IN): Re: [External] Re: New CSM Introduction — Hey Macey, and hello John, nice to meet you.
 Let me see if I can find some time for us after AWS re:invent this week, wil"&amp;"l circle back once able. T
--- OPEN/RECENT GITHUB TASKS ---
--- RECENT MEETING RECAPS ---
Based on all of the above, describe the engagement level, call out any concerns (e.g. no recent contact, low score, no future meetings booked, overdue action it"&amp;"ems), and suggest one specific next step."")"),"=AI(""You are a customer success manager reviewing account health. Write a 3-4 sentence engagement summary for: Crowdstrike
Renewal: 2027-01-31 | Stage: Identified () | CSM: John Davis | Engagement Score: 27/100 | Days since last contact: 44 | Emails 30d/"&amp;"90d: 0/5 | Meetings past/future/30d: 0/0/0 | Last meeting:  | Next meeting:  | Open tasks: 0 | Recaps: 0 | Action items: 0
--- RECENT EMAILS (newest first) ---
2026-01-06 (OUT): Re: [External] Re: New CSM Introduction — Hey Zack,
 Here are some updated"&amp;" slots to meet next week, now that we are past the
 holidays. Feel free to grab one that works for you:
 Meeting l
2025-12-09 (OUT): Re: [External] Re: New CSM Introduction — Hey Zack,
 Here is an updated list of times that should work for myself and "&amp;"Macey over
 the next week or so. Feel free to grab one that works for yo
2025-12-02 (IN): Re: [External] Re: New CSM Introduction — Hey Macey, and hello John, nice to meet you.
 Let me see if I can find some time for us after AWS re:invent this week, wi"&amp;"ll circle back once able. T
--- OPEN/RECENT GITHUB TASKS ---
--- RECENT MEETING RECAPS ---
Based on all of the above, describe the engagement level, call out any concerns (e.g. no recent contact, low score, no future meetings booked, overdue action i"&amp;"tems), and suggest one specific next step."")")</f>
        <v>=AI("You are a customer success manager reviewing account health. Write a 3-4 sentence engagement summary for: Crowdstrike
Renewal: 2027-01-31 | Stage: Identified () | CSM: John Davis | Engagement Score: 27/100 | Days since last contact: 44 | Emails 30d/90d: 0/5 | Meetings past/future/30d: 0/0/0 | Last meeting:  | Next meeting:  | Open tasks: 0 | Recaps: 0 | Action items: 0
--- RECENT EMAILS (newest first) ---
2026-01-06 (OUT): Re: [External] Re: New CSM Introduction — Hey Zack,
 Here are some updated slots to meet next week, now that we are past the
 holidays. Feel free to grab one that works for you:
 Meeting l
2025-12-09 (OUT): Re: [External] Re: New CSM Introduction — Hey Zack,
 Here is an updated list of times that should work for myself and Macey over
 the next week or so. Feel free to grab one that works for yo
2025-12-02 (IN): Re: [External] Re: New CSM Introduction — Hey Macey, and hello John, nice to meet you.
 Let me see if I can find some time for us after AWS re:invent this week, will circle back once able. T
--- OPEN/RECENT GITHUB TASKS ---
--- RECENT MEETING RECAPS ---
Based on all of the above, describe the engagement level, call out any concerns (e.g. no recent contact, low score, no future meetings booked, overdue action items), and suggest one specific next step.")</v>
      </c>
      <c r="AT34" s="3" t="s">
        <v>537</v>
      </c>
      <c r="AU34" s="2"/>
      <c r="AV34" s="2"/>
      <c r="AW34" s="2"/>
    </row>
    <row r="35">
      <c r="A35" s="3" t="s">
        <v>173</v>
      </c>
      <c r="B35" s="3" t="s">
        <v>538</v>
      </c>
      <c r="C35" s="3" t="b">
        <v>1</v>
      </c>
      <c r="D35" s="4">
        <v>46418.0</v>
      </c>
      <c r="E35" s="8">
        <v>30000.0</v>
      </c>
      <c r="F35" s="11"/>
      <c r="G35" s="3" t="s">
        <v>23</v>
      </c>
      <c r="H35" s="3" t="s">
        <v>48</v>
      </c>
      <c r="I35" s="8">
        <v>30000.0</v>
      </c>
      <c r="J35" s="19">
        <v>20.0</v>
      </c>
      <c r="K35" s="9">
        <v>0.386666666666666</v>
      </c>
      <c r="L35" s="9">
        <v>0.318</v>
      </c>
      <c r="M35" s="3" t="s">
        <v>46</v>
      </c>
      <c r="N35" s="3" t="s">
        <v>26</v>
      </c>
      <c r="O35" s="3" t="s">
        <v>27</v>
      </c>
      <c r="P35" s="3" t="s">
        <v>37</v>
      </c>
      <c r="Q35" s="24">
        <v>21.0</v>
      </c>
      <c r="R35" s="3">
        <v>49.0</v>
      </c>
      <c r="S35" s="3">
        <v>1.0</v>
      </c>
      <c r="T35" s="3">
        <v>1.0</v>
      </c>
      <c r="U35" s="3">
        <v>0.0</v>
      </c>
      <c r="V35" s="3">
        <v>0.0</v>
      </c>
      <c r="W35" s="19">
        <v>1.0</v>
      </c>
      <c r="X35" s="20">
        <v>46023.385462962964</v>
      </c>
      <c r="Y35" s="19">
        <v>0.0</v>
      </c>
      <c r="Z35" s="19">
        <v>0.0</v>
      </c>
      <c r="AA35" s="19">
        <v>0.0</v>
      </c>
      <c r="AB35" s="21">
        <v>0.0</v>
      </c>
      <c r="AC35" s="22"/>
      <c r="AD35" s="22"/>
      <c r="AE35" s="19">
        <v>1.0</v>
      </c>
      <c r="AF35" s="19">
        <v>0.0</v>
      </c>
      <c r="AG35" s="19">
        <v>1.0</v>
      </c>
      <c r="AH35" s="19">
        <v>0.0</v>
      </c>
      <c r="AI35" s="19">
        <v>0.0</v>
      </c>
      <c r="AJ35" s="3" t="s">
        <v>539</v>
      </c>
      <c r="AK35" s="2"/>
      <c r="AL35" s="2"/>
      <c r="AM35" s="3" t="s">
        <v>540</v>
      </c>
      <c r="AN35" s="3" t="s">
        <v>541</v>
      </c>
      <c r="AO35" s="3" t="s">
        <v>248</v>
      </c>
      <c r="AP35" s="3" t="s">
        <v>248</v>
      </c>
      <c r="AQ35" s="3" t="s">
        <v>248</v>
      </c>
      <c r="AR35" s="3" t="s">
        <v>542</v>
      </c>
      <c r="AS35" s="2" t="str">
        <f>IFERROR(__xludf.DUMMYFUNCTION("AI(""You are a customer success manager reviewing account health. Write a 3-4 sentence engagement summary for: Biogen
Renewal: 2027-01-31 | Stage: Identified () | CSM: John Davis | Engagement Score: 21/100 | Days since last contact: 49 | Emails 30d/90d: 0"&amp;"/1 | Meetings past/future/30d: 0/0/0 | Last meeting:  | Next meeting:  | Open tasks: 0 | Recaps: 0 | Action items: 0
--- RECENT EMAILS (newest first) ---
2026-01-01 (OUT): Upcoming ObservePoint Renewal on January 31, 2026 - Biogen — [image: ObservePoint "&amp;"Logo_Gray_ON_YEllow_LOGO.jpeg]  A friendly reminder that it's time to renew.   Hi Paul,   The last day of your current term is *J
--- OPEN/RECENT GITHUB TASKS ---
--- RECENT MEETING RECAPS ---
Based on all of the above, describe the engagement level,"&amp;" call out any concerns (e.g. no recent contact, low score, no future meetings booked, overdue action items), and suggest one specific next step."")"),"=AI(""You are a customer success manager reviewing account health. Write a 3-4 sentence engagement summary for: Biogen
Renewal: 2027-01-31 | Stage: Identified () | CSM: John Davis | Engagement Score: 21/100 | Days since last contact: 49 | Emails 30d/90d: "&amp;"0/1 | Meetings past/future/30d: 0/0/0 | Last meeting:  | Next meeting:  | Open tasks: 0 | Recaps: 0 | Action items: 0
--- RECENT EMAILS (newest first) ---
2026-01-01 (OUT): Upcoming ObservePoint Renewal on January 31, 2026 - Biogen — [image: ObservePoint"&amp;" Logo_Gray_ON_YEllow_LOGO.jpeg]  A friendly reminder that it's time to renew.   Hi Paul,   The last day of your current term is *J
--- OPEN/RECENT GITHUB TASKS ---
--- RECENT MEETING RECAPS ---
Based on all of the above, describe the engagement level"&amp;", call out any concerns (e.g. no recent contact, low score, no future meetings booked, overdue action items), and suggest one specific next step."")")</f>
        <v>=AI("You are a customer success manager reviewing account health. Write a 3-4 sentence engagement summary for: Biogen
Renewal: 2027-01-31 | Stage: Identified () | CSM: John Davis | Engagement Score: 21/100 | Days since last contact: 49 | Emails 30d/90d: 0/1 | Meetings past/future/30d: 0/0/0 | Last meeting:  | Next meeting:  | Open tasks: 0 | Recaps: 0 | Action items: 0
--- RECENT EMAILS (newest first) ---
2026-01-01 (OUT): Upcoming ObservePoint Renewal on January 31, 2026 - Biogen — [image: ObservePoint Logo_Gray_ON_YEllow_LOGO.jpeg]  A friendly reminder that it's time to renew.   Hi Paul,   The last day of your current term is *J
--- OPEN/RECENT GITHUB TASKS ---
--- RECENT MEETING RECAPS ---
Based on all of the above, describe the engagement level, call out any concerns (e.g. no recent contact, low score, no future meetings booked, overdue action items), and suggest one specific next step.")</v>
      </c>
      <c r="AT35" s="3" t="s">
        <v>543</v>
      </c>
      <c r="AU35" s="2"/>
      <c r="AV35" s="2"/>
      <c r="AW35" s="2"/>
    </row>
    <row r="36">
      <c r="A36" s="3" t="s">
        <v>544</v>
      </c>
      <c r="B36" s="3" t="s">
        <v>545</v>
      </c>
      <c r="C36" s="2"/>
      <c r="D36" s="4">
        <v>46418.0</v>
      </c>
      <c r="E36" s="8">
        <v>20000.0</v>
      </c>
      <c r="F36" s="8">
        <v>20000.0</v>
      </c>
      <c r="G36" s="3" t="s">
        <v>23</v>
      </c>
      <c r="H36" s="3" t="s">
        <v>48</v>
      </c>
      <c r="I36" s="8">
        <v>20000.0</v>
      </c>
      <c r="J36" s="19">
        <v>20.0</v>
      </c>
      <c r="K36" s="9">
        <v>0.406908333333333</v>
      </c>
      <c r="L36" s="9">
        <v>0.329523809523809</v>
      </c>
      <c r="M36" s="3" t="s">
        <v>25</v>
      </c>
      <c r="N36" s="3" t="s">
        <v>26</v>
      </c>
      <c r="O36" s="3" t="s">
        <v>27</v>
      </c>
      <c r="P36" s="3" t="s">
        <v>37</v>
      </c>
      <c r="Q36" s="18">
        <v>57.0</v>
      </c>
      <c r="R36" s="3">
        <v>23.0</v>
      </c>
      <c r="S36" s="3">
        <v>6.0</v>
      </c>
      <c r="T36" s="3">
        <v>5.0</v>
      </c>
      <c r="U36" s="3">
        <v>1.0</v>
      </c>
      <c r="V36" s="3">
        <v>2.0</v>
      </c>
      <c r="W36" s="19">
        <v>6.0</v>
      </c>
      <c r="X36" s="20">
        <v>46049.591574074075</v>
      </c>
      <c r="Y36" s="19">
        <v>1.0</v>
      </c>
      <c r="Z36" s="19">
        <v>13.0</v>
      </c>
      <c r="AA36" s="19">
        <v>1.0</v>
      </c>
      <c r="AB36" s="21">
        <v>25.0</v>
      </c>
      <c r="AC36" s="20">
        <v>46044.35416666667</v>
      </c>
      <c r="AD36" s="20">
        <v>46079.35416666667</v>
      </c>
      <c r="AE36" s="19">
        <v>2.0</v>
      </c>
      <c r="AF36" s="19">
        <v>0.0</v>
      </c>
      <c r="AG36" s="19">
        <v>2.0</v>
      </c>
      <c r="AH36" s="19">
        <v>0.0</v>
      </c>
      <c r="AI36" s="19">
        <v>0.0</v>
      </c>
      <c r="AJ36" s="3" t="s">
        <v>546</v>
      </c>
      <c r="AK36" s="2"/>
      <c r="AL36" s="2"/>
      <c r="AM36" s="3" t="s">
        <v>547</v>
      </c>
      <c r="AN36" s="3" t="s">
        <v>548</v>
      </c>
      <c r="AO36" s="3" t="s">
        <v>549</v>
      </c>
      <c r="AP36" s="3" t="s">
        <v>248</v>
      </c>
      <c r="AQ36" s="3" t="s">
        <v>248</v>
      </c>
      <c r="AR36" s="3" t="s">
        <v>550</v>
      </c>
      <c r="AS36" s="2" t="str">
        <f>IFERROR(__xludf.DUMMYFUNCTION("AI(""You are a customer success manager reviewing account health. Write a 3-4 sentence engagement summary for: Massachusetts Medical Society
Renewal: 2027-01-31 | Stage: Identified () | CSM: John Davis | Engagement Score: 57/100 | Days since last contact:"&amp;" 23 | Emails 30d/90d: 2/6 | Meetings past/future/30d: 1/13/1 | Last meeting: 2026-01-22 | Next meeting: 2026-02-26 | Open tasks: 0 | Recaps: 0 | Action items: 0
--- RECENT EMAILS (newest first) ---
2026-01-27 (OUT): Re: Custom Audit Scheduler Code Exampl"&amp;"e — Hey Mayank,
 As another followup on this, I just heard about a new feature that we just
 released that might help with this use case.
 We now can 
2026-01-22 (OUT): Custom Audit Scheduler Code Example — Hey Mayank,
 Here is an example to do a cu"&amp;"stom schedule for running audits using a
 windows task scheduler on a local machine. Let me know what you 
2026-01-01 (OUT): Upcoming ObservePoint Renewal on January 31, 2026 - Massachusetts Medical Societ — [image: ObservePoint Logo_Gray_ON_YEllow_LOGO.j"&amp;"peg]  A friendly reminder that it's time to renew.   Hi Caryn-Amy,   The last day of your current term 
--- OPEN/RECENT GITHUB TASKS ---
--- RECENT MEETING RECAPS ---
Based on all of the above, describe the engagement level, call out any concerns (e."&amp;"g. no recent contact, low score, no future meetings booked, overdue action items), and suggest one specific next step."")"),"=AI(""You are a customer success manager reviewing account health. Write a 3-4 sentence engagement summary for: Massachusetts Medical Society
Renewal: 2027-01-31 | Stage: Identified () | CSM: John Davis | Engagement Score: 57/100 | Days since last contact"&amp;": 23 | Emails 30d/90d: 2/6 | Meetings past/future/30d: 1/13/1 | Last meeting: 2026-01-22 | Next meeting: 2026-02-26 | Open tasks: 0 | Recaps: 0 | Action items: 0
--- RECENT EMAILS (newest first) ---
2026-01-27 (OUT): Re: Custom Audit Scheduler Code Examp"&amp;"le — Hey Mayank,
 As another followup on this, I just heard about a new feature that we just
 released that might help with this use case.
 We now can 
2026-01-22 (OUT): Custom Audit Scheduler Code Example — Hey Mayank,
 Here is an example to do a c"&amp;"ustom schedule for running audits using a
 windows task scheduler on a local machine. Let me know what you 
2026-01-01 (OUT): Upcoming ObservePoint Renewal on January 31, 2026 - Massachusetts Medical Societ — [image: ObservePoint Logo_Gray_ON_YEllow_LOGO."&amp;"jpeg]  A friendly reminder that it's time to renew.   Hi Caryn-Amy,   The last day of your current term 
--- OPEN/RECENT GITHUB TASKS ---
--- RECENT MEETING RECAPS ---
Based on all of the above, describe the engagement level, call out any concerns (e"&amp;".g. no recent contact, low score, no future meetings booked, overdue action items), and suggest one specific next step."")")</f>
        <v>=AI("You are a customer success manager reviewing account health. Write a 3-4 sentence engagement summary for: Massachusetts Medical Society
Renewal: 2027-01-31 | Stage: Identified () | CSM: John Davis | Engagement Score: 57/100 | Days since last contact: 23 | Emails 30d/90d: 2/6 | Meetings past/future/30d: 1/13/1 | Last meeting: 2026-01-22 | Next meeting: 2026-02-26 | Open tasks: 0 | Recaps: 0 | Action items: 0
--- RECENT EMAILS (newest first) ---
2026-01-27 (OUT): Re: Custom Audit Scheduler Code Example — Hey Mayank,
 As another followup on this, I just heard about a new feature that we just
 released that might help with this use case.
 We now can 
2026-01-22 (OUT): Custom Audit Scheduler Code Example — Hey Mayank,
 Here is an example to do a custom schedule for running audits using a
 windows task scheduler on a local machine. Let me know what you 
2026-01-01 (OUT): Upcoming ObservePoint Renewal on January 31, 2026 - Massachusetts Medical Societ — [image: ObservePoint Logo_Gray_ON_YEllow_LOGO.jpeg]  A friendly reminder that it's time to renew.   Hi Caryn-Amy,   The last day of your current term 
--- OPEN/RECENT GITHUB TASKS ---
--- RECENT MEETING RECAPS ---
Based on all of the above, describe the engagement level, call out any concerns (e.g. no recent contact, low score, no future meetings booked, overdue action items), and suggest one specific next step.")</v>
      </c>
      <c r="AT36" s="3" t="s">
        <v>551</v>
      </c>
      <c r="AU36" s="2"/>
      <c r="AV36" s="2"/>
      <c r="AW36" s="2"/>
    </row>
    <row r="37">
      <c r="A37" s="3" t="s">
        <v>552</v>
      </c>
      <c r="B37" s="3" t="s">
        <v>553</v>
      </c>
      <c r="C37" s="3" t="b">
        <v>1</v>
      </c>
      <c r="D37" s="4">
        <v>46429.0</v>
      </c>
      <c r="E37" s="8">
        <v>20930.0</v>
      </c>
      <c r="F37" s="8">
        <v>10465.0</v>
      </c>
      <c r="G37" s="3" t="s">
        <v>23</v>
      </c>
      <c r="H37" s="3" t="s">
        <v>48</v>
      </c>
      <c r="I37" s="8">
        <v>20930.0</v>
      </c>
      <c r="J37" s="19">
        <v>24.0</v>
      </c>
      <c r="K37" s="9">
        <v>0.85</v>
      </c>
      <c r="L37" s="9">
        <v>0.875166666666666</v>
      </c>
      <c r="M37" s="3" t="s">
        <v>51</v>
      </c>
      <c r="N37" s="3" t="s">
        <v>26</v>
      </c>
      <c r="O37" s="3" t="s">
        <v>38</v>
      </c>
      <c r="P37" s="3" t="s">
        <v>32</v>
      </c>
      <c r="Q37" s="18">
        <v>69.0</v>
      </c>
      <c r="R37" s="3">
        <v>22.0</v>
      </c>
      <c r="S37" s="3">
        <v>19.0</v>
      </c>
      <c r="T37" s="3">
        <v>13.0</v>
      </c>
      <c r="U37" s="3">
        <v>6.0</v>
      </c>
      <c r="V37" s="3">
        <v>4.0</v>
      </c>
      <c r="W37" s="19">
        <v>19.0</v>
      </c>
      <c r="X37" s="20">
        <v>46049.656909722224</v>
      </c>
      <c r="Y37" s="19">
        <v>1.0</v>
      </c>
      <c r="Z37" s="19">
        <v>13.0</v>
      </c>
      <c r="AA37" s="19">
        <v>1.0</v>
      </c>
      <c r="AB37" s="21">
        <v>75.0</v>
      </c>
      <c r="AC37" s="20">
        <v>46050.64583333333</v>
      </c>
      <c r="AD37" s="20">
        <v>46084.64583333333</v>
      </c>
      <c r="AE37" s="19">
        <v>1.0</v>
      </c>
      <c r="AF37" s="19">
        <v>1.0</v>
      </c>
      <c r="AG37" s="19">
        <v>0.0</v>
      </c>
      <c r="AH37" s="19">
        <v>1.0</v>
      </c>
      <c r="AI37" s="19">
        <v>0.0</v>
      </c>
      <c r="AJ37" s="3" t="s">
        <v>554</v>
      </c>
      <c r="AK37" s="3" t="s">
        <v>555</v>
      </c>
      <c r="AL37" s="3" t="s">
        <v>556</v>
      </c>
      <c r="AM37" s="3" t="s">
        <v>557</v>
      </c>
      <c r="AN37" s="3" t="s">
        <v>558</v>
      </c>
      <c r="AO37" s="3" t="s">
        <v>559</v>
      </c>
      <c r="AP37" s="3" t="s">
        <v>560</v>
      </c>
      <c r="AQ37" s="3" t="s">
        <v>248</v>
      </c>
      <c r="AR37" s="2"/>
      <c r="AS37" s="2" t="str">
        <f>IFERROR(__xludf.DUMMYFUNCTION("AI(""You are a customer success manager reviewing account health. Write a 3-4 sentence engagement summary for: Accent Group
Renewal: 2027-02-11 | Stage: Identified () | CSM: John Davis | Engagement Score: 69/100 | Days since last contact: 22 | Emails 30d/"&amp;"90d: 4/19 | Meetings past/future/30d: 1/13/1 | Last meeting: 2026-01-28 | Next meeting: 2026-03-03 | Open tasks: 1 | Recaps: 1 | Action items: 0
--- RECENT EMAILS (newest first) ---
2026-01-27 (IN): RE: Upcoming ObservePoint Renewal on February 11, 2026 "&amp;"- Accent Group — Nope - we’re all set.
 Speak soon 😊
 Stuart Heggie
 Head of Marketing Technology
 [cid:image001.jpg@01DC903A.AC363990]
 Tel: +61 3 9427 9422 
2026-01-27 (OUT): Re: Upcoming ObservePoint Renewal on February 11, 2026 - Accent Group"&amp;" — Wonderful.  Thank you.
 Is there anything you need from me?
 Todd
 On Tue, Jan 27, 2026 at 3:33 PM Stuart Heggie &lt;Stuart.Heggie@accentgr.com.au&gt;
2026-01-27 (IN): RE: Upcoming ObservePoint Renewal on February 11, 2026 - Accent Group — Hi Todd, con"&amp;"tract all signed.
 Thanks, Stu.
 Stuart Heggie
 Head of Marketing Technology
 [cid:image001.jpg@01DC9038.E9B035C0]
 Tel: +61 3 942
--- OPEN/RECENT GITHUB TASKS ---
[OPEN] Send intro email to Stuart and try to schedule first meeting (In progress)
"&amp;"
--- RECENT MEETING RECAPS ---
2026-01-28: ObservePoint | Accent Group - Sync
Todd and Macey met to discuss a call with Stu, who didn't attend and hasn't responded to John's rescheduling request. Todd is working to close a $130,000 deal with Bank of Ameri"&amp;"ca before month-end after an 18-month sales cycle, holding brief check-in calls three times per week to push the deal forward. If the deal closes this month, it would help the team hit their ACV goal and impact JD's quota number four position.
Based on a"&amp;"ll of the above, describe the engagement level, call out any concerns (e.g. no recent contact, low score, no future meetings booked, overdue action items), and suggest one specific next step."")"),"=AI(""You are a customer success manager reviewing account health. Write a 3-4 sentence engagement summary for: Accent Group
Renewal: 2027-02-11 | Stage: Identified () | CSM: John Davis | Engagement Score: 69/100 | Days since last contact: 22 | Emails 30d"&amp;"/90d: 4/19 | Meetings past/future/30d: 1/13/1 | Last meeting: 2026-01-28 | Next meeting: 2026-03-03 | Open tasks: 1 | Recaps: 1 | Action items: 0
--- RECENT EMAILS (newest first) ---
2026-01-27 (IN): RE: Upcoming ObservePoint Renewal on February 11, 2026"&amp;" - Accent Group — Nope - we’re all set.
 Speak soon 😊
 Stuart Heggie
 Head of Marketing Technology
 [cid:image001.jpg@01DC903A.AC363990]
 Tel: +61 3 9427 9422 
2026-01-27 (OUT): Re: Upcoming ObservePoint Renewal on February 11, 2026 - Accent Grou"&amp;"p — Wonderful.  Thank you.
 Is there anything you need from me?
 Todd
 On Tue, Jan 27, 2026 at 3:33 PM Stuart Heggie &lt;Stuart.Heggie@accentgr.com.au&gt;
2026-01-27 (IN): RE: Upcoming ObservePoint Renewal on February 11, 2026 - Accent Group — Hi Todd, co"&amp;"ntract all signed.
 Thanks, Stu.
 Stuart Heggie
 Head of Marketing Technology
 [cid:image001.jpg@01DC9038.E9B035C0]
 Tel: +61 3 942
--- OPEN/RECENT GITHUB TASKS ---
[OPEN] Send intro email to Stuart and try to schedule first meeting (In progress)"&amp;"
--- RECENT MEETING RECAPS ---
2026-01-28: ObservePoint | Accent Group - Sync
Todd and Macey met to discuss a call with Stu, who didn't attend and hasn't responded to John's rescheduling request. Todd is working to close a $130,000 deal with Bank of Amer"&amp;"ica before month-end after an 18-month sales cycle, holding brief check-in calls three times per week to push the deal forward. If the deal closes this month, it would help the team hit their ACV goal and impact JD's quota number four position.
Based on "&amp;"all of the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Accent Group
Renewal: 2027-02-11 | Stage: Identified () | CSM: John Davis | Engagement Score: 69/100 | Days since last contact: 22 | Emails 30d/90d: 4/19 | Meetings past/future/30d: 1/13/1 | Last meeting: 2026-01-28 | Next meeting: 2026-03-03 | Open tasks: 1 | Recaps: 1 | Action items: 0
--- RECENT EMAILS (newest first) ---
2026-01-27 (IN): RE: Upcoming ObservePoint Renewal on February 11, 2026 - Accent Group — Nope - we’re all set.
 Speak soon 😊
 Stuart Heggie
 Head of Marketing Technology
 [cid:image001.jpg@01DC903A.AC363990]
 Tel: +61 3 9427 9422 
2026-01-27 (OUT): Re: Upcoming ObservePoint Renewal on February 11, 2026 - Accent Group — Wonderful.  Thank you.
 Is there anything you need from me?
 Todd
 On Tue, Jan 27, 2026 at 3:33 PM Stuart Heggie &lt;Stuart.Heggie@accentgr.com.au&gt;
2026-01-27 (IN): RE: Upcoming ObservePoint Renewal on February 11, 2026 - Accent Group — Hi Todd, contract all signed.
 Thanks, Stu.
 Stuart Heggie
 Head of Marketing Technology
 [cid:image001.jpg@01DC9038.E9B035C0]
 Tel: +61 3 942
--- OPEN/RECENT GITHUB TASKS ---
[OPEN] Send intro email to Stuart and try to schedule first meeting (In progress)
--- RECENT MEETING RECAPS ---
2026-01-28: ObservePoint | Accent Group - Sync
Todd and Macey met to discuss a call with Stu, who didn't attend and hasn't responded to John's rescheduling request. Todd is working to close a $130,000 deal with Bank of America before month-end after an 18-month sales cycle, holding brief check-in calls three times per week to push the deal forward. If the deal closes this month, it would help the team hit their ACV goal and impact JD's quota number four position.
Based on all of the above, describe the engagement level, call out any concerns (e.g. no recent contact, low score, no future meetings booked, overdue action items), and suggest one specific next step.")</v>
      </c>
      <c r="AT37" s="3" t="s">
        <v>561</v>
      </c>
      <c r="AU37" s="2"/>
      <c r="AV37" s="2"/>
      <c r="AW37" s="2"/>
    </row>
    <row r="38">
      <c r="A38" s="3" t="s">
        <v>126</v>
      </c>
      <c r="B38" s="3" t="s">
        <v>562</v>
      </c>
      <c r="C38" s="2"/>
      <c r="D38" s="4">
        <v>46446.0</v>
      </c>
      <c r="E38" s="8">
        <v>23000.0</v>
      </c>
      <c r="F38" s="8">
        <v>11500.0</v>
      </c>
      <c r="G38" s="3" t="s">
        <v>23</v>
      </c>
      <c r="H38" s="3" t="s">
        <v>48</v>
      </c>
      <c r="I38" s="8">
        <v>23000.0</v>
      </c>
      <c r="J38" s="19">
        <v>36.0</v>
      </c>
      <c r="K38" s="9">
        <v>1.22093333333333</v>
      </c>
      <c r="L38" s="9">
        <v>0.184</v>
      </c>
      <c r="M38" s="3" t="s">
        <v>51</v>
      </c>
      <c r="N38" s="3" t="s">
        <v>26</v>
      </c>
      <c r="O38" s="3" t="s">
        <v>38</v>
      </c>
      <c r="P38" s="3" t="s">
        <v>32</v>
      </c>
      <c r="Q38" s="23">
        <v>90.0</v>
      </c>
      <c r="R38" s="3">
        <v>0.0</v>
      </c>
      <c r="S38" s="3">
        <v>28.0</v>
      </c>
      <c r="T38" s="3">
        <v>10.0</v>
      </c>
      <c r="U38" s="3">
        <v>18.0</v>
      </c>
      <c r="V38" s="3">
        <v>14.0</v>
      </c>
      <c r="W38" s="19">
        <v>28.0</v>
      </c>
      <c r="X38" s="20">
        <v>46055.31884259259</v>
      </c>
      <c r="Y38" s="19">
        <v>6.0</v>
      </c>
      <c r="Z38" s="19">
        <v>26.0</v>
      </c>
      <c r="AA38" s="19">
        <v>4.0</v>
      </c>
      <c r="AB38" s="21">
        <v>60.0</v>
      </c>
      <c r="AC38" s="20">
        <v>46072.47916666667</v>
      </c>
      <c r="AD38" s="20">
        <v>46086.47916666667</v>
      </c>
      <c r="AE38" s="19">
        <v>13.0</v>
      </c>
      <c r="AF38" s="19">
        <v>0.0</v>
      </c>
      <c r="AG38" s="19">
        <v>13.0</v>
      </c>
      <c r="AH38" s="19">
        <v>3.0</v>
      </c>
      <c r="AI38" s="19">
        <v>13.0</v>
      </c>
      <c r="AJ38" s="3" t="s">
        <v>563</v>
      </c>
      <c r="AK38" s="2"/>
      <c r="AL38" s="3" t="s">
        <v>564</v>
      </c>
      <c r="AM38" s="3" t="s">
        <v>565</v>
      </c>
      <c r="AN38" s="3" t="s">
        <v>566</v>
      </c>
      <c r="AO38" s="3" t="s">
        <v>567</v>
      </c>
      <c r="AP38" s="3" t="s">
        <v>568</v>
      </c>
      <c r="AQ38" s="3" t="s">
        <v>569</v>
      </c>
      <c r="AR38" s="3" t="s">
        <v>570</v>
      </c>
      <c r="AS38" s="2" t="str">
        <f>IFERROR(__xludf.DUMMYFUNCTION("AI(""You are a customer success manager reviewing account health. Write a 3-4 sentence engagement summary for: Lumen
Renewal: 2027-02-28 | Stage: Identified () | CSM: John Davis | Engagement Score: 90/100 | Days since last contact: 0 | Emails 30d/90d: 14/"&amp;"28 | Meetings past/future/30d: 6/26/4 | Last meeting: 2026-02-19 | Next meeting: 2026-03-05 | Open tasks: 0 | Recaps: 3 | Action items: 13
--- RECENT EMAILS (newest first) ---
2026-02-02 (OUT): Out of office Re: Accepted: ObservePoint | Lumen Sync — I am"&amp;" out of the office Monday February 2nd, please reach out to
 support@observepoint.com if
 you have something urgent, otherwise I will get back to 
2026-02-02 (OUT): Out of office Re: Following: Observepoint | Lumen - Sync — I am out of the office Monday F"&amp;"ebruary 2nd, please reach out to
 support@observepoint.com if
 you have something urgent, otherwise I will get back to 
2026-02-02 (IN): Following: Observepoint | Lumen - Sync — ----------------------------------------------------------------------
 This "&amp;"communication is the property of Lumen Technologies and may contain confi
--- OPEN/RECENT GITHUB TASKS ---
--- RECENT MEETING RECAPS ---
2026-02-19: Observepoint | Lumen - Sync
John and Arnold discussed upcoming automation projects to validate HTML att"&amp;"ributes and data layer elements on newly launched pages using ObservePoint's journey or audit features. Arnold plans to set up automated checks for approximately 10-25 key pages representing different page types, with John recommending he leverage Observe"&amp;"Point's journey support team for implementation assistance. John also shared product updates about new SEO and page content features launching in Q1 2026, along with plan
---
2026-02-05: Observepoint | Lumen - Sync
John Davis conducted a meeting with the "&amp;"Lumen team to discuss ObservePoint's capabilities and address their implementation needs. The conversation covered automated quality assurance through rules-based monitoring, with Mike Tanedo expressing interest in using ObservePoint to track missed app s"&amp;"ubmissions and conversion data discrepancies. John explained how ObservePoint can automate audits and journeys on customizable schedules, set quality standards with automated alerts, and integrate with too
Based on all of the above, describe the engageme"&amp;"nt level, call out any concerns (e.g. no recent contact, low score, no future meetings booked, overdue action items), and suggest one specific next step."")"),"=AI(""You are a customer success manager reviewing account health. Write a 3-4 sentence engagement summary for: Lumen
Renewal: 2027-02-28 | Stage: Identified () | CSM: John Davis | Engagement Score: 90/100 | Days since last contact: 0 | Emails 30d/90d: 14"&amp;"/28 | Meetings past/future/30d: 6/26/4 | Last meeting: 2026-02-19 | Next meeting: 2026-03-05 | Open tasks: 0 | Recaps: 3 | Action items: 13
--- RECENT EMAILS (newest first) ---
2026-02-02 (OUT): Out of office Re: Accepted: ObservePoint | Lumen Sync — I a"&amp;"m out of the office Monday February 2nd, please reach out to
 support@observepoint.com if
 you have something urgent, otherwise I will get back to 
2026-02-02 (OUT): Out of office Re: Following: Observepoint | Lumen - Sync — I am out of the office Monday "&amp;"February 2nd, please reach out to
 support@observepoint.com if
 you have something urgent, otherwise I will get back to 
2026-02-02 (IN): Following: Observepoint | Lumen - Sync — ----------------------------------------------------------------------
 This"&amp;" communication is the property of Lumen Technologies and may contain confi
--- OPEN/RECENT GITHUB TASKS ---
--- RECENT MEETING RECAPS ---
2026-02-19: Observepoint | Lumen - Sync
John and Arnold discussed upcoming automation projects to validate HTML at"&amp;"tributes and data layer elements on newly launched pages using ObservePoint's journey or audit features. Arnold plans to set up automated checks for approximately 10-25 key pages representing different page types, with John recommending he leverage Observ"&amp;"ePoint's journey support team for implementation assistance. John also shared product updates about new SEO and page content features launching in Q1 2026, along with plan
---
2026-02-05: Observepoint | Lumen - Sync
John Davis conducted a meeting with the"&amp;" Lumen team to discuss ObservePoint's capabilities and address their implementation needs. The conversation covered automated quality assurance through rules-based monitoring, with Mike Tanedo expressing interest in using ObservePoint to track missed app "&amp;"submissions and conversion data discrepancies. John explained how ObservePoint can automate audits and journeys on customizable schedules, set quality standards with automated alerts, and integrate with too
Based on all of the above, describe the engagem"&amp;"ent level, call out any concerns (e.g. no recent contact, low score, no future meetings booked, overdue action items), and suggest one specific next step."")")</f>
        <v>=AI("You are a customer success manager reviewing account health. Write a 3-4 sentence engagement summary for: Lumen
Renewal: 2027-02-28 | Stage: Identified () | CSM: John Davis | Engagement Score: 90/100 | Days since last contact: 0 | Emails 30d/90d: 14/28 | Meetings past/future/30d: 6/26/4 | Last meeting: 2026-02-19 | Next meeting: 2026-03-05 | Open tasks: 0 | Recaps: 3 | Action items: 13
--- RECENT EMAILS (newest first) ---
2026-02-02 (OUT): Out of office Re: Accepted: ObservePoint | Lumen Sync — I am out of the office Monday February 2nd, please reach out to
 support@observepoint.com if
 you have something urgent, otherwise I will get back to 
2026-02-02 (OUT): Out of office Re: Following: Observepoint | Lumen - Sync — I am out of the office Monday February 2nd, please reach out to
 support@observepoint.com if
 you have something urgent, otherwise I will get back to 
2026-02-02 (IN): Following: Observepoint | Lumen - Sync — ----------------------------------------------------------------------
 This communication is the property of Lumen Technologies and may contain confi
--- OPEN/RECENT GITHUB TASKS ---
--- RECENT MEETING RECAPS ---
2026-02-19: Observepoint | Lumen - Sync
John and Arnold discussed upcoming automation projects to validate HTML attributes and data layer elements on newly launched pages using ObservePoint's journey or audit features. Arnold plans to set up automated checks for approximately 10-25 key pages representing different page types, with John recommending he leverage ObservePoint's journey support team for implementation assistance. John also shared product updates about new SEO and page content features launching in Q1 2026, along with plan
---
2026-02-05: Observepoint | Lumen - Sync
John Davis conducted a meeting with the Lumen team to discuss ObservePoint's capabilities and address their implementation needs. The conversation covered automated quality assurance through rules-based monitoring, with Mike Tanedo expressing interest in using ObservePoint to track missed app submissions and conversion data discrepancies. John explained how ObservePoint can automate audits and journeys on customizable schedules, set quality standards with automated alerts, and integrate with too
Based on all of the above, describe the engagement level, call out any concerns (e.g. no recent contact, low score, no future meetings booked, overdue action items), and suggest one specific next step.")</v>
      </c>
      <c r="AT38" s="3" t="s">
        <v>571</v>
      </c>
      <c r="AU38" s="2"/>
      <c r="AV38" s="2"/>
      <c r="AW38" s="2"/>
    </row>
    <row r="39">
      <c r="A39" s="3" t="s">
        <v>572</v>
      </c>
      <c r="B39" s="3" t="s">
        <v>573</v>
      </c>
      <c r="C39" s="2"/>
      <c r="D39" s="4">
        <v>46446.0</v>
      </c>
      <c r="E39" s="8">
        <v>18000.0</v>
      </c>
      <c r="F39" s="8">
        <v>18000.0</v>
      </c>
      <c r="G39" s="3" t="s">
        <v>23</v>
      </c>
      <c r="H39" s="3" t="s">
        <v>48</v>
      </c>
      <c r="I39" s="8">
        <v>18000.0</v>
      </c>
      <c r="J39" s="19">
        <v>44.0</v>
      </c>
      <c r="K39" s="9">
        <v>0.274033333333333</v>
      </c>
      <c r="L39" s="10"/>
      <c r="M39" s="3" t="s">
        <v>25</v>
      </c>
      <c r="N39" s="3" t="s">
        <v>26</v>
      </c>
      <c r="O39" s="3" t="s">
        <v>27</v>
      </c>
      <c r="P39" s="3" t="s">
        <v>37</v>
      </c>
      <c r="Q39" s="18">
        <v>45.0</v>
      </c>
      <c r="R39" s="3">
        <v>30.0</v>
      </c>
      <c r="S39" s="3">
        <v>20.0</v>
      </c>
      <c r="T39" s="3">
        <v>11.0</v>
      </c>
      <c r="U39" s="3">
        <v>9.0</v>
      </c>
      <c r="V39" s="3">
        <v>0.0</v>
      </c>
      <c r="W39" s="19">
        <v>20.0</v>
      </c>
      <c r="X39" s="20">
        <v>46042.5996875</v>
      </c>
      <c r="Y39" s="19">
        <v>2.0</v>
      </c>
      <c r="Z39" s="19">
        <v>0.0</v>
      </c>
      <c r="AA39" s="19">
        <v>0.0</v>
      </c>
      <c r="AB39" s="21">
        <v>71.0</v>
      </c>
      <c r="AC39" s="20">
        <v>46036.45833333333</v>
      </c>
      <c r="AD39" s="22"/>
      <c r="AE39" s="19">
        <v>1.0</v>
      </c>
      <c r="AF39" s="19">
        <v>0.0</v>
      </c>
      <c r="AG39" s="19">
        <v>1.0</v>
      </c>
      <c r="AH39" s="19">
        <v>0.0</v>
      </c>
      <c r="AI39" s="19">
        <v>0.0</v>
      </c>
      <c r="AJ39" s="3" t="s">
        <v>574</v>
      </c>
      <c r="AK39" s="2"/>
      <c r="AL39" s="2"/>
      <c r="AM39" s="3" t="s">
        <v>575</v>
      </c>
      <c r="AN39" s="3" t="s">
        <v>576</v>
      </c>
      <c r="AO39" s="3" t="s">
        <v>577</v>
      </c>
      <c r="AP39" s="3" t="s">
        <v>248</v>
      </c>
      <c r="AQ39" s="3" t="s">
        <v>248</v>
      </c>
      <c r="AR39" s="2"/>
      <c r="AS39" s="2" t="str">
        <f>IFERROR(__xludf.DUMMYFUNCTION("AI(""You are a customer success manager reviewing account health. Write a 3-4 sentence engagement summary for: Export Development Canada
Renewal: 2027-02-28 | Stage: Identified () | CSM: John Davis | Engagement Score: 45/100 | Days since last contact: 30 "&amp;"| Emails 30d/90d: 0/20 | Meetings past/future/30d: 2/0/0 | Last meeting: 2026-01-14 | Next meeting:  | Open tasks: 0 | Recaps: 0 | Action items: 0
--- RECENT EMAILS (newest first) ---
2026-01-20 (OUT): Re: [External] Re: Set up Observepoint audit scan to"&amp;" identify broken external li — Actually I got confused here about the renewal. I apologize for that, your
 renewal isn't until March 2027, so please disregard that!
 *Regards, *
2026-01-20 (IN): RE: [External] Re: Set up Observepoint audit scan to ide"&amp;"ntify broken external li — Hi John,
 Thank you for sharing the step-by-step guide, it’s quite helpful!
 Looping in @Adamson, Peter&lt;mailto:padamson@edc.ca&gt; from EDC who would
2026-01-20 (OUT): Re: [External] Re: Set up Observepoint audit scan to identi"&amp;"fy broken external li — Hey Dinika,
 Yes you are correct, that is the correct audit that is going to be used to
 check the external links.
 So there are 4 things that thi
--- OPEN/RECENT GITHUB TASKS ---
--- RECENT MEETING RECAPS ---
Based on all"&amp;" of the above, describe the engagement level, call out any concerns (e.g. no recent contact, low score, no future meetings booked, overdue action items), and suggest one specific next step."")"),"=AI(""You are a customer success manager reviewing account health. Write a 3-4 sentence engagement summary for: Export Development Canada
Renewal: 2027-02-28 | Stage: Identified () | CSM: John Davis | Engagement Score: 45/100 | Days since last contact: 30"&amp;" | Emails 30d/90d: 0/20 | Meetings past/future/30d: 2/0/0 | Last meeting: 2026-01-14 | Next meeting:  | Open tasks: 0 | Recaps: 0 | Action items: 0
--- RECENT EMAILS (newest first) ---
2026-01-20 (OUT): Re: [External] Re: Set up Observepoint audit scan t"&amp;"o identify broken external li — Actually I got confused here about the renewal. I apologize for that, your
 renewal isn't until March 2027, so please disregard that!
 *Regards, *
2026-01-20 (IN): RE: [External] Re: Set up Observepoint audit scan to id"&amp;"entify broken external li — Hi John,
 Thank you for sharing the step-by-step guide, it’s quite helpful!
 Looping in @Adamson, Peter&lt;mailto:padamson@edc.ca&gt; from EDC who would
2026-01-20 (OUT): Re: [External] Re: Set up Observepoint audit scan to ident"&amp;"ify broken external li — Hey Dinika,
 Yes you are correct, that is the correct audit that is going to be used to
 check the external links.
 So there are 4 things that thi
--- OPEN/RECENT GITHUB TASKS ---
--- RECENT MEETING RECAPS ---
Based on al"&amp;"l of the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Export Development Canada
Renewal: 2027-02-28 | Stage: Identified () | CSM: John Davis | Engagement Score: 45/100 | Days since last contact: 30 | Emails 30d/90d: 0/20 | Meetings past/future/30d: 2/0/0 | Last meeting: 2026-01-14 | Next meeting:  | Open tasks: 0 | Recaps: 0 | Action items: 0
--- RECENT EMAILS (newest first) ---
2026-01-20 (OUT): Re: [External] Re: Set up Observepoint audit scan to identify broken external li — Actually I got confused here about the renewal. I apologize for that, your
 renewal isn't until March 2027, so please disregard that!
 *Regards, *
2026-01-20 (IN): RE: [External] Re: Set up Observepoint audit scan to identify broken external li — Hi John,
 Thank you for sharing the step-by-step guide, it’s quite helpful!
 Looping in @Adamson, Peter&lt;mailto:padamson@edc.ca&gt; from EDC who would
2026-01-20 (OUT): Re: [External] Re: Set up Observepoint audit scan to identify broken external li — Hey Dinika,
 Yes you are correct, that is the correct audit that is going to be used to
 check the external links.
 So there are 4 things that thi
--- OPEN/RECENT GITHUB TASKS ---
--- RECENT MEETING RECAPS ---
Based on all of the above, describe the engagement level, call out any concerns (e.g. no recent contact, low score, no future meetings booked, overdue action items), and suggest one specific next step.")</v>
      </c>
      <c r="AT39" s="3" t="s">
        <v>578</v>
      </c>
      <c r="AU39" s="2"/>
      <c r="AV39" s="2"/>
      <c r="AW39" s="2"/>
    </row>
    <row r="40">
      <c r="A40" s="3" t="s">
        <v>167</v>
      </c>
      <c r="B40" s="3" t="s">
        <v>579</v>
      </c>
      <c r="C40" s="3" t="b">
        <v>1</v>
      </c>
      <c r="D40" s="4">
        <v>46507.0</v>
      </c>
      <c r="E40" s="8">
        <v>30000.0</v>
      </c>
      <c r="F40" s="8">
        <v>7500.0</v>
      </c>
      <c r="G40" s="3" t="s">
        <v>23</v>
      </c>
      <c r="H40" s="3" t="s">
        <v>48</v>
      </c>
      <c r="I40" s="8">
        <v>30000.0</v>
      </c>
      <c r="J40" s="19">
        <v>12.0</v>
      </c>
      <c r="K40" s="9">
        <v>0.169054404965482</v>
      </c>
      <c r="L40" s="10"/>
      <c r="M40" s="3" t="s">
        <v>51</v>
      </c>
      <c r="N40" s="3" t="s">
        <v>26</v>
      </c>
      <c r="O40" s="3" t="s">
        <v>36</v>
      </c>
      <c r="P40" s="3" t="s">
        <v>37</v>
      </c>
      <c r="Q40" s="23">
        <v>82.0</v>
      </c>
      <c r="R40" s="3">
        <v>16.0</v>
      </c>
      <c r="S40" s="3">
        <v>19.0</v>
      </c>
      <c r="T40" s="3">
        <v>13.0</v>
      </c>
      <c r="U40" s="3">
        <v>6.0</v>
      </c>
      <c r="V40" s="3">
        <v>13.0</v>
      </c>
      <c r="W40" s="19">
        <v>19.0</v>
      </c>
      <c r="X40" s="20">
        <v>46052.38553240741</v>
      </c>
      <c r="Y40" s="19">
        <v>13.0</v>
      </c>
      <c r="Z40" s="19">
        <v>27.0</v>
      </c>
      <c r="AA40" s="19">
        <v>3.0</v>
      </c>
      <c r="AB40" s="21">
        <v>31.0</v>
      </c>
      <c r="AC40" s="20">
        <v>46056.41666666667</v>
      </c>
      <c r="AD40" s="20">
        <v>46073.45833333333</v>
      </c>
      <c r="AE40" s="19">
        <v>9.0</v>
      </c>
      <c r="AF40" s="19">
        <v>4.0</v>
      </c>
      <c r="AG40" s="19">
        <v>5.0</v>
      </c>
      <c r="AH40" s="19">
        <v>2.0</v>
      </c>
      <c r="AI40" s="19">
        <v>10.0</v>
      </c>
      <c r="AJ40" s="3" t="s">
        <v>580</v>
      </c>
      <c r="AK40" s="3" t="s">
        <v>581</v>
      </c>
      <c r="AL40" s="3" t="s">
        <v>582</v>
      </c>
      <c r="AM40" s="3" t="s">
        <v>583</v>
      </c>
      <c r="AN40" s="3" t="s">
        <v>584</v>
      </c>
      <c r="AO40" s="3" t="s">
        <v>585</v>
      </c>
      <c r="AP40" s="3" t="s">
        <v>586</v>
      </c>
      <c r="AQ40" s="3" t="s">
        <v>587</v>
      </c>
      <c r="AR40" s="3" t="s">
        <v>588</v>
      </c>
      <c r="AS40" s="2" t="str">
        <f>IFERROR(__xludf.DUMMYFUNCTION("AI(""You are a customer success manager reviewing account health. Write a 3-4 sentence engagement summary for: Agilent
Renewal: 2027-04-30 | Stage: Identified () | CSM: John Davis | Engagement Score: 82/100 | Days since last contact: 16 | Emails 30d/90d: "&amp;"13/19 | Meetings past/future/30d: 13/27/3 | Last meeting: 2026-02-03 | Next meeting: 2026-02-20 | Open tasks: 4 | Recaps: 2 | Action items: 10
--- RECENT EMAILS (newest first) ---
2026-01-30 (OUT): Upcoming ObservePoint Renewal on April 30, 2026 - Agilen"&amp;"t — [image: ObservePoint Logo_Gray_ON_YEllow_LOGO.jpeg]  A friendly reminder that it's time to renew.   Hi Venkata,   Thank you for being an ObservePoint 
2026-01-30 (OUT): Re: Engagement-Homepage — Sounds great, see you next week!
 *Regards, *
 John "&amp;"Davis *   |    * *Customer Success Manager*
 Cell: 801.633.6013
 john.davis@observepoint.com
2026-01-29 (IN): RE: Engagement-Homepage — Hi John,
 Thank you for the update. I scheduled a call for Tuesday at 10AM Mountain Time.
 In the meantime, I shall"&amp;" try to review the steps I wrote 
--- OPEN/RECENT GITHUB TASKS ---
[OPEN] Rerun consent audit after whitelisting complete (In progress)
[OPEN] Build example web journey from Raghu's requirements (In progress)
[OPEN] Reformat journey documentation for Obs"&amp;"ervePoint support team (Blocked)
[OPEN] Create script to automate audit creation (Blocked)
--- RECENT MEETING RECAPS ---
2026-02-03: ObservePoint | Agilent Sync
John Davis and Raj discussed progress on setting up ObservePoint journeys to validate Adobe A"&amp;"nalytics implementation, focusing on the engagement homepage journey with steps to verify data layer variables and component IDs. They identified that custom tags won't impact site performance since they run after page load, discovered the Adobe data laye"&amp;"r was already accessible (eliminating the need for custom tags), and determined that ObservePoint's browser captures the entire page without scrolling s
---
2026-01-28: ObservePoint | Agilent - Sync
John Davis and Raghu discussed implementing ObservePoint"&amp;" audits and web journeys to validate e-commerce flows, engagement tracking, and data quality across multiple regions. They agreed to start with a proof-of-concept approach, with John creating a scripted solution to automate audit setup and building an ini"&amp;"tial journey example that can be replicated across different scenarios. John will transform Raghu's existing test steps into ObservePoint-compatible formats and explore new features like Gi
Based on all of the above, describe the engagement level, call o"&amp;"ut any concerns (e.g. no recent contact, low score, no future meetings booked, overdue action items), and suggest one specific next step."")"),"=AI(""You are a customer success manager reviewing account health. Write a 3-4 sentence engagement summary for: Agilent
Renewal: 2027-04-30 | Stage: Identified () | CSM: John Davis | Engagement Score: 82/100 | Days since last contact: 16 | Emails 30d/90d:"&amp;" 13/19 | Meetings past/future/30d: 13/27/3 | Last meeting: 2026-02-03 | Next meeting: 2026-02-20 | Open tasks: 4 | Recaps: 2 | Action items: 10
--- RECENT EMAILS (newest first) ---
2026-01-30 (OUT): Upcoming ObservePoint Renewal on April 30, 2026 - Agile"&amp;"nt — [image: ObservePoint Logo_Gray_ON_YEllow_LOGO.jpeg]  A friendly reminder that it's time to renew.   Hi Venkata,   Thank you for being an ObservePoint 
2026-01-30 (OUT): Re: Engagement-Homepage — Sounds great, see you next week!
 *Regards, *
 John"&amp;" Davis *   |    * *Customer Success Manager*
 Cell: 801.633.6013
 john.davis@observepoint.com
2026-01-29 (IN): RE: Engagement-Homepage — Hi John,
 Thank you for the update. I scheduled a call for Tuesday at 10AM Mountain Time.
 In the meantime, I shal"&amp;"l try to review the steps I wrote 
--- OPEN/RECENT GITHUB TASKS ---
[OPEN] Rerun consent audit after whitelisting complete (In progress)
[OPEN] Build example web journey from Raghu's requirements (In progress)
[OPEN] Reformat journey documentation for Ob"&amp;"servePoint support team (Blocked)
[OPEN] Create script to automate audit creation (Blocked)
--- RECENT MEETING RECAPS ---
2026-02-03: ObservePoint | Agilent Sync
John Davis and Raj discussed progress on setting up ObservePoint journeys to validate Adobe "&amp;"Analytics implementation, focusing on the engagement homepage journey with steps to verify data layer variables and component IDs. They identified that custom tags won't impact site performance since they run after page load, discovered the Adobe data lay"&amp;"er was already accessible (eliminating the need for custom tags), and determined that ObservePoint's browser captures the entire page without scrolling s
---
2026-01-28: ObservePoint | Agilent - Sync
John Davis and Raghu discussed implementing ObservePoin"&amp;"t audits and web journeys to validate e-commerce flows, engagement tracking, and data quality across multiple regions. They agreed to start with a proof-of-concept approach, with John creating a scripted solution to automate audit setup and building an in"&amp;"itial journey example that can be replicated across different scenarios. John will transform Raghu's existing test steps into ObservePoint-compatible formats and explore new features like Gi
Based on all of the above, describe the engagement level, call "&amp;"out any concerns (e.g. no recent contact, low score, no future meetings booked, overdue action items), and suggest one specific next step."")")</f>
        <v>=AI("You are a customer success manager reviewing account health. Write a 3-4 sentence engagement summary for: Agilent
Renewal: 2027-04-30 | Stage: Identified () | CSM: John Davis | Engagement Score: 82/100 | Days since last contact: 16 | Emails 30d/90d: 13/19 | Meetings past/future/30d: 13/27/3 | Last meeting: 2026-02-03 | Next meeting: 2026-02-20 | Open tasks: 4 | Recaps: 2 | Action items: 10
--- RECENT EMAILS (newest first) ---
2026-01-30 (OUT): Upcoming ObservePoint Renewal on April 30, 2026 - Agilent — [image: ObservePoint Logo_Gray_ON_YEllow_LOGO.jpeg]  A friendly reminder that it's time to renew.   Hi Venkata,   Thank you for being an ObservePoint 
2026-01-30 (OUT): Re: Engagement-Homepage — Sounds great, see you next week!
 *Regards, *
 John Davis *   |    * *Customer Success Manager*
 Cell: 801.633.6013
 john.davis@observepoint.com
2026-01-29 (IN): RE: Engagement-Homepage — Hi John,
 Thank you for the update. I scheduled a call for Tuesday at 10AM Mountain Time.
 In the meantime, I shall try to review the steps I wrote 
--- OPEN/RECENT GITHUB TASKS ---
[OPEN] Rerun consent audit after whitelisting complete (In progress)
[OPEN] Build example web journey from Raghu's requirements (In progress)
[OPEN] Reformat journey documentation for ObservePoint support team (Blocked)
[OPEN] Create script to automate audit creation (Blocked)
--- RECENT MEETING RECAPS ---
2026-02-03: ObservePoint | Agilent Sync
John Davis and Raj discussed progress on setting up ObservePoint journeys to validate Adobe Analytics implementation, focusing on the engagement homepage journey with steps to verify data layer variables and component IDs. They identified that custom tags won't impact site performance since they run after page load, discovered the Adobe data layer was already accessible (eliminating the need for custom tags), and determined that ObservePoint's browser captures the entire page without scrolling s
---
2026-01-28: ObservePoint | Agilent - Sync
John Davis and Raghu discussed implementing ObservePoint audits and web journeys to validate e-commerce flows, engagement tracking, and data quality across multiple regions. They agreed to start with a proof-of-concept approach, with John creating a scripted solution to automate audit setup and building an initial journey example that can be replicated across different scenarios. John will transform Raghu's existing test steps into ObservePoint-compatible formats and explore new features like Gi
Based on all of the above, describe the engagement level, call out any concerns (e.g. no recent contact, low score, no future meetings booked, overdue action items), and suggest one specific next step.")</v>
      </c>
      <c r="AT40" s="3" t="s">
        <v>589</v>
      </c>
      <c r="AU40" s="2"/>
      <c r="AV40" s="2"/>
      <c r="AW40" s="2"/>
    </row>
    <row r="41">
      <c r="A41" s="3" t="s">
        <v>590</v>
      </c>
      <c r="B41" s="3" t="s">
        <v>591</v>
      </c>
      <c r="C41" s="3" t="b">
        <v>1</v>
      </c>
      <c r="D41" s="4">
        <v>46598.0</v>
      </c>
      <c r="E41" s="8">
        <v>27341.0</v>
      </c>
      <c r="F41" s="8">
        <v>27341.0</v>
      </c>
      <c r="G41" s="3" t="s">
        <v>23</v>
      </c>
      <c r="H41" s="3" t="s">
        <v>44</v>
      </c>
      <c r="I41" s="8">
        <v>27341.0</v>
      </c>
      <c r="J41" s="19">
        <v>84.0</v>
      </c>
      <c r="K41" s="9">
        <v>0.820047784535186</v>
      </c>
      <c r="L41" s="10"/>
      <c r="M41" s="3" t="s">
        <v>25</v>
      </c>
      <c r="N41" s="3" t="s">
        <v>26</v>
      </c>
      <c r="O41" s="3" t="s">
        <v>27</v>
      </c>
      <c r="P41" s="2"/>
      <c r="Q41" s="24">
        <v>18.0</v>
      </c>
      <c r="R41" s="3">
        <v>78.0</v>
      </c>
      <c r="S41" s="3">
        <v>3.0</v>
      </c>
      <c r="T41" s="3">
        <v>3.0</v>
      </c>
      <c r="U41" s="3">
        <v>0.0</v>
      </c>
      <c r="V41" s="3">
        <v>0.0</v>
      </c>
      <c r="W41" s="19">
        <v>3.0</v>
      </c>
      <c r="X41" s="20">
        <v>45993.670439814814</v>
      </c>
      <c r="Y41" s="19">
        <v>1.0</v>
      </c>
      <c r="Z41" s="19">
        <v>0.0</v>
      </c>
      <c r="AA41" s="19">
        <v>0.0</v>
      </c>
      <c r="AB41" s="21">
        <v>40.0</v>
      </c>
      <c r="AC41" s="20">
        <v>45986.375</v>
      </c>
      <c r="AD41" s="22"/>
      <c r="AE41" s="19">
        <v>1.0</v>
      </c>
      <c r="AF41" s="19">
        <v>1.0</v>
      </c>
      <c r="AG41" s="19">
        <v>0.0</v>
      </c>
      <c r="AH41" s="19">
        <v>0.0</v>
      </c>
      <c r="AI41" s="19">
        <v>0.0</v>
      </c>
      <c r="AJ41" s="3" t="s">
        <v>592</v>
      </c>
      <c r="AK41" s="3" t="s">
        <v>593</v>
      </c>
      <c r="AL41" s="2"/>
      <c r="AM41" s="3" t="s">
        <v>594</v>
      </c>
      <c r="AN41" s="3" t="s">
        <v>595</v>
      </c>
      <c r="AO41" s="3" t="s">
        <v>596</v>
      </c>
      <c r="AP41" s="3" t="s">
        <v>248</v>
      </c>
      <c r="AQ41" s="3" t="s">
        <v>248</v>
      </c>
      <c r="AR41" s="2"/>
      <c r="AS41" s="2" t="str">
        <f>IFERROR(__xludf.DUMMYFUNCTION("AI(""You are a customer success manager reviewing account health. Write a 3-4 sentence engagement summary for: Athenahealth
Renewal: 2027-07-30 | Stage: Discovery (91) | CSM: John Davis | Engagement Score: 18/100 | Days since last contact: 78 | Emails 30d"&amp;"/90d: 0/3 | Meetings past/future/30d: 1/0/0 | Last meeting: 2025-11-25 | Next meeting:  | Open tasks: 1 | Recaps: 0 | Action items: 0
--- RECENT EMAILS (newest first) ---
2025-12-02 (OUT): Re: ObservePoint CSM Introduction — Thank you for the introductio"&amp;"n, Chris.
 It's great to meet you all. I'm taking over as your Customer Success
 Manager and am here to make this trans
2025-12-01 (OUT): ObservePoint CSM Introduction — Hi all,
 As promised, I wanted to make a formal introduction to your Customer
 Su"&amp;"ccess Manager, John Davis, as we have concluded onboarding. I've ad
2025-11-25 (OUT): Invitation: ObservePoint &amp; Athena Health || Business Review &amp; CSM Han... @ Tue N — ObservePoint &amp; Athena Health || Business Review &amp; CSM Handoff
 Tuesday Nov 25, 2025 ⋅ "&amp;"9am – 9:50am
 Mountain Time - Denver
 Location
 https://observ
--- OPEN/RECENT GITHUB TASKS ---
[OPEN] Athena Health - Look into some custom code that was setup as the pre-audit action that is not workin (Ready)
--- RECENT MEETING RECAPS ---
Based o"&amp;"n all of the above, describe the engagement level, call out any concerns (e.g. no recent contact, low score, no future meetings booked, overdue action items), and suggest one specific next step."")"),"=AI(""You are a customer success manager reviewing account health. Write a 3-4 sentence engagement summary for: Athenahealth
Renewal: 2027-07-30 | Stage: Discovery (91) | CSM: John Davis | Engagement Score: 18/100 | Days since last contact: 78 | Emails 30"&amp;"d/90d: 0/3 | Meetings past/future/30d: 1/0/0 | Last meeting: 2025-11-25 | Next meeting:  | Open tasks: 1 | Recaps: 0 | Action items: 0
--- RECENT EMAILS (newest first) ---
2025-12-02 (OUT): Re: ObservePoint CSM Introduction — Thank you for the introducti"&amp;"on, Chris.
 It's great to meet you all. I'm taking over as your Customer Success
 Manager and am here to make this trans
2025-12-01 (OUT): ObservePoint CSM Introduction — Hi all,
 As promised, I wanted to make a formal introduction to your Customer
 S"&amp;"uccess Manager, John Davis, as we have concluded onboarding. I've ad
2025-11-25 (OUT): Invitation: ObservePoint &amp; Athena Health || Business Review &amp; CSM Han... @ Tue N — ObservePoint &amp; Athena Health || Business Review &amp; CSM Handoff
 Tuesday Nov 25, 2025 ⋅"&amp;" 9am – 9:50am
 Mountain Time - Denver
 Location
 https://observ
--- OPEN/RECENT GITHUB TASKS ---
[OPEN] Athena Health - Look into some custom code that was setup as the pre-audit action that is not workin (Ready)
--- RECENT MEETING RECAPS ---
Based "&amp;"on all of the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Athenahealth
Renewal: 2027-07-30 | Stage: Discovery (91) | CSM: John Davis | Engagement Score: 18/100 | Days since last contact: 78 | Emails 30d/90d: 0/3 | Meetings past/future/30d: 1/0/0 | Last meeting: 2025-11-25 | Next meeting:  | Open tasks: 1 | Recaps: 0 | Action items: 0
--- RECENT EMAILS (newest first) ---
2025-12-02 (OUT): Re: ObservePoint CSM Introduction — Thank you for the introduction, Chris.
 It's great to meet you all. I'm taking over as your Customer Success
 Manager and am here to make this trans
2025-12-01 (OUT): ObservePoint CSM Introduction — Hi all,
 As promised, I wanted to make a formal introduction to your Customer
 Success Manager, John Davis, as we have concluded onboarding. I've ad
2025-11-25 (OUT): Invitation: ObservePoint &amp; Athena Health || Business Review &amp; CSM Han... @ Tue N — ObservePoint &amp; Athena Health || Business Review &amp; CSM Handoff
 Tuesday Nov 25, 2025 ⋅ 9am – 9:50am
 Mountain Time - Denver
 Location
 https://observ
--- OPEN/RECENT GITHUB TASKS ---
[OPEN] Athena Health - Look into some custom code that was setup as the pre-audit action that is not workin (Ready)
--- RECENT MEETING RECAPS ---
Based on all of the above, describe the engagement level, call out any concerns (e.g. no recent contact, low score, no future meetings booked, overdue action items), and suggest one specific next step.")</v>
      </c>
      <c r="AT41" s="3" t="s">
        <v>597</v>
      </c>
      <c r="AU41" s="2"/>
      <c r="AV41" s="2"/>
      <c r="AW41" s="2"/>
    </row>
    <row r="42">
      <c r="A42" s="3" t="s">
        <v>598</v>
      </c>
      <c r="B42" s="3" t="s">
        <v>599</v>
      </c>
      <c r="C42" s="3" t="b">
        <v>1</v>
      </c>
      <c r="D42" s="4">
        <v>46599.0</v>
      </c>
      <c r="E42" s="8">
        <v>41000.0</v>
      </c>
      <c r="F42" s="8">
        <v>41000.0</v>
      </c>
      <c r="G42" s="3" t="s">
        <v>23</v>
      </c>
      <c r="H42" s="3" t="s">
        <v>44</v>
      </c>
      <c r="I42" s="8">
        <v>41000.0</v>
      </c>
      <c r="J42" s="19">
        <v>24.0</v>
      </c>
      <c r="K42" s="9">
        <v>0.28534</v>
      </c>
      <c r="L42" s="10"/>
      <c r="M42" s="3" t="s">
        <v>25</v>
      </c>
      <c r="N42" s="3" t="s">
        <v>26</v>
      </c>
      <c r="O42" s="3" t="s">
        <v>40</v>
      </c>
      <c r="P42" s="3" t="s">
        <v>37</v>
      </c>
      <c r="Q42" s="24">
        <v>0.0</v>
      </c>
      <c r="R42" s="2"/>
      <c r="S42" s="3">
        <v>0.0</v>
      </c>
      <c r="T42" s="3">
        <v>0.0</v>
      </c>
      <c r="U42" s="3">
        <v>0.0</v>
      </c>
      <c r="V42" s="3">
        <v>0.0</v>
      </c>
      <c r="W42" s="19">
        <v>0.0</v>
      </c>
      <c r="X42" s="22"/>
      <c r="Y42" s="19">
        <v>0.0</v>
      </c>
      <c r="Z42" s="19">
        <v>0.0</v>
      </c>
      <c r="AA42" s="19">
        <v>0.0</v>
      </c>
      <c r="AB42" s="21">
        <v>0.0</v>
      </c>
      <c r="AC42" s="22"/>
      <c r="AD42" s="22"/>
      <c r="AE42" s="19">
        <v>0.0</v>
      </c>
      <c r="AF42" s="19">
        <v>0.0</v>
      </c>
      <c r="AG42" s="19">
        <v>0.0</v>
      </c>
      <c r="AH42" s="19">
        <v>0.0</v>
      </c>
      <c r="AI42" s="19">
        <v>0.0</v>
      </c>
      <c r="AJ42" s="2"/>
      <c r="AK42" s="2"/>
      <c r="AL42" s="2"/>
      <c r="AM42" s="3" t="s">
        <v>248</v>
      </c>
      <c r="AN42" s="3" t="s">
        <v>248</v>
      </c>
      <c r="AO42" s="3" t="s">
        <v>248</v>
      </c>
      <c r="AP42" s="3" t="s">
        <v>248</v>
      </c>
      <c r="AQ42" s="3" t="s">
        <v>248</v>
      </c>
      <c r="AR42" s="2"/>
      <c r="AS42" s="2" t="str">
        <f>IFERROR(__xludf.DUMMYFUNCTION("AI(""You are a customer success manager reviewing account health. Write a 3-4 sentence engagement summary for: Mediacorp Pte Ltd
Renewal: 2027-07-31 | Stage: Discovery (91) | CSM: John Davis | Engagement Score: 0/100 | Days since last contact:  | Emails 3"&amp;"0d/90d: 0/0 | Meetings past/future/30d: 0/0/0 | Last meeting:  | Next meeting:  | Open tasks: 0 | Recaps: 0 | Action items: 0
--- RECENT EMAILS (newest first) ---
--- OPEN/RECENT GITHUB TASKS ---
--- RECENT MEETING RECAPS ---
Based on all of the ab"&amp;"ove, describe the engagement level, call out any concerns (e.g. no recent contact, low score, no future meetings booked, overdue action items), and suggest one specific next step."")"),"=AI(""You are a customer success manager reviewing account health. Write a 3-4 sentence engagement summary for: Mediacorp Pte Ltd
Renewal: 2027-07-31 | Stage: Discovery (91) | CSM: John Davis | Engagement Score: 0/100 | Days since last contact:  | Emails "&amp;"30d/90d: 0/0 | Meetings past/future/30d: 0/0/0 | Last meeting:  | Next meeting:  | Open tasks: 0 | Recaps: 0 | Action items: 0
--- RECENT EMAILS (newest first) ---
--- OPEN/RECENT GITHUB TASKS ---
--- RECENT MEETING RECAPS ---
Based on all of the a"&amp;"bove, describe the engagement level, call out any concerns (e.g. no recent contact, low score, no future meetings booked, overdue action items), and suggest one specific next step."")")</f>
        <v>=AI("You are a customer success manager reviewing account health. Write a 3-4 sentence engagement summary for: Mediacorp Pte Ltd
Renewal: 2027-07-31 | Stage: Discovery (91) | CSM: John Davis | Engagement Score: 0/100 | Days since last contact:  | Emails 30d/90d: 0/0 | Meetings past/future/30d: 0/0/0 | Last meeting:  | Next meeting:  | Open tasks: 0 | Recaps: 0 | Action items: 0
--- RECENT EMAILS (newest first) ---
--- OPEN/RECENT GITHUB TASKS ---
--- RECENT MEETING RECAPS ---
Based on all of the above, describe the engagement level, call out any concerns (e.g. no recent contact, low score, no future meetings booked, overdue action items), and suggest one specific next step.")</v>
      </c>
      <c r="AT42" s="3" t="s">
        <v>600</v>
      </c>
      <c r="AU42" s="2"/>
      <c r="AV42" s="2"/>
      <c r="AW42" s="2"/>
    </row>
    <row r="43">
      <c r="A43" s="3" t="s">
        <v>601</v>
      </c>
      <c r="B43" s="3" t="s">
        <v>602</v>
      </c>
      <c r="C43" s="2"/>
      <c r="D43" s="4">
        <v>46690.0</v>
      </c>
      <c r="E43" s="8">
        <v>40000.0</v>
      </c>
      <c r="F43" s="8">
        <v>40000.0</v>
      </c>
      <c r="G43" s="3" t="s">
        <v>23</v>
      </c>
      <c r="H43" s="3" t="s">
        <v>48</v>
      </c>
      <c r="I43" s="8">
        <v>40000.0</v>
      </c>
      <c r="J43" s="19">
        <v>32.0</v>
      </c>
      <c r="K43" s="9">
        <v>0.528013200330008</v>
      </c>
      <c r="L43" s="9">
        <v>0.188</v>
      </c>
      <c r="M43" s="3" t="s">
        <v>25</v>
      </c>
      <c r="N43" s="3" t="s">
        <v>26</v>
      </c>
      <c r="O43" s="3" t="s">
        <v>27</v>
      </c>
      <c r="P43" s="3" t="s">
        <v>37</v>
      </c>
      <c r="Q43" s="18">
        <v>57.0</v>
      </c>
      <c r="R43" s="3">
        <v>16.0</v>
      </c>
      <c r="S43" s="3">
        <v>7.0</v>
      </c>
      <c r="T43" s="3">
        <v>4.0</v>
      </c>
      <c r="U43" s="3">
        <v>3.0</v>
      </c>
      <c r="V43" s="3">
        <v>1.0</v>
      </c>
      <c r="W43" s="19">
        <v>7.0</v>
      </c>
      <c r="X43" s="20">
        <v>46049.57814814815</v>
      </c>
      <c r="Y43" s="19">
        <v>5.0</v>
      </c>
      <c r="Z43" s="19">
        <v>4.0</v>
      </c>
      <c r="AA43" s="19">
        <v>1.0</v>
      </c>
      <c r="AB43" s="21">
        <v>78.0</v>
      </c>
      <c r="AC43" s="20">
        <v>46056.60416666667</v>
      </c>
      <c r="AD43" s="20">
        <v>46146.5625</v>
      </c>
      <c r="AE43" s="19">
        <v>0.0</v>
      </c>
      <c r="AF43" s="19">
        <v>0.0</v>
      </c>
      <c r="AG43" s="19">
        <v>0.0</v>
      </c>
      <c r="AH43" s="19">
        <v>1.0</v>
      </c>
      <c r="AI43" s="19">
        <v>2.0</v>
      </c>
      <c r="AJ43" s="3" t="s">
        <v>603</v>
      </c>
      <c r="AK43" s="2"/>
      <c r="AL43" s="3" t="s">
        <v>604</v>
      </c>
      <c r="AM43" s="3" t="s">
        <v>248</v>
      </c>
      <c r="AN43" s="3" t="s">
        <v>605</v>
      </c>
      <c r="AO43" s="3" t="s">
        <v>606</v>
      </c>
      <c r="AP43" s="3" t="s">
        <v>607</v>
      </c>
      <c r="AQ43" s="3" t="s">
        <v>608</v>
      </c>
      <c r="AR43" s="2"/>
      <c r="AS43" s="2" t="str">
        <f>IFERROR(__xludf.DUMMYFUNCTION("AI(""You are a customer success manager reviewing account health. Write a 3-4 sentence engagement summary for: JM Family Enterprises
Renewal: 2027-10-30 | Stage: Identified () | CSM: John Davis | Engagement Score: 57/100 | Days since last contact: 16 | Em"&amp;"ails 30d/90d: 1/7 | Meetings past/future/30d: 5/4/1 | Last meeting: 2026-02-03 | Next meeting: 2026-05-04 | Open tasks: 0 | Recaps: 1 | Action items: 2
--- RECENT EMAILS (newest first) ---
2026-01-27 (OUT): Reschedule Next Sync — Hey SE Toyota Team,
 I"&amp;" have a conflict for our sync up on Monday Feb 2nd unfortunately, can we
 find another time to meet that works later in the we
2026-01-15 (IN): Our meeting in an hour — Hi,  Looking forward to speaking to you in a short while.  Best,
2026-01-12 (IN): Acce"&amp;"pted: ObservePoint | SE Toyota - Sync — This e-mail transmission contains information intended only for the use of the recipient(s) named above. Further, it contains information that may be 
--- OPEN/RECENT GITHUB TASKS ---
--- RECENT MEETING RECAPS --"&amp;"-
2026-02-03: ObservePoint | JM Family Enterprises Sync
John Davis introduced himself as the new CSM taking over from Macy and met with the ObservePoint team at Toyota, including Kendall Papera and their implementation partners at Twenty Two Squared (Robi"&amp;"n, Jared, and Jack). The team discussed their current use of ObservePoint for regression testing, link validation across 177 dealer websites, and tagging QA through journeys and audits. Key upcoming projects include building cross-series inventory filteri"&amp;"ng with new data layer attributes and potentia
Based on all of the above, describe the engagement level, call out any concerns (e.g. no recent contact, low score, no future meetings booked, overdue action items), and suggest one specific next step."")"),"=AI(""You are a customer success manager reviewing account health. Write a 3-4 sentence engagement summary for: JM Family Enterprises
Renewal: 2027-10-30 | Stage: Identified () | CSM: John Davis | Engagement Score: 57/100 | Days since last contact: 16 | E"&amp;"mails 30d/90d: 1/7 | Meetings past/future/30d: 5/4/1 | Last meeting: 2026-02-03 | Next meeting: 2026-05-04 | Open tasks: 0 | Recaps: 1 | Action items: 2
--- RECENT EMAILS (newest first) ---
2026-01-27 (OUT): Reschedule Next Sync — Hey SE Toyota Team,
 "&amp;"I have a conflict for our sync up on Monday Feb 2nd unfortunately, can we
 find another time to meet that works later in the we
2026-01-15 (IN): Our meeting in an hour — Hi,  Looking forward to speaking to you in a short while.  Best,
2026-01-12 (IN): Acc"&amp;"epted: ObservePoint | SE Toyota - Sync — This e-mail transmission contains information intended only for the use of the recipient(s) named above. Further, it contains information that may be 
--- OPEN/RECENT GITHUB TASKS ---
--- RECENT MEETING RECAPS -"&amp;"--
2026-02-03: ObservePoint | JM Family Enterprises Sync
John Davis introduced himself as the new CSM taking over from Macy and met with the ObservePoint team at Toyota, including Kendall Papera and their implementation partners at Twenty Two Squared (Rob"&amp;"in, Jared, and Jack). The team discussed their current use of ObservePoint for regression testing, link validation across 177 dealer websites, and tagging QA through journeys and audits. Key upcoming projects include building cross-series inventory filter"&amp;"ing with new data layer attributes and potentia
Based on all of the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JM Family Enterprises
Renewal: 2027-10-30 | Stage: Identified () | CSM: John Davis | Engagement Score: 57/100 | Days since last contact: 16 | Emails 30d/90d: 1/7 | Meetings past/future/30d: 5/4/1 | Last meeting: 2026-02-03 | Next meeting: 2026-05-04 | Open tasks: 0 | Recaps: 1 | Action items: 2
--- RECENT EMAILS (newest first) ---
2026-01-27 (OUT): Reschedule Next Sync — Hey SE Toyota Team,
 I have a conflict for our sync up on Monday Feb 2nd unfortunately, can we
 find another time to meet that works later in the we
2026-01-15 (IN): Our meeting in an hour — Hi,  Looking forward to speaking to you in a short while.  Best,
2026-01-12 (IN): Accepted: ObservePoint | SE Toyota - Sync — This e-mail transmission contains information intended only for the use of the recipient(s) named above. Further, it contains information that may be 
--- OPEN/RECENT GITHUB TASKS ---
--- RECENT MEETING RECAPS ---
2026-02-03: ObservePoint | JM Family Enterprises Sync
John Davis introduced himself as the new CSM taking over from Macy and met with the ObservePoint team at Toyota, including Kendall Papera and their implementation partners at Twenty Two Squared (Robin, Jared, and Jack). The team discussed their current use of ObservePoint for regression testing, link validation across 177 dealer websites, and tagging QA through journeys and audits. Key upcoming projects include building cross-series inventory filtering with new data layer attributes and potentia
Based on all of the above, describe the engagement level, call out any concerns (e.g. no recent contact, low score, no future meetings booked, overdue action items), and suggest one specific next step.")</v>
      </c>
      <c r="AT43" s="3" t="s">
        <v>609</v>
      </c>
      <c r="AU43" s="2"/>
      <c r="AV43" s="2"/>
      <c r="AW43" s="2"/>
    </row>
    <row r="44">
      <c r="A44" s="2"/>
      <c r="B44" s="2"/>
      <c r="C44" s="2"/>
      <c r="D44" s="17"/>
      <c r="E44" s="11"/>
      <c r="F44" s="11"/>
      <c r="G44" s="2"/>
      <c r="H44" s="2"/>
      <c r="I44" s="11"/>
      <c r="K44" s="10"/>
      <c r="L44" s="10"/>
      <c r="M44" s="2"/>
      <c r="N44" s="2"/>
      <c r="O44" s="2"/>
      <c r="P44" s="2"/>
      <c r="Q44" s="2"/>
      <c r="R44" s="2"/>
      <c r="S44" s="2"/>
      <c r="T44" s="2"/>
      <c r="U44" s="2"/>
      <c r="V44" s="2"/>
    </row>
  </sheetData>
  <autoFilter ref="$A$1:$AN$43">
    <sortState ref="A1:AN43">
      <sortCondition ref="Q1:Q43"/>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72.88"/>
  </cols>
  <sheetData>
    <row r="1">
      <c r="A1" s="1" t="s">
        <v>610</v>
      </c>
      <c r="B1" s="1" t="s">
        <v>611</v>
      </c>
      <c r="D1" s="3" t="s">
        <v>21</v>
      </c>
      <c r="E1" s="4">
        <v>46072.1068753125</v>
      </c>
    </row>
    <row r="2">
      <c r="A2" s="3" t="s">
        <v>612</v>
      </c>
      <c r="B2" s="3" t="s">
        <v>613</v>
      </c>
    </row>
    <row r="3">
      <c r="A3" s="3" t="s">
        <v>614</v>
      </c>
      <c r="B3" s="3" t="s">
        <v>615</v>
      </c>
    </row>
    <row r="4">
      <c r="A4" s="3" t="s">
        <v>616</v>
      </c>
      <c r="B4" s="3" t="s">
        <v>617</v>
      </c>
    </row>
    <row r="5">
      <c r="A5" s="3" t="s">
        <v>618</v>
      </c>
      <c r="B5" s="3" t="s">
        <v>619</v>
      </c>
    </row>
    <row r="6">
      <c r="A6" s="3" t="s">
        <v>620</v>
      </c>
      <c r="B6" s="3" t="s">
        <v>621</v>
      </c>
    </row>
    <row r="7">
      <c r="A7" s="3" t="s">
        <v>622</v>
      </c>
      <c r="B7" s="3" t="s">
        <v>623</v>
      </c>
    </row>
    <row r="8">
      <c r="A8" s="3" t="s">
        <v>624</v>
      </c>
      <c r="B8" s="3" t="s">
        <v>625</v>
      </c>
    </row>
    <row r="9">
      <c r="A9" s="3" t="s">
        <v>626</v>
      </c>
      <c r="B9" s="3" t="s">
        <v>627</v>
      </c>
    </row>
    <row r="10">
      <c r="A10" s="3" t="s">
        <v>628</v>
      </c>
      <c r="B10" s="3" t="s">
        <v>629</v>
      </c>
    </row>
    <row r="11">
      <c r="A11" s="3" t="s">
        <v>630</v>
      </c>
      <c r="B11" s="3" t="s">
        <v>631</v>
      </c>
    </row>
    <row r="12">
      <c r="A12" s="3" t="s">
        <v>632</v>
      </c>
      <c r="B12" s="3" t="s">
        <v>633</v>
      </c>
    </row>
    <row r="13">
      <c r="A13" s="3" t="s">
        <v>634</v>
      </c>
      <c r="B13" s="3" t="s">
        <v>635</v>
      </c>
    </row>
    <row r="14">
      <c r="A14" s="3" t="s">
        <v>636</v>
      </c>
      <c r="B14" s="3" t="s">
        <v>637</v>
      </c>
    </row>
    <row r="15">
      <c r="A15" s="3" t="s">
        <v>638</v>
      </c>
      <c r="B15" s="3" t="s">
        <v>639</v>
      </c>
    </row>
    <row r="16">
      <c r="A16" s="3" t="s">
        <v>640</v>
      </c>
      <c r="B16" s="3" t="s">
        <v>641</v>
      </c>
    </row>
    <row r="17">
      <c r="A17" s="3" t="s">
        <v>642</v>
      </c>
      <c r="B17" s="3" t="s">
        <v>643</v>
      </c>
    </row>
    <row r="18">
      <c r="A18" s="3" t="s">
        <v>644</v>
      </c>
      <c r="B18" s="3" t="s">
        <v>645</v>
      </c>
    </row>
    <row r="19">
      <c r="A19" s="3" t="s">
        <v>646</v>
      </c>
      <c r="B19" s="3" t="s">
        <v>647</v>
      </c>
    </row>
    <row r="20">
      <c r="A20" s="3" t="s">
        <v>648</v>
      </c>
      <c r="B20" s="3" t="s">
        <v>649</v>
      </c>
    </row>
    <row r="21">
      <c r="A21" s="3" t="s">
        <v>650</v>
      </c>
      <c r="B21" s="3" t="s">
        <v>651</v>
      </c>
    </row>
    <row r="22">
      <c r="A22" s="3" t="s">
        <v>652</v>
      </c>
      <c r="B22" s="3" t="s">
        <v>653</v>
      </c>
    </row>
    <row r="23">
      <c r="A23" s="3" t="s">
        <v>654</v>
      </c>
      <c r="B23" s="3" t="s">
        <v>655</v>
      </c>
    </row>
    <row r="24">
      <c r="A24" s="3" t="s">
        <v>656</v>
      </c>
      <c r="B24" s="3" t="s">
        <v>657</v>
      </c>
    </row>
    <row r="25">
      <c r="A25" s="3" t="s">
        <v>658</v>
      </c>
      <c r="B25" s="3" t="s">
        <v>659</v>
      </c>
    </row>
    <row r="26">
      <c r="A26" s="3" t="s">
        <v>660</v>
      </c>
      <c r="B26" s="3" t="s">
        <v>661</v>
      </c>
    </row>
    <row r="27">
      <c r="A27" s="3" t="s">
        <v>662</v>
      </c>
      <c r="B27" s="3" t="s">
        <v>663</v>
      </c>
    </row>
    <row r="28">
      <c r="A28" s="3" t="s">
        <v>664</v>
      </c>
      <c r="B28" s="3" t="s">
        <v>665</v>
      </c>
    </row>
    <row r="29">
      <c r="A29" s="3" t="s">
        <v>666</v>
      </c>
      <c r="B29" s="3" t="s">
        <v>667</v>
      </c>
    </row>
    <row r="30">
      <c r="A30" s="3" t="s">
        <v>668</v>
      </c>
      <c r="B30" s="3" t="s">
        <v>669</v>
      </c>
    </row>
    <row r="31">
      <c r="A31" s="3" t="s">
        <v>670</v>
      </c>
      <c r="B31" s="3" t="s">
        <v>671</v>
      </c>
    </row>
    <row r="32">
      <c r="A32" s="3" t="s">
        <v>672</v>
      </c>
      <c r="B32" s="3" t="s">
        <v>673</v>
      </c>
    </row>
    <row r="33">
      <c r="A33" s="3" t="s">
        <v>674</v>
      </c>
      <c r="B33" s="3" t="s">
        <v>675</v>
      </c>
    </row>
    <row r="34">
      <c r="A34" s="3" t="s">
        <v>676</v>
      </c>
      <c r="B34" s="3" t="s">
        <v>677</v>
      </c>
    </row>
    <row r="35">
      <c r="A35" s="3" t="s">
        <v>678</v>
      </c>
      <c r="B35" s="3" t="s">
        <v>679</v>
      </c>
    </row>
    <row r="36">
      <c r="A36" s="3" t="s">
        <v>680</v>
      </c>
      <c r="B36" s="3" t="s">
        <v>681</v>
      </c>
    </row>
    <row r="37">
      <c r="A37" s="3" t="s">
        <v>682</v>
      </c>
      <c r="B37" s="3" t="s">
        <v>683</v>
      </c>
    </row>
    <row r="38">
      <c r="A38" s="3" t="s">
        <v>684</v>
      </c>
      <c r="B38" s="3" t="s">
        <v>685</v>
      </c>
    </row>
    <row r="39">
      <c r="A39" s="3" t="s">
        <v>686</v>
      </c>
      <c r="B39" s="3" t="s">
        <v>687</v>
      </c>
    </row>
    <row r="40">
      <c r="A40" s="3" t="s">
        <v>688</v>
      </c>
      <c r="B40" s="3" t="s">
        <v>689</v>
      </c>
    </row>
    <row r="41">
      <c r="A41" s="3" t="s">
        <v>690</v>
      </c>
      <c r="B41" s="3" t="s">
        <v>691</v>
      </c>
    </row>
    <row r="42">
      <c r="A42" s="3" t="s">
        <v>692</v>
      </c>
      <c r="B42" s="3" t="s">
        <v>693</v>
      </c>
    </row>
    <row r="43">
      <c r="A43" s="3" t="s">
        <v>694</v>
      </c>
      <c r="B43" s="3" t="s">
        <v>695</v>
      </c>
    </row>
    <row r="44">
      <c r="A44" s="3" t="s">
        <v>696</v>
      </c>
      <c r="B44" s="3" t="s">
        <v>697</v>
      </c>
    </row>
    <row r="45">
      <c r="A45" s="3" t="s">
        <v>698</v>
      </c>
      <c r="B45" s="3" t="s">
        <v>699</v>
      </c>
    </row>
    <row r="46">
      <c r="A46" s="3" t="s">
        <v>700</v>
      </c>
      <c r="B46" s="3" t="s">
        <v>701</v>
      </c>
    </row>
    <row r="47">
      <c r="A47" s="3" t="s">
        <v>702</v>
      </c>
      <c r="B47" s="3" t="s">
        <v>703</v>
      </c>
    </row>
    <row r="48">
      <c r="A48" s="3" t="s">
        <v>704</v>
      </c>
      <c r="B48" s="3" t="s">
        <v>705</v>
      </c>
    </row>
    <row r="49">
      <c r="A49" s="3" t="s">
        <v>706</v>
      </c>
      <c r="B49" s="3" t="s">
        <v>707</v>
      </c>
    </row>
    <row r="50">
      <c r="A50" s="3" t="s">
        <v>708</v>
      </c>
      <c r="B50" s="3" t="s">
        <v>709</v>
      </c>
    </row>
    <row r="51">
      <c r="A51" s="3" t="s">
        <v>710</v>
      </c>
      <c r="B51" s="3" t="s">
        <v>711</v>
      </c>
    </row>
    <row r="52">
      <c r="A52" s="3" t="s">
        <v>712</v>
      </c>
      <c r="B52" s="3" t="s">
        <v>713</v>
      </c>
    </row>
    <row r="53">
      <c r="A53" s="3" t="s">
        <v>714</v>
      </c>
      <c r="B53" s="3" t="s">
        <v>715</v>
      </c>
    </row>
    <row r="54">
      <c r="A54" s="3" t="s">
        <v>716</v>
      </c>
      <c r="B54" s="3" t="s">
        <v>717</v>
      </c>
    </row>
    <row r="55">
      <c r="A55" s="3" t="s">
        <v>718</v>
      </c>
      <c r="B55" s="3" t="s">
        <v>573</v>
      </c>
    </row>
    <row r="56">
      <c r="A56" s="3" t="s">
        <v>719</v>
      </c>
      <c r="B56" s="3" t="s">
        <v>720</v>
      </c>
    </row>
    <row r="57">
      <c r="A57" s="3" t="s">
        <v>721</v>
      </c>
      <c r="B57" s="3" t="s">
        <v>722</v>
      </c>
    </row>
    <row r="58">
      <c r="A58" s="3" t="s">
        <v>723</v>
      </c>
      <c r="B58" s="3" t="s">
        <v>724</v>
      </c>
    </row>
    <row r="59">
      <c r="A59" s="3" t="s">
        <v>725</v>
      </c>
      <c r="B59" s="3" t="s">
        <v>726</v>
      </c>
    </row>
    <row r="60">
      <c r="A60" s="3" t="s">
        <v>727</v>
      </c>
      <c r="B60" s="3" t="s">
        <v>728</v>
      </c>
    </row>
    <row r="61">
      <c r="A61" s="3" t="s">
        <v>729</v>
      </c>
      <c r="B61" s="3" t="s">
        <v>730</v>
      </c>
    </row>
    <row r="62">
      <c r="A62" s="3" t="s">
        <v>731</v>
      </c>
      <c r="B62" s="3" t="s">
        <v>732</v>
      </c>
    </row>
    <row r="63">
      <c r="A63" s="3" t="s">
        <v>733</v>
      </c>
      <c r="B63" s="3" t="s">
        <v>734</v>
      </c>
    </row>
    <row r="64">
      <c r="A64" s="3" t="s">
        <v>735</v>
      </c>
      <c r="B64" s="3" t="s">
        <v>736</v>
      </c>
    </row>
    <row r="65">
      <c r="A65" s="3" t="s">
        <v>737</v>
      </c>
      <c r="B65" s="3" t="s">
        <v>738</v>
      </c>
    </row>
    <row r="66">
      <c r="A66" s="3" t="s">
        <v>739</v>
      </c>
      <c r="B66" s="3" t="s">
        <v>740</v>
      </c>
    </row>
    <row r="67">
      <c r="A67" s="3" t="s">
        <v>741</v>
      </c>
      <c r="B67" s="3" t="s">
        <v>742</v>
      </c>
    </row>
    <row r="68">
      <c r="A68" s="3" t="s">
        <v>743</v>
      </c>
      <c r="B68" s="3" t="s">
        <v>744</v>
      </c>
    </row>
    <row r="69">
      <c r="A69" s="3" t="s">
        <v>745</v>
      </c>
      <c r="B69" s="3" t="s">
        <v>746</v>
      </c>
    </row>
    <row r="70">
      <c r="A70" s="3" t="s">
        <v>747</v>
      </c>
      <c r="B70" s="3" t="s">
        <v>748</v>
      </c>
    </row>
    <row r="71">
      <c r="A71" s="3" t="s">
        <v>749</v>
      </c>
      <c r="B71" s="3" t="s">
        <v>750</v>
      </c>
    </row>
    <row r="72">
      <c r="A72" s="3" t="s">
        <v>751</v>
      </c>
      <c r="B72" s="3" t="s">
        <v>752</v>
      </c>
    </row>
    <row r="73">
      <c r="A73" s="3" t="s">
        <v>753</v>
      </c>
      <c r="B73" s="3" t="s">
        <v>754</v>
      </c>
    </row>
    <row r="74">
      <c r="A74" s="3" t="s">
        <v>755</v>
      </c>
      <c r="B74" s="3" t="s">
        <v>756</v>
      </c>
    </row>
    <row r="75">
      <c r="A75" s="3" t="s">
        <v>757</v>
      </c>
      <c r="B75" s="3" t="s">
        <v>758</v>
      </c>
    </row>
    <row r="76">
      <c r="A76" s="3" t="s">
        <v>759</v>
      </c>
      <c r="B76" s="3" t="s">
        <v>760</v>
      </c>
    </row>
    <row r="77">
      <c r="A77" s="3" t="s">
        <v>761</v>
      </c>
      <c r="B77" s="3" t="s">
        <v>762</v>
      </c>
    </row>
    <row r="78">
      <c r="A78" s="3" t="s">
        <v>763</v>
      </c>
      <c r="B78" s="3" t="s">
        <v>764</v>
      </c>
    </row>
    <row r="79">
      <c r="A79" s="3" t="s">
        <v>765</v>
      </c>
      <c r="B79" s="3" t="s">
        <v>766</v>
      </c>
    </row>
    <row r="80">
      <c r="A80" s="3" t="s">
        <v>767</v>
      </c>
      <c r="B80" s="3" t="s">
        <v>768</v>
      </c>
    </row>
    <row r="81">
      <c r="A81" s="3" t="s">
        <v>769</v>
      </c>
      <c r="B81" s="3" t="s">
        <v>770</v>
      </c>
    </row>
    <row r="82">
      <c r="A82" s="3" t="s">
        <v>771</v>
      </c>
      <c r="B82" s="3" t="s">
        <v>772</v>
      </c>
    </row>
    <row r="83">
      <c r="A83" s="3" t="s">
        <v>773</v>
      </c>
      <c r="B83" s="3" t="s">
        <v>774</v>
      </c>
    </row>
    <row r="84">
      <c r="A84" s="3" t="s">
        <v>775</v>
      </c>
      <c r="B84" s="3" t="s">
        <v>776</v>
      </c>
    </row>
    <row r="85">
      <c r="A85" s="3" t="s">
        <v>777</v>
      </c>
      <c r="B85" s="3" t="s">
        <v>778</v>
      </c>
    </row>
    <row r="86">
      <c r="A86" s="3" t="s">
        <v>779</v>
      </c>
      <c r="B86" s="3" t="s">
        <v>780</v>
      </c>
    </row>
    <row r="87">
      <c r="A87" s="3" t="s">
        <v>781</v>
      </c>
      <c r="B87" s="3" t="s">
        <v>782</v>
      </c>
    </row>
    <row r="88">
      <c r="A88" s="3" t="s">
        <v>783</v>
      </c>
      <c r="B88" s="3" t="s">
        <v>784</v>
      </c>
    </row>
    <row r="89">
      <c r="A89" s="3" t="s">
        <v>785</v>
      </c>
      <c r="B89" s="3" t="s">
        <v>786</v>
      </c>
    </row>
    <row r="90">
      <c r="A90" s="3" t="s">
        <v>787</v>
      </c>
      <c r="B90" s="3" t="s">
        <v>788</v>
      </c>
    </row>
    <row r="91">
      <c r="A91" s="3" t="s">
        <v>789</v>
      </c>
      <c r="B91" s="3" t="s">
        <v>790</v>
      </c>
    </row>
    <row r="92">
      <c r="A92" s="3" t="s">
        <v>791</v>
      </c>
      <c r="B92" s="3" t="s">
        <v>792</v>
      </c>
    </row>
    <row r="93">
      <c r="A93" s="3" t="s">
        <v>793</v>
      </c>
      <c r="B93" s="3" t="s">
        <v>794</v>
      </c>
    </row>
    <row r="94">
      <c r="A94" s="3" t="s">
        <v>795</v>
      </c>
      <c r="B94" s="3" t="s">
        <v>796</v>
      </c>
    </row>
    <row r="95">
      <c r="A95" s="3" t="s">
        <v>797</v>
      </c>
      <c r="B95" s="3" t="s">
        <v>798</v>
      </c>
    </row>
    <row r="96">
      <c r="A96" s="3" t="s">
        <v>799</v>
      </c>
      <c r="B96" s="3" t="s">
        <v>800</v>
      </c>
    </row>
    <row r="97">
      <c r="A97" s="3" t="s">
        <v>801</v>
      </c>
      <c r="B97" s="3" t="s">
        <v>802</v>
      </c>
    </row>
    <row r="98">
      <c r="A98" s="3" t="s">
        <v>803</v>
      </c>
      <c r="B98" s="3" t="s">
        <v>804</v>
      </c>
    </row>
    <row r="99">
      <c r="A99" s="3" t="s">
        <v>805</v>
      </c>
      <c r="B99" s="3" t="s">
        <v>806</v>
      </c>
    </row>
    <row r="100">
      <c r="A100" s="3" t="s">
        <v>807</v>
      </c>
      <c r="B100" s="3" t="s">
        <v>808</v>
      </c>
    </row>
    <row r="101">
      <c r="A101" s="3" t="s">
        <v>809</v>
      </c>
      <c r="B101" s="3" t="s">
        <v>810</v>
      </c>
    </row>
    <row r="102">
      <c r="A102" s="3" t="s">
        <v>811</v>
      </c>
      <c r="B102" s="3" t="s">
        <v>812</v>
      </c>
    </row>
    <row r="103">
      <c r="A103" s="3" t="s">
        <v>813</v>
      </c>
      <c r="B103" s="3" t="s">
        <v>814</v>
      </c>
    </row>
    <row r="104">
      <c r="A104" s="3" t="s">
        <v>815</v>
      </c>
      <c r="B104" s="3" t="s">
        <v>816</v>
      </c>
    </row>
    <row r="105">
      <c r="A105" s="3" t="s">
        <v>817</v>
      </c>
      <c r="B105" s="3" t="s">
        <v>818</v>
      </c>
    </row>
    <row r="106">
      <c r="A106" s="3" t="s">
        <v>819</v>
      </c>
      <c r="B106" s="3" t="s">
        <v>820</v>
      </c>
    </row>
    <row r="107">
      <c r="A107" s="3" t="s">
        <v>821</v>
      </c>
      <c r="B107" s="3" t="s">
        <v>822</v>
      </c>
    </row>
    <row r="108">
      <c r="A108" s="3" t="s">
        <v>823</v>
      </c>
      <c r="B108" s="3" t="s">
        <v>824</v>
      </c>
    </row>
    <row r="109">
      <c r="A109" s="3" t="s">
        <v>825</v>
      </c>
      <c r="B109" s="3" t="s">
        <v>826</v>
      </c>
    </row>
    <row r="110">
      <c r="A110" s="3" t="s">
        <v>827</v>
      </c>
      <c r="B110" s="3" t="s">
        <v>828</v>
      </c>
    </row>
    <row r="111">
      <c r="A111" s="3" t="s">
        <v>829</v>
      </c>
      <c r="B111" s="3" t="s">
        <v>830</v>
      </c>
    </row>
    <row r="112">
      <c r="A112" s="3" t="s">
        <v>831</v>
      </c>
      <c r="B112" s="3" t="s">
        <v>832</v>
      </c>
    </row>
    <row r="113">
      <c r="A113" s="3" t="s">
        <v>833</v>
      </c>
      <c r="B113" s="3" t="s">
        <v>834</v>
      </c>
    </row>
    <row r="114">
      <c r="A114" s="3" t="s">
        <v>835</v>
      </c>
      <c r="B114" s="3" t="s">
        <v>836</v>
      </c>
    </row>
    <row r="115">
      <c r="A115" s="3" t="s">
        <v>837</v>
      </c>
      <c r="B115" s="3" t="s">
        <v>838</v>
      </c>
    </row>
    <row r="116">
      <c r="A116" s="3" t="s">
        <v>839</v>
      </c>
      <c r="B116" s="3" t="s">
        <v>840</v>
      </c>
    </row>
    <row r="117">
      <c r="A117" s="3" t="s">
        <v>841</v>
      </c>
      <c r="B117" s="3" t="s">
        <v>842</v>
      </c>
    </row>
    <row r="118">
      <c r="A118" s="3" t="s">
        <v>843</v>
      </c>
      <c r="B118" s="3" t="s">
        <v>844</v>
      </c>
    </row>
    <row r="119">
      <c r="A119" s="3" t="s">
        <v>845</v>
      </c>
      <c r="B119" s="3" t="s">
        <v>846</v>
      </c>
    </row>
    <row r="120">
      <c r="A120" s="3" t="s">
        <v>847</v>
      </c>
      <c r="B120" s="3" t="s">
        <v>848</v>
      </c>
    </row>
    <row r="121">
      <c r="A121" s="3" t="s">
        <v>849</v>
      </c>
      <c r="B121" s="3" t="s">
        <v>850</v>
      </c>
    </row>
    <row r="122">
      <c r="A122" s="3" t="s">
        <v>851</v>
      </c>
      <c r="B122" s="3" t="s">
        <v>852</v>
      </c>
    </row>
    <row r="123">
      <c r="A123" s="3" t="s">
        <v>853</v>
      </c>
      <c r="B123" s="3" t="s">
        <v>854</v>
      </c>
    </row>
    <row r="124">
      <c r="A124" s="3" t="s">
        <v>855</v>
      </c>
      <c r="B124" s="3" t="s">
        <v>856</v>
      </c>
    </row>
    <row r="125">
      <c r="A125" s="3" t="s">
        <v>857</v>
      </c>
      <c r="B125" s="3" t="s">
        <v>858</v>
      </c>
    </row>
    <row r="126">
      <c r="A126" s="3" t="s">
        <v>859</v>
      </c>
      <c r="B126" s="3" t="s">
        <v>860</v>
      </c>
    </row>
    <row r="127">
      <c r="A127" s="3" t="s">
        <v>861</v>
      </c>
      <c r="B127" s="3" t="s">
        <v>862</v>
      </c>
    </row>
    <row r="128">
      <c r="A128" s="3" t="s">
        <v>863</v>
      </c>
      <c r="B128" s="3" t="s">
        <v>864</v>
      </c>
    </row>
    <row r="129">
      <c r="A129" s="3" t="s">
        <v>865</v>
      </c>
      <c r="B129" s="3" t="s">
        <v>866</v>
      </c>
    </row>
    <row r="130">
      <c r="A130" s="3" t="s">
        <v>867</v>
      </c>
      <c r="B130" s="3" t="s">
        <v>868</v>
      </c>
    </row>
    <row r="131">
      <c r="A131" s="3" t="s">
        <v>869</v>
      </c>
      <c r="B131" s="3" t="s">
        <v>870</v>
      </c>
    </row>
    <row r="132">
      <c r="A132" s="3" t="s">
        <v>871</v>
      </c>
      <c r="B132" s="3" t="s">
        <v>872</v>
      </c>
    </row>
    <row r="133">
      <c r="A133" s="3" t="s">
        <v>873</v>
      </c>
      <c r="B133" s="3" t="s">
        <v>874</v>
      </c>
    </row>
    <row r="134">
      <c r="A134" s="3" t="s">
        <v>875</v>
      </c>
      <c r="B134" s="3" t="s">
        <v>876</v>
      </c>
    </row>
    <row r="135">
      <c r="A135" s="3" t="s">
        <v>877</v>
      </c>
      <c r="B135" s="3" t="s">
        <v>878</v>
      </c>
    </row>
    <row r="136">
      <c r="A136" s="3" t="s">
        <v>879</v>
      </c>
      <c r="B136" s="3" t="s">
        <v>880</v>
      </c>
    </row>
    <row r="137">
      <c r="A137" s="3" t="s">
        <v>881</v>
      </c>
      <c r="B137" s="3" t="s">
        <v>882</v>
      </c>
    </row>
    <row r="138">
      <c r="A138" s="3" t="s">
        <v>883</v>
      </c>
      <c r="B138" s="3" t="s">
        <v>884</v>
      </c>
    </row>
    <row r="139">
      <c r="A139" s="3" t="s">
        <v>885</v>
      </c>
      <c r="B139" s="3" t="s">
        <v>886</v>
      </c>
    </row>
    <row r="140">
      <c r="A140" s="3" t="s">
        <v>887</v>
      </c>
      <c r="B140" s="3" t="s">
        <v>888</v>
      </c>
    </row>
    <row r="141">
      <c r="A141" s="3" t="s">
        <v>889</v>
      </c>
      <c r="B141" s="3" t="s">
        <v>890</v>
      </c>
    </row>
    <row r="142">
      <c r="A142" s="3" t="s">
        <v>891</v>
      </c>
      <c r="B142" s="3" t="s">
        <v>892</v>
      </c>
    </row>
    <row r="143">
      <c r="A143" s="3" t="s">
        <v>893</v>
      </c>
      <c r="B143" s="3" t="s">
        <v>894</v>
      </c>
    </row>
    <row r="144">
      <c r="A144" s="3" t="s">
        <v>895</v>
      </c>
      <c r="B144" s="3" t="s">
        <v>896</v>
      </c>
    </row>
    <row r="145">
      <c r="A145" s="3" t="s">
        <v>897</v>
      </c>
      <c r="B145" s="3" t="s">
        <v>898</v>
      </c>
    </row>
    <row r="146">
      <c r="A146" s="3" t="s">
        <v>899</v>
      </c>
      <c r="B146" s="3" t="s">
        <v>900</v>
      </c>
    </row>
    <row r="147">
      <c r="A147" s="3" t="s">
        <v>901</v>
      </c>
      <c r="B147" s="3" t="s">
        <v>902</v>
      </c>
    </row>
    <row r="148">
      <c r="A148" s="3" t="s">
        <v>903</v>
      </c>
      <c r="B148" s="3" t="s">
        <v>904</v>
      </c>
    </row>
    <row r="149">
      <c r="A149" s="3" t="s">
        <v>905</v>
      </c>
      <c r="B149" s="3" t="s">
        <v>906</v>
      </c>
    </row>
    <row r="150">
      <c r="A150" s="3" t="s">
        <v>907</v>
      </c>
      <c r="B150" s="3" t="s">
        <v>908</v>
      </c>
    </row>
    <row r="151">
      <c r="A151" s="3" t="s">
        <v>909</v>
      </c>
      <c r="B151" s="3" t="s">
        <v>910</v>
      </c>
    </row>
    <row r="152">
      <c r="A152" s="3" t="s">
        <v>911</v>
      </c>
      <c r="B152" s="3" t="s">
        <v>912</v>
      </c>
    </row>
    <row r="153">
      <c r="A153" s="3" t="s">
        <v>913</v>
      </c>
      <c r="B153" s="3" t="s">
        <v>914</v>
      </c>
    </row>
    <row r="154">
      <c r="A154" s="3" t="s">
        <v>915</v>
      </c>
      <c r="B154" s="3" t="s">
        <v>916</v>
      </c>
    </row>
    <row r="155">
      <c r="A155" s="3" t="s">
        <v>917</v>
      </c>
      <c r="B155" s="3" t="s">
        <v>918</v>
      </c>
    </row>
    <row r="156">
      <c r="A156" s="3" t="s">
        <v>919</v>
      </c>
      <c r="B156" s="3" t="s">
        <v>920</v>
      </c>
    </row>
    <row r="157">
      <c r="A157" s="3" t="s">
        <v>921</v>
      </c>
      <c r="B157" s="3" t="s">
        <v>922</v>
      </c>
    </row>
    <row r="158">
      <c r="A158" s="3" t="s">
        <v>923</v>
      </c>
      <c r="B158" s="3" t="s">
        <v>924</v>
      </c>
    </row>
    <row r="159">
      <c r="A159" s="3" t="s">
        <v>925</v>
      </c>
      <c r="B159" s="3" t="s">
        <v>926</v>
      </c>
    </row>
    <row r="160">
      <c r="A160" s="3" t="s">
        <v>927</v>
      </c>
      <c r="B160" s="3" t="s">
        <v>928</v>
      </c>
    </row>
    <row r="161">
      <c r="A161" s="3" t="s">
        <v>929</v>
      </c>
      <c r="B161" s="3" t="s">
        <v>930</v>
      </c>
    </row>
    <row r="162">
      <c r="A162" s="3" t="s">
        <v>931</v>
      </c>
      <c r="B162" s="3" t="s">
        <v>932</v>
      </c>
    </row>
    <row r="163">
      <c r="A163" s="3" t="s">
        <v>933</v>
      </c>
      <c r="B163" s="3" t="s">
        <v>934</v>
      </c>
    </row>
    <row r="164">
      <c r="A164" s="3" t="s">
        <v>935</v>
      </c>
      <c r="B164" s="3" t="s">
        <v>936</v>
      </c>
    </row>
    <row r="165">
      <c r="A165" s="3" t="s">
        <v>937</v>
      </c>
      <c r="B165" s="3" t="s">
        <v>938</v>
      </c>
    </row>
    <row r="166">
      <c r="A166" s="3" t="s">
        <v>939</v>
      </c>
      <c r="B166" s="3" t="s">
        <v>940</v>
      </c>
    </row>
    <row r="167">
      <c r="A167" s="3" t="s">
        <v>941</v>
      </c>
      <c r="B167" s="3" t="s">
        <v>942</v>
      </c>
    </row>
    <row r="168">
      <c r="A168" s="3" t="s">
        <v>943</v>
      </c>
      <c r="B168" s="3" t="s">
        <v>944</v>
      </c>
    </row>
    <row r="169">
      <c r="A169" s="3" t="s">
        <v>945</v>
      </c>
      <c r="B169" s="3" t="s">
        <v>946</v>
      </c>
    </row>
    <row r="170">
      <c r="A170" s="3" t="s">
        <v>947</v>
      </c>
      <c r="B170" s="3" t="s">
        <v>948</v>
      </c>
    </row>
    <row r="171">
      <c r="A171" s="3" t="s">
        <v>949</v>
      </c>
      <c r="B171" s="3" t="s">
        <v>950</v>
      </c>
    </row>
    <row r="172">
      <c r="A172" s="3" t="s">
        <v>951</v>
      </c>
      <c r="B172" s="3" t="s">
        <v>952</v>
      </c>
    </row>
    <row r="173">
      <c r="A173" s="3" t="s">
        <v>953</v>
      </c>
      <c r="B173" s="3" t="s">
        <v>954</v>
      </c>
    </row>
    <row r="174">
      <c r="A174" s="3" t="s">
        <v>955</v>
      </c>
      <c r="B174" s="3" t="s">
        <v>956</v>
      </c>
    </row>
    <row r="175">
      <c r="A175" s="3" t="s">
        <v>957</v>
      </c>
      <c r="B175" s="3" t="s">
        <v>958</v>
      </c>
    </row>
    <row r="176">
      <c r="A176" s="3" t="s">
        <v>959</v>
      </c>
      <c r="B176" s="3" t="s">
        <v>960</v>
      </c>
    </row>
    <row r="177">
      <c r="A177" s="3" t="s">
        <v>961</v>
      </c>
      <c r="B177" s="3" t="s">
        <v>962</v>
      </c>
    </row>
    <row r="178">
      <c r="A178" s="3" t="s">
        <v>963</v>
      </c>
      <c r="B178" s="3" t="s">
        <v>964</v>
      </c>
    </row>
    <row r="179">
      <c r="A179" s="3" t="s">
        <v>965</v>
      </c>
      <c r="B179" s="3" t="s">
        <v>966</v>
      </c>
    </row>
    <row r="180">
      <c r="A180" s="3" t="s">
        <v>967</v>
      </c>
      <c r="B180" s="3" t="s">
        <v>968</v>
      </c>
    </row>
    <row r="181">
      <c r="A181" s="3" t="s">
        <v>969</v>
      </c>
      <c r="B181" s="3" t="s">
        <v>970</v>
      </c>
    </row>
    <row r="182">
      <c r="A182" s="3" t="s">
        <v>971</v>
      </c>
      <c r="B182" s="3" t="s">
        <v>972</v>
      </c>
    </row>
    <row r="183">
      <c r="A183" s="3" t="s">
        <v>973</v>
      </c>
      <c r="B183" s="3" t="s">
        <v>974</v>
      </c>
    </row>
    <row r="184">
      <c r="A184" s="3" t="s">
        <v>975</v>
      </c>
      <c r="B184" s="3" t="s">
        <v>976</v>
      </c>
    </row>
    <row r="185">
      <c r="A185" s="3" t="s">
        <v>977</v>
      </c>
      <c r="B185" s="3" t="s">
        <v>978</v>
      </c>
    </row>
    <row r="186">
      <c r="A186" s="3" t="s">
        <v>979</v>
      </c>
      <c r="B186" s="3" t="s">
        <v>980</v>
      </c>
    </row>
    <row r="187">
      <c r="A187" s="3" t="s">
        <v>981</v>
      </c>
      <c r="B187" s="3" t="s">
        <v>982</v>
      </c>
    </row>
    <row r="188">
      <c r="A188" s="3" t="s">
        <v>983</v>
      </c>
      <c r="B188" s="3" t="s">
        <v>984</v>
      </c>
    </row>
    <row r="189">
      <c r="A189" s="3" t="s">
        <v>985</v>
      </c>
      <c r="B189" s="3" t="s">
        <v>986</v>
      </c>
    </row>
    <row r="190">
      <c r="A190" s="3" t="s">
        <v>987</v>
      </c>
      <c r="B190" s="3" t="s">
        <v>988</v>
      </c>
    </row>
    <row r="191">
      <c r="A191" s="3" t="s">
        <v>989</v>
      </c>
      <c r="B191" s="3" t="s">
        <v>990</v>
      </c>
    </row>
    <row r="192">
      <c r="A192" s="3" t="s">
        <v>991</v>
      </c>
      <c r="B192" s="3" t="s">
        <v>992</v>
      </c>
    </row>
    <row r="193">
      <c r="A193" s="3" t="s">
        <v>993</v>
      </c>
      <c r="B193" s="3" t="s">
        <v>994</v>
      </c>
    </row>
    <row r="194">
      <c r="A194" s="3" t="s">
        <v>995</v>
      </c>
      <c r="B194" s="3" t="s">
        <v>996</v>
      </c>
    </row>
    <row r="195">
      <c r="A195" s="3" t="s">
        <v>997</v>
      </c>
      <c r="B195" s="3" t="s">
        <v>998</v>
      </c>
    </row>
    <row r="196">
      <c r="A196" s="3" t="s">
        <v>999</v>
      </c>
      <c r="B196" s="3" t="s">
        <v>1000</v>
      </c>
    </row>
    <row r="197">
      <c r="A197" s="3" t="s">
        <v>1001</v>
      </c>
      <c r="B197" s="3" t="s">
        <v>1002</v>
      </c>
    </row>
    <row r="198">
      <c r="A198" s="3" t="s">
        <v>1003</v>
      </c>
      <c r="B198" s="3" t="s">
        <v>1004</v>
      </c>
    </row>
    <row r="199">
      <c r="A199" s="3" t="s">
        <v>1005</v>
      </c>
      <c r="B199" s="3" t="s">
        <v>505</v>
      </c>
    </row>
    <row r="200">
      <c r="A200" s="3" t="s">
        <v>1006</v>
      </c>
      <c r="B200" s="3" t="s">
        <v>1007</v>
      </c>
    </row>
    <row r="201">
      <c r="A201" s="3" t="s">
        <v>1008</v>
      </c>
      <c r="B201" s="3" t="s">
        <v>1009</v>
      </c>
    </row>
    <row r="202">
      <c r="A202" s="3" t="s">
        <v>1010</v>
      </c>
      <c r="B202" s="3" t="s">
        <v>1011</v>
      </c>
    </row>
    <row r="203">
      <c r="A203" s="3" t="s">
        <v>1012</v>
      </c>
      <c r="B203" s="3" t="s">
        <v>1013</v>
      </c>
    </row>
    <row r="204">
      <c r="A204" s="3" t="s">
        <v>1014</v>
      </c>
      <c r="B204" s="3" t="s">
        <v>1015</v>
      </c>
    </row>
    <row r="205">
      <c r="A205" s="3" t="s">
        <v>1016</v>
      </c>
      <c r="B205" s="3" t="s">
        <v>1017</v>
      </c>
    </row>
    <row r="206">
      <c r="A206" s="3" t="s">
        <v>1018</v>
      </c>
      <c r="B206" s="3" t="s">
        <v>1019</v>
      </c>
    </row>
    <row r="207">
      <c r="A207" s="3" t="s">
        <v>1020</v>
      </c>
      <c r="B207" s="3" t="s">
        <v>1021</v>
      </c>
    </row>
    <row r="208">
      <c r="A208" s="3" t="s">
        <v>1022</v>
      </c>
      <c r="B208" s="3" t="s">
        <v>1023</v>
      </c>
    </row>
    <row r="209">
      <c r="A209" s="3" t="s">
        <v>1024</v>
      </c>
      <c r="B209" s="3" t="s">
        <v>1025</v>
      </c>
    </row>
    <row r="210">
      <c r="A210" s="3" t="s">
        <v>1026</v>
      </c>
      <c r="B210" s="3" t="s">
        <v>1027</v>
      </c>
    </row>
    <row r="211">
      <c r="A211" s="3" t="s">
        <v>1028</v>
      </c>
      <c r="B211" s="3" t="s">
        <v>1029</v>
      </c>
    </row>
    <row r="212">
      <c r="A212" s="3" t="s">
        <v>1030</v>
      </c>
      <c r="B212" s="3" t="s">
        <v>1031</v>
      </c>
    </row>
    <row r="213">
      <c r="A213" s="3" t="s">
        <v>1032</v>
      </c>
      <c r="B213" s="3" t="s">
        <v>1033</v>
      </c>
    </row>
    <row r="214">
      <c r="A214" s="3" t="s">
        <v>1034</v>
      </c>
      <c r="B214" s="25" t="s">
        <v>1035</v>
      </c>
    </row>
    <row r="215">
      <c r="A215" s="3" t="s">
        <v>1036</v>
      </c>
      <c r="B215" s="25" t="s">
        <v>1037</v>
      </c>
    </row>
    <row r="216">
      <c r="A216" s="3" t="s">
        <v>1038</v>
      </c>
      <c r="B216" s="3" t="s">
        <v>1039</v>
      </c>
    </row>
    <row r="217">
      <c r="A217" s="3" t="s">
        <v>1040</v>
      </c>
      <c r="B217" s="3" t="s">
        <v>1041</v>
      </c>
    </row>
    <row r="218">
      <c r="A218" s="3" t="s">
        <v>1042</v>
      </c>
      <c r="B218" s="3" t="s">
        <v>1043</v>
      </c>
    </row>
    <row r="219">
      <c r="A219" s="3" t="s">
        <v>1044</v>
      </c>
      <c r="B219" s="3" t="s">
        <v>1045</v>
      </c>
    </row>
    <row r="220">
      <c r="A220" s="3" t="s">
        <v>1046</v>
      </c>
      <c r="B220" s="3" t="s">
        <v>1047</v>
      </c>
    </row>
    <row r="221">
      <c r="A221" s="3" t="s">
        <v>1048</v>
      </c>
      <c r="B221" s="3" t="s">
        <v>1049</v>
      </c>
    </row>
    <row r="222">
      <c r="A222" s="3" t="s">
        <v>1050</v>
      </c>
      <c r="B222" s="3" t="s">
        <v>1051</v>
      </c>
    </row>
    <row r="223">
      <c r="A223" s="3" t="s">
        <v>1052</v>
      </c>
      <c r="B223" s="3" t="s">
        <v>1053</v>
      </c>
    </row>
    <row r="224">
      <c r="A224" s="3" t="s">
        <v>1054</v>
      </c>
      <c r="B224" s="3" t="s">
        <v>1055</v>
      </c>
    </row>
    <row r="225">
      <c r="A225" s="3" t="s">
        <v>1056</v>
      </c>
      <c r="B225" s="3" t="s">
        <v>1057</v>
      </c>
    </row>
    <row r="226">
      <c r="A226" s="3" t="s">
        <v>1058</v>
      </c>
      <c r="B226" s="3" t="s">
        <v>1059</v>
      </c>
    </row>
    <row r="227">
      <c r="A227" s="3" t="s">
        <v>1060</v>
      </c>
      <c r="B227" s="3" t="s">
        <v>1061</v>
      </c>
    </row>
    <row r="228">
      <c r="A228" s="3" t="s">
        <v>1062</v>
      </c>
      <c r="B228" s="3" t="s">
        <v>1063</v>
      </c>
    </row>
    <row r="229">
      <c r="A229" s="3" t="s">
        <v>1064</v>
      </c>
      <c r="B229" s="3" t="s">
        <v>1065</v>
      </c>
    </row>
    <row r="230">
      <c r="A230" s="3" t="s">
        <v>1066</v>
      </c>
      <c r="B230" s="3" t="s">
        <v>1067</v>
      </c>
    </row>
    <row r="231">
      <c r="A231" s="3" t="s">
        <v>1068</v>
      </c>
      <c r="B231" s="3" t="s">
        <v>1069</v>
      </c>
    </row>
    <row r="232">
      <c r="A232" s="3" t="s">
        <v>1070</v>
      </c>
      <c r="B232" s="3" t="s">
        <v>1071</v>
      </c>
    </row>
    <row r="233">
      <c r="A233" s="3" t="s">
        <v>1072</v>
      </c>
      <c r="B233" s="3" t="s">
        <v>1073</v>
      </c>
    </row>
    <row r="234">
      <c r="A234" s="3" t="s">
        <v>1074</v>
      </c>
      <c r="B234" s="3" t="s">
        <v>1075</v>
      </c>
    </row>
    <row r="235">
      <c r="A235" s="3" t="s">
        <v>1076</v>
      </c>
      <c r="B235" s="3" t="s">
        <v>1077</v>
      </c>
    </row>
    <row r="236">
      <c r="A236" s="3" t="s">
        <v>1078</v>
      </c>
      <c r="B236" s="3" t="s">
        <v>1079</v>
      </c>
    </row>
    <row r="237">
      <c r="A237" s="3" t="s">
        <v>1080</v>
      </c>
      <c r="B237" s="3" t="s">
        <v>1081</v>
      </c>
    </row>
    <row r="238">
      <c r="A238" s="3" t="s">
        <v>1082</v>
      </c>
      <c r="B238" s="3" t="s">
        <v>1083</v>
      </c>
    </row>
    <row r="239">
      <c r="A239" s="3" t="s">
        <v>1084</v>
      </c>
      <c r="B239" s="3" t="s">
        <v>1085</v>
      </c>
    </row>
    <row r="240">
      <c r="A240" s="3" t="s">
        <v>1086</v>
      </c>
      <c r="B240" s="3" t="s">
        <v>1087</v>
      </c>
    </row>
    <row r="241">
      <c r="A241" s="3" t="s">
        <v>1088</v>
      </c>
      <c r="B241" s="3" t="s">
        <v>1089</v>
      </c>
    </row>
    <row r="242">
      <c r="A242" s="3" t="s">
        <v>1090</v>
      </c>
      <c r="B242" s="3" t="s">
        <v>1091</v>
      </c>
    </row>
    <row r="243">
      <c r="A243" s="3" t="s">
        <v>1092</v>
      </c>
      <c r="B243" s="3" t="s">
        <v>1093</v>
      </c>
    </row>
    <row r="244">
      <c r="A244" s="3" t="s">
        <v>1094</v>
      </c>
      <c r="B244" s="3" t="s">
        <v>1095</v>
      </c>
    </row>
    <row r="245">
      <c r="A245" s="3" t="s">
        <v>1096</v>
      </c>
      <c r="B245" s="3" t="s">
        <v>1097</v>
      </c>
    </row>
    <row r="246">
      <c r="A246" s="3" t="s">
        <v>1098</v>
      </c>
      <c r="B246" s="3" t="s">
        <v>1099</v>
      </c>
    </row>
    <row r="247">
      <c r="A247" s="3" t="s">
        <v>1100</v>
      </c>
      <c r="B247" s="3" t="s">
        <v>1101</v>
      </c>
    </row>
    <row r="248">
      <c r="A248" s="3" t="s">
        <v>1102</v>
      </c>
      <c r="B248" s="3" t="s">
        <v>1103</v>
      </c>
    </row>
    <row r="249">
      <c r="A249" s="3" t="s">
        <v>1104</v>
      </c>
      <c r="B249" s="3" t="s">
        <v>1105</v>
      </c>
    </row>
    <row r="250">
      <c r="A250" s="3" t="s">
        <v>1106</v>
      </c>
      <c r="B250" s="3" t="s">
        <v>1107</v>
      </c>
    </row>
    <row r="251">
      <c r="A251" s="3" t="s">
        <v>1108</v>
      </c>
      <c r="B251" s="3" t="s">
        <v>1109</v>
      </c>
    </row>
    <row r="252">
      <c r="A252" s="3" t="s">
        <v>1110</v>
      </c>
      <c r="B252" s="3" t="s">
        <v>1111</v>
      </c>
    </row>
    <row r="253">
      <c r="A253" s="3" t="s">
        <v>1112</v>
      </c>
      <c r="B253" s="3" t="s">
        <v>1113</v>
      </c>
    </row>
    <row r="254">
      <c r="A254" s="3" t="s">
        <v>1114</v>
      </c>
      <c r="B254" s="3" t="s">
        <v>1115</v>
      </c>
    </row>
    <row r="255">
      <c r="A255" s="3" t="s">
        <v>1116</v>
      </c>
      <c r="B255" s="3" t="s">
        <v>1117</v>
      </c>
    </row>
    <row r="256">
      <c r="A256" s="3" t="s">
        <v>1118</v>
      </c>
      <c r="B256" s="3" t="s">
        <v>1119</v>
      </c>
    </row>
    <row r="257">
      <c r="A257" s="3" t="s">
        <v>1120</v>
      </c>
      <c r="B257" s="3" t="s">
        <v>1121</v>
      </c>
    </row>
    <row r="258">
      <c r="A258" s="3" t="s">
        <v>1122</v>
      </c>
      <c r="B258" s="3" t="s">
        <v>1123</v>
      </c>
    </row>
    <row r="259">
      <c r="A259" s="3" t="s">
        <v>1124</v>
      </c>
      <c r="B259" s="3" t="s">
        <v>1125</v>
      </c>
    </row>
    <row r="260">
      <c r="A260" s="3" t="s">
        <v>1126</v>
      </c>
      <c r="B260" s="3" t="s">
        <v>1127</v>
      </c>
    </row>
    <row r="261">
      <c r="A261" s="3" t="s">
        <v>1128</v>
      </c>
      <c r="B261" s="3" t="s">
        <v>1129</v>
      </c>
    </row>
    <row r="262">
      <c r="A262" s="3" t="s">
        <v>1130</v>
      </c>
      <c r="B262" s="3" t="s">
        <v>1131</v>
      </c>
    </row>
    <row r="263">
      <c r="A263" s="3" t="s">
        <v>1132</v>
      </c>
      <c r="B263" s="3" t="s">
        <v>1133</v>
      </c>
    </row>
    <row r="264">
      <c r="A264" s="3" t="s">
        <v>1134</v>
      </c>
      <c r="B264" s="3" t="s">
        <v>1135</v>
      </c>
    </row>
    <row r="265">
      <c r="A265" s="3" t="s">
        <v>1136</v>
      </c>
      <c r="B265" s="3" t="s">
        <v>1137</v>
      </c>
    </row>
    <row r="266">
      <c r="A266" s="3" t="s">
        <v>1138</v>
      </c>
      <c r="B266" s="3" t="s">
        <v>1139</v>
      </c>
    </row>
    <row r="267">
      <c r="A267" s="3" t="s">
        <v>1140</v>
      </c>
      <c r="B267" s="3" t="s">
        <v>1141</v>
      </c>
    </row>
    <row r="268">
      <c r="A268" s="3" t="s">
        <v>1142</v>
      </c>
      <c r="B268" s="3" t="s">
        <v>1143</v>
      </c>
    </row>
    <row r="269">
      <c r="A269" s="3" t="s">
        <v>1144</v>
      </c>
      <c r="B269" s="3" t="s">
        <v>1145</v>
      </c>
    </row>
    <row r="270">
      <c r="A270" s="3" t="s">
        <v>1146</v>
      </c>
      <c r="B270" s="3" t="s">
        <v>1147</v>
      </c>
    </row>
    <row r="271">
      <c r="A271" s="3" t="s">
        <v>1148</v>
      </c>
      <c r="B271" s="3" t="s">
        <v>1149</v>
      </c>
    </row>
    <row r="272">
      <c r="A272" s="3" t="s">
        <v>1150</v>
      </c>
      <c r="B272" s="3" t="s">
        <v>1151</v>
      </c>
    </row>
    <row r="273">
      <c r="A273" s="3" t="s">
        <v>1152</v>
      </c>
      <c r="B273" s="3" t="s">
        <v>1153</v>
      </c>
    </row>
    <row r="274">
      <c r="A274" s="3" t="s">
        <v>1154</v>
      </c>
      <c r="B274" s="3" t="s">
        <v>1155</v>
      </c>
    </row>
    <row r="275">
      <c r="A275" s="3" t="s">
        <v>1156</v>
      </c>
      <c r="B275" s="3" t="s">
        <v>1157</v>
      </c>
    </row>
    <row r="276">
      <c r="A276" s="3" t="s">
        <v>1158</v>
      </c>
      <c r="B276" s="3" t="s">
        <v>1159</v>
      </c>
    </row>
    <row r="277">
      <c r="A277" s="3" t="s">
        <v>1160</v>
      </c>
      <c r="B277" s="3" t="s">
        <v>1161</v>
      </c>
    </row>
    <row r="278">
      <c r="A278" s="3" t="s">
        <v>1162</v>
      </c>
      <c r="B278" s="3" t="s">
        <v>1163</v>
      </c>
    </row>
    <row r="279">
      <c r="A279" s="3" t="s">
        <v>1164</v>
      </c>
      <c r="B279" s="3" t="s">
        <v>1165</v>
      </c>
    </row>
    <row r="280">
      <c r="A280" s="3" t="s">
        <v>1166</v>
      </c>
      <c r="B280" s="3" t="s">
        <v>1167</v>
      </c>
    </row>
    <row r="281">
      <c r="A281" s="3" t="s">
        <v>1168</v>
      </c>
      <c r="B281" s="3" t="s">
        <v>1169</v>
      </c>
    </row>
    <row r="282">
      <c r="A282" s="3" t="s">
        <v>1170</v>
      </c>
      <c r="B282" s="3" t="s">
        <v>1171</v>
      </c>
    </row>
    <row r="283">
      <c r="A283" s="3" t="s">
        <v>1172</v>
      </c>
      <c r="B283" s="3" t="s">
        <v>1173</v>
      </c>
    </row>
    <row r="284">
      <c r="A284" s="3" t="s">
        <v>1174</v>
      </c>
      <c r="B284" s="3" t="s">
        <v>1175</v>
      </c>
    </row>
    <row r="285">
      <c r="A285" s="3" t="s">
        <v>1176</v>
      </c>
      <c r="B285" s="3" t="s">
        <v>1177</v>
      </c>
    </row>
    <row r="286">
      <c r="A286" s="3" t="s">
        <v>1178</v>
      </c>
      <c r="B286" s="3" t="s">
        <v>1179</v>
      </c>
    </row>
    <row r="287">
      <c r="A287" s="3" t="s">
        <v>1180</v>
      </c>
      <c r="B287" s="3" t="s">
        <v>1181</v>
      </c>
    </row>
    <row r="288">
      <c r="A288" s="3" t="s">
        <v>1182</v>
      </c>
      <c r="B288" s="3" t="s">
        <v>1183</v>
      </c>
    </row>
    <row r="289">
      <c r="A289" s="3" t="s">
        <v>1184</v>
      </c>
      <c r="B289" s="3" t="s">
        <v>1185</v>
      </c>
    </row>
    <row r="290">
      <c r="A290" s="3" t="s">
        <v>1186</v>
      </c>
      <c r="B290" s="3" t="s">
        <v>1187</v>
      </c>
    </row>
    <row r="291">
      <c r="A291" s="3" t="s">
        <v>1188</v>
      </c>
      <c r="B291" s="3" t="s">
        <v>1189</v>
      </c>
    </row>
    <row r="292">
      <c r="A292" s="3" t="s">
        <v>1190</v>
      </c>
      <c r="B292" s="3" t="s">
        <v>1191</v>
      </c>
    </row>
    <row r="293">
      <c r="A293" s="3" t="s">
        <v>1192</v>
      </c>
      <c r="B293" s="3" t="s">
        <v>1193</v>
      </c>
    </row>
    <row r="294">
      <c r="A294" s="3" t="s">
        <v>1194</v>
      </c>
      <c r="B294" s="3" t="s">
        <v>1195</v>
      </c>
    </row>
    <row r="295">
      <c r="A295" s="3" t="s">
        <v>1196</v>
      </c>
      <c r="B295" s="3" t="s">
        <v>1197</v>
      </c>
    </row>
    <row r="296">
      <c r="A296" s="3" t="s">
        <v>1198</v>
      </c>
      <c r="B296" s="3" t="s">
        <v>1199</v>
      </c>
    </row>
    <row r="297">
      <c r="A297" s="3" t="s">
        <v>1200</v>
      </c>
      <c r="B297" s="3" t="s">
        <v>1201</v>
      </c>
    </row>
    <row r="298">
      <c r="A298" s="3" t="s">
        <v>1202</v>
      </c>
      <c r="B298" s="3" t="s">
        <v>1203</v>
      </c>
    </row>
    <row r="299">
      <c r="A299" s="3" t="s">
        <v>1204</v>
      </c>
      <c r="B299" s="3" t="s">
        <v>1205</v>
      </c>
    </row>
    <row r="300">
      <c r="A300" s="3" t="s">
        <v>1206</v>
      </c>
      <c r="B300" s="3" t="s">
        <v>1207</v>
      </c>
    </row>
    <row r="301">
      <c r="A301" s="3" t="s">
        <v>1208</v>
      </c>
      <c r="B301" s="3" t="s">
        <v>1209</v>
      </c>
    </row>
    <row r="302">
      <c r="A302" s="3" t="s">
        <v>1210</v>
      </c>
      <c r="B302" s="3" t="s">
        <v>1211</v>
      </c>
    </row>
    <row r="303">
      <c r="A303" s="3" t="s">
        <v>1212</v>
      </c>
      <c r="B303" s="3" t="s">
        <v>1213</v>
      </c>
    </row>
    <row r="304">
      <c r="A304" s="3" t="s">
        <v>1214</v>
      </c>
      <c r="B304" s="3" t="s">
        <v>1215</v>
      </c>
    </row>
    <row r="305">
      <c r="A305" s="3" t="s">
        <v>1216</v>
      </c>
      <c r="B305" s="3" t="s">
        <v>1217</v>
      </c>
    </row>
    <row r="306">
      <c r="A306" s="3" t="s">
        <v>1218</v>
      </c>
      <c r="B306" s="3" t="s">
        <v>1219</v>
      </c>
    </row>
    <row r="307">
      <c r="A307" s="3" t="s">
        <v>1220</v>
      </c>
      <c r="B307" s="3" t="s">
        <v>1221</v>
      </c>
    </row>
    <row r="308">
      <c r="A308" s="3" t="s">
        <v>1222</v>
      </c>
      <c r="B308" s="3" t="s">
        <v>1223</v>
      </c>
    </row>
    <row r="309">
      <c r="A309" s="3" t="s">
        <v>1224</v>
      </c>
      <c r="B309" s="3" t="s">
        <v>1225</v>
      </c>
    </row>
    <row r="310">
      <c r="A310" s="3" t="s">
        <v>1226</v>
      </c>
      <c r="B310" s="3" t="s">
        <v>1227</v>
      </c>
    </row>
    <row r="311">
      <c r="A311" s="3" t="s">
        <v>1228</v>
      </c>
      <c r="B311" s="3" t="s">
        <v>1229</v>
      </c>
    </row>
    <row r="312">
      <c r="A312" s="3" t="s">
        <v>1230</v>
      </c>
      <c r="B312" s="3" t="s">
        <v>1231</v>
      </c>
    </row>
    <row r="313">
      <c r="A313" s="3" t="s">
        <v>1232</v>
      </c>
      <c r="B313" s="3" t="s">
        <v>1233</v>
      </c>
    </row>
    <row r="314">
      <c r="A314" s="3" t="s">
        <v>1234</v>
      </c>
      <c r="B314" s="3" t="s">
        <v>1235</v>
      </c>
    </row>
    <row r="315">
      <c r="A315" s="3" t="s">
        <v>1236</v>
      </c>
      <c r="B315" s="3" t="s">
        <v>1237</v>
      </c>
    </row>
    <row r="316">
      <c r="A316" s="3" t="s">
        <v>1238</v>
      </c>
      <c r="B316" s="3" t="s">
        <v>1239</v>
      </c>
    </row>
    <row r="317">
      <c r="A317" s="3" t="s">
        <v>1240</v>
      </c>
      <c r="B317" s="3" t="s">
        <v>1241</v>
      </c>
    </row>
    <row r="318">
      <c r="A318" s="3" t="s">
        <v>1242</v>
      </c>
      <c r="B318" s="3" t="s">
        <v>1243</v>
      </c>
    </row>
    <row r="319">
      <c r="A319" s="3" t="s">
        <v>1244</v>
      </c>
      <c r="B319" s="3" t="s">
        <v>545</v>
      </c>
    </row>
    <row r="320">
      <c r="A320" s="3" t="s">
        <v>1245</v>
      </c>
      <c r="B320" s="3" t="s">
        <v>1246</v>
      </c>
    </row>
    <row r="321">
      <c r="A321" s="3" t="s">
        <v>1247</v>
      </c>
      <c r="B321" s="3" t="s">
        <v>1248</v>
      </c>
    </row>
    <row r="322">
      <c r="A322" s="3" t="s">
        <v>1249</v>
      </c>
      <c r="B322" s="3" t="s">
        <v>1250</v>
      </c>
    </row>
    <row r="323">
      <c r="A323" s="3" t="s">
        <v>1251</v>
      </c>
      <c r="B323" s="3" t="s">
        <v>1252</v>
      </c>
    </row>
    <row r="324">
      <c r="A324" s="3" t="s">
        <v>1253</v>
      </c>
      <c r="B324" s="3" t="s">
        <v>1254</v>
      </c>
    </row>
    <row r="325">
      <c r="A325" s="3" t="s">
        <v>1255</v>
      </c>
      <c r="B325" s="3" t="s">
        <v>407</v>
      </c>
    </row>
    <row r="326">
      <c r="A326" s="3" t="s">
        <v>1256</v>
      </c>
      <c r="B326" s="3" t="s">
        <v>1257</v>
      </c>
    </row>
    <row r="327">
      <c r="A327" s="3" t="s">
        <v>1258</v>
      </c>
      <c r="B327" s="3" t="s">
        <v>1259</v>
      </c>
    </row>
    <row r="328">
      <c r="A328" s="3" t="s">
        <v>1260</v>
      </c>
      <c r="B328" s="3" t="s">
        <v>1261</v>
      </c>
    </row>
    <row r="329">
      <c r="A329" s="3" t="s">
        <v>1262</v>
      </c>
      <c r="B329" s="3" t="s">
        <v>1263</v>
      </c>
    </row>
    <row r="330">
      <c r="A330" s="3" t="s">
        <v>1264</v>
      </c>
      <c r="B330" s="3" t="s">
        <v>1265</v>
      </c>
    </row>
    <row r="331">
      <c r="A331" s="3" t="s">
        <v>1266</v>
      </c>
      <c r="B331" s="3" t="s">
        <v>1267</v>
      </c>
    </row>
    <row r="332">
      <c r="A332" s="3" t="s">
        <v>1268</v>
      </c>
      <c r="B332" s="3" t="s">
        <v>1269</v>
      </c>
    </row>
    <row r="333">
      <c r="A333" s="3" t="s">
        <v>1270</v>
      </c>
      <c r="B333" s="3" t="s">
        <v>1271</v>
      </c>
    </row>
    <row r="334">
      <c r="A334" s="3" t="s">
        <v>1272</v>
      </c>
      <c r="B334" s="3" t="s">
        <v>1273</v>
      </c>
    </row>
    <row r="335">
      <c r="A335" s="3" t="s">
        <v>1274</v>
      </c>
      <c r="B335" s="3" t="s">
        <v>1275</v>
      </c>
    </row>
    <row r="336">
      <c r="A336" s="3" t="s">
        <v>1276</v>
      </c>
      <c r="B336" s="3" t="s">
        <v>1277</v>
      </c>
    </row>
    <row r="337">
      <c r="A337" s="3" t="s">
        <v>1278</v>
      </c>
      <c r="B337" s="3" t="s">
        <v>1279</v>
      </c>
    </row>
    <row r="338">
      <c r="A338" s="3" t="s">
        <v>1280</v>
      </c>
      <c r="B338" s="3" t="s">
        <v>1281</v>
      </c>
    </row>
    <row r="339">
      <c r="A339" s="3" t="s">
        <v>1282</v>
      </c>
      <c r="B339" s="3" t="s">
        <v>1283</v>
      </c>
    </row>
    <row r="340">
      <c r="A340" s="3" t="s">
        <v>1284</v>
      </c>
      <c r="B340" s="3" t="s">
        <v>1285</v>
      </c>
    </row>
    <row r="341">
      <c r="A341" s="3" t="s">
        <v>1286</v>
      </c>
      <c r="B341" s="3" t="s">
        <v>1287</v>
      </c>
    </row>
    <row r="342">
      <c r="A342" s="3" t="s">
        <v>1288</v>
      </c>
      <c r="B342" s="3" t="s">
        <v>1289</v>
      </c>
    </row>
    <row r="343">
      <c r="A343" s="3" t="s">
        <v>1290</v>
      </c>
      <c r="B343" s="3" t="s">
        <v>1291</v>
      </c>
    </row>
    <row r="344">
      <c r="A344" s="3" t="s">
        <v>1292</v>
      </c>
      <c r="B344" s="3" t="s">
        <v>1293</v>
      </c>
    </row>
    <row r="345">
      <c r="A345" s="3" t="s">
        <v>1294</v>
      </c>
      <c r="B345" s="3" t="s">
        <v>1295</v>
      </c>
    </row>
    <row r="346">
      <c r="A346" s="3" t="s">
        <v>1296</v>
      </c>
      <c r="B346" s="3" t="s">
        <v>1297</v>
      </c>
    </row>
    <row r="347">
      <c r="A347" s="3" t="s">
        <v>1298</v>
      </c>
      <c r="B347" s="3" t="s">
        <v>1299</v>
      </c>
    </row>
    <row r="348">
      <c r="A348" s="3" t="s">
        <v>1300</v>
      </c>
      <c r="B348" s="3" t="s">
        <v>1301</v>
      </c>
    </row>
    <row r="349">
      <c r="A349" s="3" t="s">
        <v>1302</v>
      </c>
      <c r="B349" s="3" t="s">
        <v>1303</v>
      </c>
    </row>
    <row r="350">
      <c r="A350" s="3" t="s">
        <v>1304</v>
      </c>
      <c r="B350" s="3" t="s">
        <v>1305</v>
      </c>
    </row>
    <row r="351">
      <c r="A351" s="3" t="s">
        <v>1306</v>
      </c>
      <c r="B351" s="3" t="s">
        <v>1307</v>
      </c>
    </row>
    <row r="352">
      <c r="A352" s="3" t="s">
        <v>1308</v>
      </c>
      <c r="B352" s="3" t="s">
        <v>1309</v>
      </c>
    </row>
    <row r="353">
      <c r="A353" s="3" t="s">
        <v>1310</v>
      </c>
      <c r="B353" s="3" t="s">
        <v>1311</v>
      </c>
    </row>
    <row r="354">
      <c r="A354" s="3" t="s">
        <v>1312</v>
      </c>
      <c r="B354" s="3" t="s">
        <v>1313</v>
      </c>
    </row>
    <row r="355">
      <c r="A355" s="3" t="s">
        <v>1314</v>
      </c>
      <c r="B355" s="3" t="s">
        <v>1315</v>
      </c>
    </row>
    <row r="356">
      <c r="A356" s="3" t="s">
        <v>1316</v>
      </c>
      <c r="B356" s="3" t="s">
        <v>1317</v>
      </c>
    </row>
    <row r="357">
      <c r="A357" s="3" t="s">
        <v>1318</v>
      </c>
      <c r="B357" s="3" t="s">
        <v>1319</v>
      </c>
    </row>
    <row r="358">
      <c r="A358" s="3" t="s">
        <v>1320</v>
      </c>
      <c r="B358" s="3" t="s">
        <v>1321</v>
      </c>
    </row>
    <row r="359">
      <c r="A359" s="3" t="s">
        <v>1322</v>
      </c>
      <c r="B359" s="3" t="s">
        <v>1323</v>
      </c>
    </row>
    <row r="360">
      <c r="A360" s="3" t="s">
        <v>1324</v>
      </c>
      <c r="B360" s="3" t="s">
        <v>1325</v>
      </c>
    </row>
    <row r="361">
      <c r="A361" s="3" t="s">
        <v>1326</v>
      </c>
      <c r="B361" s="3" t="s">
        <v>1327</v>
      </c>
    </row>
    <row r="362">
      <c r="A362" s="3" t="s">
        <v>1328</v>
      </c>
      <c r="B362" s="3" t="s">
        <v>1329</v>
      </c>
    </row>
    <row r="363">
      <c r="A363" s="3" t="s">
        <v>1330</v>
      </c>
      <c r="B363" s="3" t="s">
        <v>1331</v>
      </c>
    </row>
    <row r="364">
      <c r="A364" s="3" t="s">
        <v>1332</v>
      </c>
      <c r="B364" s="3" t="s">
        <v>1333</v>
      </c>
    </row>
    <row r="365">
      <c r="A365" s="3" t="s">
        <v>1334</v>
      </c>
      <c r="B365" s="3" t="s">
        <v>1335</v>
      </c>
    </row>
    <row r="366">
      <c r="A366" s="3" t="s">
        <v>1336</v>
      </c>
      <c r="B366" s="3" t="s">
        <v>1337</v>
      </c>
    </row>
    <row r="367">
      <c r="A367" s="3" t="s">
        <v>1338</v>
      </c>
      <c r="B367" s="3" t="s">
        <v>1339</v>
      </c>
    </row>
    <row r="368">
      <c r="A368" s="3" t="s">
        <v>1340</v>
      </c>
      <c r="B368" s="3" t="s">
        <v>1341</v>
      </c>
    </row>
    <row r="369">
      <c r="A369" s="3" t="s">
        <v>1342</v>
      </c>
      <c r="B369" s="3" t="s">
        <v>1343</v>
      </c>
    </row>
    <row r="370">
      <c r="A370" s="3" t="s">
        <v>1344</v>
      </c>
      <c r="B370" s="3" t="s">
        <v>1345</v>
      </c>
    </row>
    <row r="371">
      <c r="A371" s="3" t="s">
        <v>1346</v>
      </c>
      <c r="B371" s="3" t="s">
        <v>1347</v>
      </c>
    </row>
    <row r="372">
      <c r="A372" s="3" t="s">
        <v>1348</v>
      </c>
      <c r="B372" s="3" t="s">
        <v>1349</v>
      </c>
    </row>
    <row r="373">
      <c r="A373" s="3" t="s">
        <v>1350</v>
      </c>
      <c r="B373" s="3" t="s">
        <v>1351</v>
      </c>
    </row>
    <row r="374">
      <c r="A374" s="3" t="s">
        <v>1352</v>
      </c>
      <c r="B374" s="3" t="s">
        <v>1353</v>
      </c>
    </row>
    <row r="375">
      <c r="A375" s="3" t="s">
        <v>1354</v>
      </c>
      <c r="B375" s="3" t="s">
        <v>1355</v>
      </c>
    </row>
    <row r="376">
      <c r="A376" s="3" t="s">
        <v>1356</v>
      </c>
      <c r="B376" s="3" t="s">
        <v>1357</v>
      </c>
    </row>
    <row r="377">
      <c r="A377" s="3" t="s">
        <v>1358</v>
      </c>
      <c r="B377" s="3" t="s">
        <v>1359</v>
      </c>
    </row>
    <row r="378">
      <c r="A378" s="3" t="s">
        <v>1360</v>
      </c>
      <c r="B378" s="3" t="s">
        <v>1361</v>
      </c>
    </row>
    <row r="379">
      <c r="A379" s="3" t="s">
        <v>1362</v>
      </c>
      <c r="B379" s="3" t="s">
        <v>1363</v>
      </c>
    </row>
    <row r="380">
      <c r="A380" s="3" t="s">
        <v>1364</v>
      </c>
      <c r="B380" s="3" t="s">
        <v>1365</v>
      </c>
    </row>
    <row r="381">
      <c r="A381" s="3" t="s">
        <v>1366</v>
      </c>
      <c r="B381" s="3" t="s">
        <v>1367</v>
      </c>
    </row>
    <row r="382">
      <c r="A382" s="3" t="s">
        <v>1368</v>
      </c>
      <c r="B382" s="3" t="s">
        <v>1369</v>
      </c>
    </row>
    <row r="383">
      <c r="A383" s="3" t="s">
        <v>1370</v>
      </c>
      <c r="B383" s="3" t="s">
        <v>1371</v>
      </c>
    </row>
    <row r="384">
      <c r="A384" s="3" t="s">
        <v>1372</v>
      </c>
      <c r="B384" s="3" t="s">
        <v>1373</v>
      </c>
    </row>
    <row r="385">
      <c r="A385" s="3" t="s">
        <v>1374</v>
      </c>
      <c r="B385" s="3" t="s">
        <v>1375</v>
      </c>
    </row>
    <row r="386">
      <c r="A386" s="3" t="s">
        <v>1376</v>
      </c>
      <c r="B386" s="3" t="s">
        <v>1377</v>
      </c>
    </row>
    <row r="387">
      <c r="A387" s="3" t="s">
        <v>1378</v>
      </c>
      <c r="B387" s="3" t="s">
        <v>1379</v>
      </c>
    </row>
    <row r="388">
      <c r="A388" s="3" t="s">
        <v>1380</v>
      </c>
      <c r="B388" s="3" t="s">
        <v>1381</v>
      </c>
    </row>
    <row r="389">
      <c r="A389" s="3" t="s">
        <v>1382</v>
      </c>
      <c r="B389" s="3" t="s">
        <v>1383</v>
      </c>
    </row>
    <row r="390">
      <c r="A390" s="3" t="s">
        <v>1384</v>
      </c>
      <c r="B390" s="3" t="s">
        <v>1385</v>
      </c>
    </row>
    <row r="391">
      <c r="A391" s="3" t="s">
        <v>1386</v>
      </c>
      <c r="B391" s="3" t="s">
        <v>1387</v>
      </c>
    </row>
    <row r="392">
      <c r="A392" s="3" t="s">
        <v>1388</v>
      </c>
      <c r="B392" s="3" t="s">
        <v>1389</v>
      </c>
    </row>
    <row r="393">
      <c r="A393" s="3" t="s">
        <v>1390</v>
      </c>
      <c r="B393" s="3" t="s">
        <v>1391</v>
      </c>
    </row>
    <row r="394">
      <c r="A394" s="3" t="s">
        <v>1392</v>
      </c>
      <c r="B394" s="3" t="s">
        <v>1393</v>
      </c>
    </row>
    <row r="395">
      <c r="A395" s="3" t="s">
        <v>1394</v>
      </c>
      <c r="B395" s="3" t="s">
        <v>1395</v>
      </c>
    </row>
    <row r="396">
      <c r="A396" s="3" t="s">
        <v>1396</v>
      </c>
      <c r="B396" s="3" t="s">
        <v>1397</v>
      </c>
    </row>
    <row r="397">
      <c r="A397" s="3" t="s">
        <v>1398</v>
      </c>
      <c r="B397" s="3" t="s">
        <v>1399</v>
      </c>
    </row>
    <row r="398">
      <c r="A398" s="3" t="s">
        <v>1400</v>
      </c>
      <c r="B398" s="3" t="s">
        <v>1401</v>
      </c>
    </row>
    <row r="399">
      <c r="A399" s="3" t="s">
        <v>1402</v>
      </c>
      <c r="B399" s="3" t="s">
        <v>1403</v>
      </c>
    </row>
    <row r="400">
      <c r="A400" s="3" t="s">
        <v>1404</v>
      </c>
      <c r="B400" s="3" t="s">
        <v>1405</v>
      </c>
    </row>
    <row r="401">
      <c r="A401" s="3" t="s">
        <v>1406</v>
      </c>
      <c r="B401" s="3" t="s">
        <v>1407</v>
      </c>
    </row>
    <row r="402">
      <c r="A402" s="3" t="s">
        <v>1408</v>
      </c>
      <c r="B402" s="3" t="s">
        <v>1409</v>
      </c>
    </row>
    <row r="403">
      <c r="A403" s="3" t="s">
        <v>1410</v>
      </c>
      <c r="B403" s="3" t="s">
        <v>1411</v>
      </c>
    </row>
    <row r="404">
      <c r="A404" s="3" t="s">
        <v>1412</v>
      </c>
      <c r="B404" s="3" t="s">
        <v>1413</v>
      </c>
    </row>
    <row r="405">
      <c r="A405" s="3" t="s">
        <v>1414</v>
      </c>
      <c r="B405" s="3" t="s">
        <v>423</v>
      </c>
    </row>
    <row r="406">
      <c r="A406" s="3" t="s">
        <v>1415</v>
      </c>
      <c r="B406" s="3" t="s">
        <v>1416</v>
      </c>
    </row>
    <row r="407">
      <c r="A407" s="3" t="s">
        <v>1417</v>
      </c>
      <c r="B407" s="3" t="s">
        <v>1418</v>
      </c>
    </row>
    <row r="408">
      <c r="A408" s="3" t="s">
        <v>1419</v>
      </c>
      <c r="B408" s="3" t="s">
        <v>1420</v>
      </c>
    </row>
    <row r="409">
      <c r="A409" s="3" t="s">
        <v>1421</v>
      </c>
      <c r="B409" s="3" t="s">
        <v>1422</v>
      </c>
    </row>
    <row r="410">
      <c r="A410" s="3" t="s">
        <v>1423</v>
      </c>
      <c r="B410" s="3" t="s">
        <v>1424</v>
      </c>
    </row>
    <row r="411">
      <c r="A411" s="3" t="s">
        <v>1425</v>
      </c>
      <c r="B411" s="3" t="s">
        <v>1426</v>
      </c>
    </row>
    <row r="412">
      <c r="A412" s="3" t="s">
        <v>1427</v>
      </c>
      <c r="B412" s="3" t="s">
        <v>1428</v>
      </c>
    </row>
    <row r="413">
      <c r="A413" s="3" t="s">
        <v>1429</v>
      </c>
      <c r="B413" s="3" t="s">
        <v>1430</v>
      </c>
    </row>
    <row r="414">
      <c r="A414" s="3" t="s">
        <v>1431</v>
      </c>
      <c r="B414" s="3" t="s">
        <v>1432</v>
      </c>
    </row>
    <row r="415">
      <c r="A415" s="3" t="s">
        <v>1433</v>
      </c>
      <c r="B415" s="3" t="s">
        <v>1434</v>
      </c>
    </row>
    <row r="416">
      <c r="A416" s="3" t="s">
        <v>1435</v>
      </c>
      <c r="B416" s="3" t="s">
        <v>1436</v>
      </c>
    </row>
    <row r="417">
      <c r="A417" s="3" t="s">
        <v>1437</v>
      </c>
      <c r="B417" s="3" t="s">
        <v>1438</v>
      </c>
    </row>
    <row r="418">
      <c r="A418" s="3" t="s">
        <v>1439</v>
      </c>
      <c r="B418" s="3" t="s">
        <v>1440</v>
      </c>
    </row>
    <row r="419">
      <c r="A419" s="3" t="s">
        <v>1441</v>
      </c>
      <c r="B419" s="3" t="s">
        <v>1442</v>
      </c>
    </row>
    <row r="420">
      <c r="A420" s="3" t="s">
        <v>1443</v>
      </c>
      <c r="B420" s="3" t="s">
        <v>1444</v>
      </c>
    </row>
    <row r="421">
      <c r="A421" s="3" t="s">
        <v>1445</v>
      </c>
      <c r="B421" s="3" t="s">
        <v>1446</v>
      </c>
    </row>
    <row r="422">
      <c r="A422" s="3" t="s">
        <v>1447</v>
      </c>
      <c r="B422" s="3" t="s">
        <v>1448</v>
      </c>
    </row>
    <row r="423">
      <c r="A423" s="3" t="s">
        <v>1449</v>
      </c>
      <c r="B423" s="3" t="s">
        <v>1450</v>
      </c>
    </row>
    <row r="424">
      <c r="A424" s="3" t="s">
        <v>1451</v>
      </c>
      <c r="B424" s="3" t="s">
        <v>1452</v>
      </c>
    </row>
    <row r="425">
      <c r="A425" s="3" t="s">
        <v>1453</v>
      </c>
      <c r="B425" s="3" t="s">
        <v>1454</v>
      </c>
    </row>
    <row r="426">
      <c r="A426" s="3" t="s">
        <v>1455</v>
      </c>
      <c r="B426" s="3" t="s">
        <v>1456</v>
      </c>
    </row>
    <row r="427">
      <c r="A427" s="3" t="s">
        <v>1457</v>
      </c>
      <c r="B427" s="3" t="s">
        <v>1458</v>
      </c>
    </row>
    <row r="428">
      <c r="A428" s="3" t="s">
        <v>1459</v>
      </c>
      <c r="B428" s="25" t="s">
        <v>1460</v>
      </c>
    </row>
    <row r="429">
      <c r="A429" s="3" t="s">
        <v>1461</v>
      </c>
      <c r="B429" s="25" t="s">
        <v>1462</v>
      </c>
    </row>
    <row r="430">
      <c r="A430" s="3" t="s">
        <v>1463</v>
      </c>
      <c r="B430" s="3" t="s">
        <v>1464</v>
      </c>
    </row>
    <row r="431">
      <c r="A431" s="3" t="s">
        <v>1465</v>
      </c>
      <c r="B431" s="3" t="s">
        <v>1466</v>
      </c>
    </row>
    <row r="432">
      <c r="A432" s="3" t="s">
        <v>1467</v>
      </c>
      <c r="B432" s="3" t="s">
        <v>1468</v>
      </c>
    </row>
    <row r="433">
      <c r="A433" s="3" t="s">
        <v>1469</v>
      </c>
      <c r="B433" s="3" t="s">
        <v>1470</v>
      </c>
    </row>
    <row r="434">
      <c r="A434" s="3" t="s">
        <v>1471</v>
      </c>
      <c r="B434" s="3" t="s">
        <v>1472</v>
      </c>
    </row>
    <row r="435">
      <c r="A435" s="3" t="s">
        <v>1473</v>
      </c>
      <c r="B435" s="3" t="s">
        <v>1474</v>
      </c>
    </row>
    <row r="436">
      <c r="A436" s="3" t="s">
        <v>1475</v>
      </c>
      <c r="B436" s="3" t="s">
        <v>1476</v>
      </c>
    </row>
    <row r="437">
      <c r="A437" s="3" t="s">
        <v>1477</v>
      </c>
      <c r="B437" s="3" t="s">
        <v>1478</v>
      </c>
    </row>
    <row r="438">
      <c r="A438" s="3" t="s">
        <v>1479</v>
      </c>
      <c r="B438" s="3" t="s">
        <v>1480</v>
      </c>
    </row>
    <row r="439">
      <c r="A439" s="3" t="s">
        <v>1481</v>
      </c>
      <c r="B439" s="3" t="s">
        <v>1482</v>
      </c>
    </row>
    <row r="440">
      <c r="A440" s="3" t="s">
        <v>1483</v>
      </c>
      <c r="B440" s="3" t="s">
        <v>1484</v>
      </c>
    </row>
    <row r="441">
      <c r="A441" s="3" t="s">
        <v>1485</v>
      </c>
      <c r="B441" s="3" t="s">
        <v>1486</v>
      </c>
    </row>
    <row r="442">
      <c r="A442" s="3" t="s">
        <v>1487</v>
      </c>
      <c r="B442" s="3" t="s">
        <v>1488</v>
      </c>
    </row>
    <row r="443">
      <c r="A443" s="3" t="s">
        <v>1489</v>
      </c>
      <c r="B443" s="3" t="s">
        <v>1490</v>
      </c>
    </row>
    <row r="444">
      <c r="A444" s="3" t="s">
        <v>1491</v>
      </c>
      <c r="B444" s="3" t="s">
        <v>1492</v>
      </c>
    </row>
    <row r="445">
      <c r="A445" s="3" t="s">
        <v>1493</v>
      </c>
      <c r="B445" s="3" t="s">
        <v>1494</v>
      </c>
    </row>
    <row r="446">
      <c r="A446" s="3" t="s">
        <v>1495</v>
      </c>
      <c r="B446" s="3" t="s">
        <v>1496</v>
      </c>
    </row>
    <row r="447">
      <c r="A447" s="3" t="s">
        <v>1497</v>
      </c>
      <c r="B447" s="3" t="s">
        <v>1498</v>
      </c>
    </row>
    <row r="448">
      <c r="A448" s="3" t="s">
        <v>1499</v>
      </c>
      <c r="B448" s="3" t="s">
        <v>1500</v>
      </c>
    </row>
    <row r="449">
      <c r="A449" s="3" t="s">
        <v>1501</v>
      </c>
      <c r="B449" s="3" t="s">
        <v>1502</v>
      </c>
    </row>
    <row r="450">
      <c r="A450" s="3" t="s">
        <v>1503</v>
      </c>
      <c r="B450" s="3" t="s">
        <v>1504</v>
      </c>
    </row>
    <row r="451">
      <c r="A451" s="3" t="s">
        <v>1505</v>
      </c>
      <c r="B451" s="3" t="s">
        <v>1506</v>
      </c>
    </row>
    <row r="452">
      <c r="A452" s="3" t="s">
        <v>1507</v>
      </c>
      <c r="B452" s="3" t="s">
        <v>1508</v>
      </c>
    </row>
    <row r="453">
      <c r="A453" s="3" t="s">
        <v>1509</v>
      </c>
      <c r="B453" s="3" t="s">
        <v>1510</v>
      </c>
    </row>
    <row r="454">
      <c r="A454" s="3" t="s">
        <v>1511</v>
      </c>
      <c r="B454" s="3" t="s">
        <v>1512</v>
      </c>
    </row>
    <row r="455">
      <c r="A455" s="3" t="s">
        <v>1513</v>
      </c>
      <c r="B455" s="3" t="s">
        <v>396</v>
      </c>
    </row>
    <row r="456">
      <c r="A456" s="3" t="s">
        <v>1514</v>
      </c>
      <c r="B456" s="3" t="s">
        <v>1515</v>
      </c>
    </row>
    <row r="457">
      <c r="A457" s="3" t="s">
        <v>1516</v>
      </c>
      <c r="B457" s="3" t="s">
        <v>1517</v>
      </c>
    </row>
    <row r="458">
      <c r="A458" s="3" t="s">
        <v>1518</v>
      </c>
      <c r="B458" s="3" t="s">
        <v>1519</v>
      </c>
    </row>
    <row r="459">
      <c r="A459" s="3" t="s">
        <v>1520</v>
      </c>
      <c r="B459" s="3" t="s">
        <v>1521</v>
      </c>
    </row>
    <row r="460">
      <c r="A460" s="3" t="s">
        <v>1522</v>
      </c>
      <c r="B460" s="3" t="s">
        <v>1523</v>
      </c>
    </row>
    <row r="461">
      <c r="A461" s="3" t="s">
        <v>1524</v>
      </c>
      <c r="B461" s="3" t="s">
        <v>1525</v>
      </c>
    </row>
    <row r="462">
      <c r="A462" s="3" t="s">
        <v>1526</v>
      </c>
      <c r="B462" s="3" t="s">
        <v>1527</v>
      </c>
    </row>
    <row r="463">
      <c r="A463" s="3" t="s">
        <v>1528</v>
      </c>
      <c r="B463" s="3" t="s">
        <v>1529</v>
      </c>
    </row>
    <row r="464">
      <c r="A464" s="3" t="s">
        <v>1530</v>
      </c>
      <c r="B464" s="3" t="s">
        <v>1531</v>
      </c>
    </row>
    <row r="465">
      <c r="A465" s="3" t="s">
        <v>1532</v>
      </c>
      <c r="B465" s="3" t="s">
        <v>1533</v>
      </c>
    </row>
    <row r="466">
      <c r="A466" s="3" t="s">
        <v>1534</v>
      </c>
      <c r="B466" s="3" t="s">
        <v>1535</v>
      </c>
    </row>
    <row r="467">
      <c r="A467" s="3" t="s">
        <v>1536</v>
      </c>
      <c r="B467" s="3" t="s">
        <v>1537</v>
      </c>
    </row>
    <row r="468">
      <c r="A468" s="3" t="s">
        <v>1538</v>
      </c>
      <c r="B468" s="3" t="s">
        <v>1539</v>
      </c>
    </row>
    <row r="469">
      <c r="A469" s="3" t="s">
        <v>1540</v>
      </c>
      <c r="B469" s="3" t="s">
        <v>1541</v>
      </c>
    </row>
    <row r="470">
      <c r="A470" s="3" t="s">
        <v>1542</v>
      </c>
      <c r="B470" s="3" t="s">
        <v>1543</v>
      </c>
    </row>
    <row r="471">
      <c r="A471" s="3" t="s">
        <v>1544</v>
      </c>
      <c r="B471" s="3" t="s">
        <v>1545</v>
      </c>
    </row>
    <row r="472">
      <c r="A472" s="3" t="s">
        <v>1546</v>
      </c>
      <c r="B472" s="3" t="s">
        <v>1547</v>
      </c>
    </row>
    <row r="473">
      <c r="A473" s="3" t="s">
        <v>1548</v>
      </c>
      <c r="B473" s="3" t="s">
        <v>1549</v>
      </c>
    </row>
    <row r="474">
      <c r="A474" s="3" t="s">
        <v>1550</v>
      </c>
      <c r="B474" s="3" t="s">
        <v>1551</v>
      </c>
    </row>
    <row r="475">
      <c r="A475" s="3" t="s">
        <v>1552</v>
      </c>
      <c r="B475" s="3" t="s">
        <v>1553</v>
      </c>
    </row>
    <row r="476">
      <c r="A476" s="3" t="s">
        <v>1554</v>
      </c>
      <c r="B476" s="3" t="s">
        <v>1555</v>
      </c>
    </row>
    <row r="477">
      <c r="A477" s="3" t="s">
        <v>1556</v>
      </c>
      <c r="B477" s="3" t="s">
        <v>1557</v>
      </c>
    </row>
    <row r="478">
      <c r="A478" s="3" t="s">
        <v>1558</v>
      </c>
      <c r="B478" s="3" t="s">
        <v>1559</v>
      </c>
    </row>
    <row r="479">
      <c r="A479" s="3" t="s">
        <v>1560</v>
      </c>
      <c r="B479" s="3" t="s">
        <v>1561</v>
      </c>
    </row>
    <row r="480">
      <c r="A480" s="3" t="s">
        <v>1562</v>
      </c>
      <c r="B480" s="3" t="s">
        <v>1563</v>
      </c>
    </row>
    <row r="481">
      <c r="A481" s="3" t="s">
        <v>1564</v>
      </c>
      <c r="B481" s="3" t="s">
        <v>1565</v>
      </c>
    </row>
    <row r="482">
      <c r="A482" s="3" t="s">
        <v>1566</v>
      </c>
      <c r="B482" s="3" t="s">
        <v>1567</v>
      </c>
    </row>
    <row r="483">
      <c r="A483" s="3" t="s">
        <v>1568</v>
      </c>
      <c r="B483" s="3" t="s">
        <v>1569</v>
      </c>
    </row>
    <row r="484">
      <c r="A484" s="3" t="s">
        <v>1570</v>
      </c>
      <c r="B484" s="3" t="s">
        <v>1571</v>
      </c>
    </row>
    <row r="485">
      <c r="A485" s="3" t="s">
        <v>1572</v>
      </c>
      <c r="B485" s="3" t="s">
        <v>1573</v>
      </c>
    </row>
    <row r="486">
      <c r="A486" s="3" t="s">
        <v>1574</v>
      </c>
      <c r="B486" s="3" t="s">
        <v>1575</v>
      </c>
    </row>
    <row r="487">
      <c r="A487" s="3" t="s">
        <v>1576</v>
      </c>
      <c r="B487" s="3" t="s">
        <v>1577</v>
      </c>
    </row>
    <row r="488">
      <c r="A488" s="3" t="s">
        <v>1578</v>
      </c>
      <c r="B488" s="3" t="s">
        <v>1579</v>
      </c>
    </row>
    <row r="489">
      <c r="A489" s="3" t="s">
        <v>1580</v>
      </c>
      <c r="B489" s="3" t="s">
        <v>1581</v>
      </c>
    </row>
    <row r="490">
      <c r="A490" s="3" t="s">
        <v>1582</v>
      </c>
      <c r="B490" s="3" t="s">
        <v>1583</v>
      </c>
    </row>
    <row r="491">
      <c r="A491" s="3" t="s">
        <v>1584</v>
      </c>
      <c r="B491" s="3" t="s">
        <v>1585</v>
      </c>
    </row>
    <row r="492">
      <c r="A492" s="3" t="s">
        <v>1586</v>
      </c>
      <c r="B492" s="3" t="s">
        <v>1587</v>
      </c>
    </row>
    <row r="493">
      <c r="A493" s="3" t="s">
        <v>1588</v>
      </c>
      <c r="B493" s="3" t="s">
        <v>1589</v>
      </c>
    </row>
    <row r="494">
      <c r="A494" s="3" t="s">
        <v>1590</v>
      </c>
      <c r="B494" s="3" t="s">
        <v>1591</v>
      </c>
    </row>
    <row r="495">
      <c r="A495" s="3" t="s">
        <v>1592</v>
      </c>
      <c r="B495" s="3" t="s">
        <v>1593</v>
      </c>
    </row>
    <row r="496">
      <c r="A496" s="3" t="s">
        <v>1594</v>
      </c>
      <c r="B496" s="3" t="s">
        <v>1595</v>
      </c>
    </row>
    <row r="497">
      <c r="A497" s="3" t="s">
        <v>1596</v>
      </c>
      <c r="B497" s="3" t="s">
        <v>1597</v>
      </c>
    </row>
    <row r="498">
      <c r="A498" s="3" t="s">
        <v>1598</v>
      </c>
      <c r="B498" s="3" t="s">
        <v>1599</v>
      </c>
    </row>
    <row r="499">
      <c r="A499" s="3" t="s">
        <v>1600</v>
      </c>
      <c r="B499" s="3" t="s">
        <v>1601</v>
      </c>
    </row>
    <row r="500">
      <c r="A500" s="3" t="s">
        <v>1602</v>
      </c>
      <c r="B500" s="3" t="s">
        <v>1603</v>
      </c>
    </row>
    <row r="501">
      <c r="A501" s="3" t="s">
        <v>1604</v>
      </c>
      <c r="B501" s="3" t="s">
        <v>1605</v>
      </c>
    </row>
    <row r="502">
      <c r="A502" s="3" t="s">
        <v>1606</v>
      </c>
      <c r="B502" s="3" t="s">
        <v>1607</v>
      </c>
    </row>
    <row r="503">
      <c r="A503" s="3" t="s">
        <v>1608</v>
      </c>
      <c r="B503" s="3" t="s">
        <v>1609</v>
      </c>
    </row>
    <row r="504">
      <c r="A504" s="3" t="s">
        <v>1610</v>
      </c>
      <c r="B504" s="3" t="s">
        <v>1611</v>
      </c>
    </row>
    <row r="505">
      <c r="A505" s="3" t="s">
        <v>1612</v>
      </c>
      <c r="B505" s="3" t="s">
        <v>1613</v>
      </c>
    </row>
    <row r="506">
      <c r="A506" s="3" t="s">
        <v>1614</v>
      </c>
      <c r="B506" s="3" t="s">
        <v>1615</v>
      </c>
    </row>
    <row r="507">
      <c r="A507" s="3" t="s">
        <v>1616</v>
      </c>
      <c r="B507" s="3" t="s">
        <v>1617</v>
      </c>
    </row>
    <row r="508">
      <c r="A508" s="3" t="s">
        <v>1618</v>
      </c>
      <c r="B508" s="3" t="s">
        <v>1619</v>
      </c>
    </row>
    <row r="509">
      <c r="A509" s="3" t="s">
        <v>1620</v>
      </c>
      <c r="B509" s="3" t="s">
        <v>1621</v>
      </c>
    </row>
    <row r="510">
      <c r="A510" s="3" t="s">
        <v>1622</v>
      </c>
      <c r="B510" s="3" t="s">
        <v>1623</v>
      </c>
    </row>
    <row r="511">
      <c r="A511" s="3" t="s">
        <v>1624</v>
      </c>
      <c r="B511" s="3" t="s">
        <v>1625</v>
      </c>
    </row>
    <row r="512">
      <c r="A512" s="3" t="s">
        <v>1626</v>
      </c>
      <c r="B512" s="3" t="s">
        <v>1627</v>
      </c>
    </row>
    <row r="513">
      <c r="A513" s="3" t="s">
        <v>1628</v>
      </c>
      <c r="B513" s="3" t="s">
        <v>1629</v>
      </c>
    </row>
    <row r="514">
      <c r="A514" s="3" t="s">
        <v>1630</v>
      </c>
      <c r="B514" s="3" t="s">
        <v>1631</v>
      </c>
    </row>
    <row r="515">
      <c r="A515" s="3" t="s">
        <v>1632</v>
      </c>
      <c r="B515" s="3" t="s">
        <v>1633</v>
      </c>
    </row>
    <row r="516">
      <c r="A516" s="3" t="s">
        <v>1634</v>
      </c>
      <c r="B516" s="3" t="s">
        <v>1635</v>
      </c>
    </row>
    <row r="517">
      <c r="A517" s="3" t="s">
        <v>1636</v>
      </c>
      <c r="B517" s="3" t="s">
        <v>1637</v>
      </c>
    </row>
    <row r="518">
      <c r="A518" s="3" t="s">
        <v>1638</v>
      </c>
      <c r="B518" s="3" t="s">
        <v>1639</v>
      </c>
    </row>
    <row r="519">
      <c r="A519" s="3" t="s">
        <v>1640</v>
      </c>
      <c r="B519" s="3" t="s">
        <v>1641</v>
      </c>
    </row>
    <row r="520">
      <c r="A520" s="3" t="s">
        <v>1642</v>
      </c>
      <c r="B520" s="3" t="s">
        <v>1643</v>
      </c>
    </row>
    <row r="521">
      <c r="A521" s="3" t="s">
        <v>1644</v>
      </c>
      <c r="B521" s="3" t="s">
        <v>1645</v>
      </c>
    </row>
    <row r="522">
      <c r="A522" s="3" t="s">
        <v>1646</v>
      </c>
      <c r="B522" s="3" t="s">
        <v>1647</v>
      </c>
    </row>
    <row r="523">
      <c r="A523" s="3" t="s">
        <v>1648</v>
      </c>
      <c r="B523" s="3" t="s">
        <v>1649</v>
      </c>
    </row>
    <row r="524">
      <c r="A524" s="3" t="s">
        <v>1650</v>
      </c>
      <c r="B524" s="3" t="s">
        <v>1651</v>
      </c>
    </row>
    <row r="525">
      <c r="A525" s="3" t="s">
        <v>1652</v>
      </c>
      <c r="B525" s="3" t="s">
        <v>1653</v>
      </c>
    </row>
    <row r="526">
      <c r="A526" s="3" t="s">
        <v>1654</v>
      </c>
      <c r="B526" s="3" t="s">
        <v>1655</v>
      </c>
    </row>
    <row r="527">
      <c r="A527" s="3" t="s">
        <v>1656</v>
      </c>
      <c r="B527" s="3" t="s">
        <v>1657</v>
      </c>
    </row>
    <row r="528">
      <c r="A528" s="3" t="s">
        <v>1658</v>
      </c>
      <c r="B528" s="3" t="s">
        <v>1659</v>
      </c>
    </row>
    <row r="529">
      <c r="A529" s="3" t="s">
        <v>1660</v>
      </c>
      <c r="B529" s="3" t="s">
        <v>1661</v>
      </c>
    </row>
    <row r="530">
      <c r="A530" s="3" t="s">
        <v>1662</v>
      </c>
      <c r="B530" s="3" t="s">
        <v>1663</v>
      </c>
    </row>
    <row r="531">
      <c r="A531" s="3" t="s">
        <v>1664</v>
      </c>
      <c r="B531" s="3" t="s">
        <v>1665</v>
      </c>
    </row>
    <row r="532">
      <c r="A532" s="3" t="s">
        <v>1666</v>
      </c>
      <c r="B532" s="3" t="s">
        <v>1667</v>
      </c>
    </row>
    <row r="533">
      <c r="A533" s="3" t="s">
        <v>1668</v>
      </c>
      <c r="B533" s="3" t="s">
        <v>1669</v>
      </c>
    </row>
    <row r="534">
      <c r="A534" s="3" t="s">
        <v>1670</v>
      </c>
      <c r="B534" s="3" t="s">
        <v>1671</v>
      </c>
    </row>
    <row r="535">
      <c r="A535" s="3" t="s">
        <v>1672</v>
      </c>
      <c r="B535" s="3" t="s">
        <v>1673</v>
      </c>
    </row>
    <row r="536">
      <c r="A536" s="3" t="s">
        <v>1674</v>
      </c>
      <c r="B536" s="3" t="s">
        <v>1675</v>
      </c>
    </row>
    <row r="537">
      <c r="A537" s="3" t="s">
        <v>1676</v>
      </c>
      <c r="B537" s="3" t="s">
        <v>1677</v>
      </c>
    </row>
    <row r="538">
      <c r="A538" s="3" t="s">
        <v>1678</v>
      </c>
      <c r="B538" s="3" t="s">
        <v>1679</v>
      </c>
    </row>
    <row r="539">
      <c r="A539" s="3" t="s">
        <v>1680</v>
      </c>
      <c r="B539" s="3" t="s">
        <v>1681</v>
      </c>
    </row>
    <row r="540">
      <c r="A540" s="3" t="s">
        <v>1682</v>
      </c>
      <c r="B540" s="3" t="s">
        <v>1683</v>
      </c>
    </row>
    <row r="541">
      <c r="A541" s="3" t="s">
        <v>1684</v>
      </c>
      <c r="B541" s="3" t="s">
        <v>1685</v>
      </c>
    </row>
    <row r="542">
      <c r="A542" s="3" t="s">
        <v>1686</v>
      </c>
      <c r="B542" s="3" t="s">
        <v>1687</v>
      </c>
    </row>
    <row r="543">
      <c r="A543" s="3" t="s">
        <v>1688</v>
      </c>
      <c r="B543" s="3" t="s">
        <v>1689</v>
      </c>
    </row>
    <row r="544">
      <c r="A544" s="3" t="s">
        <v>1690</v>
      </c>
      <c r="B544" s="3" t="s">
        <v>1691</v>
      </c>
    </row>
    <row r="545">
      <c r="A545" s="3" t="s">
        <v>1692</v>
      </c>
      <c r="B545" s="3" t="s">
        <v>1693</v>
      </c>
    </row>
    <row r="546">
      <c r="A546" s="3" t="s">
        <v>1694</v>
      </c>
      <c r="B546" s="3" t="s">
        <v>1695</v>
      </c>
    </row>
    <row r="547">
      <c r="A547" s="3" t="s">
        <v>1696</v>
      </c>
      <c r="B547" s="3" t="s">
        <v>1697</v>
      </c>
    </row>
    <row r="548">
      <c r="A548" s="3" t="s">
        <v>1698</v>
      </c>
      <c r="B548" s="3" t="s">
        <v>1699</v>
      </c>
    </row>
    <row r="549">
      <c r="A549" s="3" t="s">
        <v>1700</v>
      </c>
      <c r="B549" s="3" t="s">
        <v>1701</v>
      </c>
    </row>
    <row r="550">
      <c r="A550" s="3" t="s">
        <v>1702</v>
      </c>
      <c r="B550" s="3" t="s">
        <v>1703</v>
      </c>
    </row>
    <row r="551">
      <c r="A551" s="3" t="s">
        <v>1704</v>
      </c>
      <c r="B551" s="3" t="s">
        <v>1705</v>
      </c>
    </row>
    <row r="552">
      <c r="A552" s="3" t="s">
        <v>1706</v>
      </c>
      <c r="B552" s="3" t="s">
        <v>1707</v>
      </c>
    </row>
    <row r="553">
      <c r="A553" s="3" t="s">
        <v>1708</v>
      </c>
      <c r="B553" s="3" t="s">
        <v>1709</v>
      </c>
    </row>
    <row r="554">
      <c r="A554" s="3" t="s">
        <v>1710</v>
      </c>
      <c r="B554" s="3" t="s">
        <v>1711</v>
      </c>
    </row>
    <row r="555">
      <c r="A555" s="3" t="s">
        <v>1712</v>
      </c>
      <c r="B555" s="3" t="s">
        <v>1713</v>
      </c>
    </row>
    <row r="556">
      <c r="A556" s="3" t="s">
        <v>1714</v>
      </c>
      <c r="B556" s="3" t="s">
        <v>1715</v>
      </c>
    </row>
    <row r="557">
      <c r="A557" s="3" t="s">
        <v>1716</v>
      </c>
      <c r="B557" s="3" t="s">
        <v>1717</v>
      </c>
    </row>
    <row r="558">
      <c r="A558" s="3" t="s">
        <v>1718</v>
      </c>
      <c r="B558" s="3" t="s">
        <v>1719</v>
      </c>
    </row>
    <row r="559">
      <c r="A559" s="3" t="s">
        <v>1720</v>
      </c>
      <c r="B559" s="3" t="s">
        <v>1721</v>
      </c>
    </row>
    <row r="560">
      <c r="A560" s="3" t="s">
        <v>1722</v>
      </c>
      <c r="B560" s="3" t="s">
        <v>1723</v>
      </c>
    </row>
    <row r="561">
      <c r="A561" s="3" t="s">
        <v>1724</v>
      </c>
      <c r="B561" s="3" t="s">
        <v>1725</v>
      </c>
    </row>
    <row r="562">
      <c r="A562" s="3" t="s">
        <v>1726</v>
      </c>
      <c r="B562" s="3" t="s">
        <v>1727</v>
      </c>
    </row>
    <row r="563">
      <c r="A563" s="3" t="s">
        <v>1728</v>
      </c>
      <c r="B563" s="3" t="s">
        <v>1729</v>
      </c>
    </row>
    <row r="564">
      <c r="A564" s="3" t="s">
        <v>1730</v>
      </c>
      <c r="B564" s="3" t="s">
        <v>1731</v>
      </c>
    </row>
    <row r="565">
      <c r="A565" s="3" t="s">
        <v>1732</v>
      </c>
      <c r="B565" s="3" t="s">
        <v>1733</v>
      </c>
    </row>
    <row r="566">
      <c r="A566" s="3" t="s">
        <v>1734</v>
      </c>
      <c r="B566" s="3" t="s">
        <v>1735</v>
      </c>
    </row>
    <row r="567">
      <c r="A567" s="3" t="s">
        <v>1736</v>
      </c>
      <c r="B567" s="3" t="s">
        <v>1737</v>
      </c>
    </row>
    <row r="568">
      <c r="A568" s="3" t="s">
        <v>1738</v>
      </c>
      <c r="B568" s="3" t="s">
        <v>1739</v>
      </c>
    </row>
    <row r="569">
      <c r="A569" s="3" t="s">
        <v>1740</v>
      </c>
      <c r="B569" s="3" t="s">
        <v>1741</v>
      </c>
    </row>
    <row r="570">
      <c r="A570" s="3" t="s">
        <v>1742</v>
      </c>
      <c r="B570" s="3" t="s">
        <v>1743</v>
      </c>
    </row>
    <row r="571">
      <c r="A571" s="3" t="s">
        <v>1744</v>
      </c>
      <c r="B571" s="3" t="s">
        <v>1745</v>
      </c>
    </row>
    <row r="572">
      <c r="A572" s="3" t="s">
        <v>1746</v>
      </c>
      <c r="B572" s="3" t="s">
        <v>1747</v>
      </c>
    </row>
    <row r="573">
      <c r="A573" s="3" t="s">
        <v>1748</v>
      </c>
      <c r="B573" s="3" t="s">
        <v>378</v>
      </c>
    </row>
    <row r="574">
      <c r="A574" s="3" t="s">
        <v>1749</v>
      </c>
      <c r="B574" s="3" t="s">
        <v>1750</v>
      </c>
    </row>
    <row r="575">
      <c r="A575" s="3" t="s">
        <v>1751</v>
      </c>
      <c r="B575" s="3" t="s">
        <v>1752</v>
      </c>
    </row>
    <row r="576">
      <c r="A576" s="3" t="s">
        <v>1753</v>
      </c>
      <c r="B576" s="3" t="s">
        <v>1754</v>
      </c>
    </row>
    <row r="577">
      <c r="A577" s="3" t="s">
        <v>1755</v>
      </c>
      <c r="B577" s="3" t="s">
        <v>1756</v>
      </c>
    </row>
    <row r="578">
      <c r="A578" s="3" t="s">
        <v>1757</v>
      </c>
      <c r="B578" s="3" t="s">
        <v>1758</v>
      </c>
    </row>
    <row r="579">
      <c r="A579" s="3" t="s">
        <v>1759</v>
      </c>
      <c r="B579" s="3" t="s">
        <v>1760</v>
      </c>
    </row>
    <row r="580">
      <c r="A580" s="3" t="s">
        <v>1761</v>
      </c>
      <c r="B580" s="3" t="s">
        <v>1762</v>
      </c>
    </row>
    <row r="581">
      <c r="A581" s="3" t="s">
        <v>1763</v>
      </c>
      <c r="B581" s="3" t="s">
        <v>1764</v>
      </c>
    </row>
    <row r="582">
      <c r="A582" s="3" t="s">
        <v>1765</v>
      </c>
      <c r="B582" s="3" t="s">
        <v>1766</v>
      </c>
    </row>
    <row r="583">
      <c r="A583" s="3" t="s">
        <v>1767</v>
      </c>
      <c r="B583" s="3" t="s">
        <v>1768</v>
      </c>
    </row>
    <row r="584">
      <c r="A584" s="3" t="s">
        <v>1769</v>
      </c>
      <c r="B584" s="3" t="s">
        <v>1770</v>
      </c>
    </row>
    <row r="585">
      <c r="A585" s="3" t="s">
        <v>1771</v>
      </c>
      <c r="B585" s="3" t="s">
        <v>1772</v>
      </c>
    </row>
    <row r="586">
      <c r="A586" s="3" t="s">
        <v>1773</v>
      </c>
      <c r="B586" s="3" t="s">
        <v>1774</v>
      </c>
    </row>
    <row r="587">
      <c r="A587" s="3" t="s">
        <v>1775</v>
      </c>
      <c r="B587" s="3" t="s">
        <v>1776</v>
      </c>
    </row>
    <row r="588">
      <c r="A588" s="3" t="s">
        <v>1777</v>
      </c>
      <c r="B588" s="3" t="s">
        <v>1778</v>
      </c>
    </row>
    <row r="589">
      <c r="A589" s="3" t="s">
        <v>1779</v>
      </c>
      <c r="B589" s="3" t="s">
        <v>1780</v>
      </c>
    </row>
    <row r="590">
      <c r="A590" s="3" t="s">
        <v>1781</v>
      </c>
      <c r="B590" s="3" t="s">
        <v>1782</v>
      </c>
    </row>
    <row r="591">
      <c r="A591" s="3" t="s">
        <v>1783</v>
      </c>
      <c r="B591" s="3" t="s">
        <v>1784</v>
      </c>
    </row>
    <row r="592">
      <c r="A592" s="3" t="s">
        <v>1785</v>
      </c>
      <c r="B592" s="3" t="s">
        <v>1786</v>
      </c>
    </row>
    <row r="593">
      <c r="A593" s="3" t="s">
        <v>1787</v>
      </c>
      <c r="B593" s="3" t="s">
        <v>1788</v>
      </c>
    </row>
    <row r="594">
      <c r="A594" s="3" t="s">
        <v>1789</v>
      </c>
      <c r="B594" s="3" t="s">
        <v>1790</v>
      </c>
    </row>
    <row r="595">
      <c r="A595" s="3" t="s">
        <v>1791</v>
      </c>
      <c r="B595" s="3" t="s">
        <v>1792</v>
      </c>
    </row>
    <row r="596">
      <c r="A596" s="3" t="s">
        <v>1793</v>
      </c>
      <c r="B596" s="3" t="s">
        <v>1794</v>
      </c>
    </row>
    <row r="597">
      <c r="A597" s="3" t="s">
        <v>1795</v>
      </c>
      <c r="B597" s="3" t="s">
        <v>1796</v>
      </c>
    </row>
    <row r="598">
      <c r="A598" s="3" t="s">
        <v>1797</v>
      </c>
      <c r="B598" s="3" t="s">
        <v>1798</v>
      </c>
    </row>
    <row r="599">
      <c r="A599" s="3" t="s">
        <v>1799</v>
      </c>
      <c r="B599" s="3" t="s">
        <v>1800</v>
      </c>
    </row>
    <row r="600">
      <c r="A600" s="3" t="s">
        <v>1801</v>
      </c>
      <c r="B600" s="3" t="s">
        <v>1802</v>
      </c>
    </row>
    <row r="601">
      <c r="A601" s="3" t="s">
        <v>1803</v>
      </c>
      <c r="B601" s="3" t="s">
        <v>1804</v>
      </c>
    </row>
    <row r="602">
      <c r="A602" s="3" t="s">
        <v>1805</v>
      </c>
      <c r="B602" s="3" t="s">
        <v>1806</v>
      </c>
    </row>
    <row r="603">
      <c r="A603" s="3" t="s">
        <v>1807</v>
      </c>
      <c r="B603" s="3" t="s">
        <v>1808</v>
      </c>
    </row>
    <row r="604">
      <c r="A604" s="3" t="s">
        <v>1809</v>
      </c>
      <c r="B604" s="3" t="s">
        <v>1810</v>
      </c>
    </row>
    <row r="605">
      <c r="A605" s="3" t="s">
        <v>1811</v>
      </c>
      <c r="B605" s="3" t="s">
        <v>1812</v>
      </c>
    </row>
    <row r="606">
      <c r="A606" s="3" t="s">
        <v>1813</v>
      </c>
      <c r="B606" s="3" t="s">
        <v>1814</v>
      </c>
    </row>
    <row r="607">
      <c r="A607" s="3" t="s">
        <v>1815</v>
      </c>
      <c r="B607" s="3" t="s">
        <v>1816</v>
      </c>
    </row>
    <row r="608">
      <c r="A608" s="3" t="s">
        <v>1817</v>
      </c>
      <c r="B608" s="3" t="s">
        <v>1818</v>
      </c>
    </row>
    <row r="609">
      <c r="A609" s="3" t="s">
        <v>1819</v>
      </c>
      <c r="B609" s="3" t="s">
        <v>1820</v>
      </c>
    </row>
    <row r="610">
      <c r="A610" s="3" t="s">
        <v>1821</v>
      </c>
      <c r="B610" s="3" t="s">
        <v>1822</v>
      </c>
    </row>
    <row r="611">
      <c r="A611" s="3" t="s">
        <v>1823</v>
      </c>
      <c r="B611" s="3" t="s">
        <v>1824</v>
      </c>
    </row>
    <row r="612">
      <c r="A612" s="3" t="s">
        <v>1825</v>
      </c>
      <c r="B612" s="3" t="s">
        <v>1826</v>
      </c>
    </row>
    <row r="613">
      <c r="A613" s="3" t="s">
        <v>1827</v>
      </c>
      <c r="B613" s="3" t="s">
        <v>1828</v>
      </c>
    </row>
    <row r="614">
      <c r="A614" s="3" t="s">
        <v>1829</v>
      </c>
      <c r="B614" s="3" t="s">
        <v>1830</v>
      </c>
    </row>
    <row r="615">
      <c r="A615" s="3" t="s">
        <v>1831</v>
      </c>
      <c r="B615" s="3" t="s">
        <v>1832</v>
      </c>
    </row>
    <row r="616">
      <c r="A616" s="3" t="s">
        <v>1833</v>
      </c>
      <c r="B616" s="3" t="s">
        <v>1834</v>
      </c>
    </row>
    <row r="617">
      <c r="A617" s="3" t="s">
        <v>1835</v>
      </c>
      <c r="B617" s="3" t="s">
        <v>1836</v>
      </c>
    </row>
    <row r="618">
      <c r="A618" s="3" t="s">
        <v>1837</v>
      </c>
      <c r="B618" s="3" t="s">
        <v>1838</v>
      </c>
    </row>
    <row r="619">
      <c r="A619" s="3" t="s">
        <v>1839</v>
      </c>
      <c r="B619" s="3" t="s">
        <v>1840</v>
      </c>
    </row>
    <row r="620">
      <c r="A620" s="3" t="s">
        <v>1841</v>
      </c>
      <c r="B620" s="3" t="s">
        <v>1842</v>
      </c>
    </row>
    <row r="621">
      <c r="A621" s="3" t="s">
        <v>1843</v>
      </c>
      <c r="B621" s="3" t="s">
        <v>1844</v>
      </c>
    </row>
    <row r="622">
      <c r="A622" s="3" t="s">
        <v>1845</v>
      </c>
      <c r="B622" s="3" t="s">
        <v>1846</v>
      </c>
    </row>
    <row r="623">
      <c r="A623" s="3" t="s">
        <v>1847</v>
      </c>
      <c r="B623" s="3" t="s">
        <v>1848</v>
      </c>
    </row>
    <row r="624">
      <c r="A624" s="3" t="s">
        <v>1849</v>
      </c>
      <c r="B624" s="3" t="s">
        <v>1850</v>
      </c>
    </row>
    <row r="625">
      <c r="A625" s="3" t="s">
        <v>1851</v>
      </c>
      <c r="B625" s="3" t="s">
        <v>1852</v>
      </c>
    </row>
    <row r="626">
      <c r="A626" s="3" t="s">
        <v>1853</v>
      </c>
      <c r="B626" s="3" t="s">
        <v>1854</v>
      </c>
    </row>
    <row r="627">
      <c r="A627" s="3" t="s">
        <v>1855</v>
      </c>
      <c r="B627" s="3" t="s">
        <v>1856</v>
      </c>
    </row>
    <row r="628">
      <c r="A628" s="3" t="s">
        <v>1857</v>
      </c>
      <c r="B628" s="3" t="s">
        <v>1858</v>
      </c>
    </row>
    <row r="629">
      <c r="A629" s="3" t="s">
        <v>1859</v>
      </c>
      <c r="B629" s="3" t="s">
        <v>1860</v>
      </c>
    </row>
    <row r="630">
      <c r="A630" s="3" t="s">
        <v>1861</v>
      </c>
      <c r="B630" s="3" t="s">
        <v>1862</v>
      </c>
    </row>
    <row r="631">
      <c r="A631" s="3" t="s">
        <v>1863</v>
      </c>
      <c r="B631" s="3" t="s">
        <v>1864</v>
      </c>
    </row>
    <row r="632">
      <c r="A632" s="3" t="s">
        <v>1865</v>
      </c>
      <c r="B632" s="3" t="s">
        <v>1866</v>
      </c>
    </row>
    <row r="633">
      <c r="A633" s="3" t="s">
        <v>1867</v>
      </c>
      <c r="B633" s="3" t="s">
        <v>1868</v>
      </c>
    </row>
    <row r="634">
      <c r="A634" s="3" t="s">
        <v>1869</v>
      </c>
      <c r="B634" s="3" t="s">
        <v>1870</v>
      </c>
    </row>
    <row r="635">
      <c r="A635" s="3" t="s">
        <v>1871</v>
      </c>
      <c r="B635" s="3" t="s">
        <v>1872</v>
      </c>
    </row>
    <row r="636">
      <c r="A636" s="3" t="s">
        <v>1873</v>
      </c>
      <c r="B636" s="3" t="s">
        <v>1874</v>
      </c>
    </row>
    <row r="637">
      <c r="A637" s="3" t="s">
        <v>1875</v>
      </c>
      <c r="B637" s="3" t="s">
        <v>1876</v>
      </c>
    </row>
    <row r="638">
      <c r="A638" s="3" t="s">
        <v>1877</v>
      </c>
      <c r="B638" s="3" t="s">
        <v>1878</v>
      </c>
    </row>
    <row r="639">
      <c r="A639" s="3" t="s">
        <v>1879</v>
      </c>
      <c r="B639" s="3" t="s">
        <v>1880</v>
      </c>
    </row>
    <row r="640">
      <c r="A640" s="3" t="s">
        <v>1881</v>
      </c>
      <c r="B640" s="3" t="s">
        <v>1882</v>
      </c>
    </row>
    <row r="641">
      <c r="A641" s="3" t="s">
        <v>1883</v>
      </c>
      <c r="B641" s="3" t="s">
        <v>1884</v>
      </c>
    </row>
    <row r="642">
      <c r="A642" s="3" t="s">
        <v>1885</v>
      </c>
      <c r="B642" s="3" t="s">
        <v>1886</v>
      </c>
    </row>
    <row r="643">
      <c r="A643" s="3" t="s">
        <v>1887</v>
      </c>
      <c r="B643" s="3" t="s">
        <v>1888</v>
      </c>
    </row>
    <row r="644">
      <c r="A644" s="3" t="s">
        <v>1889</v>
      </c>
      <c r="B644" s="3" t="s">
        <v>1890</v>
      </c>
    </row>
    <row r="645">
      <c r="A645" s="3" t="s">
        <v>1891</v>
      </c>
      <c r="B645" s="3" t="s">
        <v>1892</v>
      </c>
    </row>
    <row r="646">
      <c r="A646" s="3" t="s">
        <v>1893</v>
      </c>
      <c r="B646" s="3" t="s">
        <v>1894</v>
      </c>
    </row>
    <row r="647">
      <c r="A647" s="3" t="s">
        <v>1895</v>
      </c>
      <c r="B647" s="3" t="s">
        <v>1896</v>
      </c>
    </row>
    <row r="648">
      <c r="A648" s="3" t="s">
        <v>1897</v>
      </c>
      <c r="B648" s="3" t="s">
        <v>1898</v>
      </c>
    </row>
    <row r="649">
      <c r="A649" s="3" t="s">
        <v>1899</v>
      </c>
      <c r="B649" s="3" t="s">
        <v>1900</v>
      </c>
    </row>
    <row r="650">
      <c r="A650" s="3" t="s">
        <v>1901</v>
      </c>
      <c r="B650" s="3" t="s">
        <v>1902</v>
      </c>
    </row>
    <row r="651">
      <c r="A651" s="3" t="s">
        <v>1903</v>
      </c>
      <c r="B651" s="3" t="s">
        <v>1904</v>
      </c>
    </row>
    <row r="652">
      <c r="A652" s="3" t="s">
        <v>1905</v>
      </c>
      <c r="B652" s="3" t="s">
        <v>1906</v>
      </c>
    </row>
    <row r="653">
      <c r="A653" s="3" t="s">
        <v>1907</v>
      </c>
      <c r="B653" s="3" t="s">
        <v>1908</v>
      </c>
    </row>
    <row r="654">
      <c r="A654" s="3" t="s">
        <v>1909</v>
      </c>
      <c r="B654" s="3" t="s">
        <v>1910</v>
      </c>
    </row>
    <row r="655">
      <c r="A655" s="3" t="s">
        <v>1911</v>
      </c>
      <c r="B655" s="3" t="s">
        <v>1912</v>
      </c>
    </row>
    <row r="656">
      <c r="A656" s="3" t="s">
        <v>1913</v>
      </c>
      <c r="B656" s="3" t="s">
        <v>1914</v>
      </c>
    </row>
    <row r="657">
      <c r="A657" s="3" t="s">
        <v>1915</v>
      </c>
      <c r="B657" s="3" t="s">
        <v>1916</v>
      </c>
    </row>
    <row r="658">
      <c r="A658" s="3" t="s">
        <v>1917</v>
      </c>
      <c r="B658" s="3" t="s">
        <v>1918</v>
      </c>
    </row>
    <row r="659">
      <c r="A659" s="3" t="s">
        <v>1919</v>
      </c>
      <c r="B659" s="3" t="s">
        <v>1920</v>
      </c>
    </row>
    <row r="660">
      <c r="A660" s="3" t="s">
        <v>1921</v>
      </c>
      <c r="B660" s="3" t="s">
        <v>1922</v>
      </c>
    </row>
    <row r="661">
      <c r="A661" s="3" t="s">
        <v>1923</v>
      </c>
      <c r="B661" s="3" t="s">
        <v>1924</v>
      </c>
    </row>
    <row r="662">
      <c r="A662" s="3" t="s">
        <v>1925</v>
      </c>
      <c r="B662" s="3" t="s">
        <v>1926</v>
      </c>
    </row>
    <row r="663">
      <c r="A663" s="3" t="s">
        <v>1927</v>
      </c>
      <c r="B663" s="3" t="s">
        <v>1928</v>
      </c>
    </row>
    <row r="664">
      <c r="A664" s="3" t="s">
        <v>1929</v>
      </c>
      <c r="B664" s="3" t="s">
        <v>1930</v>
      </c>
    </row>
    <row r="665">
      <c r="A665" s="3" t="s">
        <v>1931</v>
      </c>
      <c r="B665" s="3" t="s">
        <v>1932</v>
      </c>
    </row>
    <row r="666">
      <c r="A666" s="3" t="s">
        <v>1933</v>
      </c>
      <c r="B666" s="3" t="s">
        <v>1934</v>
      </c>
    </row>
    <row r="667">
      <c r="A667" s="3" t="s">
        <v>1935</v>
      </c>
      <c r="B667" s="3" t="s">
        <v>1936</v>
      </c>
    </row>
    <row r="668">
      <c r="A668" s="3" t="s">
        <v>1937</v>
      </c>
      <c r="B668" s="3" t="s">
        <v>1938</v>
      </c>
    </row>
    <row r="669">
      <c r="A669" s="3" t="s">
        <v>1939</v>
      </c>
      <c r="B669" s="3" t="s">
        <v>1940</v>
      </c>
    </row>
    <row r="670">
      <c r="A670" s="3" t="s">
        <v>1941</v>
      </c>
      <c r="B670" s="3" t="s">
        <v>1942</v>
      </c>
    </row>
    <row r="671">
      <c r="A671" s="3" t="s">
        <v>1943</v>
      </c>
      <c r="B671" s="3" t="s">
        <v>1944</v>
      </c>
    </row>
    <row r="672">
      <c r="A672" s="3" t="s">
        <v>1945</v>
      </c>
      <c r="B672" s="3" t="s">
        <v>1946</v>
      </c>
    </row>
    <row r="673">
      <c r="A673" s="3" t="s">
        <v>1947</v>
      </c>
      <c r="B673" s="3" t="s">
        <v>1948</v>
      </c>
    </row>
    <row r="674">
      <c r="A674" s="3" t="s">
        <v>1949</v>
      </c>
      <c r="B674" s="3" t="s">
        <v>1950</v>
      </c>
    </row>
    <row r="675">
      <c r="A675" s="3" t="s">
        <v>1951</v>
      </c>
      <c r="B675" s="3" t="s">
        <v>1952</v>
      </c>
    </row>
    <row r="676">
      <c r="A676" s="3" t="s">
        <v>1953</v>
      </c>
      <c r="B676" s="3" t="s">
        <v>1954</v>
      </c>
    </row>
    <row r="677">
      <c r="A677" s="3" t="s">
        <v>1955</v>
      </c>
      <c r="B677" s="3" t="s">
        <v>1956</v>
      </c>
    </row>
    <row r="678">
      <c r="A678" s="3" t="s">
        <v>1957</v>
      </c>
      <c r="B678" s="3" t="s">
        <v>1958</v>
      </c>
    </row>
    <row r="679">
      <c r="A679" s="3" t="s">
        <v>1959</v>
      </c>
      <c r="B679" s="3" t="s">
        <v>1960</v>
      </c>
    </row>
    <row r="680">
      <c r="A680" s="3" t="s">
        <v>1961</v>
      </c>
      <c r="B680" s="3" t="s">
        <v>1962</v>
      </c>
    </row>
    <row r="681">
      <c r="A681" s="3" t="s">
        <v>1963</v>
      </c>
      <c r="B681" s="3" t="s">
        <v>1964</v>
      </c>
    </row>
    <row r="682">
      <c r="A682" s="3" t="s">
        <v>1965</v>
      </c>
      <c r="B682" s="3" t="s">
        <v>1966</v>
      </c>
    </row>
    <row r="683">
      <c r="A683" s="3" t="s">
        <v>1967</v>
      </c>
      <c r="B683" s="3" t="s">
        <v>1968</v>
      </c>
    </row>
    <row r="684">
      <c r="A684" s="3" t="s">
        <v>1969</v>
      </c>
      <c r="B684" s="3" t="s">
        <v>1970</v>
      </c>
    </row>
    <row r="685">
      <c r="A685" s="3" t="s">
        <v>1971</v>
      </c>
      <c r="B685" s="3" t="s">
        <v>1972</v>
      </c>
    </row>
    <row r="686">
      <c r="A686" s="3" t="s">
        <v>1973</v>
      </c>
      <c r="B686" s="3" t="s">
        <v>1974</v>
      </c>
    </row>
    <row r="687">
      <c r="A687" s="3" t="s">
        <v>1975</v>
      </c>
      <c r="B687" s="3" t="s">
        <v>1976</v>
      </c>
    </row>
    <row r="688">
      <c r="A688" s="3" t="s">
        <v>1977</v>
      </c>
      <c r="B688" s="3" t="s">
        <v>1978</v>
      </c>
    </row>
    <row r="689">
      <c r="A689" s="3" t="s">
        <v>1979</v>
      </c>
      <c r="B689" s="3" t="s">
        <v>1980</v>
      </c>
    </row>
    <row r="690">
      <c r="A690" s="3" t="s">
        <v>1981</v>
      </c>
      <c r="B690" s="3" t="s">
        <v>1982</v>
      </c>
    </row>
    <row r="691">
      <c r="A691" s="3" t="s">
        <v>1983</v>
      </c>
      <c r="B691" s="3" t="s">
        <v>1984</v>
      </c>
    </row>
    <row r="692">
      <c r="A692" s="3" t="s">
        <v>1985</v>
      </c>
      <c r="B692" s="3" t="s">
        <v>1986</v>
      </c>
    </row>
    <row r="693">
      <c r="A693" s="3" t="s">
        <v>1987</v>
      </c>
      <c r="B693" s="3" t="s">
        <v>1988</v>
      </c>
    </row>
    <row r="694">
      <c r="A694" s="3" t="s">
        <v>1989</v>
      </c>
      <c r="B694" s="3" t="s">
        <v>1990</v>
      </c>
    </row>
    <row r="695">
      <c r="A695" s="3" t="s">
        <v>1991</v>
      </c>
      <c r="B695" s="3" t="s">
        <v>1992</v>
      </c>
    </row>
    <row r="696">
      <c r="A696" s="3" t="s">
        <v>1993</v>
      </c>
      <c r="B696" s="3" t="s">
        <v>1994</v>
      </c>
    </row>
    <row r="697">
      <c r="A697" s="3" t="s">
        <v>1995</v>
      </c>
      <c r="B697" s="3" t="s">
        <v>1996</v>
      </c>
    </row>
    <row r="698">
      <c r="A698" s="3" t="s">
        <v>1997</v>
      </c>
      <c r="B698" s="3" t="s">
        <v>1998</v>
      </c>
    </row>
    <row r="699">
      <c r="A699" s="3" t="s">
        <v>1999</v>
      </c>
      <c r="B699" s="3" t="s">
        <v>2000</v>
      </c>
    </row>
    <row r="700">
      <c r="A700" s="3" t="s">
        <v>2001</v>
      </c>
      <c r="B700" s="3" t="s">
        <v>2002</v>
      </c>
    </row>
    <row r="701">
      <c r="A701" s="3" t="s">
        <v>2003</v>
      </c>
      <c r="B701" s="3" t="s">
        <v>2004</v>
      </c>
    </row>
    <row r="702">
      <c r="A702" s="3" t="s">
        <v>2005</v>
      </c>
      <c r="B702" s="3" t="s">
        <v>2006</v>
      </c>
    </row>
    <row r="703">
      <c r="A703" s="3" t="s">
        <v>2007</v>
      </c>
      <c r="B703" s="3" t="s">
        <v>2008</v>
      </c>
    </row>
    <row r="704">
      <c r="A704" s="3" t="s">
        <v>2009</v>
      </c>
      <c r="B704" s="3" t="s">
        <v>2010</v>
      </c>
    </row>
    <row r="705">
      <c r="A705" s="3" t="s">
        <v>2011</v>
      </c>
      <c r="B705" s="3" t="s">
        <v>2012</v>
      </c>
    </row>
    <row r="706">
      <c r="A706" s="3" t="s">
        <v>2013</v>
      </c>
      <c r="B706" s="25" t="s">
        <v>2014</v>
      </c>
    </row>
    <row r="707">
      <c r="A707" s="3" t="s">
        <v>2015</v>
      </c>
      <c r="B707" s="3" t="s">
        <v>2016</v>
      </c>
    </row>
    <row r="708">
      <c r="A708" s="3" t="s">
        <v>2017</v>
      </c>
      <c r="B708" s="3" t="s">
        <v>2018</v>
      </c>
    </row>
    <row r="709">
      <c r="A709" s="3" t="s">
        <v>2019</v>
      </c>
      <c r="B709" s="3" t="s">
        <v>2020</v>
      </c>
    </row>
    <row r="710">
      <c r="A710" s="3" t="s">
        <v>2021</v>
      </c>
      <c r="B710" s="3" t="s">
        <v>2022</v>
      </c>
    </row>
    <row r="711">
      <c r="A711" s="3" t="s">
        <v>2023</v>
      </c>
      <c r="B711" s="3" t="s">
        <v>2024</v>
      </c>
    </row>
    <row r="712">
      <c r="A712" s="3" t="s">
        <v>2025</v>
      </c>
      <c r="B712" s="3" t="s">
        <v>2026</v>
      </c>
    </row>
    <row r="713">
      <c r="A713" s="3" t="s">
        <v>2027</v>
      </c>
      <c r="B713" s="3" t="s">
        <v>2028</v>
      </c>
    </row>
    <row r="714">
      <c r="A714" s="3" t="s">
        <v>2029</v>
      </c>
      <c r="B714" s="3" t="s">
        <v>2030</v>
      </c>
    </row>
    <row r="715">
      <c r="A715" s="3" t="s">
        <v>2031</v>
      </c>
      <c r="B715" s="3" t="s">
        <v>2032</v>
      </c>
    </row>
    <row r="716">
      <c r="A716" s="3" t="s">
        <v>2033</v>
      </c>
      <c r="B716" s="3" t="s">
        <v>2034</v>
      </c>
    </row>
    <row r="717">
      <c r="A717" s="3" t="s">
        <v>2035</v>
      </c>
      <c r="B717" s="3" t="s">
        <v>2036</v>
      </c>
    </row>
    <row r="718">
      <c r="A718" s="3" t="s">
        <v>2037</v>
      </c>
      <c r="B718" s="3" t="s">
        <v>2038</v>
      </c>
    </row>
    <row r="719">
      <c r="A719" s="3" t="s">
        <v>2039</v>
      </c>
      <c r="B719" s="3" t="s">
        <v>2040</v>
      </c>
    </row>
    <row r="720">
      <c r="A720" s="3" t="s">
        <v>2041</v>
      </c>
      <c r="B720" s="3" t="s">
        <v>2042</v>
      </c>
    </row>
    <row r="721">
      <c r="A721" s="3" t="s">
        <v>2043</v>
      </c>
      <c r="B721" s="3" t="s">
        <v>2044</v>
      </c>
    </row>
    <row r="722">
      <c r="A722" s="3" t="s">
        <v>2045</v>
      </c>
      <c r="B722" s="3" t="s">
        <v>2046</v>
      </c>
    </row>
    <row r="723">
      <c r="A723" s="3" t="s">
        <v>2047</v>
      </c>
      <c r="B723" s="3" t="s">
        <v>2048</v>
      </c>
    </row>
    <row r="724">
      <c r="A724" s="3" t="s">
        <v>2049</v>
      </c>
      <c r="B724" s="3" t="s">
        <v>2050</v>
      </c>
    </row>
    <row r="725">
      <c r="A725" s="3" t="s">
        <v>2051</v>
      </c>
      <c r="B725" s="3" t="s">
        <v>2052</v>
      </c>
    </row>
    <row r="726">
      <c r="A726" s="3" t="s">
        <v>2053</v>
      </c>
      <c r="B726" s="3" t="s">
        <v>2054</v>
      </c>
    </row>
    <row r="727">
      <c r="A727" s="3" t="s">
        <v>2055</v>
      </c>
      <c r="B727" s="3" t="s">
        <v>2056</v>
      </c>
    </row>
    <row r="728">
      <c r="A728" s="3" t="s">
        <v>2057</v>
      </c>
      <c r="B728" s="3" t="s">
        <v>2058</v>
      </c>
    </row>
    <row r="729">
      <c r="A729" s="3" t="s">
        <v>2059</v>
      </c>
      <c r="B729" s="3" t="s">
        <v>2060</v>
      </c>
    </row>
    <row r="730">
      <c r="A730" s="3" t="s">
        <v>2061</v>
      </c>
      <c r="B730" s="3" t="s">
        <v>2062</v>
      </c>
    </row>
    <row r="731">
      <c r="A731" s="3" t="s">
        <v>2063</v>
      </c>
      <c r="B731" s="3" t="s">
        <v>2064</v>
      </c>
    </row>
    <row r="732">
      <c r="A732" s="3" t="s">
        <v>2065</v>
      </c>
      <c r="B732" s="3" t="s">
        <v>2066</v>
      </c>
    </row>
    <row r="733">
      <c r="A733" s="3" t="s">
        <v>2067</v>
      </c>
      <c r="B733" s="3" t="s">
        <v>2068</v>
      </c>
    </row>
    <row r="734">
      <c r="A734" s="3" t="s">
        <v>2069</v>
      </c>
      <c r="B734" s="3" t="s">
        <v>2070</v>
      </c>
    </row>
    <row r="735">
      <c r="A735" s="3" t="s">
        <v>2071</v>
      </c>
      <c r="B735" s="3" t="s">
        <v>2072</v>
      </c>
    </row>
    <row r="736">
      <c r="A736" s="3" t="s">
        <v>2073</v>
      </c>
      <c r="B736" s="3" t="s">
        <v>2074</v>
      </c>
    </row>
    <row r="737">
      <c r="A737" s="3" t="s">
        <v>2075</v>
      </c>
      <c r="B737" s="3" t="s">
        <v>2076</v>
      </c>
    </row>
    <row r="738">
      <c r="A738" s="3" t="s">
        <v>2077</v>
      </c>
      <c r="B738" s="3" t="s">
        <v>2078</v>
      </c>
    </row>
    <row r="739">
      <c r="A739" s="3" t="s">
        <v>2079</v>
      </c>
      <c r="B739" s="3" t="s">
        <v>2080</v>
      </c>
    </row>
    <row r="740">
      <c r="A740" s="3" t="s">
        <v>2081</v>
      </c>
      <c r="B740" s="3" t="s">
        <v>2082</v>
      </c>
    </row>
    <row r="741">
      <c r="A741" s="3" t="s">
        <v>2083</v>
      </c>
      <c r="B741" s="3" t="s">
        <v>2084</v>
      </c>
    </row>
    <row r="742">
      <c r="A742" s="3" t="s">
        <v>2085</v>
      </c>
      <c r="B742" s="3" t="s">
        <v>2086</v>
      </c>
    </row>
    <row r="743">
      <c r="A743" s="3" t="s">
        <v>2087</v>
      </c>
      <c r="B743" s="3" t="s">
        <v>2088</v>
      </c>
    </row>
    <row r="744">
      <c r="A744" s="3" t="s">
        <v>2089</v>
      </c>
      <c r="B744" s="3" t="s">
        <v>2090</v>
      </c>
    </row>
    <row r="745">
      <c r="A745" s="3" t="s">
        <v>2091</v>
      </c>
      <c r="B745" s="3" t="s">
        <v>2092</v>
      </c>
    </row>
    <row r="746">
      <c r="A746" s="3" t="s">
        <v>2093</v>
      </c>
      <c r="B746" s="3" t="s">
        <v>2094</v>
      </c>
    </row>
    <row r="747">
      <c r="A747" s="3" t="s">
        <v>2095</v>
      </c>
      <c r="B747" s="3" t="s">
        <v>2096</v>
      </c>
    </row>
    <row r="748">
      <c r="A748" s="3" t="s">
        <v>2097</v>
      </c>
      <c r="B748" s="3" t="s">
        <v>2098</v>
      </c>
    </row>
    <row r="749">
      <c r="A749" s="3" t="s">
        <v>2099</v>
      </c>
      <c r="B749" s="3" t="s">
        <v>2100</v>
      </c>
    </row>
    <row r="750">
      <c r="A750" s="3" t="s">
        <v>2101</v>
      </c>
      <c r="B750" s="3" t="s">
        <v>2102</v>
      </c>
    </row>
    <row r="751">
      <c r="A751" s="3" t="s">
        <v>2103</v>
      </c>
      <c r="B751" s="3" t="s">
        <v>2104</v>
      </c>
    </row>
    <row r="752">
      <c r="A752" s="3" t="s">
        <v>2105</v>
      </c>
      <c r="B752" s="3" t="s">
        <v>2106</v>
      </c>
    </row>
    <row r="753">
      <c r="A753" s="3" t="s">
        <v>2107</v>
      </c>
      <c r="B753" s="3" t="s">
        <v>2108</v>
      </c>
    </row>
    <row r="754">
      <c r="A754" s="3" t="s">
        <v>2109</v>
      </c>
      <c r="B754" s="3" t="s">
        <v>2110</v>
      </c>
    </row>
    <row r="755">
      <c r="A755" s="3" t="s">
        <v>2111</v>
      </c>
      <c r="B755" s="3" t="s">
        <v>2112</v>
      </c>
    </row>
    <row r="756">
      <c r="A756" s="3" t="s">
        <v>2113</v>
      </c>
      <c r="B756" s="3" t="s">
        <v>2114</v>
      </c>
    </row>
    <row r="757">
      <c r="A757" s="3" t="s">
        <v>2115</v>
      </c>
      <c r="B757" s="3" t="s">
        <v>2116</v>
      </c>
    </row>
    <row r="758">
      <c r="A758" s="3" t="s">
        <v>2117</v>
      </c>
      <c r="B758" s="3" t="s">
        <v>2118</v>
      </c>
    </row>
    <row r="759">
      <c r="A759" s="3" t="s">
        <v>2119</v>
      </c>
      <c r="B759" s="3" t="s">
        <v>2120</v>
      </c>
    </row>
    <row r="760">
      <c r="A760" s="3" t="s">
        <v>2121</v>
      </c>
      <c r="B760" s="3" t="s">
        <v>2122</v>
      </c>
    </row>
    <row r="761">
      <c r="A761" s="3" t="s">
        <v>2123</v>
      </c>
      <c r="B761" s="3" t="s">
        <v>2124</v>
      </c>
    </row>
    <row r="762">
      <c r="A762" s="3" t="s">
        <v>2125</v>
      </c>
      <c r="B762" s="3" t="s">
        <v>2126</v>
      </c>
    </row>
    <row r="763">
      <c r="A763" s="3" t="s">
        <v>2127</v>
      </c>
      <c r="B763" s="3" t="s">
        <v>2128</v>
      </c>
    </row>
    <row r="764">
      <c r="A764" s="3" t="s">
        <v>2129</v>
      </c>
      <c r="B764" s="3" t="s">
        <v>2130</v>
      </c>
    </row>
    <row r="765">
      <c r="A765" s="3" t="s">
        <v>2131</v>
      </c>
      <c r="B765" s="3" t="s">
        <v>2132</v>
      </c>
    </row>
    <row r="766">
      <c r="A766" s="3" t="s">
        <v>2133</v>
      </c>
      <c r="B766" s="3" t="s">
        <v>2134</v>
      </c>
    </row>
    <row r="767">
      <c r="A767" s="3" t="s">
        <v>2135</v>
      </c>
      <c r="B767" s="3" t="s">
        <v>2136</v>
      </c>
    </row>
    <row r="768">
      <c r="A768" s="3" t="s">
        <v>2137</v>
      </c>
      <c r="B768" s="3" t="s">
        <v>2138</v>
      </c>
    </row>
    <row r="769">
      <c r="A769" s="3" t="s">
        <v>2139</v>
      </c>
      <c r="B769" s="3" t="s">
        <v>2140</v>
      </c>
    </row>
    <row r="770">
      <c r="A770" s="3" t="s">
        <v>2141</v>
      </c>
      <c r="B770" s="3" t="s">
        <v>2142</v>
      </c>
    </row>
    <row r="771">
      <c r="A771" s="3" t="s">
        <v>2143</v>
      </c>
      <c r="B771" s="3" t="s">
        <v>2144</v>
      </c>
    </row>
    <row r="772">
      <c r="A772" s="3" t="s">
        <v>2145</v>
      </c>
      <c r="B772" s="3" t="s">
        <v>2146</v>
      </c>
    </row>
    <row r="773">
      <c r="A773" s="3" t="s">
        <v>2147</v>
      </c>
      <c r="B773" s="3" t="s">
        <v>2148</v>
      </c>
    </row>
    <row r="774">
      <c r="A774" s="3" t="s">
        <v>2149</v>
      </c>
      <c r="B774" s="3" t="s">
        <v>2150</v>
      </c>
    </row>
    <row r="775">
      <c r="A775" s="3" t="s">
        <v>2151</v>
      </c>
      <c r="B775" s="3" t="s">
        <v>2152</v>
      </c>
    </row>
    <row r="776">
      <c r="A776" s="3" t="s">
        <v>2153</v>
      </c>
      <c r="B776" s="3" t="s">
        <v>2154</v>
      </c>
    </row>
    <row r="777">
      <c r="A777" s="3" t="s">
        <v>2155</v>
      </c>
      <c r="B777" s="3" t="s">
        <v>2156</v>
      </c>
    </row>
    <row r="778">
      <c r="A778" s="3" t="s">
        <v>2157</v>
      </c>
      <c r="B778" s="3" t="s">
        <v>2158</v>
      </c>
    </row>
    <row r="779">
      <c r="A779" s="3" t="s">
        <v>2159</v>
      </c>
      <c r="B779" s="3" t="s">
        <v>2160</v>
      </c>
    </row>
    <row r="780">
      <c r="A780" s="3" t="s">
        <v>2161</v>
      </c>
      <c r="B780" s="3" t="s">
        <v>2162</v>
      </c>
    </row>
    <row r="781">
      <c r="A781" s="3" t="s">
        <v>2163</v>
      </c>
      <c r="B781" s="3" t="s">
        <v>2164</v>
      </c>
    </row>
    <row r="782">
      <c r="A782" s="3" t="s">
        <v>2165</v>
      </c>
      <c r="B782" s="3" t="s">
        <v>2166</v>
      </c>
    </row>
    <row r="783">
      <c r="A783" s="3" t="s">
        <v>2167</v>
      </c>
      <c r="B783" s="3" t="s">
        <v>2168</v>
      </c>
    </row>
    <row r="784">
      <c r="A784" s="3" t="s">
        <v>2169</v>
      </c>
      <c r="B784" s="3" t="s">
        <v>2170</v>
      </c>
    </row>
    <row r="785">
      <c r="A785" s="3" t="s">
        <v>2171</v>
      </c>
      <c r="B785" s="3" t="s">
        <v>2172</v>
      </c>
    </row>
    <row r="786">
      <c r="A786" s="3" t="s">
        <v>2173</v>
      </c>
      <c r="B786" s="3" t="s">
        <v>2174</v>
      </c>
    </row>
    <row r="787">
      <c r="A787" s="3" t="s">
        <v>2175</v>
      </c>
      <c r="B787" s="3" t="s">
        <v>2176</v>
      </c>
    </row>
    <row r="788">
      <c r="A788" s="3" t="s">
        <v>2177</v>
      </c>
      <c r="B788" s="3" t="s">
        <v>2178</v>
      </c>
    </row>
    <row r="789">
      <c r="A789" s="3" t="s">
        <v>2179</v>
      </c>
      <c r="B789" s="3" t="s">
        <v>2180</v>
      </c>
    </row>
    <row r="790">
      <c r="A790" s="3" t="s">
        <v>2181</v>
      </c>
      <c r="B790" s="3" t="s">
        <v>2182</v>
      </c>
    </row>
    <row r="791">
      <c r="A791" s="3" t="s">
        <v>2183</v>
      </c>
      <c r="B791" s="3" t="s">
        <v>2184</v>
      </c>
    </row>
    <row r="792">
      <c r="A792" s="3" t="s">
        <v>2185</v>
      </c>
      <c r="B792" s="3" t="s">
        <v>2186</v>
      </c>
    </row>
    <row r="793">
      <c r="A793" s="3" t="s">
        <v>2187</v>
      </c>
      <c r="B793" s="3" t="s">
        <v>2188</v>
      </c>
    </row>
    <row r="794">
      <c r="A794" s="3" t="s">
        <v>2189</v>
      </c>
      <c r="B794" s="3" t="s">
        <v>2190</v>
      </c>
    </row>
    <row r="795">
      <c r="A795" s="3" t="s">
        <v>2191</v>
      </c>
      <c r="B795" s="3" t="s">
        <v>2192</v>
      </c>
    </row>
    <row r="796">
      <c r="A796" s="3" t="s">
        <v>2193</v>
      </c>
      <c r="B796" s="3" t="s">
        <v>2194</v>
      </c>
    </row>
    <row r="797">
      <c r="A797" s="3" t="s">
        <v>2195</v>
      </c>
      <c r="B797" s="3" t="s">
        <v>2196</v>
      </c>
    </row>
    <row r="798">
      <c r="A798" s="3" t="s">
        <v>2197</v>
      </c>
      <c r="B798" s="3" t="s">
        <v>2198</v>
      </c>
    </row>
    <row r="799">
      <c r="A799" s="3" t="s">
        <v>2199</v>
      </c>
      <c r="B799" s="3" t="s">
        <v>2200</v>
      </c>
    </row>
    <row r="800">
      <c r="A800" s="3" t="s">
        <v>2201</v>
      </c>
      <c r="B800" s="3" t="s">
        <v>2202</v>
      </c>
    </row>
    <row r="801">
      <c r="A801" s="3" t="s">
        <v>2203</v>
      </c>
      <c r="B801" s="3" t="s">
        <v>2204</v>
      </c>
    </row>
    <row r="802">
      <c r="A802" s="3" t="s">
        <v>2205</v>
      </c>
      <c r="B802" s="3" t="s">
        <v>2206</v>
      </c>
    </row>
    <row r="803">
      <c r="A803" s="3" t="s">
        <v>2207</v>
      </c>
      <c r="B803" s="3" t="s">
        <v>2208</v>
      </c>
    </row>
    <row r="804">
      <c r="A804" s="3" t="s">
        <v>2209</v>
      </c>
      <c r="B804" s="3" t="s">
        <v>2210</v>
      </c>
    </row>
    <row r="805">
      <c r="A805" s="3" t="s">
        <v>2211</v>
      </c>
      <c r="B805" s="3" t="s">
        <v>2212</v>
      </c>
    </row>
    <row r="806">
      <c r="A806" s="3" t="s">
        <v>2213</v>
      </c>
      <c r="B806" s="3" t="s">
        <v>2214</v>
      </c>
    </row>
    <row r="807">
      <c r="A807" s="3" t="s">
        <v>2215</v>
      </c>
      <c r="B807" s="3" t="s">
        <v>2216</v>
      </c>
    </row>
    <row r="808">
      <c r="A808" s="3" t="s">
        <v>2217</v>
      </c>
      <c r="B808" s="3" t="s">
        <v>2218</v>
      </c>
    </row>
    <row r="809">
      <c r="A809" s="3" t="s">
        <v>2219</v>
      </c>
      <c r="B809" s="3" t="s">
        <v>2220</v>
      </c>
    </row>
    <row r="810">
      <c r="A810" s="3" t="s">
        <v>2221</v>
      </c>
      <c r="B810" s="3" t="s">
        <v>2222</v>
      </c>
    </row>
    <row r="811">
      <c r="A811" s="3" t="s">
        <v>2223</v>
      </c>
      <c r="B811" s="3" t="s">
        <v>2224</v>
      </c>
    </row>
    <row r="812">
      <c r="A812" s="3" t="s">
        <v>2225</v>
      </c>
      <c r="B812" s="3" t="s">
        <v>2226</v>
      </c>
    </row>
    <row r="813">
      <c r="A813" s="3" t="s">
        <v>2227</v>
      </c>
      <c r="B813" s="3" t="s">
        <v>2228</v>
      </c>
    </row>
    <row r="814">
      <c r="A814" s="3" t="s">
        <v>2229</v>
      </c>
      <c r="B814" s="3" t="s">
        <v>2230</v>
      </c>
    </row>
    <row r="815">
      <c r="A815" s="3" t="s">
        <v>2231</v>
      </c>
      <c r="B815" s="3" t="s">
        <v>2232</v>
      </c>
    </row>
    <row r="816">
      <c r="A816" s="3" t="s">
        <v>2233</v>
      </c>
      <c r="B816" s="3" t="s">
        <v>2234</v>
      </c>
    </row>
    <row r="817">
      <c r="A817" s="3" t="s">
        <v>2235</v>
      </c>
      <c r="B817" s="3" t="s">
        <v>2236</v>
      </c>
    </row>
    <row r="818">
      <c r="A818" s="3" t="s">
        <v>2237</v>
      </c>
      <c r="B818" s="3" t="s">
        <v>2238</v>
      </c>
    </row>
    <row r="819">
      <c r="A819" s="3" t="s">
        <v>2239</v>
      </c>
      <c r="B819" s="3" t="s">
        <v>2240</v>
      </c>
    </row>
    <row r="820">
      <c r="A820" s="3" t="s">
        <v>2241</v>
      </c>
      <c r="B820" s="3" t="s">
        <v>2242</v>
      </c>
    </row>
    <row r="821">
      <c r="A821" s="3" t="s">
        <v>2243</v>
      </c>
      <c r="B821" s="3" t="s">
        <v>2244</v>
      </c>
    </row>
    <row r="822">
      <c r="A822" s="3" t="s">
        <v>2245</v>
      </c>
      <c r="B822" s="3" t="s">
        <v>2246</v>
      </c>
    </row>
    <row r="823">
      <c r="A823" s="3" t="s">
        <v>2247</v>
      </c>
      <c r="B823" s="3" t="s">
        <v>2248</v>
      </c>
    </row>
    <row r="824">
      <c r="A824" s="3" t="s">
        <v>2249</v>
      </c>
      <c r="B824" s="3" t="s">
        <v>2250</v>
      </c>
    </row>
    <row r="825">
      <c r="A825" s="3" t="s">
        <v>2251</v>
      </c>
      <c r="B825" s="3" t="s">
        <v>2252</v>
      </c>
    </row>
    <row r="826">
      <c r="A826" s="3" t="s">
        <v>2253</v>
      </c>
      <c r="B826" s="3" t="s">
        <v>2254</v>
      </c>
    </row>
    <row r="827">
      <c r="A827" s="3" t="s">
        <v>2255</v>
      </c>
      <c r="B827" s="3" t="s">
        <v>2256</v>
      </c>
    </row>
    <row r="828">
      <c r="A828" s="3" t="s">
        <v>2257</v>
      </c>
      <c r="B828" s="3" t="s">
        <v>2258</v>
      </c>
    </row>
    <row r="829">
      <c r="A829" s="3" t="s">
        <v>2259</v>
      </c>
      <c r="B829" s="3" t="s">
        <v>2260</v>
      </c>
    </row>
    <row r="830">
      <c r="A830" s="3" t="s">
        <v>2261</v>
      </c>
      <c r="B830" s="3" t="s">
        <v>2262</v>
      </c>
    </row>
    <row r="831">
      <c r="A831" s="3" t="s">
        <v>2263</v>
      </c>
      <c r="B831" s="3" t="s">
        <v>2264</v>
      </c>
    </row>
    <row r="832">
      <c r="A832" s="3" t="s">
        <v>2265</v>
      </c>
      <c r="B832" s="3" t="s">
        <v>2266</v>
      </c>
    </row>
    <row r="833">
      <c r="A833" s="3" t="s">
        <v>2267</v>
      </c>
      <c r="B833" s="3" t="s">
        <v>2268</v>
      </c>
    </row>
    <row r="834">
      <c r="A834" s="3" t="s">
        <v>2269</v>
      </c>
      <c r="B834" s="3" t="s">
        <v>2270</v>
      </c>
    </row>
    <row r="835">
      <c r="A835" s="3" t="s">
        <v>2271</v>
      </c>
      <c r="B835" s="3" t="s">
        <v>2272</v>
      </c>
    </row>
    <row r="836">
      <c r="A836" s="3" t="s">
        <v>2273</v>
      </c>
      <c r="B836" s="3" t="s">
        <v>2274</v>
      </c>
    </row>
    <row r="837">
      <c r="A837" s="3" t="s">
        <v>2275</v>
      </c>
      <c r="B837" s="3" t="s">
        <v>2276</v>
      </c>
    </row>
    <row r="838">
      <c r="A838" s="3" t="s">
        <v>2277</v>
      </c>
      <c r="B838" s="3" t="s">
        <v>2278</v>
      </c>
    </row>
    <row r="839">
      <c r="A839" s="3" t="s">
        <v>2279</v>
      </c>
      <c r="B839" s="3" t="s">
        <v>2280</v>
      </c>
    </row>
    <row r="840">
      <c r="A840" s="3" t="s">
        <v>2281</v>
      </c>
      <c r="B840" s="3" t="s">
        <v>284</v>
      </c>
    </row>
    <row r="841">
      <c r="A841" s="3" t="s">
        <v>2282</v>
      </c>
      <c r="B841" s="3" t="s">
        <v>2283</v>
      </c>
    </row>
    <row r="842">
      <c r="A842" s="3" t="s">
        <v>2284</v>
      </c>
      <c r="B842" s="3" t="s">
        <v>2285</v>
      </c>
    </row>
    <row r="843">
      <c r="A843" s="3" t="s">
        <v>2286</v>
      </c>
      <c r="B843" s="3" t="s">
        <v>2287</v>
      </c>
    </row>
    <row r="844">
      <c r="A844" s="3" t="s">
        <v>2288</v>
      </c>
      <c r="B844" s="3" t="s">
        <v>2289</v>
      </c>
    </row>
    <row r="845">
      <c r="A845" s="3" t="s">
        <v>2290</v>
      </c>
      <c r="B845" s="3" t="s">
        <v>2291</v>
      </c>
    </row>
    <row r="846">
      <c r="A846" s="3" t="s">
        <v>2292</v>
      </c>
      <c r="B846" s="3" t="s">
        <v>2293</v>
      </c>
    </row>
    <row r="847">
      <c r="A847" s="3" t="s">
        <v>2294</v>
      </c>
      <c r="B847" s="3" t="s">
        <v>2295</v>
      </c>
    </row>
    <row r="848">
      <c r="A848" s="3" t="s">
        <v>2296</v>
      </c>
      <c r="B848" s="3" t="s">
        <v>2297</v>
      </c>
    </row>
    <row r="849">
      <c r="A849" s="3" t="s">
        <v>2298</v>
      </c>
      <c r="B849" s="3" t="s">
        <v>2299</v>
      </c>
    </row>
    <row r="850">
      <c r="A850" s="3" t="s">
        <v>2300</v>
      </c>
      <c r="B850" s="3" t="s">
        <v>2301</v>
      </c>
    </row>
    <row r="851">
      <c r="A851" s="3" t="s">
        <v>2302</v>
      </c>
      <c r="B851" s="3" t="s">
        <v>2303</v>
      </c>
    </row>
    <row r="852">
      <c r="A852" s="3" t="s">
        <v>2304</v>
      </c>
      <c r="B852" s="3" t="s">
        <v>2305</v>
      </c>
    </row>
    <row r="853">
      <c r="A853" s="3" t="s">
        <v>2306</v>
      </c>
      <c r="B853" s="3" t="s">
        <v>2307</v>
      </c>
    </row>
    <row r="854">
      <c r="A854" s="3" t="s">
        <v>2308</v>
      </c>
      <c r="B854" s="3" t="s">
        <v>2309</v>
      </c>
    </row>
    <row r="855">
      <c r="A855" s="3" t="s">
        <v>2310</v>
      </c>
      <c r="B855" s="3" t="s">
        <v>2311</v>
      </c>
    </row>
    <row r="856">
      <c r="A856" s="3" t="s">
        <v>2312</v>
      </c>
      <c r="B856" s="3" t="s">
        <v>2313</v>
      </c>
    </row>
    <row r="857">
      <c r="A857" s="3" t="s">
        <v>2314</v>
      </c>
      <c r="B857" s="3" t="s">
        <v>2315</v>
      </c>
    </row>
    <row r="858">
      <c r="A858" s="3" t="s">
        <v>2316</v>
      </c>
      <c r="B858" s="3" t="s">
        <v>2317</v>
      </c>
    </row>
    <row r="859">
      <c r="A859" s="3" t="s">
        <v>2318</v>
      </c>
      <c r="B859" s="3" t="s">
        <v>2319</v>
      </c>
    </row>
    <row r="860">
      <c r="A860" s="3" t="s">
        <v>2320</v>
      </c>
      <c r="B860" s="3" t="s">
        <v>2321</v>
      </c>
    </row>
    <row r="861">
      <c r="A861" s="3" t="s">
        <v>2322</v>
      </c>
      <c r="B861" s="3" t="s">
        <v>2323</v>
      </c>
    </row>
    <row r="862">
      <c r="A862" s="3" t="s">
        <v>2324</v>
      </c>
      <c r="B862" s="3" t="s">
        <v>2325</v>
      </c>
    </row>
    <row r="863">
      <c r="A863" s="3" t="s">
        <v>2326</v>
      </c>
      <c r="B863" s="3" t="s">
        <v>2327</v>
      </c>
    </row>
    <row r="864">
      <c r="A864" s="3" t="s">
        <v>2328</v>
      </c>
      <c r="B864" s="3" t="s">
        <v>2329</v>
      </c>
    </row>
    <row r="865">
      <c r="A865" s="3" t="s">
        <v>2330</v>
      </c>
      <c r="B865" s="3" t="s">
        <v>2331</v>
      </c>
    </row>
    <row r="866">
      <c r="A866" s="3" t="s">
        <v>2332</v>
      </c>
      <c r="B866" s="3" t="s">
        <v>2333</v>
      </c>
    </row>
    <row r="867">
      <c r="A867" s="3" t="s">
        <v>2334</v>
      </c>
      <c r="B867" s="3" t="s">
        <v>2335</v>
      </c>
    </row>
    <row r="868">
      <c r="A868" s="3" t="s">
        <v>2336</v>
      </c>
      <c r="B868" s="3" t="s">
        <v>2337</v>
      </c>
    </row>
    <row r="869">
      <c r="A869" s="3" t="s">
        <v>2338</v>
      </c>
      <c r="B869" s="3" t="s">
        <v>2339</v>
      </c>
    </row>
    <row r="870">
      <c r="A870" s="3" t="s">
        <v>2340</v>
      </c>
      <c r="B870" s="3" t="s">
        <v>2341</v>
      </c>
    </row>
    <row r="871">
      <c r="A871" s="3" t="s">
        <v>2342</v>
      </c>
      <c r="B871" s="3" t="s">
        <v>2343</v>
      </c>
    </row>
    <row r="872">
      <c r="A872" s="3" t="s">
        <v>2344</v>
      </c>
      <c r="B872" s="3" t="s">
        <v>2345</v>
      </c>
    </row>
    <row r="873">
      <c r="A873" s="3" t="s">
        <v>2346</v>
      </c>
      <c r="B873" s="3" t="s">
        <v>2347</v>
      </c>
    </row>
    <row r="874">
      <c r="A874" s="3" t="s">
        <v>2348</v>
      </c>
      <c r="B874" s="3" t="s">
        <v>2349</v>
      </c>
    </row>
    <row r="875">
      <c r="A875" s="3" t="s">
        <v>2350</v>
      </c>
      <c r="B875" s="3" t="s">
        <v>2351</v>
      </c>
    </row>
    <row r="876">
      <c r="A876" s="3" t="s">
        <v>2352</v>
      </c>
      <c r="B876" s="3" t="s">
        <v>2353</v>
      </c>
    </row>
    <row r="877">
      <c r="A877" s="3" t="s">
        <v>2354</v>
      </c>
      <c r="B877" s="3" t="s">
        <v>2355</v>
      </c>
    </row>
    <row r="878">
      <c r="A878" s="3" t="s">
        <v>2356</v>
      </c>
      <c r="B878" s="3" t="s">
        <v>2357</v>
      </c>
    </row>
    <row r="879">
      <c r="A879" s="3" t="s">
        <v>2358</v>
      </c>
      <c r="B879" s="3" t="s">
        <v>2359</v>
      </c>
    </row>
    <row r="880">
      <c r="A880" s="3" t="s">
        <v>2360</v>
      </c>
      <c r="B880" s="3" t="s">
        <v>2361</v>
      </c>
    </row>
    <row r="881">
      <c r="A881" s="3" t="s">
        <v>2362</v>
      </c>
      <c r="B881" s="3" t="s">
        <v>2363</v>
      </c>
    </row>
    <row r="882">
      <c r="A882" s="3" t="s">
        <v>2364</v>
      </c>
      <c r="B882" s="3" t="s">
        <v>2365</v>
      </c>
    </row>
    <row r="883">
      <c r="A883" s="3" t="s">
        <v>2366</v>
      </c>
      <c r="B883" s="3" t="s">
        <v>2367</v>
      </c>
    </row>
    <row r="884">
      <c r="A884" s="3" t="s">
        <v>2368</v>
      </c>
      <c r="B884" s="3" t="s">
        <v>2369</v>
      </c>
    </row>
    <row r="885">
      <c r="A885" s="3" t="s">
        <v>2370</v>
      </c>
      <c r="B885" s="3" t="s">
        <v>2371</v>
      </c>
    </row>
    <row r="886">
      <c r="A886" s="3" t="s">
        <v>2372</v>
      </c>
      <c r="B886" s="3" t="s">
        <v>2373</v>
      </c>
    </row>
    <row r="887">
      <c r="A887" s="3" t="s">
        <v>2374</v>
      </c>
      <c r="B887" s="3" t="s">
        <v>2375</v>
      </c>
    </row>
    <row r="888">
      <c r="A888" s="3" t="s">
        <v>2376</v>
      </c>
      <c r="B888" s="3" t="s">
        <v>2377</v>
      </c>
    </row>
    <row r="889">
      <c r="A889" s="3" t="s">
        <v>2378</v>
      </c>
      <c r="B889" s="3" t="s">
        <v>2379</v>
      </c>
    </row>
    <row r="890">
      <c r="A890" s="3" t="s">
        <v>2380</v>
      </c>
      <c r="B890" s="3" t="s">
        <v>2381</v>
      </c>
    </row>
    <row r="891">
      <c r="A891" s="3" t="s">
        <v>2382</v>
      </c>
      <c r="B891" s="3" t="s">
        <v>2383</v>
      </c>
    </row>
    <row r="892">
      <c r="A892" s="3" t="s">
        <v>2384</v>
      </c>
      <c r="B892" s="3" t="s">
        <v>2385</v>
      </c>
    </row>
    <row r="893">
      <c r="A893" s="3" t="s">
        <v>2386</v>
      </c>
      <c r="B893" s="3" t="s">
        <v>2387</v>
      </c>
    </row>
    <row r="894">
      <c r="A894" s="3" t="s">
        <v>2388</v>
      </c>
      <c r="B894" s="3" t="s">
        <v>2389</v>
      </c>
    </row>
    <row r="895">
      <c r="A895" s="3" t="s">
        <v>2390</v>
      </c>
      <c r="B895" s="3" t="s">
        <v>2391</v>
      </c>
    </row>
    <row r="896">
      <c r="A896" s="3" t="s">
        <v>2392</v>
      </c>
      <c r="B896" s="3" t="s">
        <v>2393</v>
      </c>
    </row>
    <row r="897">
      <c r="A897" s="3" t="s">
        <v>2394</v>
      </c>
      <c r="B897" s="3" t="s">
        <v>2395</v>
      </c>
    </row>
    <row r="898">
      <c r="A898" s="3" t="s">
        <v>2396</v>
      </c>
      <c r="B898" s="3" t="s">
        <v>2397</v>
      </c>
    </row>
    <row r="899">
      <c r="A899" s="3" t="s">
        <v>2398</v>
      </c>
      <c r="B899" s="3" t="s">
        <v>2399</v>
      </c>
    </row>
    <row r="900">
      <c r="A900" s="3" t="s">
        <v>2400</v>
      </c>
      <c r="B900" s="3" t="s">
        <v>2401</v>
      </c>
    </row>
    <row r="901">
      <c r="A901" s="3" t="s">
        <v>2402</v>
      </c>
      <c r="B901" s="3" t="s">
        <v>2403</v>
      </c>
    </row>
    <row r="902">
      <c r="A902" s="3" t="s">
        <v>2404</v>
      </c>
      <c r="B902" s="3" t="s">
        <v>2405</v>
      </c>
    </row>
    <row r="903">
      <c r="A903" s="3" t="s">
        <v>2406</v>
      </c>
      <c r="B903" s="3" t="s">
        <v>2407</v>
      </c>
    </row>
    <row r="904">
      <c r="A904" s="3" t="s">
        <v>2408</v>
      </c>
      <c r="B904" s="3" t="s">
        <v>2409</v>
      </c>
    </row>
    <row r="905">
      <c r="A905" s="3" t="s">
        <v>2410</v>
      </c>
      <c r="B905" s="3" t="s">
        <v>2411</v>
      </c>
    </row>
    <row r="906">
      <c r="A906" s="3" t="s">
        <v>2412</v>
      </c>
      <c r="B906" s="3" t="s">
        <v>2413</v>
      </c>
    </row>
    <row r="907">
      <c r="A907" s="3" t="s">
        <v>2414</v>
      </c>
      <c r="B907" s="3" t="s">
        <v>2415</v>
      </c>
    </row>
    <row r="908">
      <c r="A908" s="3" t="s">
        <v>2416</v>
      </c>
      <c r="B908" s="3" t="s">
        <v>2417</v>
      </c>
    </row>
    <row r="909">
      <c r="A909" s="3" t="s">
        <v>2418</v>
      </c>
      <c r="B909" s="3" t="s">
        <v>2419</v>
      </c>
    </row>
    <row r="910">
      <c r="A910" s="3" t="s">
        <v>2420</v>
      </c>
      <c r="B910" s="3" t="s">
        <v>2421</v>
      </c>
    </row>
    <row r="911">
      <c r="A911" s="3" t="s">
        <v>2422</v>
      </c>
      <c r="B911" s="3" t="s">
        <v>2423</v>
      </c>
    </row>
    <row r="912">
      <c r="A912" s="3" t="s">
        <v>2424</v>
      </c>
      <c r="B912" s="3" t="s">
        <v>2425</v>
      </c>
    </row>
    <row r="913">
      <c r="A913" s="3" t="s">
        <v>2426</v>
      </c>
      <c r="B913" s="3" t="s">
        <v>2427</v>
      </c>
    </row>
    <row r="914">
      <c r="A914" s="3" t="s">
        <v>2428</v>
      </c>
      <c r="B914" s="3" t="s">
        <v>2429</v>
      </c>
    </row>
    <row r="915">
      <c r="A915" s="3" t="s">
        <v>2430</v>
      </c>
      <c r="B915" s="3" t="s">
        <v>2431</v>
      </c>
    </row>
    <row r="916">
      <c r="A916" s="3" t="s">
        <v>2432</v>
      </c>
      <c r="B916" s="3" t="s">
        <v>2433</v>
      </c>
    </row>
    <row r="917">
      <c r="A917" s="3" t="s">
        <v>2434</v>
      </c>
      <c r="B917" s="3" t="s">
        <v>2435</v>
      </c>
    </row>
    <row r="918">
      <c r="A918" s="3" t="s">
        <v>2436</v>
      </c>
      <c r="B918" s="3" t="s">
        <v>2437</v>
      </c>
    </row>
    <row r="919">
      <c r="A919" s="3" t="s">
        <v>2438</v>
      </c>
      <c r="B919" s="3" t="s">
        <v>2439</v>
      </c>
    </row>
    <row r="920">
      <c r="A920" s="3" t="s">
        <v>2440</v>
      </c>
      <c r="B920" s="3" t="s">
        <v>2441</v>
      </c>
    </row>
    <row r="921">
      <c r="A921" s="3" t="s">
        <v>2442</v>
      </c>
      <c r="B921" s="3" t="s">
        <v>2443</v>
      </c>
    </row>
    <row r="922">
      <c r="A922" s="3" t="s">
        <v>2444</v>
      </c>
      <c r="B922" s="3" t="s">
        <v>2445</v>
      </c>
    </row>
    <row r="923">
      <c r="A923" s="3" t="s">
        <v>2446</v>
      </c>
      <c r="B923" s="3" t="s">
        <v>2447</v>
      </c>
    </row>
    <row r="924">
      <c r="A924" s="3" t="s">
        <v>2448</v>
      </c>
      <c r="B924" s="3" t="s">
        <v>2449</v>
      </c>
    </row>
    <row r="925">
      <c r="A925" s="3" t="s">
        <v>2450</v>
      </c>
      <c r="B925" s="3" t="s">
        <v>2451</v>
      </c>
    </row>
    <row r="926">
      <c r="A926" s="3" t="s">
        <v>2452</v>
      </c>
      <c r="B926" s="3" t="s">
        <v>2453</v>
      </c>
    </row>
    <row r="927">
      <c r="A927" s="3" t="s">
        <v>2454</v>
      </c>
      <c r="B927" s="3" t="s">
        <v>2455</v>
      </c>
    </row>
    <row r="928">
      <c r="A928" s="3" t="s">
        <v>2456</v>
      </c>
      <c r="B928" s="3" t="s">
        <v>2457</v>
      </c>
    </row>
    <row r="929">
      <c r="A929" s="3" t="s">
        <v>2458</v>
      </c>
      <c r="B929" s="3" t="s">
        <v>2459</v>
      </c>
    </row>
    <row r="930">
      <c r="A930" s="3" t="s">
        <v>2460</v>
      </c>
      <c r="B930" s="3" t="s">
        <v>2461</v>
      </c>
    </row>
    <row r="931">
      <c r="A931" s="3" t="s">
        <v>2462</v>
      </c>
      <c r="B931" s="3" t="s">
        <v>2463</v>
      </c>
    </row>
    <row r="932">
      <c r="A932" s="3" t="s">
        <v>2464</v>
      </c>
      <c r="B932" s="3" t="s">
        <v>2465</v>
      </c>
    </row>
    <row r="933">
      <c r="A933" s="3" t="s">
        <v>2466</v>
      </c>
      <c r="B933" s="3" t="s">
        <v>2467</v>
      </c>
    </row>
    <row r="934">
      <c r="A934" s="3" t="s">
        <v>2468</v>
      </c>
      <c r="B934" s="3" t="s">
        <v>2469</v>
      </c>
    </row>
    <row r="935">
      <c r="A935" s="3" t="s">
        <v>2470</v>
      </c>
      <c r="B935" s="3" t="s">
        <v>2471</v>
      </c>
    </row>
    <row r="936">
      <c r="A936" s="3" t="s">
        <v>2472</v>
      </c>
      <c r="B936" s="3" t="s">
        <v>2473</v>
      </c>
    </row>
    <row r="937">
      <c r="A937" s="3" t="s">
        <v>2474</v>
      </c>
      <c r="B937" s="3" t="s">
        <v>2475</v>
      </c>
    </row>
    <row r="938">
      <c r="A938" s="3" t="s">
        <v>2476</v>
      </c>
      <c r="B938" s="3" t="s">
        <v>2477</v>
      </c>
    </row>
    <row r="939">
      <c r="A939" s="3" t="s">
        <v>2478</v>
      </c>
      <c r="B939" s="3" t="s">
        <v>2479</v>
      </c>
    </row>
    <row r="940">
      <c r="A940" s="3" t="s">
        <v>2480</v>
      </c>
      <c r="B940" s="3" t="s">
        <v>2481</v>
      </c>
    </row>
    <row r="941">
      <c r="A941" s="3" t="s">
        <v>2482</v>
      </c>
      <c r="B941" s="3" t="s">
        <v>2483</v>
      </c>
    </row>
    <row r="942">
      <c r="A942" s="3" t="s">
        <v>2484</v>
      </c>
      <c r="B942" s="3" t="s">
        <v>2485</v>
      </c>
    </row>
    <row r="943">
      <c r="A943" s="3" t="s">
        <v>2486</v>
      </c>
      <c r="B943" s="3" t="s">
        <v>2487</v>
      </c>
    </row>
    <row r="944">
      <c r="A944" s="3" t="s">
        <v>2488</v>
      </c>
      <c r="B944" s="3" t="s">
        <v>2489</v>
      </c>
    </row>
    <row r="945">
      <c r="A945" s="3" t="s">
        <v>2490</v>
      </c>
      <c r="B945" s="3" t="s">
        <v>2491</v>
      </c>
    </row>
    <row r="946">
      <c r="A946" s="3" t="s">
        <v>2492</v>
      </c>
      <c r="B946" s="3" t="s">
        <v>2493</v>
      </c>
    </row>
    <row r="947">
      <c r="A947" s="3" t="s">
        <v>2494</v>
      </c>
      <c r="B947" s="3" t="s">
        <v>2495</v>
      </c>
    </row>
    <row r="948">
      <c r="A948" s="3" t="s">
        <v>2496</v>
      </c>
      <c r="B948" s="3" t="s">
        <v>2497</v>
      </c>
    </row>
    <row r="949">
      <c r="A949" s="3" t="s">
        <v>2498</v>
      </c>
      <c r="B949" s="3" t="s">
        <v>2499</v>
      </c>
    </row>
    <row r="950">
      <c r="A950" s="3" t="s">
        <v>2500</v>
      </c>
      <c r="B950" s="3" t="s">
        <v>2501</v>
      </c>
    </row>
    <row r="951">
      <c r="A951" s="3" t="s">
        <v>2502</v>
      </c>
      <c r="B951" s="3" t="s">
        <v>2503</v>
      </c>
    </row>
    <row r="952">
      <c r="A952" s="3" t="s">
        <v>2504</v>
      </c>
      <c r="B952" s="3" t="s">
        <v>2505</v>
      </c>
    </row>
    <row r="953">
      <c r="A953" s="3" t="s">
        <v>2506</v>
      </c>
      <c r="B953" s="3" t="s">
        <v>2507</v>
      </c>
    </row>
    <row r="954">
      <c r="A954" s="3" t="s">
        <v>2508</v>
      </c>
      <c r="B954" s="3" t="s">
        <v>2509</v>
      </c>
    </row>
    <row r="955">
      <c r="A955" s="3" t="s">
        <v>2510</v>
      </c>
      <c r="B955" s="3" t="s">
        <v>2511</v>
      </c>
    </row>
    <row r="956">
      <c r="A956" s="3" t="s">
        <v>2512</v>
      </c>
      <c r="B956" s="3" t="s">
        <v>2513</v>
      </c>
    </row>
    <row r="957">
      <c r="A957" s="3" t="s">
        <v>2514</v>
      </c>
      <c r="B957" s="3" t="s">
        <v>2515</v>
      </c>
    </row>
    <row r="958">
      <c r="A958" s="3" t="s">
        <v>2516</v>
      </c>
      <c r="B958" s="3" t="s">
        <v>2517</v>
      </c>
    </row>
    <row r="959">
      <c r="A959" s="3" t="s">
        <v>2518</v>
      </c>
      <c r="B959" s="3" t="s">
        <v>2519</v>
      </c>
    </row>
    <row r="960">
      <c r="A960" s="3" t="s">
        <v>2520</v>
      </c>
      <c r="B960" s="3" t="s">
        <v>2521</v>
      </c>
    </row>
    <row r="961">
      <c r="A961" s="3" t="s">
        <v>2522</v>
      </c>
      <c r="B961" s="3" t="s">
        <v>472</v>
      </c>
    </row>
    <row r="962">
      <c r="A962" s="3" t="s">
        <v>2523</v>
      </c>
      <c r="B962" s="3" t="s">
        <v>2524</v>
      </c>
    </row>
    <row r="963">
      <c r="A963" s="3" t="s">
        <v>2525</v>
      </c>
      <c r="B963" s="3" t="s">
        <v>2526</v>
      </c>
    </row>
    <row r="964">
      <c r="A964" s="3" t="s">
        <v>2527</v>
      </c>
      <c r="B964" s="3" t="s">
        <v>447</v>
      </c>
    </row>
    <row r="965">
      <c r="A965" s="3" t="s">
        <v>2528</v>
      </c>
      <c r="B965" s="3" t="s">
        <v>2529</v>
      </c>
    </row>
    <row r="966">
      <c r="A966" s="3" t="s">
        <v>2530</v>
      </c>
      <c r="B966" s="3" t="s">
        <v>2531</v>
      </c>
    </row>
    <row r="967">
      <c r="A967" s="3" t="s">
        <v>2532</v>
      </c>
      <c r="B967" s="3" t="s">
        <v>2533</v>
      </c>
    </row>
    <row r="968">
      <c r="A968" s="3" t="s">
        <v>2534</v>
      </c>
      <c r="B968" s="3" t="s">
        <v>2535</v>
      </c>
    </row>
    <row r="969">
      <c r="A969" s="3" t="s">
        <v>2536</v>
      </c>
      <c r="B969" s="3" t="s">
        <v>2537</v>
      </c>
    </row>
    <row r="970">
      <c r="A970" s="3" t="s">
        <v>2538</v>
      </c>
      <c r="B970" s="3" t="s">
        <v>2539</v>
      </c>
    </row>
    <row r="971">
      <c r="A971" s="3" t="s">
        <v>2540</v>
      </c>
      <c r="B971" s="3" t="s">
        <v>2541</v>
      </c>
    </row>
    <row r="972">
      <c r="A972" s="3" t="s">
        <v>2542</v>
      </c>
      <c r="B972" s="3" t="s">
        <v>2543</v>
      </c>
    </row>
    <row r="973">
      <c r="A973" s="3" t="s">
        <v>2544</v>
      </c>
      <c r="B973" s="3" t="s">
        <v>2545</v>
      </c>
    </row>
    <row r="974">
      <c r="A974" s="3" t="s">
        <v>2546</v>
      </c>
      <c r="B974" s="3" t="s">
        <v>2547</v>
      </c>
    </row>
    <row r="975">
      <c r="A975" s="3" t="s">
        <v>2548</v>
      </c>
      <c r="B975" s="3" t="s">
        <v>2549</v>
      </c>
    </row>
    <row r="976">
      <c r="A976" s="3" t="s">
        <v>2550</v>
      </c>
      <c r="B976" s="3" t="s">
        <v>2551</v>
      </c>
    </row>
    <row r="977">
      <c r="A977" s="3" t="s">
        <v>2552</v>
      </c>
      <c r="B977" s="3" t="s">
        <v>2553</v>
      </c>
    </row>
    <row r="978">
      <c r="A978" s="3" t="s">
        <v>2554</v>
      </c>
      <c r="B978" s="3" t="s">
        <v>2555</v>
      </c>
    </row>
    <row r="979">
      <c r="A979" s="3" t="s">
        <v>2556</v>
      </c>
      <c r="B979" s="3" t="s">
        <v>2557</v>
      </c>
    </row>
    <row r="980">
      <c r="A980" s="3" t="s">
        <v>2558</v>
      </c>
      <c r="B980" s="3" t="s">
        <v>2559</v>
      </c>
    </row>
    <row r="981">
      <c r="A981" s="3" t="s">
        <v>2560</v>
      </c>
      <c r="B981" s="3" t="s">
        <v>2561</v>
      </c>
    </row>
    <row r="982">
      <c r="A982" s="3" t="s">
        <v>2562</v>
      </c>
      <c r="B982" s="3" t="s">
        <v>2563</v>
      </c>
    </row>
    <row r="983">
      <c r="A983" s="3" t="s">
        <v>2564</v>
      </c>
      <c r="B983" s="3" t="s">
        <v>2565</v>
      </c>
    </row>
    <row r="984">
      <c r="A984" s="3" t="s">
        <v>2566</v>
      </c>
      <c r="B984" s="3" t="s">
        <v>2567</v>
      </c>
    </row>
    <row r="985">
      <c r="A985" s="3" t="s">
        <v>2568</v>
      </c>
      <c r="B985" s="3" t="s">
        <v>2569</v>
      </c>
    </row>
    <row r="986">
      <c r="A986" s="3" t="s">
        <v>2570</v>
      </c>
      <c r="B986" s="3" t="s">
        <v>2571</v>
      </c>
    </row>
    <row r="987">
      <c r="A987" s="3" t="s">
        <v>2572</v>
      </c>
      <c r="B987" s="3" t="s">
        <v>2573</v>
      </c>
    </row>
    <row r="988">
      <c r="A988" s="3" t="s">
        <v>2574</v>
      </c>
      <c r="B988" s="3" t="s">
        <v>2575</v>
      </c>
    </row>
    <row r="989">
      <c r="A989" s="3" t="s">
        <v>2576</v>
      </c>
      <c r="B989" s="3" t="s">
        <v>2577</v>
      </c>
    </row>
    <row r="990">
      <c r="A990" s="3" t="s">
        <v>2578</v>
      </c>
      <c r="B990" s="3" t="s">
        <v>2579</v>
      </c>
    </row>
    <row r="991">
      <c r="A991" s="3" t="s">
        <v>2580</v>
      </c>
      <c r="B991" s="3" t="s">
        <v>2581</v>
      </c>
    </row>
    <row r="992">
      <c r="A992" s="3" t="s">
        <v>2582</v>
      </c>
      <c r="B992" s="3" t="s">
        <v>2583</v>
      </c>
    </row>
    <row r="993">
      <c r="A993" s="3" t="s">
        <v>2584</v>
      </c>
      <c r="B993" s="3" t="s">
        <v>2585</v>
      </c>
    </row>
    <row r="994">
      <c r="A994" s="3" t="s">
        <v>2586</v>
      </c>
      <c r="B994" s="3" t="s">
        <v>2587</v>
      </c>
    </row>
    <row r="995">
      <c r="A995" s="3" t="s">
        <v>2588</v>
      </c>
      <c r="B995" s="3" t="s">
        <v>2589</v>
      </c>
    </row>
    <row r="996">
      <c r="A996" s="3" t="s">
        <v>2590</v>
      </c>
      <c r="B996" s="3" t="s">
        <v>2591</v>
      </c>
    </row>
    <row r="997">
      <c r="A997" s="3" t="s">
        <v>2592</v>
      </c>
      <c r="B997" s="3" t="s">
        <v>2593</v>
      </c>
    </row>
    <row r="998">
      <c r="A998" s="3" t="s">
        <v>2594</v>
      </c>
      <c r="B998" s="3" t="s">
        <v>2595</v>
      </c>
    </row>
    <row r="999">
      <c r="A999" s="3" t="s">
        <v>2596</v>
      </c>
      <c r="B999" s="3" t="s">
        <v>2597</v>
      </c>
    </row>
    <row r="1000">
      <c r="A1000" s="3" t="s">
        <v>2598</v>
      </c>
      <c r="B1000" s="3" t="s">
        <v>2599</v>
      </c>
    </row>
    <row r="1001">
      <c r="A1001" s="3" t="s">
        <v>2600</v>
      </c>
      <c r="B1001" s="3" t="s">
        <v>2601</v>
      </c>
    </row>
    <row r="1002">
      <c r="A1002" s="3" t="s">
        <v>2602</v>
      </c>
      <c r="B1002" s="3" t="s">
        <v>2603</v>
      </c>
    </row>
    <row r="1003">
      <c r="A1003" s="3" t="s">
        <v>2604</v>
      </c>
      <c r="B1003" s="3" t="s">
        <v>2605</v>
      </c>
    </row>
    <row r="1004">
      <c r="A1004" s="3" t="s">
        <v>2606</v>
      </c>
      <c r="B1004" s="3" t="s">
        <v>2607</v>
      </c>
    </row>
    <row r="1005">
      <c r="A1005" s="3" t="s">
        <v>2608</v>
      </c>
      <c r="B1005" s="3" t="s">
        <v>2609</v>
      </c>
    </row>
    <row r="1006">
      <c r="A1006" s="3" t="s">
        <v>2610</v>
      </c>
      <c r="B1006" s="3" t="s">
        <v>2611</v>
      </c>
    </row>
    <row r="1007">
      <c r="A1007" s="3" t="s">
        <v>2612</v>
      </c>
      <c r="B1007" s="3" t="s">
        <v>2613</v>
      </c>
    </row>
    <row r="1008">
      <c r="A1008" s="3" t="s">
        <v>2614</v>
      </c>
      <c r="B1008" s="3" t="s">
        <v>2615</v>
      </c>
    </row>
    <row r="1009">
      <c r="A1009" s="3" t="s">
        <v>2616</v>
      </c>
      <c r="B1009" s="3" t="s">
        <v>2617</v>
      </c>
    </row>
    <row r="1010">
      <c r="A1010" s="3" t="s">
        <v>2618</v>
      </c>
      <c r="B1010" s="3" t="s">
        <v>2619</v>
      </c>
    </row>
    <row r="1011">
      <c r="A1011" s="3" t="s">
        <v>2620</v>
      </c>
      <c r="B1011" s="3" t="s">
        <v>2621</v>
      </c>
    </row>
    <row r="1012">
      <c r="A1012" s="3" t="s">
        <v>2622</v>
      </c>
      <c r="B1012" s="3" t="s">
        <v>2623</v>
      </c>
    </row>
    <row r="1013">
      <c r="A1013" s="3" t="s">
        <v>2624</v>
      </c>
      <c r="B1013" s="3" t="s">
        <v>2625</v>
      </c>
    </row>
    <row r="1014">
      <c r="A1014" s="3" t="s">
        <v>2626</v>
      </c>
      <c r="B1014" s="3" t="s">
        <v>2627</v>
      </c>
    </row>
    <row r="1015">
      <c r="A1015" s="3" t="s">
        <v>2628</v>
      </c>
      <c r="B1015" s="3" t="s">
        <v>2629</v>
      </c>
    </row>
    <row r="1016">
      <c r="A1016" s="3" t="s">
        <v>2630</v>
      </c>
      <c r="B1016" s="3" t="s">
        <v>2631</v>
      </c>
    </row>
    <row r="1017">
      <c r="A1017" s="3" t="s">
        <v>2632</v>
      </c>
      <c r="B1017" s="3" t="s">
        <v>2633</v>
      </c>
    </row>
    <row r="1018">
      <c r="A1018" s="3" t="s">
        <v>2634</v>
      </c>
      <c r="B1018" s="3" t="s">
        <v>2635</v>
      </c>
    </row>
    <row r="1019">
      <c r="A1019" s="3" t="s">
        <v>2636</v>
      </c>
      <c r="B1019" s="3" t="s">
        <v>2637</v>
      </c>
    </row>
    <row r="1020">
      <c r="A1020" s="3" t="s">
        <v>2638</v>
      </c>
      <c r="B1020" s="3" t="s">
        <v>2639</v>
      </c>
    </row>
    <row r="1021">
      <c r="A1021" s="3" t="s">
        <v>2640</v>
      </c>
      <c r="B1021" s="3" t="s">
        <v>2641</v>
      </c>
    </row>
    <row r="1022">
      <c r="A1022" s="3" t="s">
        <v>2642</v>
      </c>
      <c r="B1022" s="3" t="s">
        <v>2643</v>
      </c>
    </row>
    <row r="1023">
      <c r="A1023" s="3" t="s">
        <v>2644</v>
      </c>
      <c r="B1023" s="3" t="s">
        <v>2645</v>
      </c>
    </row>
    <row r="1024">
      <c r="A1024" s="3" t="s">
        <v>2646</v>
      </c>
      <c r="B1024" s="3" t="s">
        <v>2647</v>
      </c>
    </row>
    <row r="1025">
      <c r="A1025" s="3" t="s">
        <v>2648</v>
      </c>
      <c r="B1025" s="3" t="s">
        <v>2649</v>
      </c>
    </row>
    <row r="1026">
      <c r="A1026" s="3" t="s">
        <v>2650</v>
      </c>
      <c r="B1026" s="3" t="s">
        <v>2651</v>
      </c>
    </row>
    <row r="1027">
      <c r="A1027" s="3" t="s">
        <v>2652</v>
      </c>
      <c r="B1027" s="3" t="s">
        <v>2653</v>
      </c>
    </row>
    <row r="1028">
      <c r="A1028" s="3" t="s">
        <v>2654</v>
      </c>
      <c r="B1028" s="3" t="s">
        <v>2655</v>
      </c>
    </row>
    <row r="1029">
      <c r="A1029" s="3" t="s">
        <v>2656</v>
      </c>
      <c r="B1029" s="3" t="s">
        <v>2657</v>
      </c>
    </row>
    <row r="1030">
      <c r="A1030" s="3" t="s">
        <v>2658</v>
      </c>
      <c r="B1030" s="3" t="s">
        <v>2659</v>
      </c>
    </row>
    <row r="1031">
      <c r="A1031" s="3" t="s">
        <v>2660</v>
      </c>
      <c r="B1031" s="3" t="s">
        <v>489</v>
      </c>
    </row>
    <row r="1032">
      <c r="A1032" s="3" t="s">
        <v>2661</v>
      </c>
      <c r="B1032" s="3" t="s">
        <v>2662</v>
      </c>
    </row>
    <row r="1033">
      <c r="A1033" s="3" t="s">
        <v>2663</v>
      </c>
      <c r="B1033" s="3" t="s">
        <v>2664</v>
      </c>
    </row>
    <row r="1034">
      <c r="A1034" s="3" t="s">
        <v>2665</v>
      </c>
      <c r="B1034" s="3" t="s">
        <v>2666</v>
      </c>
    </row>
    <row r="1035">
      <c r="A1035" s="3" t="s">
        <v>2667</v>
      </c>
      <c r="B1035" s="3" t="s">
        <v>2668</v>
      </c>
    </row>
    <row r="1036">
      <c r="A1036" s="3" t="s">
        <v>2669</v>
      </c>
      <c r="B1036" s="3" t="s">
        <v>2670</v>
      </c>
    </row>
    <row r="1037">
      <c r="A1037" s="3" t="s">
        <v>2671</v>
      </c>
      <c r="B1037" s="3" t="s">
        <v>2672</v>
      </c>
    </row>
    <row r="1038">
      <c r="A1038" s="3" t="s">
        <v>2673</v>
      </c>
      <c r="B1038" s="3" t="s">
        <v>2674</v>
      </c>
    </row>
    <row r="1039">
      <c r="A1039" s="3" t="s">
        <v>2675</v>
      </c>
      <c r="B1039" s="3" t="s">
        <v>2676</v>
      </c>
    </row>
    <row r="1040">
      <c r="A1040" s="3" t="s">
        <v>2677</v>
      </c>
      <c r="B1040" s="3" t="s">
        <v>2678</v>
      </c>
    </row>
    <row r="1041">
      <c r="A1041" s="3" t="s">
        <v>2679</v>
      </c>
      <c r="B1041" s="3" t="s">
        <v>2680</v>
      </c>
    </row>
    <row r="1042">
      <c r="A1042" s="3" t="s">
        <v>2681</v>
      </c>
      <c r="B1042" s="3" t="s">
        <v>2682</v>
      </c>
    </row>
    <row r="1043">
      <c r="A1043" s="3" t="s">
        <v>2683</v>
      </c>
      <c r="B1043" s="3" t="s">
        <v>2684</v>
      </c>
    </row>
    <row r="1044">
      <c r="A1044" s="3" t="s">
        <v>2685</v>
      </c>
      <c r="B1044" s="3" t="s">
        <v>2686</v>
      </c>
    </row>
    <row r="1045">
      <c r="A1045" s="3" t="s">
        <v>2687</v>
      </c>
      <c r="B1045" s="3" t="s">
        <v>2688</v>
      </c>
    </row>
    <row r="1046">
      <c r="A1046" s="3" t="s">
        <v>2689</v>
      </c>
      <c r="B1046" s="3" t="s">
        <v>2690</v>
      </c>
    </row>
    <row r="1047">
      <c r="A1047" s="3" t="s">
        <v>2691</v>
      </c>
      <c r="B1047" s="3" t="s">
        <v>2692</v>
      </c>
    </row>
    <row r="1048">
      <c r="A1048" s="3" t="s">
        <v>2693</v>
      </c>
      <c r="B1048" s="3" t="s">
        <v>2694</v>
      </c>
    </row>
    <row r="1049">
      <c r="A1049" s="3" t="s">
        <v>2695</v>
      </c>
      <c r="B1049" s="3" t="s">
        <v>2696</v>
      </c>
    </row>
    <row r="1050">
      <c r="A1050" s="3" t="s">
        <v>2697</v>
      </c>
      <c r="B1050" s="3" t="s">
        <v>2698</v>
      </c>
    </row>
    <row r="1051">
      <c r="A1051" s="3" t="s">
        <v>2699</v>
      </c>
      <c r="B1051" s="3" t="s">
        <v>2700</v>
      </c>
    </row>
    <row r="1052">
      <c r="A1052" s="3" t="s">
        <v>2701</v>
      </c>
      <c r="B1052" s="3" t="s">
        <v>2702</v>
      </c>
    </row>
    <row r="1053">
      <c r="A1053" s="3" t="s">
        <v>2703</v>
      </c>
      <c r="B1053" s="3" t="s">
        <v>2704</v>
      </c>
    </row>
    <row r="1054">
      <c r="A1054" s="3" t="s">
        <v>2705</v>
      </c>
      <c r="B1054" s="3" t="s">
        <v>2706</v>
      </c>
    </row>
    <row r="1055">
      <c r="A1055" s="3" t="s">
        <v>2707</v>
      </c>
      <c r="B1055" s="3" t="s">
        <v>2708</v>
      </c>
    </row>
    <row r="1056">
      <c r="A1056" s="3" t="s">
        <v>2709</v>
      </c>
      <c r="B1056" s="3" t="s">
        <v>2710</v>
      </c>
    </row>
    <row r="1057">
      <c r="A1057" s="3" t="s">
        <v>2711</v>
      </c>
      <c r="B1057" s="3" t="s">
        <v>2712</v>
      </c>
    </row>
    <row r="1058">
      <c r="A1058" s="3" t="s">
        <v>2713</v>
      </c>
      <c r="B1058" s="3" t="s">
        <v>2714</v>
      </c>
    </row>
    <row r="1059">
      <c r="A1059" s="3" t="s">
        <v>2715</v>
      </c>
      <c r="B1059" s="3" t="s">
        <v>2716</v>
      </c>
    </row>
    <row r="1060">
      <c r="A1060" s="3" t="s">
        <v>2717</v>
      </c>
      <c r="B1060" s="3" t="s">
        <v>2718</v>
      </c>
    </row>
    <row r="1061">
      <c r="A1061" s="3" t="s">
        <v>2719</v>
      </c>
      <c r="B1061" s="3" t="s">
        <v>2720</v>
      </c>
    </row>
    <row r="1062">
      <c r="A1062" s="3" t="s">
        <v>2721</v>
      </c>
      <c r="B1062" s="3" t="s">
        <v>2722</v>
      </c>
    </row>
    <row r="1063">
      <c r="A1063" s="3" t="s">
        <v>2723</v>
      </c>
      <c r="B1063" s="3" t="s">
        <v>2724</v>
      </c>
    </row>
    <row r="1064">
      <c r="A1064" s="3" t="s">
        <v>2725</v>
      </c>
      <c r="B1064" s="3" t="s">
        <v>2726</v>
      </c>
    </row>
    <row r="1065">
      <c r="A1065" s="3" t="s">
        <v>2727</v>
      </c>
      <c r="B1065" s="3" t="s">
        <v>2728</v>
      </c>
    </row>
    <row r="1066">
      <c r="A1066" s="3" t="s">
        <v>2729</v>
      </c>
      <c r="B1066" s="3" t="s">
        <v>2730</v>
      </c>
    </row>
    <row r="1067">
      <c r="A1067" s="3" t="s">
        <v>2731</v>
      </c>
      <c r="B1067" s="3" t="s">
        <v>2732</v>
      </c>
    </row>
    <row r="1068">
      <c r="A1068" s="3" t="s">
        <v>2733</v>
      </c>
      <c r="B1068" s="3" t="s">
        <v>2734</v>
      </c>
    </row>
    <row r="1069">
      <c r="A1069" s="3" t="s">
        <v>2735</v>
      </c>
      <c r="B1069" s="3" t="s">
        <v>2736</v>
      </c>
    </row>
    <row r="1070">
      <c r="A1070" s="3" t="s">
        <v>2737</v>
      </c>
      <c r="B1070" s="3" t="s">
        <v>2738</v>
      </c>
    </row>
    <row r="1071">
      <c r="A1071" s="3" t="s">
        <v>2739</v>
      </c>
      <c r="B1071" s="3" t="s">
        <v>2740</v>
      </c>
    </row>
    <row r="1072">
      <c r="A1072" s="3" t="s">
        <v>2741</v>
      </c>
      <c r="B1072" s="3" t="s">
        <v>2742</v>
      </c>
    </row>
    <row r="1073">
      <c r="A1073" s="3" t="s">
        <v>2743</v>
      </c>
      <c r="B1073" s="3" t="s">
        <v>2744</v>
      </c>
    </row>
    <row r="1074">
      <c r="A1074" s="3" t="s">
        <v>2745</v>
      </c>
      <c r="B1074" s="3" t="s">
        <v>2746</v>
      </c>
    </row>
    <row r="1075">
      <c r="A1075" s="3" t="s">
        <v>2747</v>
      </c>
      <c r="B1075" s="3" t="s">
        <v>2748</v>
      </c>
    </row>
    <row r="1076">
      <c r="A1076" s="3" t="s">
        <v>2749</v>
      </c>
      <c r="B1076" s="3" t="s">
        <v>2750</v>
      </c>
    </row>
    <row r="1077">
      <c r="A1077" s="3" t="s">
        <v>2751</v>
      </c>
      <c r="B1077" s="3" t="s">
        <v>2752</v>
      </c>
    </row>
    <row r="1078">
      <c r="A1078" s="3" t="s">
        <v>2753</v>
      </c>
      <c r="B1078" s="3" t="s">
        <v>2754</v>
      </c>
    </row>
    <row r="1079">
      <c r="A1079" s="3" t="s">
        <v>2755</v>
      </c>
      <c r="B1079" s="3" t="s">
        <v>2756</v>
      </c>
    </row>
    <row r="1080">
      <c r="A1080" s="3" t="s">
        <v>2757</v>
      </c>
      <c r="B1080" s="3" t="s">
        <v>2758</v>
      </c>
    </row>
    <row r="1081">
      <c r="A1081" s="3" t="s">
        <v>2759</v>
      </c>
      <c r="B1081" s="3" t="s">
        <v>2760</v>
      </c>
    </row>
    <row r="1082">
      <c r="A1082" s="3" t="s">
        <v>2761</v>
      </c>
      <c r="B1082" s="3" t="s">
        <v>2762</v>
      </c>
    </row>
    <row r="1083">
      <c r="A1083" s="3" t="s">
        <v>2763</v>
      </c>
      <c r="B1083" s="3" t="s">
        <v>2764</v>
      </c>
    </row>
    <row r="1084">
      <c r="A1084" s="3" t="s">
        <v>2765</v>
      </c>
      <c r="B1084" s="3" t="s">
        <v>2766</v>
      </c>
    </row>
    <row r="1085">
      <c r="A1085" s="3" t="s">
        <v>2767</v>
      </c>
      <c r="B1085" s="3" t="s">
        <v>2768</v>
      </c>
    </row>
    <row r="1086">
      <c r="A1086" s="3" t="s">
        <v>2769</v>
      </c>
      <c r="B1086" s="3" t="s">
        <v>2770</v>
      </c>
    </row>
    <row r="1087">
      <c r="A1087" s="3" t="s">
        <v>2771</v>
      </c>
      <c r="B1087" s="3" t="s">
        <v>2772</v>
      </c>
    </row>
    <row r="1088">
      <c r="A1088" s="3" t="s">
        <v>2773</v>
      </c>
      <c r="B1088" s="3" t="s">
        <v>2774</v>
      </c>
    </row>
    <row r="1089">
      <c r="A1089" s="3" t="s">
        <v>2775</v>
      </c>
      <c r="B1089" s="3" t="s">
        <v>2776</v>
      </c>
    </row>
    <row r="1090">
      <c r="A1090" s="3" t="s">
        <v>2777</v>
      </c>
      <c r="B1090" s="3" t="s">
        <v>2778</v>
      </c>
    </row>
    <row r="1091">
      <c r="A1091" s="3" t="s">
        <v>2779</v>
      </c>
      <c r="B1091" s="3" t="s">
        <v>2780</v>
      </c>
    </row>
    <row r="1092">
      <c r="A1092" s="3" t="s">
        <v>2781</v>
      </c>
      <c r="B1092" s="3" t="s">
        <v>2782</v>
      </c>
    </row>
    <row r="1093">
      <c r="A1093" s="3" t="s">
        <v>2783</v>
      </c>
      <c r="B1093" s="3" t="s">
        <v>2784</v>
      </c>
    </row>
    <row r="1094">
      <c r="A1094" s="3" t="s">
        <v>2785</v>
      </c>
      <c r="B1094" s="3" t="s">
        <v>2786</v>
      </c>
    </row>
    <row r="1095">
      <c r="A1095" s="3" t="s">
        <v>2787</v>
      </c>
      <c r="B1095" s="3" t="s">
        <v>2788</v>
      </c>
    </row>
    <row r="1096">
      <c r="A1096" s="3" t="s">
        <v>2789</v>
      </c>
      <c r="B1096" s="3" t="s">
        <v>2790</v>
      </c>
    </row>
    <row r="1097">
      <c r="A1097" s="3" t="s">
        <v>2791</v>
      </c>
      <c r="B1097" s="3" t="s">
        <v>2792</v>
      </c>
    </row>
    <row r="1098">
      <c r="A1098" s="3" t="s">
        <v>2793</v>
      </c>
      <c r="B1098" s="3" t="s">
        <v>2794</v>
      </c>
    </row>
    <row r="1099">
      <c r="A1099" s="3" t="s">
        <v>2795</v>
      </c>
      <c r="B1099" s="3" t="s">
        <v>2796</v>
      </c>
    </row>
    <row r="1100">
      <c r="A1100" s="3" t="s">
        <v>2797</v>
      </c>
      <c r="B1100" s="3" t="s">
        <v>2798</v>
      </c>
    </row>
    <row r="1101">
      <c r="A1101" s="3" t="s">
        <v>2799</v>
      </c>
      <c r="B1101" s="3" t="s">
        <v>2800</v>
      </c>
    </row>
    <row r="1102">
      <c r="A1102" s="3" t="s">
        <v>2801</v>
      </c>
      <c r="B1102" s="3" t="s">
        <v>2802</v>
      </c>
    </row>
    <row r="1103">
      <c r="A1103" s="3" t="s">
        <v>2803</v>
      </c>
      <c r="B1103" s="3" t="s">
        <v>2804</v>
      </c>
    </row>
    <row r="1104">
      <c r="A1104" s="3" t="s">
        <v>2805</v>
      </c>
      <c r="B1104" s="3" t="s">
        <v>2806</v>
      </c>
    </row>
    <row r="1105">
      <c r="A1105" s="3" t="s">
        <v>2807</v>
      </c>
      <c r="B1105" s="3" t="s">
        <v>2808</v>
      </c>
    </row>
    <row r="1106">
      <c r="A1106" s="3" t="s">
        <v>2809</v>
      </c>
      <c r="B1106" s="3" t="s">
        <v>2810</v>
      </c>
    </row>
    <row r="1107">
      <c r="A1107" s="3" t="s">
        <v>2811</v>
      </c>
      <c r="B1107" s="3" t="s">
        <v>2812</v>
      </c>
    </row>
    <row r="1108">
      <c r="A1108" s="3" t="s">
        <v>2813</v>
      </c>
      <c r="B1108" s="3" t="s">
        <v>2814</v>
      </c>
    </row>
    <row r="1109">
      <c r="A1109" s="3" t="s">
        <v>2815</v>
      </c>
      <c r="B1109" s="3" t="s">
        <v>2816</v>
      </c>
    </row>
    <row r="1110">
      <c r="A1110" s="3" t="s">
        <v>2817</v>
      </c>
      <c r="B1110" s="3" t="s">
        <v>2818</v>
      </c>
    </row>
    <row r="1111">
      <c r="A1111" s="3" t="s">
        <v>2819</v>
      </c>
      <c r="B1111" s="3" t="s">
        <v>2820</v>
      </c>
    </row>
    <row r="1112">
      <c r="A1112" s="3" t="s">
        <v>2821</v>
      </c>
      <c r="B1112" s="3" t="s">
        <v>2822</v>
      </c>
    </row>
    <row r="1113">
      <c r="A1113" s="3" t="s">
        <v>2823</v>
      </c>
      <c r="B1113" s="3" t="s">
        <v>2824</v>
      </c>
    </row>
    <row r="1114">
      <c r="A1114" s="3" t="s">
        <v>2825</v>
      </c>
      <c r="B1114" s="3" t="s">
        <v>2826</v>
      </c>
    </row>
    <row r="1115">
      <c r="A1115" s="3" t="s">
        <v>2827</v>
      </c>
      <c r="B1115" s="3" t="s">
        <v>2828</v>
      </c>
    </row>
    <row r="1116">
      <c r="A1116" s="3" t="s">
        <v>2829</v>
      </c>
      <c r="B1116" s="3" t="s">
        <v>2830</v>
      </c>
    </row>
    <row r="1117">
      <c r="A1117" s="3" t="s">
        <v>2831</v>
      </c>
      <c r="B1117" s="3" t="s">
        <v>2832</v>
      </c>
    </row>
    <row r="1118">
      <c r="A1118" s="3" t="s">
        <v>2833</v>
      </c>
      <c r="B1118" s="3" t="s">
        <v>2834</v>
      </c>
    </row>
    <row r="1119">
      <c r="A1119" s="3" t="s">
        <v>2835</v>
      </c>
      <c r="B1119" s="3" t="s">
        <v>2836</v>
      </c>
    </row>
    <row r="1120">
      <c r="A1120" s="3" t="s">
        <v>2837</v>
      </c>
      <c r="B1120" s="3" t="s">
        <v>2838</v>
      </c>
    </row>
    <row r="1121">
      <c r="A1121" s="3" t="s">
        <v>2839</v>
      </c>
      <c r="B1121" s="3" t="s">
        <v>2840</v>
      </c>
    </row>
    <row r="1122">
      <c r="A1122" s="3" t="s">
        <v>2841</v>
      </c>
      <c r="B1122" s="3" t="s">
        <v>2842</v>
      </c>
    </row>
    <row r="1123">
      <c r="A1123" s="3" t="s">
        <v>2843</v>
      </c>
      <c r="B1123" s="3" t="s">
        <v>2844</v>
      </c>
    </row>
    <row r="1124">
      <c r="A1124" s="3" t="s">
        <v>2845</v>
      </c>
      <c r="B1124" s="3" t="s">
        <v>2846</v>
      </c>
    </row>
    <row r="1125">
      <c r="A1125" s="3" t="s">
        <v>2847</v>
      </c>
      <c r="B1125" s="3" t="s">
        <v>2848</v>
      </c>
    </row>
    <row r="1126">
      <c r="A1126" s="3" t="s">
        <v>2849</v>
      </c>
      <c r="B1126" s="3" t="s">
        <v>2850</v>
      </c>
    </row>
    <row r="1127">
      <c r="A1127" s="3" t="s">
        <v>2851</v>
      </c>
      <c r="B1127" s="3" t="s">
        <v>2852</v>
      </c>
    </row>
    <row r="1128">
      <c r="A1128" s="3" t="s">
        <v>2853</v>
      </c>
      <c r="B1128" s="3" t="s">
        <v>2854</v>
      </c>
    </row>
    <row r="1129">
      <c r="A1129" s="3" t="s">
        <v>2855</v>
      </c>
      <c r="B1129" s="3" t="s">
        <v>2856</v>
      </c>
    </row>
    <row r="1130">
      <c r="A1130" s="3" t="s">
        <v>2857</v>
      </c>
      <c r="B1130" s="3" t="s">
        <v>2858</v>
      </c>
    </row>
    <row r="1131">
      <c r="A1131" s="3" t="s">
        <v>2859</v>
      </c>
      <c r="B1131" s="3" t="s">
        <v>2860</v>
      </c>
    </row>
    <row r="1132">
      <c r="A1132" s="3" t="s">
        <v>2861</v>
      </c>
      <c r="B1132" s="3" t="s">
        <v>2862</v>
      </c>
    </row>
    <row r="1133">
      <c r="A1133" s="3" t="s">
        <v>2863</v>
      </c>
      <c r="B1133" s="3" t="s">
        <v>243</v>
      </c>
    </row>
    <row r="1134">
      <c r="A1134" s="3" t="s">
        <v>2864</v>
      </c>
      <c r="B1134" s="3" t="s">
        <v>2865</v>
      </c>
    </row>
    <row r="1135">
      <c r="A1135" s="3" t="s">
        <v>2866</v>
      </c>
      <c r="B1135" s="3" t="s">
        <v>2867</v>
      </c>
    </row>
    <row r="1136">
      <c r="A1136" s="3" t="s">
        <v>2868</v>
      </c>
      <c r="B1136" s="3" t="s">
        <v>2869</v>
      </c>
    </row>
    <row r="1137">
      <c r="A1137" s="3" t="s">
        <v>2870</v>
      </c>
      <c r="B1137" s="3" t="s">
        <v>2871</v>
      </c>
    </row>
    <row r="1138">
      <c r="A1138" s="3" t="s">
        <v>2872</v>
      </c>
      <c r="B1138" s="3" t="s">
        <v>2873</v>
      </c>
    </row>
    <row r="1139">
      <c r="A1139" s="3" t="s">
        <v>2874</v>
      </c>
      <c r="B1139" s="3" t="s">
        <v>2875</v>
      </c>
    </row>
    <row r="1140">
      <c r="A1140" s="3" t="s">
        <v>2876</v>
      </c>
      <c r="B1140" s="3" t="s">
        <v>2877</v>
      </c>
    </row>
    <row r="1141">
      <c r="A1141" s="3" t="s">
        <v>2878</v>
      </c>
      <c r="B1141" s="3" t="s">
        <v>2879</v>
      </c>
    </row>
    <row r="1142">
      <c r="A1142" s="3" t="s">
        <v>2880</v>
      </c>
      <c r="B1142" s="3" t="s">
        <v>2881</v>
      </c>
    </row>
    <row r="1143">
      <c r="A1143" s="3" t="s">
        <v>2882</v>
      </c>
      <c r="B1143" s="3" t="s">
        <v>2883</v>
      </c>
    </row>
    <row r="1144">
      <c r="A1144" s="3" t="s">
        <v>2884</v>
      </c>
      <c r="B1144" s="3" t="s">
        <v>2885</v>
      </c>
    </row>
    <row r="1145">
      <c r="A1145" s="3" t="s">
        <v>2886</v>
      </c>
      <c r="B1145" s="3" t="s">
        <v>2887</v>
      </c>
    </row>
    <row r="1146">
      <c r="A1146" s="3" t="s">
        <v>2888</v>
      </c>
      <c r="B1146" s="3" t="s">
        <v>2889</v>
      </c>
    </row>
    <row r="1147">
      <c r="A1147" s="3" t="s">
        <v>2890</v>
      </c>
      <c r="B1147" s="3" t="s">
        <v>2891</v>
      </c>
    </row>
    <row r="1148">
      <c r="A1148" s="3" t="s">
        <v>2892</v>
      </c>
      <c r="B1148" s="3" t="s">
        <v>2893</v>
      </c>
    </row>
    <row r="1149">
      <c r="A1149" s="3" t="s">
        <v>2894</v>
      </c>
      <c r="B1149" s="3" t="s">
        <v>2895</v>
      </c>
    </row>
    <row r="1150">
      <c r="A1150" s="3" t="s">
        <v>2896</v>
      </c>
      <c r="B1150" s="3" t="s">
        <v>2897</v>
      </c>
    </row>
    <row r="1151">
      <c r="A1151" s="3" t="s">
        <v>2898</v>
      </c>
      <c r="B1151" s="3" t="s">
        <v>2899</v>
      </c>
    </row>
    <row r="1152">
      <c r="A1152" s="3" t="s">
        <v>2900</v>
      </c>
      <c r="B1152" s="3" t="s">
        <v>2901</v>
      </c>
    </row>
    <row r="1153">
      <c r="A1153" s="3" t="s">
        <v>2902</v>
      </c>
      <c r="B1153" s="3" t="s">
        <v>2903</v>
      </c>
    </row>
    <row r="1154">
      <c r="A1154" s="3" t="s">
        <v>2904</v>
      </c>
      <c r="B1154" s="3" t="s">
        <v>2881</v>
      </c>
    </row>
    <row r="1155">
      <c r="A1155" s="3" t="s">
        <v>2905</v>
      </c>
      <c r="B1155" s="3" t="s">
        <v>2906</v>
      </c>
    </row>
    <row r="1156">
      <c r="A1156" s="3" t="s">
        <v>2907</v>
      </c>
      <c r="B1156" s="3" t="s">
        <v>2908</v>
      </c>
    </row>
    <row r="1157">
      <c r="A1157" s="3" t="s">
        <v>2909</v>
      </c>
      <c r="B1157" s="3" t="s">
        <v>2910</v>
      </c>
    </row>
    <row r="1158">
      <c r="A1158" s="3" t="s">
        <v>2911</v>
      </c>
      <c r="B1158" s="3" t="s">
        <v>2912</v>
      </c>
    </row>
    <row r="1159">
      <c r="A1159" s="3" t="s">
        <v>2913</v>
      </c>
      <c r="B1159" s="3" t="s">
        <v>2914</v>
      </c>
    </row>
    <row r="1160">
      <c r="A1160" s="3" t="s">
        <v>2915</v>
      </c>
      <c r="B1160" s="3" t="s">
        <v>2916</v>
      </c>
    </row>
    <row r="1161">
      <c r="A1161" s="3" t="s">
        <v>2917</v>
      </c>
      <c r="B1161" s="3" t="s">
        <v>2918</v>
      </c>
    </row>
    <row r="1162">
      <c r="A1162" s="3" t="s">
        <v>2919</v>
      </c>
      <c r="B1162" s="3" t="s">
        <v>2920</v>
      </c>
    </row>
    <row r="1163">
      <c r="A1163" s="3" t="s">
        <v>2921</v>
      </c>
      <c r="B1163" s="3" t="s">
        <v>2922</v>
      </c>
    </row>
    <row r="1164">
      <c r="A1164" s="3" t="s">
        <v>2923</v>
      </c>
      <c r="B1164" s="3" t="s">
        <v>2924</v>
      </c>
    </row>
    <row r="1165">
      <c r="A1165" s="3" t="s">
        <v>2925</v>
      </c>
      <c r="B1165" s="3" t="s">
        <v>2926</v>
      </c>
    </row>
    <row r="1166">
      <c r="A1166" s="3" t="s">
        <v>2927</v>
      </c>
      <c r="B1166" s="3" t="s">
        <v>2928</v>
      </c>
    </row>
    <row r="1167">
      <c r="A1167" s="3" t="s">
        <v>2929</v>
      </c>
      <c r="B1167" s="3" t="s">
        <v>2930</v>
      </c>
    </row>
    <row r="1168">
      <c r="A1168" s="3" t="s">
        <v>2931</v>
      </c>
      <c r="B1168" s="3" t="s">
        <v>2932</v>
      </c>
    </row>
    <row r="1169">
      <c r="A1169" s="3" t="s">
        <v>2933</v>
      </c>
      <c r="B1169" s="3" t="s">
        <v>2934</v>
      </c>
    </row>
    <row r="1170">
      <c r="A1170" s="3" t="s">
        <v>2935</v>
      </c>
      <c r="B1170" s="3" t="s">
        <v>2936</v>
      </c>
    </row>
    <row r="1171">
      <c r="A1171" s="3" t="s">
        <v>2937</v>
      </c>
      <c r="B1171" s="3" t="s">
        <v>2938</v>
      </c>
    </row>
    <row r="1172">
      <c r="A1172" s="3" t="s">
        <v>2939</v>
      </c>
      <c r="B1172" s="3" t="s">
        <v>2940</v>
      </c>
    </row>
    <row r="1173">
      <c r="A1173" s="3" t="s">
        <v>2941</v>
      </c>
      <c r="B1173" s="3" t="s">
        <v>2942</v>
      </c>
    </row>
    <row r="1174">
      <c r="A1174" s="3" t="s">
        <v>2943</v>
      </c>
      <c r="B1174" s="3" t="s">
        <v>2944</v>
      </c>
    </row>
    <row r="1175">
      <c r="A1175" s="3" t="s">
        <v>2945</v>
      </c>
      <c r="B1175" s="3" t="s">
        <v>2946</v>
      </c>
    </row>
    <row r="1176">
      <c r="A1176" s="3" t="s">
        <v>2947</v>
      </c>
      <c r="B1176" s="3" t="s">
        <v>2948</v>
      </c>
    </row>
    <row r="1177">
      <c r="A1177" s="3" t="s">
        <v>2949</v>
      </c>
      <c r="B1177" s="3" t="s">
        <v>2950</v>
      </c>
    </row>
    <row r="1178">
      <c r="A1178" s="3" t="s">
        <v>2951</v>
      </c>
      <c r="B1178" s="3" t="s">
        <v>2952</v>
      </c>
    </row>
    <row r="1179">
      <c r="A1179" s="3" t="s">
        <v>2953</v>
      </c>
      <c r="B1179" s="3" t="s">
        <v>2954</v>
      </c>
    </row>
    <row r="1180">
      <c r="A1180" s="3" t="s">
        <v>2955</v>
      </c>
      <c r="B1180" s="3" t="s">
        <v>2956</v>
      </c>
    </row>
    <row r="1181">
      <c r="A1181" s="3" t="s">
        <v>2957</v>
      </c>
      <c r="B1181" s="3" t="s">
        <v>2958</v>
      </c>
    </row>
    <row r="1182">
      <c r="A1182" s="3" t="s">
        <v>2959</v>
      </c>
      <c r="B1182" s="3" t="s">
        <v>2960</v>
      </c>
    </row>
    <row r="1183">
      <c r="A1183" s="3" t="s">
        <v>2961</v>
      </c>
      <c r="B1183" s="3" t="s">
        <v>2962</v>
      </c>
    </row>
    <row r="1184">
      <c r="A1184" s="3" t="s">
        <v>2963</v>
      </c>
      <c r="B1184" s="3" t="s">
        <v>2964</v>
      </c>
    </row>
    <row r="1185">
      <c r="A1185" s="3" t="s">
        <v>2965</v>
      </c>
      <c r="B1185" s="3" t="s">
        <v>2966</v>
      </c>
    </row>
    <row r="1186">
      <c r="A1186" s="3" t="s">
        <v>2967</v>
      </c>
      <c r="B1186" s="3" t="s">
        <v>2968</v>
      </c>
    </row>
    <row r="1187">
      <c r="A1187" s="3" t="s">
        <v>2969</v>
      </c>
      <c r="B1187" s="3" t="s">
        <v>2970</v>
      </c>
    </row>
    <row r="1188">
      <c r="A1188" s="3" t="s">
        <v>2971</v>
      </c>
      <c r="B1188" s="3" t="s">
        <v>2972</v>
      </c>
    </row>
    <row r="1189">
      <c r="A1189" s="3" t="s">
        <v>2973</v>
      </c>
      <c r="B1189" s="3" t="s">
        <v>2974</v>
      </c>
    </row>
    <row r="1190">
      <c r="A1190" s="3" t="s">
        <v>2975</v>
      </c>
      <c r="B1190" s="3" t="s">
        <v>2976</v>
      </c>
    </row>
    <row r="1191">
      <c r="A1191" s="3" t="s">
        <v>2977</v>
      </c>
      <c r="B1191" s="3" t="s">
        <v>2978</v>
      </c>
    </row>
    <row r="1192">
      <c r="A1192" s="3" t="s">
        <v>2979</v>
      </c>
      <c r="B1192" s="3" t="s">
        <v>2980</v>
      </c>
    </row>
    <row r="1193">
      <c r="A1193" s="3" t="s">
        <v>2981</v>
      </c>
      <c r="B1193" s="3" t="s">
        <v>2982</v>
      </c>
    </row>
    <row r="1194">
      <c r="A1194" s="3" t="s">
        <v>2983</v>
      </c>
      <c r="B1194" s="3" t="s">
        <v>2984</v>
      </c>
    </row>
    <row r="1195">
      <c r="A1195" s="3" t="s">
        <v>2985</v>
      </c>
      <c r="B1195" s="3" t="s">
        <v>2986</v>
      </c>
    </row>
    <row r="1196">
      <c r="A1196" s="3" t="s">
        <v>2987</v>
      </c>
      <c r="B1196" s="3" t="s">
        <v>2988</v>
      </c>
    </row>
    <row r="1197">
      <c r="A1197" s="3" t="s">
        <v>2989</v>
      </c>
      <c r="B1197" s="3" t="s">
        <v>2990</v>
      </c>
    </row>
    <row r="1198">
      <c r="A1198" s="3" t="s">
        <v>2991</v>
      </c>
      <c r="B1198" s="3" t="s">
        <v>2992</v>
      </c>
    </row>
    <row r="1199">
      <c r="A1199" s="3" t="s">
        <v>2993</v>
      </c>
      <c r="B1199" s="3" t="s">
        <v>2994</v>
      </c>
    </row>
    <row r="1200">
      <c r="A1200" s="3" t="s">
        <v>2995</v>
      </c>
      <c r="B1200" s="3" t="s">
        <v>2996</v>
      </c>
    </row>
    <row r="1201">
      <c r="A1201" s="3" t="s">
        <v>2997</v>
      </c>
      <c r="B1201" s="3" t="s">
        <v>2998</v>
      </c>
    </row>
    <row r="1202">
      <c r="A1202" s="3" t="s">
        <v>2999</v>
      </c>
      <c r="B1202" s="3" t="s">
        <v>3000</v>
      </c>
    </row>
    <row r="1203">
      <c r="A1203" s="3" t="s">
        <v>3001</v>
      </c>
      <c r="B1203" s="3" t="s">
        <v>3002</v>
      </c>
    </row>
    <row r="1204">
      <c r="A1204" s="3" t="s">
        <v>3003</v>
      </c>
      <c r="B1204" s="3" t="s">
        <v>3004</v>
      </c>
    </row>
    <row r="1205">
      <c r="A1205" s="3" t="s">
        <v>3005</v>
      </c>
      <c r="B1205" s="3" t="s">
        <v>3006</v>
      </c>
    </row>
    <row r="1206">
      <c r="A1206" s="3" t="s">
        <v>3007</v>
      </c>
      <c r="B1206" s="3" t="s">
        <v>3008</v>
      </c>
    </row>
    <row r="1207">
      <c r="A1207" s="3" t="s">
        <v>3009</v>
      </c>
      <c r="B1207" s="3" t="s">
        <v>3010</v>
      </c>
    </row>
    <row r="1208">
      <c r="A1208" s="3" t="s">
        <v>3011</v>
      </c>
      <c r="B1208" s="3" t="s">
        <v>3012</v>
      </c>
    </row>
    <row r="1209">
      <c r="A1209" s="3" t="s">
        <v>3013</v>
      </c>
      <c r="B1209" s="3" t="s">
        <v>3014</v>
      </c>
    </row>
    <row r="1210">
      <c r="A1210" s="3" t="s">
        <v>3015</v>
      </c>
      <c r="B1210" s="3" t="s">
        <v>3016</v>
      </c>
    </row>
    <row r="1211">
      <c r="A1211" s="3" t="s">
        <v>3017</v>
      </c>
      <c r="B1211" s="3" t="s">
        <v>3018</v>
      </c>
    </row>
    <row r="1212">
      <c r="A1212" s="3" t="s">
        <v>3019</v>
      </c>
      <c r="B1212" s="3" t="s">
        <v>3020</v>
      </c>
    </row>
    <row r="1213">
      <c r="A1213" s="3" t="s">
        <v>3021</v>
      </c>
      <c r="B1213" s="3" t="s">
        <v>3022</v>
      </c>
    </row>
    <row r="1214">
      <c r="A1214" s="3" t="s">
        <v>3023</v>
      </c>
      <c r="B1214" s="3" t="s">
        <v>3024</v>
      </c>
    </row>
    <row r="1215">
      <c r="A1215" s="3" t="s">
        <v>3025</v>
      </c>
      <c r="B1215" s="3" t="s">
        <v>3026</v>
      </c>
    </row>
    <row r="1216">
      <c r="A1216" s="3" t="s">
        <v>3027</v>
      </c>
      <c r="B1216" s="3" t="s">
        <v>3028</v>
      </c>
    </row>
    <row r="1217">
      <c r="A1217" s="3" t="s">
        <v>3029</v>
      </c>
      <c r="B1217" s="3" t="s">
        <v>3030</v>
      </c>
    </row>
    <row r="1218">
      <c r="A1218" s="3" t="s">
        <v>3031</v>
      </c>
      <c r="B1218" s="3" t="s">
        <v>3032</v>
      </c>
    </row>
    <row r="1219">
      <c r="A1219" s="3" t="s">
        <v>3033</v>
      </c>
      <c r="B1219" s="3" t="s">
        <v>3034</v>
      </c>
    </row>
    <row r="1220">
      <c r="A1220" s="3" t="s">
        <v>3035</v>
      </c>
      <c r="B1220" s="3" t="s">
        <v>3036</v>
      </c>
    </row>
    <row r="1221">
      <c r="A1221" s="3" t="s">
        <v>3037</v>
      </c>
      <c r="B1221" s="3" t="s">
        <v>3038</v>
      </c>
    </row>
    <row r="1222">
      <c r="A1222" s="3" t="s">
        <v>3039</v>
      </c>
      <c r="B1222" s="3" t="s">
        <v>3040</v>
      </c>
    </row>
    <row r="1223">
      <c r="A1223" s="3" t="s">
        <v>3041</v>
      </c>
      <c r="B1223" s="3" t="s">
        <v>3042</v>
      </c>
    </row>
    <row r="1224">
      <c r="A1224" s="3" t="s">
        <v>3043</v>
      </c>
      <c r="B1224" s="3" t="s">
        <v>3044</v>
      </c>
    </row>
    <row r="1225">
      <c r="A1225" s="3" t="s">
        <v>3045</v>
      </c>
      <c r="B1225" s="3" t="s">
        <v>3046</v>
      </c>
    </row>
    <row r="1226">
      <c r="A1226" s="3" t="s">
        <v>3047</v>
      </c>
      <c r="B1226" s="3" t="s">
        <v>3048</v>
      </c>
    </row>
    <row r="1227">
      <c r="A1227" s="3" t="s">
        <v>3049</v>
      </c>
      <c r="B1227" s="3" t="s">
        <v>3050</v>
      </c>
    </row>
    <row r="1228">
      <c r="A1228" s="3" t="s">
        <v>3051</v>
      </c>
      <c r="B1228" s="3" t="s">
        <v>3052</v>
      </c>
    </row>
    <row r="1229">
      <c r="A1229" s="3" t="s">
        <v>3053</v>
      </c>
      <c r="B1229" s="3" t="s">
        <v>3054</v>
      </c>
    </row>
    <row r="1230">
      <c r="A1230" s="3" t="s">
        <v>3055</v>
      </c>
      <c r="B1230" s="3" t="s">
        <v>3056</v>
      </c>
    </row>
    <row r="1231">
      <c r="A1231" s="3" t="s">
        <v>3057</v>
      </c>
      <c r="B1231" s="3" t="s">
        <v>3058</v>
      </c>
    </row>
    <row r="1232">
      <c r="A1232" s="3" t="s">
        <v>3059</v>
      </c>
      <c r="B1232" s="3" t="s">
        <v>3060</v>
      </c>
    </row>
    <row r="1233">
      <c r="A1233" s="3" t="s">
        <v>3061</v>
      </c>
      <c r="B1233" s="3" t="s">
        <v>3062</v>
      </c>
    </row>
    <row r="1234">
      <c r="A1234" s="3" t="s">
        <v>3063</v>
      </c>
      <c r="B1234" s="3" t="s">
        <v>3064</v>
      </c>
    </row>
    <row r="1235">
      <c r="A1235" s="3" t="s">
        <v>3065</v>
      </c>
      <c r="B1235" s="3" t="s">
        <v>3066</v>
      </c>
    </row>
    <row r="1236">
      <c r="A1236" s="3" t="s">
        <v>3067</v>
      </c>
      <c r="B1236" s="3" t="s">
        <v>3068</v>
      </c>
    </row>
    <row r="1237">
      <c r="A1237" s="3" t="s">
        <v>3069</v>
      </c>
      <c r="B1237" s="3" t="s">
        <v>3070</v>
      </c>
    </row>
    <row r="1238">
      <c r="A1238" s="3" t="s">
        <v>3071</v>
      </c>
      <c r="B1238" s="3" t="s">
        <v>3072</v>
      </c>
    </row>
    <row r="1239">
      <c r="A1239" s="3" t="s">
        <v>3073</v>
      </c>
      <c r="B1239" s="3" t="s">
        <v>3074</v>
      </c>
    </row>
    <row r="1240">
      <c r="A1240" s="3" t="s">
        <v>3075</v>
      </c>
      <c r="B1240" s="3" t="s">
        <v>3076</v>
      </c>
    </row>
    <row r="1241">
      <c r="A1241" s="3" t="s">
        <v>3077</v>
      </c>
      <c r="B1241" s="3" t="s">
        <v>3078</v>
      </c>
    </row>
    <row r="1242">
      <c r="A1242" s="3" t="s">
        <v>3079</v>
      </c>
      <c r="B1242" s="3" t="s">
        <v>3080</v>
      </c>
    </row>
    <row r="1243">
      <c r="A1243" s="3" t="s">
        <v>3081</v>
      </c>
      <c r="B1243" s="3" t="s">
        <v>3082</v>
      </c>
    </row>
    <row r="1244">
      <c r="A1244" s="3" t="s">
        <v>3083</v>
      </c>
      <c r="B1244" s="3" t="s">
        <v>3084</v>
      </c>
    </row>
    <row r="1245">
      <c r="A1245" s="3" t="s">
        <v>3085</v>
      </c>
      <c r="B1245" s="3" t="s">
        <v>3086</v>
      </c>
    </row>
    <row r="1246">
      <c r="A1246" s="3" t="s">
        <v>3087</v>
      </c>
      <c r="B1246" s="3" t="s">
        <v>3088</v>
      </c>
    </row>
    <row r="1247">
      <c r="A1247" s="3" t="s">
        <v>3089</v>
      </c>
      <c r="B1247" s="3" t="s">
        <v>3090</v>
      </c>
    </row>
    <row r="1248">
      <c r="A1248" s="3" t="s">
        <v>3091</v>
      </c>
      <c r="B1248" s="3" t="s">
        <v>3092</v>
      </c>
    </row>
    <row r="1249">
      <c r="A1249" s="3" t="s">
        <v>3093</v>
      </c>
      <c r="B1249" s="3" t="s">
        <v>3094</v>
      </c>
    </row>
    <row r="1250">
      <c r="A1250" s="3" t="s">
        <v>3095</v>
      </c>
      <c r="B1250" s="3" t="s">
        <v>3096</v>
      </c>
    </row>
    <row r="1251">
      <c r="A1251" s="3" t="s">
        <v>3097</v>
      </c>
      <c r="B1251" s="3" t="s">
        <v>3098</v>
      </c>
    </row>
    <row r="1252">
      <c r="A1252" s="3" t="s">
        <v>3099</v>
      </c>
      <c r="B1252" s="3" t="s">
        <v>3100</v>
      </c>
    </row>
    <row r="1253">
      <c r="A1253" s="3" t="s">
        <v>3101</v>
      </c>
      <c r="B1253" s="3" t="s">
        <v>3102</v>
      </c>
    </row>
    <row r="1254">
      <c r="A1254" s="3" t="s">
        <v>3103</v>
      </c>
      <c r="B1254" s="3" t="s">
        <v>3104</v>
      </c>
    </row>
    <row r="1255">
      <c r="A1255" s="3" t="s">
        <v>3105</v>
      </c>
      <c r="B1255" s="3" t="s">
        <v>3106</v>
      </c>
    </row>
    <row r="1256">
      <c r="A1256" s="3" t="s">
        <v>3107</v>
      </c>
      <c r="B1256" s="3" t="s">
        <v>3108</v>
      </c>
    </row>
    <row r="1257">
      <c r="A1257" s="3" t="s">
        <v>3109</v>
      </c>
      <c r="B1257" s="3" t="s">
        <v>3110</v>
      </c>
    </row>
    <row r="1258">
      <c r="A1258" s="3" t="s">
        <v>3111</v>
      </c>
      <c r="B1258" s="3" t="s">
        <v>3112</v>
      </c>
    </row>
    <row r="1259">
      <c r="A1259" s="3" t="s">
        <v>3113</v>
      </c>
      <c r="B1259" s="3" t="s">
        <v>3114</v>
      </c>
    </row>
    <row r="1260">
      <c r="A1260" s="3" t="s">
        <v>3115</v>
      </c>
      <c r="B1260" s="3" t="s">
        <v>3116</v>
      </c>
    </row>
    <row r="1261">
      <c r="A1261" s="3" t="s">
        <v>3117</v>
      </c>
      <c r="B1261" s="3" t="s">
        <v>3118</v>
      </c>
    </row>
    <row r="1262">
      <c r="A1262" s="3" t="s">
        <v>3119</v>
      </c>
      <c r="B1262" s="3" t="s">
        <v>3120</v>
      </c>
    </row>
    <row r="1263">
      <c r="A1263" s="3" t="s">
        <v>3121</v>
      </c>
      <c r="B1263" s="3" t="s">
        <v>3122</v>
      </c>
    </row>
    <row r="1264">
      <c r="A1264" s="3" t="s">
        <v>3123</v>
      </c>
      <c r="B1264" s="3" t="s">
        <v>3124</v>
      </c>
    </row>
    <row r="1265">
      <c r="A1265" s="3" t="s">
        <v>3125</v>
      </c>
      <c r="B1265" s="3" t="s">
        <v>3126</v>
      </c>
    </row>
    <row r="1266">
      <c r="A1266" s="3" t="s">
        <v>3127</v>
      </c>
      <c r="B1266" s="3" t="s">
        <v>3128</v>
      </c>
    </row>
    <row r="1267">
      <c r="A1267" s="3" t="s">
        <v>3129</v>
      </c>
      <c r="B1267" s="3" t="s">
        <v>3130</v>
      </c>
    </row>
    <row r="1268">
      <c r="A1268" s="3" t="s">
        <v>3131</v>
      </c>
      <c r="B1268" s="3" t="s">
        <v>3132</v>
      </c>
    </row>
    <row r="1269">
      <c r="A1269" s="3" t="s">
        <v>3133</v>
      </c>
      <c r="B1269" s="3" t="s">
        <v>602</v>
      </c>
    </row>
    <row r="1270">
      <c r="A1270" s="3" t="s">
        <v>3134</v>
      </c>
      <c r="B1270" s="3" t="s">
        <v>3135</v>
      </c>
    </row>
    <row r="1271">
      <c r="A1271" s="3" t="s">
        <v>3136</v>
      </c>
      <c r="B1271" s="3" t="s">
        <v>3137</v>
      </c>
    </row>
    <row r="1272">
      <c r="A1272" s="3" t="s">
        <v>3138</v>
      </c>
      <c r="B1272" s="3" t="s">
        <v>3139</v>
      </c>
    </row>
    <row r="1273">
      <c r="A1273" s="3" t="s">
        <v>3140</v>
      </c>
      <c r="B1273" s="3" t="s">
        <v>3141</v>
      </c>
    </row>
    <row r="1274">
      <c r="A1274" s="3" t="s">
        <v>3142</v>
      </c>
      <c r="B1274" s="3" t="s">
        <v>3143</v>
      </c>
    </row>
    <row r="1275">
      <c r="A1275" s="3" t="s">
        <v>3144</v>
      </c>
      <c r="B1275" s="3" t="s">
        <v>3145</v>
      </c>
    </row>
    <row r="1276">
      <c r="A1276" s="3" t="s">
        <v>3146</v>
      </c>
      <c r="B1276" s="3" t="s">
        <v>3147</v>
      </c>
    </row>
    <row r="1277">
      <c r="A1277" s="3" t="s">
        <v>3148</v>
      </c>
      <c r="B1277" s="3" t="s">
        <v>3149</v>
      </c>
    </row>
    <row r="1278">
      <c r="A1278" s="3" t="s">
        <v>3150</v>
      </c>
      <c r="B1278" s="3" t="s">
        <v>3151</v>
      </c>
    </row>
    <row r="1279">
      <c r="A1279" s="3" t="s">
        <v>3152</v>
      </c>
      <c r="B1279" s="3" t="s">
        <v>3153</v>
      </c>
    </row>
    <row r="1280">
      <c r="A1280" s="3" t="s">
        <v>3154</v>
      </c>
      <c r="B1280" s="3" t="s">
        <v>3155</v>
      </c>
    </row>
    <row r="1281">
      <c r="A1281" s="3" t="s">
        <v>3156</v>
      </c>
      <c r="B1281" s="3" t="s">
        <v>579</v>
      </c>
    </row>
    <row r="1282">
      <c r="A1282" s="3" t="s">
        <v>3157</v>
      </c>
      <c r="B1282" s="3" t="s">
        <v>3158</v>
      </c>
    </row>
    <row r="1283">
      <c r="A1283" s="3" t="s">
        <v>3159</v>
      </c>
      <c r="B1283" s="3" t="s">
        <v>3160</v>
      </c>
    </row>
    <row r="1284">
      <c r="A1284" s="3" t="s">
        <v>3161</v>
      </c>
      <c r="B1284" s="3" t="s">
        <v>3162</v>
      </c>
    </row>
    <row r="1285">
      <c r="A1285" s="3" t="s">
        <v>3163</v>
      </c>
      <c r="B1285" s="3" t="s">
        <v>3164</v>
      </c>
    </row>
    <row r="1286">
      <c r="A1286" s="3" t="s">
        <v>3165</v>
      </c>
      <c r="B1286" s="3" t="s">
        <v>3166</v>
      </c>
    </row>
    <row r="1287">
      <c r="A1287" s="3" t="s">
        <v>3167</v>
      </c>
      <c r="B1287" s="3" t="s">
        <v>3168</v>
      </c>
    </row>
    <row r="1288">
      <c r="A1288" s="3" t="s">
        <v>3169</v>
      </c>
      <c r="B1288" s="3" t="s">
        <v>3170</v>
      </c>
    </row>
    <row r="1289">
      <c r="A1289" s="3" t="s">
        <v>3171</v>
      </c>
      <c r="B1289" s="3" t="s">
        <v>3172</v>
      </c>
    </row>
    <row r="1290">
      <c r="A1290" s="3" t="s">
        <v>3173</v>
      </c>
      <c r="B1290" s="3" t="s">
        <v>3174</v>
      </c>
    </row>
    <row r="1291">
      <c r="A1291" s="3" t="s">
        <v>3175</v>
      </c>
      <c r="B1291" s="3" t="s">
        <v>3176</v>
      </c>
    </row>
    <row r="1292">
      <c r="A1292" s="3" t="s">
        <v>3177</v>
      </c>
      <c r="B1292" s="3" t="s">
        <v>3178</v>
      </c>
    </row>
    <row r="1293">
      <c r="A1293" s="3" t="s">
        <v>3179</v>
      </c>
      <c r="B1293" s="3" t="s">
        <v>252</v>
      </c>
    </row>
    <row r="1294">
      <c r="A1294" s="3" t="s">
        <v>3180</v>
      </c>
      <c r="B1294" s="3" t="s">
        <v>3181</v>
      </c>
    </row>
    <row r="1295">
      <c r="A1295" s="3" t="s">
        <v>3182</v>
      </c>
      <c r="B1295" s="3" t="s">
        <v>3183</v>
      </c>
    </row>
    <row r="1296">
      <c r="A1296" s="3" t="s">
        <v>3184</v>
      </c>
      <c r="B1296" s="3" t="s">
        <v>3185</v>
      </c>
    </row>
    <row r="1297">
      <c r="A1297" s="3" t="s">
        <v>3186</v>
      </c>
      <c r="B1297" s="3" t="s">
        <v>3187</v>
      </c>
    </row>
    <row r="1298">
      <c r="A1298" s="3" t="s">
        <v>3188</v>
      </c>
      <c r="B1298" s="3" t="s">
        <v>3189</v>
      </c>
    </row>
    <row r="1299">
      <c r="A1299" s="3" t="s">
        <v>3190</v>
      </c>
      <c r="B1299" s="3" t="s">
        <v>3191</v>
      </c>
    </row>
    <row r="1300">
      <c r="A1300" s="3" t="s">
        <v>3192</v>
      </c>
      <c r="B1300" s="3" t="s">
        <v>3193</v>
      </c>
    </row>
    <row r="1301">
      <c r="A1301" s="3" t="s">
        <v>3194</v>
      </c>
      <c r="B1301" s="3" t="s">
        <v>3195</v>
      </c>
    </row>
    <row r="1302">
      <c r="A1302" s="3" t="s">
        <v>3196</v>
      </c>
      <c r="B1302" s="3" t="s">
        <v>3197</v>
      </c>
    </row>
    <row r="1303">
      <c r="A1303" s="3" t="s">
        <v>3198</v>
      </c>
      <c r="B1303" s="3" t="s">
        <v>3199</v>
      </c>
    </row>
    <row r="1304">
      <c r="A1304" s="3" t="s">
        <v>3200</v>
      </c>
      <c r="B1304" s="3" t="s">
        <v>3201</v>
      </c>
    </row>
    <row r="1305">
      <c r="A1305" s="3" t="s">
        <v>3202</v>
      </c>
      <c r="B1305" s="3" t="s">
        <v>3203</v>
      </c>
    </row>
    <row r="1306">
      <c r="A1306" s="3" t="s">
        <v>3204</v>
      </c>
      <c r="B1306" s="3" t="s">
        <v>3205</v>
      </c>
    </row>
    <row r="1307">
      <c r="A1307" s="3" t="s">
        <v>3206</v>
      </c>
      <c r="B1307" s="3" t="s">
        <v>3207</v>
      </c>
    </row>
    <row r="1308">
      <c r="A1308" s="3" t="s">
        <v>3208</v>
      </c>
      <c r="B1308" s="3" t="s">
        <v>3209</v>
      </c>
    </row>
    <row r="1309">
      <c r="A1309" s="3" t="s">
        <v>3210</v>
      </c>
      <c r="B1309" s="3" t="s">
        <v>3211</v>
      </c>
    </row>
    <row r="1310">
      <c r="A1310" s="3" t="s">
        <v>3212</v>
      </c>
      <c r="B1310" s="3" t="s">
        <v>3213</v>
      </c>
    </row>
    <row r="1311">
      <c r="A1311" s="3" t="s">
        <v>3214</v>
      </c>
      <c r="B1311" s="3" t="s">
        <v>3215</v>
      </c>
    </row>
    <row r="1312">
      <c r="A1312" s="3" t="s">
        <v>3216</v>
      </c>
      <c r="B1312" s="3" t="s">
        <v>3217</v>
      </c>
    </row>
    <row r="1313">
      <c r="A1313" s="3" t="s">
        <v>3218</v>
      </c>
      <c r="B1313" s="3" t="s">
        <v>3219</v>
      </c>
    </row>
    <row r="1314">
      <c r="A1314" s="3" t="s">
        <v>3220</v>
      </c>
      <c r="B1314" s="3" t="s">
        <v>3221</v>
      </c>
    </row>
    <row r="1315">
      <c r="A1315" s="3" t="s">
        <v>3222</v>
      </c>
      <c r="B1315" s="3" t="s">
        <v>3223</v>
      </c>
    </row>
    <row r="1316">
      <c r="A1316" s="3" t="s">
        <v>3224</v>
      </c>
      <c r="B1316" s="3" t="s">
        <v>3225</v>
      </c>
    </row>
    <row r="1317">
      <c r="A1317" s="3" t="s">
        <v>3226</v>
      </c>
      <c r="B1317" s="3" t="s">
        <v>3227</v>
      </c>
    </row>
    <row r="1318">
      <c r="A1318" s="3" t="s">
        <v>3228</v>
      </c>
      <c r="B1318" s="3" t="s">
        <v>3229</v>
      </c>
    </row>
    <row r="1319">
      <c r="A1319" s="3" t="s">
        <v>3230</v>
      </c>
      <c r="B1319" s="3" t="s">
        <v>3231</v>
      </c>
    </row>
    <row r="1320">
      <c r="A1320" s="3" t="s">
        <v>3232</v>
      </c>
      <c r="B1320" s="3" t="s">
        <v>3233</v>
      </c>
    </row>
    <row r="1321">
      <c r="A1321" s="3" t="s">
        <v>3234</v>
      </c>
      <c r="B1321" s="3" t="s">
        <v>3235</v>
      </c>
    </row>
    <row r="1322">
      <c r="A1322" s="3" t="s">
        <v>3236</v>
      </c>
      <c r="B1322" s="3" t="s">
        <v>330</v>
      </c>
    </row>
    <row r="1323">
      <c r="A1323" s="3" t="s">
        <v>3237</v>
      </c>
      <c r="B1323" s="3" t="s">
        <v>3238</v>
      </c>
    </row>
    <row r="1324">
      <c r="A1324" s="3" t="s">
        <v>3239</v>
      </c>
      <c r="B1324" s="3" t="s">
        <v>3240</v>
      </c>
    </row>
    <row r="1325">
      <c r="A1325" s="3" t="s">
        <v>3241</v>
      </c>
      <c r="B1325" s="3" t="s">
        <v>3242</v>
      </c>
    </row>
    <row r="1326">
      <c r="A1326" s="3" t="s">
        <v>3243</v>
      </c>
      <c r="B1326" s="3" t="s">
        <v>3244</v>
      </c>
    </row>
    <row r="1327">
      <c r="A1327" s="3" t="s">
        <v>3245</v>
      </c>
      <c r="B1327" s="3" t="s">
        <v>3246</v>
      </c>
    </row>
    <row r="1328">
      <c r="A1328" s="3" t="s">
        <v>3247</v>
      </c>
      <c r="B1328" s="3" t="s">
        <v>3248</v>
      </c>
    </row>
    <row r="1329">
      <c r="A1329" s="3" t="s">
        <v>3249</v>
      </c>
      <c r="B1329" s="3" t="s">
        <v>3250</v>
      </c>
    </row>
    <row r="1330">
      <c r="A1330" s="3" t="s">
        <v>3251</v>
      </c>
      <c r="B1330" s="3" t="s">
        <v>3252</v>
      </c>
    </row>
    <row r="1331">
      <c r="A1331" s="3" t="s">
        <v>3253</v>
      </c>
      <c r="B1331" s="3" t="s">
        <v>3254</v>
      </c>
    </row>
    <row r="1332">
      <c r="A1332" s="3" t="s">
        <v>3255</v>
      </c>
      <c r="B1332" s="3" t="s">
        <v>3256</v>
      </c>
    </row>
    <row r="1333">
      <c r="A1333" s="3" t="s">
        <v>3257</v>
      </c>
      <c r="B1333" s="3" t="s">
        <v>3258</v>
      </c>
    </row>
    <row r="1334">
      <c r="A1334" s="3" t="s">
        <v>3259</v>
      </c>
      <c r="B1334" s="3" t="s">
        <v>3260</v>
      </c>
    </row>
    <row r="1335">
      <c r="A1335" s="3" t="s">
        <v>3261</v>
      </c>
      <c r="B1335" s="3" t="s">
        <v>3262</v>
      </c>
    </row>
    <row r="1336">
      <c r="A1336" s="3" t="s">
        <v>3263</v>
      </c>
      <c r="B1336" s="3" t="s">
        <v>3264</v>
      </c>
    </row>
    <row r="1337">
      <c r="A1337" s="3" t="s">
        <v>3265</v>
      </c>
      <c r="B1337" s="3" t="s">
        <v>3266</v>
      </c>
    </row>
    <row r="1338">
      <c r="A1338" s="3" t="s">
        <v>3267</v>
      </c>
      <c r="B1338" s="3" t="s">
        <v>3268</v>
      </c>
    </row>
    <row r="1339">
      <c r="A1339" s="3" t="s">
        <v>3269</v>
      </c>
      <c r="B1339" s="3" t="s">
        <v>3270</v>
      </c>
    </row>
    <row r="1340">
      <c r="A1340" s="3" t="s">
        <v>3271</v>
      </c>
      <c r="B1340" s="3" t="s">
        <v>3272</v>
      </c>
    </row>
    <row r="1341">
      <c r="A1341" s="3" t="s">
        <v>3273</v>
      </c>
      <c r="B1341" s="3" t="s">
        <v>3274</v>
      </c>
    </row>
    <row r="1342">
      <c r="A1342" s="3" t="s">
        <v>3275</v>
      </c>
      <c r="B1342" s="3" t="s">
        <v>3276</v>
      </c>
    </row>
    <row r="1343">
      <c r="A1343" s="3" t="s">
        <v>3277</v>
      </c>
      <c r="B1343" s="3" t="s">
        <v>3278</v>
      </c>
    </row>
    <row r="1344">
      <c r="A1344" s="3" t="s">
        <v>3279</v>
      </c>
      <c r="B1344" s="3" t="s">
        <v>3280</v>
      </c>
    </row>
    <row r="1345">
      <c r="A1345" s="3" t="s">
        <v>3281</v>
      </c>
      <c r="B1345" s="3" t="s">
        <v>3282</v>
      </c>
    </row>
    <row r="1346">
      <c r="A1346" s="3" t="s">
        <v>3283</v>
      </c>
      <c r="B1346" s="3" t="s">
        <v>3284</v>
      </c>
    </row>
    <row r="1347">
      <c r="A1347" s="3" t="s">
        <v>3285</v>
      </c>
      <c r="B1347" s="3" t="s">
        <v>3286</v>
      </c>
    </row>
    <row r="1348">
      <c r="A1348" s="3" t="s">
        <v>3287</v>
      </c>
      <c r="B1348" s="3" t="s">
        <v>3288</v>
      </c>
    </row>
    <row r="1349">
      <c r="A1349" s="3" t="s">
        <v>3289</v>
      </c>
      <c r="B1349" s="3" t="s">
        <v>3290</v>
      </c>
    </row>
    <row r="1350">
      <c r="A1350" s="3" t="s">
        <v>3291</v>
      </c>
      <c r="B1350" s="3" t="s">
        <v>3292</v>
      </c>
    </row>
    <row r="1351">
      <c r="A1351" s="3" t="s">
        <v>3293</v>
      </c>
      <c r="B1351" s="3" t="s">
        <v>3294</v>
      </c>
    </row>
    <row r="1352">
      <c r="A1352" s="3" t="s">
        <v>3295</v>
      </c>
      <c r="B1352" s="3" t="s">
        <v>3296</v>
      </c>
    </row>
    <row r="1353">
      <c r="A1353" s="3" t="s">
        <v>3297</v>
      </c>
      <c r="B1353" s="3" t="s">
        <v>3298</v>
      </c>
    </row>
    <row r="1354">
      <c r="A1354" s="3" t="s">
        <v>3299</v>
      </c>
      <c r="B1354" s="3" t="s">
        <v>3300</v>
      </c>
    </row>
    <row r="1355">
      <c r="A1355" s="3" t="s">
        <v>3301</v>
      </c>
      <c r="B1355" s="3" t="s">
        <v>3302</v>
      </c>
    </row>
    <row r="1356">
      <c r="A1356" s="3" t="s">
        <v>3303</v>
      </c>
      <c r="B1356" s="3" t="s">
        <v>3304</v>
      </c>
    </row>
    <row r="1357">
      <c r="A1357" s="3" t="s">
        <v>3305</v>
      </c>
      <c r="B1357" s="3" t="s">
        <v>3306</v>
      </c>
    </row>
    <row r="1358">
      <c r="A1358" s="3" t="s">
        <v>3307</v>
      </c>
      <c r="B1358" s="3" t="s">
        <v>3308</v>
      </c>
    </row>
    <row r="1359">
      <c r="A1359" s="3" t="s">
        <v>3309</v>
      </c>
      <c r="B1359" s="3" t="s">
        <v>3310</v>
      </c>
    </row>
    <row r="1360">
      <c r="A1360" s="3" t="s">
        <v>3311</v>
      </c>
      <c r="B1360" s="3" t="s">
        <v>3312</v>
      </c>
    </row>
    <row r="1361">
      <c r="A1361" s="3" t="s">
        <v>3313</v>
      </c>
      <c r="B1361" s="3" t="s">
        <v>3314</v>
      </c>
    </row>
    <row r="1362">
      <c r="A1362" s="3" t="s">
        <v>3315</v>
      </c>
      <c r="B1362" s="3" t="s">
        <v>3316</v>
      </c>
    </row>
    <row r="1363">
      <c r="A1363" s="3" t="s">
        <v>3317</v>
      </c>
      <c r="B1363" s="3" t="s">
        <v>3318</v>
      </c>
    </row>
    <row r="1364">
      <c r="A1364" s="3" t="s">
        <v>3319</v>
      </c>
      <c r="B1364" s="3" t="s">
        <v>3320</v>
      </c>
    </row>
    <row r="1365">
      <c r="A1365" s="3" t="s">
        <v>3321</v>
      </c>
      <c r="B1365" s="3" t="s">
        <v>3322</v>
      </c>
    </row>
    <row r="1366">
      <c r="A1366" s="3" t="s">
        <v>3323</v>
      </c>
      <c r="B1366" s="3" t="s">
        <v>3324</v>
      </c>
    </row>
    <row r="1367">
      <c r="A1367" s="3" t="s">
        <v>3325</v>
      </c>
      <c r="B1367" s="3" t="s">
        <v>3326</v>
      </c>
    </row>
    <row r="1368">
      <c r="A1368" s="3" t="s">
        <v>3327</v>
      </c>
      <c r="B1368" s="3" t="s">
        <v>3328</v>
      </c>
    </row>
    <row r="1369">
      <c r="A1369" s="3" t="s">
        <v>3329</v>
      </c>
      <c r="B1369" s="3" t="s">
        <v>3330</v>
      </c>
    </row>
    <row r="1370">
      <c r="A1370" s="3" t="s">
        <v>3331</v>
      </c>
      <c r="B1370" s="3" t="s">
        <v>3332</v>
      </c>
    </row>
    <row r="1371">
      <c r="A1371" s="3" t="s">
        <v>3333</v>
      </c>
      <c r="B1371" s="3" t="s">
        <v>3334</v>
      </c>
    </row>
    <row r="1372">
      <c r="A1372" s="3" t="s">
        <v>3335</v>
      </c>
      <c r="B1372" s="3" t="s">
        <v>3336</v>
      </c>
    </row>
    <row r="1373">
      <c r="A1373" s="3" t="s">
        <v>3337</v>
      </c>
      <c r="B1373" s="3" t="s">
        <v>3338</v>
      </c>
    </row>
    <row r="1374">
      <c r="A1374" s="3" t="s">
        <v>3339</v>
      </c>
      <c r="B1374" s="3" t="s">
        <v>3340</v>
      </c>
    </row>
    <row r="1375">
      <c r="A1375" s="3" t="s">
        <v>3341</v>
      </c>
      <c r="B1375" s="3" t="s">
        <v>3342</v>
      </c>
    </row>
    <row r="1376">
      <c r="A1376" s="3" t="s">
        <v>3343</v>
      </c>
      <c r="B1376" s="3" t="s">
        <v>3344</v>
      </c>
    </row>
    <row r="1377">
      <c r="A1377" s="3" t="s">
        <v>3345</v>
      </c>
      <c r="B1377" s="3" t="s">
        <v>3346</v>
      </c>
    </row>
    <row r="1378">
      <c r="A1378" s="3" t="s">
        <v>3347</v>
      </c>
      <c r="B1378" s="3" t="s">
        <v>3348</v>
      </c>
    </row>
    <row r="1379">
      <c r="A1379" s="3" t="s">
        <v>3349</v>
      </c>
      <c r="B1379" s="3" t="s">
        <v>3350</v>
      </c>
    </row>
    <row r="1380">
      <c r="A1380" s="3" t="s">
        <v>3351</v>
      </c>
      <c r="B1380" s="3" t="s">
        <v>3352</v>
      </c>
    </row>
    <row r="1381">
      <c r="A1381" s="3" t="s">
        <v>3353</v>
      </c>
      <c r="B1381" s="3" t="s">
        <v>3354</v>
      </c>
    </row>
    <row r="1382">
      <c r="A1382" s="3" t="s">
        <v>3355</v>
      </c>
      <c r="B1382" s="3" t="s">
        <v>3356</v>
      </c>
    </row>
    <row r="1383">
      <c r="A1383" s="3" t="s">
        <v>3357</v>
      </c>
      <c r="B1383" s="3" t="s">
        <v>3358</v>
      </c>
    </row>
    <row r="1384">
      <c r="A1384" s="3" t="s">
        <v>3359</v>
      </c>
      <c r="B1384" s="3" t="s">
        <v>3360</v>
      </c>
    </row>
    <row r="1385">
      <c r="A1385" s="3" t="s">
        <v>3361</v>
      </c>
      <c r="B1385" s="3" t="s">
        <v>3362</v>
      </c>
    </row>
    <row r="1386">
      <c r="A1386" s="3" t="s">
        <v>3363</v>
      </c>
      <c r="B1386" s="3" t="s">
        <v>3364</v>
      </c>
    </row>
    <row r="1387">
      <c r="A1387" s="3" t="s">
        <v>3365</v>
      </c>
      <c r="B1387" s="3" t="s">
        <v>3366</v>
      </c>
    </row>
    <row r="1388">
      <c r="A1388" s="3" t="s">
        <v>3367</v>
      </c>
      <c r="B1388" s="3" t="s">
        <v>3368</v>
      </c>
    </row>
    <row r="1389">
      <c r="A1389" s="3" t="s">
        <v>3369</v>
      </c>
      <c r="B1389" s="3" t="s">
        <v>3370</v>
      </c>
    </row>
    <row r="1390">
      <c r="A1390" s="3" t="s">
        <v>3371</v>
      </c>
      <c r="B1390" s="3" t="s">
        <v>3372</v>
      </c>
    </row>
    <row r="1391">
      <c r="A1391" s="3" t="s">
        <v>3373</v>
      </c>
      <c r="B1391" s="3" t="s">
        <v>3374</v>
      </c>
    </row>
    <row r="1392">
      <c r="A1392" s="3" t="s">
        <v>3375</v>
      </c>
      <c r="B1392" s="3" t="s">
        <v>3376</v>
      </c>
    </row>
    <row r="1393">
      <c r="A1393" s="3" t="s">
        <v>3377</v>
      </c>
      <c r="B1393" s="3" t="s">
        <v>3378</v>
      </c>
    </row>
    <row r="1394">
      <c r="A1394" s="3" t="s">
        <v>3379</v>
      </c>
      <c r="B1394" s="3" t="s">
        <v>3380</v>
      </c>
    </row>
    <row r="1395">
      <c r="A1395" s="3" t="s">
        <v>3381</v>
      </c>
      <c r="B1395" s="3" t="s">
        <v>3382</v>
      </c>
    </row>
    <row r="1396">
      <c r="A1396" s="3" t="s">
        <v>3383</v>
      </c>
      <c r="B1396" s="3" t="s">
        <v>3384</v>
      </c>
    </row>
    <row r="1397">
      <c r="A1397" s="3" t="s">
        <v>3385</v>
      </c>
      <c r="B1397" s="3" t="s">
        <v>3386</v>
      </c>
    </row>
    <row r="1398">
      <c r="A1398" s="3" t="s">
        <v>3387</v>
      </c>
      <c r="B1398" s="3" t="s">
        <v>3388</v>
      </c>
    </row>
    <row r="1399">
      <c r="A1399" s="3" t="s">
        <v>3389</v>
      </c>
      <c r="B1399" s="3" t="s">
        <v>3390</v>
      </c>
    </row>
    <row r="1400">
      <c r="A1400" s="3" t="s">
        <v>3391</v>
      </c>
      <c r="B1400" s="3" t="s">
        <v>3392</v>
      </c>
    </row>
    <row r="1401">
      <c r="A1401" s="3" t="s">
        <v>3393</v>
      </c>
      <c r="B1401" s="3" t="s">
        <v>3394</v>
      </c>
    </row>
    <row r="1402">
      <c r="A1402" s="3" t="s">
        <v>3395</v>
      </c>
      <c r="B1402" s="3" t="s">
        <v>3396</v>
      </c>
    </row>
    <row r="1403">
      <c r="A1403" s="3" t="s">
        <v>3397</v>
      </c>
      <c r="B1403" s="3" t="s">
        <v>3398</v>
      </c>
    </row>
    <row r="1404">
      <c r="A1404" s="3" t="s">
        <v>3399</v>
      </c>
      <c r="B1404" s="3" t="s">
        <v>3400</v>
      </c>
    </row>
    <row r="1405">
      <c r="A1405" s="3" t="s">
        <v>3401</v>
      </c>
      <c r="B1405" s="3" t="s">
        <v>3402</v>
      </c>
    </row>
    <row r="1406">
      <c r="A1406" s="3" t="s">
        <v>3403</v>
      </c>
      <c r="B1406" s="3" t="s">
        <v>3404</v>
      </c>
    </row>
    <row r="1407">
      <c r="A1407" s="3" t="s">
        <v>3405</v>
      </c>
      <c r="B1407" s="3" t="s">
        <v>3406</v>
      </c>
    </row>
    <row r="1408">
      <c r="A1408" s="3" t="s">
        <v>3407</v>
      </c>
      <c r="B1408" s="3" t="s">
        <v>3408</v>
      </c>
    </row>
    <row r="1409">
      <c r="A1409" s="3" t="s">
        <v>3409</v>
      </c>
      <c r="B1409" s="3" t="s">
        <v>3410</v>
      </c>
    </row>
    <row r="1410">
      <c r="A1410" s="3" t="s">
        <v>3411</v>
      </c>
      <c r="B1410" s="3" t="s">
        <v>3412</v>
      </c>
    </row>
    <row r="1411">
      <c r="A1411" s="3" t="s">
        <v>3413</v>
      </c>
      <c r="B1411" s="3" t="s">
        <v>3414</v>
      </c>
    </row>
    <row r="1412">
      <c r="A1412" s="3" t="s">
        <v>3415</v>
      </c>
      <c r="B1412" s="3" t="s">
        <v>3416</v>
      </c>
    </row>
    <row r="1413">
      <c r="A1413" s="3" t="s">
        <v>3417</v>
      </c>
      <c r="B1413" s="3" t="s">
        <v>3418</v>
      </c>
    </row>
    <row r="1414">
      <c r="A1414" s="3" t="s">
        <v>3419</v>
      </c>
      <c r="B1414" s="3" t="s">
        <v>3420</v>
      </c>
    </row>
    <row r="1415">
      <c r="A1415" s="3" t="s">
        <v>3421</v>
      </c>
      <c r="B1415" s="3" t="s">
        <v>3422</v>
      </c>
    </row>
    <row r="1416">
      <c r="A1416" s="3" t="s">
        <v>3423</v>
      </c>
      <c r="B1416" s="3" t="s">
        <v>3424</v>
      </c>
    </row>
    <row r="1417">
      <c r="A1417" s="3" t="s">
        <v>3425</v>
      </c>
      <c r="B1417" s="3" t="s">
        <v>3426</v>
      </c>
    </row>
    <row r="1418">
      <c r="A1418" s="3" t="s">
        <v>3427</v>
      </c>
      <c r="B1418" s="3" t="s">
        <v>512</v>
      </c>
    </row>
    <row r="1419">
      <c r="A1419" s="3" t="s">
        <v>3428</v>
      </c>
      <c r="B1419" s="3" t="s">
        <v>3429</v>
      </c>
    </row>
    <row r="1420">
      <c r="A1420" s="3" t="s">
        <v>3430</v>
      </c>
      <c r="B1420" s="3" t="s">
        <v>3431</v>
      </c>
    </row>
    <row r="1421">
      <c r="A1421" s="3" t="s">
        <v>3432</v>
      </c>
      <c r="B1421" s="3" t="s">
        <v>3433</v>
      </c>
    </row>
    <row r="1422">
      <c r="A1422" s="3" t="s">
        <v>3434</v>
      </c>
      <c r="B1422" s="3" t="s">
        <v>3435</v>
      </c>
    </row>
    <row r="1423">
      <c r="A1423" s="3" t="s">
        <v>3436</v>
      </c>
      <c r="B1423" s="3" t="s">
        <v>3437</v>
      </c>
    </row>
    <row r="1424">
      <c r="A1424" s="3" t="s">
        <v>3438</v>
      </c>
      <c r="B1424" s="3" t="s">
        <v>3439</v>
      </c>
    </row>
    <row r="1425">
      <c r="A1425" s="3" t="s">
        <v>3440</v>
      </c>
      <c r="B1425" s="3" t="s">
        <v>3441</v>
      </c>
    </row>
    <row r="1426">
      <c r="A1426" s="3" t="s">
        <v>3442</v>
      </c>
      <c r="B1426" s="3" t="s">
        <v>3443</v>
      </c>
    </row>
    <row r="1427">
      <c r="A1427" s="3" t="s">
        <v>3444</v>
      </c>
      <c r="B1427" s="3" t="s">
        <v>3445</v>
      </c>
    </row>
    <row r="1428">
      <c r="A1428" s="3" t="s">
        <v>3446</v>
      </c>
      <c r="B1428" s="3" t="s">
        <v>3447</v>
      </c>
    </row>
    <row r="1429">
      <c r="A1429" s="3" t="s">
        <v>3448</v>
      </c>
      <c r="B1429" s="3" t="s">
        <v>3449</v>
      </c>
    </row>
    <row r="1430">
      <c r="A1430" s="3" t="s">
        <v>3450</v>
      </c>
      <c r="B1430" s="3" t="s">
        <v>3451</v>
      </c>
    </row>
    <row r="1431">
      <c r="A1431" s="3" t="s">
        <v>3452</v>
      </c>
      <c r="B1431" s="3" t="s">
        <v>3453</v>
      </c>
    </row>
    <row r="1432">
      <c r="A1432" s="3" t="s">
        <v>3454</v>
      </c>
      <c r="B1432" s="3" t="s">
        <v>3455</v>
      </c>
    </row>
    <row r="1433">
      <c r="A1433" s="3" t="s">
        <v>3456</v>
      </c>
      <c r="B1433" s="3" t="s">
        <v>3457</v>
      </c>
    </row>
    <row r="1434">
      <c r="A1434" s="3" t="s">
        <v>3458</v>
      </c>
      <c r="B1434" s="3" t="s">
        <v>3459</v>
      </c>
    </row>
    <row r="1435">
      <c r="A1435" s="3" t="s">
        <v>3460</v>
      </c>
      <c r="B1435" s="3" t="s">
        <v>3461</v>
      </c>
    </row>
    <row r="1436">
      <c r="A1436" s="3" t="s">
        <v>3462</v>
      </c>
      <c r="B1436" s="3" t="s">
        <v>3463</v>
      </c>
    </row>
    <row r="1437">
      <c r="A1437" s="3" t="s">
        <v>3464</v>
      </c>
      <c r="B1437" s="3" t="s">
        <v>3465</v>
      </c>
    </row>
    <row r="1438">
      <c r="A1438" s="3" t="s">
        <v>3466</v>
      </c>
      <c r="B1438" s="3" t="s">
        <v>3467</v>
      </c>
    </row>
    <row r="1439">
      <c r="A1439" s="3" t="s">
        <v>3468</v>
      </c>
      <c r="B1439" s="3" t="s">
        <v>3469</v>
      </c>
    </row>
    <row r="1440">
      <c r="A1440" s="3" t="s">
        <v>3470</v>
      </c>
      <c r="B1440" s="3" t="s">
        <v>3471</v>
      </c>
    </row>
    <row r="1441">
      <c r="A1441" s="3" t="s">
        <v>3472</v>
      </c>
      <c r="B1441" s="3" t="s">
        <v>3473</v>
      </c>
    </row>
    <row r="1442">
      <c r="A1442" s="3" t="s">
        <v>3474</v>
      </c>
      <c r="B1442" s="3" t="s">
        <v>3475</v>
      </c>
    </row>
    <row r="1443">
      <c r="A1443" s="3" t="s">
        <v>3476</v>
      </c>
      <c r="B1443" s="3" t="s">
        <v>3477</v>
      </c>
    </row>
    <row r="1444">
      <c r="A1444" s="3" t="s">
        <v>3478</v>
      </c>
      <c r="B1444" s="3" t="s">
        <v>441</v>
      </c>
    </row>
    <row r="1445">
      <c r="A1445" s="3" t="s">
        <v>3479</v>
      </c>
      <c r="B1445" s="3" t="s">
        <v>3480</v>
      </c>
    </row>
    <row r="1446">
      <c r="A1446" s="3" t="s">
        <v>3481</v>
      </c>
      <c r="B1446" s="3" t="s">
        <v>3482</v>
      </c>
    </row>
    <row r="1447">
      <c r="A1447" s="3" t="s">
        <v>3483</v>
      </c>
      <c r="B1447" s="3" t="s">
        <v>3484</v>
      </c>
    </row>
    <row r="1448">
      <c r="A1448" s="3" t="s">
        <v>3485</v>
      </c>
      <c r="B1448" s="3" t="s">
        <v>3486</v>
      </c>
    </row>
    <row r="1449">
      <c r="A1449" s="3" t="s">
        <v>3487</v>
      </c>
      <c r="B1449" s="3" t="s">
        <v>3488</v>
      </c>
    </row>
    <row r="1450">
      <c r="A1450" s="3" t="s">
        <v>3489</v>
      </c>
      <c r="B1450" s="3" t="s">
        <v>3490</v>
      </c>
    </row>
    <row r="1451">
      <c r="A1451" s="3" t="s">
        <v>3491</v>
      </c>
      <c r="B1451" s="3" t="s">
        <v>3492</v>
      </c>
    </row>
    <row r="1452">
      <c r="A1452" s="3" t="s">
        <v>3493</v>
      </c>
      <c r="B1452" s="3" t="s">
        <v>3494</v>
      </c>
    </row>
    <row r="1453">
      <c r="A1453" s="3" t="s">
        <v>3495</v>
      </c>
      <c r="B1453" s="3" t="s">
        <v>3496</v>
      </c>
    </row>
    <row r="1454">
      <c r="A1454" s="3" t="s">
        <v>3497</v>
      </c>
      <c r="B1454" s="3" t="s">
        <v>3498</v>
      </c>
    </row>
    <row r="1455">
      <c r="A1455" s="3" t="s">
        <v>3499</v>
      </c>
      <c r="B1455" s="3" t="s">
        <v>3500</v>
      </c>
    </row>
    <row r="1456">
      <c r="A1456" s="3" t="s">
        <v>3501</v>
      </c>
      <c r="B1456" s="3" t="s">
        <v>413</v>
      </c>
    </row>
    <row r="1457">
      <c r="A1457" s="3" t="s">
        <v>3502</v>
      </c>
      <c r="B1457" s="3" t="s">
        <v>3503</v>
      </c>
    </row>
    <row r="1458">
      <c r="A1458" s="3" t="s">
        <v>3504</v>
      </c>
      <c r="B1458" s="3" t="s">
        <v>3505</v>
      </c>
    </row>
    <row r="1459">
      <c r="A1459" s="3" t="s">
        <v>3506</v>
      </c>
      <c r="B1459" s="3" t="s">
        <v>3507</v>
      </c>
    </row>
    <row r="1460">
      <c r="A1460" s="3" t="s">
        <v>3508</v>
      </c>
      <c r="B1460" s="3" t="s">
        <v>3509</v>
      </c>
    </row>
    <row r="1461">
      <c r="A1461" s="3" t="s">
        <v>3510</v>
      </c>
      <c r="B1461" s="3" t="s">
        <v>3511</v>
      </c>
    </row>
    <row r="1462">
      <c r="A1462" s="3" t="s">
        <v>3512</v>
      </c>
      <c r="B1462" s="3" t="s">
        <v>3513</v>
      </c>
    </row>
    <row r="1463">
      <c r="A1463" s="3" t="s">
        <v>3514</v>
      </c>
      <c r="B1463" s="3" t="s">
        <v>3515</v>
      </c>
    </row>
    <row r="1464">
      <c r="A1464" s="3" t="s">
        <v>3516</v>
      </c>
      <c r="B1464" s="3" t="s">
        <v>3517</v>
      </c>
    </row>
    <row r="1465">
      <c r="A1465" s="3" t="s">
        <v>3518</v>
      </c>
      <c r="B1465" s="3" t="s">
        <v>3519</v>
      </c>
    </row>
    <row r="1466">
      <c r="A1466" s="3" t="s">
        <v>3520</v>
      </c>
      <c r="B1466" s="3" t="s">
        <v>3521</v>
      </c>
    </row>
    <row r="1467">
      <c r="A1467" s="3" t="s">
        <v>3522</v>
      </c>
      <c r="B1467" s="3" t="s">
        <v>3523</v>
      </c>
    </row>
    <row r="1468">
      <c r="A1468" s="3" t="s">
        <v>3524</v>
      </c>
      <c r="B1468" s="3" t="s">
        <v>3525</v>
      </c>
    </row>
    <row r="1469">
      <c r="A1469" s="3" t="s">
        <v>3526</v>
      </c>
      <c r="B1469" s="3" t="s">
        <v>3527</v>
      </c>
    </row>
    <row r="1470">
      <c r="A1470" s="3" t="s">
        <v>3528</v>
      </c>
      <c r="B1470" s="3" t="s">
        <v>3529</v>
      </c>
    </row>
    <row r="1471">
      <c r="A1471" s="3" t="s">
        <v>3530</v>
      </c>
      <c r="B1471" s="3" t="s">
        <v>3531</v>
      </c>
    </row>
    <row r="1472">
      <c r="A1472" s="3" t="s">
        <v>3532</v>
      </c>
      <c r="B1472" s="3" t="s">
        <v>3533</v>
      </c>
    </row>
    <row r="1473">
      <c r="A1473" s="3" t="s">
        <v>3534</v>
      </c>
      <c r="B1473" s="3" t="s">
        <v>3535</v>
      </c>
    </row>
    <row r="1474">
      <c r="A1474" s="3" t="s">
        <v>3536</v>
      </c>
      <c r="B1474" s="3" t="s">
        <v>3537</v>
      </c>
    </row>
    <row r="1475">
      <c r="A1475" s="3" t="s">
        <v>3538</v>
      </c>
      <c r="B1475" s="3" t="s">
        <v>3539</v>
      </c>
    </row>
    <row r="1476">
      <c r="A1476" s="3" t="s">
        <v>3540</v>
      </c>
      <c r="B1476" s="3" t="s">
        <v>3541</v>
      </c>
    </row>
    <row r="1477">
      <c r="A1477" s="3" t="s">
        <v>3542</v>
      </c>
      <c r="B1477" s="3" t="s">
        <v>3543</v>
      </c>
    </row>
    <row r="1478">
      <c r="A1478" s="3" t="s">
        <v>3544</v>
      </c>
      <c r="B1478" s="3" t="s">
        <v>3545</v>
      </c>
    </row>
    <row r="1479">
      <c r="A1479" s="3" t="s">
        <v>3546</v>
      </c>
      <c r="B1479" s="3" t="s">
        <v>3547</v>
      </c>
    </row>
    <row r="1480">
      <c r="A1480" s="3" t="s">
        <v>3548</v>
      </c>
      <c r="B1480" s="3" t="s">
        <v>3549</v>
      </c>
    </row>
    <row r="1481">
      <c r="A1481" s="3" t="s">
        <v>3550</v>
      </c>
      <c r="B1481" s="3" t="s">
        <v>3551</v>
      </c>
    </row>
    <row r="1482">
      <c r="A1482" s="3" t="s">
        <v>3552</v>
      </c>
      <c r="B1482" s="3" t="s">
        <v>3553</v>
      </c>
    </row>
    <row r="1483">
      <c r="A1483" s="3" t="s">
        <v>3554</v>
      </c>
      <c r="B1483" s="3" t="s">
        <v>3555</v>
      </c>
    </row>
    <row r="1484">
      <c r="A1484" s="3" t="s">
        <v>3556</v>
      </c>
      <c r="B1484" s="3" t="s">
        <v>3557</v>
      </c>
    </row>
    <row r="1485">
      <c r="A1485" s="3" t="s">
        <v>3558</v>
      </c>
      <c r="B1485" s="3" t="s">
        <v>3559</v>
      </c>
    </row>
    <row r="1486">
      <c r="A1486" s="3" t="s">
        <v>3560</v>
      </c>
      <c r="B1486" s="3" t="s">
        <v>3561</v>
      </c>
    </row>
    <row r="1487">
      <c r="A1487" s="3" t="s">
        <v>3562</v>
      </c>
      <c r="B1487" s="3" t="s">
        <v>3563</v>
      </c>
    </row>
    <row r="1488">
      <c r="A1488" s="3" t="s">
        <v>3564</v>
      </c>
      <c r="B1488" s="3" t="s">
        <v>3565</v>
      </c>
    </row>
    <row r="1489">
      <c r="A1489" s="3" t="s">
        <v>3566</v>
      </c>
      <c r="B1489" s="3" t="s">
        <v>3567</v>
      </c>
    </row>
    <row r="1490">
      <c r="A1490" s="3" t="s">
        <v>3568</v>
      </c>
      <c r="B1490" s="3" t="s">
        <v>3569</v>
      </c>
    </row>
    <row r="1491">
      <c r="A1491" s="3" t="s">
        <v>3570</v>
      </c>
      <c r="B1491" s="3" t="s">
        <v>3571</v>
      </c>
    </row>
    <row r="1492">
      <c r="A1492" s="3" t="s">
        <v>3572</v>
      </c>
      <c r="B1492" s="3" t="s">
        <v>3573</v>
      </c>
    </row>
    <row r="1493">
      <c r="A1493" s="3" t="s">
        <v>3574</v>
      </c>
      <c r="B1493" s="3" t="s">
        <v>3575</v>
      </c>
    </row>
    <row r="1494">
      <c r="A1494" s="3" t="s">
        <v>3576</v>
      </c>
      <c r="B1494" s="3" t="s">
        <v>3577</v>
      </c>
    </row>
    <row r="1495">
      <c r="A1495" s="3" t="s">
        <v>3578</v>
      </c>
      <c r="B1495" s="3" t="s">
        <v>3579</v>
      </c>
    </row>
    <row r="1496">
      <c r="A1496" s="3" t="s">
        <v>3580</v>
      </c>
      <c r="B1496" s="3" t="s">
        <v>3581</v>
      </c>
    </row>
    <row r="1497">
      <c r="A1497" s="3" t="s">
        <v>3582</v>
      </c>
      <c r="B1497" s="3" t="s">
        <v>462</v>
      </c>
    </row>
    <row r="1498">
      <c r="A1498" s="3" t="s">
        <v>3583</v>
      </c>
      <c r="B1498" s="3" t="s">
        <v>3584</v>
      </c>
    </row>
    <row r="1499">
      <c r="A1499" s="3" t="s">
        <v>3585</v>
      </c>
      <c r="B1499" s="3" t="s">
        <v>3586</v>
      </c>
    </row>
    <row r="1500">
      <c r="A1500" s="3" t="s">
        <v>3587</v>
      </c>
      <c r="B1500" s="3" t="s">
        <v>3588</v>
      </c>
    </row>
    <row r="1501">
      <c r="A1501" s="3" t="s">
        <v>3589</v>
      </c>
      <c r="B1501" s="3" t="s">
        <v>3590</v>
      </c>
    </row>
    <row r="1502">
      <c r="A1502" s="3" t="s">
        <v>3591</v>
      </c>
      <c r="B1502" s="3" t="s">
        <v>3592</v>
      </c>
    </row>
    <row r="1503">
      <c r="A1503" s="3" t="s">
        <v>3593</v>
      </c>
      <c r="B1503" s="3" t="s">
        <v>3594</v>
      </c>
    </row>
    <row r="1504">
      <c r="A1504" s="3" t="s">
        <v>3595</v>
      </c>
      <c r="B1504" s="3" t="s">
        <v>3596</v>
      </c>
    </row>
    <row r="1505">
      <c r="A1505" s="3" t="s">
        <v>3597</v>
      </c>
      <c r="B1505" s="3" t="s">
        <v>3598</v>
      </c>
    </row>
    <row r="1506">
      <c r="A1506" s="3" t="s">
        <v>3599</v>
      </c>
      <c r="B1506" s="3" t="s">
        <v>3600</v>
      </c>
    </row>
    <row r="1507">
      <c r="A1507" s="3" t="s">
        <v>3601</v>
      </c>
      <c r="B1507" s="3" t="s">
        <v>3602</v>
      </c>
    </row>
    <row r="1508">
      <c r="A1508" s="3" t="s">
        <v>3603</v>
      </c>
      <c r="B1508" s="3" t="s">
        <v>3604</v>
      </c>
    </row>
    <row r="1509">
      <c r="A1509" s="3" t="s">
        <v>3605</v>
      </c>
      <c r="B1509" s="3" t="s">
        <v>3606</v>
      </c>
    </row>
    <row r="1510">
      <c r="A1510" s="3" t="s">
        <v>3607</v>
      </c>
      <c r="B1510" s="3" t="s">
        <v>3608</v>
      </c>
    </row>
    <row r="1511">
      <c r="A1511" s="3" t="s">
        <v>3609</v>
      </c>
      <c r="B1511" s="3" t="s">
        <v>3610</v>
      </c>
    </row>
    <row r="1512">
      <c r="A1512" s="3" t="s">
        <v>3611</v>
      </c>
      <c r="B1512" s="3" t="s">
        <v>3612</v>
      </c>
    </row>
    <row r="1513">
      <c r="A1513" s="3" t="s">
        <v>3613</v>
      </c>
      <c r="B1513" s="3" t="s">
        <v>3614</v>
      </c>
    </row>
    <row r="1514">
      <c r="A1514" s="3" t="s">
        <v>3615</v>
      </c>
      <c r="B1514" s="3" t="s">
        <v>3616</v>
      </c>
    </row>
    <row r="1515">
      <c r="A1515" s="3" t="s">
        <v>3617</v>
      </c>
      <c r="B1515" s="3" t="s">
        <v>3618</v>
      </c>
    </row>
    <row r="1516">
      <c r="A1516" s="3" t="s">
        <v>3619</v>
      </c>
      <c r="B1516" s="3" t="s">
        <v>3620</v>
      </c>
    </row>
    <row r="1517">
      <c r="A1517" s="3" t="s">
        <v>3621</v>
      </c>
      <c r="B1517" s="3" t="s">
        <v>3622</v>
      </c>
    </row>
    <row r="1518">
      <c r="A1518" s="3" t="s">
        <v>3623</v>
      </c>
      <c r="B1518" s="3" t="s">
        <v>3624</v>
      </c>
    </row>
    <row r="1519">
      <c r="A1519" s="3" t="s">
        <v>3625</v>
      </c>
      <c r="B1519" s="3" t="s">
        <v>3626</v>
      </c>
    </row>
    <row r="1520">
      <c r="A1520" s="3" t="s">
        <v>3627</v>
      </c>
      <c r="B1520" s="3" t="s">
        <v>3628</v>
      </c>
    </row>
    <row r="1521">
      <c r="A1521" s="3" t="s">
        <v>3629</v>
      </c>
      <c r="B1521" s="3" t="s">
        <v>3630</v>
      </c>
    </row>
    <row r="1522">
      <c r="A1522" s="3" t="s">
        <v>3631</v>
      </c>
      <c r="B1522" s="3" t="s">
        <v>3632</v>
      </c>
    </row>
    <row r="1523">
      <c r="A1523" s="3" t="s">
        <v>3633</v>
      </c>
      <c r="B1523" s="3" t="s">
        <v>3634</v>
      </c>
    </row>
    <row r="1524">
      <c r="A1524" s="3" t="s">
        <v>3635</v>
      </c>
      <c r="B1524" s="3" t="s">
        <v>3636</v>
      </c>
    </row>
    <row r="1525">
      <c r="A1525" s="3" t="s">
        <v>3637</v>
      </c>
      <c r="B1525" s="3" t="s">
        <v>3638</v>
      </c>
    </row>
    <row r="1526">
      <c r="A1526" s="3" t="s">
        <v>3639</v>
      </c>
      <c r="B1526" s="3" t="s">
        <v>3640</v>
      </c>
    </row>
    <row r="1527">
      <c r="A1527" s="3" t="s">
        <v>3641</v>
      </c>
      <c r="B1527" s="3" t="s">
        <v>3642</v>
      </c>
    </row>
    <row r="1528">
      <c r="A1528" s="3" t="s">
        <v>3643</v>
      </c>
      <c r="B1528" s="3" t="s">
        <v>3644</v>
      </c>
    </row>
    <row r="1529">
      <c r="A1529" s="3" t="s">
        <v>3645</v>
      </c>
      <c r="B1529" s="3" t="s">
        <v>3646</v>
      </c>
    </row>
    <row r="1530">
      <c r="A1530" s="3" t="s">
        <v>3647</v>
      </c>
      <c r="B1530" s="3" t="s">
        <v>3648</v>
      </c>
    </row>
    <row r="1531">
      <c r="A1531" s="3" t="s">
        <v>3649</v>
      </c>
      <c r="B1531" s="3" t="s">
        <v>3650</v>
      </c>
    </row>
    <row r="1532">
      <c r="A1532" s="3" t="s">
        <v>3651</v>
      </c>
      <c r="B1532" s="3" t="s">
        <v>3652</v>
      </c>
    </row>
    <row r="1533">
      <c r="A1533" s="3" t="s">
        <v>3653</v>
      </c>
      <c r="B1533" s="3" t="s">
        <v>3654</v>
      </c>
    </row>
    <row r="1534">
      <c r="A1534" s="3" t="s">
        <v>3655</v>
      </c>
      <c r="B1534" s="3" t="s">
        <v>3656</v>
      </c>
    </row>
    <row r="1535">
      <c r="A1535" s="3" t="s">
        <v>3657</v>
      </c>
      <c r="B1535" s="3" t="s">
        <v>3658</v>
      </c>
    </row>
    <row r="1536">
      <c r="A1536" s="3" t="s">
        <v>3659</v>
      </c>
      <c r="B1536" s="3" t="s">
        <v>3660</v>
      </c>
    </row>
    <row r="1537">
      <c r="A1537" s="3" t="s">
        <v>3661</v>
      </c>
      <c r="B1537" s="3" t="s">
        <v>3662</v>
      </c>
    </row>
    <row r="1538">
      <c r="A1538" s="3" t="s">
        <v>3663</v>
      </c>
      <c r="B1538" s="3" t="s">
        <v>3664</v>
      </c>
    </row>
    <row r="1539">
      <c r="A1539" s="3" t="s">
        <v>3665</v>
      </c>
      <c r="B1539" s="3" t="s">
        <v>3666</v>
      </c>
    </row>
    <row r="1540">
      <c r="A1540" s="3" t="s">
        <v>3667</v>
      </c>
      <c r="B1540" s="3" t="s">
        <v>3668</v>
      </c>
    </row>
    <row r="1541">
      <c r="A1541" s="3" t="s">
        <v>3669</v>
      </c>
      <c r="B1541" s="3" t="s">
        <v>3670</v>
      </c>
    </row>
    <row r="1542">
      <c r="A1542" s="3" t="s">
        <v>3671</v>
      </c>
      <c r="B1542" s="3" t="s">
        <v>3672</v>
      </c>
    </row>
    <row r="1543">
      <c r="A1543" s="3" t="s">
        <v>3673</v>
      </c>
      <c r="B1543" s="3" t="s">
        <v>3674</v>
      </c>
    </row>
    <row r="1544">
      <c r="A1544" s="3" t="s">
        <v>3675</v>
      </c>
      <c r="B1544" s="3" t="s">
        <v>3676</v>
      </c>
    </row>
    <row r="1545">
      <c r="A1545" s="3" t="s">
        <v>3677</v>
      </c>
      <c r="B1545" s="3" t="s">
        <v>3678</v>
      </c>
    </row>
    <row r="1546">
      <c r="A1546" s="3" t="s">
        <v>3679</v>
      </c>
      <c r="B1546" s="3" t="s">
        <v>3680</v>
      </c>
    </row>
    <row r="1547">
      <c r="A1547" s="3" t="s">
        <v>3681</v>
      </c>
      <c r="B1547" s="3" t="s">
        <v>3682</v>
      </c>
    </row>
    <row r="1548">
      <c r="A1548" s="3" t="s">
        <v>3683</v>
      </c>
      <c r="B1548" s="3" t="s">
        <v>3684</v>
      </c>
    </row>
    <row r="1549">
      <c r="A1549" s="3" t="s">
        <v>3685</v>
      </c>
      <c r="B1549" s="3" t="s">
        <v>3686</v>
      </c>
    </row>
    <row r="1550">
      <c r="A1550" s="3" t="s">
        <v>3687</v>
      </c>
      <c r="B1550" s="3" t="s">
        <v>3688</v>
      </c>
    </row>
    <row r="1551">
      <c r="A1551" s="3" t="s">
        <v>3689</v>
      </c>
      <c r="B1551" s="3" t="s">
        <v>3690</v>
      </c>
    </row>
    <row r="1552">
      <c r="A1552" s="3" t="s">
        <v>3691</v>
      </c>
      <c r="B1552" s="3" t="s">
        <v>3692</v>
      </c>
    </row>
    <row r="1553">
      <c r="A1553" s="3" t="s">
        <v>3693</v>
      </c>
      <c r="B1553" s="3" t="s">
        <v>3694</v>
      </c>
    </row>
    <row r="1554">
      <c r="A1554" s="3" t="s">
        <v>3695</v>
      </c>
      <c r="B1554" s="3" t="s">
        <v>3696</v>
      </c>
    </row>
    <row r="1555">
      <c r="A1555" s="3" t="s">
        <v>3697</v>
      </c>
      <c r="B1555" s="3" t="s">
        <v>3698</v>
      </c>
    </row>
    <row r="1556">
      <c r="A1556" s="3" t="s">
        <v>3699</v>
      </c>
      <c r="B1556" s="3" t="s">
        <v>3700</v>
      </c>
    </row>
    <row r="1557">
      <c r="A1557" s="3" t="s">
        <v>3701</v>
      </c>
      <c r="B1557" s="3" t="s">
        <v>3702</v>
      </c>
    </row>
    <row r="1558">
      <c r="A1558" s="3" t="s">
        <v>3703</v>
      </c>
      <c r="B1558" s="3" t="s">
        <v>3704</v>
      </c>
    </row>
    <row r="1559">
      <c r="A1559" s="3" t="s">
        <v>3705</v>
      </c>
      <c r="B1559" s="3" t="s">
        <v>3706</v>
      </c>
    </row>
    <row r="1560">
      <c r="A1560" s="3" t="s">
        <v>3707</v>
      </c>
      <c r="B1560" s="3" t="s">
        <v>3708</v>
      </c>
    </row>
    <row r="1561">
      <c r="A1561" s="3" t="s">
        <v>3709</v>
      </c>
      <c r="B1561" s="3" t="s">
        <v>3710</v>
      </c>
    </row>
    <row r="1562">
      <c r="A1562" s="3" t="s">
        <v>3711</v>
      </c>
      <c r="B1562" s="3" t="s">
        <v>3712</v>
      </c>
    </row>
    <row r="1563">
      <c r="A1563" s="3" t="s">
        <v>3713</v>
      </c>
      <c r="B1563" s="3" t="s">
        <v>3714</v>
      </c>
    </row>
    <row r="1564">
      <c r="A1564" s="3" t="s">
        <v>3715</v>
      </c>
      <c r="B1564" s="3" t="s">
        <v>3716</v>
      </c>
    </row>
    <row r="1565">
      <c r="A1565" s="3" t="s">
        <v>3717</v>
      </c>
      <c r="B1565" s="3" t="s">
        <v>3718</v>
      </c>
    </row>
    <row r="1566">
      <c r="A1566" s="3" t="s">
        <v>3719</v>
      </c>
      <c r="B1566" s="3" t="s">
        <v>3720</v>
      </c>
    </row>
    <row r="1567">
      <c r="A1567" s="3" t="s">
        <v>3721</v>
      </c>
      <c r="B1567" s="3" t="s">
        <v>3722</v>
      </c>
    </row>
    <row r="1568">
      <c r="A1568" s="3" t="s">
        <v>3723</v>
      </c>
      <c r="B1568" s="3" t="s">
        <v>3724</v>
      </c>
    </row>
    <row r="1569">
      <c r="A1569" s="3" t="s">
        <v>3725</v>
      </c>
      <c r="B1569" s="3" t="s">
        <v>3726</v>
      </c>
    </row>
    <row r="1570">
      <c r="A1570" s="3" t="s">
        <v>3727</v>
      </c>
      <c r="B1570" s="3" t="s">
        <v>3728</v>
      </c>
    </row>
    <row r="1571">
      <c r="A1571" s="3" t="s">
        <v>3729</v>
      </c>
      <c r="B1571" s="3" t="s">
        <v>3730</v>
      </c>
    </row>
    <row r="1572">
      <c r="A1572" s="3" t="s">
        <v>3731</v>
      </c>
      <c r="B1572" s="3" t="s">
        <v>3732</v>
      </c>
    </row>
    <row r="1573">
      <c r="A1573" s="3" t="s">
        <v>3733</v>
      </c>
      <c r="B1573" s="3" t="s">
        <v>3734</v>
      </c>
    </row>
    <row r="1574">
      <c r="A1574" s="3" t="s">
        <v>3735</v>
      </c>
      <c r="B1574" s="3" t="s">
        <v>3736</v>
      </c>
    </row>
    <row r="1575">
      <c r="A1575" s="3" t="s">
        <v>3737</v>
      </c>
      <c r="B1575" s="3" t="s">
        <v>3738</v>
      </c>
    </row>
    <row r="1576">
      <c r="A1576" s="3" t="s">
        <v>3739</v>
      </c>
      <c r="B1576" s="3" t="s">
        <v>3740</v>
      </c>
    </row>
    <row r="1577">
      <c r="A1577" s="3" t="s">
        <v>3741</v>
      </c>
      <c r="B1577" s="3" t="s">
        <v>3742</v>
      </c>
    </row>
    <row r="1578">
      <c r="A1578" s="3" t="s">
        <v>3743</v>
      </c>
      <c r="B1578" s="3" t="s">
        <v>3744</v>
      </c>
    </row>
    <row r="1579">
      <c r="A1579" s="3" t="s">
        <v>3745</v>
      </c>
      <c r="B1579" s="3" t="s">
        <v>3746</v>
      </c>
    </row>
    <row r="1580">
      <c r="A1580" s="3" t="s">
        <v>3747</v>
      </c>
      <c r="B1580" s="3" t="s">
        <v>3748</v>
      </c>
    </row>
    <row r="1581">
      <c r="A1581" s="3" t="s">
        <v>3749</v>
      </c>
      <c r="B1581" s="3" t="s">
        <v>3750</v>
      </c>
    </row>
    <row r="1582">
      <c r="A1582" s="3" t="s">
        <v>3751</v>
      </c>
      <c r="B1582" s="3" t="s">
        <v>3752</v>
      </c>
    </row>
    <row r="1583">
      <c r="A1583" s="3" t="s">
        <v>3753</v>
      </c>
      <c r="B1583" s="3" t="s">
        <v>3754</v>
      </c>
    </row>
    <row r="1584">
      <c r="A1584" s="3" t="s">
        <v>3755</v>
      </c>
      <c r="B1584" s="3" t="s">
        <v>3756</v>
      </c>
    </row>
    <row r="1585">
      <c r="A1585" s="3" t="s">
        <v>3757</v>
      </c>
      <c r="B1585" s="3" t="s">
        <v>3758</v>
      </c>
    </row>
    <row r="1586">
      <c r="A1586" s="3" t="s">
        <v>3759</v>
      </c>
      <c r="B1586" s="3" t="s">
        <v>3760</v>
      </c>
    </row>
    <row r="1587">
      <c r="A1587" s="3" t="s">
        <v>3761</v>
      </c>
      <c r="B1587" s="3" t="s">
        <v>3762</v>
      </c>
    </row>
    <row r="1588">
      <c r="A1588" s="3" t="s">
        <v>3763</v>
      </c>
      <c r="B1588" s="3" t="s">
        <v>3764</v>
      </c>
    </row>
    <row r="1589">
      <c r="A1589" s="3" t="s">
        <v>3765</v>
      </c>
      <c r="B1589" s="3" t="s">
        <v>3766</v>
      </c>
    </row>
    <row r="1590">
      <c r="A1590" s="3" t="s">
        <v>3767</v>
      </c>
      <c r="B1590" s="3" t="s">
        <v>3768</v>
      </c>
    </row>
    <row r="1591">
      <c r="A1591" s="3" t="s">
        <v>3769</v>
      </c>
      <c r="B1591" s="3" t="s">
        <v>3770</v>
      </c>
    </row>
    <row r="1592">
      <c r="A1592" s="3" t="s">
        <v>3771</v>
      </c>
      <c r="B1592" s="3" t="s">
        <v>3772</v>
      </c>
    </row>
    <row r="1593">
      <c r="A1593" s="3" t="s">
        <v>3773</v>
      </c>
      <c r="B1593" s="3" t="s">
        <v>3774</v>
      </c>
    </row>
    <row r="1594">
      <c r="A1594" s="3" t="s">
        <v>3775</v>
      </c>
      <c r="B1594" s="3" t="s">
        <v>3776</v>
      </c>
    </row>
    <row r="1595">
      <c r="A1595" s="3" t="s">
        <v>3777</v>
      </c>
      <c r="B1595" s="3" t="s">
        <v>3778</v>
      </c>
    </row>
    <row r="1596">
      <c r="A1596" s="3" t="s">
        <v>3779</v>
      </c>
      <c r="B1596" s="3" t="s">
        <v>3780</v>
      </c>
    </row>
    <row r="1597">
      <c r="A1597" s="3" t="s">
        <v>3781</v>
      </c>
      <c r="B1597" s="3" t="s">
        <v>3782</v>
      </c>
    </row>
    <row r="1598">
      <c r="A1598" s="3" t="s">
        <v>3783</v>
      </c>
      <c r="B1598" s="3" t="s">
        <v>3784</v>
      </c>
    </row>
    <row r="1599">
      <c r="A1599" s="3" t="s">
        <v>3785</v>
      </c>
      <c r="B1599" s="3" t="s">
        <v>3786</v>
      </c>
    </row>
    <row r="1600">
      <c r="A1600" s="3" t="s">
        <v>3787</v>
      </c>
      <c r="B1600" s="3" t="s">
        <v>3788</v>
      </c>
    </row>
    <row r="1601">
      <c r="A1601" s="3" t="s">
        <v>3789</v>
      </c>
      <c r="B1601" s="3" t="s">
        <v>3790</v>
      </c>
    </row>
    <row r="1602">
      <c r="A1602" s="3" t="s">
        <v>3791</v>
      </c>
      <c r="B1602" s="3" t="s">
        <v>3792</v>
      </c>
    </row>
    <row r="1603">
      <c r="A1603" s="3" t="s">
        <v>3793</v>
      </c>
      <c r="B1603" s="3" t="s">
        <v>3794</v>
      </c>
    </row>
    <row r="1604">
      <c r="A1604" s="3" t="s">
        <v>3795</v>
      </c>
      <c r="B1604" s="3" t="s">
        <v>3796</v>
      </c>
    </row>
    <row r="1605">
      <c r="A1605" s="3" t="s">
        <v>3797</v>
      </c>
      <c r="B1605" s="3" t="s">
        <v>3798</v>
      </c>
    </row>
    <row r="1606">
      <c r="A1606" s="3" t="s">
        <v>3799</v>
      </c>
      <c r="B1606" s="3" t="s">
        <v>3800</v>
      </c>
    </row>
    <row r="1607">
      <c r="A1607" s="3" t="s">
        <v>3801</v>
      </c>
      <c r="B1607" s="3" t="s">
        <v>3802</v>
      </c>
    </row>
    <row r="1608">
      <c r="A1608" s="3" t="s">
        <v>3803</v>
      </c>
      <c r="B1608" s="3" t="s">
        <v>3804</v>
      </c>
    </row>
    <row r="1609">
      <c r="A1609" s="3" t="s">
        <v>3805</v>
      </c>
      <c r="B1609" s="3" t="s">
        <v>3806</v>
      </c>
    </row>
    <row r="1610">
      <c r="A1610" s="3" t="s">
        <v>3807</v>
      </c>
      <c r="B1610" s="3" t="s">
        <v>3808</v>
      </c>
    </row>
    <row r="1611">
      <c r="A1611" s="3" t="s">
        <v>3809</v>
      </c>
      <c r="B1611" s="3" t="s">
        <v>3810</v>
      </c>
    </row>
    <row r="1612">
      <c r="A1612" s="3" t="s">
        <v>3811</v>
      </c>
      <c r="B1612" s="3" t="s">
        <v>3812</v>
      </c>
    </row>
    <row r="1613">
      <c r="A1613" s="3" t="s">
        <v>3813</v>
      </c>
      <c r="B1613" s="3" t="s">
        <v>3814</v>
      </c>
    </row>
    <row r="1614">
      <c r="A1614" s="3" t="s">
        <v>3815</v>
      </c>
      <c r="B1614" s="3" t="s">
        <v>3816</v>
      </c>
    </row>
    <row r="1615">
      <c r="A1615" s="3" t="s">
        <v>3817</v>
      </c>
      <c r="B1615" s="3" t="s">
        <v>3818</v>
      </c>
    </row>
    <row r="1616">
      <c r="A1616" s="3" t="s">
        <v>3819</v>
      </c>
      <c r="B1616" s="3" t="s">
        <v>3820</v>
      </c>
    </row>
    <row r="1617">
      <c r="A1617" s="3" t="s">
        <v>3821</v>
      </c>
      <c r="B1617" s="3" t="s">
        <v>3822</v>
      </c>
    </row>
    <row r="1618">
      <c r="A1618" s="3" t="s">
        <v>3823</v>
      </c>
      <c r="B1618" s="3" t="s">
        <v>3824</v>
      </c>
    </row>
    <row r="1619">
      <c r="A1619" s="3" t="s">
        <v>3825</v>
      </c>
      <c r="B1619" s="3" t="s">
        <v>3826</v>
      </c>
    </row>
    <row r="1620">
      <c r="A1620" s="3" t="s">
        <v>3827</v>
      </c>
      <c r="B1620" s="3" t="s">
        <v>3828</v>
      </c>
    </row>
    <row r="1621">
      <c r="A1621" s="3" t="s">
        <v>3829</v>
      </c>
      <c r="B1621" s="3" t="s">
        <v>3830</v>
      </c>
    </row>
    <row r="1622">
      <c r="A1622" s="3" t="s">
        <v>3831</v>
      </c>
      <c r="B1622" s="3" t="s">
        <v>3832</v>
      </c>
    </row>
    <row r="1623">
      <c r="A1623" s="3" t="s">
        <v>3833</v>
      </c>
      <c r="B1623" s="3" t="s">
        <v>3834</v>
      </c>
    </row>
    <row r="1624">
      <c r="A1624" s="3" t="s">
        <v>3835</v>
      </c>
      <c r="B1624" s="3" t="s">
        <v>3836</v>
      </c>
    </row>
    <row r="1625">
      <c r="A1625" s="3" t="s">
        <v>3837</v>
      </c>
      <c r="B1625" s="3" t="s">
        <v>3838</v>
      </c>
    </row>
    <row r="1626">
      <c r="A1626" s="3" t="s">
        <v>3839</v>
      </c>
      <c r="B1626" s="3" t="s">
        <v>3840</v>
      </c>
    </row>
    <row r="1627">
      <c r="A1627" s="3" t="s">
        <v>3841</v>
      </c>
      <c r="B1627" s="3" t="s">
        <v>3842</v>
      </c>
    </row>
    <row r="1628">
      <c r="A1628" s="3" t="s">
        <v>3843</v>
      </c>
      <c r="B1628" s="3" t="s">
        <v>3844</v>
      </c>
    </row>
    <row r="1629">
      <c r="A1629" s="3" t="s">
        <v>3845</v>
      </c>
      <c r="B1629" s="3" t="s">
        <v>3846</v>
      </c>
    </row>
    <row r="1630">
      <c r="A1630" s="3" t="s">
        <v>3847</v>
      </c>
      <c r="B1630" s="3" t="s">
        <v>3848</v>
      </c>
    </row>
    <row r="1631">
      <c r="A1631" s="3" t="s">
        <v>3849</v>
      </c>
      <c r="B1631" s="3" t="s">
        <v>3850</v>
      </c>
    </row>
    <row r="1632">
      <c r="A1632" s="3" t="s">
        <v>3851</v>
      </c>
      <c r="B1632" s="3" t="s">
        <v>3852</v>
      </c>
    </row>
    <row r="1633">
      <c r="A1633" s="3" t="s">
        <v>3853</v>
      </c>
      <c r="B1633" s="3" t="s">
        <v>3854</v>
      </c>
    </row>
    <row r="1634">
      <c r="A1634" s="3" t="s">
        <v>3855</v>
      </c>
      <c r="B1634" s="3" t="s">
        <v>3856</v>
      </c>
    </row>
    <row r="1635">
      <c r="A1635" s="3" t="s">
        <v>3857</v>
      </c>
      <c r="B1635" s="3" t="s">
        <v>3858</v>
      </c>
    </row>
    <row r="1636">
      <c r="A1636" s="3" t="s">
        <v>3859</v>
      </c>
      <c r="B1636" s="3" t="s">
        <v>3860</v>
      </c>
    </row>
    <row r="1637">
      <c r="A1637" s="3" t="s">
        <v>3861</v>
      </c>
      <c r="B1637" s="3" t="s">
        <v>3862</v>
      </c>
    </row>
    <row r="1638">
      <c r="A1638" s="3" t="s">
        <v>3863</v>
      </c>
      <c r="B1638" s="3" t="s">
        <v>3864</v>
      </c>
    </row>
    <row r="1639">
      <c r="A1639" s="3" t="s">
        <v>3865</v>
      </c>
      <c r="B1639" s="3" t="s">
        <v>3866</v>
      </c>
    </row>
    <row r="1640">
      <c r="A1640" s="3" t="s">
        <v>3867</v>
      </c>
      <c r="B1640" s="3" t="s">
        <v>3868</v>
      </c>
    </row>
    <row r="1641">
      <c r="A1641" s="3" t="s">
        <v>3869</v>
      </c>
      <c r="B1641" s="3" t="s">
        <v>3870</v>
      </c>
    </row>
    <row r="1642">
      <c r="A1642" s="3" t="s">
        <v>3871</v>
      </c>
      <c r="B1642" s="3" t="s">
        <v>3872</v>
      </c>
    </row>
    <row r="1643">
      <c r="A1643" s="3" t="s">
        <v>3873</v>
      </c>
      <c r="B1643" s="3" t="s">
        <v>3874</v>
      </c>
    </row>
    <row r="1644">
      <c r="A1644" s="3" t="s">
        <v>3875</v>
      </c>
      <c r="B1644" s="3" t="s">
        <v>3876</v>
      </c>
    </row>
    <row r="1645">
      <c r="A1645" s="3" t="s">
        <v>3877</v>
      </c>
      <c r="B1645" s="3" t="s">
        <v>3878</v>
      </c>
    </row>
    <row r="1646">
      <c r="A1646" s="3" t="s">
        <v>3879</v>
      </c>
      <c r="B1646" s="3" t="s">
        <v>3880</v>
      </c>
    </row>
    <row r="1647">
      <c r="A1647" s="3" t="s">
        <v>3881</v>
      </c>
      <c r="B1647" s="3" t="s">
        <v>3882</v>
      </c>
    </row>
    <row r="1648">
      <c r="A1648" s="3" t="s">
        <v>3883</v>
      </c>
      <c r="B1648" s="3" t="s">
        <v>3884</v>
      </c>
    </row>
    <row r="1649">
      <c r="A1649" s="3" t="s">
        <v>3885</v>
      </c>
      <c r="B1649" s="3" t="s">
        <v>3886</v>
      </c>
    </row>
    <row r="1650">
      <c r="A1650" s="3" t="s">
        <v>3887</v>
      </c>
      <c r="B1650" s="3" t="s">
        <v>3888</v>
      </c>
    </row>
    <row r="1651">
      <c r="A1651" s="3" t="s">
        <v>3889</v>
      </c>
      <c r="B1651" s="3" t="s">
        <v>3890</v>
      </c>
    </row>
    <row r="1652">
      <c r="A1652" s="3" t="s">
        <v>3891</v>
      </c>
      <c r="B1652" s="3" t="s">
        <v>3892</v>
      </c>
    </row>
    <row r="1653">
      <c r="A1653" s="3" t="s">
        <v>3893</v>
      </c>
      <c r="B1653" s="3" t="s">
        <v>3894</v>
      </c>
    </row>
    <row r="1654">
      <c r="A1654" s="3" t="s">
        <v>3895</v>
      </c>
      <c r="B1654" s="3" t="s">
        <v>3896</v>
      </c>
    </row>
    <row r="1655">
      <c r="A1655" s="3" t="s">
        <v>3897</v>
      </c>
      <c r="B1655" s="3" t="s">
        <v>3898</v>
      </c>
    </row>
    <row r="1656">
      <c r="A1656" s="3" t="s">
        <v>3899</v>
      </c>
      <c r="B1656" s="3" t="s">
        <v>3900</v>
      </c>
    </row>
    <row r="1657">
      <c r="A1657" s="3" t="s">
        <v>3901</v>
      </c>
      <c r="B1657" s="3" t="s">
        <v>3902</v>
      </c>
    </row>
    <row r="1658">
      <c r="A1658" s="3" t="s">
        <v>3903</v>
      </c>
      <c r="B1658" s="3" t="s">
        <v>3904</v>
      </c>
    </row>
    <row r="1659">
      <c r="A1659" s="3" t="s">
        <v>3905</v>
      </c>
      <c r="B1659" s="3" t="s">
        <v>3906</v>
      </c>
    </row>
    <row r="1660">
      <c r="A1660" s="3" t="s">
        <v>3907</v>
      </c>
      <c r="B1660" s="3" t="s">
        <v>3908</v>
      </c>
    </row>
    <row r="1661">
      <c r="A1661" s="3" t="s">
        <v>3909</v>
      </c>
      <c r="B1661" s="3" t="s">
        <v>3910</v>
      </c>
    </row>
    <row r="1662">
      <c r="A1662" s="3" t="s">
        <v>3911</v>
      </c>
      <c r="B1662" s="3" t="s">
        <v>3912</v>
      </c>
    </row>
    <row r="1663">
      <c r="A1663" s="3" t="s">
        <v>3913</v>
      </c>
      <c r="B1663" s="3" t="s">
        <v>3914</v>
      </c>
    </row>
    <row r="1664">
      <c r="A1664" s="3" t="s">
        <v>3915</v>
      </c>
      <c r="B1664" s="3" t="s">
        <v>3916</v>
      </c>
    </row>
    <row r="1665">
      <c r="A1665" s="3" t="s">
        <v>3917</v>
      </c>
      <c r="B1665" s="3" t="s">
        <v>3918</v>
      </c>
    </row>
    <row r="1666">
      <c r="A1666" s="3" t="s">
        <v>3919</v>
      </c>
      <c r="B1666" s="3" t="s">
        <v>3920</v>
      </c>
    </row>
    <row r="1667">
      <c r="A1667" s="3" t="s">
        <v>3921</v>
      </c>
      <c r="B1667" s="3" t="s">
        <v>3922</v>
      </c>
    </row>
    <row r="1668">
      <c r="A1668" s="3" t="s">
        <v>3923</v>
      </c>
      <c r="B1668" s="3" t="s">
        <v>3924</v>
      </c>
    </row>
    <row r="1669">
      <c r="A1669" s="3" t="s">
        <v>3925</v>
      </c>
      <c r="B1669" s="3" t="s">
        <v>3926</v>
      </c>
    </row>
    <row r="1670">
      <c r="A1670" s="3" t="s">
        <v>3927</v>
      </c>
      <c r="B1670" s="3" t="s">
        <v>3928</v>
      </c>
    </row>
    <row r="1671">
      <c r="A1671" s="3" t="s">
        <v>3929</v>
      </c>
      <c r="B1671" s="3" t="s">
        <v>3930</v>
      </c>
    </row>
    <row r="1672">
      <c r="A1672" s="3" t="s">
        <v>3931</v>
      </c>
      <c r="B1672" s="3" t="s">
        <v>3932</v>
      </c>
    </row>
    <row r="1673">
      <c r="A1673" s="3" t="s">
        <v>3933</v>
      </c>
      <c r="B1673" s="3" t="s">
        <v>3934</v>
      </c>
    </row>
    <row r="1674">
      <c r="A1674" s="3" t="s">
        <v>3935</v>
      </c>
      <c r="B1674" s="3" t="s">
        <v>3936</v>
      </c>
    </row>
    <row r="1675">
      <c r="A1675" s="3" t="s">
        <v>3937</v>
      </c>
      <c r="B1675" s="3" t="s">
        <v>3938</v>
      </c>
    </row>
    <row r="1676">
      <c r="A1676" s="3" t="s">
        <v>3939</v>
      </c>
      <c r="B1676" s="3" t="s">
        <v>3940</v>
      </c>
    </row>
    <row r="1677">
      <c r="A1677" s="3" t="s">
        <v>3941</v>
      </c>
      <c r="B1677" s="3" t="s">
        <v>3942</v>
      </c>
    </row>
    <row r="1678">
      <c r="A1678" s="3" t="s">
        <v>3943</v>
      </c>
      <c r="B1678" s="3" t="s">
        <v>3944</v>
      </c>
    </row>
    <row r="1679">
      <c r="A1679" s="3" t="s">
        <v>3945</v>
      </c>
      <c r="B1679" s="3" t="s">
        <v>3946</v>
      </c>
    </row>
    <row r="1680">
      <c r="A1680" s="3" t="s">
        <v>3947</v>
      </c>
      <c r="B1680" s="3" t="s">
        <v>3948</v>
      </c>
    </row>
    <row r="1681">
      <c r="A1681" s="3" t="s">
        <v>3949</v>
      </c>
      <c r="B1681" s="3" t="s">
        <v>3950</v>
      </c>
    </row>
    <row r="1682">
      <c r="A1682" s="3" t="s">
        <v>3951</v>
      </c>
      <c r="B1682" s="3" t="s">
        <v>3952</v>
      </c>
    </row>
    <row r="1683">
      <c r="A1683" s="3" t="s">
        <v>3953</v>
      </c>
      <c r="B1683" s="3" t="s">
        <v>3954</v>
      </c>
    </row>
    <row r="1684">
      <c r="A1684" s="3" t="s">
        <v>3955</v>
      </c>
      <c r="B1684" s="3" t="s">
        <v>3956</v>
      </c>
    </row>
    <row r="1685">
      <c r="A1685" s="3" t="s">
        <v>3957</v>
      </c>
      <c r="B1685" s="3" t="s">
        <v>3958</v>
      </c>
    </row>
    <row r="1686">
      <c r="A1686" s="3" t="s">
        <v>3959</v>
      </c>
      <c r="B1686" s="3" t="s">
        <v>3960</v>
      </c>
    </row>
    <row r="1687">
      <c r="A1687" s="3" t="s">
        <v>3961</v>
      </c>
      <c r="B1687" s="3" t="s">
        <v>3962</v>
      </c>
    </row>
    <row r="1688">
      <c r="A1688" s="3" t="s">
        <v>3963</v>
      </c>
      <c r="B1688" s="3" t="s">
        <v>3964</v>
      </c>
    </row>
    <row r="1689">
      <c r="A1689" s="3" t="s">
        <v>3965</v>
      </c>
      <c r="B1689" s="3" t="s">
        <v>3966</v>
      </c>
    </row>
    <row r="1690">
      <c r="A1690" s="3" t="s">
        <v>3967</v>
      </c>
      <c r="B1690" s="3" t="s">
        <v>3968</v>
      </c>
    </row>
    <row r="1691">
      <c r="A1691" s="3" t="s">
        <v>3969</v>
      </c>
      <c r="B1691" s="3" t="s">
        <v>3970</v>
      </c>
    </row>
    <row r="1692">
      <c r="A1692" s="3" t="s">
        <v>3971</v>
      </c>
      <c r="B1692" s="3" t="s">
        <v>3972</v>
      </c>
    </row>
    <row r="1693">
      <c r="A1693" s="3" t="s">
        <v>3973</v>
      </c>
      <c r="B1693" s="3" t="s">
        <v>3974</v>
      </c>
    </row>
    <row r="1694">
      <c r="A1694" s="3" t="s">
        <v>3975</v>
      </c>
      <c r="B1694" s="3" t="s">
        <v>3976</v>
      </c>
    </row>
    <row r="1695">
      <c r="A1695" s="3" t="s">
        <v>3977</v>
      </c>
      <c r="B1695" s="3" t="s">
        <v>3978</v>
      </c>
    </row>
    <row r="1696">
      <c r="A1696" s="3" t="s">
        <v>3979</v>
      </c>
      <c r="B1696" s="3" t="s">
        <v>3980</v>
      </c>
    </row>
    <row r="1697">
      <c r="A1697" s="3" t="s">
        <v>3981</v>
      </c>
      <c r="B1697" s="3" t="s">
        <v>3982</v>
      </c>
    </row>
    <row r="1698">
      <c r="A1698" s="3" t="s">
        <v>3983</v>
      </c>
      <c r="B1698" s="3" t="s">
        <v>3984</v>
      </c>
    </row>
    <row r="1699">
      <c r="A1699" s="3" t="s">
        <v>3985</v>
      </c>
      <c r="B1699" s="3" t="s">
        <v>3986</v>
      </c>
    </row>
    <row r="1700">
      <c r="A1700" s="3" t="s">
        <v>3987</v>
      </c>
      <c r="B1700" s="3" t="s">
        <v>3988</v>
      </c>
    </row>
    <row r="1701">
      <c r="A1701" s="3" t="s">
        <v>3989</v>
      </c>
      <c r="B1701" s="3" t="s">
        <v>3990</v>
      </c>
    </row>
    <row r="1702">
      <c r="A1702" s="3" t="s">
        <v>3991</v>
      </c>
      <c r="B1702" s="3" t="s">
        <v>3992</v>
      </c>
    </row>
    <row r="1703">
      <c r="A1703" s="3" t="s">
        <v>3993</v>
      </c>
      <c r="B1703" s="3" t="s">
        <v>3994</v>
      </c>
    </row>
    <row r="1704">
      <c r="A1704" s="3" t="s">
        <v>3995</v>
      </c>
      <c r="B1704" s="3" t="s">
        <v>3996</v>
      </c>
    </row>
    <row r="1705">
      <c r="A1705" s="3" t="s">
        <v>3997</v>
      </c>
      <c r="B1705" s="3" t="s">
        <v>3998</v>
      </c>
    </row>
    <row r="1706">
      <c r="A1706" s="3" t="s">
        <v>3999</v>
      </c>
      <c r="B1706" s="3" t="s">
        <v>4000</v>
      </c>
    </row>
    <row r="1707">
      <c r="A1707" s="3" t="s">
        <v>4001</v>
      </c>
      <c r="B1707" s="3" t="s">
        <v>4002</v>
      </c>
    </row>
    <row r="1708">
      <c r="A1708" s="3" t="s">
        <v>4003</v>
      </c>
      <c r="B1708" s="3" t="s">
        <v>4004</v>
      </c>
    </row>
    <row r="1709">
      <c r="A1709" s="3" t="s">
        <v>4005</v>
      </c>
      <c r="B1709" s="3" t="s">
        <v>4006</v>
      </c>
    </row>
    <row r="1710">
      <c r="A1710" s="3" t="s">
        <v>4007</v>
      </c>
      <c r="B1710" s="3" t="s">
        <v>4008</v>
      </c>
    </row>
    <row r="1711">
      <c r="A1711" s="3" t="s">
        <v>4009</v>
      </c>
      <c r="B1711" s="3" t="s">
        <v>4010</v>
      </c>
    </row>
    <row r="1712">
      <c r="A1712" s="3" t="s">
        <v>4011</v>
      </c>
      <c r="B1712" s="3" t="s">
        <v>4012</v>
      </c>
    </row>
    <row r="1713">
      <c r="A1713" s="3" t="s">
        <v>4013</v>
      </c>
      <c r="B1713" s="3" t="s">
        <v>4014</v>
      </c>
    </row>
    <row r="1714">
      <c r="A1714" s="3" t="s">
        <v>4015</v>
      </c>
      <c r="B1714" s="3" t="s">
        <v>4016</v>
      </c>
    </row>
    <row r="1715">
      <c r="A1715" s="3" t="s">
        <v>4017</v>
      </c>
      <c r="B1715" s="3" t="s">
        <v>4018</v>
      </c>
    </row>
    <row r="1716">
      <c r="A1716" s="3" t="s">
        <v>4019</v>
      </c>
      <c r="B1716" s="3" t="s">
        <v>4020</v>
      </c>
    </row>
    <row r="1717">
      <c r="A1717" s="3" t="s">
        <v>4021</v>
      </c>
      <c r="B1717" s="3" t="s">
        <v>4022</v>
      </c>
    </row>
    <row r="1718">
      <c r="A1718" s="3" t="s">
        <v>4023</v>
      </c>
      <c r="B1718" s="3" t="s">
        <v>4024</v>
      </c>
    </row>
    <row r="1719">
      <c r="A1719" s="3" t="s">
        <v>4025</v>
      </c>
      <c r="B1719" s="3" t="s">
        <v>4026</v>
      </c>
    </row>
    <row r="1720">
      <c r="A1720" s="3" t="s">
        <v>4027</v>
      </c>
      <c r="B1720" s="3" t="s">
        <v>4028</v>
      </c>
    </row>
    <row r="1721">
      <c r="A1721" s="3" t="s">
        <v>4029</v>
      </c>
      <c r="B1721" s="3" t="s">
        <v>4030</v>
      </c>
    </row>
    <row r="1722">
      <c r="A1722" s="3" t="s">
        <v>4031</v>
      </c>
      <c r="B1722" s="3" t="s">
        <v>4032</v>
      </c>
    </row>
    <row r="1723">
      <c r="A1723" s="3" t="s">
        <v>4033</v>
      </c>
      <c r="B1723" s="3" t="s">
        <v>4034</v>
      </c>
    </row>
    <row r="1724">
      <c r="A1724" s="3" t="s">
        <v>4035</v>
      </c>
      <c r="B1724" s="3" t="s">
        <v>4036</v>
      </c>
    </row>
    <row r="1725">
      <c r="A1725" s="3" t="s">
        <v>4037</v>
      </c>
      <c r="B1725" s="3" t="s">
        <v>4038</v>
      </c>
    </row>
    <row r="1726">
      <c r="A1726" s="3" t="s">
        <v>4039</v>
      </c>
      <c r="B1726" s="3" t="s">
        <v>4040</v>
      </c>
    </row>
    <row r="1727">
      <c r="A1727" s="3" t="s">
        <v>4041</v>
      </c>
      <c r="B1727" s="3" t="s">
        <v>4042</v>
      </c>
    </row>
    <row r="1728">
      <c r="A1728" s="3" t="s">
        <v>4043</v>
      </c>
      <c r="B1728" s="3" t="s">
        <v>4044</v>
      </c>
    </row>
    <row r="1729">
      <c r="A1729" s="3" t="s">
        <v>4045</v>
      </c>
      <c r="B1729" s="3" t="s">
        <v>4046</v>
      </c>
    </row>
    <row r="1730">
      <c r="A1730" s="3" t="s">
        <v>4047</v>
      </c>
      <c r="B1730" s="3" t="s">
        <v>4048</v>
      </c>
    </row>
    <row r="1731">
      <c r="A1731" s="3" t="s">
        <v>4049</v>
      </c>
      <c r="B1731" s="3" t="s">
        <v>4050</v>
      </c>
    </row>
    <row r="1732">
      <c r="A1732" s="3" t="s">
        <v>4051</v>
      </c>
      <c r="B1732" s="3" t="s">
        <v>4052</v>
      </c>
    </row>
    <row r="1733">
      <c r="A1733" s="3" t="s">
        <v>4053</v>
      </c>
      <c r="B1733" s="3" t="s">
        <v>4054</v>
      </c>
    </row>
    <row r="1734">
      <c r="A1734" s="3" t="s">
        <v>4055</v>
      </c>
      <c r="B1734" s="3" t="s">
        <v>4056</v>
      </c>
    </row>
    <row r="1735">
      <c r="A1735" s="3" t="s">
        <v>4057</v>
      </c>
      <c r="B1735" s="3" t="s">
        <v>4058</v>
      </c>
    </row>
    <row r="1736">
      <c r="A1736" s="3" t="s">
        <v>4059</v>
      </c>
      <c r="B1736" s="3" t="s">
        <v>4060</v>
      </c>
    </row>
    <row r="1737">
      <c r="A1737" s="3" t="s">
        <v>4061</v>
      </c>
      <c r="B1737" s="3" t="s">
        <v>4062</v>
      </c>
    </row>
    <row r="1738">
      <c r="A1738" s="3" t="s">
        <v>4063</v>
      </c>
      <c r="B1738" s="3" t="s">
        <v>4064</v>
      </c>
    </row>
    <row r="1739">
      <c r="A1739" s="3" t="s">
        <v>4065</v>
      </c>
      <c r="B1739" s="3" t="s">
        <v>4066</v>
      </c>
    </row>
    <row r="1740">
      <c r="A1740" s="3" t="s">
        <v>4067</v>
      </c>
      <c r="B1740" s="3" t="s">
        <v>4068</v>
      </c>
    </row>
    <row r="1741">
      <c r="A1741" s="3" t="s">
        <v>4069</v>
      </c>
      <c r="B1741" s="3" t="s">
        <v>4070</v>
      </c>
    </row>
    <row r="1742">
      <c r="A1742" s="3" t="s">
        <v>4071</v>
      </c>
      <c r="B1742" s="3" t="s">
        <v>4072</v>
      </c>
    </row>
    <row r="1743">
      <c r="A1743" s="3" t="s">
        <v>4073</v>
      </c>
      <c r="B1743" s="3" t="s">
        <v>4074</v>
      </c>
    </row>
    <row r="1744">
      <c r="A1744" s="3" t="s">
        <v>4075</v>
      </c>
      <c r="B1744" s="3" t="s">
        <v>4076</v>
      </c>
    </row>
    <row r="1745">
      <c r="A1745" s="3" t="s">
        <v>4077</v>
      </c>
      <c r="B1745" s="3" t="s">
        <v>4078</v>
      </c>
    </row>
    <row r="1746">
      <c r="A1746" s="3" t="s">
        <v>4079</v>
      </c>
      <c r="B1746" s="3" t="s">
        <v>4080</v>
      </c>
    </row>
    <row r="1747">
      <c r="A1747" s="3" t="s">
        <v>4081</v>
      </c>
      <c r="B1747" s="3" t="s">
        <v>4082</v>
      </c>
    </row>
    <row r="1748">
      <c r="A1748" s="3" t="s">
        <v>4083</v>
      </c>
      <c r="B1748" s="3" t="s">
        <v>4084</v>
      </c>
    </row>
    <row r="1749">
      <c r="A1749" s="3" t="s">
        <v>4085</v>
      </c>
      <c r="B1749" s="3" t="s">
        <v>4086</v>
      </c>
    </row>
    <row r="1750">
      <c r="A1750" s="3" t="s">
        <v>4087</v>
      </c>
      <c r="B1750" s="3" t="s">
        <v>4088</v>
      </c>
    </row>
    <row r="1751">
      <c r="A1751" s="3" t="s">
        <v>4089</v>
      </c>
      <c r="B1751" s="3" t="s">
        <v>4090</v>
      </c>
    </row>
    <row r="1752">
      <c r="A1752" s="3" t="s">
        <v>4091</v>
      </c>
      <c r="B1752" s="3" t="s">
        <v>4092</v>
      </c>
    </row>
    <row r="1753">
      <c r="A1753" s="3" t="s">
        <v>4093</v>
      </c>
      <c r="B1753" s="3" t="s">
        <v>4094</v>
      </c>
    </row>
    <row r="1754">
      <c r="A1754" s="3" t="s">
        <v>4095</v>
      </c>
      <c r="B1754" s="3" t="s">
        <v>4096</v>
      </c>
    </row>
    <row r="1755">
      <c r="A1755" s="3" t="s">
        <v>4097</v>
      </c>
      <c r="B1755" s="3" t="s">
        <v>4098</v>
      </c>
    </row>
    <row r="1756">
      <c r="A1756" s="3" t="s">
        <v>4099</v>
      </c>
      <c r="B1756" s="3" t="s">
        <v>4100</v>
      </c>
    </row>
    <row r="1757">
      <c r="A1757" s="3" t="s">
        <v>4101</v>
      </c>
      <c r="B1757" s="3" t="s">
        <v>4102</v>
      </c>
    </row>
    <row r="1758">
      <c r="A1758" s="3" t="s">
        <v>4103</v>
      </c>
      <c r="B1758" s="3" t="s">
        <v>4104</v>
      </c>
    </row>
    <row r="1759">
      <c r="A1759" s="3" t="s">
        <v>4105</v>
      </c>
      <c r="B1759" s="3" t="s">
        <v>4106</v>
      </c>
    </row>
    <row r="1760">
      <c r="A1760" s="3" t="s">
        <v>4107</v>
      </c>
      <c r="B1760" s="3" t="s">
        <v>4108</v>
      </c>
    </row>
    <row r="1761">
      <c r="A1761" s="3" t="s">
        <v>4109</v>
      </c>
      <c r="B1761" s="3" t="s">
        <v>4110</v>
      </c>
    </row>
    <row r="1762">
      <c r="A1762" s="3" t="s">
        <v>4111</v>
      </c>
      <c r="B1762" s="3" t="s">
        <v>4112</v>
      </c>
    </row>
    <row r="1763">
      <c r="A1763" s="3" t="s">
        <v>4113</v>
      </c>
      <c r="B1763" s="3" t="s">
        <v>4114</v>
      </c>
    </row>
    <row r="1764">
      <c r="A1764" s="3" t="s">
        <v>4115</v>
      </c>
      <c r="B1764" s="3" t="s">
        <v>4116</v>
      </c>
    </row>
    <row r="1765">
      <c r="A1765" s="3" t="s">
        <v>4117</v>
      </c>
      <c r="B1765" s="3" t="s">
        <v>4118</v>
      </c>
    </row>
    <row r="1766">
      <c r="A1766" s="3" t="s">
        <v>4119</v>
      </c>
      <c r="B1766" s="3" t="s">
        <v>4120</v>
      </c>
    </row>
    <row r="1767">
      <c r="A1767" s="3" t="s">
        <v>4121</v>
      </c>
      <c r="B1767" s="3" t="s">
        <v>4122</v>
      </c>
    </row>
    <row r="1768">
      <c r="A1768" s="3" t="s">
        <v>4123</v>
      </c>
      <c r="B1768" s="3" t="s">
        <v>4124</v>
      </c>
    </row>
    <row r="1769">
      <c r="A1769" s="3" t="s">
        <v>4125</v>
      </c>
      <c r="B1769" s="3" t="s">
        <v>4126</v>
      </c>
    </row>
    <row r="1770">
      <c r="A1770" s="3" t="s">
        <v>4127</v>
      </c>
      <c r="B1770" s="3" t="s">
        <v>4128</v>
      </c>
    </row>
    <row r="1771">
      <c r="A1771" s="3" t="s">
        <v>4129</v>
      </c>
      <c r="B1771" s="3" t="s">
        <v>4130</v>
      </c>
    </row>
    <row r="1772">
      <c r="A1772" s="3" t="s">
        <v>4131</v>
      </c>
      <c r="B1772" s="3" t="s">
        <v>4132</v>
      </c>
    </row>
    <row r="1773">
      <c r="A1773" s="3" t="s">
        <v>4133</v>
      </c>
      <c r="B1773" s="3" t="s">
        <v>4134</v>
      </c>
    </row>
    <row r="1774">
      <c r="A1774" s="3" t="s">
        <v>4135</v>
      </c>
      <c r="B1774" s="3" t="s">
        <v>4136</v>
      </c>
    </row>
    <row r="1775">
      <c r="A1775" s="3" t="s">
        <v>4137</v>
      </c>
      <c r="B1775" s="3" t="s">
        <v>4138</v>
      </c>
    </row>
    <row r="1776">
      <c r="A1776" s="3" t="s">
        <v>4139</v>
      </c>
      <c r="B1776" s="3" t="s">
        <v>4140</v>
      </c>
    </row>
    <row r="1777">
      <c r="A1777" s="3" t="s">
        <v>4141</v>
      </c>
      <c r="B1777" s="3" t="s">
        <v>4142</v>
      </c>
    </row>
    <row r="1778">
      <c r="A1778" s="3" t="s">
        <v>4143</v>
      </c>
      <c r="B1778" s="3" t="s">
        <v>4144</v>
      </c>
    </row>
    <row r="1779">
      <c r="A1779" s="3" t="s">
        <v>4145</v>
      </c>
      <c r="B1779" s="3" t="s">
        <v>4146</v>
      </c>
    </row>
    <row r="1780">
      <c r="A1780" s="3" t="s">
        <v>4147</v>
      </c>
      <c r="B1780" s="3" t="s">
        <v>4148</v>
      </c>
    </row>
    <row r="1781">
      <c r="A1781" s="3" t="s">
        <v>4149</v>
      </c>
      <c r="B1781" s="3" t="s">
        <v>4150</v>
      </c>
    </row>
    <row r="1782">
      <c r="A1782" s="3" t="s">
        <v>4151</v>
      </c>
      <c r="B1782" s="3" t="s">
        <v>4152</v>
      </c>
    </row>
    <row r="1783">
      <c r="A1783" s="3" t="s">
        <v>4153</v>
      </c>
      <c r="B1783" s="3" t="s">
        <v>4154</v>
      </c>
    </row>
    <row r="1784">
      <c r="A1784" s="3" t="s">
        <v>4155</v>
      </c>
      <c r="B1784" s="3" t="s">
        <v>4156</v>
      </c>
    </row>
    <row r="1785">
      <c r="A1785" s="3" t="s">
        <v>4157</v>
      </c>
      <c r="B1785" s="3" t="s">
        <v>4158</v>
      </c>
    </row>
    <row r="1786">
      <c r="A1786" s="3" t="s">
        <v>4159</v>
      </c>
      <c r="B1786" s="3" t="s">
        <v>4160</v>
      </c>
    </row>
    <row r="1787">
      <c r="A1787" s="3" t="s">
        <v>4161</v>
      </c>
      <c r="B1787" s="3" t="s">
        <v>4162</v>
      </c>
    </row>
    <row r="1788">
      <c r="A1788" s="3" t="s">
        <v>4163</v>
      </c>
      <c r="B1788" s="3" t="s">
        <v>4164</v>
      </c>
    </row>
    <row r="1789">
      <c r="A1789" s="3" t="s">
        <v>4165</v>
      </c>
      <c r="B1789" s="3" t="s">
        <v>4166</v>
      </c>
    </row>
    <row r="1790">
      <c r="A1790" s="3" t="s">
        <v>4167</v>
      </c>
      <c r="B1790" s="3" t="s">
        <v>4168</v>
      </c>
    </row>
    <row r="1791">
      <c r="A1791" s="3" t="s">
        <v>4169</v>
      </c>
      <c r="B1791" s="3" t="s">
        <v>4170</v>
      </c>
    </row>
    <row r="1792">
      <c r="A1792" s="3" t="s">
        <v>4171</v>
      </c>
      <c r="B1792" s="3" t="s">
        <v>388</v>
      </c>
    </row>
    <row r="1793">
      <c r="A1793" s="3" t="s">
        <v>4172</v>
      </c>
      <c r="B1793" s="3" t="s">
        <v>4173</v>
      </c>
    </row>
    <row r="1794">
      <c r="A1794" s="3" t="s">
        <v>4174</v>
      </c>
      <c r="B1794" s="3" t="s">
        <v>4175</v>
      </c>
    </row>
    <row r="1795">
      <c r="A1795" s="3" t="s">
        <v>4176</v>
      </c>
      <c r="B1795" s="3" t="s">
        <v>4177</v>
      </c>
    </row>
    <row r="1796">
      <c r="A1796" s="3" t="s">
        <v>4178</v>
      </c>
      <c r="B1796" s="3" t="s">
        <v>4179</v>
      </c>
    </row>
    <row r="1797">
      <c r="A1797" s="3" t="s">
        <v>4180</v>
      </c>
      <c r="B1797" s="3" t="s">
        <v>4181</v>
      </c>
    </row>
    <row r="1798">
      <c r="A1798" s="3" t="s">
        <v>4182</v>
      </c>
      <c r="B1798" s="3" t="s">
        <v>4183</v>
      </c>
    </row>
    <row r="1799">
      <c r="A1799" s="3" t="s">
        <v>4184</v>
      </c>
      <c r="B1799" s="3" t="s">
        <v>4185</v>
      </c>
    </row>
    <row r="1800">
      <c r="A1800" s="3" t="s">
        <v>4186</v>
      </c>
      <c r="B1800" s="3" t="s">
        <v>4187</v>
      </c>
    </row>
    <row r="1801">
      <c r="A1801" s="3" t="s">
        <v>4188</v>
      </c>
      <c r="B1801" s="3" t="s">
        <v>4189</v>
      </c>
    </row>
    <row r="1802">
      <c r="A1802" s="3" t="s">
        <v>4190</v>
      </c>
      <c r="B1802" s="3" t="s">
        <v>4191</v>
      </c>
    </row>
    <row r="1803">
      <c r="A1803" s="3" t="s">
        <v>4192</v>
      </c>
      <c r="B1803" s="3" t="s">
        <v>4193</v>
      </c>
    </row>
    <row r="1804">
      <c r="A1804" s="3" t="s">
        <v>4194</v>
      </c>
      <c r="B1804" s="3" t="s">
        <v>4195</v>
      </c>
    </row>
    <row r="1805">
      <c r="A1805" s="3" t="s">
        <v>4196</v>
      </c>
      <c r="B1805" s="3" t="s">
        <v>4197</v>
      </c>
    </row>
    <row r="1806">
      <c r="A1806" s="3" t="s">
        <v>4198</v>
      </c>
      <c r="B1806" s="3" t="s">
        <v>273</v>
      </c>
    </row>
    <row r="1807">
      <c r="A1807" s="3" t="s">
        <v>4199</v>
      </c>
      <c r="B1807" s="3" t="s">
        <v>4200</v>
      </c>
    </row>
    <row r="1808">
      <c r="A1808" s="3" t="s">
        <v>4201</v>
      </c>
      <c r="B1808" s="3" t="s">
        <v>4202</v>
      </c>
    </row>
    <row r="1809">
      <c r="A1809" s="3" t="s">
        <v>4203</v>
      </c>
      <c r="B1809" s="3" t="s">
        <v>4204</v>
      </c>
    </row>
    <row r="1810">
      <c r="A1810" s="3" t="s">
        <v>4205</v>
      </c>
      <c r="B1810" s="3" t="s">
        <v>4206</v>
      </c>
    </row>
    <row r="1811">
      <c r="A1811" s="3" t="s">
        <v>4207</v>
      </c>
      <c r="B1811" s="3" t="s">
        <v>4208</v>
      </c>
    </row>
    <row r="1812">
      <c r="A1812" s="3" t="s">
        <v>4209</v>
      </c>
      <c r="B1812" s="3" t="s">
        <v>4210</v>
      </c>
    </row>
    <row r="1813">
      <c r="A1813" s="3" t="s">
        <v>4211</v>
      </c>
      <c r="B1813" s="3" t="s">
        <v>4212</v>
      </c>
    </row>
    <row r="1814">
      <c r="A1814" s="3" t="s">
        <v>4213</v>
      </c>
      <c r="B1814" s="3" t="s">
        <v>4214</v>
      </c>
    </row>
    <row r="1815">
      <c r="A1815" s="3" t="s">
        <v>4215</v>
      </c>
      <c r="B1815" s="3" t="s">
        <v>4216</v>
      </c>
    </row>
    <row r="1816">
      <c r="A1816" s="3" t="s">
        <v>4217</v>
      </c>
      <c r="B1816" s="3" t="s">
        <v>4218</v>
      </c>
    </row>
    <row r="1817">
      <c r="A1817" s="3" t="s">
        <v>4219</v>
      </c>
      <c r="B1817" s="3" t="s">
        <v>4220</v>
      </c>
    </row>
    <row r="1818">
      <c r="A1818" s="3" t="s">
        <v>4221</v>
      </c>
      <c r="B1818" s="3" t="s">
        <v>4222</v>
      </c>
    </row>
    <row r="1819">
      <c r="A1819" s="3" t="s">
        <v>4223</v>
      </c>
      <c r="B1819" s="3" t="s">
        <v>4224</v>
      </c>
    </row>
    <row r="1820">
      <c r="A1820" s="3" t="s">
        <v>4225</v>
      </c>
      <c r="B1820" s="3" t="s">
        <v>4226</v>
      </c>
    </row>
    <row r="1821">
      <c r="A1821" s="3" t="s">
        <v>4227</v>
      </c>
      <c r="B1821" s="3" t="s">
        <v>4228</v>
      </c>
    </row>
    <row r="1822">
      <c r="A1822" s="3" t="s">
        <v>4229</v>
      </c>
      <c r="B1822" s="3" t="s">
        <v>4230</v>
      </c>
    </row>
    <row r="1823">
      <c r="A1823" s="3" t="s">
        <v>4231</v>
      </c>
      <c r="B1823" s="3" t="s">
        <v>4232</v>
      </c>
    </row>
    <row r="1824">
      <c r="A1824" s="3" t="s">
        <v>4233</v>
      </c>
      <c r="B1824" s="3" t="s">
        <v>4234</v>
      </c>
    </row>
    <row r="1825">
      <c r="A1825" s="3" t="s">
        <v>4235</v>
      </c>
      <c r="B1825" s="3" t="s">
        <v>4236</v>
      </c>
    </row>
    <row r="1826">
      <c r="A1826" s="3" t="s">
        <v>4237</v>
      </c>
      <c r="B1826" s="3" t="s">
        <v>4238</v>
      </c>
    </row>
    <row r="1827">
      <c r="A1827" s="3" t="s">
        <v>4239</v>
      </c>
      <c r="B1827" s="3" t="s">
        <v>4240</v>
      </c>
    </row>
    <row r="1828">
      <c r="A1828" s="3" t="s">
        <v>4241</v>
      </c>
      <c r="B1828" s="3" t="s">
        <v>4242</v>
      </c>
    </row>
    <row r="1829">
      <c r="A1829" s="3" t="s">
        <v>4243</v>
      </c>
      <c r="B1829" s="3" t="s">
        <v>4244</v>
      </c>
    </row>
    <row r="1830">
      <c r="A1830" s="3" t="s">
        <v>4245</v>
      </c>
      <c r="B1830" s="3" t="s">
        <v>4246</v>
      </c>
    </row>
    <row r="1831">
      <c r="A1831" s="3" t="s">
        <v>4247</v>
      </c>
      <c r="B1831" s="3" t="s">
        <v>4248</v>
      </c>
    </row>
    <row r="1832">
      <c r="A1832" s="3" t="s">
        <v>4249</v>
      </c>
      <c r="B1832" s="3" t="s">
        <v>4250</v>
      </c>
    </row>
    <row r="1833">
      <c r="A1833" s="3" t="s">
        <v>4251</v>
      </c>
      <c r="B1833" s="3" t="s">
        <v>4252</v>
      </c>
    </row>
    <row r="1834">
      <c r="A1834" s="3" t="s">
        <v>4253</v>
      </c>
      <c r="B1834" s="3" t="s">
        <v>4254</v>
      </c>
    </row>
    <row r="1835">
      <c r="A1835" s="3" t="s">
        <v>4255</v>
      </c>
      <c r="B1835" s="3" t="s">
        <v>4256</v>
      </c>
    </row>
    <row r="1836">
      <c r="A1836" s="3" t="s">
        <v>4257</v>
      </c>
      <c r="B1836" s="3" t="s">
        <v>4258</v>
      </c>
    </row>
    <row r="1837">
      <c r="A1837" s="3" t="s">
        <v>4259</v>
      </c>
      <c r="B1837" s="3" t="s">
        <v>4260</v>
      </c>
    </row>
    <row r="1838">
      <c r="A1838" s="3" t="s">
        <v>4261</v>
      </c>
      <c r="B1838" s="3" t="s">
        <v>4262</v>
      </c>
    </row>
    <row r="1839">
      <c r="A1839" s="3" t="s">
        <v>4263</v>
      </c>
      <c r="B1839" s="3" t="s">
        <v>4264</v>
      </c>
    </row>
    <row r="1840">
      <c r="A1840" s="3" t="s">
        <v>4265</v>
      </c>
      <c r="B1840" s="3" t="s">
        <v>4266</v>
      </c>
    </row>
    <row r="1841">
      <c r="A1841" s="3" t="s">
        <v>4267</v>
      </c>
      <c r="B1841" s="3" t="s">
        <v>4268</v>
      </c>
    </row>
    <row r="1842">
      <c r="A1842" s="3" t="s">
        <v>4269</v>
      </c>
      <c r="B1842" s="3" t="s">
        <v>4270</v>
      </c>
    </row>
    <row r="1843">
      <c r="A1843" s="3" t="s">
        <v>4271</v>
      </c>
      <c r="B1843" s="3" t="s">
        <v>4272</v>
      </c>
    </row>
    <row r="1844">
      <c r="A1844" s="3" t="s">
        <v>4273</v>
      </c>
      <c r="B1844" s="3" t="s">
        <v>4274</v>
      </c>
    </row>
    <row r="1845">
      <c r="A1845" s="3" t="s">
        <v>4275</v>
      </c>
      <c r="B1845" s="3" t="s">
        <v>4276</v>
      </c>
    </row>
    <row r="1846">
      <c r="A1846" s="3" t="s">
        <v>4277</v>
      </c>
      <c r="B1846" s="3" t="s">
        <v>4278</v>
      </c>
    </row>
    <row r="1847">
      <c r="A1847" s="3" t="s">
        <v>4279</v>
      </c>
      <c r="B1847" s="3" t="s">
        <v>4280</v>
      </c>
    </row>
    <row r="1848">
      <c r="A1848" s="3" t="s">
        <v>4281</v>
      </c>
      <c r="B1848" s="3" t="s">
        <v>4282</v>
      </c>
    </row>
    <row r="1849">
      <c r="A1849" s="3" t="s">
        <v>4283</v>
      </c>
      <c r="B1849" s="3" t="s">
        <v>4284</v>
      </c>
    </row>
    <row r="1850">
      <c r="A1850" s="3" t="s">
        <v>4285</v>
      </c>
      <c r="B1850" s="3" t="s">
        <v>4286</v>
      </c>
    </row>
    <row r="1851">
      <c r="A1851" s="3" t="s">
        <v>4287</v>
      </c>
      <c r="B1851" s="3" t="s">
        <v>4288</v>
      </c>
    </row>
    <row r="1852">
      <c r="A1852" s="3" t="s">
        <v>4289</v>
      </c>
      <c r="B1852" s="3" t="s">
        <v>4290</v>
      </c>
    </row>
    <row r="1853">
      <c r="A1853" s="3" t="s">
        <v>4291</v>
      </c>
      <c r="B1853" s="3" t="s">
        <v>4292</v>
      </c>
    </row>
    <row r="1854">
      <c r="A1854" s="3" t="s">
        <v>4293</v>
      </c>
      <c r="B1854" s="3" t="s">
        <v>4294</v>
      </c>
    </row>
    <row r="1855">
      <c r="A1855" s="3" t="s">
        <v>4295</v>
      </c>
      <c r="B1855" s="3" t="s">
        <v>4296</v>
      </c>
    </row>
    <row r="1856">
      <c r="A1856" s="3" t="s">
        <v>4297</v>
      </c>
      <c r="B1856" s="3" t="s">
        <v>4298</v>
      </c>
    </row>
    <row r="1857">
      <c r="A1857" s="3" t="s">
        <v>4299</v>
      </c>
      <c r="B1857" s="3" t="s">
        <v>4300</v>
      </c>
    </row>
    <row r="1858">
      <c r="A1858" s="3" t="s">
        <v>4301</v>
      </c>
      <c r="B1858" s="3" t="s">
        <v>4302</v>
      </c>
    </row>
    <row r="1859">
      <c r="A1859" s="3" t="s">
        <v>4303</v>
      </c>
      <c r="B1859" s="3" t="s">
        <v>4304</v>
      </c>
    </row>
    <row r="1860">
      <c r="A1860" s="3" t="s">
        <v>4305</v>
      </c>
      <c r="B1860" s="3" t="s">
        <v>4306</v>
      </c>
    </row>
    <row r="1861">
      <c r="A1861" s="3" t="s">
        <v>4307</v>
      </c>
      <c r="B1861" s="3" t="s">
        <v>4308</v>
      </c>
    </row>
    <row r="1862">
      <c r="A1862" s="3" t="s">
        <v>4309</v>
      </c>
      <c r="B1862" s="3" t="s">
        <v>4310</v>
      </c>
    </row>
    <row r="1863">
      <c r="A1863" s="3" t="s">
        <v>4311</v>
      </c>
      <c r="B1863" s="3" t="s">
        <v>4312</v>
      </c>
    </row>
    <row r="1864">
      <c r="A1864" s="3" t="s">
        <v>4313</v>
      </c>
      <c r="B1864" s="3" t="s">
        <v>4314</v>
      </c>
    </row>
    <row r="1865">
      <c r="A1865" s="3" t="s">
        <v>4315</v>
      </c>
      <c r="B1865" s="3" t="s">
        <v>4316</v>
      </c>
    </row>
    <row r="1866">
      <c r="A1866" s="3" t="s">
        <v>4317</v>
      </c>
      <c r="B1866" s="3" t="s">
        <v>4318</v>
      </c>
    </row>
    <row r="1867">
      <c r="A1867" s="3" t="s">
        <v>4319</v>
      </c>
      <c r="B1867" s="3" t="s">
        <v>4320</v>
      </c>
    </row>
    <row r="1868">
      <c r="A1868" s="3" t="s">
        <v>4321</v>
      </c>
      <c r="B1868" s="3" t="s">
        <v>4322</v>
      </c>
    </row>
    <row r="1869">
      <c r="A1869" s="3" t="s">
        <v>4323</v>
      </c>
      <c r="B1869" s="3" t="s">
        <v>4324</v>
      </c>
    </row>
    <row r="1870">
      <c r="A1870" s="3" t="s">
        <v>4325</v>
      </c>
      <c r="B1870" s="3" t="s">
        <v>4326</v>
      </c>
    </row>
    <row r="1871">
      <c r="A1871" s="3" t="s">
        <v>4327</v>
      </c>
      <c r="B1871" s="3" t="s">
        <v>4328</v>
      </c>
    </row>
    <row r="1872">
      <c r="A1872" s="3" t="s">
        <v>4329</v>
      </c>
      <c r="B1872" s="3" t="s">
        <v>4330</v>
      </c>
    </row>
    <row r="1873">
      <c r="A1873" s="3" t="s">
        <v>4331</v>
      </c>
      <c r="B1873" s="3" t="s">
        <v>4332</v>
      </c>
    </row>
    <row r="1874">
      <c r="A1874" s="3" t="s">
        <v>4333</v>
      </c>
      <c r="B1874" s="3" t="s">
        <v>4334</v>
      </c>
    </row>
    <row r="1875">
      <c r="A1875" s="3" t="s">
        <v>4335</v>
      </c>
      <c r="B1875" s="3" t="s">
        <v>4336</v>
      </c>
    </row>
    <row r="1876">
      <c r="A1876" s="3" t="s">
        <v>4337</v>
      </c>
      <c r="B1876" s="3" t="s">
        <v>4338</v>
      </c>
    </row>
    <row r="1877">
      <c r="A1877" s="3" t="s">
        <v>4339</v>
      </c>
      <c r="B1877" s="3" t="s">
        <v>4340</v>
      </c>
    </row>
    <row r="1878">
      <c r="A1878" s="3" t="s">
        <v>4341</v>
      </c>
      <c r="B1878" s="3" t="s">
        <v>4342</v>
      </c>
    </row>
    <row r="1879">
      <c r="A1879" s="3" t="s">
        <v>4343</v>
      </c>
      <c r="B1879" s="3" t="s">
        <v>4344</v>
      </c>
    </row>
    <row r="1880">
      <c r="A1880" s="3" t="s">
        <v>4345</v>
      </c>
      <c r="B1880" s="3" t="s">
        <v>4346</v>
      </c>
    </row>
    <row r="1881">
      <c r="A1881" s="3" t="s">
        <v>4347</v>
      </c>
      <c r="B1881" s="3" t="s">
        <v>4348</v>
      </c>
    </row>
    <row r="1882">
      <c r="A1882" s="3" t="s">
        <v>4349</v>
      </c>
      <c r="B1882" s="3" t="s">
        <v>4350</v>
      </c>
    </row>
    <row r="1883">
      <c r="A1883" s="3" t="s">
        <v>4351</v>
      </c>
      <c r="B1883" s="3" t="s">
        <v>4352</v>
      </c>
    </row>
    <row r="1884">
      <c r="A1884" s="3" t="s">
        <v>4353</v>
      </c>
      <c r="B1884" s="3" t="s">
        <v>4354</v>
      </c>
    </row>
    <row r="1885">
      <c r="A1885" s="3" t="s">
        <v>4355</v>
      </c>
      <c r="B1885" s="3" t="s">
        <v>4356</v>
      </c>
    </row>
    <row r="1886">
      <c r="A1886" s="3" t="s">
        <v>4357</v>
      </c>
      <c r="B1886" s="3" t="s">
        <v>4358</v>
      </c>
    </row>
    <row r="1887">
      <c r="A1887" s="3" t="s">
        <v>4359</v>
      </c>
      <c r="B1887" s="3" t="s">
        <v>4360</v>
      </c>
    </row>
    <row r="1888">
      <c r="A1888" s="3" t="s">
        <v>4361</v>
      </c>
      <c r="B1888" s="3" t="s">
        <v>4362</v>
      </c>
    </row>
    <row r="1889">
      <c r="A1889" s="3" t="s">
        <v>4363</v>
      </c>
      <c r="B1889" s="3" t="s">
        <v>4364</v>
      </c>
    </row>
    <row r="1890">
      <c r="A1890" s="3" t="s">
        <v>4365</v>
      </c>
      <c r="B1890" s="3" t="s">
        <v>4366</v>
      </c>
    </row>
    <row r="1891">
      <c r="A1891" s="3" t="s">
        <v>4367</v>
      </c>
      <c r="B1891" s="3" t="s">
        <v>4368</v>
      </c>
    </row>
    <row r="1892">
      <c r="A1892" s="3" t="s">
        <v>4369</v>
      </c>
      <c r="B1892" s="3" t="s">
        <v>4370</v>
      </c>
    </row>
    <row r="1893">
      <c r="A1893" s="3" t="s">
        <v>4371</v>
      </c>
      <c r="B1893" s="3" t="s">
        <v>4372</v>
      </c>
    </row>
    <row r="1894">
      <c r="A1894" s="3" t="s">
        <v>4373</v>
      </c>
      <c r="B1894" s="3" t="s">
        <v>4374</v>
      </c>
    </row>
    <row r="1895">
      <c r="A1895" s="3" t="s">
        <v>4375</v>
      </c>
      <c r="B1895" s="3" t="s">
        <v>4376</v>
      </c>
    </row>
    <row r="1896">
      <c r="A1896" s="3" t="s">
        <v>4377</v>
      </c>
      <c r="B1896" s="3" t="s">
        <v>4378</v>
      </c>
    </row>
    <row r="1897">
      <c r="A1897" s="3" t="s">
        <v>4379</v>
      </c>
      <c r="B1897" s="3" t="s">
        <v>4380</v>
      </c>
    </row>
    <row r="1898">
      <c r="A1898" s="3" t="s">
        <v>4381</v>
      </c>
      <c r="B1898" s="3" t="s">
        <v>4382</v>
      </c>
    </row>
    <row r="1899">
      <c r="A1899" s="3" t="s">
        <v>4383</v>
      </c>
      <c r="B1899" s="3" t="s">
        <v>4384</v>
      </c>
    </row>
    <row r="1900">
      <c r="A1900" s="3" t="s">
        <v>4385</v>
      </c>
      <c r="B1900" s="3" t="s">
        <v>4386</v>
      </c>
    </row>
    <row r="1901">
      <c r="A1901" s="3" t="s">
        <v>4387</v>
      </c>
      <c r="B1901" s="3" t="s">
        <v>4388</v>
      </c>
    </row>
    <row r="1902">
      <c r="A1902" s="3" t="s">
        <v>4389</v>
      </c>
      <c r="B1902" s="3" t="s">
        <v>4390</v>
      </c>
    </row>
    <row r="1903">
      <c r="A1903" s="3" t="s">
        <v>4391</v>
      </c>
      <c r="B1903" s="3" t="s">
        <v>4392</v>
      </c>
    </row>
    <row r="1904">
      <c r="A1904" s="3" t="s">
        <v>4393</v>
      </c>
      <c r="B1904" s="3" t="s">
        <v>4394</v>
      </c>
    </row>
    <row r="1905">
      <c r="A1905" s="3" t="s">
        <v>4395</v>
      </c>
      <c r="B1905" s="3" t="s">
        <v>4396</v>
      </c>
    </row>
    <row r="1906">
      <c r="A1906" s="3" t="s">
        <v>4397</v>
      </c>
      <c r="B1906" s="3" t="s">
        <v>4398</v>
      </c>
    </row>
    <row r="1907">
      <c r="A1907" s="3" t="s">
        <v>4399</v>
      </c>
      <c r="B1907" s="3" t="s">
        <v>4400</v>
      </c>
    </row>
    <row r="1908">
      <c r="A1908" s="3" t="s">
        <v>4401</v>
      </c>
      <c r="B1908" s="3" t="s">
        <v>4402</v>
      </c>
    </row>
    <row r="1909">
      <c r="A1909" s="3" t="s">
        <v>4403</v>
      </c>
      <c r="B1909" s="3" t="s">
        <v>4404</v>
      </c>
    </row>
    <row r="1910">
      <c r="A1910" s="3" t="s">
        <v>4405</v>
      </c>
      <c r="B1910" s="3" t="s">
        <v>4406</v>
      </c>
    </row>
    <row r="1911">
      <c r="A1911" s="3" t="s">
        <v>4407</v>
      </c>
      <c r="B1911" s="3" t="s">
        <v>4408</v>
      </c>
    </row>
    <row r="1912">
      <c r="A1912" s="3" t="s">
        <v>4409</v>
      </c>
      <c r="B1912" s="3" t="s">
        <v>4410</v>
      </c>
    </row>
    <row r="1913">
      <c r="A1913" s="3" t="s">
        <v>4411</v>
      </c>
      <c r="B1913" s="3" t="s">
        <v>4412</v>
      </c>
    </row>
    <row r="1914">
      <c r="A1914" s="3" t="s">
        <v>4413</v>
      </c>
      <c r="B1914" s="3" t="s">
        <v>4414</v>
      </c>
    </row>
    <row r="1915">
      <c r="A1915" s="3" t="s">
        <v>4415</v>
      </c>
      <c r="B1915" s="3" t="s">
        <v>4416</v>
      </c>
    </row>
    <row r="1916">
      <c r="A1916" s="3" t="s">
        <v>4417</v>
      </c>
      <c r="B1916" s="3" t="s">
        <v>4418</v>
      </c>
    </row>
    <row r="1917">
      <c r="A1917" s="3" t="s">
        <v>4419</v>
      </c>
      <c r="B1917" s="3" t="s">
        <v>4420</v>
      </c>
    </row>
    <row r="1918">
      <c r="A1918" s="3" t="s">
        <v>4421</v>
      </c>
      <c r="B1918" s="3" t="s">
        <v>4422</v>
      </c>
    </row>
    <row r="1919">
      <c r="A1919" s="3" t="s">
        <v>4423</v>
      </c>
      <c r="B1919" s="3" t="s">
        <v>4424</v>
      </c>
    </row>
    <row r="1920">
      <c r="A1920" s="3" t="s">
        <v>4425</v>
      </c>
      <c r="B1920" s="3" t="s">
        <v>4426</v>
      </c>
    </row>
    <row r="1921">
      <c r="A1921" s="3" t="s">
        <v>4427</v>
      </c>
      <c r="B1921" s="3" t="s">
        <v>4428</v>
      </c>
    </row>
    <row r="1922">
      <c r="A1922" s="3" t="s">
        <v>4429</v>
      </c>
      <c r="B1922" s="3" t="s">
        <v>4430</v>
      </c>
    </row>
    <row r="1923">
      <c r="A1923" s="3" t="s">
        <v>4431</v>
      </c>
      <c r="B1923" s="3" t="s">
        <v>4432</v>
      </c>
    </row>
    <row r="1924">
      <c r="A1924" s="3" t="s">
        <v>4433</v>
      </c>
      <c r="B1924" s="3" t="s">
        <v>4434</v>
      </c>
    </row>
    <row r="1925">
      <c r="A1925" s="3" t="s">
        <v>4435</v>
      </c>
      <c r="B1925" s="3" t="s">
        <v>4436</v>
      </c>
    </row>
    <row r="1926">
      <c r="A1926" s="3" t="s">
        <v>4437</v>
      </c>
      <c r="B1926" s="3" t="s">
        <v>4438</v>
      </c>
    </row>
    <row r="1927">
      <c r="A1927" s="3" t="s">
        <v>4439</v>
      </c>
      <c r="B1927" s="3" t="s">
        <v>4440</v>
      </c>
    </row>
    <row r="1928">
      <c r="A1928" s="3" t="s">
        <v>4441</v>
      </c>
      <c r="B1928" s="3" t="s">
        <v>4442</v>
      </c>
    </row>
    <row r="1929">
      <c r="A1929" s="3" t="s">
        <v>4443</v>
      </c>
      <c r="B1929" s="3" t="s">
        <v>4444</v>
      </c>
    </row>
    <row r="1930">
      <c r="A1930" s="3" t="s">
        <v>4445</v>
      </c>
      <c r="B1930" s="3" t="s">
        <v>4446</v>
      </c>
    </row>
    <row r="1931">
      <c r="A1931" s="3" t="s">
        <v>4447</v>
      </c>
      <c r="B1931" s="3" t="s">
        <v>4448</v>
      </c>
    </row>
    <row r="1932">
      <c r="A1932" s="3" t="s">
        <v>4449</v>
      </c>
      <c r="B1932" s="3" t="s">
        <v>4450</v>
      </c>
    </row>
    <row r="1933">
      <c r="A1933" s="3" t="s">
        <v>4451</v>
      </c>
      <c r="B1933" s="3" t="s">
        <v>4452</v>
      </c>
    </row>
    <row r="1934">
      <c r="A1934" s="3" t="s">
        <v>4453</v>
      </c>
      <c r="B1934" s="3" t="s">
        <v>4454</v>
      </c>
    </row>
    <row r="1935">
      <c r="A1935" s="3" t="s">
        <v>4455</v>
      </c>
      <c r="B1935" s="3" t="s">
        <v>4456</v>
      </c>
    </row>
    <row r="1936">
      <c r="A1936" s="3" t="s">
        <v>4457</v>
      </c>
      <c r="B1936" s="3" t="s">
        <v>4458</v>
      </c>
    </row>
    <row r="1937">
      <c r="A1937" s="3" t="s">
        <v>4459</v>
      </c>
      <c r="B1937" s="3" t="s">
        <v>4460</v>
      </c>
    </row>
    <row r="1938">
      <c r="A1938" s="3" t="s">
        <v>4461</v>
      </c>
      <c r="B1938" s="3" t="s">
        <v>4462</v>
      </c>
    </row>
    <row r="1939">
      <c r="A1939" s="3" t="s">
        <v>4463</v>
      </c>
      <c r="B1939" s="3" t="s">
        <v>4464</v>
      </c>
    </row>
    <row r="1940">
      <c r="A1940" s="3" t="s">
        <v>4465</v>
      </c>
      <c r="B1940" s="3" t="s">
        <v>4466</v>
      </c>
    </row>
    <row r="1941">
      <c r="A1941" s="3" t="s">
        <v>4467</v>
      </c>
      <c r="B1941" s="3" t="s">
        <v>4468</v>
      </c>
    </row>
    <row r="1942">
      <c r="A1942" s="3" t="s">
        <v>4469</v>
      </c>
      <c r="B1942" s="3" t="s">
        <v>4470</v>
      </c>
    </row>
    <row r="1943">
      <c r="A1943" s="3" t="s">
        <v>4471</v>
      </c>
      <c r="B1943" s="3" t="s">
        <v>4472</v>
      </c>
    </row>
    <row r="1944">
      <c r="A1944" s="3" t="s">
        <v>4473</v>
      </c>
      <c r="B1944" s="3" t="s">
        <v>4474</v>
      </c>
    </row>
    <row r="1945">
      <c r="A1945" s="3" t="s">
        <v>4475</v>
      </c>
      <c r="B1945" s="3" t="s">
        <v>4476</v>
      </c>
    </row>
    <row r="1946">
      <c r="A1946" s="3" t="s">
        <v>4477</v>
      </c>
      <c r="B1946" s="3" t="s">
        <v>4478</v>
      </c>
    </row>
    <row r="1947">
      <c r="A1947" s="3" t="s">
        <v>4479</v>
      </c>
      <c r="B1947" s="3" t="s">
        <v>4480</v>
      </c>
    </row>
    <row r="1948">
      <c r="A1948" s="3" t="s">
        <v>4481</v>
      </c>
      <c r="B1948" s="3" t="s">
        <v>4482</v>
      </c>
    </row>
    <row r="1949">
      <c r="A1949" s="3" t="s">
        <v>4483</v>
      </c>
      <c r="B1949" s="3" t="s">
        <v>4484</v>
      </c>
    </row>
    <row r="1950">
      <c r="A1950" s="3" t="s">
        <v>4485</v>
      </c>
      <c r="B1950" s="3" t="s">
        <v>4486</v>
      </c>
    </row>
    <row r="1951">
      <c r="A1951" s="3" t="s">
        <v>4487</v>
      </c>
      <c r="B1951" s="3" t="s">
        <v>4488</v>
      </c>
    </row>
    <row r="1952">
      <c r="A1952" s="3" t="s">
        <v>4489</v>
      </c>
      <c r="B1952" s="3" t="s">
        <v>4490</v>
      </c>
    </row>
    <row r="1953">
      <c r="A1953" s="3" t="s">
        <v>4491</v>
      </c>
      <c r="B1953" s="3" t="s">
        <v>4492</v>
      </c>
    </row>
    <row r="1954">
      <c r="A1954" s="3" t="s">
        <v>4493</v>
      </c>
      <c r="B1954" s="3" t="s">
        <v>4494</v>
      </c>
    </row>
    <row r="1955">
      <c r="A1955" s="3" t="s">
        <v>4495</v>
      </c>
      <c r="B1955" s="3" t="s">
        <v>4496</v>
      </c>
    </row>
    <row r="1956">
      <c r="A1956" s="3" t="s">
        <v>4497</v>
      </c>
      <c r="B1956" s="3" t="s">
        <v>4498</v>
      </c>
    </row>
    <row r="1957">
      <c r="A1957" s="3" t="s">
        <v>4499</v>
      </c>
      <c r="B1957" s="3" t="s">
        <v>4500</v>
      </c>
    </row>
    <row r="1958">
      <c r="A1958" s="3" t="s">
        <v>4501</v>
      </c>
      <c r="B1958" s="3" t="s">
        <v>4502</v>
      </c>
    </row>
    <row r="1959">
      <c r="A1959" s="3" t="s">
        <v>4503</v>
      </c>
      <c r="B1959" s="3" t="s">
        <v>4504</v>
      </c>
    </row>
    <row r="1960">
      <c r="A1960" s="3" t="s">
        <v>4505</v>
      </c>
      <c r="B1960" s="3" t="s">
        <v>4506</v>
      </c>
    </row>
    <row r="1961">
      <c r="A1961" s="3" t="s">
        <v>4507</v>
      </c>
      <c r="B1961" s="3" t="s">
        <v>4508</v>
      </c>
    </row>
    <row r="1962">
      <c r="A1962" s="3" t="s">
        <v>4509</v>
      </c>
      <c r="B1962" s="3" t="s">
        <v>4510</v>
      </c>
    </row>
    <row r="1963">
      <c r="A1963" s="3" t="s">
        <v>4511</v>
      </c>
      <c r="B1963" s="3" t="s">
        <v>4512</v>
      </c>
    </row>
    <row r="1964">
      <c r="A1964" s="3" t="s">
        <v>4513</v>
      </c>
      <c r="B1964" s="3" t="s">
        <v>4514</v>
      </c>
    </row>
    <row r="1965">
      <c r="A1965" s="3" t="s">
        <v>4515</v>
      </c>
      <c r="B1965" s="3" t="s">
        <v>4516</v>
      </c>
    </row>
    <row r="1966">
      <c r="A1966" s="3" t="s">
        <v>4517</v>
      </c>
      <c r="B1966" s="3" t="s">
        <v>4518</v>
      </c>
    </row>
    <row r="1967">
      <c r="A1967" s="3" t="s">
        <v>4519</v>
      </c>
      <c r="B1967" s="3" t="s">
        <v>4520</v>
      </c>
    </row>
    <row r="1968">
      <c r="A1968" s="3" t="s">
        <v>4521</v>
      </c>
      <c r="B1968" s="3" t="s">
        <v>4522</v>
      </c>
    </row>
    <row r="1969">
      <c r="A1969" s="3" t="s">
        <v>4523</v>
      </c>
      <c r="B1969" s="3" t="s">
        <v>4524</v>
      </c>
    </row>
    <row r="1970">
      <c r="A1970" s="3" t="s">
        <v>4525</v>
      </c>
      <c r="B1970" s="3" t="s">
        <v>4526</v>
      </c>
    </row>
    <row r="1971">
      <c r="A1971" s="3" t="s">
        <v>4527</v>
      </c>
      <c r="B1971" s="3" t="s">
        <v>4528</v>
      </c>
    </row>
    <row r="1972">
      <c r="A1972" s="3" t="s">
        <v>4529</v>
      </c>
      <c r="B1972" s="3" t="s">
        <v>4530</v>
      </c>
    </row>
    <row r="1973">
      <c r="A1973" s="3" t="s">
        <v>4531</v>
      </c>
      <c r="B1973" s="3" t="s">
        <v>4532</v>
      </c>
    </row>
    <row r="1974">
      <c r="A1974" s="3" t="s">
        <v>4533</v>
      </c>
      <c r="B1974" s="3" t="s">
        <v>4534</v>
      </c>
    </row>
    <row r="1975">
      <c r="A1975" s="3" t="s">
        <v>4535</v>
      </c>
      <c r="B1975" s="3" t="s">
        <v>4536</v>
      </c>
    </row>
    <row r="1976">
      <c r="A1976" s="3" t="s">
        <v>4537</v>
      </c>
      <c r="B1976" s="3" t="s">
        <v>4538</v>
      </c>
    </row>
    <row r="1977">
      <c r="A1977" s="3" t="s">
        <v>4539</v>
      </c>
      <c r="B1977" s="3" t="s">
        <v>4540</v>
      </c>
    </row>
    <row r="1978">
      <c r="A1978" s="3" t="s">
        <v>4541</v>
      </c>
      <c r="B1978" s="3" t="s">
        <v>4542</v>
      </c>
    </row>
    <row r="1979">
      <c r="A1979" s="3" t="s">
        <v>4543</v>
      </c>
      <c r="B1979" s="3" t="s">
        <v>4544</v>
      </c>
    </row>
    <row r="1980">
      <c r="A1980" s="3" t="s">
        <v>4545</v>
      </c>
      <c r="B1980" s="3" t="s">
        <v>4546</v>
      </c>
    </row>
    <row r="1981">
      <c r="A1981" s="3" t="s">
        <v>4547</v>
      </c>
      <c r="B1981" s="3" t="s">
        <v>4548</v>
      </c>
    </row>
    <row r="1982">
      <c r="A1982" s="3" t="s">
        <v>4549</v>
      </c>
      <c r="B1982" s="3" t="s">
        <v>4550</v>
      </c>
    </row>
    <row r="1983">
      <c r="A1983" s="3" t="s">
        <v>4551</v>
      </c>
      <c r="B1983" s="3" t="s">
        <v>4552</v>
      </c>
    </row>
    <row r="1984">
      <c r="A1984" s="3" t="s">
        <v>4553</v>
      </c>
      <c r="B1984" s="3" t="s">
        <v>4554</v>
      </c>
    </row>
    <row r="1985">
      <c r="A1985" s="3" t="s">
        <v>4555</v>
      </c>
      <c r="B1985" s="3" t="s">
        <v>4556</v>
      </c>
    </row>
    <row r="1986">
      <c r="A1986" s="3" t="s">
        <v>4557</v>
      </c>
      <c r="B1986" s="3" t="s">
        <v>4558</v>
      </c>
    </row>
    <row r="1987">
      <c r="A1987" s="3" t="s">
        <v>4559</v>
      </c>
      <c r="B1987" s="3" t="s">
        <v>4560</v>
      </c>
    </row>
    <row r="1988">
      <c r="A1988" s="3" t="s">
        <v>4561</v>
      </c>
      <c r="B1988" s="3" t="s">
        <v>4562</v>
      </c>
    </row>
    <row r="1989">
      <c r="A1989" s="3" t="s">
        <v>4563</v>
      </c>
      <c r="B1989" s="3" t="s">
        <v>4564</v>
      </c>
    </row>
    <row r="1990">
      <c r="A1990" s="3" t="s">
        <v>4565</v>
      </c>
      <c r="B1990" s="3" t="s">
        <v>4566</v>
      </c>
    </row>
    <row r="1991">
      <c r="A1991" s="3" t="s">
        <v>4567</v>
      </c>
      <c r="B1991" s="3" t="s">
        <v>4568</v>
      </c>
    </row>
    <row r="1992">
      <c r="A1992" s="3" t="s">
        <v>4569</v>
      </c>
      <c r="B1992" s="3" t="s">
        <v>4570</v>
      </c>
    </row>
    <row r="1993">
      <c r="A1993" s="3" t="s">
        <v>4571</v>
      </c>
      <c r="B1993" s="3" t="s">
        <v>4572</v>
      </c>
    </row>
    <row r="1994">
      <c r="A1994" s="3" t="s">
        <v>4573</v>
      </c>
      <c r="B1994" s="3" t="s">
        <v>4574</v>
      </c>
    </row>
    <row r="1995">
      <c r="A1995" s="3" t="s">
        <v>4575</v>
      </c>
      <c r="B1995" s="3" t="s">
        <v>4576</v>
      </c>
    </row>
    <row r="1996">
      <c r="A1996" s="3" t="s">
        <v>4577</v>
      </c>
      <c r="B1996" s="3" t="s">
        <v>4578</v>
      </c>
    </row>
    <row r="1997">
      <c r="A1997" s="3" t="s">
        <v>4579</v>
      </c>
      <c r="B1997" s="3" t="s">
        <v>4580</v>
      </c>
    </row>
    <row r="1998">
      <c r="A1998" s="3" t="s">
        <v>4581</v>
      </c>
      <c r="B1998" s="3" t="s">
        <v>4582</v>
      </c>
    </row>
    <row r="1999">
      <c r="A1999" s="3" t="s">
        <v>4583</v>
      </c>
      <c r="B1999" s="3" t="s">
        <v>4584</v>
      </c>
    </row>
    <row r="2000">
      <c r="A2000" s="3" t="s">
        <v>4585</v>
      </c>
      <c r="B2000" s="3" t="s">
        <v>4586</v>
      </c>
    </row>
    <row r="2001">
      <c r="A2001" s="3" t="s">
        <v>4587</v>
      </c>
      <c r="B2001" s="3" t="s">
        <v>4588</v>
      </c>
    </row>
    <row r="2002">
      <c r="A2002" s="3" t="s">
        <v>4589</v>
      </c>
      <c r="B2002" s="3" t="s">
        <v>4590</v>
      </c>
    </row>
    <row r="2003">
      <c r="A2003" s="3" t="s">
        <v>4591</v>
      </c>
      <c r="B2003" s="3" t="s">
        <v>4592</v>
      </c>
    </row>
    <row r="2004">
      <c r="A2004" s="3" t="s">
        <v>4593</v>
      </c>
      <c r="B2004" s="3" t="s">
        <v>4594</v>
      </c>
    </row>
    <row r="2005">
      <c r="A2005" s="3" t="s">
        <v>4595</v>
      </c>
      <c r="B2005" s="3" t="s">
        <v>4596</v>
      </c>
    </row>
    <row r="2006">
      <c r="A2006" s="3" t="s">
        <v>4597</v>
      </c>
      <c r="B2006" s="3" t="s">
        <v>4598</v>
      </c>
    </row>
    <row r="2007">
      <c r="A2007" s="3" t="s">
        <v>4599</v>
      </c>
      <c r="B2007" s="3" t="s">
        <v>4600</v>
      </c>
    </row>
    <row r="2008">
      <c r="A2008" s="3" t="s">
        <v>4601</v>
      </c>
      <c r="B2008" s="3" t="s">
        <v>4602</v>
      </c>
    </row>
    <row r="2009">
      <c r="A2009" s="3" t="s">
        <v>4603</v>
      </c>
      <c r="B2009" s="3" t="s">
        <v>4604</v>
      </c>
    </row>
    <row r="2010">
      <c r="A2010" s="3" t="s">
        <v>4605</v>
      </c>
      <c r="B2010" s="3" t="s">
        <v>4606</v>
      </c>
    </row>
    <row r="2011">
      <c r="A2011" s="3" t="s">
        <v>4607</v>
      </c>
      <c r="B2011" s="3" t="s">
        <v>4608</v>
      </c>
    </row>
    <row r="2012">
      <c r="A2012" s="3" t="s">
        <v>4609</v>
      </c>
      <c r="B2012" s="3" t="s">
        <v>4610</v>
      </c>
    </row>
    <row r="2013">
      <c r="A2013" s="3" t="s">
        <v>4611</v>
      </c>
      <c r="B2013" s="3" t="s">
        <v>4612</v>
      </c>
    </row>
    <row r="2014">
      <c r="A2014" s="3" t="s">
        <v>4613</v>
      </c>
      <c r="B2014" s="3" t="s">
        <v>4614</v>
      </c>
    </row>
    <row r="2015">
      <c r="A2015" s="3" t="s">
        <v>4615</v>
      </c>
      <c r="B2015" s="3" t="s">
        <v>4616</v>
      </c>
    </row>
    <row r="2016">
      <c r="A2016" s="3" t="s">
        <v>4617</v>
      </c>
      <c r="B2016" s="3" t="s">
        <v>4618</v>
      </c>
    </row>
    <row r="2017">
      <c r="A2017" s="3" t="s">
        <v>4619</v>
      </c>
      <c r="B2017" s="3" t="s">
        <v>4620</v>
      </c>
    </row>
    <row r="2018">
      <c r="A2018" s="3" t="s">
        <v>4621</v>
      </c>
      <c r="B2018" s="3" t="s">
        <v>4622</v>
      </c>
    </row>
    <row r="2019">
      <c r="A2019" s="3" t="s">
        <v>4623</v>
      </c>
      <c r="B2019" s="3" t="s">
        <v>4624</v>
      </c>
    </row>
    <row r="2020">
      <c r="A2020" s="3" t="s">
        <v>4625</v>
      </c>
      <c r="B2020" s="3" t="s">
        <v>4626</v>
      </c>
    </row>
    <row r="2021">
      <c r="A2021" s="3" t="s">
        <v>4627</v>
      </c>
      <c r="B2021" s="3" t="s">
        <v>4628</v>
      </c>
    </row>
    <row r="2022">
      <c r="A2022" s="3" t="s">
        <v>4629</v>
      </c>
      <c r="B2022" s="3" t="s">
        <v>4630</v>
      </c>
    </row>
    <row r="2023">
      <c r="A2023" s="3" t="s">
        <v>4631</v>
      </c>
      <c r="B2023" s="3" t="s">
        <v>4632</v>
      </c>
    </row>
    <row r="2024">
      <c r="A2024" s="3" t="s">
        <v>4633</v>
      </c>
      <c r="B2024" s="3" t="s">
        <v>4634</v>
      </c>
    </row>
    <row r="2025">
      <c r="A2025" s="3" t="s">
        <v>4635</v>
      </c>
      <c r="B2025" s="3" t="s">
        <v>4636</v>
      </c>
    </row>
    <row r="2026">
      <c r="A2026" s="3" t="s">
        <v>4637</v>
      </c>
      <c r="B2026" s="3" t="s">
        <v>4638</v>
      </c>
    </row>
    <row r="2027">
      <c r="A2027" s="3" t="s">
        <v>4639</v>
      </c>
      <c r="B2027" s="3" t="s">
        <v>4640</v>
      </c>
    </row>
    <row r="2028">
      <c r="A2028" s="3" t="s">
        <v>4641</v>
      </c>
      <c r="B2028" s="3" t="s">
        <v>4642</v>
      </c>
    </row>
    <row r="2029">
      <c r="A2029" s="3" t="s">
        <v>4643</v>
      </c>
      <c r="B2029" s="3" t="s">
        <v>4644</v>
      </c>
    </row>
    <row r="2030">
      <c r="A2030" s="3" t="s">
        <v>4645</v>
      </c>
      <c r="B2030" s="3" t="s">
        <v>4646</v>
      </c>
    </row>
    <row r="2031">
      <c r="A2031" s="3" t="s">
        <v>4647</v>
      </c>
      <c r="B2031" s="3" t="s">
        <v>4648</v>
      </c>
    </row>
    <row r="2032">
      <c r="A2032" s="3" t="s">
        <v>4649</v>
      </c>
      <c r="B2032" s="3" t="s">
        <v>4650</v>
      </c>
    </row>
    <row r="2033">
      <c r="A2033" s="3" t="s">
        <v>4651</v>
      </c>
      <c r="B2033" s="3" t="s">
        <v>4652</v>
      </c>
    </row>
    <row r="2034">
      <c r="A2034" s="3" t="s">
        <v>4653</v>
      </c>
      <c r="B2034" s="3" t="s">
        <v>4654</v>
      </c>
    </row>
    <row r="2035">
      <c r="A2035" s="3" t="s">
        <v>4655</v>
      </c>
      <c r="B2035" s="3" t="s">
        <v>4656</v>
      </c>
    </row>
    <row r="2036">
      <c r="A2036" s="3" t="s">
        <v>4657</v>
      </c>
      <c r="B2036" s="3" t="s">
        <v>4658</v>
      </c>
    </row>
    <row r="2037">
      <c r="A2037" s="3" t="s">
        <v>4659</v>
      </c>
      <c r="B2037" s="3" t="s">
        <v>4660</v>
      </c>
    </row>
    <row r="2038">
      <c r="A2038" s="3" t="s">
        <v>4661</v>
      </c>
      <c r="B2038" s="3" t="s">
        <v>4662</v>
      </c>
    </row>
    <row r="2039">
      <c r="A2039" s="3" t="s">
        <v>4663</v>
      </c>
      <c r="B2039" s="3" t="s">
        <v>4664</v>
      </c>
    </row>
    <row r="2040">
      <c r="A2040" s="3" t="s">
        <v>4665</v>
      </c>
      <c r="B2040" s="3" t="s">
        <v>4666</v>
      </c>
    </row>
    <row r="2041">
      <c r="A2041" s="3" t="s">
        <v>4667</v>
      </c>
      <c r="B2041" s="3" t="s">
        <v>4668</v>
      </c>
    </row>
    <row r="2042">
      <c r="A2042" s="3" t="s">
        <v>4669</v>
      </c>
      <c r="B2042" s="3" t="s">
        <v>4670</v>
      </c>
    </row>
    <row r="2043">
      <c r="A2043" s="3" t="s">
        <v>4671</v>
      </c>
      <c r="B2043" s="3" t="s">
        <v>4672</v>
      </c>
    </row>
    <row r="2044">
      <c r="A2044" s="3" t="s">
        <v>4673</v>
      </c>
      <c r="B2044" s="3" t="s">
        <v>4674</v>
      </c>
    </row>
    <row r="2045">
      <c r="A2045" s="3" t="s">
        <v>4675</v>
      </c>
      <c r="B2045" s="3" t="s">
        <v>4676</v>
      </c>
    </row>
    <row r="2046">
      <c r="A2046" s="3" t="s">
        <v>4677</v>
      </c>
      <c r="B2046" s="3" t="s">
        <v>4678</v>
      </c>
    </row>
    <row r="2047">
      <c r="A2047" s="3" t="s">
        <v>4679</v>
      </c>
      <c r="B2047" s="3" t="s">
        <v>4680</v>
      </c>
    </row>
    <row r="2048">
      <c r="A2048" s="3" t="s">
        <v>4681</v>
      </c>
      <c r="B2048" s="3" t="s">
        <v>4682</v>
      </c>
    </row>
    <row r="2049">
      <c r="A2049" s="3" t="s">
        <v>4683</v>
      </c>
      <c r="B2049" s="3" t="s">
        <v>4684</v>
      </c>
    </row>
    <row r="2050">
      <c r="A2050" s="3" t="s">
        <v>4685</v>
      </c>
      <c r="B2050" s="3" t="s">
        <v>4686</v>
      </c>
    </row>
    <row r="2051">
      <c r="A2051" s="3" t="s">
        <v>4687</v>
      </c>
      <c r="B2051" s="3" t="s">
        <v>4688</v>
      </c>
    </row>
    <row r="2052">
      <c r="A2052" s="3" t="s">
        <v>4689</v>
      </c>
      <c r="B2052" s="3" t="s">
        <v>4690</v>
      </c>
    </row>
    <row r="2053">
      <c r="A2053" s="3" t="s">
        <v>4691</v>
      </c>
      <c r="B2053" s="3" t="s">
        <v>4692</v>
      </c>
    </row>
    <row r="2054">
      <c r="A2054" s="3" t="s">
        <v>4693</v>
      </c>
      <c r="B2054" s="3" t="s">
        <v>4694</v>
      </c>
    </row>
    <row r="2055">
      <c r="A2055" s="3" t="s">
        <v>4695</v>
      </c>
      <c r="B2055" s="3" t="s">
        <v>4696</v>
      </c>
    </row>
    <row r="2056">
      <c r="A2056" s="3" t="s">
        <v>4697</v>
      </c>
      <c r="B2056" s="3" t="s">
        <v>4698</v>
      </c>
    </row>
    <row r="2057">
      <c r="A2057" s="3" t="s">
        <v>4699</v>
      </c>
      <c r="B2057" s="3" t="s">
        <v>4700</v>
      </c>
    </row>
    <row r="2058">
      <c r="A2058" s="3" t="s">
        <v>4701</v>
      </c>
      <c r="B2058" s="3" t="s">
        <v>4702</v>
      </c>
    </row>
    <row r="2059">
      <c r="A2059" s="3" t="s">
        <v>4703</v>
      </c>
      <c r="B2059" s="3" t="s">
        <v>4704</v>
      </c>
    </row>
    <row r="2060">
      <c r="A2060" s="3" t="s">
        <v>4705</v>
      </c>
      <c r="B2060" s="3" t="s">
        <v>4706</v>
      </c>
    </row>
    <row r="2061">
      <c r="A2061" s="3" t="s">
        <v>4707</v>
      </c>
      <c r="B2061" s="3" t="s">
        <v>4708</v>
      </c>
    </row>
    <row r="2062">
      <c r="A2062" s="3" t="s">
        <v>4709</v>
      </c>
      <c r="B2062" s="3" t="s">
        <v>4710</v>
      </c>
    </row>
    <row r="2063">
      <c r="A2063" s="3" t="s">
        <v>4711</v>
      </c>
      <c r="B2063" s="3" t="s">
        <v>4712</v>
      </c>
    </row>
    <row r="2064">
      <c r="A2064" s="3" t="s">
        <v>4713</v>
      </c>
      <c r="B2064" s="3" t="s">
        <v>4714</v>
      </c>
    </row>
    <row r="2065">
      <c r="A2065" s="3" t="s">
        <v>4715</v>
      </c>
      <c r="B2065" s="3" t="s">
        <v>4716</v>
      </c>
    </row>
    <row r="2066">
      <c r="A2066" s="3" t="s">
        <v>4717</v>
      </c>
      <c r="B2066" s="3" t="s">
        <v>4718</v>
      </c>
    </row>
    <row r="2067">
      <c r="A2067" s="3" t="s">
        <v>4719</v>
      </c>
      <c r="B2067" s="3" t="s">
        <v>4720</v>
      </c>
    </row>
    <row r="2068">
      <c r="A2068" s="3" t="s">
        <v>4721</v>
      </c>
      <c r="B2068" s="3" t="s">
        <v>4722</v>
      </c>
    </row>
    <row r="2069">
      <c r="A2069" s="3" t="s">
        <v>4723</v>
      </c>
      <c r="B2069" s="3" t="s">
        <v>4724</v>
      </c>
    </row>
    <row r="2070">
      <c r="A2070" s="3" t="s">
        <v>4725</v>
      </c>
      <c r="B2070" s="3" t="s">
        <v>4726</v>
      </c>
    </row>
    <row r="2071">
      <c r="A2071" s="3" t="s">
        <v>4727</v>
      </c>
      <c r="B2071" s="3" t="s">
        <v>4728</v>
      </c>
    </row>
    <row r="2072">
      <c r="A2072" s="3" t="s">
        <v>4729</v>
      </c>
      <c r="B2072" s="3" t="s">
        <v>4730</v>
      </c>
    </row>
    <row r="2073">
      <c r="A2073" s="3" t="s">
        <v>4731</v>
      </c>
      <c r="B2073" s="3" t="s">
        <v>4732</v>
      </c>
    </row>
    <row r="2074">
      <c r="A2074" s="3" t="s">
        <v>4733</v>
      </c>
      <c r="B2074" s="3" t="s">
        <v>4734</v>
      </c>
    </row>
    <row r="2075">
      <c r="A2075" s="3" t="s">
        <v>4735</v>
      </c>
      <c r="B2075" s="3" t="s">
        <v>4736</v>
      </c>
    </row>
    <row r="2076">
      <c r="A2076" s="3" t="s">
        <v>4737</v>
      </c>
      <c r="B2076" s="3" t="s">
        <v>4738</v>
      </c>
    </row>
    <row r="2077">
      <c r="A2077" s="3" t="s">
        <v>4739</v>
      </c>
      <c r="B2077" s="3" t="s">
        <v>4740</v>
      </c>
    </row>
    <row r="2078">
      <c r="A2078" s="3" t="s">
        <v>4741</v>
      </c>
      <c r="B2078" s="3" t="s">
        <v>4742</v>
      </c>
    </row>
    <row r="2079">
      <c r="A2079" s="3" t="s">
        <v>4743</v>
      </c>
      <c r="B2079" s="3" t="s">
        <v>4744</v>
      </c>
    </row>
    <row r="2080">
      <c r="A2080" s="3" t="s">
        <v>4745</v>
      </c>
      <c r="B2080" s="3" t="s">
        <v>4746</v>
      </c>
    </row>
    <row r="2081">
      <c r="A2081" s="3" t="s">
        <v>4747</v>
      </c>
      <c r="B2081" s="3" t="s">
        <v>4748</v>
      </c>
    </row>
    <row r="2082">
      <c r="A2082" s="3" t="s">
        <v>4749</v>
      </c>
      <c r="B2082" s="3" t="s">
        <v>4750</v>
      </c>
    </row>
    <row r="2083">
      <c r="A2083" s="3" t="s">
        <v>4751</v>
      </c>
      <c r="B2083" s="3" t="s">
        <v>4752</v>
      </c>
    </row>
    <row r="2084">
      <c r="A2084" s="3" t="s">
        <v>4753</v>
      </c>
      <c r="B2084" s="3" t="s">
        <v>4754</v>
      </c>
    </row>
    <row r="2085">
      <c r="A2085" s="3" t="s">
        <v>4755</v>
      </c>
      <c r="B2085" s="3" t="s">
        <v>4756</v>
      </c>
    </row>
    <row r="2086">
      <c r="A2086" s="3" t="s">
        <v>4757</v>
      </c>
      <c r="B2086" s="3" t="s">
        <v>4758</v>
      </c>
    </row>
    <row r="2087">
      <c r="A2087" s="3" t="s">
        <v>4759</v>
      </c>
      <c r="B2087" s="3" t="s">
        <v>4760</v>
      </c>
    </row>
    <row r="2088">
      <c r="A2088" s="3" t="s">
        <v>4761</v>
      </c>
      <c r="B2088" s="3" t="s">
        <v>4762</v>
      </c>
    </row>
    <row r="2089">
      <c r="A2089" s="3" t="s">
        <v>4763</v>
      </c>
      <c r="B2089" s="3" t="s">
        <v>4764</v>
      </c>
    </row>
    <row r="2090">
      <c r="A2090" s="3" t="s">
        <v>4765</v>
      </c>
      <c r="B2090" s="3" t="s">
        <v>4766</v>
      </c>
    </row>
    <row r="2091">
      <c r="A2091" s="3" t="s">
        <v>4767</v>
      </c>
      <c r="B2091" s="3" t="s">
        <v>4768</v>
      </c>
    </row>
    <row r="2092">
      <c r="A2092" s="3" t="s">
        <v>4769</v>
      </c>
      <c r="B2092" s="3" t="s">
        <v>4770</v>
      </c>
    </row>
    <row r="2093">
      <c r="A2093" s="3" t="s">
        <v>4771</v>
      </c>
      <c r="B2093" s="3" t="s">
        <v>4772</v>
      </c>
    </row>
    <row r="2094">
      <c r="A2094" s="3" t="s">
        <v>4773</v>
      </c>
      <c r="B2094" s="3" t="s">
        <v>4774</v>
      </c>
    </row>
    <row r="2095">
      <c r="A2095" s="3" t="s">
        <v>4775</v>
      </c>
      <c r="B2095" s="3" t="s">
        <v>4776</v>
      </c>
    </row>
    <row r="2096">
      <c r="A2096" s="3" t="s">
        <v>4777</v>
      </c>
      <c r="B2096" s="3" t="s">
        <v>4778</v>
      </c>
    </row>
    <row r="2097">
      <c r="A2097" s="3" t="s">
        <v>4779</v>
      </c>
      <c r="B2097" s="3" t="s">
        <v>4780</v>
      </c>
    </row>
    <row r="2098">
      <c r="A2098" s="3" t="s">
        <v>4781</v>
      </c>
      <c r="B2098" s="3" t="s">
        <v>4782</v>
      </c>
    </row>
    <row r="2099">
      <c r="A2099" s="3" t="s">
        <v>4783</v>
      </c>
      <c r="B2099" s="3" t="s">
        <v>4784</v>
      </c>
    </row>
    <row r="2100">
      <c r="A2100" s="3" t="s">
        <v>4785</v>
      </c>
      <c r="B2100" s="3" t="s">
        <v>4786</v>
      </c>
    </row>
    <row r="2101">
      <c r="A2101" s="3" t="s">
        <v>4787</v>
      </c>
      <c r="B2101" s="3" t="s">
        <v>4788</v>
      </c>
    </row>
    <row r="2102">
      <c r="A2102" s="3" t="s">
        <v>4789</v>
      </c>
      <c r="B2102" s="3" t="s">
        <v>4790</v>
      </c>
    </row>
    <row r="2103">
      <c r="A2103" s="3" t="s">
        <v>4791</v>
      </c>
      <c r="B2103" s="3" t="s">
        <v>4792</v>
      </c>
    </row>
    <row r="2104">
      <c r="A2104" s="3" t="s">
        <v>4793</v>
      </c>
      <c r="B2104" s="3" t="s">
        <v>4794</v>
      </c>
    </row>
    <row r="2105">
      <c r="A2105" s="3" t="s">
        <v>4795</v>
      </c>
      <c r="B2105" s="3" t="s">
        <v>4796</v>
      </c>
    </row>
    <row r="2106">
      <c r="A2106" s="3" t="s">
        <v>4797</v>
      </c>
      <c r="B2106" s="3" t="s">
        <v>4798</v>
      </c>
    </row>
    <row r="2107">
      <c r="A2107" s="3" t="s">
        <v>4799</v>
      </c>
      <c r="B2107" s="3" t="s">
        <v>4800</v>
      </c>
    </row>
    <row r="2108">
      <c r="A2108" s="3" t="s">
        <v>4801</v>
      </c>
      <c r="B2108" s="3" t="s">
        <v>4802</v>
      </c>
    </row>
    <row r="2109">
      <c r="A2109" s="3" t="s">
        <v>4803</v>
      </c>
      <c r="B2109" s="3" t="s">
        <v>4804</v>
      </c>
    </row>
    <row r="2110">
      <c r="A2110" s="3" t="s">
        <v>4805</v>
      </c>
      <c r="B2110" s="3" t="s">
        <v>4806</v>
      </c>
    </row>
    <row r="2111">
      <c r="A2111" s="3" t="s">
        <v>4807</v>
      </c>
      <c r="B2111" s="3" t="s">
        <v>4808</v>
      </c>
    </row>
    <row r="2112">
      <c r="A2112" s="3" t="s">
        <v>4809</v>
      </c>
      <c r="B2112" s="3" t="s">
        <v>4810</v>
      </c>
    </row>
    <row r="2113">
      <c r="A2113" s="3" t="s">
        <v>4811</v>
      </c>
      <c r="B2113" s="3" t="s">
        <v>4812</v>
      </c>
    </row>
    <row r="2114">
      <c r="A2114" s="3" t="s">
        <v>4813</v>
      </c>
      <c r="B2114" s="3" t="s">
        <v>4814</v>
      </c>
    </row>
    <row r="2115">
      <c r="A2115" s="3" t="s">
        <v>4815</v>
      </c>
      <c r="B2115" s="3" t="s">
        <v>4816</v>
      </c>
    </row>
    <row r="2116">
      <c r="A2116" s="3" t="s">
        <v>4817</v>
      </c>
      <c r="B2116" s="3" t="s">
        <v>4818</v>
      </c>
    </row>
    <row r="2117">
      <c r="A2117" s="3" t="s">
        <v>4819</v>
      </c>
      <c r="B2117" s="3" t="s">
        <v>4820</v>
      </c>
    </row>
    <row r="2118">
      <c r="A2118" s="3" t="s">
        <v>4821</v>
      </c>
      <c r="B2118" s="3" t="s">
        <v>4822</v>
      </c>
    </row>
    <row r="2119">
      <c r="A2119" s="3" t="s">
        <v>4823</v>
      </c>
      <c r="B2119" s="3" t="s">
        <v>4824</v>
      </c>
    </row>
    <row r="2120">
      <c r="A2120" s="3" t="s">
        <v>4825</v>
      </c>
      <c r="B2120" s="3" t="s">
        <v>4826</v>
      </c>
    </row>
    <row r="2121">
      <c r="A2121" s="3" t="s">
        <v>4827</v>
      </c>
      <c r="B2121" s="3" t="s">
        <v>4828</v>
      </c>
    </row>
    <row r="2122">
      <c r="A2122" s="3" t="s">
        <v>4829</v>
      </c>
      <c r="B2122" s="3" t="s">
        <v>4830</v>
      </c>
    </row>
    <row r="2123">
      <c r="A2123" s="3" t="s">
        <v>4831</v>
      </c>
      <c r="B2123" s="3" t="s">
        <v>4832</v>
      </c>
    </row>
    <row r="2124">
      <c r="A2124" s="3" t="s">
        <v>4833</v>
      </c>
      <c r="B2124" s="3" t="s">
        <v>4834</v>
      </c>
    </row>
    <row r="2125">
      <c r="A2125" s="3" t="s">
        <v>4835</v>
      </c>
      <c r="B2125" s="3" t="s">
        <v>4836</v>
      </c>
    </row>
    <row r="2126">
      <c r="A2126" s="3" t="s">
        <v>4837</v>
      </c>
      <c r="B2126" s="3" t="s">
        <v>4838</v>
      </c>
    </row>
    <row r="2127">
      <c r="A2127" s="3" t="s">
        <v>4839</v>
      </c>
      <c r="B2127" s="3" t="s">
        <v>4840</v>
      </c>
    </row>
    <row r="2128">
      <c r="A2128" s="3" t="s">
        <v>4841</v>
      </c>
      <c r="B2128" s="3" t="s">
        <v>4842</v>
      </c>
    </row>
    <row r="2129">
      <c r="A2129" s="3" t="s">
        <v>4843</v>
      </c>
      <c r="B2129" s="3" t="s">
        <v>4844</v>
      </c>
    </row>
    <row r="2130">
      <c r="A2130" s="3" t="s">
        <v>4845</v>
      </c>
      <c r="B2130" s="3" t="s">
        <v>4846</v>
      </c>
    </row>
    <row r="2131">
      <c r="A2131" s="3" t="s">
        <v>4847</v>
      </c>
      <c r="B2131" s="3" t="s">
        <v>4848</v>
      </c>
    </row>
    <row r="2132">
      <c r="A2132" s="3" t="s">
        <v>4849</v>
      </c>
      <c r="B2132" s="3" t="s">
        <v>4850</v>
      </c>
    </row>
    <row r="2133">
      <c r="A2133" s="3" t="s">
        <v>4851</v>
      </c>
      <c r="B2133" s="3" t="s">
        <v>4852</v>
      </c>
    </row>
    <row r="2134">
      <c r="A2134" s="3" t="s">
        <v>4853</v>
      </c>
      <c r="B2134" s="3" t="s">
        <v>4854</v>
      </c>
    </row>
    <row r="2135">
      <c r="A2135" s="3" t="s">
        <v>4855</v>
      </c>
      <c r="B2135" s="3" t="s">
        <v>4856</v>
      </c>
    </row>
    <row r="2136">
      <c r="A2136" s="3" t="s">
        <v>4857</v>
      </c>
      <c r="B2136" s="3" t="s">
        <v>4858</v>
      </c>
    </row>
    <row r="2137">
      <c r="A2137" s="3" t="s">
        <v>4859</v>
      </c>
      <c r="B2137" s="3" t="s">
        <v>4860</v>
      </c>
    </row>
    <row r="2138">
      <c r="A2138" s="3" t="s">
        <v>4861</v>
      </c>
      <c r="B2138" s="3" t="s">
        <v>4862</v>
      </c>
    </row>
    <row r="2139">
      <c r="A2139" s="3" t="s">
        <v>4863</v>
      </c>
      <c r="B2139" s="3" t="s">
        <v>4864</v>
      </c>
    </row>
    <row r="2140">
      <c r="A2140" s="3" t="s">
        <v>4865</v>
      </c>
      <c r="B2140" s="3" t="s">
        <v>4866</v>
      </c>
    </row>
    <row r="2141">
      <c r="A2141" s="3" t="s">
        <v>4867</v>
      </c>
      <c r="B2141" s="3" t="s">
        <v>4868</v>
      </c>
    </row>
    <row r="2142">
      <c r="A2142" s="3" t="s">
        <v>4869</v>
      </c>
      <c r="B2142" s="3" t="s">
        <v>4870</v>
      </c>
    </row>
    <row r="2143">
      <c r="A2143" s="3" t="s">
        <v>4871</v>
      </c>
      <c r="B2143" s="3" t="s">
        <v>4872</v>
      </c>
    </row>
    <row r="2144">
      <c r="A2144" s="3" t="s">
        <v>4873</v>
      </c>
      <c r="B2144" s="3" t="s">
        <v>4874</v>
      </c>
    </row>
    <row r="2145">
      <c r="A2145" s="3" t="s">
        <v>4875</v>
      </c>
      <c r="B2145" s="3" t="s">
        <v>4876</v>
      </c>
    </row>
    <row r="2146">
      <c r="A2146" s="3" t="s">
        <v>4877</v>
      </c>
      <c r="B2146" s="3" t="s">
        <v>4878</v>
      </c>
    </row>
    <row r="2147">
      <c r="A2147" s="3" t="s">
        <v>4879</v>
      </c>
      <c r="B2147" s="3" t="s">
        <v>4880</v>
      </c>
    </row>
    <row r="2148">
      <c r="A2148" s="3" t="s">
        <v>4881</v>
      </c>
      <c r="B2148" s="3" t="s">
        <v>4882</v>
      </c>
    </row>
    <row r="2149">
      <c r="A2149" s="3" t="s">
        <v>4883</v>
      </c>
      <c r="B2149" s="3" t="s">
        <v>4884</v>
      </c>
    </row>
    <row r="2150">
      <c r="A2150" s="3" t="s">
        <v>4885</v>
      </c>
      <c r="B2150" s="3" t="s">
        <v>4886</v>
      </c>
    </row>
    <row r="2151">
      <c r="A2151" s="3" t="s">
        <v>4887</v>
      </c>
      <c r="B2151" s="3" t="s">
        <v>4888</v>
      </c>
    </row>
    <row r="2152">
      <c r="A2152" s="3" t="s">
        <v>4889</v>
      </c>
      <c r="B2152" s="3" t="s">
        <v>4890</v>
      </c>
    </row>
    <row r="2153">
      <c r="A2153" s="3" t="s">
        <v>4891</v>
      </c>
      <c r="B2153" s="3" t="s">
        <v>4892</v>
      </c>
    </row>
    <row r="2154">
      <c r="A2154" s="3" t="s">
        <v>4893</v>
      </c>
      <c r="B2154" s="3" t="s">
        <v>4894</v>
      </c>
    </row>
    <row r="2155">
      <c r="A2155" s="3" t="s">
        <v>4895</v>
      </c>
      <c r="B2155" s="3" t="s">
        <v>4896</v>
      </c>
    </row>
    <row r="2156">
      <c r="A2156" s="3" t="s">
        <v>4897</v>
      </c>
      <c r="B2156" s="3" t="s">
        <v>4898</v>
      </c>
    </row>
    <row r="2157">
      <c r="A2157" s="3" t="s">
        <v>4899</v>
      </c>
      <c r="B2157" s="3" t="s">
        <v>4900</v>
      </c>
    </row>
    <row r="2158">
      <c r="A2158" s="3" t="s">
        <v>4901</v>
      </c>
      <c r="B2158" s="3" t="s">
        <v>4902</v>
      </c>
    </row>
    <row r="2159">
      <c r="A2159" s="3" t="s">
        <v>4903</v>
      </c>
      <c r="B2159" s="3" t="s">
        <v>4904</v>
      </c>
    </row>
    <row r="2160">
      <c r="A2160" s="3" t="s">
        <v>4905</v>
      </c>
      <c r="B2160" s="3" t="s">
        <v>4906</v>
      </c>
    </row>
    <row r="2161">
      <c r="A2161" s="3" t="s">
        <v>4907</v>
      </c>
      <c r="B2161" s="3" t="s">
        <v>4908</v>
      </c>
    </row>
    <row r="2162">
      <c r="A2162" s="3" t="s">
        <v>4909</v>
      </c>
      <c r="B2162" s="3" t="s">
        <v>4910</v>
      </c>
    </row>
    <row r="2163">
      <c r="A2163" s="3" t="s">
        <v>4911</v>
      </c>
      <c r="B2163" s="3" t="s">
        <v>4912</v>
      </c>
    </row>
    <row r="2164">
      <c r="A2164" s="3" t="s">
        <v>4913</v>
      </c>
      <c r="B2164" s="3" t="s">
        <v>4914</v>
      </c>
    </row>
    <row r="2165">
      <c r="A2165" s="3" t="s">
        <v>4915</v>
      </c>
      <c r="B2165" s="3" t="s">
        <v>4916</v>
      </c>
    </row>
    <row r="2166">
      <c r="A2166" s="3" t="s">
        <v>4917</v>
      </c>
      <c r="B2166" s="3" t="s">
        <v>4918</v>
      </c>
    </row>
    <row r="2167">
      <c r="A2167" s="3" t="s">
        <v>4919</v>
      </c>
      <c r="B2167" s="3" t="s">
        <v>4920</v>
      </c>
    </row>
    <row r="2168">
      <c r="A2168" s="3" t="s">
        <v>4921</v>
      </c>
      <c r="B2168" s="3" t="s">
        <v>4922</v>
      </c>
    </row>
    <row r="2169">
      <c r="A2169" s="3" t="s">
        <v>4923</v>
      </c>
      <c r="B2169" s="3" t="s">
        <v>4924</v>
      </c>
    </row>
    <row r="2170">
      <c r="A2170" s="3" t="s">
        <v>4925</v>
      </c>
      <c r="B2170" s="3" t="s">
        <v>4926</v>
      </c>
    </row>
    <row r="2171">
      <c r="A2171" s="3" t="s">
        <v>4927</v>
      </c>
      <c r="B2171" s="3" t="s">
        <v>4928</v>
      </c>
    </row>
    <row r="2172">
      <c r="A2172" s="3" t="s">
        <v>4929</v>
      </c>
      <c r="B2172" s="3" t="s">
        <v>4930</v>
      </c>
    </row>
    <row r="2173">
      <c r="A2173" s="3" t="s">
        <v>4931</v>
      </c>
      <c r="B2173" s="3" t="s">
        <v>4932</v>
      </c>
    </row>
    <row r="2174">
      <c r="A2174" s="3" t="s">
        <v>4933</v>
      </c>
      <c r="B2174" s="3" t="s">
        <v>4934</v>
      </c>
    </row>
    <row r="2175">
      <c r="A2175" s="3" t="s">
        <v>4935</v>
      </c>
      <c r="B2175" s="3" t="s">
        <v>4936</v>
      </c>
    </row>
    <row r="2176">
      <c r="A2176" s="3" t="s">
        <v>4937</v>
      </c>
      <c r="B2176" s="3" t="s">
        <v>4938</v>
      </c>
    </row>
    <row r="2177">
      <c r="A2177" s="3" t="s">
        <v>4939</v>
      </c>
      <c r="B2177" s="3" t="s">
        <v>4940</v>
      </c>
    </row>
    <row r="2178">
      <c r="A2178" s="3" t="s">
        <v>4941</v>
      </c>
      <c r="B2178" s="3" t="s">
        <v>4942</v>
      </c>
    </row>
    <row r="2179">
      <c r="A2179" s="3" t="s">
        <v>4943</v>
      </c>
      <c r="B2179" s="3" t="s">
        <v>4944</v>
      </c>
    </row>
    <row r="2180">
      <c r="A2180" s="3" t="s">
        <v>4945</v>
      </c>
      <c r="B2180" s="3" t="s">
        <v>4946</v>
      </c>
    </row>
    <row r="2181">
      <c r="A2181" s="3" t="s">
        <v>4947</v>
      </c>
      <c r="B2181" s="3" t="s">
        <v>4948</v>
      </c>
    </row>
    <row r="2182">
      <c r="A2182" s="3" t="s">
        <v>4949</v>
      </c>
      <c r="B2182" s="3" t="s">
        <v>4950</v>
      </c>
    </row>
    <row r="2183">
      <c r="A2183" s="3" t="s">
        <v>4951</v>
      </c>
      <c r="B2183" s="3" t="s">
        <v>4952</v>
      </c>
    </row>
    <row r="2184">
      <c r="A2184" s="3" t="s">
        <v>4953</v>
      </c>
      <c r="B2184" s="3" t="s">
        <v>4954</v>
      </c>
    </row>
    <row r="2185">
      <c r="A2185" s="3" t="s">
        <v>4955</v>
      </c>
      <c r="B2185" s="3" t="s">
        <v>4956</v>
      </c>
    </row>
    <row r="2186">
      <c r="A2186" s="3" t="s">
        <v>4957</v>
      </c>
      <c r="B2186" s="3" t="s">
        <v>4958</v>
      </c>
    </row>
    <row r="2187">
      <c r="A2187" s="3" t="s">
        <v>4959</v>
      </c>
      <c r="B2187" s="3" t="s">
        <v>4960</v>
      </c>
    </row>
    <row r="2188">
      <c r="A2188" s="3" t="s">
        <v>4961</v>
      </c>
      <c r="B2188" s="3" t="s">
        <v>4962</v>
      </c>
    </row>
    <row r="2189">
      <c r="A2189" s="3" t="s">
        <v>4963</v>
      </c>
      <c r="B2189" s="3" t="s">
        <v>4964</v>
      </c>
    </row>
    <row r="2190">
      <c r="A2190" s="3" t="s">
        <v>4965</v>
      </c>
      <c r="B2190" s="3" t="s">
        <v>4966</v>
      </c>
    </row>
    <row r="2191">
      <c r="A2191" s="3" t="s">
        <v>4967</v>
      </c>
      <c r="B2191" s="3" t="s">
        <v>4968</v>
      </c>
    </row>
    <row r="2192">
      <c r="A2192" s="3" t="s">
        <v>4969</v>
      </c>
      <c r="B2192" s="3" t="s">
        <v>4970</v>
      </c>
    </row>
    <row r="2193">
      <c r="A2193" s="3" t="s">
        <v>4971</v>
      </c>
      <c r="B2193" s="3" t="s">
        <v>4972</v>
      </c>
    </row>
    <row r="2194">
      <c r="A2194" s="3" t="s">
        <v>4973</v>
      </c>
      <c r="B2194" s="3" t="s">
        <v>4974</v>
      </c>
    </row>
    <row r="2195">
      <c r="A2195" s="3" t="s">
        <v>4975</v>
      </c>
      <c r="B2195" s="3" t="s">
        <v>4976</v>
      </c>
    </row>
    <row r="2196">
      <c r="A2196" s="3" t="s">
        <v>4977</v>
      </c>
      <c r="B2196" s="3" t="s">
        <v>4978</v>
      </c>
    </row>
    <row r="2197">
      <c r="A2197" s="3" t="s">
        <v>4979</v>
      </c>
      <c r="B2197" s="3" t="s">
        <v>4980</v>
      </c>
    </row>
    <row r="2198">
      <c r="A2198" s="3" t="s">
        <v>4981</v>
      </c>
      <c r="B2198" s="3" t="s">
        <v>4982</v>
      </c>
    </row>
    <row r="2199">
      <c r="A2199" s="3" t="s">
        <v>4983</v>
      </c>
      <c r="B2199" s="3" t="s">
        <v>4984</v>
      </c>
    </row>
    <row r="2200">
      <c r="A2200" s="3" t="s">
        <v>4985</v>
      </c>
      <c r="B2200" s="3" t="s">
        <v>4986</v>
      </c>
    </row>
    <row r="2201">
      <c r="A2201" s="3" t="s">
        <v>4987</v>
      </c>
      <c r="B2201" s="3" t="s">
        <v>4988</v>
      </c>
    </row>
    <row r="2202">
      <c r="A2202" s="3" t="s">
        <v>4989</v>
      </c>
      <c r="B2202" s="3" t="s">
        <v>4990</v>
      </c>
    </row>
    <row r="2203">
      <c r="A2203" s="3" t="s">
        <v>4991</v>
      </c>
      <c r="B2203" s="3" t="s">
        <v>4992</v>
      </c>
    </row>
    <row r="2204">
      <c r="A2204" s="3" t="s">
        <v>4993</v>
      </c>
      <c r="B2204" s="3" t="s">
        <v>4994</v>
      </c>
    </row>
    <row r="2205">
      <c r="A2205" s="3" t="s">
        <v>4995</v>
      </c>
      <c r="B2205" s="3" t="s">
        <v>4996</v>
      </c>
    </row>
    <row r="2206">
      <c r="A2206" s="3" t="s">
        <v>4997</v>
      </c>
      <c r="B2206" s="3" t="s">
        <v>4998</v>
      </c>
    </row>
    <row r="2207">
      <c r="A2207" s="3" t="s">
        <v>4999</v>
      </c>
      <c r="B2207" s="3" t="s">
        <v>5000</v>
      </c>
    </row>
    <row r="2208">
      <c r="A2208" s="3" t="s">
        <v>5001</v>
      </c>
      <c r="B2208" s="3" t="s">
        <v>5002</v>
      </c>
    </row>
    <row r="2209">
      <c r="A2209" s="3" t="s">
        <v>5003</v>
      </c>
      <c r="B2209" s="3" t="s">
        <v>5004</v>
      </c>
    </row>
    <row r="2210">
      <c r="A2210" s="3" t="s">
        <v>5005</v>
      </c>
      <c r="B2210" s="3" t="s">
        <v>5006</v>
      </c>
    </row>
    <row r="2211">
      <c r="A2211" s="3" t="s">
        <v>5007</v>
      </c>
      <c r="B2211" s="3" t="s">
        <v>5008</v>
      </c>
    </row>
    <row r="2212">
      <c r="A2212" s="3" t="s">
        <v>5009</v>
      </c>
      <c r="B2212" s="3" t="s">
        <v>5010</v>
      </c>
    </row>
    <row r="2213">
      <c r="A2213" s="3" t="s">
        <v>5011</v>
      </c>
      <c r="B2213" s="3" t="s">
        <v>5012</v>
      </c>
    </row>
    <row r="2214">
      <c r="A2214" s="3" t="s">
        <v>5013</v>
      </c>
      <c r="B2214" s="3" t="s">
        <v>5014</v>
      </c>
    </row>
    <row r="2215">
      <c r="A2215" s="3" t="s">
        <v>5015</v>
      </c>
      <c r="B2215" s="3" t="s">
        <v>5016</v>
      </c>
    </row>
    <row r="2216">
      <c r="A2216" s="3" t="s">
        <v>5017</v>
      </c>
      <c r="B2216" s="3" t="s">
        <v>5018</v>
      </c>
    </row>
    <row r="2217">
      <c r="A2217" s="3" t="s">
        <v>5019</v>
      </c>
      <c r="B2217" s="3" t="s">
        <v>5020</v>
      </c>
    </row>
    <row r="2218">
      <c r="A2218" s="3" t="s">
        <v>5021</v>
      </c>
      <c r="B2218" s="3" t="s">
        <v>479</v>
      </c>
    </row>
    <row r="2219">
      <c r="A2219" s="3" t="s">
        <v>5022</v>
      </c>
      <c r="B2219" s="3" t="s">
        <v>5023</v>
      </c>
    </row>
    <row r="2220">
      <c r="A2220" s="3" t="s">
        <v>5024</v>
      </c>
      <c r="B2220" s="3" t="s">
        <v>5025</v>
      </c>
    </row>
    <row r="2221">
      <c r="A2221" s="3" t="s">
        <v>5026</v>
      </c>
      <c r="B2221" s="3" t="s">
        <v>5027</v>
      </c>
    </row>
    <row r="2222">
      <c r="A2222" s="3" t="s">
        <v>5028</v>
      </c>
      <c r="B2222" s="3" t="s">
        <v>5029</v>
      </c>
    </row>
    <row r="2223">
      <c r="A2223" s="3" t="s">
        <v>5030</v>
      </c>
      <c r="B2223" s="3" t="s">
        <v>5031</v>
      </c>
    </row>
    <row r="2224">
      <c r="A2224" s="3" t="s">
        <v>5032</v>
      </c>
      <c r="B2224" s="3" t="s">
        <v>5033</v>
      </c>
    </row>
    <row r="2225">
      <c r="A2225" s="3" t="s">
        <v>5034</v>
      </c>
      <c r="B2225" s="3" t="s">
        <v>5035</v>
      </c>
    </row>
    <row r="2226">
      <c r="A2226" s="3" t="s">
        <v>5036</v>
      </c>
      <c r="B2226" s="3" t="s">
        <v>5037</v>
      </c>
    </row>
    <row r="2227">
      <c r="A2227" s="3" t="s">
        <v>5038</v>
      </c>
      <c r="B2227" s="3" t="s">
        <v>5039</v>
      </c>
    </row>
    <row r="2228">
      <c r="A2228" s="3" t="s">
        <v>5040</v>
      </c>
      <c r="B2228" s="3" t="s">
        <v>5041</v>
      </c>
    </row>
    <row r="2229">
      <c r="A2229" s="3" t="s">
        <v>5042</v>
      </c>
      <c r="B2229" s="3" t="s">
        <v>5043</v>
      </c>
    </row>
    <row r="2230">
      <c r="A2230" s="3" t="s">
        <v>5044</v>
      </c>
      <c r="B2230" s="3" t="s">
        <v>5045</v>
      </c>
    </row>
    <row r="2231">
      <c r="A2231" s="3" t="s">
        <v>5046</v>
      </c>
      <c r="B2231" s="3" t="s">
        <v>5047</v>
      </c>
    </row>
    <row r="2232">
      <c r="A2232" s="3" t="s">
        <v>5048</v>
      </c>
      <c r="B2232" s="3" t="s">
        <v>5049</v>
      </c>
    </row>
    <row r="2233">
      <c r="A2233" s="3" t="s">
        <v>5050</v>
      </c>
      <c r="B2233" s="3" t="s">
        <v>5051</v>
      </c>
    </row>
    <row r="2234">
      <c r="A2234" s="3" t="s">
        <v>5052</v>
      </c>
      <c r="B2234" s="3" t="s">
        <v>5053</v>
      </c>
    </row>
    <row r="2235">
      <c r="A2235" s="3" t="s">
        <v>5054</v>
      </c>
      <c r="B2235" s="3" t="s">
        <v>5055</v>
      </c>
    </row>
    <row r="2236">
      <c r="A2236" s="3" t="s">
        <v>5056</v>
      </c>
      <c r="B2236" s="3" t="s">
        <v>5057</v>
      </c>
    </row>
    <row r="2237">
      <c r="A2237" s="3" t="s">
        <v>5058</v>
      </c>
      <c r="B2237" s="3" t="s">
        <v>5059</v>
      </c>
    </row>
    <row r="2238">
      <c r="A2238" s="3" t="s">
        <v>5060</v>
      </c>
      <c r="B2238" s="3" t="s">
        <v>5061</v>
      </c>
    </row>
    <row r="2239">
      <c r="A2239" s="3" t="s">
        <v>5062</v>
      </c>
      <c r="B2239" s="3" t="s">
        <v>5063</v>
      </c>
    </row>
    <row r="2240">
      <c r="A2240" s="3" t="s">
        <v>5064</v>
      </c>
      <c r="B2240" s="3" t="s">
        <v>5065</v>
      </c>
    </row>
    <row r="2241">
      <c r="A2241" s="3" t="s">
        <v>5066</v>
      </c>
      <c r="B2241" s="3" t="s">
        <v>5067</v>
      </c>
    </row>
    <row r="2242">
      <c r="A2242" s="3" t="s">
        <v>5068</v>
      </c>
      <c r="B2242" s="3" t="s">
        <v>538</v>
      </c>
    </row>
    <row r="2243">
      <c r="A2243" s="3" t="s">
        <v>5069</v>
      </c>
      <c r="B2243" s="3" t="s">
        <v>5070</v>
      </c>
    </row>
    <row r="2244">
      <c r="A2244" s="3" t="s">
        <v>5071</v>
      </c>
      <c r="B2244" s="3" t="s">
        <v>5072</v>
      </c>
    </row>
    <row r="2245">
      <c r="A2245" s="3" t="s">
        <v>5073</v>
      </c>
      <c r="B2245" s="3" t="s">
        <v>5074</v>
      </c>
    </row>
    <row r="2246">
      <c r="A2246" s="3" t="s">
        <v>5075</v>
      </c>
      <c r="B2246" s="3" t="s">
        <v>5076</v>
      </c>
    </row>
    <row r="2247">
      <c r="A2247" s="3" t="s">
        <v>5077</v>
      </c>
      <c r="B2247" s="3" t="s">
        <v>5078</v>
      </c>
    </row>
    <row r="2248">
      <c r="A2248" s="3" t="s">
        <v>5079</v>
      </c>
      <c r="B2248" s="3" t="s">
        <v>5080</v>
      </c>
    </row>
    <row r="2249">
      <c r="A2249" s="3" t="s">
        <v>5081</v>
      </c>
      <c r="B2249" s="3" t="s">
        <v>5082</v>
      </c>
    </row>
    <row r="2250">
      <c r="A2250" s="3" t="s">
        <v>5083</v>
      </c>
      <c r="B2250" s="3" t="s">
        <v>5084</v>
      </c>
    </row>
    <row r="2251">
      <c r="A2251" s="3" t="s">
        <v>5085</v>
      </c>
      <c r="B2251" s="3" t="s">
        <v>5086</v>
      </c>
    </row>
    <row r="2252">
      <c r="A2252" s="3" t="s">
        <v>5087</v>
      </c>
      <c r="B2252" s="3" t="s">
        <v>5088</v>
      </c>
    </row>
    <row r="2253">
      <c r="A2253" s="3" t="s">
        <v>5089</v>
      </c>
      <c r="B2253" s="3" t="s">
        <v>5090</v>
      </c>
    </row>
    <row r="2254">
      <c r="A2254" s="3" t="s">
        <v>5091</v>
      </c>
      <c r="B2254" s="3" t="s">
        <v>5092</v>
      </c>
    </row>
    <row r="2255">
      <c r="A2255" s="3" t="s">
        <v>5093</v>
      </c>
      <c r="B2255" s="3" t="s">
        <v>5094</v>
      </c>
    </row>
    <row r="2256">
      <c r="A2256" s="3" t="s">
        <v>5095</v>
      </c>
      <c r="B2256" s="3" t="s">
        <v>5096</v>
      </c>
    </row>
    <row r="2257">
      <c r="A2257" s="3" t="s">
        <v>5097</v>
      </c>
      <c r="B2257" s="3" t="s">
        <v>5098</v>
      </c>
    </row>
    <row r="2258">
      <c r="A2258" s="3" t="s">
        <v>5099</v>
      </c>
      <c r="B2258" s="3" t="s">
        <v>5100</v>
      </c>
    </row>
    <row r="2259">
      <c r="A2259" s="3" t="s">
        <v>5101</v>
      </c>
      <c r="B2259" s="3" t="s">
        <v>5102</v>
      </c>
    </row>
    <row r="2260">
      <c r="A2260" s="3" t="s">
        <v>5103</v>
      </c>
      <c r="B2260" s="3" t="s">
        <v>5104</v>
      </c>
    </row>
    <row r="2261">
      <c r="A2261" s="3" t="s">
        <v>5105</v>
      </c>
      <c r="B2261" s="3" t="s">
        <v>5106</v>
      </c>
    </row>
    <row r="2262">
      <c r="A2262" s="3" t="s">
        <v>5107</v>
      </c>
      <c r="B2262" s="3" t="s">
        <v>5108</v>
      </c>
    </row>
    <row r="2263">
      <c r="A2263" s="3" t="s">
        <v>5109</v>
      </c>
      <c r="B2263" s="3" t="s">
        <v>5110</v>
      </c>
    </row>
    <row r="2264">
      <c r="A2264" s="3" t="s">
        <v>5111</v>
      </c>
      <c r="B2264" s="3" t="s">
        <v>5112</v>
      </c>
    </row>
    <row r="2265">
      <c r="A2265" s="3" t="s">
        <v>5113</v>
      </c>
      <c r="B2265" s="3" t="s">
        <v>5114</v>
      </c>
    </row>
    <row r="2266">
      <c r="A2266" s="3" t="s">
        <v>5115</v>
      </c>
      <c r="B2266" s="3" t="s">
        <v>5116</v>
      </c>
    </row>
    <row r="2267">
      <c r="A2267" s="3" t="s">
        <v>5117</v>
      </c>
      <c r="B2267" s="3" t="s">
        <v>5118</v>
      </c>
    </row>
    <row r="2268">
      <c r="A2268" s="3" t="s">
        <v>5119</v>
      </c>
      <c r="B2268" s="3" t="s">
        <v>5120</v>
      </c>
    </row>
    <row r="2269">
      <c r="A2269" s="3" t="s">
        <v>5121</v>
      </c>
      <c r="B2269" s="3" t="s">
        <v>5122</v>
      </c>
    </row>
    <row r="2270">
      <c r="A2270" s="3" t="s">
        <v>5123</v>
      </c>
      <c r="B2270" s="3" t="s">
        <v>5124</v>
      </c>
    </row>
    <row r="2271">
      <c r="A2271" s="3" t="s">
        <v>5125</v>
      </c>
      <c r="B2271" s="3" t="s">
        <v>5126</v>
      </c>
    </row>
    <row r="2272">
      <c r="A2272" s="3" t="s">
        <v>5127</v>
      </c>
      <c r="B2272" s="3" t="s">
        <v>5128</v>
      </c>
    </row>
    <row r="2273">
      <c r="A2273" s="3" t="s">
        <v>5129</v>
      </c>
      <c r="B2273" s="3" t="s">
        <v>5130</v>
      </c>
    </row>
    <row r="2274">
      <c r="A2274" s="3" t="s">
        <v>5131</v>
      </c>
      <c r="B2274" s="3" t="s">
        <v>5132</v>
      </c>
    </row>
    <row r="2275">
      <c r="A2275" s="3" t="s">
        <v>5133</v>
      </c>
      <c r="B2275" s="3" t="s">
        <v>5134</v>
      </c>
    </row>
    <row r="2276">
      <c r="A2276" s="3" t="s">
        <v>5135</v>
      </c>
      <c r="B2276" s="3" t="s">
        <v>5136</v>
      </c>
    </row>
    <row r="2277">
      <c r="A2277" s="3" t="s">
        <v>5137</v>
      </c>
      <c r="B2277" s="3" t="s">
        <v>5138</v>
      </c>
    </row>
    <row r="2278">
      <c r="A2278" s="3" t="s">
        <v>5139</v>
      </c>
      <c r="B2278" s="3" t="s">
        <v>5140</v>
      </c>
    </row>
    <row r="2279">
      <c r="A2279" s="3" t="s">
        <v>5141</v>
      </c>
      <c r="B2279" s="3" t="s">
        <v>5142</v>
      </c>
    </row>
    <row r="2280">
      <c r="A2280" s="3" t="s">
        <v>5143</v>
      </c>
      <c r="B2280" s="3" t="s">
        <v>5144</v>
      </c>
    </row>
    <row r="2281">
      <c r="A2281" s="3" t="s">
        <v>5145</v>
      </c>
      <c r="B2281" s="3" t="s">
        <v>5146</v>
      </c>
    </row>
    <row r="2282">
      <c r="A2282" s="3" t="s">
        <v>5147</v>
      </c>
      <c r="B2282" s="3" t="s">
        <v>5148</v>
      </c>
    </row>
    <row r="2283">
      <c r="A2283" s="3" t="s">
        <v>5149</v>
      </c>
      <c r="B2283" s="3" t="s">
        <v>5150</v>
      </c>
    </row>
    <row r="2284">
      <c r="A2284" s="3" t="s">
        <v>5151</v>
      </c>
      <c r="B2284" s="3" t="s">
        <v>5152</v>
      </c>
    </row>
    <row r="2285">
      <c r="A2285" s="3" t="s">
        <v>5153</v>
      </c>
      <c r="B2285" s="3" t="s">
        <v>5154</v>
      </c>
    </row>
    <row r="2286">
      <c r="A2286" s="3" t="s">
        <v>5155</v>
      </c>
      <c r="B2286" s="3" t="s">
        <v>5156</v>
      </c>
    </row>
    <row r="2287">
      <c r="A2287" s="3" t="s">
        <v>5157</v>
      </c>
      <c r="B2287" s="3" t="s">
        <v>5158</v>
      </c>
    </row>
    <row r="2288">
      <c r="A2288" s="3" t="s">
        <v>5159</v>
      </c>
      <c r="B2288" s="3" t="s">
        <v>5160</v>
      </c>
    </row>
    <row r="2289">
      <c r="A2289" s="3" t="s">
        <v>5161</v>
      </c>
      <c r="B2289" s="3" t="s">
        <v>5162</v>
      </c>
    </row>
    <row r="2290">
      <c r="A2290" s="3" t="s">
        <v>5163</v>
      </c>
      <c r="B2290" s="3" t="s">
        <v>5164</v>
      </c>
    </row>
    <row r="2291">
      <c r="A2291" s="3" t="s">
        <v>5165</v>
      </c>
      <c r="B2291" s="3" t="s">
        <v>5166</v>
      </c>
    </row>
    <row r="2292">
      <c r="A2292" s="3" t="s">
        <v>5167</v>
      </c>
      <c r="B2292" s="3" t="s">
        <v>5168</v>
      </c>
    </row>
    <row r="2293">
      <c r="A2293" s="3" t="s">
        <v>5169</v>
      </c>
      <c r="B2293" s="3" t="s">
        <v>5170</v>
      </c>
    </row>
    <row r="2294">
      <c r="A2294" s="3" t="s">
        <v>5171</v>
      </c>
      <c r="B2294" s="3" t="s">
        <v>5172</v>
      </c>
    </row>
    <row r="2295">
      <c r="A2295" s="3" t="s">
        <v>5173</v>
      </c>
      <c r="B2295" s="3" t="s">
        <v>5174</v>
      </c>
    </row>
    <row r="2296">
      <c r="A2296" s="3" t="s">
        <v>5175</v>
      </c>
      <c r="B2296" s="3" t="s">
        <v>5176</v>
      </c>
    </row>
    <row r="2297">
      <c r="A2297" s="3" t="s">
        <v>5177</v>
      </c>
      <c r="B2297" s="3" t="s">
        <v>5178</v>
      </c>
    </row>
    <row r="2298">
      <c r="A2298" s="3" t="s">
        <v>5179</v>
      </c>
      <c r="B2298" s="3" t="s">
        <v>5180</v>
      </c>
    </row>
    <row r="2299">
      <c r="A2299" s="3" t="s">
        <v>5181</v>
      </c>
      <c r="B2299" s="3" t="s">
        <v>5182</v>
      </c>
    </row>
    <row r="2300">
      <c r="A2300" s="3" t="s">
        <v>5183</v>
      </c>
      <c r="B2300" s="3" t="s">
        <v>5184</v>
      </c>
    </row>
    <row r="2301">
      <c r="A2301" s="3" t="s">
        <v>5185</v>
      </c>
      <c r="B2301" s="3" t="s">
        <v>5186</v>
      </c>
    </row>
    <row r="2302">
      <c r="A2302" s="3" t="s">
        <v>5187</v>
      </c>
      <c r="B2302" s="3" t="s">
        <v>5188</v>
      </c>
    </row>
    <row r="2303">
      <c r="A2303" s="3" t="s">
        <v>5189</v>
      </c>
      <c r="B2303" s="3" t="s">
        <v>5190</v>
      </c>
    </row>
    <row r="2304">
      <c r="A2304" s="3" t="s">
        <v>5191</v>
      </c>
      <c r="B2304" s="3" t="s">
        <v>5192</v>
      </c>
    </row>
    <row r="2305">
      <c r="A2305" s="3" t="s">
        <v>5193</v>
      </c>
      <c r="B2305" s="3" t="s">
        <v>5194</v>
      </c>
    </row>
    <row r="2306">
      <c r="A2306" s="3" t="s">
        <v>5195</v>
      </c>
      <c r="B2306" s="3" t="s">
        <v>5196</v>
      </c>
    </row>
    <row r="2307">
      <c r="A2307" s="3" t="s">
        <v>5197</v>
      </c>
      <c r="B2307" s="3" t="s">
        <v>5198</v>
      </c>
    </row>
    <row r="2308">
      <c r="A2308" s="3" t="s">
        <v>5199</v>
      </c>
      <c r="B2308" s="3" t="s">
        <v>5200</v>
      </c>
    </row>
    <row r="2309">
      <c r="A2309" s="3" t="s">
        <v>5201</v>
      </c>
      <c r="B2309" s="3" t="s">
        <v>5202</v>
      </c>
    </row>
    <row r="2310">
      <c r="A2310" s="3" t="s">
        <v>5203</v>
      </c>
      <c r="B2310" s="3" t="s">
        <v>5204</v>
      </c>
    </row>
    <row r="2311">
      <c r="A2311" s="3" t="s">
        <v>5205</v>
      </c>
      <c r="B2311" s="3" t="s">
        <v>5206</v>
      </c>
    </row>
    <row r="2312">
      <c r="A2312" s="3" t="s">
        <v>5207</v>
      </c>
      <c r="B2312" s="3" t="s">
        <v>5208</v>
      </c>
    </row>
    <row r="2313">
      <c r="A2313" s="3" t="s">
        <v>5209</v>
      </c>
      <c r="B2313" s="3" t="s">
        <v>5210</v>
      </c>
    </row>
    <row r="2314">
      <c r="A2314" s="3" t="s">
        <v>5211</v>
      </c>
      <c r="B2314" s="3" t="s">
        <v>5212</v>
      </c>
    </row>
    <row r="2315">
      <c r="A2315" s="3" t="s">
        <v>5213</v>
      </c>
      <c r="B2315" s="3" t="s">
        <v>5214</v>
      </c>
    </row>
    <row r="2316">
      <c r="A2316" s="3" t="s">
        <v>5215</v>
      </c>
      <c r="B2316" s="3" t="s">
        <v>5216</v>
      </c>
    </row>
    <row r="2317">
      <c r="A2317" s="3" t="s">
        <v>5217</v>
      </c>
      <c r="B2317" s="3" t="s">
        <v>5218</v>
      </c>
    </row>
    <row r="2318">
      <c r="A2318" s="3" t="s">
        <v>5219</v>
      </c>
      <c r="B2318" s="3" t="s">
        <v>5220</v>
      </c>
    </row>
    <row r="2319">
      <c r="A2319" s="3" t="s">
        <v>5221</v>
      </c>
      <c r="B2319" s="3" t="s">
        <v>5222</v>
      </c>
    </row>
    <row r="2320">
      <c r="A2320" s="3" t="s">
        <v>5223</v>
      </c>
      <c r="B2320" s="3" t="s">
        <v>5224</v>
      </c>
    </row>
    <row r="2321">
      <c r="A2321" s="3" t="s">
        <v>5225</v>
      </c>
      <c r="B2321" s="3" t="s">
        <v>5226</v>
      </c>
    </row>
    <row r="2322">
      <c r="A2322" s="3" t="s">
        <v>5227</v>
      </c>
      <c r="B2322" s="3" t="s">
        <v>5228</v>
      </c>
    </row>
    <row r="2323">
      <c r="A2323" s="3" t="s">
        <v>5229</v>
      </c>
      <c r="B2323" s="3" t="s">
        <v>5230</v>
      </c>
    </row>
    <row r="2324">
      <c r="A2324" s="3" t="s">
        <v>5231</v>
      </c>
      <c r="B2324" s="3" t="s">
        <v>5232</v>
      </c>
    </row>
    <row r="2325">
      <c r="A2325" s="3" t="s">
        <v>5233</v>
      </c>
      <c r="B2325" s="3" t="s">
        <v>5234</v>
      </c>
    </row>
    <row r="2326">
      <c r="A2326" s="3" t="s">
        <v>5235</v>
      </c>
      <c r="B2326" s="3" t="s">
        <v>5236</v>
      </c>
    </row>
    <row r="2327">
      <c r="A2327" s="3" t="s">
        <v>5237</v>
      </c>
      <c r="B2327" s="3" t="s">
        <v>5238</v>
      </c>
    </row>
    <row r="2328">
      <c r="A2328" s="3" t="s">
        <v>5239</v>
      </c>
      <c r="B2328" s="3" t="s">
        <v>5240</v>
      </c>
    </row>
    <row r="2329">
      <c r="A2329" s="3" t="s">
        <v>5241</v>
      </c>
      <c r="B2329" s="3" t="s">
        <v>5242</v>
      </c>
    </row>
    <row r="2330">
      <c r="A2330" s="3" t="s">
        <v>5243</v>
      </c>
      <c r="B2330" s="3" t="s">
        <v>5244</v>
      </c>
    </row>
    <row r="2331">
      <c r="A2331" s="3" t="s">
        <v>5245</v>
      </c>
      <c r="B2331" s="3" t="s">
        <v>5246</v>
      </c>
    </row>
    <row r="2332">
      <c r="A2332" s="3" t="s">
        <v>5247</v>
      </c>
      <c r="B2332" s="3" t="s">
        <v>5248</v>
      </c>
    </row>
    <row r="2333">
      <c r="A2333" s="3" t="s">
        <v>5249</v>
      </c>
      <c r="B2333" s="3" t="s">
        <v>5250</v>
      </c>
    </row>
    <row r="2334">
      <c r="A2334" s="3" t="s">
        <v>5251</v>
      </c>
      <c r="B2334" s="3" t="s">
        <v>5252</v>
      </c>
    </row>
    <row r="2335">
      <c r="A2335" s="3" t="s">
        <v>5253</v>
      </c>
      <c r="B2335" s="3" t="s">
        <v>5254</v>
      </c>
    </row>
    <row r="2336">
      <c r="A2336" s="3" t="s">
        <v>5255</v>
      </c>
      <c r="B2336" s="3" t="s">
        <v>5256</v>
      </c>
    </row>
    <row r="2337">
      <c r="A2337" s="3" t="s">
        <v>5257</v>
      </c>
      <c r="B2337" s="3" t="s">
        <v>5258</v>
      </c>
    </row>
    <row r="2338">
      <c r="A2338" s="3" t="s">
        <v>5259</v>
      </c>
      <c r="B2338" s="3" t="s">
        <v>5260</v>
      </c>
    </row>
    <row r="2339">
      <c r="A2339" s="3" t="s">
        <v>5261</v>
      </c>
      <c r="B2339" s="3" t="s">
        <v>5262</v>
      </c>
    </row>
    <row r="2340">
      <c r="A2340" s="3" t="s">
        <v>5263</v>
      </c>
      <c r="B2340" s="3" t="s">
        <v>5264</v>
      </c>
    </row>
    <row r="2341">
      <c r="A2341" s="3" t="s">
        <v>5265</v>
      </c>
      <c r="B2341" s="3" t="s">
        <v>5266</v>
      </c>
    </row>
    <row r="2342">
      <c r="A2342" s="3" t="s">
        <v>5267</v>
      </c>
      <c r="B2342" s="3" t="s">
        <v>5268</v>
      </c>
    </row>
    <row r="2343">
      <c r="A2343" s="3" t="s">
        <v>5269</v>
      </c>
      <c r="B2343" s="3" t="s">
        <v>5270</v>
      </c>
    </row>
    <row r="2344">
      <c r="A2344" s="3" t="s">
        <v>5271</v>
      </c>
      <c r="B2344" s="3" t="s">
        <v>5272</v>
      </c>
    </row>
    <row r="2345">
      <c r="A2345" s="3" t="s">
        <v>5273</v>
      </c>
      <c r="B2345" s="3" t="s">
        <v>5274</v>
      </c>
    </row>
    <row r="2346">
      <c r="A2346" s="3" t="s">
        <v>5275</v>
      </c>
      <c r="B2346" s="3" t="s">
        <v>5276</v>
      </c>
    </row>
    <row r="2347">
      <c r="A2347" s="3" t="s">
        <v>5277</v>
      </c>
      <c r="B2347" s="3" t="s">
        <v>5278</v>
      </c>
    </row>
    <row r="2348">
      <c r="A2348" s="3" t="s">
        <v>5279</v>
      </c>
      <c r="B2348" s="3" t="s">
        <v>5280</v>
      </c>
    </row>
    <row r="2349">
      <c r="A2349" s="3" t="s">
        <v>5281</v>
      </c>
      <c r="B2349" s="3" t="s">
        <v>5282</v>
      </c>
    </row>
    <row r="2350">
      <c r="A2350" s="3" t="s">
        <v>5283</v>
      </c>
      <c r="B2350" s="3" t="s">
        <v>5284</v>
      </c>
    </row>
    <row r="2351">
      <c r="A2351" s="3" t="s">
        <v>5285</v>
      </c>
      <c r="B2351" s="3" t="s">
        <v>5286</v>
      </c>
    </row>
    <row r="2352">
      <c r="A2352" s="3" t="s">
        <v>5287</v>
      </c>
      <c r="B2352" s="3" t="s">
        <v>5288</v>
      </c>
    </row>
    <row r="2353">
      <c r="A2353" s="3" t="s">
        <v>5289</v>
      </c>
      <c r="B2353" s="3" t="s">
        <v>5290</v>
      </c>
    </row>
    <row r="2354">
      <c r="A2354" s="3" t="s">
        <v>5291</v>
      </c>
      <c r="B2354" s="3" t="s">
        <v>5292</v>
      </c>
    </row>
    <row r="2355">
      <c r="A2355" s="3" t="s">
        <v>5293</v>
      </c>
      <c r="B2355" s="3" t="s">
        <v>5294</v>
      </c>
    </row>
    <row r="2356">
      <c r="A2356" s="3" t="s">
        <v>5295</v>
      </c>
      <c r="B2356" s="3" t="s">
        <v>5296</v>
      </c>
    </row>
    <row r="2357">
      <c r="A2357" s="3" t="s">
        <v>5297</v>
      </c>
      <c r="B2357" s="3" t="s">
        <v>5298</v>
      </c>
    </row>
    <row r="2358">
      <c r="A2358" s="3" t="s">
        <v>5299</v>
      </c>
      <c r="B2358" s="3" t="s">
        <v>5300</v>
      </c>
    </row>
    <row r="2359">
      <c r="A2359" s="3" t="s">
        <v>5301</v>
      </c>
      <c r="B2359" s="3" t="s">
        <v>5302</v>
      </c>
    </row>
    <row r="2360">
      <c r="A2360" s="3" t="s">
        <v>5303</v>
      </c>
      <c r="B2360" s="3" t="s">
        <v>5304</v>
      </c>
    </row>
    <row r="2361">
      <c r="A2361" s="3" t="s">
        <v>5305</v>
      </c>
      <c r="B2361" s="3" t="s">
        <v>5306</v>
      </c>
    </row>
    <row r="2362">
      <c r="A2362" s="3" t="s">
        <v>5307</v>
      </c>
      <c r="B2362" s="3" t="s">
        <v>5308</v>
      </c>
    </row>
    <row r="2363">
      <c r="A2363" s="3" t="s">
        <v>5309</v>
      </c>
      <c r="B2363" s="3" t="s">
        <v>5310</v>
      </c>
    </row>
    <row r="2364">
      <c r="A2364" s="3" t="s">
        <v>5311</v>
      </c>
      <c r="B2364" s="3" t="s">
        <v>5312</v>
      </c>
    </row>
    <row r="2365">
      <c r="A2365" s="3" t="s">
        <v>5313</v>
      </c>
      <c r="B2365" s="3" t="s">
        <v>5314</v>
      </c>
    </row>
    <row r="2366">
      <c r="A2366" s="3" t="s">
        <v>5315</v>
      </c>
      <c r="B2366" s="3" t="s">
        <v>5316</v>
      </c>
    </row>
    <row r="2367">
      <c r="A2367" s="3" t="s">
        <v>5317</v>
      </c>
      <c r="B2367" s="3" t="s">
        <v>5318</v>
      </c>
    </row>
    <row r="2368">
      <c r="A2368" s="3" t="s">
        <v>5319</v>
      </c>
      <c r="B2368" s="3" t="s">
        <v>5320</v>
      </c>
    </row>
    <row r="2369">
      <c r="A2369" s="3" t="s">
        <v>5321</v>
      </c>
      <c r="B2369" s="3" t="s">
        <v>5322</v>
      </c>
    </row>
    <row r="2370">
      <c r="A2370" s="3" t="s">
        <v>5323</v>
      </c>
      <c r="B2370" s="3" t="s">
        <v>5324</v>
      </c>
    </row>
    <row r="2371">
      <c r="A2371" s="3" t="s">
        <v>5325</v>
      </c>
      <c r="B2371" s="3" t="s">
        <v>5326</v>
      </c>
    </row>
    <row r="2372">
      <c r="A2372" s="3" t="s">
        <v>5327</v>
      </c>
      <c r="B2372" s="3" t="s">
        <v>5328</v>
      </c>
    </row>
    <row r="2373">
      <c r="A2373" s="3" t="s">
        <v>5329</v>
      </c>
      <c r="B2373" s="3" t="s">
        <v>5330</v>
      </c>
    </row>
    <row r="2374">
      <c r="A2374" s="3" t="s">
        <v>5331</v>
      </c>
      <c r="B2374" s="3" t="s">
        <v>5332</v>
      </c>
    </row>
    <row r="2375">
      <c r="A2375" s="3" t="s">
        <v>5333</v>
      </c>
      <c r="B2375" s="3" t="s">
        <v>5334</v>
      </c>
    </row>
    <row r="2376">
      <c r="A2376" s="3" t="s">
        <v>5335</v>
      </c>
      <c r="B2376" s="3" t="s">
        <v>5336</v>
      </c>
    </row>
    <row r="2377">
      <c r="A2377" s="3" t="s">
        <v>5337</v>
      </c>
      <c r="B2377" s="3" t="s">
        <v>5338</v>
      </c>
    </row>
    <row r="2378">
      <c r="A2378" s="3" t="s">
        <v>5339</v>
      </c>
      <c r="B2378" s="3" t="s">
        <v>5340</v>
      </c>
    </row>
    <row r="2379">
      <c r="A2379" s="3" t="s">
        <v>5341</v>
      </c>
      <c r="B2379" s="3" t="s">
        <v>5342</v>
      </c>
    </row>
    <row r="2380">
      <c r="A2380" s="3" t="s">
        <v>5343</v>
      </c>
      <c r="B2380" s="3" t="s">
        <v>5344</v>
      </c>
    </row>
    <row r="2381">
      <c r="A2381" s="3" t="s">
        <v>5345</v>
      </c>
      <c r="B2381" s="3" t="s">
        <v>5346</v>
      </c>
    </row>
    <row r="2382">
      <c r="A2382" s="3" t="s">
        <v>5347</v>
      </c>
      <c r="B2382" s="3" t="s">
        <v>5348</v>
      </c>
    </row>
    <row r="2383">
      <c r="A2383" s="3" t="s">
        <v>5349</v>
      </c>
      <c r="B2383" s="3" t="s">
        <v>5350</v>
      </c>
    </row>
    <row r="2384">
      <c r="A2384" s="3" t="s">
        <v>5351</v>
      </c>
      <c r="B2384" s="3" t="s">
        <v>5352</v>
      </c>
    </row>
    <row r="2385">
      <c r="A2385" s="3" t="s">
        <v>5353</v>
      </c>
      <c r="B2385" s="3" t="s">
        <v>5354</v>
      </c>
    </row>
    <row r="2386">
      <c r="A2386" s="3" t="s">
        <v>5355</v>
      </c>
      <c r="B2386" s="3" t="s">
        <v>5356</v>
      </c>
    </row>
    <row r="2387">
      <c r="A2387" s="3" t="s">
        <v>5357</v>
      </c>
      <c r="B2387" s="3" t="s">
        <v>5358</v>
      </c>
    </row>
    <row r="2388">
      <c r="A2388" s="3" t="s">
        <v>5359</v>
      </c>
      <c r="B2388" s="3" t="s">
        <v>5360</v>
      </c>
    </row>
    <row r="2389">
      <c r="A2389" s="3" t="s">
        <v>5361</v>
      </c>
      <c r="B2389" s="3" t="s">
        <v>5362</v>
      </c>
    </row>
    <row r="2390">
      <c r="A2390" s="3" t="s">
        <v>5363</v>
      </c>
      <c r="B2390" s="3" t="s">
        <v>5364</v>
      </c>
    </row>
    <row r="2391">
      <c r="A2391" s="3" t="s">
        <v>5365</v>
      </c>
      <c r="B2391" s="3" t="s">
        <v>5366</v>
      </c>
    </row>
    <row r="2392">
      <c r="A2392" s="3" t="s">
        <v>5367</v>
      </c>
      <c r="B2392" s="3" t="s">
        <v>5368</v>
      </c>
    </row>
    <row r="2393">
      <c r="A2393" s="3" t="s">
        <v>5369</v>
      </c>
      <c r="B2393" s="3" t="s">
        <v>5370</v>
      </c>
    </row>
    <row r="2394">
      <c r="A2394" s="3" t="s">
        <v>5371</v>
      </c>
      <c r="B2394" s="3" t="s">
        <v>5372</v>
      </c>
    </row>
    <row r="2395">
      <c r="A2395" s="3" t="s">
        <v>5373</v>
      </c>
      <c r="B2395" s="3" t="s">
        <v>5374</v>
      </c>
    </row>
    <row r="2396">
      <c r="A2396" s="3" t="s">
        <v>5375</v>
      </c>
      <c r="B2396" s="3" t="s">
        <v>5376</v>
      </c>
    </row>
    <row r="2397">
      <c r="A2397" s="3" t="s">
        <v>5377</v>
      </c>
      <c r="B2397" s="3" t="s">
        <v>5378</v>
      </c>
    </row>
    <row r="2398">
      <c r="A2398" s="3" t="s">
        <v>5379</v>
      </c>
      <c r="B2398" s="3" t="s">
        <v>5380</v>
      </c>
    </row>
    <row r="2399">
      <c r="A2399" s="3" t="s">
        <v>5381</v>
      </c>
      <c r="B2399" s="3" t="s">
        <v>5382</v>
      </c>
    </row>
    <row r="2400">
      <c r="A2400" s="3" t="s">
        <v>5383</v>
      </c>
      <c r="B2400" s="3" t="s">
        <v>5384</v>
      </c>
    </row>
    <row r="2401">
      <c r="A2401" s="3" t="s">
        <v>5385</v>
      </c>
      <c r="B2401" s="3" t="s">
        <v>5386</v>
      </c>
    </row>
    <row r="2402">
      <c r="A2402" s="3" t="s">
        <v>5387</v>
      </c>
      <c r="B2402" s="3" t="s">
        <v>5388</v>
      </c>
    </row>
    <row r="2403">
      <c r="A2403" s="3" t="s">
        <v>5389</v>
      </c>
      <c r="B2403" s="3" t="s">
        <v>5390</v>
      </c>
    </row>
    <row r="2404">
      <c r="A2404" s="3" t="s">
        <v>5391</v>
      </c>
      <c r="B2404" s="3" t="s">
        <v>5392</v>
      </c>
    </row>
    <row r="2405">
      <c r="A2405" s="3" t="s">
        <v>5393</v>
      </c>
      <c r="B2405" s="3" t="s">
        <v>5394</v>
      </c>
    </row>
    <row r="2406">
      <c r="A2406" s="3" t="s">
        <v>5395</v>
      </c>
      <c r="B2406" s="3" t="s">
        <v>5396</v>
      </c>
    </row>
    <row r="2407">
      <c r="A2407" s="3" t="s">
        <v>5397</v>
      </c>
      <c r="B2407" s="3" t="s">
        <v>5398</v>
      </c>
    </row>
    <row r="2408">
      <c r="A2408" s="3" t="s">
        <v>5399</v>
      </c>
      <c r="B2408" s="3" t="s">
        <v>5400</v>
      </c>
    </row>
    <row r="2409">
      <c r="A2409" s="3" t="s">
        <v>5401</v>
      </c>
      <c r="B2409" s="3" t="s">
        <v>5402</v>
      </c>
    </row>
    <row r="2410">
      <c r="A2410" s="3" t="s">
        <v>5403</v>
      </c>
      <c r="B2410" s="3" t="s">
        <v>5404</v>
      </c>
    </row>
    <row r="2411">
      <c r="A2411" s="3" t="s">
        <v>5405</v>
      </c>
      <c r="B2411" s="3" t="s">
        <v>5406</v>
      </c>
    </row>
    <row r="2412">
      <c r="A2412" s="3" t="s">
        <v>5407</v>
      </c>
      <c r="B2412" s="3" t="s">
        <v>5408</v>
      </c>
    </row>
    <row r="2413">
      <c r="A2413" s="3" t="s">
        <v>5409</v>
      </c>
      <c r="B2413" s="3" t="s">
        <v>5410</v>
      </c>
    </row>
    <row r="2414">
      <c r="A2414" s="3" t="s">
        <v>5411</v>
      </c>
      <c r="B2414" s="3" t="s">
        <v>5412</v>
      </c>
    </row>
    <row r="2415">
      <c r="A2415" s="3" t="s">
        <v>5413</v>
      </c>
      <c r="B2415" s="3" t="s">
        <v>5414</v>
      </c>
    </row>
    <row r="2416">
      <c r="A2416" s="3" t="s">
        <v>5415</v>
      </c>
      <c r="B2416" s="3" t="s">
        <v>5416</v>
      </c>
    </row>
    <row r="2417">
      <c r="A2417" s="3" t="s">
        <v>5417</v>
      </c>
      <c r="B2417" s="3" t="s">
        <v>5418</v>
      </c>
    </row>
    <row r="2418">
      <c r="A2418" s="3" t="s">
        <v>5419</v>
      </c>
      <c r="B2418" s="3" t="s">
        <v>5420</v>
      </c>
    </row>
    <row r="2419">
      <c r="A2419" s="3" t="s">
        <v>5421</v>
      </c>
      <c r="B2419" s="3" t="s">
        <v>5422</v>
      </c>
    </row>
    <row r="2420">
      <c r="A2420" s="3" t="s">
        <v>5423</v>
      </c>
      <c r="B2420" s="3" t="s">
        <v>5424</v>
      </c>
    </row>
    <row r="2421">
      <c r="A2421" s="3" t="s">
        <v>5425</v>
      </c>
      <c r="B2421" s="3" t="s">
        <v>5426</v>
      </c>
    </row>
    <row r="2422">
      <c r="A2422" s="3" t="s">
        <v>5427</v>
      </c>
      <c r="B2422" s="3" t="s">
        <v>5428</v>
      </c>
    </row>
    <row r="2423">
      <c r="A2423" s="3" t="s">
        <v>5429</v>
      </c>
      <c r="B2423" s="3" t="s">
        <v>5430</v>
      </c>
    </row>
    <row r="2424">
      <c r="A2424" s="3" t="s">
        <v>5431</v>
      </c>
      <c r="B2424" s="3" t="s">
        <v>5432</v>
      </c>
    </row>
    <row r="2425">
      <c r="A2425" s="3" t="s">
        <v>5433</v>
      </c>
      <c r="B2425" s="25" t="s">
        <v>5434</v>
      </c>
    </row>
    <row r="2426">
      <c r="A2426" s="3" t="s">
        <v>5435</v>
      </c>
      <c r="B2426" s="3" t="s">
        <v>5436</v>
      </c>
    </row>
    <row r="2427">
      <c r="A2427" s="3" t="s">
        <v>5437</v>
      </c>
      <c r="B2427" s="3" t="s">
        <v>5438</v>
      </c>
    </row>
    <row r="2428">
      <c r="A2428" s="3" t="s">
        <v>5439</v>
      </c>
      <c r="B2428" s="3" t="s">
        <v>5440</v>
      </c>
    </row>
    <row r="2429">
      <c r="A2429" s="3" t="s">
        <v>5441</v>
      </c>
      <c r="B2429" s="3" t="s">
        <v>5442</v>
      </c>
    </row>
    <row r="2430">
      <c r="A2430" s="3" t="s">
        <v>5443</v>
      </c>
      <c r="B2430" s="3" t="s">
        <v>5444</v>
      </c>
    </row>
    <row r="2431">
      <c r="A2431" s="3" t="s">
        <v>5445</v>
      </c>
      <c r="B2431" s="3" t="s">
        <v>5446</v>
      </c>
    </row>
    <row r="2432">
      <c r="A2432" s="3" t="s">
        <v>5447</v>
      </c>
      <c r="B2432" s="3" t="s">
        <v>5448</v>
      </c>
    </row>
    <row r="2433">
      <c r="A2433" s="3" t="s">
        <v>5449</v>
      </c>
      <c r="B2433" s="3" t="s">
        <v>5450</v>
      </c>
    </row>
    <row r="2434">
      <c r="A2434" s="3" t="s">
        <v>5451</v>
      </c>
      <c r="B2434" s="3" t="s">
        <v>5452</v>
      </c>
    </row>
    <row r="2435">
      <c r="A2435" s="3" t="s">
        <v>5453</v>
      </c>
      <c r="B2435" s="3" t="s">
        <v>5454</v>
      </c>
    </row>
    <row r="2436">
      <c r="A2436" s="3" t="s">
        <v>5455</v>
      </c>
      <c r="B2436" s="3" t="s">
        <v>5456</v>
      </c>
    </row>
    <row r="2437">
      <c r="A2437" s="3" t="s">
        <v>5457</v>
      </c>
      <c r="B2437" s="3" t="s">
        <v>5458</v>
      </c>
    </row>
    <row r="2438">
      <c r="A2438" s="3" t="s">
        <v>5459</v>
      </c>
      <c r="B2438" s="3" t="s">
        <v>5460</v>
      </c>
    </row>
    <row r="2439">
      <c r="A2439" s="3" t="s">
        <v>5461</v>
      </c>
      <c r="B2439" s="3" t="s">
        <v>5462</v>
      </c>
    </row>
    <row r="2440">
      <c r="A2440" s="3" t="s">
        <v>5463</v>
      </c>
      <c r="B2440" s="3" t="s">
        <v>5464</v>
      </c>
    </row>
    <row r="2441">
      <c r="A2441" s="3" t="s">
        <v>5465</v>
      </c>
      <c r="B2441" s="3" t="s">
        <v>5466</v>
      </c>
    </row>
    <row r="2442">
      <c r="A2442" s="3" t="s">
        <v>5467</v>
      </c>
      <c r="B2442" s="3" t="s">
        <v>5468</v>
      </c>
    </row>
    <row r="2443">
      <c r="A2443" s="3" t="s">
        <v>5469</v>
      </c>
      <c r="B2443" s="3" t="s">
        <v>5470</v>
      </c>
    </row>
    <row r="2444">
      <c r="A2444" s="3" t="s">
        <v>5471</v>
      </c>
      <c r="B2444" s="3" t="s">
        <v>5472</v>
      </c>
    </row>
    <row r="2445">
      <c r="A2445" s="3" t="s">
        <v>5473</v>
      </c>
      <c r="B2445" s="3" t="s">
        <v>5474</v>
      </c>
    </row>
    <row r="2446">
      <c r="A2446" s="3" t="s">
        <v>5475</v>
      </c>
      <c r="B2446" s="3" t="s">
        <v>5476</v>
      </c>
    </row>
    <row r="2447">
      <c r="A2447" s="3" t="s">
        <v>5477</v>
      </c>
      <c r="B2447" s="3" t="s">
        <v>5478</v>
      </c>
    </row>
    <row r="2448">
      <c r="A2448" s="3" t="s">
        <v>5479</v>
      </c>
      <c r="B2448" s="3" t="s">
        <v>5480</v>
      </c>
    </row>
    <row r="2449">
      <c r="A2449" s="3" t="s">
        <v>5481</v>
      </c>
      <c r="B2449" s="3" t="s">
        <v>5482</v>
      </c>
    </row>
    <row r="2450">
      <c r="A2450" s="3" t="s">
        <v>5483</v>
      </c>
      <c r="B2450" s="3" t="s">
        <v>5484</v>
      </c>
    </row>
    <row r="2451">
      <c r="A2451" s="3" t="s">
        <v>5485</v>
      </c>
      <c r="B2451" s="3" t="s">
        <v>5486</v>
      </c>
    </row>
    <row r="2452">
      <c r="A2452" s="3" t="s">
        <v>5487</v>
      </c>
      <c r="B2452" s="3" t="s">
        <v>5488</v>
      </c>
    </row>
    <row r="2453">
      <c r="A2453" s="3" t="s">
        <v>5489</v>
      </c>
      <c r="B2453" s="3" t="s">
        <v>5490</v>
      </c>
    </row>
    <row r="2454">
      <c r="A2454" s="3" t="s">
        <v>5491</v>
      </c>
      <c r="B2454" s="3" t="s">
        <v>5492</v>
      </c>
    </row>
    <row r="2455">
      <c r="A2455" s="3" t="s">
        <v>5493</v>
      </c>
      <c r="B2455" s="3" t="s">
        <v>5494</v>
      </c>
    </row>
    <row r="2456">
      <c r="A2456" s="3" t="s">
        <v>5495</v>
      </c>
      <c r="B2456" s="3" t="s">
        <v>5496</v>
      </c>
    </row>
    <row r="2457">
      <c r="A2457" s="3" t="s">
        <v>5497</v>
      </c>
      <c r="B2457" s="3" t="s">
        <v>5498</v>
      </c>
    </row>
    <row r="2458">
      <c r="A2458" s="3" t="s">
        <v>5499</v>
      </c>
      <c r="B2458" s="3" t="s">
        <v>5500</v>
      </c>
    </row>
    <row r="2459">
      <c r="A2459" s="3" t="s">
        <v>5501</v>
      </c>
      <c r="B2459" s="3" t="s">
        <v>5502</v>
      </c>
    </row>
    <row r="2460">
      <c r="A2460" s="3" t="s">
        <v>5503</v>
      </c>
      <c r="B2460" s="3" t="s">
        <v>5504</v>
      </c>
    </row>
    <row r="2461">
      <c r="A2461" s="3" t="s">
        <v>5505</v>
      </c>
      <c r="B2461" s="3" t="s">
        <v>5506</v>
      </c>
    </row>
    <row r="2462">
      <c r="A2462" s="3" t="s">
        <v>5507</v>
      </c>
      <c r="B2462" s="3" t="s">
        <v>5508</v>
      </c>
    </row>
    <row r="2463">
      <c r="A2463" s="3" t="s">
        <v>5509</v>
      </c>
      <c r="B2463" s="3" t="s">
        <v>5510</v>
      </c>
    </row>
    <row r="2464">
      <c r="A2464" s="3" t="s">
        <v>5511</v>
      </c>
      <c r="B2464" s="3" t="s">
        <v>5512</v>
      </c>
    </row>
    <row r="2465">
      <c r="A2465" s="3" t="s">
        <v>5513</v>
      </c>
      <c r="B2465" s="3" t="s">
        <v>5514</v>
      </c>
    </row>
    <row r="2466">
      <c r="A2466" s="3" t="s">
        <v>5515</v>
      </c>
      <c r="B2466" s="3" t="s">
        <v>5516</v>
      </c>
    </row>
    <row r="2467">
      <c r="A2467" s="3" t="s">
        <v>5517</v>
      </c>
      <c r="B2467" s="3" t="s">
        <v>5518</v>
      </c>
    </row>
    <row r="2468">
      <c r="A2468" s="3" t="s">
        <v>5519</v>
      </c>
      <c r="B2468" s="3" t="s">
        <v>5520</v>
      </c>
    </row>
    <row r="2469">
      <c r="A2469" s="3" t="s">
        <v>5521</v>
      </c>
      <c r="B2469" s="3" t="s">
        <v>5522</v>
      </c>
    </row>
    <row r="2470">
      <c r="A2470" s="3" t="s">
        <v>5523</v>
      </c>
      <c r="B2470" s="3" t="s">
        <v>5524</v>
      </c>
    </row>
    <row r="2471">
      <c r="A2471" s="3" t="s">
        <v>5525</v>
      </c>
      <c r="B2471" s="3" t="s">
        <v>5526</v>
      </c>
    </row>
    <row r="2472">
      <c r="A2472" s="3" t="s">
        <v>5527</v>
      </c>
      <c r="B2472" s="3" t="s">
        <v>5528</v>
      </c>
    </row>
    <row r="2473">
      <c r="A2473" s="3" t="s">
        <v>5529</v>
      </c>
      <c r="B2473" s="3" t="s">
        <v>5530</v>
      </c>
    </row>
    <row r="2474">
      <c r="A2474" s="3" t="s">
        <v>5531</v>
      </c>
      <c r="B2474" s="3" t="s">
        <v>5532</v>
      </c>
    </row>
    <row r="2475">
      <c r="A2475" s="3" t="s">
        <v>5533</v>
      </c>
      <c r="B2475" s="3" t="s">
        <v>5534</v>
      </c>
    </row>
    <row r="2476">
      <c r="A2476" s="3" t="s">
        <v>5535</v>
      </c>
      <c r="B2476" s="3" t="s">
        <v>5536</v>
      </c>
    </row>
    <row r="2477">
      <c r="A2477" s="3" t="s">
        <v>5537</v>
      </c>
      <c r="B2477" s="3" t="s">
        <v>5538</v>
      </c>
    </row>
    <row r="2478">
      <c r="A2478" s="3" t="s">
        <v>5539</v>
      </c>
      <c r="B2478" s="3" t="s">
        <v>5540</v>
      </c>
    </row>
    <row r="2479">
      <c r="A2479" s="3" t="s">
        <v>5541</v>
      </c>
      <c r="B2479" s="3" t="s">
        <v>5542</v>
      </c>
    </row>
    <row r="2480">
      <c r="A2480" s="3" t="s">
        <v>5543</v>
      </c>
      <c r="B2480" s="3" t="s">
        <v>5544</v>
      </c>
    </row>
    <row r="2481">
      <c r="A2481" s="3" t="s">
        <v>5545</v>
      </c>
      <c r="B2481" s="3" t="s">
        <v>5546</v>
      </c>
    </row>
    <row r="2482">
      <c r="A2482" s="3" t="s">
        <v>5547</v>
      </c>
      <c r="B2482" s="3" t="s">
        <v>5548</v>
      </c>
    </row>
    <row r="2483">
      <c r="A2483" s="3" t="s">
        <v>5549</v>
      </c>
      <c r="B2483" s="3" t="s">
        <v>5550</v>
      </c>
    </row>
    <row r="2484">
      <c r="A2484" s="3" t="s">
        <v>5551</v>
      </c>
      <c r="B2484" s="3" t="s">
        <v>5552</v>
      </c>
    </row>
    <row r="2485">
      <c r="A2485" s="3" t="s">
        <v>5553</v>
      </c>
      <c r="B2485" s="3" t="s">
        <v>5554</v>
      </c>
    </row>
    <row r="2486">
      <c r="A2486" s="3" t="s">
        <v>5555</v>
      </c>
      <c r="B2486" s="3" t="s">
        <v>5556</v>
      </c>
    </row>
    <row r="2487">
      <c r="A2487" s="3" t="s">
        <v>5557</v>
      </c>
      <c r="B2487" s="3" t="s">
        <v>5558</v>
      </c>
    </row>
    <row r="2488">
      <c r="A2488" s="3" t="s">
        <v>5559</v>
      </c>
      <c r="B2488" s="3" t="s">
        <v>5560</v>
      </c>
    </row>
    <row r="2489">
      <c r="A2489" s="3" t="s">
        <v>5561</v>
      </c>
      <c r="B2489" s="3" t="s">
        <v>5562</v>
      </c>
    </row>
    <row r="2490">
      <c r="A2490" s="3" t="s">
        <v>5563</v>
      </c>
      <c r="B2490" s="3" t="s">
        <v>5564</v>
      </c>
    </row>
    <row r="2491">
      <c r="A2491" s="3" t="s">
        <v>5565</v>
      </c>
      <c r="B2491" s="3" t="s">
        <v>5566</v>
      </c>
    </row>
    <row r="2492">
      <c r="A2492" s="3" t="s">
        <v>5567</v>
      </c>
      <c r="B2492" s="3" t="s">
        <v>5568</v>
      </c>
    </row>
    <row r="2493">
      <c r="A2493" s="3" t="s">
        <v>5569</v>
      </c>
      <c r="B2493" s="3" t="s">
        <v>5570</v>
      </c>
    </row>
    <row r="2494">
      <c r="A2494" s="3" t="s">
        <v>5571</v>
      </c>
      <c r="B2494" s="3" t="s">
        <v>5572</v>
      </c>
    </row>
    <row r="2495">
      <c r="A2495" s="3" t="s">
        <v>5573</v>
      </c>
      <c r="B2495" s="3" t="s">
        <v>5574</v>
      </c>
    </row>
    <row r="2496">
      <c r="A2496" s="3" t="s">
        <v>5575</v>
      </c>
      <c r="B2496" s="3" t="s">
        <v>5576</v>
      </c>
    </row>
    <row r="2497">
      <c r="A2497" s="3" t="s">
        <v>5577</v>
      </c>
      <c r="B2497" s="3" t="s">
        <v>5578</v>
      </c>
    </row>
    <row r="2498">
      <c r="A2498" s="3" t="s">
        <v>5579</v>
      </c>
      <c r="B2498" s="3" t="s">
        <v>5580</v>
      </c>
    </row>
    <row r="2499">
      <c r="A2499" s="3" t="s">
        <v>5581</v>
      </c>
      <c r="B2499" s="3" t="s">
        <v>5582</v>
      </c>
    </row>
    <row r="2500">
      <c r="A2500" s="3" t="s">
        <v>5583</v>
      </c>
      <c r="B2500" s="3" t="s">
        <v>5584</v>
      </c>
    </row>
    <row r="2501">
      <c r="A2501" s="3" t="s">
        <v>5585</v>
      </c>
      <c r="B2501" s="3" t="s">
        <v>5586</v>
      </c>
    </row>
    <row r="2502">
      <c r="A2502" s="3" t="s">
        <v>5587</v>
      </c>
      <c r="B2502" s="3" t="s">
        <v>5588</v>
      </c>
    </row>
    <row r="2503">
      <c r="A2503" s="3" t="s">
        <v>5589</v>
      </c>
      <c r="B2503" s="3" t="s">
        <v>5590</v>
      </c>
    </row>
    <row r="2504">
      <c r="A2504" s="3" t="s">
        <v>5591</v>
      </c>
      <c r="B2504" s="3" t="s">
        <v>5592</v>
      </c>
    </row>
    <row r="2505">
      <c r="A2505" s="3" t="s">
        <v>5593</v>
      </c>
      <c r="B2505" s="3" t="s">
        <v>5594</v>
      </c>
    </row>
    <row r="2506">
      <c r="A2506" s="3" t="s">
        <v>5595</v>
      </c>
      <c r="B2506" s="3" t="s">
        <v>5596</v>
      </c>
    </row>
    <row r="2507">
      <c r="A2507" s="3" t="s">
        <v>5597</v>
      </c>
      <c r="B2507" s="3" t="s">
        <v>5598</v>
      </c>
    </row>
    <row r="2508">
      <c r="A2508" s="3" t="s">
        <v>5599</v>
      </c>
      <c r="B2508" s="3" t="s">
        <v>5600</v>
      </c>
    </row>
    <row r="2509">
      <c r="A2509" s="3" t="s">
        <v>5601</v>
      </c>
      <c r="B2509" s="3" t="s">
        <v>5602</v>
      </c>
    </row>
    <row r="2510">
      <c r="A2510" s="3" t="s">
        <v>5603</v>
      </c>
      <c r="B2510" s="3" t="s">
        <v>5604</v>
      </c>
    </row>
    <row r="2511">
      <c r="A2511" s="3" t="s">
        <v>5605</v>
      </c>
      <c r="B2511" s="3" t="s">
        <v>5606</v>
      </c>
    </row>
    <row r="2512">
      <c r="A2512" s="3" t="s">
        <v>5607</v>
      </c>
      <c r="B2512" s="3" t="s">
        <v>5608</v>
      </c>
    </row>
    <row r="2513">
      <c r="A2513" s="3" t="s">
        <v>5609</v>
      </c>
      <c r="B2513" s="3" t="s">
        <v>5610</v>
      </c>
    </row>
    <row r="2514">
      <c r="A2514" s="3" t="s">
        <v>5611</v>
      </c>
      <c r="B2514" s="3" t="s">
        <v>5612</v>
      </c>
    </row>
    <row r="2515">
      <c r="A2515" s="3" t="s">
        <v>5613</v>
      </c>
      <c r="B2515" s="3" t="s">
        <v>5614</v>
      </c>
    </row>
    <row r="2516">
      <c r="A2516" s="3" t="s">
        <v>5615</v>
      </c>
      <c r="B2516" s="3" t="s">
        <v>5616</v>
      </c>
    </row>
    <row r="2517">
      <c r="A2517" s="3" t="s">
        <v>5617</v>
      </c>
      <c r="B2517" s="3" t="s">
        <v>5618</v>
      </c>
    </row>
    <row r="2518">
      <c r="A2518" s="3" t="s">
        <v>5619</v>
      </c>
      <c r="B2518" s="3" t="s">
        <v>5620</v>
      </c>
    </row>
    <row r="2519">
      <c r="A2519" s="3" t="s">
        <v>5621</v>
      </c>
      <c r="B2519" s="3" t="s">
        <v>5622</v>
      </c>
    </row>
    <row r="2520">
      <c r="A2520" s="3" t="s">
        <v>5623</v>
      </c>
      <c r="B2520" s="3" t="s">
        <v>5624</v>
      </c>
    </row>
    <row r="2521">
      <c r="A2521" s="3" t="s">
        <v>5625</v>
      </c>
      <c r="B2521" s="3" t="s">
        <v>5626</v>
      </c>
    </row>
    <row r="2522">
      <c r="A2522" s="3" t="s">
        <v>5627</v>
      </c>
      <c r="B2522" s="3" t="s">
        <v>5628</v>
      </c>
    </row>
    <row r="2523">
      <c r="A2523" s="3" t="s">
        <v>5629</v>
      </c>
      <c r="B2523" s="3" t="s">
        <v>5630</v>
      </c>
    </row>
    <row r="2524">
      <c r="A2524" s="3" t="s">
        <v>5631</v>
      </c>
      <c r="B2524" s="3" t="s">
        <v>5632</v>
      </c>
    </row>
    <row r="2525">
      <c r="A2525" s="3" t="s">
        <v>5633</v>
      </c>
      <c r="B2525" s="3" t="s">
        <v>5634</v>
      </c>
    </row>
    <row r="2526">
      <c r="A2526" s="3" t="s">
        <v>5635</v>
      </c>
      <c r="B2526" s="3" t="s">
        <v>5636</v>
      </c>
    </row>
    <row r="2527">
      <c r="A2527" s="3" t="s">
        <v>5637</v>
      </c>
      <c r="B2527" s="3" t="s">
        <v>5638</v>
      </c>
    </row>
    <row r="2528">
      <c r="A2528" s="3" t="s">
        <v>5639</v>
      </c>
      <c r="B2528" s="3" t="s">
        <v>5640</v>
      </c>
    </row>
    <row r="2529">
      <c r="A2529" s="3" t="s">
        <v>5641</v>
      </c>
      <c r="B2529" s="3" t="s">
        <v>5642</v>
      </c>
    </row>
    <row r="2530">
      <c r="A2530" s="3" t="s">
        <v>5643</v>
      </c>
      <c r="B2530" s="3" t="s">
        <v>5644</v>
      </c>
    </row>
    <row r="2531">
      <c r="A2531" s="3" t="s">
        <v>5645</v>
      </c>
      <c r="B2531" s="3" t="s">
        <v>5646</v>
      </c>
    </row>
    <row r="2532">
      <c r="A2532" s="3" t="s">
        <v>5647</v>
      </c>
      <c r="B2532" s="3" t="s">
        <v>5648</v>
      </c>
    </row>
    <row r="2533">
      <c r="A2533" s="3" t="s">
        <v>5649</v>
      </c>
      <c r="B2533" s="3" t="s">
        <v>5650</v>
      </c>
    </row>
    <row r="2534">
      <c r="A2534" s="3" t="s">
        <v>5651</v>
      </c>
      <c r="B2534" s="3" t="s">
        <v>5652</v>
      </c>
    </row>
    <row r="2535">
      <c r="A2535" s="3" t="s">
        <v>5653</v>
      </c>
      <c r="B2535" s="3" t="s">
        <v>5654</v>
      </c>
    </row>
    <row r="2536">
      <c r="A2536" s="3" t="s">
        <v>5655</v>
      </c>
      <c r="B2536" s="3" t="s">
        <v>5656</v>
      </c>
    </row>
    <row r="2537">
      <c r="A2537" s="3" t="s">
        <v>5657</v>
      </c>
      <c r="B2537" s="3" t="s">
        <v>5658</v>
      </c>
    </row>
    <row r="2538">
      <c r="A2538" s="3" t="s">
        <v>5659</v>
      </c>
      <c r="B2538" s="3" t="s">
        <v>5660</v>
      </c>
    </row>
    <row r="2539">
      <c r="A2539" s="3" t="s">
        <v>5661</v>
      </c>
      <c r="B2539" s="3" t="s">
        <v>5662</v>
      </c>
    </row>
    <row r="2540">
      <c r="A2540" s="3" t="s">
        <v>5663</v>
      </c>
      <c r="B2540" s="3" t="s">
        <v>5664</v>
      </c>
    </row>
    <row r="2541">
      <c r="A2541" s="3" t="s">
        <v>5665</v>
      </c>
      <c r="B2541" s="3" t="s">
        <v>5666</v>
      </c>
    </row>
    <row r="2542">
      <c r="A2542" s="3" t="s">
        <v>5667</v>
      </c>
      <c r="B2542" s="3" t="s">
        <v>5668</v>
      </c>
    </row>
    <row r="2543">
      <c r="A2543" s="3" t="s">
        <v>5669</v>
      </c>
      <c r="B2543" s="3" t="s">
        <v>5670</v>
      </c>
    </row>
    <row r="2544">
      <c r="A2544" s="3" t="s">
        <v>5671</v>
      </c>
      <c r="B2544" s="3" t="s">
        <v>5672</v>
      </c>
    </row>
    <row r="2545">
      <c r="A2545" s="3" t="s">
        <v>5673</v>
      </c>
      <c r="B2545" s="3" t="s">
        <v>5674</v>
      </c>
    </row>
    <row r="2546">
      <c r="A2546" s="3" t="s">
        <v>5675</v>
      </c>
      <c r="B2546" s="3" t="s">
        <v>5676</v>
      </c>
    </row>
    <row r="2547">
      <c r="A2547" s="3" t="s">
        <v>5677</v>
      </c>
      <c r="B2547" s="3" t="s">
        <v>5678</v>
      </c>
    </row>
    <row r="2548">
      <c r="A2548" s="3" t="s">
        <v>5679</v>
      </c>
      <c r="B2548" s="3" t="s">
        <v>5680</v>
      </c>
    </row>
    <row r="2549">
      <c r="A2549" s="3" t="s">
        <v>5681</v>
      </c>
      <c r="B2549" s="3" t="s">
        <v>5682</v>
      </c>
    </row>
    <row r="2550">
      <c r="A2550" s="3" t="s">
        <v>5683</v>
      </c>
      <c r="B2550" s="3" t="s">
        <v>5684</v>
      </c>
    </row>
    <row r="2551">
      <c r="A2551" s="3" t="s">
        <v>5685</v>
      </c>
      <c r="B2551" s="3" t="s">
        <v>5686</v>
      </c>
    </row>
    <row r="2552">
      <c r="A2552" s="3" t="s">
        <v>5687</v>
      </c>
      <c r="B2552" s="3" t="s">
        <v>5688</v>
      </c>
    </row>
    <row r="2553">
      <c r="A2553" s="3" t="s">
        <v>5689</v>
      </c>
      <c r="B2553" s="3" t="s">
        <v>5690</v>
      </c>
    </row>
    <row r="2554">
      <c r="A2554" s="3" t="s">
        <v>5691</v>
      </c>
      <c r="B2554" s="3" t="s">
        <v>5692</v>
      </c>
    </row>
    <row r="2555">
      <c r="A2555" s="3" t="s">
        <v>5693</v>
      </c>
      <c r="B2555" s="3" t="s">
        <v>5694</v>
      </c>
    </row>
    <row r="2556">
      <c r="A2556" s="3" t="s">
        <v>5695</v>
      </c>
      <c r="B2556" s="3" t="s">
        <v>5696</v>
      </c>
    </row>
    <row r="2557">
      <c r="A2557" s="3" t="s">
        <v>5697</v>
      </c>
      <c r="B2557" s="3" t="s">
        <v>5698</v>
      </c>
    </row>
    <row r="2558">
      <c r="A2558" s="3" t="s">
        <v>5699</v>
      </c>
      <c r="B2558" s="3" t="s">
        <v>5700</v>
      </c>
    </row>
    <row r="2559">
      <c r="A2559" s="3" t="s">
        <v>5701</v>
      </c>
      <c r="B2559" s="3" t="s">
        <v>5702</v>
      </c>
    </row>
    <row r="2560">
      <c r="A2560" s="3" t="s">
        <v>5703</v>
      </c>
      <c r="B2560" s="3" t="s">
        <v>5704</v>
      </c>
    </row>
    <row r="2561">
      <c r="A2561" s="3" t="s">
        <v>5705</v>
      </c>
      <c r="B2561" s="3" t="s">
        <v>5706</v>
      </c>
    </row>
    <row r="2562">
      <c r="A2562" s="3" t="s">
        <v>5707</v>
      </c>
      <c r="B2562" s="3" t="s">
        <v>5708</v>
      </c>
    </row>
    <row r="2563">
      <c r="A2563" s="3" t="s">
        <v>5709</v>
      </c>
      <c r="B2563" s="3" t="s">
        <v>5710</v>
      </c>
    </row>
    <row r="2564">
      <c r="A2564" s="3" t="s">
        <v>5711</v>
      </c>
      <c r="B2564" s="3" t="s">
        <v>5712</v>
      </c>
    </row>
    <row r="2565">
      <c r="A2565" s="3" t="s">
        <v>5713</v>
      </c>
      <c r="B2565" s="3" t="s">
        <v>5714</v>
      </c>
    </row>
    <row r="2566">
      <c r="A2566" s="3" t="s">
        <v>5715</v>
      </c>
      <c r="B2566" s="3" t="s">
        <v>5716</v>
      </c>
    </row>
    <row r="2567">
      <c r="A2567" s="3" t="s">
        <v>5717</v>
      </c>
      <c r="B2567" s="3" t="s">
        <v>5718</v>
      </c>
    </row>
    <row r="2568">
      <c r="A2568" s="3" t="s">
        <v>5719</v>
      </c>
      <c r="B2568" s="3" t="s">
        <v>5720</v>
      </c>
    </row>
    <row r="2569">
      <c r="A2569" s="3" t="s">
        <v>5721</v>
      </c>
      <c r="B2569" s="3" t="s">
        <v>5722</v>
      </c>
    </row>
    <row r="2570">
      <c r="A2570" s="3" t="s">
        <v>5723</v>
      </c>
      <c r="B2570" s="3" t="s">
        <v>5724</v>
      </c>
    </row>
    <row r="2571">
      <c r="A2571" s="3" t="s">
        <v>5725</v>
      </c>
      <c r="B2571" s="3" t="s">
        <v>5726</v>
      </c>
    </row>
    <row r="2572">
      <c r="A2572" s="3" t="s">
        <v>5727</v>
      </c>
      <c r="B2572" s="3" t="s">
        <v>5728</v>
      </c>
    </row>
    <row r="2573">
      <c r="A2573" s="3" t="s">
        <v>5729</v>
      </c>
      <c r="B2573" s="3" t="s">
        <v>5730</v>
      </c>
    </row>
    <row r="2574">
      <c r="A2574" s="3" t="s">
        <v>5731</v>
      </c>
      <c r="B2574" s="3" t="s">
        <v>5732</v>
      </c>
    </row>
    <row r="2575">
      <c r="A2575" s="3" t="s">
        <v>5733</v>
      </c>
      <c r="B2575" s="3" t="s">
        <v>5734</v>
      </c>
    </row>
    <row r="2576">
      <c r="A2576" s="3" t="s">
        <v>5735</v>
      </c>
      <c r="B2576" s="3" t="s">
        <v>5736</v>
      </c>
    </row>
    <row r="2577">
      <c r="A2577" s="3" t="s">
        <v>5737</v>
      </c>
      <c r="B2577" s="3" t="s">
        <v>5738</v>
      </c>
    </row>
    <row r="2578">
      <c r="A2578" s="3" t="s">
        <v>5739</v>
      </c>
      <c r="B2578" s="3" t="s">
        <v>5740</v>
      </c>
    </row>
    <row r="2579">
      <c r="A2579" s="3" t="s">
        <v>5741</v>
      </c>
      <c r="B2579" s="3" t="s">
        <v>5742</v>
      </c>
    </row>
    <row r="2580">
      <c r="A2580" s="3" t="s">
        <v>5743</v>
      </c>
      <c r="B2580" s="3" t="s">
        <v>5744</v>
      </c>
    </row>
    <row r="2581">
      <c r="A2581" s="3" t="s">
        <v>5745</v>
      </c>
      <c r="B2581" s="3" t="s">
        <v>5746</v>
      </c>
    </row>
    <row r="2582">
      <c r="A2582" s="3" t="s">
        <v>5747</v>
      </c>
      <c r="B2582" s="3" t="s">
        <v>5748</v>
      </c>
    </row>
    <row r="2583">
      <c r="A2583" s="3" t="s">
        <v>5749</v>
      </c>
      <c r="B2583" s="3" t="s">
        <v>5750</v>
      </c>
    </row>
    <row r="2584">
      <c r="A2584" s="3" t="s">
        <v>5751</v>
      </c>
      <c r="B2584" s="3" t="s">
        <v>5752</v>
      </c>
    </row>
    <row r="2585">
      <c r="A2585" s="3" t="s">
        <v>5753</v>
      </c>
      <c r="B2585" s="3" t="s">
        <v>5754</v>
      </c>
    </row>
    <row r="2586">
      <c r="A2586" s="3" t="s">
        <v>5755</v>
      </c>
      <c r="B2586" s="3" t="s">
        <v>5756</v>
      </c>
    </row>
    <row r="2587">
      <c r="A2587" s="3" t="s">
        <v>5757</v>
      </c>
      <c r="B2587" s="3" t="s">
        <v>5758</v>
      </c>
    </row>
    <row r="2588">
      <c r="A2588" s="3" t="s">
        <v>5759</v>
      </c>
      <c r="B2588" s="3" t="s">
        <v>5760</v>
      </c>
    </row>
    <row r="2589">
      <c r="A2589" s="3" t="s">
        <v>5761</v>
      </c>
      <c r="B2589" s="3" t="s">
        <v>5762</v>
      </c>
    </row>
    <row r="2590">
      <c r="A2590" s="3" t="s">
        <v>5763</v>
      </c>
      <c r="B2590" s="3" t="s">
        <v>5764</v>
      </c>
    </row>
    <row r="2591">
      <c r="A2591" s="3" t="s">
        <v>5765</v>
      </c>
      <c r="B2591" s="3" t="s">
        <v>5766</v>
      </c>
    </row>
    <row r="2592">
      <c r="A2592" s="3" t="s">
        <v>5767</v>
      </c>
      <c r="B2592" s="3" t="s">
        <v>5768</v>
      </c>
    </row>
    <row r="2593">
      <c r="A2593" s="3" t="s">
        <v>5769</v>
      </c>
      <c r="B2593" s="3" t="s">
        <v>5770</v>
      </c>
    </row>
    <row r="2594">
      <c r="A2594" s="3" t="s">
        <v>5771</v>
      </c>
      <c r="B2594" s="3" t="s">
        <v>5772</v>
      </c>
    </row>
    <row r="2595">
      <c r="A2595" s="3" t="s">
        <v>5773</v>
      </c>
      <c r="B2595" s="3" t="s">
        <v>5774</v>
      </c>
    </row>
    <row r="2596">
      <c r="A2596" s="3" t="s">
        <v>5775</v>
      </c>
      <c r="B2596" s="3" t="s">
        <v>5776</v>
      </c>
    </row>
    <row r="2597">
      <c r="A2597" s="3" t="s">
        <v>5777</v>
      </c>
      <c r="B2597" s="3" t="s">
        <v>5778</v>
      </c>
    </row>
    <row r="2598">
      <c r="A2598" s="3" t="s">
        <v>5779</v>
      </c>
      <c r="B2598" s="3" t="s">
        <v>5780</v>
      </c>
    </row>
    <row r="2599">
      <c r="A2599" s="3" t="s">
        <v>5781</v>
      </c>
      <c r="B2599" s="3" t="s">
        <v>5782</v>
      </c>
    </row>
    <row r="2600">
      <c r="A2600" s="3" t="s">
        <v>5783</v>
      </c>
      <c r="B2600" s="3" t="s">
        <v>5784</v>
      </c>
    </row>
    <row r="2601">
      <c r="A2601" s="3" t="s">
        <v>5785</v>
      </c>
      <c r="B2601" s="3" t="s">
        <v>5786</v>
      </c>
    </row>
    <row r="2602">
      <c r="A2602" s="3" t="s">
        <v>5787</v>
      </c>
      <c r="B2602" s="3" t="s">
        <v>5788</v>
      </c>
    </row>
    <row r="2603">
      <c r="A2603" s="3" t="s">
        <v>5789</v>
      </c>
      <c r="B2603" s="3" t="s">
        <v>5790</v>
      </c>
    </row>
    <row r="2604">
      <c r="A2604" s="3" t="s">
        <v>5791</v>
      </c>
      <c r="B2604" s="3" t="s">
        <v>5792</v>
      </c>
    </row>
    <row r="2605">
      <c r="A2605" s="3" t="s">
        <v>5793</v>
      </c>
      <c r="B2605" s="3" t="s">
        <v>5794</v>
      </c>
    </row>
    <row r="2606">
      <c r="A2606" s="3" t="s">
        <v>5795</v>
      </c>
      <c r="B2606" s="3" t="s">
        <v>5796</v>
      </c>
    </row>
    <row r="2607">
      <c r="A2607" s="3" t="s">
        <v>5797</v>
      </c>
      <c r="B2607" s="3" t="s">
        <v>5798</v>
      </c>
    </row>
    <row r="2608">
      <c r="A2608" s="3" t="s">
        <v>5799</v>
      </c>
      <c r="B2608" s="3" t="s">
        <v>599</v>
      </c>
    </row>
    <row r="2609">
      <c r="A2609" s="3" t="s">
        <v>5800</v>
      </c>
      <c r="B2609" s="3" t="s">
        <v>5801</v>
      </c>
    </row>
    <row r="2610">
      <c r="A2610" s="3" t="s">
        <v>5802</v>
      </c>
      <c r="B2610" s="3" t="s">
        <v>5803</v>
      </c>
    </row>
    <row r="2611">
      <c r="A2611" s="3" t="s">
        <v>5804</v>
      </c>
      <c r="B2611" s="3" t="s">
        <v>5805</v>
      </c>
    </row>
    <row r="2612">
      <c r="A2612" s="3" t="s">
        <v>5806</v>
      </c>
      <c r="B2612" s="3" t="s">
        <v>3176</v>
      </c>
    </row>
    <row r="2613">
      <c r="A2613" s="3" t="s">
        <v>5807</v>
      </c>
      <c r="B2613" s="3" t="s">
        <v>5808</v>
      </c>
    </row>
    <row r="2614">
      <c r="A2614" s="3" t="s">
        <v>5809</v>
      </c>
      <c r="B2614" s="3" t="s">
        <v>5810</v>
      </c>
    </row>
    <row r="2615">
      <c r="A2615" s="3" t="s">
        <v>5811</v>
      </c>
      <c r="B2615" s="3" t="s">
        <v>5812</v>
      </c>
    </row>
    <row r="2616">
      <c r="A2616" s="3" t="s">
        <v>5813</v>
      </c>
      <c r="B2616" s="3" t="s">
        <v>5814</v>
      </c>
    </row>
    <row r="2617">
      <c r="A2617" s="3" t="s">
        <v>5815</v>
      </c>
      <c r="B2617" s="3" t="s">
        <v>5816</v>
      </c>
    </row>
    <row r="2618">
      <c r="A2618" s="3" t="s">
        <v>5817</v>
      </c>
      <c r="B2618" s="3" t="s">
        <v>5818</v>
      </c>
    </row>
    <row r="2619">
      <c r="A2619" s="3" t="s">
        <v>5819</v>
      </c>
      <c r="B2619" s="3" t="s">
        <v>5820</v>
      </c>
    </row>
    <row r="2620">
      <c r="A2620" s="3" t="s">
        <v>5821</v>
      </c>
      <c r="B2620" s="3" t="s">
        <v>5822</v>
      </c>
    </row>
    <row r="2621">
      <c r="A2621" s="3" t="s">
        <v>5823</v>
      </c>
      <c r="B2621" s="3" t="s">
        <v>5824</v>
      </c>
    </row>
    <row r="2622">
      <c r="A2622" s="3" t="s">
        <v>5825</v>
      </c>
      <c r="B2622" s="3" t="s">
        <v>5826</v>
      </c>
    </row>
    <row r="2623">
      <c r="A2623" s="3" t="s">
        <v>5827</v>
      </c>
      <c r="B2623" s="3" t="s">
        <v>5828</v>
      </c>
    </row>
    <row r="2624">
      <c r="A2624" s="3" t="s">
        <v>5829</v>
      </c>
      <c r="B2624" s="3" t="s">
        <v>5830</v>
      </c>
    </row>
    <row r="2625">
      <c r="A2625" s="3" t="s">
        <v>5831</v>
      </c>
      <c r="B2625" s="3" t="s">
        <v>5832</v>
      </c>
    </row>
    <row r="2626">
      <c r="A2626" s="3" t="s">
        <v>5833</v>
      </c>
      <c r="B2626" s="3" t="s">
        <v>5834</v>
      </c>
    </row>
    <row r="2627">
      <c r="A2627" s="3" t="s">
        <v>5835</v>
      </c>
      <c r="B2627" s="3" t="s">
        <v>5836</v>
      </c>
    </row>
    <row r="2628">
      <c r="A2628" s="3" t="s">
        <v>5837</v>
      </c>
      <c r="B2628" s="3" t="s">
        <v>371</v>
      </c>
    </row>
    <row r="2629">
      <c r="A2629" s="3" t="s">
        <v>5838</v>
      </c>
      <c r="B2629" s="3" t="s">
        <v>5839</v>
      </c>
    </row>
    <row r="2630">
      <c r="A2630" s="3" t="s">
        <v>5840</v>
      </c>
      <c r="B2630" s="3" t="s">
        <v>5841</v>
      </c>
    </row>
    <row r="2631">
      <c r="A2631" s="3" t="s">
        <v>5842</v>
      </c>
      <c r="B2631" s="3" t="s">
        <v>5843</v>
      </c>
    </row>
    <row r="2632">
      <c r="A2632" s="3" t="s">
        <v>5844</v>
      </c>
      <c r="B2632" s="3" t="s">
        <v>5845</v>
      </c>
    </row>
    <row r="2633">
      <c r="A2633" s="3" t="s">
        <v>5846</v>
      </c>
      <c r="B2633" s="3" t="s">
        <v>5847</v>
      </c>
    </row>
    <row r="2634">
      <c r="A2634" s="3" t="s">
        <v>5848</v>
      </c>
      <c r="B2634" s="3" t="s">
        <v>5849</v>
      </c>
    </row>
    <row r="2635">
      <c r="A2635" s="3" t="s">
        <v>5850</v>
      </c>
      <c r="B2635" s="3" t="s">
        <v>5851</v>
      </c>
    </row>
    <row r="2636">
      <c r="A2636" s="3" t="s">
        <v>5852</v>
      </c>
      <c r="B2636" s="3" t="s">
        <v>5853</v>
      </c>
    </row>
    <row r="2637">
      <c r="A2637" s="3" t="s">
        <v>5854</v>
      </c>
      <c r="B2637" s="3" t="s">
        <v>5855</v>
      </c>
    </row>
    <row r="2638">
      <c r="A2638" s="3" t="s">
        <v>5856</v>
      </c>
      <c r="B2638" s="3" t="s">
        <v>5857</v>
      </c>
    </row>
    <row r="2639">
      <c r="A2639" s="3" t="s">
        <v>5858</v>
      </c>
      <c r="B2639" s="3" t="s">
        <v>5859</v>
      </c>
    </row>
    <row r="2640">
      <c r="A2640" s="3" t="s">
        <v>5860</v>
      </c>
      <c r="B2640" s="3" t="s">
        <v>2972</v>
      </c>
    </row>
    <row r="2641">
      <c r="A2641" s="3" t="s">
        <v>5861</v>
      </c>
      <c r="B2641" s="3" t="s">
        <v>5862</v>
      </c>
    </row>
    <row r="2642">
      <c r="A2642" s="3" t="s">
        <v>5863</v>
      </c>
      <c r="B2642" s="3" t="s">
        <v>5864</v>
      </c>
    </row>
    <row r="2643">
      <c r="A2643" s="3" t="s">
        <v>5865</v>
      </c>
      <c r="B2643" s="3" t="s">
        <v>5866</v>
      </c>
    </row>
    <row r="2644">
      <c r="A2644" s="3" t="s">
        <v>5867</v>
      </c>
      <c r="B2644" s="3" t="s">
        <v>5868</v>
      </c>
    </row>
    <row r="2645">
      <c r="A2645" s="3" t="s">
        <v>5869</v>
      </c>
      <c r="B2645" s="3" t="s">
        <v>5870</v>
      </c>
    </row>
    <row r="2646">
      <c r="A2646" s="3" t="s">
        <v>5871</v>
      </c>
      <c r="B2646" s="3" t="s">
        <v>5872</v>
      </c>
    </row>
    <row r="2647">
      <c r="A2647" s="3" t="s">
        <v>5873</v>
      </c>
      <c r="B2647" s="3" t="s">
        <v>5874</v>
      </c>
    </row>
    <row r="2648">
      <c r="A2648" s="3" t="s">
        <v>5875</v>
      </c>
      <c r="B2648" s="3" t="s">
        <v>5876</v>
      </c>
    </row>
    <row r="2649">
      <c r="A2649" s="3" t="s">
        <v>5877</v>
      </c>
      <c r="B2649" s="3" t="s">
        <v>5878</v>
      </c>
    </row>
    <row r="2650">
      <c r="A2650" s="3" t="s">
        <v>5879</v>
      </c>
      <c r="B2650" s="3" t="s">
        <v>5880</v>
      </c>
    </row>
    <row r="2651">
      <c r="A2651" s="3" t="s">
        <v>5881</v>
      </c>
      <c r="B2651" s="3" t="s">
        <v>5882</v>
      </c>
    </row>
    <row r="2652">
      <c r="A2652" s="3" t="s">
        <v>5883</v>
      </c>
      <c r="B2652" s="3" t="s">
        <v>5884</v>
      </c>
    </row>
    <row r="2653">
      <c r="A2653" s="3" t="s">
        <v>5885</v>
      </c>
      <c r="B2653" s="3" t="s">
        <v>553</v>
      </c>
    </row>
    <row r="2654">
      <c r="A2654" s="3" t="s">
        <v>5886</v>
      </c>
      <c r="B2654" s="3" t="s">
        <v>5887</v>
      </c>
    </row>
    <row r="2655">
      <c r="A2655" s="3" t="s">
        <v>5888</v>
      </c>
      <c r="B2655" s="3" t="s">
        <v>5889</v>
      </c>
    </row>
    <row r="2656">
      <c r="A2656" s="3" t="s">
        <v>5890</v>
      </c>
      <c r="B2656" s="3" t="s">
        <v>5891</v>
      </c>
    </row>
    <row r="2657">
      <c r="A2657" s="3" t="s">
        <v>5892</v>
      </c>
      <c r="B2657" s="3" t="s">
        <v>5893</v>
      </c>
    </row>
    <row r="2658">
      <c r="A2658" s="3" t="s">
        <v>5894</v>
      </c>
      <c r="B2658" s="3" t="s">
        <v>5895</v>
      </c>
    </row>
    <row r="2659">
      <c r="A2659" s="3" t="s">
        <v>5896</v>
      </c>
      <c r="B2659" s="3" t="s">
        <v>5897</v>
      </c>
    </row>
    <row r="2660">
      <c r="A2660" s="3" t="s">
        <v>5898</v>
      </c>
      <c r="B2660" s="3" t="s">
        <v>5899</v>
      </c>
    </row>
    <row r="2661">
      <c r="A2661" s="3" t="s">
        <v>5900</v>
      </c>
      <c r="B2661" s="3" t="s">
        <v>5901</v>
      </c>
    </row>
    <row r="2662">
      <c r="A2662" s="3" t="s">
        <v>5902</v>
      </c>
      <c r="B2662" s="3" t="s">
        <v>5903</v>
      </c>
    </row>
    <row r="2663">
      <c r="A2663" s="3" t="s">
        <v>5904</v>
      </c>
      <c r="B2663" s="3" t="s">
        <v>5905</v>
      </c>
    </row>
    <row r="2664">
      <c r="A2664" s="3" t="s">
        <v>5906</v>
      </c>
      <c r="B2664" s="3" t="s">
        <v>5907</v>
      </c>
    </row>
    <row r="2665">
      <c r="A2665" s="3" t="s">
        <v>5908</v>
      </c>
      <c r="B2665" s="3" t="s">
        <v>5909</v>
      </c>
    </row>
    <row r="2666">
      <c r="A2666" s="3" t="s">
        <v>5910</v>
      </c>
      <c r="B2666" s="3" t="s">
        <v>5911</v>
      </c>
    </row>
    <row r="2667">
      <c r="A2667" s="3" t="s">
        <v>5912</v>
      </c>
      <c r="B2667" s="3" t="s">
        <v>5913</v>
      </c>
    </row>
    <row r="2668">
      <c r="A2668" s="3" t="s">
        <v>5914</v>
      </c>
      <c r="B2668" s="3" t="s">
        <v>5915</v>
      </c>
    </row>
    <row r="2669">
      <c r="A2669" s="3" t="s">
        <v>5916</v>
      </c>
      <c r="B2669" s="3" t="s">
        <v>5917</v>
      </c>
    </row>
    <row r="2670">
      <c r="A2670" s="3" t="s">
        <v>5918</v>
      </c>
      <c r="B2670" s="3" t="s">
        <v>5919</v>
      </c>
    </row>
    <row r="2671">
      <c r="A2671" s="3" t="s">
        <v>5920</v>
      </c>
      <c r="B2671" s="3" t="s">
        <v>5921</v>
      </c>
    </row>
    <row r="2672">
      <c r="A2672" s="3" t="s">
        <v>5922</v>
      </c>
      <c r="B2672" s="3" t="s">
        <v>5923</v>
      </c>
    </row>
    <row r="2673">
      <c r="A2673" s="3" t="s">
        <v>5924</v>
      </c>
      <c r="B2673" s="3" t="s">
        <v>5925</v>
      </c>
    </row>
    <row r="2674">
      <c r="A2674" s="3" t="s">
        <v>5926</v>
      </c>
      <c r="B2674" s="3" t="s">
        <v>5927</v>
      </c>
    </row>
    <row r="2675">
      <c r="A2675" s="3" t="s">
        <v>5928</v>
      </c>
      <c r="B2675" s="3" t="s">
        <v>5929</v>
      </c>
    </row>
    <row r="2676">
      <c r="A2676" s="3" t="s">
        <v>5930</v>
      </c>
      <c r="B2676" s="3" t="s">
        <v>5931</v>
      </c>
    </row>
    <row r="2677">
      <c r="A2677" s="3" t="s">
        <v>5932</v>
      </c>
      <c r="B2677" s="3" t="s">
        <v>5933</v>
      </c>
    </row>
    <row r="2678">
      <c r="A2678" s="3" t="s">
        <v>5934</v>
      </c>
      <c r="B2678" s="3" t="s">
        <v>5935</v>
      </c>
    </row>
    <row r="2679">
      <c r="A2679" s="3" t="s">
        <v>5936</v>
      </c>
      <c r="B2679" s="3" t="s">
        <v>5937</v>
      </c>
    </row>
    <row r="2680">
      <c r="A2680" s="3" t="s">
        <v>5938</v>
      </c>
      <c r="B2680" s="3" t="s">
        <v>5939</v>
      </c>
    </row>
    <row r="2681">
      <c r="A2681" s="3" t="s">
        <v>5940</v>
      </c>
      <c r="B2681" s="3" t="s">
        <v>5941</v>
      </c>
    </row>
    <row r="2682">
      <c r="A2682" s="3" t="s">
        <v>5942</v>
      </c>
      <c r="B2682" s="3" t="s">
        <v>5943</v>
      </c>
    </row>
    <row r="2683">
      <c r="A2683" s="3" t="s">
        <v>5944</v>
      </c>
      <c r="B2683" s="3" t="s">
        <v>5945</v>
      </c>
    </row>
    <row r="2684">
      <c r="A2684" s="3" t="s">
        <v>5946</v>
      </c>
      <c r="B2684" s="3" t="s">
        <v>302</v>
      </c>
    </row>
    <row r="2685">
      <c r="A2685" s="3" t="s">
        <v>5947</v>
      </c>
      <c r="B2685" s="3" t="s">
        <v>5948</v>
      </c>
    </row>
    <row r="2686">
      <c r="A2686" s="3" t="s">
        <v>5949</v>
      </c>
      <c r="B2686" s="3" t="s">
        <v>5950</v>
      </c>
    </row>
    <row r="2687">
      <c r="A2687" s="3" t="s">
        <v>5951</v>
      </c>
      <c r="B2687" s="3" t="s">
        <v>5952</v>
      </c>
    </row>
    <row r="2688">
      <c r="A2688" s="3" t="s">
        <v>5953</v>
      </c>
      <c r="B2688" s="3" t="s">
        <v>5954</v>
      </c>
    </row>
    <row r="2689">
      <c r="A2689" s="3" t="s">
        <v>5955</v>
      </c>
      <c r="B2689" s="3" t="s">
        <v>5956</v>
      </c>
    </row>
    <row r="2690">
      <c r="A2690" s="3" t="s">
        <v>5957</v>
      </c>
      <c r="B2690" s="3" t="s">
        <v>5958</v>
      </c>
    </row>
    <row r="2691">
      <c r="A2691" s="3" t="s">
        <v>5959</v>
      </c>
      <c r="B2691" s="3" t="s">
        <v>5960</v>
      </c>
    </row>
    <row r="2692">
      <c r="A2692" s="3" t="s">
        <v>5961</v>
      </c>
      <c r="B2692" s="3" t="s">
        <v>5962</v>
      </c>
    </row>
    <row r="2693">
      <c r="A2693" s="3" t="s">
        <v>5963</v>
      </c>
      <c r="B2693" s="3" t="s">
        <v>5964</v>
      </c>
    </row>
    <row r="2694">
      <c r="A2694" s="3" t="s">
        <v>5965</v>
      </c>
      <c r="B2694" s="3" t="s">
        <v>5966</v>
      </c>
    </row>
    <row r="2695">
      <c r="A2695" s="3" t="s">
        <v>5967</v>
      </c>
      <c r="B2695" s="3" t="s">
        <v>5968</v>
      </c>
    </row>
    <row r="2696">
      <c r="A2696" s="3" t="s">
        <v>5969</v>
      </c>
      <c r="B2696" s="3" t="s">
        <v>5970</v>
      </c>
    </row>
    <row r="2697">
      <c r="A2697" s="3" t="s">
        <v>5971</v>
      </c>
      <c r="B2697" s="3" t="s">
        <v>5972</v>
      </c>
    </row>
    <row r="2698">
      <c r="A2698" s="3" t="s">
        <v>5973</v>
      </c>
      <c r="B2698" s="3" t="s">
        <v>5974</v>
      </c>
    </row>
    <row r="2699">
      <c r="A2699" s="3" t="s">
        <v>5975</v>
      </c>
      <c r="B2699" s="3" t="s">
        <v>5976</v>
      </c>
    </row>
    <row r="2700">
      <c r="A2700" s="3" t="s">
        <v>5977</v>
      </c>
      <c r="B2700" s="3" t="s">
        <v>5978</v>
      </c>
    </row>
    <row r="2701">
      <c r="A2701" s="3" t="s">
        <v>5979</v>
      </c>
      <c r="B2701" s="3" t="s">
        <v>5980</v>
      </c>
    </row>
    <row r="2702">
      <c r="A2702" s="3" t="s">
        <v>5981</v>
      </c>
      <c r="B2702" s="3" t="s">
        <v>5982</v>
      </c>
    </row>
    <row r="2703">
      <c r="A2703" s="3" t="s">
        <v>5983</v>
      </c>
      <c r="B2703" s="3" t="s">
        <v>5984</v>
      </c>
    </row>
    <row r="2704">
      <c r="A2704" s="3" t="s">
        <v>5985</v>
      </c>
      <c r="B2704" s="3" t="s">
        <v>5986</v>
      </c>
    </row>
    <row r="2705">
      <c r="A2705" s="3" t="s">
        <v>5987</v>
      </c>
      <c r="B2705" s="3" t="s">
        <v>5988</v>
      </c>
    </row>
    <row r="2706">
      <c r="A2706" s="3" t="s">
        <v>5989</v>
      </c>
      <c r="B2706" s="3" t="s">
        <v>5990</v>
      </c>
    </row>
    <row r="2707">
      <c r="A2707" s="3" t="s">
        <v>5991</v>
      </c>
      <c r="B2707" s="3" t="s">
        <v>5992</v>
      </c>
    </row>
    <row r="2708">
      <c r="A2708" s="3" t="s">
        <v>5993</v>
      </c>
      <c r="B2708" s="3" t="s">
        <v>5994</v>
      </c>
    </row>
    <row r="2709">
      <c r="A2709" s="3" t="s">
        <v>5995</v>
      </c>
      <c r="B2709" s="3" t="s">
        <v>5996</v>
      </c>
    </row>
    <row r="2710">
      <c r="A2710" s="3" t="s">
        <v>5997</v>
      </c>
      <c r="B2710" s="3" t="s">
        <v>5998</v>
      </c>
    </row>
    <row r="2711">
      <c r="A2711" s="3" t="s">
        <v>5999</v>
      </c>
      <c r="B2711" s="3" t="s">
        <v>6000</v>
      </c>
    </row>
    <row r="2712">
      <c r="A2712" s="3" t="s">
        <v>6001</v>
      </c>
      <c r="B2712" s="3" t="s">
        <v>6002</v>
      </c>
    </row>
    <row r="2713">
      <c r="A2713" s="3" t="s">
        <v>6003</v>
      </c>
      <c r="B2713" s="3" t="s">
        <v>6004</v>
      </c>
    </row>
    <row r="2714">
      <c r="A2714" s="3" t="s">
        <v>6005</v>
      </c>
      <c r="B2714" s="3" t="s">
        <v>6006</v>
      </c>
    </row>
    <row r="2715">
      <c r="A2715" s="3" t="s">
        <v>6007</v>
      </c>
      <c r="B2715" s="3" t="s">
        <v>6008</v>
      </c>
    </row>
    <row r="2716">
      <c r="A2716" s="3" t="s">
        <v>6009</v>
      </c>
      <c r="B2716" s="3" t="s">
        <v>6010</v>
      </c>
    </row>
    <row r="2717">
      <c r="A2717" s="3" t="s">
        <v>6011</v>
      </c>
      <c r="B2717" s="3" t="s">
        <v>6012</v>
      </c>
    </row>
    <row r="2718">
      <c r="A2718" s="3" t="s">
        <v>6013</v>
      </c>
      <c r="B2718" s="3" t="s">
        <v>6014</v>
      </c>
    </row>
    <row r="2719">
      <c r="A2719" s="3" t="s">
        <v>6015</v>
      </c>
      <c r="B2719" s="3" t="s">
        <v>6016</v>
      </c>
    </row>
    <row r="2720">
      <c r="A2720" s="3" t="s">
        <v>6017</v>
      </c>
      <c r="B2720" s="3" t="s">
        <v>6018</v>
      </c>
    </row>
    <row r="2721">
      <c r="A2721" s="3" t="s">
        <v>6019</v>
      </c>
      <c r="B2721" s="3" t="s">
        <v>6020</v>
      </c>
    </row>
    <row r="2722">
      <c r="A2722" s="3" t="s">
        <v>6021</v>
      </c>
      <c r="B2722" s="3" t="s">
        <v>6022</v>
      </c>
    </row>
    <row r="2723">
      <c r="A2723" s="3" t="s">
        <v>6023</v>
      </c>
      <c r="B2723" s="3" t="s">
        <v>6024</v>
      </c>
    </row>
    <row r="2724">
      <c r="A2724" s="3" t="s">
        <v>6025</v>
      </c>
      <c r="B2724" s="3" t="s">
        <v>6026</v>
      </c>
    </row>
    <row r="2725">
      <c r="A2725" s="3" t="s">
        <v>6027</v>
      </c>
      <c r="B2725" s="3" t="s">
        <v>6028</v>
      </c>
    </row>
    <row r="2726">
      <c r="A2726" s="3" t="s">
        <v>6029</v>
      </c>
      <c r="B2726" s="3" t="s">
        <v>6030</v>
      </c>
    </row>
    <row r="2727">
      <c r="A2727" s="3" t="s">
        <v>6031</v>
      </c>
      <c r="B2727" s="3" t="s">
        <v>533</v>
      </c>
    </row>
    <row r="2728">
      <c r="A2728" s="3" t="s">
        <v>6032</v>
      </c>
      <c r="B2728" s="3" t="s">
        <v>6033</v>
      </c>
    </row>
    <row r="2729">
      <c r="A2729" s="3" t="s">
        <v>6034</v>
      </c>
      <c r="B2729" s="3" t="s">
        <v>6035</v>
      </c>
    </row>
    <row r="2730">
      <c r="A2730" s="3" t="s">
        <v>6036</v>
      </c>
      <c r="B2730" s="3" t="s">
        <v>6037</v>
      </c>
    </row>
    <row r="2731">
      <c r="A2731" s="3" t="s">
        <v>6038</v>
      </c>
      <c r="B2731" s="3" t="s">
        <v>6039</v>
      </c>
    </row>
    <row r="2732">
      <c r="A2732" s="3" t="s">
        <v>6040</v>
      </c>
      <c r="B2732" s="3" t="s">
        <v>6041</v>
      </c>
    </row>
    <row r="2733">
      <c r="A2733" s="3" t="s">
        <v>6042</v>
      </c>
      <c r="B2733" s="3" t="s">
        <v>6043</v>
      </c>
    </row>
    <row r="2734">
      <c r="A2734" s="3" t="s">
        <v>6044</v>
      </c>
      <c r="B2734" s="3" t="s">
        <v>6045</v>
      </c>
    </row>
    <row r="2735">
      <c r="A2735" s="3" t="s">
        <v>6046</v>
      </c>
      <c r="B2735" s="3" t="s">
        <v>6047</v>
      </c>
    </row>
    <row r="2736">
      <c r="A2736" s="3" t="s">
        <v>6048</v>
      </c>
      <c r="B2736" s="3" t="s">
        <v>6049</v>
      </c>
    </row>
    <row r="2737">
      <c r="A2737" s="3" t="s">
        <v>6050</v>
      </c>
      <c r="B2737" s="3" t="s">
        <v>6051</v>
      </c>
    </row>
    <row r="2738">
      <c r="A2738" s="3" t="s">
        <v>6052</v>
      </c>
      <c r="B2738" s="3" t="s">
        <v>6053</v>
      </c>
    </row>
    <row r="2739">
      <c r="A2739" s="3" t="s">
        <v>6054</v>
      </c>
      <c r="B2739" s="3" t="s">
        <v>522</v>
      </c>
    </row>
    <row r="2740">
      <c r="A2740" s="3" t="s">
        <v>6055</v>
      </c>
      <c r="B2740" s="3" t="s">
        <v>6056</v>
      </c>
    </row>
    <row r="2741">
      <c r="A2741" s="3" t="s">
        <v>6057</v>
      </c>
      <c r="B2741" s="3" t="s">
        <v>6058</v>
      </c>
    </row>
    <row r="2742">
      <c r="A2742" s="3" t="s">
        <v>6059</v>
      </c>
      <c r="B2742" s="3" t="s">
        <v>6060</v>
      </c>
    </row>
    <row r="2743">
      <c r="A2743" s="3" t="s">
        <v>6061</v>
      </c>
      <c r="B2743" s="3" t="s">
        <v>6062</v>
      </c>
    </row>
    <row r="2744">
      <c r="A2744" s="3" t="s">
        <v>6063</v>
      </c>
      <c r="B2744" s="3" t="s">
        <v>6064</v>
      </c>
    </row>
    <row r="2745">
      <c r="A2745" s="3" t="s">
        <v>6065</v>
      </c>
      <c r="B2745" s="3" t="s">
        <v>6066</v>
      </c>
    </row>
    <row r="2746">
      <c r="A2746" s="3" t="s">
        <v>6067</v>
      </c>
      <c r="B2746" s="3" t="s">
        <v>6068</v>
      </c>
    </row>
    <row r="2747">
      <c r="A2747" s="3" t="s">
        <v>6069</v>
      </c>
      <c r="B2747" s="3" t="s">
        <v>6070</v>
      </c>
    </row>
    <row r="2748">
      <c r="A2748" s="3" t="s">
        <v>6071</v>
      </c>
      <c r="B2748" s="3" t="s">
        <v>6072</v>
      </c>
    </row>
    <row r="2749">
      <c r="A2749" s="3" t="s">
        <v>6073</v>
      </c>
      <c r="B2749" s="3" t="s">
        <v>6074</v>
      </c>
    </row>
    <row r="2750">
      <c r="A2750" s="3" t="s">
        <v>6075</v>
      </c>
      <c r="B2750" s="3" t="s">
        <v>501</v>
      </c>
    </row>
    <row r="2751">
      <c r="A2751" s="3" t="s">
        <v>6076</v>
      </c>
      <c r="B2751" s="3" t="s">
        <v>350</v>
      </c>
    </row>
    <row r="2752">
      <c r="A2752" s="3" t="s">
        <v>6077</v>
      </c>
      <c r="B2752" s="3" t="s">
        <v>6078</v>
      </c>
    </row>
    <row r="2753">
      <c r="A2753" s="3" t="s">
        <v>6079</v>
      </c>
      <c r="B2753" s="3" t="s">
        <v>6080</v>
      </c>
    </row>
    <row r="2754">
      <c r="A2754" s="3" t="s">
        <v>6081</v>
      </c>
      <c r="B2754" s="3" t="s">
        <v>6082</v>
      </c>
    </row>
    <row r="2755">
      <c r="A2755" s="3" t="s">
        <v>6083</v>
      </c>
      <c r="B2755" s="3" t="s">
        <v>6084</v>
      </c>
    </row>
    <row r="2756">
      <c r="A2756" s="3" t="s">
        <v>6085</v>
      </c>
      <c r="B2756" s="3" t="s">
        <v>6086</v>
      </c>
    </row>
    <row r="2757">
      <c r="A2757" s="3" t="s">
        <v>6087</v>
      </c>
      <c r="B2757" s="3" t="s">
        <v>6088</v>
      </c>
    </row>
    <row r="2758">
      <c r="A2758" s="3" t="s">
        <v>6089</v>
      </c>
      <c r="B2758" s="3" t="s">
        <v>562</v>
      </c>
    </row>
    <row r="2759">
      <c r="A2759" s="3" t="s">
        <v>6090</v>
      </c>
      <c r="B2759" s="3" t="s">
        <v>6091</v>
      </c>
    </row>
    <row r="2760">
      <c r="A2760" s="3" t="s">
        <v>6092</v>
      </c>
      <c r="B2760" s="3" t="s">
        <v>6093</v>
      </c>
    </row>
    <row r="2761">
      <c r="A2761" s="3" t="s">
        <v>6094</v>
      </c>
      <c r="B2761" s="3" t="s">
        <v>6095</v>
      </c>
    </row>
    <row r="2762">
      <c r="A2762" s="3" t="s">
        <v>6096</v>
      </c>
      <c r="B2762" s="3" t="s">
        <v>6097</v>
      </c>
    </row>
    <row r="2763">
      <c r="A2763" s="3" t="s">
        <v>6098</v>
      </c>
      <c r="B2763" s="3" t="s">
        <v>6099</v>
      </c>
    </row>
    <row r="2764">
      <c r="A2764" s="3" t="s">
        <v>6100</v>
      </c>
      <c r="B2764" s="3" t="s">
        <v>6101</v>
      </c>
    </row>
    <row r="2765">
      <c r="A2765" s="3" t="s">
        <v>6102</v>
      </c>
      <c r="B2765" s="3" t="s">
        <v>456</v>
      </c>
    </row>
    <row r="2766">
      <c r="A2766" s="3" t="s">
        <v>6103</v>
      </c>
      <c r="B2766" s="3" t="s">
        <v>6104</v>
      </c>
    </row>
    <row r="2767">
      <c r="A2767" s="3" t="s">
        <v>6105</v>
      </c>
      <c r="B2767" s="3" t="s">
        <v>6106</v>
      </c>
    </row>
    <row r="2768">
      <c r="A2768" s="3" t="s">
        <v>6107</v>
      </c>
      <c r="B2768" s="3" t="s">
        <v>6108</v>
      </c>
    </row>
    <row r="2769">
      <c r="A2769" s="3" t="s">
        <v>6109</v>
      </c>
      <c r="B2769" s="3" t="s">
        <v>6110</v>
      </c>
    </row>
    <row r="2770">
      <c r="A2770" s="3" t="s">
        <v>6111</v>
      </c>
      <c r="B2770" s="3" t="s">
        <v>6112</v>
      </c>
    </row>
    <row r="2771">
      <c r="A2771" s="3" t="s">
        <v>6113</v>
      </c>
      <c r="B2771" s="3" t="s">
        <v>6114</v>
      </c>
    </row>
    <row r="2772">
      <c r="A2772" s="3" t="s">
        <v>6115</v>
      </c>
      <c r="B2772" s="3" t="s">
        <v>6116</v>
      </c>
    </row>
    <row r="2773">
      <c r="A2773" s="3" t="s">
        <v>6117</v>
      </c>
      <c r="B2773" s="3" t="s">
        <v>6118</v>
      </c>
    </row>
    <row r="2774">
      <c r="A2774" s="3" t="s">
        <v>6119</v>
      </c>
      <c r="B2774" s="3" t="s">
        <v>6120</v>
      </c>
    </row>
    <row r="2775">
      <c r="A2775" s="3" t="s">
        <v>6121</v>
      </c>
      <c r="B2775" s="3" t="s">
        <v>6122</v>
      </c>
    </row>
    <row r="2776">
      <c r="A2776" s="3" t="s">
        <v>6123</v>
      </c>
      <c r="B2776" s="3" t="s">
        <v>6124</v>
      </c>
    </row>
    <row r="2777">
      <c r="A2777" s="3" t="s">
        <v>6125</v>
      </c>
      <c r="B2777" s="3" t="s">
        <v>6126</v>
      </c>
    </row>
    <row r="2778">
      <c r="A2778" s="3" t="s">
        <v>6127</v>
      </c>
      <c r="B2778" s="3" t="s">
        <v>6128</v>
      </c>
    </row>
    <row r="2779">
      <c r="A2779" s="3" t="s">
        <v>6129</v>
      </c>
      <c r="B2779" s="3" t="s">
        <v>6130</v>
      </c>
    </row>
    <row r="2780">
      <c r="A2780" s="3" t="s">
        <v>6131</v>
      </c>
      <c r="B2780" s="3" t="s">
        <v>6132</v>
      </c>
    </row>
    <row r="2781">
      <c r="A2781" s="3" t="s">
        <v>6133</v>
      </c>
      <c r="B2781" s="3" t="s">
        <v>6134</v>
      </c>
    </row>
    <row r="2782">
      <c r="A2782" s="3" t="s">
        <v>6135</v>
      </c>
      <c r="B2782" s="3" t="s">
        <v>6136</v>
      </c>
    </row>
    <row r="2783">
      <c r="A2783" s="3" t="s">
        <v>6137</v>
      </c>
      <c r="B2783" s="3" t="s">
        <v>6138</v>
      </c>
    </row>
    <row r="2784">
      <c r="A2784" s="3" t="s">
        <v>6139</v>
      </c>
      <c r="B2784" s="3" t="s">
        <v>6140</v>
      </c>
    </row>
    <row r="2785">
      <c r="A2785" s="3" t="s">
        <v>6141</v>
      </c>
      <c r="B2785" s="3" t="s">
        <v>6142</v>
      </c>
    </row>
    <row r="2786">
      <c r="A2786" s="3" t="s">
        <v>6143</v>
      </c>
      <c r="B2786" s="3" t="s">
        <v>6144</v>
      </c>
    </row>
    <row r="2787">
      <c r="A2787" s="3" t="s">
        <v>6145</v>
      </c>
      <c r="B2787" s="3" t="s">
        <v>6146</v>
      </c>
    </row>
    <row r="2788">
      <c r="A2788" s="3" t="s">
        <v>6147</v>
      </c>
      <c r="B2788" s="3" t="s">
        <v>6148</v>
      </c>
    </row>
    <row r="2789">
      <c r="A2789" s="3" t="s">
        <v>6149</v>
      </c>
      <c r="B2789" s="3" t="s">
        <v>6150</v>
      </c>
    </row>
    <row r="2790">
      <c r="A2790" s="3" t="s">
        <v>6151</v>
      </c>
      <c r="B2790" s="3" t="s">
        <v>6152</v>
      </c>
    </row>
    <row r="2791">
      <c r="A2791" s="3" t="s">
        <v>6153</v>
      </c>
      <c r="B2791" s="3" t="s">
        <v>6154</v>
      </c>
    </row>
    <row r="2792">
      <c r="A2792" s="3" t="s">
        <v>6155</v>
      </c>
      <c r="B2792" s="3" t="s">
        <v>6156</v>
      </c>
    </row>
    <row r="2793">
      <c r="A2793" s="3" t="s">
        <v>6157</v>
      </c>
      <c r="B2793" s="3" t="s">
        <v>6158</v>
      </c>
    </row>
    <row r="2794">
      <c r="A2794" s="3" t="s">
        <v>6159</v>
      </c>
      <c r="B2794" s="3" t="s">
        <v>6160</v>
      </c>
    </row>
    <row r="2795">
      <c r="A2795" s="3" t="s">
        <v>6161</v>
      </c>
      <c r="B2795" s="3" t="s">
        <v>431</v>
      </c>
    </row>
    <row r="2796">
      <c r="A2796" s="3" t="s">
        <v>6162</v>
      </c>
      <c r="B2796" s="3" t="s">
        <v>6163</v>
      </c>
    </row>
    <row r="2797">
      <c r="A2797" s="3" t="s">
        <v>6164</v>
      </c>
      <c r="B2797" s="3" t="s">
        <v>6165</v>
      </c>
    </row>
    <row r="2798">
      <c r="A2798" s="3" t="s">
        <v>6166</v>
      </c>
      <c r="B2798" s="3" t="s">
        <v>6167</v>
      </c>
    </row>
    <row r="2799">
      <c r="A2799" s="3" t="s">
        <v>6168</v>
      </c>
      <c r="B2799" s="3" t="s">
        <v>6169</v>
      </c>
    </row>
    <row r="2800">
      <c r="A2800" s="3" t="s">
        <v>6170</v>
      </c>
      <c r="B2800" s="3" t="s">
        <v>6171</v>
      </c>
    </row>
    <row r="2801">
      <c r="A2801" s="3" t="s">
        <v>6172</v>
      </c>
      <c r="B2801" s="3" t="s">
        <v>6173</v>
      </c>
    </row>
    <row r="2802">
      <c r="A2802" s="3" t="s">
        <v>6174</v>
      </c>
      <c r="B2802" s="3" t="s">
        <v>6175</v>
      </c>
    </row>
    <row r="2803">
      <c r="A2803" s="3" t="s">
        <v>6176</v>
      </c>
      <c r="B2803" s="3" t="s">
        <v>6177</v>
      </c>
    </row>
    <row r="2804">
      <c r="A2804" s="3" t="s">
        <v>6178</v>
      </c>
      <c r="B2804" s="3" t="s">
        <v>6148</v>
      </c>
    </row>
    <row r="2805">
      <c r="A2805" s="3" t="s">
        <v>6179</v>
      </c>
      <c r="B2805" s="3" t="s">
        <v>6148</v>
      </c>
    </row>
    <row r="2806">
      <c r="A2806" s="3" t="s">
        <v>6180</v>
      </c>
      <c r="B2806" s="3" t="s">
        <v>6148</v>
      </c>
    </row>
    <row r="2807">
      <c r="A2807" s="3" t="s">
        <v>6181</v>
      </c>
      <c r="B2807" s="3" t="s">
        <v>6182</v>
      </c>
    </row>
    <row r="2808">
      <c r="A2808" s="3" t="s">
        <v>6183</v>
      </c>
      <c r="B2808" s="3" t="s">
        <v>6184</v>
      </c>
    </row>
    <row r="2809">
      <c r="A2809" s="3" t="s">
        <v>6185</v>
      </c>
      <c r="B2809" s="3" t="s">
        <v>6186</v>
      </c>
    </row>
    <row r="2810">
      <c r="A2810" s="3" t="s">
        <v>6187</v>
      </c>
      <c r="B2810" s="3" t="s">
        <v>6188</v>
      </c>
    </row>
    <row r="2811">
      <c r="A2811" s="3" t="s">
        <v>6189</v>
      </c>
      <c r="B2811" s="3" t="s">
        <v>6190</v>
      </c>
    </row>
    <row r="2812">
      <c r="A2812" s="3" t="s">
        <v>6191</v>
      </c>
      <c r="B2812" s="3" t="s">
        <v>6192</v>
      </c>
    </row>
    <row r="2813">
      <c r="A2813" s="3" t="s">
        <v>6193</v>
      </c>
      <c r="B2813" s="3" t="s">
        <v>6194</v>
      </c>
    </row>
    <row r="2814">
      <c r="A2814" s="3" t="s">
        <v>6195</v>
      </c>
      <c r="B2814" s="3" t="s">
        <v>6196</v>
      </c>
    </row>
    <row r="2815">
      <c r="A2815" s="3" t="s">
        <v>6197</v>
      </c>
      <c r="B2815" s="3" t="s">
        <v>6198</v>
      </c>
    </row>
    <row r="2816">
      <c r="A2816" s="3" t="s">
        <v>6199</v>
      </c>
      <c r="B2816" s="3" t="s">
        <v>6200</v>
      </c>
    </row>
    <row r="2817">
      <c r="A2817" s="3" t="s">
        <v>6201</v>
      </c>
      <c r="B2817" s="3" t="s">
        <v>6202</v>
      </c>
    </row>
    <row r="2818">
      <c r="A2818" s="3" t="s">
        <v>6203</v>
      </c>
      <c r="B2818" s="3" t="s">
        <v>6204</v>
      </c>
    </row>
    <row r="2819">
      <c r="A2819" s="3" t="s">
        <v>6205</v>
      </c>
      <c r="B2819" s="3" t="s">
        <v>6206</v>
      </c>
    </row>
    <row r="2820">
      <c r="A2820" s="3" t="s">
        <v>6207</v>
      </c>
      <c r="B2820" s="3" t="s">
        <v>362</v>
      </c>
    </row>
    <row r="2821">
      <c r="A2821" s="3" t="s">
        <v>6208</v>
      </c>
      <c r="B2821" s="3" t="s">
        <v>6209</v>
      </c>
    </row>
    <row r="2822">
      <c r="A2822" s="3" t="s">
        <v>6210</v>
      </c>
      <c r="B2822" s="3" t="s">
        <v>6211</v>
      </c>
    </row>
    <row r="2823">
      <c r="A2823" s="3" t="s">
        <v>6212</v>
      </c>
      <c r="B2823" s="3" t="s">
        <v>6213</v>
      </c>
    </row>
    <row r="2824">
      <c r="A2824" s="3" t="s">
        <v>6214</v>
      </c>
      <c r="B2824" s="3" t="s">
        <v>6215</v>
      </c>
    </row>
    <row r="2825">
      <c r="A2825" s="3" t="s">
        <v>6216</v>
      </c>
      <c r="B2825" s="3" t="s">
        <v>6217</v>
      </c>
    </row>
    <row r="2826">
      <c r="A2826" s="3" t="s">
        <v>6218</v>
      </c>
      <c r="B2826" s="3" t="s">
        <v>6219</v>
      </c>
    </row>
    <row r="2827">
      <c r="A2827" s="3" t="s">
        <v>6220</v>
      </c>
      <c r="B2827" s="3" t="s">
        <v>6221</v>
      </c>
    </row>
    <row r="2828">
      <c r="A2828" s="3" t="s">
        <v>6222</v>
      </c>
      <c r="B2828" s="3" t="s">
        <v>6223</v>
      </c>
    </row>
    <row r="2829">
      <c r="A2829" s="3" t="s">
        <v>6224</v>
      </c>
      <c r="B2829" s="3" t="s">
        <v>6225</v>
      </c>
    </row>
    <row r="2830">
      <c r="A2830" s="3" t="s">
        <v>6226</v>
      </c>
      <c r="B2830" s="3" t="s">
        <v>6227</v>
      </c>
    </row>
    <row r="2831">
      <c r="A2831" s="3" t="s">
        <v>6228</v>
      </c>
      <c r="B2831" s="3" t="s">
        <v>6229</v>
      </c>
    </row>
    <row r="2832">
      <c r="A2832" s="3" t="s">
        <v>6230</v>
      </c>
      <c r="B2832" s="3" t="s">
        <v>6231</v>
      </c>
    </row>
    <row r="2833">
      <c r="A2833" s="3" t="s">
        <v>6232</v>
      </c>
      <c r="B2833" s="3" t="s">
        <v>6233</v>
      </c>
    </row>
    <row r="2834">
      <c r="A2834" s="3" t="s">
        <v>6234</v>
      </c>
      <c r="B2834" s="3" t="s">
        <v>6235</v>
      </c>
    </row>
    <row r="2835">
      <c r="A2835" s="3" t="s">
        <v>6236</v>
      </c>
      <c r="B2835" s="3" t="s">
        <v>339</v>
      </c>
    </row>
    <row r="2836">
      <c r="A2836" s="3" t="s">
        <v>6237</v>
      </c>
      <c r="B2836" s="3" t="s">
        <v>6238</v>
      </c>
    </row>
    <row r="2837">
      <c r="A2837" s="3" t="s">
        <v>6239</v>
      </c>
      <c r="B2837" s="3" t="s">
        <v>6240</v>
      </c>
    </row>
    <row r="2838">
      <c r="A2838" s="3" t="s">
        <v>6241</v>
      </c>
      <c r="B2838" s="3" t="s">
        <v>6242</v>
      </c>
    </row>
    <row r="2839">
      <c r="A2839" s="3" t="s">
        <v>6243</v>
      </c>
      <c r="B2839" s="3" t="s">
        <v>6244</v>
      </c>
    </row>
    <row r="2840">
      <c r="A2840" s="3" t="s">
        <v>6245</v>
      </c>
      <c r="B2840" s="3" t="s">
        <v>6246</v>
      </c>
    </row>
    <row r="2841">
      <c r="A2841" s="3" t="s">
        <v>6247</v>
      </c>
      <c r="B2841" s="3" t="s">
        <v>6248</v>
      </c>
    </row>
    <row r="2842">
      <c r="A2842" s="3" t="s">
        <v>6249</v>
      </c>
      <c r="B2842" s="3" t="s">
        <v>320</v>
      </c>
    </row>
    <row r="2843">
      <c r="A2843" s="3" t="s">
        <v>6250</v>
      </c>
      <c r="B2843" s="3" t="s">
        <v>6251</v>
      </c>
    </row>
    <row r="2844">
      <c r="A2844" s="3" t="s">
        <v>6252</v>
      </c>
      <c r="B2844" s="3" t="s">
        <v>6253</v>
      </c>
    </row>
    <row r="2845">
      <c r="A2845" s="3" t="s">
        <v>6254</v>
      </c>
      <c r="B2845" s="3" t="s">
        <v>6255</v>
      </c>
    </row>
    <row r="2846">
      <c r="A2846" s="3" t="s">
        <v>6256</v>
      </c>
      <c r="B2846" s="3" t="s">
        <v>6257</v>
      </c>
    </row>
    <row r="2847">
      <c r="A2847" s="3" t="s">
        <v>6258</v>
      </c>
      <c r="B2847" s="3" t="s">
        <v>6259</v>
      </c>
    </row>
    <row r="2848">
      <c r="A2848" s="3" t="s">
        <v>6260</v>
      </c>
      <c r="B2848" s="3" t="s">
        <v>6261</v>
      </c>
    </row>
    <row r="2849">
      <c r="A2849" s="3" t="s">
        <v>6262</v>
      </c>
      <c r="B2849" s="3" t="s">
        <v>6263</v>
      </c>
    </row>
    <row r="2850">
      <c r="A2850" s="3" t="s">
        <v>6264</v>
      </c>
      <c r="B2850" s="3" t="s">
        <v>6265</v>
      </c>
    </row>
    <row r="2851">
      <c r="A2851" s="3" t="s">
        <v>6266</v>
      </c>
      <c r="B2851" s="3" t="s">
        <v>6267</v>
      </c>
    </row>
    <row r="2852">
      <c r="A2852" s="3" t="s">
        <v>6268</v>
      </c>
      <c r="B2852" s="3" t="s">
        <v>6269</v>
      </c>
    </row>
    <row r="2853">
      <c r="A2853" s="3" t="s">
        <v>6270</v>
      </c>
      <c r="B2853" s="3" t="s">
        <v>6271</v>
      </c>
    </row>
    <row r="2854">
      <c r="A2854" s="3" t="s">
        <v>6272</v>
      </c>
      <c r="B2854" s="3" t="s">
        <v>6273</v>
      </c>
    </row>
    <row r="2855">
      <c r="A2855" s="3" t="s">
        <v>6274</v>
      </c>
      <c r="B2855" s="3" t="s">
        <v>6275</v>
      </c>
    </row>
    <row r="2856">
      <c r="A2856" s="3" t="s">
        <v>6276</v>
      </c>
      <c r="B2856" s="3" t="s">
        <v>6277</v>
      </c>
    </row>
    <row r="2857">
      <c r="A2857" s="3" t="s">
        <v>6278</v>
      </c>
      <c r="B2857" s="3" t="s">
        <v>6279</v>
      </c>
    </row>
    <row r="2858">
      <c r="A2858" s="3" t="s">
        <v>6280</v>
      </c>
      <c r="B2858" s="3" t="s">
        <v>6281</v>
      </c>
    </row>
    <row r="2859">
      <c r="A2859" s="3" t="s">
        <v>6282</v>
      </c>
      <c r="B2859" s="3" t="s">
        <v>6283</v>
      </c>
    </row>
    <row r="2860">
      <c r="A2860" s="3" t="s">
        <v>6284</v>
      </c>
      <c r="B2860" s="3" t="s">
        <v>6285</v>
      </c>
    </row>
    <row r="2861">
      <c r="A2861" s="3" t="s">
        <v>6286</v>
      </c>
      <c r="B2861" s="3" t="s">
        <v>6287</v>
      </c>
    </row>
    <row r="2862">
      <c r="A2862" s="3" t="s">
        <v>6288</v>
      </c>
      <c r="B2862" s="3" t="s">
        <v>6289</v>
      </c>
    </row>
    <row r="2863">
      <c r="A2863" s="3" t="s">
        <v>6290</v>
      </c>
      <c r="B2863" s="3" t="s">
        <v>6291</v>
      </c>
    </row>
    <row r="2864">
      <c r="A2864" s="3" t="s">
        <v>6292</v>
      </c>
      <c r="B2864" s="3" t="s">
        <v>295</v>
      </c>
    </row>
    <row r="2865">
      <c r="A2865" s="3" t="s">
        <v>6293</v>
      </c>
      <c r="B2865" s="3" t="s">
        <v>6294</v>
      </c>
    </row>
    <row r="2866">
      <c r="A2866" s="3" t="s">
        <v>6295</v>
      </c>
      <c r="B2866" s="3" t="s">
        <v>6296</v>
      </c>
    </row>
    <row r="2867">
      <c r="A2867" s="3" t="s">
        <v>6297</v>
      </c>
      <c r="B2867" s="3" t="s">
        <v>6298</v>
      </c>
    </row>
    <row r="2868">
      <c r="A2868" s="3" t="s">
        <v>6299</v>
      </c>
      <c r="B2868" s="3" t="s">
        <v>6300</v>
      </c>
    </row>
    <row r="2869">
      <c r="A2869" s="3" t="s">
        <v>6301</v>
      </c>
      <c r="B2869" s="3" t="s">
        <v>6302</v>
      </c>
    </row>
    <row r="2870">
      <c r="A2870" s="3" t="s">
        <v>6303</v>
      </c>
      <c r="B2870" s="3" t="s">
        <v>6304</v>
      </c>
    </row>
    <row r="2871">
      <c r="A2871" s="3" t="s">
        <v>6305</v>
      </c>
      <c r="B2871" s="3" t="s">
        <v>6306</v>
      </c>
    </row>
    <row r="2872">
      <c r="A2872" s="3" t="s">
        <v>6307</v>
      </c>
      <c r="B2872" s="3" t="s">
        <v>6308</v>
      </c>
    </row>
    <row r="2873">
      <c r="A2873" s="3" t="s">
        <v>6309</v>
      </c>
      <c r="B2873" s="3" t="s">
        <v>6310</v>
      </c>
    </row>
    <row r="2874">
      <c r="A2874" s="3" t="s">
        <v>6311</v>
      </c>
      <c r="B2874" s="3" t="s">
        <v>6312</v>
      </c>
    </row>
    <row r="2875">
      <c r="A2875" s="3" t="s">
        <v>6313</v>
      </c>
      <c r="B2875" s="3" t="s">
        <v>6314</v>
      </c>
    </row>
    <row r="2876">
      <c r="A2876" s="3" t="s">
        <v>6315</v>
      </c>
      <c r="B2876" s="3" t="s">
        <v>6316</v>
      </c>
    </row>
    <row r="2877">
      <c r="A2877" s="3" t="s">
        <v>6317</v>
      </c>
      <c r="B2877" s="3" t="s">
        <v>6318</v>
      </c>
    </row>
    <row r="2878">
      <c r="A2878" s="3" t="s">
        <v>6319</v>
      </c>
      <c r="B2878" s="3" t="s">
        <v>591</v>
      </c>
    </row>
    <row r="2879">
      <c r="A2879" s="3" t="s">
        <v>6320</v>
      </c>
      <c r="B2879" s="3" t="s">
        <v>6321</v>
      </c>
    </row>
    <row r="2880">
      <c r="A2880" s="3" t="s">
        <v>6322</v>
      </c>
      <c r="B2880" s="3" t="s">
        <v>6323</v>
      </c>
    </row>
    <row r="2881">
      <c r="A2881" s="3" t="s">
        <v>6324</v>
      </c>
      <c r="B2881" s="3" t="s">
        <v>6325</v>
      </c>
    </row>
    <row r="2882">
      <c r="A2882" s="3" t="s">
        <v>6326</v>
      </c>
      <c r="B2882" s="3" t="s">
        <v>6327</v>
      </c>
    </row>
    <row r="2883">
      <c r="A2883" s="3" t="s">
        <v>6328</v>
      </c>
      <c r="B2883" s="3" t="s">
        <v>6329</v>
      </c>
    </row>
    <row r="2884">
      <c r="A2884" s="3" t="s">
        <v>6330</v>
      </c>
      <c r="B2884" s="3" t="s">
        <v>6331</v>
      </c>
    </row>
    <row r="2885">
      <c r="A2885" s="3" t="s">
        <v>6332</v>
      </c>
      <c r="B2885" s="3" t="s">
        <v>6333</v>
      </c>
    </row>
    <row r="2886">
      <c r="A2886" s="3" t="s">
        <v>6334</v>
      </c>
      <c r="B2886" s="3" t="s">
        <v>6335</v>
      </c>
    </row>
    <row r="2887">
      <c r="A2887" s="3" t="s">
        <v>6336</v>
      </c>
      <c r="B2887" s="3" t="s">
        <v>6337</v>
      </c>
    </row>
    <row r="2888">
      <c r="A2888" s="3" t="s">
        <v>6338</v>
      </c>
      <c r="B2888" s="3" t="s">
        <v>6339</v>
      </c>
    </row>
    <row r="2889">
      <c r="A2889" s="3" t="s">
        <v>6340</v>
      </c>
      <c r="B2889" s="3" t="s">
        <v>6341</v>
      </c>
    </row>
    <row r="2890">
      <c r="A2890" s="3" t="s">
        <v>6342</v>
      </c>
      <c r="B2890" s="3" t="s">
        <v>6343</v>
      </c>
    </row>
    <row r="2891">
      <c r="A2891" s="3" t="s">
        <v>6344</v>
      </c>
      <c r="B2891" s="3" t="s">
        <v>6345</v>
      </c>
    </row>
    <row r="2892">
      <c r="A2892" s="3" t="s">
        <v>6346</v>
      </c>
      <c r="B2892" s="3" t="s">
        <v>6347</v>
      </c>
    </row>
    <row r="2893">
      <c r="A2893" s="3" t="s">
        <v>6348</v>
      </c>
      <c r="B2893" s="3" t="s">
        <v>6349</v>
      </c>
    </row>
    <row r="2894">
      <c r="A2894" s="3" t="s">
        <v>6350</v>
      </c>
      <c r="B2894" s="3" t="s">
        <v>6351</v>
      </c>
    </row>
    <row r="2895">
      <c r="A2895" s="3" t="s">
        <v>6352</v>
      </c>
      <c r="B2895" s="3" t="s">
        <v>6353</v>
      </c>
    </row>
    <row r="2896">
      <c r="A2896" s="3" t="s">
        <v>6354</v>
      </c>
      <c r="B2896" s="3" t="s">
        <v>6355</v>
      </c>
    </row>
    <row r="2897">
      <c r="A2897" s="3" t="s">
        <v>6356</v>
      </c>
      <c r="B2897" s="3" t="s">
        <v>6357</v>
      </c>
    </row>
    <row r="2898">
      <c r="A2898" s="3" t="s">
        <v>6358</v>
      </c>
      <c r="B2898" s="3" t="s">
        <v>6359</v>
      </c>
    </row>
    <row r="2899">
      <c r="A2899" s="3" t="s">
        <v>6360</v>
      </c>
      <c r="B2899" s="3" t="s">
        <v>6361</v>
      </c>
    </row>
    <row r="2900">
      <c r="A2900" s="3" t="s">
        <v>6362</v>
      </c>
      <c r="B2900" s="3" t="s">
        <v>6363</v>
      </c>
    </row>
    <row r="2901">
      <c r="A2901" s="3" t="s">
        <v>6364</v>
      </c>
      <c r="B2901" s="3" t="s">
        <v>6365</v>
      </c>
    </row>
    <row r="2902">
      <c r="A2902" s="3" t="s">
        <v>6366</v>
      </c>
      <c r="B2902" s="3" t="s">
        <v>6367</v>
      </c>
    </row>
    <row r="2903">
      <c r="A2903" s="3" t="s">
        <v>6368</v>
      </c>
      <c r="B2903" s="3" t="s">
        <v>6369</v>
      </c>
    </row>
    <row r="2904">
      <c r="A2904" s="3" t="s">
        <v>6370</v>
      </c>
      <c r="B2904" s="3" t="s">
        <v>6371</v>
      </c>
    </row>
    <row r="2905">
      <c r="A2905" s="3" t="s">
        <v>6372</v>
      </c>
      <c r="B2905" s="3" t="s">
        <v>6373</v>
      </c>
    </row>
    <row r="2906">
      <c r="A2906" s="3" t="s">
        <v>6374</v>
      </c>
      <c r="B2906" s="3" t="s">
        <v>6375</v>
      </c>
    </row>
    <row r="2907">
      <c r="A2907" s="3" t="s">
        <v>6376</v>
      </c>
      <c r="B2907" s="3" t="s">
        <v>6377</v>
      </c>
    </row>
    <row r="2908">
      <c r="A2908" s="3" t="s">
        <v>6378</v>
      </c>
      <c r="B2908" s="3" t="s">
        <v>6379</v>
      </c>
    </row>
    <row r="2909">
      <c r="A2909" s="3" t="s">
        <v>6380</v>
      </c>
      <c r="B2909" s="3" t="s">
        <v>6381</v>
      </c>
    </row>
    <row r="2910">
      <c r="A2910" s="3" t="s">
        <v>6382</v>
      </c>
      <c r="B2910" s="3" t="s">
        <v>6383</v>
      </c>
    </row>
    <row r="2911">
      <c r="A2911" s="3" t="s">
        <v>6384</v>
      </c>
      <c r="B2911" s="3" t="s">
        <v>6385</v>
      </c>
    </row>
    <row r="2912">
      <c r="A2912" s="3" t="s">
        <v>6386</v>
      </c>
      <c r="B2912" s="3" t="s">
        <v>6387</v>
      </c>
    </row>
    <row r="2913">
      <c r="A2913" s="3" t="s">
        <v>6388</v>
      </c>
      <c r="B2913" s="3" t="s">
        <v>6389</v>
      </c>
    </row>
    <row r="2914">
      <c r="A2914" s="3" t="s">
        <v>6390</v>
      </c>
      <c r="B2914" s="3" t="s">
        <v>6391</v>
      </c>
    </row>
    <row r="2915">
      <c r="A2915" s="3" t="s">
        <v>6392</v>
      </c>
      <c r="B2915" s="3" t="s">
        <v>6393</v>
      </c>
    </row>
    <row r="2916">
      <c r="A2916" s="3" t="s">
        <v>6394</v>
      </c>
      <c r="B2916" s="3" t="s">
        <v>6395</v>
      </c>
    </row>
    <row r="2917">
      <c r="A2917" s="3" t="s">
        <v>6396</v>
      </c>
      <c r="B2917" s="3" t="s">
        <v>6397</v>
      </c>
    </row>
    <row r="2918">
      <c r="A2918" s="3" t="s">
        <v>6398</v>
      </c>
      <c r="B2918" s="3" t="s">
        <v>6399</v>
      </c>
    </row>
    <row r="2919">
      <c r="A2919" s="3" t="s">
        <v>6400</v>
      </c>
      <c r="B2919" s="3" t="s">
        <v>6401</v>
      </c>
    </row>
    <row r="2920">
      <c r="A2920" s="3" t="s">
        <v>6402</v>
      </c>
      <c r="B2920" s="3" t="s">
        <v>6403</v>
      </c>
    </row>
    <row r="2921">
      <c r="A2921" s="3" t="s">
        <v>6404</v>
      </c>
      <c r="B2921" s="3" t="s">
        <v>6405</v>
      </c>
    </row>
    <row r="2922">
      <c r="A2922" s="3" t="s">
        <v>6406</v>
      </c>
      <c r="B2922" s="3" t="s">
        <v>264</v>
      </c>
    </row>
    <row r="2923">
      <c r="A2923" s="3" t="s">
        <v>6407</v>
      </c>
      <c r="B2923" s="3" t="s">
        <v>6408</v>
      </c>
    </row>
    <row r="2924">
      <c r="A2924" s="3" t="s">
        <v>6409</v>
      </c>
      <c r="B2924" s="3" t="s">
        <v>313</v>
      </c>
    </row>
  </sheetData>
  <hyperlinks>
    <hyperlink r:id="rId1" ref="B214"/>
    <hyperlink r:id="rId2" ref="B215"/>
    <hyperlink r:id="rId3" ref="B428"/>
    <hyperlink r:id="rId4" ref="B429"/>
    <hyperlink r:id="rId5" ref="B706"/>
    <hyperlink r:id="rId6" ref="B2425"/>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19.25"/>
    <col customWidth="1" min="3" max="3" width="36.13"/>
    <col customWidth="1" min="4" max="4" width="21.88"/>
  </cols>
  <sheetData>
    <row r="1">
      <c r="A1" s="1" t="s">
        <v>6410</v>
      </c>
      <c r="B1" s="1" t="s">
        <v>610</v>
      </c>
      <c r="C1" s="1" t="s">
        <v>611</v>
      </c>
      <c r="D1" s="1" t="s">
        <v>6411</v>
      </c>
      <c r="F1" s="3" t="s">
        <v>21</v>
      </c>
      <c r="G1" s="4">
        <v>46072.106918749996</v>
      </c>
    </row>
    <row r="2">
      <c r="A2" s="3" t="b">
        <v>0</v>
      </c>
      <c r="B2" s="3" t="s">
        <v>6412</v>
      </c>
      <c r="C2" s="3" t="s">
        <v>6413</v>
      </c>
    </row>
    <row r="3">
      <c r="A3" s="3" t="b">
        <v>0</v>
      </c>
      <c r="B3" s="3" t="s">
        <v>6414</v>
      </c>
      <c r="C3" s="3" t="s">
        <v>6415</v>
      </c>
      <c r="D3" s="3" t="s">
        <v>3186</v>
      </c>
    </row>
    <row r="4">
      <c r="A4" s="3" t="b">
        <v>1</v>
      </c>
      <c r="B4" s="3" t="s">
        <v>6416</v>
      </c>
      <c r="C4" s="3" t="s">
        <v>6417</v>
      </c>
      <c r="D4" s="3" t="s">
        <v>6141</v>
      </c>
    </row>
    <row r="5">
      <c r="A5" s="3" t="b">
        <v>1</v>
      </c>
      <c r="B5" s="3" t="s">
        <v>6418</v>
      </c>
      <c r="C5" s="3" t="s">
        <v>6419</v>
      </c>
      <c r="D5" s="3" t="s">
        <v>2821</v>
      </c>
    </row>
    <row r="6">
      <c r="A6" s="3" t="b">
        <v>1</v>
      </c>
      <c r="B6" s="3" t="s">
        <v>6420</v>
      </c>
      <c r="C6" s="3" t="s">
        <v>6421</v>
      </c>
      <c r="D6" s="3" t="s">
        <v>5995</v>
      </c>
    </row>
    <row r="7">
      <c r="A7" s="3" t="b">
        <v>0</v>
      </c>
      <c r="B7" s="3" t="s">
        <v>107</v>
      </c>
      <c r="C7" s="3" t="s">
        <v>242</v>
      </c>
      <c r="D7" s="3" t="s">
        <v>2863</v>
      </c>
    </row>
    <row r="8">
      <c r="A8" s="3" t="b">
        <v>0</v>
      </c>
      <c r="B8" s="3" t="s">
        <v>6422</v>
      </c>
      <c r="C8" s="3" t="s">
        <v>6423</v>
      </c>
      <c r="D8" s="3" t="s">
        <v>5898</v>
      </c>
    </row>
    <row r="9">
      <c r="A9" s="3" t="b">
        <v>1</v>
      </c>
      <c r="B9" s="3" t="s">
        <v>6424</v>
      </c>
      <c r="C9" s="3" t="s">
        <v>6425</v>
      </c>
      <c r="D9" s="3" t="s">
        <v>6117</v>
      </c>
    </row>
    <row r="10">
      <c r="A10" s="3" t="b">
        <v>0</v>
      </c>
      <c r="B10" s="3" t="s">
        <v>6426</v>
      </c>
      <c r="C10" s="3" t="s">
        <v>6427</v>
      </c>
      <c r="D10" s="3" t="s">
        <v>727</v>
      </c>
    </row>
    <row r="11">
      <c r="A11" s="3" t="b">
        <v>1</v>
      </c>
      <c r="B11" s="3" t="s">
        <v>6428</v>
      </c>
      <c r="C11" s="3" t="s">
        <v>6429</v>
      </c>
      <c r="D11" s="3" t="s">
        <v>6324</v>
      </c>
    </row>
    <row r="12">
      <c r="A12" s="3" t="b">
        <v>1</v>
      </c>
      <c r="B12" s="3" t="s">
        <v>6430</v>
      </c>
      <c r="C12" s="3" t="s">
        <v>6431</v>
      </c>
      <c r="D12" s="3" t="s">
        <v>3323</v>
      </c>
    </row>
    <row r="13">
      <c r="A13" s="3" t="b">
        <v>0</v>
      </c>
      <c r="B13" s="3" t="s">
        <v>6432</v>
      </c>
      <c r="C13" s="3" t="s">
        <v>6433</v>
      </c>
      <c r="D13" s="3" t="s">
        <v>5955</v>
      </c>
    </row>
    <row r="14">
      <c r="A14" s="3" t="b">
        <v>1</v>
      </c>
      <c r="B14" s="3" t="s">
        <v>6434</v>
      </c>
      <c r="C14" s="3" t="s">
        <v>6435</v>
      </c>
      <c r="D14" s="3" t="s">
        <v>712</v>
      </c>
    </row>
    <row r="15">
      <c r="A15" s="3" t="b">
        <v>0</v>
      </c>
      <c r="B15" s="3" t="s">
        <v>6436</v>
      </c>
      <c r="C15" s="3" t="s">
        <v>6437</v>
      </c>
      <c r="D15" s="3" t="s">
        <v>6007</v>
      </c>
    </row>
    <row r="16">
      <c r="A16" s="3" t="b">
        <v>1</v>
      </c>
      <c r="B16" s="3" t="s">
        <v>6438</v>
      </c>
      <c r="C16" s="3" t="s">
        <v>6439</v>
      </c>
      <c r="D16" s="3" t="s">
        <v>789</v>
      </c>
    </row>
    <row r="17">
      <c r="A17" s="3" t="b">
        <v>0</v>
      </c>
      <c r="B17" s="3" t="s">
        <v>208</v>
      </c>
      <c r="C17" s="3" t="s">
        <v>209</v>
      </c>
      <c r="D17" s="3" t="s">
        <v>6076</v>
      </c>
    </row>
    <row r="18">
      <c r="A18" s="3" t="b">
        <v>0</v>
      </c>
      <c r="B18" s="3" t="s">
        <v>6440</v>
      </c>
      <c r="C18" s="3" t="s">
        <v>6441</v>
      </c>
      <c r="D18" s="3" t="s">
        <v>3504</v>
      </c>
    </row>
    <row r="19">
      <c r="A19" s="3" t="b">
        <v>0</v>
      </c>
      <c r="B19" s="3" t="s">
        <v>6442</v>
      </c>
      <c r="C19" s="3" t="s">
        <v>6443</v>
      </c>
      <c r="D19" s="3" t="s">
        <v>3005</v>
      </c>
    </row>
    <row r="20">
      <c r="A20" s="3" t="b">
        <v>1</v>
      </c>
      <c r="B20" s="3" t="s">
        <v>6444</v>
      </c>
      <c r="C20" s="3" t="s">
        <v>6445</v>
      </c>
      <c r="D20" s="3" t="s">
        <v>2356</v>
      </c>
    </row>
    <row r="21">
      <c r="A21" s="3" t="b">
        <v>0</v>
      </c>
      <c r="B21" s="3" t="s">
        <v>6446</v>
      </c>
      <c r="C21" s="3" t="s">
        <v>6447</v>
      </c>
      <c r="D21" s="3" t="s">
        <v>1324</v>
      </c>
    </row>
    <row r="22">
      <c r="A22" s="3" t="b">
        <v>1</v>
      </c>
      <c r="B22" s="3" t="s">
        <v>139</v>
      </c>
      <c r="C22" s="3" t="s">
        <v>361</v>
      </c>
      <c r="D22" s="3" t="s">
        <v>6207</v>
      </c>
    </row>
    <row r="23">
      <c r="A23" s="3" t="b">
        <v>1</v>
      </c>
      <c r="B23" s="3" t="s">
        <v>190</v>
      </c>
      <c r="C23" s="3" t="s">
        <v>191</v>
      </c>
      <c r="D23" s="3" t="s">
        <v>3501</v>
      </c>
    </row>
    <row r="24">
      <c r="A24" s="3" t="b">
        <v>1</v>
      </c>
      <c r="B24" s="3" t="s">
        <v>6448</v>
      </c>
      <c r="C24" s="3" t="s">
        <v>6449</v>
      </c>
      <c r="D24" s="3" t="s">
        <v>1322</v>
      </c>
    </row>
    <row r="25">
      <c r="A25" s="3" t="b">
        <v>1</v>
      </c>
      <c r="B25" s="3" t="s">
        <v>6450</v>
      </c>
      <c r="C25" s="3" t="s">
        <v>552</v>
      </c>
      <c r="D25" s="3" t="s">
        <v>5885</v>
      </c>
    </row>
    <row r="26">
      <c r="A26" s="3" t="b">
        <v>0</v>
      </c>
      <c r="B26" s="3" t="s">
        <v>6451</v>
      </c>
      <c r="C26" s="3" t="s">
        <v>6452</v>
      </c>
      <c r="D26" s="3" t="s">
        <v>1542</v>
      </c>
    </row>
    <row r="27">
      <c r="A27" s="3" t="b">
        <v>0</v>
      </c>
      <c r="B27" s="3" t="s">
        <v>6453</v>
      </c>
      <c r="C27" s="3" t="s">
        <v>6454</v>
      </c>
      <c r="D27" s="3" t="s">
        <v>1208</v>
      </c>
    </row>
    <row r="28">
      <c r="A28" s="3" t="b">
        <v>1</v>
      </c>
      <c r="B28" s="3" t="s">
        <v>6455</v>
      </c>
      <c r="C28" s="3" t="s">
        <v>6456</v>
      </c>
      <c r="D28" s="3" t="s">
        <v>3572</v>
      </c>
    </row>
    <row r="29">
      <c r="A29" s="3" t="b">
        <v>1</v>
      </c>
      <c r="B29" s="3" t="s">
        <v>6457</v>
      </c>
      <c r="C29" s="3" t="s">
        <v>6458</v>
      </c>
      <c r="D29" s="3" t="s">
        <v>3349</v>
      </c>
    </row>
    <row r="30">
      <c r="A30" s="3" t="b">
        <v>0</v>
      </c>
      <c r="B30" s="3" t="s">
        <v>196</v>
      </c>
      <c r="C30" s="3" t="s">
        <v>197</v>
      </c>
      <c r="D30" s="3" t="s">
        <v>6336</v>
      </c>
    </row>
    <row r="31">
      <c r="A31" s="3" t="b">
        <v>0</v>
      </c>
      <c r="B31" s="3" t="s">
        <v>6459</v>
      </c>
      <c r="C31" s="3" t="s">
        <v>6460</v>
      </c>
      <c r="D31" s="3" t="s">
        <v>3226</v>
      </c>
    </row>
    <row r="32">
      <c r="A32" s="3" t="b">
        <v>0</v>
      </c>
      <c r="B32" s="3" t="s">
        <v>6461</v>
      </c>
      <c r="C32" s="3" t="s">
        <v>6462</v>
      </c>
      <c r="D32" s="3" t="s">
        <v>6282</v>
      </c>
    </row>
    <row r="33">
      <c r="A33" s="3" t="b">
        <v>1</v>
      </c>
      <c r="B33" s="3" t="s">
        <v>6463</v>
      </c>
      <c r="C33" s="3" t="s">
        <v>6464</v>
      </c>
      <c r="D33" s="3" t="s">
        <v>6183</v>
      </c>
    </row>
    <row r="34">
      <c r="A34" s="3" t="b">
        <v>1</v>
      </c>
      <c r="B34" s="3" t="s">
        <v>6465</v>
      </c>
      <c r="C34" s="3" t="s">
        <v>6466</v>
      </c>
      <c r="D34" s="3" t="s">
        <v>6396</v>
      </c>
    </row>
    <row r="35">
      <c r="A35" s="3" t="b">
        <v>0</v>
      </c>
      <c r="B35" s="3" t="s">
        <v>6467</v>
      </c>
      <c r="C35" s="3" t="s">
        <v>6468</v>
      </c>
      <c r="D35" s="3" t="s">
        <v>3409</v>
      </c>
    </row>
    <row r="36">
      <c r="A36" s="3" t="b">
        <v>0</v>
      </c>
      <c r="B36" s="3" t="s">
        <v>6469</v>
      </c>
      <c r="C36" s="3" t="s">
        <v>6470</v>
      </c>
      <c r="D36" s="3" t="s">
        <v>6109</v>
      </c>
    </row>
    <row r="37">
      <c r="A37" s="3" t="b">
        <v>0</v>
      </c>
      <c r="B37" s="3" t="s">
        <v>6471</v>
      </c>
      <c r="C37" s="3" t="s">
        <v>6472</v>
      </c>
      <c r="D37" s="3" t="s">
        <v>3214</v>
      </c>
    </row>
    <row r="38">
      <c r="A38" s="3" t="b">
        <v>0</v>
      </c>
      <c r="B38" s="3" t="s">
        <v>6473</v>
      </c>
      <c r="C38" s="3" t="s">
        <v>6474</v>
      </c>
      <c r="D38" s="3" t="s">
        <v>6266</v>
      </c>
    </row>
    <row r="39">
      <c r="A39" s="3" t="b">
        <v>0</v>
      </c>
      <c r="B39" s="3" t="s">
        <v>6475</v>
      </c>
      <c r="C39" s="3" t="s">
        <v>6476</v>
      </c>
      <c r="D39" s="3" t="s">
        <v>5965</v>
      </c>
    </row>
    <row r="40">
      <c r="A40" s="3" t="b">
        <v>0</v>
      </c>
      <c r="B40" s="3" t="s">
        <v>6477</v>
      </c>
      <c r="C40" s="3" t="s">
        <v>6478</v>
      </c>
      <c r="D40" s="3" t="s">
        <v>5629</v>
      </c>
    </row>
    <row r="41">
      <c r="A41" s="3" t="b">
        <v>1</v>
      </c>
      <c r="B41" s="3" t="s">
        <v>6479</v>
      </c>
      <c r="C41" s="3" t="s">
        <v>6480</v>
      </c>
      <c r="D41" s="3" t="s">
        <v>723</v>
      </c>
    </row>
    <row r="42">
      <c r="A42" s="3" t="b">
        <v>1</v>
      </c>
      <c r="B42" s="3" t="s">
        <v>6481</v>
      </c>
      <c r="C42" s="3" t="s">
        <v>6482</v>
      </c>
      <c r="D42" s="3" t="s">
        <v>2125</v>
      </c>
    </row>
    <row r="43">
      <c r="A43" s="3" t="b">
        <v>1</v>
      </c>
      <c r="B43" s="3" t="s">
        <v>6483</v>
      </c>
      <c r="C43" s="3" t="s">
        <v>6484</v>
      </c>
      <c r="D43" s="3" t="s">
        <v>2989</v>
      </c>
    </row>
    <row r="44">
      <c r="A44" s="3" t="b">
        <v>0</v>
      </c>
      <c r="B44" s="3" t="s">
        <v>6485</v>
      </c>
      <c r="C44" s="3" t="s">
        <v>6486</v>
      </c>
      <c r="D44" s="3" t="s">
        <v>5421</v>
      </c>
    </row>
    <row r="45">
      <c r="A45" s="3" t="b">
        <v>0</v>
      </c>
      <c r="B45" s="3" t="s">
        <v>6487</v>
      </c>
      <c r="C45" s="3" t="s">
        <v>532</v>
      </c>
      <c r="D45" s="3" t="s">
        <v>6031</v>
      </c>
    </row>
    <row r="46">
      <c r="A46" s="3" t="b">
        <v>0</v>
      </c>
      <c r="B46" s="3" t="s">
        <v>6488</v>
      </c>
      <c r="C46" s="3" t="s">
        <v>6489</v>
      </c>
      <c r="D46" s="3" t="s">
        <v>3497</v>
      </c>
    </row>
    <row r="47">
      <c r="A47" s="3" t="b">
        <v>1</v>
      </c>
      <c r="B47" s="3" t="s">
        <v>6490</v>
      </c>
      <c r="C47" s="3" t="s">
        <v>6491</v>
      </c>
      <c r="D47" s="3" t="s">
        <v>3514</v>
      </c>
    </row>
    <row r="48">
      <c r="A48" s="3" t="b">
        <v>1</v>
      </c>
      <c r="B48" s="3" t="s">
        <v>6492</v>
      </c>
      <c r="C48" s="3" t="s">
        <v>6493</v>
      </c>
      <c r="D48" s="3" t="s">
        <v>3583</v>
      </c>
    </row>
    <row r="49">
      <c r="A49" s="3" t="b">
        <v>1</v>
      </c>
      <c r="B49" s="3" t="s">
        <v>6494</v>
      </c>
      <c r="C49" s="3" t="s">
        <v>6495</v>
      </c>
      <c r="D49" s="3" t="s">
        <v>2370</v>
      </c>
    </row>
    <row r="50">
      <c r="A50" s="3" t="b">
        <v>1</v>
      </c>
      <c r="B50" s="3" t="s">
        <v>6496</v>
      </c>
      <c r="C50" s="3" t="s">
        <v>6497</v>
      </c>
      <c r="D50" s="3" t="s">
        <v>3385</v>
      </c>
    </row>
    <row r="51">
      <c r="A51" s="3" t="b">
        <v>0</v>
      </c>
      <c r="B51" s="3" t="s">
        <v>6498</v>
      </c>
      <c r="C51" s="3" t="s">
        <v>6499</v>
      </c>
      <c r="D51" s="3" t="s">
        <v>3518</v>
      </c>
    </row>
    <row r="52">
      <c r="A52" s="3" t="b">
        <v>1</v>
      </c>
      <c r="B52" s="3" t="s">
        <v>6500</v>
      </c>
      <c r="C52" s="3" t="s">
        <v>6501</v>
      </c>
      <c r="D52" s="3" t="s">
        <v>6159</v>
      </c>
    </row>
    <row r="53">
      <c r="A53" s="3" t="b">
        <v>0</v>
      </c>
      <c r="B53" s="3" t="s">
        <v>6502</v>
      </c>
      <c r="C53" s="3" t="s">
        <v>6503</v>
      </c>
      <c r="D53" s="3" t="s">
        <v>735</v>
      </c>
    </row>
    <row r="54">
      <c r="A54" s="3" t="b">
        <v>1</v>
      </c>
      <c r="B54" s="3" t="s">
        <v>6504</v>
      </c>
      <c r="C54" s="3" t="s">
        <v>6505</v>
      </c>
      <c r="D54" s="3" t="s">
        <v>5940</v>
      </c>
    </row>
    <row r="55">
      <c r="A55" s="3" t="b">
        <v>1</v>
      </c>
      <c r="B55" s="3" t="s">
        <v>98</v>
      </c>
      <c r="C55" s="3" t="s">
        <v>99</v>
      </c>
      <c r="D55" s="3" t="s">
        <v>6102</v>
      </c>
    </row>
    <row r="56">
      <c r="A56" s="3" t="b">
        <v>0</v>
      </c>
      <c r="B56" s="3" t="s">
        <v>6506</v>
      </c>
      <c r="C56" s="3" t="s">
        <v>6507</v>
      </c>
      <c r="D56" s="3" t="s">
        <v>2614</v>
      </c>
    </row>
    <row r="57">
      <c r="A57" s="3" t="b">
        <v>1</v>
      </c>
      <c r="B57" s="3" t="s">
        <v>6508</v>
      </c>
      <c r="C57" s="3" t="s">
        <v>6509</v>
      </c>
      <c r="D57" s="3" t="s">
        <v>5912</v>
      </c>
    </row>
    <row r="58">
      <c r="A58" s="3" t="b">
        <v>1</v>
      </c>
      <c r="B58" s="3" t="s">
        <v>6510</v>
      </c>
      <c r="C58" s="3" t="s">
        <v>6511</v>
      </c>
      <c r="D58" s="3" t="s">
        <v>6274</v>
      </c>
    </row>
    <row r="59">
      <c r="A59" s="3" t="b">
        <v>1</v>
      </c>
      <c r="B59" s="3" t="s">
        <v>6512</v>
      </c>
      <c r="C59" s="3" t="s">
        <v>6513</v>
      </c>
      <c r="D59" s="3" t="s">
        <v>2602</v>
      </c>
    </row>
    <row r="60">
      <c r="A60" s="3" t="b">
        <v>0</v>
      </c>
      <c r="B60" s="3" t="s">
        <v>6514</v>
      </c>
      <c r="C60" s="3" t="s">
        <v>6515</v>
      </c>
      <c r="D60" s="3" t="s">
        <v>2697</v>
      </c>
    </row>
    <row r="61">
      <c r="A61" s="3" t="b">
        <v>1</v>
      </c>
      <c r="B61" s="3" t="s">
        <v>6516</v>
      </c>
      <c r="C61" s="3" t="s">
        <v>6517</v>
      </c>
      <c r="D61" s="3" t="s">
        <v>5938</v>
      </c>
    </row>
    <row r="62">
      <c r="A62" s="3" t="b">
        <v>1</v>
      </c>
      <c r="B62" s="3" t="s">
        <v>6518</v>
      </c>
      <c r="C62" s="3" t="s">
        <v>6519</v>
      </c>
      <c r="D62" s="3" t="s">
        <v>6162</v>
      </c>
    </row>
    <row r="63">
      <c r="A63" s="3" t="b">
        <v>1</v>
      </c>
      <c r="B63" s="3" t="s">
        <v>6520</v>
      </c>
      <c r="C63" s="3" t="s">
        <v>6521</v>
      </c>
      <c r="D63" s="3" t="s">
        <v>2975</v>
      </c>
    </row>
    <row r="64">
      <c r="A64" s="3" t="b">
        <v>0</v>
      </c>
      <c r="B64" s="3" t="s">
        <v>125</v>
      </c>
      <c r="C64" s="3" t="s">
        <v>126</v>
      </c>
      <c r="D64" s="3" t="s">
        <v>6089</v>
      </c>
    </row>
    <row r="65">
      <c r="A65" s="3" t="b">
        <v>1</v>
      </c>
      <c r="B65" s="3" t="s">
        <v>6522</v>
      </c>
      <c r="C65" s="3" t="s">
        <v>6523</v>
      </c>
      <c r="D65" s="3" t="s">
        <v>3479</v>
      </c>
    </row>
    <row r="66">
      <c r="A66" s="3" t="b">
        <v>1</v>
      </c>
      <c r="B66" s="3" t="s">
        <v>6524</v>
      </c>
      <c r="C66" s="3" t="s">
        <v>6525</v>
      </c>
      <c r="D66" s="3" t="s">
        <v>3395</v>
      </c>
    </row>
    <row r="67">
      <c r="A67" s="3" t="b">
        <v>0</v>
      </c>
      <c r="B67" s="3" t="s">
        <v>6526</v>
      </c>
      <c r="C67" s="3" t="s">
        <v>6527</v>
      </c>
      <c r="D67" s="3" t="s">
        <v>3188</v>
      </c>
    </row>
    <row r="68">
      <c r="A68" s="3" t="b">
        <v>1</v>
      </c>
      <c r="B68" s="3" t="s">
        <v>6528</v>
      </c>
      <c r="C68" s="3" t="s">
        <v>6529</v>
      </c>
      <c r="D68" s="3" t="s">
        <v>5944</v>
      </c>
    </row>
    <row r="69">
      <c r="A69" s="3" t="b">
        <v>0</v>
      </c>
      <c r="B69" s="3" t="s">
        <v>128</v>
      </c>
      <c r="C69" s="3" t="s">
        <v>301</v>
      </c>
      <c r="D69" s="3" t="s">
        <v>5946</v>
      </c>
    </row>
    <row r="70">
      <c r="A70" s="3" t="b">
        <v>0</v>
      </c>
      <c r="B70" s="3" t="s">
        <v>6530</v>
      </c>
      <c r="C70" s="3" t="s">
        <v>6531</v>
      </c>
      <c r="D70" s="3" t="s">
        <v>3411</v>
      </c>
    </row>
    <row r="71">
      <c r="A71" s="3" t="b">
        <v>1</v>
      </c>
      <c r="B71" s="3" t="s">
        <v>6532</v>
      </c>
      <c r="C71" s="3" t="s">
        <v>6533</v>
      </c>
      <c r="D71" s="3" t="s">
        <v>3419</v>
      </c>
    </row>
    <row r="72">
      <c r="A72" s="3" t="b">
        <v>0</v>
      </c>
      <c r="B72" s="3" t="s">
        <v>6534</v>
      </c>
      <c r="C72" s="3" t="s">
        <v>6535</v>
      </c>
      <c r="D72" s="3" t="s">
        <v>3407</v>
      </c>
    </row>
    <row r="73">
      <c r="A73" s="3" t="b">
        <v>1</v>
      </c>
      <c r="B73" s="3" t="s">
        <v>6536</v>
      </c>
      <c r="C73" s="3" t="s">
        <v>6537</v>
      </c>
      <c r="D73" s="3" t="s">
        <v>6402</v>
      </c>
    </row>
    <row r="74">
      <c r="A74" s="3" t="b">
        <v>1</v>
      </c>
      <c r="B74" s="3" t="s">
        <v>6538</v>
      </c>
      <c r="C74" s="3" t="s">
        <v>6539</v>
      </c>
      <c r="D74" s="3" t="s">
        <v>6063</v>
      </c>
    </row>
    <row r="75">
      <c r="A75" s="3" t="b">
        <v>1</v>
      </c>
      <c r="B75" s="3" t="s">
        <v>6540</v>
      </c>
      <c r="C75" s="3" t="s">
        <v>6541</v>
      </c>
      <c r="D75" s="3" t="s">
        <v>5975</v>
      </c>
    </row>
    <row r="76">
      <c r="A76" s="3" t="b">
        <v>1</v>
      </c>
      <c r="B76" s="3" t="s">
        <v>6542</v>
      </c>
      <c r="C76" s="3" t="s">
        <v>6543</v>
      </c>
      <c r="D76" s="3" t="s">
        <v>3485</v>
      </c>
    </row>
    <row r="77">
      <c r="A77" s="3" t="b">
        <v>1</v>
      </c>
      <c r="B77" s="3" t="s">
        <v>6544</v>
      </c>
      <c r="C77" s="3" t="s">
        <v>6545</v>
      </c>
      <c r="D77" s="3" t="s">
        <v>5888</v>
      </c>
    </row>
    <row r="78">
      <c r="A78" s="3" t="b">
        <v>0</v>
      </c>
      <c r="B78" s="3" t="s">
        <v>6546</v>
      </c>
      <c r="C78" s="3" t="s">
        <v>6547</v>
      </c>
      <c r="D78" s="3" t="s">
        <v>5894</v>
      </c>
    </row>
    <row r="79">
      <c r="A79" s="3" t="b">
        <v>1</v>
      </c>
      <c r="B79" s="3" t="s">
        <v>6548</v>
      </c>
      <c r="C79" s="3" t="s">
        <v>6549</v>
      </c>
      <c r="D79" s="3" t="s">
        <v>5902</v>
      </c>
    </row>
    <row r="80">
      <c r="A80" s="3" t="b">
        <v>1</v>
      </c>
      <c r="B80" s="3" t="s">
        <v>6550</v>
      </c>
      <c r="C80" s="3" t="s">
        <v>6551</v>
      </c>
      <c r="D80" s="3" t="s">
        <v>5829</v>
      </c>
    </row>
    <row r="81">
      <c r="A81" s="3" t="b">
        <v>1</v>
      </c>
      <c r="B81" s="3" t="s">
        <v>6552</v>
      </c>
      <c r="C81" s="3" t="s">
        <v>6553</v>
      </c>
      <c r="D81" s="3" t="s">
        <v>3241</v>
      </c>
    </row>
    <row r="82">
      <c r="A82" s="3" t="b">
        <v>1</v>
      </c>
      <c r="B82" s="3" t="s">
        <v>6554</v>
      </c>
      <c r="C82" s="3" t="s">
        <v>6555</v>
      </c>
      <c r="D82" s="3" t="s">
        <v>3206</v>
      </c>
    </row>
    <row r="83">
      <c r="A83" s="3" t="b">
        <v>0</v>
      </c>
      <c r="B83" s="3" t="s">
        <v>6556</v>
      </c>
      <c r="C83" s="3" t="s">
        <v>6557</v>
      </c>
      <c r="D83" s="3" t="s">
        <v>2731</v>
      </c>
    </row>
    <row r="84">
      <c r="A84" s="3" t="b">
        <v>0</v>
      </c>
      <c r="B84" s="3" t="s">
        <v>6558</v>
      </c>
      <c r="C84" s="3" t="s">
        <v>6559</v>
      </c>
      <c r="D84" s="3" t="s">
        <v>1825</v>
      </c>
    </row>
    <row r="85">
      <c r="A85" s="3" t="b">
        <v>1</v>
      </c>
      <c r="B85" s="3" t="s">
        <v>6560</v>
      </c>
      <c r="C85" s="3" t="s">
        <v>6561</v>
      </c>
      <c r="D85" s="3" t="s">
        <v>6143</v>
      </c>
    </row>
    <row r="86">
      <c r="A86" s="3" t="b">
        <v>1</v>
      </c>
      <c r="B86" s="3" t="s">
        <v>6562</v>
      </c>
      <c r="C86" s="3" t="s">
        <v>6563</v>
      </c>
      <c r="D86" s="3" t="s">
        <v>4469</v>
      </c>
    </row>
    <row r="87">
      <c r="A87" s="3" t="b">
        <v>1</v>
      </c>
      <c r="B87" s="3" t="s">
        <v>6564</v>
      </c>
      <c r="C87" s="3" t="s">
        <v>6565</v>
      </c>
      <c r="D87" s="3" t="s">
        <v>5819</v>
      </c>
    </row>
    <row r="88">
      <c r="A88" s="3" t="b">
        <v>0</v>
      </c>
      <c r="B88" s="3" t="s">
        <v>6566</v>
      </c>
      <c r="C88" s="3" t="s">
        <v>6567</v>
      </c>
      <c r="D88" s="3" t="s">
        <v>2727</v>
      </c>
    </row>
    <row r="89">
      <c r="A89" s="3" t="b">
        <v>1</v>
      </c>
      <c r="B89" s="3" t="s">
        <v>6568</v>
      </c>
      <c r="C89" s="3" t="s">
        <v>6569</v>
      </c>
      <c r="D89" s="3" t="s">
        <v>3719</v>
      </c>
    </row>
    <row r="90">
      <c r="A90" s="3" t="b">
        <v>1</v>
      </c>
      <c r="B90" s="3" t="s">
        <v>6570</v>
      </c>
      <c r="C90" s="3" t="s">
        <v>6571</v>
      </c>
      <c r="D90" s="3" t="s">
        <v>2872</v>
      </c>
    </row>
    <row r="91">
      <c r="A91" s="3" t="b">
        <v>1</v>
      </c>
      <c r="B91" s="3" t="s">
        <v>6572</v>
      </c>
      <c r="C91" s="3" t="s">
        <v>6573</v>
      </c>
      <c r="D91" s="3" t="s">
        <v>3599</v>
      </c>
    </row>
    <row r="92">
      <c r="A92" s="3" t="b">
        <v>0</v>
      </c>
      <c r="B92" s="3" t="s">
        <v>101</v>
      </c>
      <c r="C92" s="3" t="s">
        <v>511</v>
      </c>
      <c r="D92" s="3" t="s">
        <v>3427</v>
      </c>
    </row>
    <row r="93">
      <c r="A93" s="3" t="b">
        <v>0</v>
      </c>
      <c r="B93" s="3" t="s">
        <v>6574</v>
      </c>
      <c r="C93" s="3" t="s">
        <v>6575</v>
      </c>
      <c r="D93" s="3" t="s">
        <v>721</v>
      </c>
    </row>
    <row r="94">
      <c r="A94" s="3" t="b">
        <v>1</v>
      </c>
      <c r="B94" s="3" t="s">
        <v>6576</v>
      </c>
      <c r="C94" s="3" t="s">
        <v>6577</v>
      </c>
      <c r="D94" s="3" t="s">
        <v>1380</v>
      </c>
    </row>
    <row r="95">
      <c r="A95" s="3" t="b">
        <v>0</v>
      </c>
      <c r="B95" s="3" t="s">
        <v>6578</v>
      </c>
      <c r="C95" s="3" t="s">
        <v>6579</v>
      </c>
      <c r="D95" s="3" t="s">
        <v>3977</v>
      </c>
    </row>
    <row r="96">
      <c r="A96" s="3" t="b">
        <v>0</v>
      </c>
      <c r="B96" s="3" t="s">
        <v>6580</v>
      </c>
      <c r="C96" s="3" t="s">
        <v>6581</v>
      </c>
      <c r="D96" s="3" t="s">
        <v>3532</v>
      </c>
    </row>
    <row r="97">
      <c r="A97" s="3" t="b">
        <v>1</v>
      </c>
      <c r="B97" s="3" t="s">
        <v>6582</v>
      </c>
      <c r="C97" s="3" t="s">
        <v>6583</v>
      </c>
      <c r="D97" s="3" t="s">
        <v>3542</v>
      </c>
    </row>
    <row r="98">
      <c r="A98" s="3" t="b">
        <v>0</v>
      </c>
      <c r="B98" s="3" t="s">
        <v>6584</v>
      </c>
      <c r="C98" s="3" t="s">
        <v>6585</v>
      </c>
      <c r="D98" s="3" t="s">
        <v>2508</v>
      </c>
    </row>
    <row r="99">
      <c r="A99" s="3" t="b">
        <v>1</v>
      </c>
      <c r="B99" s="3" t="s">
        <v>6586</v>
      </c>
      <c r="C99" s="3" t="s">
        <v>6587</v>
      </c>
      <c r="D99" s="3" t="s">
        <v>6205</v>
      </c>
    </row>
    <row r="100">
      <c r="A100" s="3" t="b">
        <v>1</v>
      </c>
      <c r="B100" s="3" t="s">
        <v>6588</v>
      </c>
      <c r="C100" s="3" t="s">
        <v>6589</v>
      </c>
      <c r="D100" s="3" t="s">
        <v>3357</v>
      </c>
    </row>
    <row r="101">
      <c r="A101" s="3" t="b">
        <v>0</v>
      </c>
      <c r="B101" s="3" t="s">
        <v>6590</v>
      </c>
      <c r="C101" s="3" t="s">
        <v>6591</v>
      </c>
      <c r="D101" s="3" t="s">
        <v>6151</v>
      </c>
    </row>
    <row r="102">
      <c r="A102" s="3" t="b">
        <v>1</v>
      </c>
      <c r="B102" s="3" t="s">
        <v>6592</v>
      </c>
      <c r="C102" s="3" t="s">
        <v>6593</v>
      </c>
      <c r="D102" s="3" t="s">
        <v>6185</v>
      </c>
    </row>
    <row r="103">
      <c r="A103" s="3" t="b">
        <v>1</v>
      </c>
      <c r="B103" s="3" t="s">
        <v>6594</v>
      </c>
      <c r="C103" s="3" t="s">
        <v>6595</v>
      </c>
      <c r="D103" s="3" t="s">
        <v>1370</v>
      </c>
    </row>
    <row r="104">
      <c r="A104" s="3" t="b">
        <v>1</v>
      </c>
      <c r="B104" s="3" t="s">
        <v>6596</v>
      </c>
      <c r="C104" s="3" t="s">
        <v>6597</v>
      </c>
      <c r="D104" s="3" t="s">
        <v>5910</v>
      </c>
    </row>
    <row r="105">
      <c r="A105" s="3" t="b">
        <v>0</v>
      </c>
      <c r="B105" s="3" t="s">
        <v>6598</v>
      </c>
      <c r="C105" s="3" t="s">
        <v>6599</v>
      </c>
      <c r="D105" s="3" t="s">
        <v>5755</v>
      </c>
    </row>
    <row r="106">
      <c r="A106" s="3" t="b">
        <v>0</v>
      </c>
      <c r="B106" s="3" t="s">
        <v>6600</v>
      </c>
      <c r="C106" s="3" t="s">
        <v>6601</v>
      </c>
      <c r="D106" s="3" t="s">
        <v>714</v>
      </c>
    </row>
    <row r="107">
      <c r="A107" s="3" t="b">
        <v>1</v>
      </c>
      <c r="B107" s="3" t="s">
        <v>6602</v>
      </c>
      <c r="C107" s="3" t="s">
        <v>6603</v>
      </c>
      <c r="D107" s="3" t="s">
        <v>6125</v>
      </c>
    </row>
    <row r="108">
      <c r="A108" s="3" t="b">
        <v>0</v>
      </c>
      <c r="B108" s="3" t="s">
        <v>6604</v>
      </c>
      <c r="C108" s="3" t="s">
        <v>6605</v>
      </c>
      <c r="D108" s="3" t="s">
        <v>3309</v>
      </c>
    </row>
    <row r="109">
      <c r="A109" s="3" t="b">
        <v>0</v>
      </c>
      <c r="B109" s="3" t="s">
        <v>6606</v>
      </c>
      <c r="C109" s="3" t="s">
        <v>6607</v>
      </c>
      <c r="D109" s="3" t="s">
        <v>6317</v>
      </c>
    </row>
    <row r="110">
      <c r="A110" s="3" t="b">
        <v>1</v>
      </c>
      <c r="B110" s="3" t="s">
        <v>6608</v>
      </c>
      <c r="C110" s="3" t="s">
        <v>294</v>
      </c>
      <c r="D110" s="3" t="s">
        <v>6292</v>
      </c>
    </row>
    <row r="111">
      <c r="A111" s="3" t="b">
        <v>0</v>
      </c>
      <c r="B111" s="3" t="s">
        <v>6609</v>
      </c>
      <c r="C111" s="3" t="s">
        <v>6610</v>
      </c>
      <c r="D111" s="3" t="s">
        <v>3345</v>
      </c>
    </row>
    <row r="112">
      <c r="A112" s="3" t="b">
        <v>1</v>
      </c>
      <c r="B112" s="3" t="s">
        <v>6611</v>
      </c>
      <c r="C112" s="3" t="s">
        <v>6612</v>
      </c>
      <c r="D112" s="3" t="s">
        <v>2855</v>
      </c>
    </row>
    <row r="113">
      <c r="A113" s="3" t="b">
        <v>1</v>
      </c>
      <c r="B113" s="3" t="s">
        <v>6613</v>
      </c>
      <c r="C113" s="3" t="s">
        <v>6614</v>
      </c>
      <c r="D113" s="3" t="s">
        <v>731</v>
      </c>
    </row>
    <row r="114">
      <c r="A114" s="3" t="b">
        <v>0</v>
      </c>
      <c r="B114" s="3" t="s">
        <v>6615</v>
      </c>
      <c r="C114" s="3" t="s">
        <v>6616</v>
      </c>
      <c r="D114" s="3" t="s">
        <v>6193</v>
      </c>
    </row>
    <row r="115">
      <c r="A115" s="3" t="b">
        <v>1</v>
      </c>
      <c r="B115" s="3" t="s">
        <v>6617</v>
      </c>
      <c r="C115" s="3" t="s">
        <v>6618</v>
      </c>
      <c r="D115" s="3" t="s">
        <v>2717</v>
      </c>
    </row>
    <row r="116">
      <c r="A116" s="3" t="b">
        <v>1</v>
      </c>
      <c r="B116" s="3" t="s">
        <v>6619</v>
      </c>
      <c r="C116" s="3" t="s">
        <v>6620</v>
      </c>
      <c r="D116" s="3" t="s">
        <v>2967</v>
      </c>
    </row>
    <row r="117">
      <c r="A117" s="3" t="b">
        <v>1</v>
      </c>
      <c r="B117" s="3" t="s">
        <v>6621</v>
      </c>
      <c r="C117" s="3" t="s">
        <v>6622</v>
      </c>
      <c r="D117" s="3" t="s">
        <v>2811</v>
      </c>
    </row>
    <row r="118">
      <c r="A118" s="3" t="b">
        <v>0</v>
      </c>
      <c r="B118" s="3" t="s">
        <v>6623</v>
      </c>
      <c r="C118" s="3" t="s">
        <v>6624</v>
      </c>
      <c r="D118" s="3" t="s">
        <v>6166</v>
      </c>
    </row>
    <row r="119">
      <c r="A119" s="3" t="b">
        <v>1</v>
      </c>
      <c r="B119" s="3" t="s">
        <v>6625</v>
      </c>
      <c r="C119" s="3" t="s">
        <v>6626</v>
      </c>
      <c r="D119" s="3" t="s">
        <v>1815</v>
      </c>
    </row>
    <row r="120">
      <c r="A120" s="3" t="b">
        <v>1</v>
      </c>
      <c r="B120" s="3" t="s">
        <v>175</v>
      </c>
      <c r="C120" s="3" t="s">
        <v>422</v>
      </c>
      <c r="D120" s="3" t="s">
        <v>1414</v>
      </c>
    </row>
    <row r="121">
      <c r="A121" s="3" t="b">
        <v>0</v>
      </c>
      <c r="B121" s="3" t="s">
        <v>6627</v>
      </c>
      <c r="C121" s="3" t="s">
        <v>6628</v>
      </c>
      <c r="D121" s="3" t="s">
        <v>1376</v>
      </c>
    </row>
    <row r="122">
      <c r="A122" s="3" t="b">
        <v>0</v>
      </c>
      <c r="B122" s="3" t="s">
        <v>6629</v>
      </c>
      <c r="C122" s="3" t="s">
        <v>6630</v>
      </c>
      <c r="D122" s="3" t="s">
        <v>5856</v>
      </c>
    </row>
    <row r="123">
      <c r="A123" s="3" t="b">
        <v>1</v>
      </c>
      <c r="B123" s="3" t="s">
        <v>6631</v>
      </c>
      <c r="C123" s="3" t="s">
        <v>6632</v>
      </c>
      <c r="D123" s="3" t="s">
        <v>1841</v>
      </c>
    </row>
    <row r="124">
      <c r="A124" s="3" t="b">
        <v>1</v>
      </c>
      <c r="B124" s="3" t="s">
        <v>6633</v>
      </c>
      <c r="C124" s="3" t="s">
        <v>6634</v>
      </c>
      <c r="D124" s="3" t="s">
        <v>6328</v>
      </c>
    </row>
    <row r="125">
      <c r="A125" s="3" t="b">
        <v>0</v>
      </c>
      <c r="B125" s="3" t="s">
        <v>6635</v>
      </c>
      <c r="C125" s="3" t="s">
        <v>6636</v>
      </c>
      <c r="D125" s="3" t="s">
        <v>6187</v>
      </c>
    </row>
    <row r="126">
      <c r="A126" s="3" t="b">
        <v>0</v>
      </c>
      <c r="B126" s="3" t="s">
        <v>6637</v>
      </c>
      <c r="C126" s="3" t="s">
        <v>6638</v>
      </c>
      <c r="D126" s="3" t="s">
        <v>3103</v>
      </c>
    </row>
    <row r="127">
      <c r="A127" s="3" t="b">
        <v>0</v>
      </c>
      <c r="B127" s="3" t="s">
        <v>151</v>
      </c>
      <c r="C127" s="3" t="s">
        <v>370</v>
      </c>
      <c r="D127" s="3" t="s">
        <v>5837</v>
      </c>
    </row>
    <row r="128">
      <c r="A128" s="3" t="b">
        <v>0</v>
      </c>
      <c r="B128" s="3" t="s">
        <v>6639</v>
      </c>
      <c r="C128" s="3" t="s">
        <v>6640</v>
      </c>
      <c r="D128" s="3" t="s">
        <v>973</v>
      </c>
    </row>
    <row r="129">
      <c r="A129" s="3" t="b">
        <v>0</v>
      </c>
      <c r="B129" s="3" t="s">
        <v>6641</v>
      </c>
      <c r="C129" s="3" t="s">
        <v>6642</v>
      </c>
      <c r="D129" s="3" t="s">
        <v>5967</v>
      </c>
    </row>
    <row r="130">
      <c r="A130" s="3" t="b">
        <v>1</v>
      </c>
      <c r="B130" s="3" t="s">
        <v>6643</v>
      </c>
      <c r="C130" s="3" t="s">
        <v>6644</v>
      </c>
      <c r="D130" s="3" t="s">
        <v>3061</v>
      </c>
    </row>
    <row r="131">
      <c r="A131" s="3" t="b">
        <v>1</v>
      </c>
      <c r="B131" s="3" t="s">
        <v>6645</v>
      </c>
      <c r="C131" s="3" t="s">
        <v>6646</v>
      </c>
      <c r="D131" s="3" t="s">
        <v>4135</v>
      </c>
    </row>
    <row r="132">
      <c r="A132" s="3" t="b">
        <v>0</v>
      </c>
      <c r="B132" s="3" t="s">
        <v>6647</v>
      </c>
      <c r="C132" s="3" t="s">
        <v>6648</v>
      </c>
      <c r="D132" s="3" t="s">
        <v>1050</v>
      </c>
    </row>
    <row r="133">
      <c r="A133" s="3" t="b">
        <v>0</v>
      </c>
      <c r="B133" s="3" t="s">
        <v>6649</v>
      </c>
      <c r="C133" s="3" t="s">
        <v>6650</v>
      </c>
      <c r="D133" s="3" t="s">
        <v>2741</v>
      </c>
    </row>
    <row r="134">
      <c r="A134" s="3" t="b">
        <v>1</v>
      </c>
      <c r="B134" s="3" t="s">
        <v>6651</v>
      </c>
      <c r="C134" s="3" t="s">
        <v>6652</v>
      </c>
      <c r="D134" s="3" t="s">
        <v>6059</v>
      </c>
    </row>
    <row r="135">
      <c r="A135" s="3" t="b">
        <v>1</v>
      </c>
      <c r="B135" s="3" t="s">
        <v>6653</v>
      </c>
      <c r="C135" s="3" t="s">
        <v>6654</v>
      </c>
      <c r="D135" s="3" t="s">
        <v>3175</v>
      </c>
    </row>
    <row r="136">
      <c r="A136" s="3" t="b">
        <v>0</v>
      </c>
      <c r="B136" s="3" t="s">
        <v>6655</v>
      </c>
      <c r="C136" s="3" t="s">
        <v>6656</v>
      </c>
      <c r="D136" s="3" t="s">
        <v>6071</v>
      </c>
    </row>
    <row r="137">
      <c r="A137" s="3" t="b">
        <v>0</v>
      </c>
      <c r="B137" s="3" t="s">
        <v>6657</v>
      </c>
      <c r="C137" s="3" t="s">
        <v>6658</v>
      </c>
      <c r="D137" s="3" t="s">
        <v>6019</v>
      </c>
    </row>
    <row r="138">
      <c r="A138" s="3" t="b">
        <v>0</v>
      </c>
      <c r="B138" s="3" t="s">
        <v>6659</v>
      </c>
      <c r="C138" s="3" t="s">
        <v>6660</v>
      </c>
      <c r="D138" s="3" t="s">
        <v>871</v>
      </c>
    </row>
    <row r="139">
      <c r="A139" s="3" t="b">
        <v>1</v>
      </c>
      <c r="B139" s="3" t="s">
        <v>202</v>
      </c>
      <c r="C139" s="3" t="s">
        <v>203</v>
      </c>
      <c r="D139" s="3" t="s">
        <v>4171</v>
      </c>
    </row>
    <row r="140">
      <c r="A140" s="3" t="b">
        <v>1</v>
      </c>
      <c r="B140" s="3" t="s">
        <v>113</v>
      </c>
      <c r="C140" s="3" t="s">
        <v>406</v>
      </c>
      <c r="D140" s="3" t="s">
        <v>1255</v>
      </c>
    </row>
    <row r="141">
      <c r="A141" s="3" t="b">
        <v>1</v>
      </c>
      <c r="B141" s="3" t="s">
        <v>6661</v>
      </c>
      <c r="C141" s="3" t="s">
        <v>6662</v>
      </c>
      <c r="D141" s="3" t="s">
        <v>3031</v>
      </c>
    </row>
    <row r="142">
      <c r="A142" s="3" t="b">
        <v>1</v>
      </c>
      <c r="B142" s="3" t="s">
        <v>6663</v>
      </c>
      <c r="C142" s="3" t="s">
        <v>6664</v>
      </c>
      <c r="D142" s="3" t="s">
        <v>2229</v>
      </c>
    </row>
    <row r="143">
      <c r="A143" s="3" t="b">
        <v>0</v>
      </c>
      <c r="B143" s="3" t="s">
        <v>6665</v>
      </c>
      <c r="C143" s="3" t="s">
        <v>6666</v>
      </c>
      <c r="D143" s="3" t="s">
        <v>716</v>
      </c>
    </row>
    <row r="144">
      <c r="A144" s="3" t="b">
        <v>0</v>
      </c>
      <c r="B144" s="3" t="s">
        <v>6667</v>
      </c>
      <c r="C144" s="3" t="s">
        <v>6668</v>
      </c>
      <c r="D144" s="3" t="s">
        <v>5077</v>
      </c>
    </row>
    <row r="145">
      <c r="A145" s="3" t="b">
        <v>1</v>
      </c>
      <c r="B145" s="3" t="s">
        <v>6669</v>
      </c>
      <c r="C145" s="3" t="s">
        <v>6670</v>
      </c>
      <c r="D145" s="3" t="s">
        <v>2548</v>
      </c>
    </row>
    <row r="146">
      <c r="A146" s="3" t="b">
        <v>0</v>
      </c>
      <c r="B146" s="3" t="s">
        <v>6671</v>
      </c>
      <c r="C146" s="3" t="s">
        <v>6672</v>
      </c>
      <c r="D146" s="3" t="s">
        <v>3550</v>
      </c>
    </row>
    <row r="147">
      <c r="A147" s="3" t="b">
        <v>0</v>
      </c>
      <c r="B147" s="3" t="s">
        <v>160</v>
      </c>
      <c r="C147" s="3" t="s">
        <v>440</v>
      </c>
      <c r="D147" s="3" t="s">
        <v>3478</v>
      </c>
    </row>
    <row r="148">
      <c r="A148" s="3" t="b">
        <v>0</v>
      </c>
      <c r="B148" s="3" t="s">
        <v>6673</v>
      </c>
      <c r="C148" s="3" t="s">
        <v>6674</v>
      </c>
      <c r="D148" s="3" t="s">
        <v>1646</v>
      </c>
    </row>
    <row r="149">
      <c r="A149" s="3" t="b">
        <v>0</v>
      </c>
      <c r="B149" s="3" t="s">
        <v>119</v>
      </c>
      <c r="C149" s="3" t="s">
        <v>251</v>
      </c>
      <c r="D149" s="3" t="s">
        <v>3179</v>
      </c>
    </row>
    <row r="150">
      <c r="A150" s="3" t="b">
        <v>1</v>
      </c>
      <c r="B150" s="3" t="s">
        <v>172</v>
      </c>
      <c r="C150" s="3" t="s">
        <v>173</v>
      </c>
      <c r="D150" s="3" t="s">
        <v>5068</v>
      </c>
    </row>
    <row r="151">
      <c r="A151" s="3" t="b">
        <v>0</v>
      </c>
      <c r="B151" s="3" t="s">
        <v>6675</v>
      </c>
      <c r="C151" s="3" t="s">
        <v>6676</v>
      </c>
      <c r="D151" s="3" t="s">
        <v>1947</v>
      </c>
    </row>
    <row r="152">
      <c r="A152" s="3" t="b">
        <v>0</v>
      </c>
      <c r="B152" s="3" t="s">
        <v>131</v>
      </c>
      <c r="C152" s="3" t="s">
        <v>132</v>
      </c>
      <c r="D152" s="3" t="s">
        <v>2281</v>
      </c>
    </row>
    <row r="153">
      <c r="A153" s="3" t="b">
        <v>0</v>
      </c>
      <c r="B153" s="3" t="s">
        <v>6677</v>
      </c>
      <c r="C153" s="3" t="s">
        <v>6678</v>
      </c>
      <c r="D153" s="3" t="s">
        <v>2402</v>
      </c>
    </row>
    <row r="154">
      <c r="A154" s="3" t="b">
        <v>1</v>
      </c>
      <c r="B154" s="3" t="s">
        <v>6679</v>
      </c>
      <c r="C154" s="3" t="s">
        <v>6680</v>
      </c>
      <c r="D154" s="3" t="s">
        <v>2941</v>
      </c>
    </row>
    <row r="155">
      <c r="A155" s="3" t="b">
        <v>0</v>
      </c>
      <c r="B155" s="3" t="s">
        <v>6681</v>
      </c>
      <c r="C155" s="3" t="s">
        <v>6682</v>
      </c>
      <c r="D155" s="3" t="s">
        <v>5953</v>
      </c>
    </row>
    <row r="156">
      <c r="A156" s="3" t="b">
        <v>0</v>
      </c>
      <c r="B156" s="3" t="s">
        <v>6683</v>
      </c>
      <c r="C156" s="3" t="s">
        <v>6684</v>
      </c>
      <c r="D156" s="3" t="s">
        <v>6174</v>
      </c>
    </row>
    <row r="157">
      <c r="A157" s="3" t="b">
        <v>1</v>
      </c>
      <c r="B157" s="3" t="s">
        <v>6685</v>
      </c>
      <c r="C157" s="3" t="s">
        <v>6686</v>
      </c>
      <c r="D157" s="3" t="s">
        <v>6262</v>
      </c>
    </row>
    <row r="158">
      <c r="A158" s="3" t="b">
        <v>1</v>
      </c>
      <c r="B158" s="3" t="s">
        <v>6687</v>
      </c>
      <c r="C158" s="3" t="s">
        <v>6688</v>
      </c>
      <c r="D158" s="3" t="s">
        <v>6286</v>
      </c>
    </row>
    <row r="159">
      <c r="A159" s="3" t="b">
        <v>1</v>
      </c>
      <c r="B159" s="3" t="s">
        <v>6689</v>
      </c>
      <c r="C159" s="3" t="s">
        <v>6690</v>
      </c>
      <c r="D159" s="3" t="s">
        <v>5838</v>
      </c>
    </row>
    <row r="160">
      <c r="A160" s="3" t="b">
        <v>1</v>
      </c>
      <c r="B160" s="3" t="s">
        <v>6691</v>
      </c>
      <c r="C160" s="3" t="s">
        <v>590</v>
      </c>
      <c r="D160" s="3" t="s">
        <v>6319</v>
      </c>
    </row>
    <row r="161">
      <c r="A161" s="3" t="b">
        <v>1</v>
      </c>
      <c r="B161" s="3" t="s">
        <v>6692</v>
      </c>
      <c r="C161" s="3" t="s">
        <v>6693</v>
      </c>
      <c r="D161" s="3" t="s">
        <v>6354</v>
      </c>
    </row>
    <row r="162">
      <c r="A162" s="3" t="b">
        <v>1</v>
      </c>
      <c r="B162" s="3" t="s">
        <v>6694</v>
      </c>
      <c r="C162" s="3" t="s">
        <v>6695</v>
      </c>
      <c r="D162" s="3" t="s">
        <v>6311</v>
      </c>
    </row>
    <row r="163">
      <c r="A163" s="3" t="b">
        <v>0</v>
      </c>
      <c r="B163" s="3" t="s">
        <v>163</v>
      </c>
      <c r="C163" s="3" t="s">
        <v>430</v>
      </c>
      <c r="D163" s="3" t="s">
        <v>6161</v>
      </c>
    </row>
    <row r="164">
      <c r="A164" s="3" t="b">
        <v>0</v>
      </c>
      <c r="B164" s="3" t="s">
        <v>6696</v>
      </c>
      <c r="C164" s="3" t="s">
        <v>6697</v>
      </c>
      <c r="D164" s="3" t="s">
        <v>6061</v>
      </c>
    </row>
    <row r="165">
      <c r="A165" s="3" t="b">
        <v>1</v>
      </c>
      <c r="B165" s="3" t="s">
        <v>104</v>
      </c>
      <c r="C165" s="3" t="s">
        <v>6698</v>
      </c>
      <c r="D165" s="3" t="s">
        <v>725</v>
      </c>
    </row>
    <row r="166">
      <c r="A166" s="3" t="b">
        <v>0</v>
      </c>
      <c r="B166" s="3" t="s">
        <v>6699</v>
      </c>
      <c r="C166" s="3" t="s">
        <v>6700</v>
      </c>
      <c r="D166" s="3" t="s">
        <v>1114</v>
      </c>
    </row>
    <row r="167">
      <c r="A167" s="3" t="b">
        <v>1</v>
      </c>
      <c r="B167" s="3" t="s">
        <v>6701</v>
      </c>
      <c r="C167" s="3" t="s">
        <v>6702</v>
      </c>
      <c r="D167" s="3" t="s">
        <v>729</v>
      </c>
    </row>
    <row r="168">
      <c r="A168" s="3" t="b">
        <v>0</v>
      </c>
      <c r="B168" s="3" t="s">
        <v>116</v>
      </c>
      <c r="C168" s="3" t="s">
        <v>117</v>
      </c>
      <c r="D168" s="3" t="s">
        <v>6236</v>
      </c>
    </row>
    <row r="169">
      <c r="A169" s="3" t="b">
        <v>0</v>
      </c>
      <c r="B169" s="3" t="s">
        <v>6703</v>
      </c>
      <c r="C169" s="3" t="s">
        <v>6704</v>
      </c>
      <c r="D169" s="3" t="s">
        <v>3245</v>
      </c>
    </row>
    <row r="170">
      <c r="A170" s="3" t="b">
        <v>1</v>
      </c>
      <c r="B170" s="3" t="s">
        <v>6705</v>
      </c>
      <c r="C170" s="3" t="s">
        <v>6706</v>
      </c>
      <c r="D170" s="3" t="s">
        <v>3417</v>
      </c>
    </row>
    <row r="171">
      <c r="A171" s="3" t="b">
        <v>0</v>
      </c>
      <c r="B171" s="3" t="s">
        <v>6707</v>
      </c>
      <c r="C171" s="3" t="s">
        <v>6708</v>
      </c>
      <c r="D171" s="3" t="s">
        <v>3165</v>
      </c>
    </row>
    <row r="172">
      <c r="A172" s="3" t="b">
        <v>1</v>
      </c>
      <c r="B172" s="3" t="s">
        <v>6709</v>
      </c>
      <c r="C172" s="3" t="s">
        <v>6710</v>
      </c>
      <c r="D172" s="3" t="s">
        <v>3522</v>
      </c>
    </row>
    <row r="173">
      <c r="A173" s="3" t="b">
        <v>1</v>
      </c>
      <c r="B173" s="3" t="s">
        <v>6711</v>
      </c>
      <c r="C173" s="3" t="s">
        <v>6712</v>
      </c>
      <c r="D173" s="3" t="s">
        <v>5846</v>
      </c>
    </row>
    <row r="174">
      <c r="A174" s="3" t="b">
        <v>0</v>
      </c>
      <c r="B174" s="3" t="s">
        <v>6713</v>
      </c>
      <c r="C174" s="3" t="s">
        <v>6714</v>
      </c>
      <c r="D174" s="3" t="s">
        <v>6407</v>
      </c>
    </row>
    <row r="175">
      <c r="A175" s="3" t="b">
        <v>1</v>
      </c>
      <c r="B175" s="3" t="s">
        <v>6715</v>
      </c>
      <c r="C175" s="3" t="s">
        <v>6716</v>
      </c>
      <c r="D175" s="3" t="s">
        <v>3855</v>
      </c>
    </row>
    <row r="176">
      <c r="A176" s="3" t="b">
        <v>1</v>
      </c>
      <c r="B176" s="3" t="s">
        <v>6717</v>
      </c>
      <c r="C176" s="3" t="s">
        <v>6718</v>
      </c>
      <c r="D176" s="3" t="s">
        <v>6214</v>
      </c>
    </row>
    <row r="177">
      <c r="A177" s="3" t="b">
        <v>0</v>
      </c>
      <c r="B177" s="3" t="s">
        <v>6719</v>
      </c>
      <c r="C177" s="25" t="s">
        <v>6720</v>
      </c>
      <c r="D177" s="3" t="s">
        <v>6077</v>
      </c>
    </row>
    <row r="178">
      <c r="A178" s="3" t="b">
        <v>0</v>
      </c>
      <c r="B178" s="3" t="s">
        <v>6721</v>
      </c>
      <c r="C178" s="3" t="s">
        <v>6722</v>
      </c>
      <c r="D178" s="3" t="s">
        <v>4613</v>
      </c>
    </row>
    <row r="179">
      <c r="A179" s="3" t="b">
        <v>1</v>
      </c>
      <c r="B179" s="3" t="s">
        <v>6723</v>
      </c>
      <c r="C179" s="3" t="s">
        <v>6724</v>
      </c>
      <c r="D179" s="3" t="s">
        <v>3536</v>
      </c>
    </row>
    <row r="180">
      <c r="A180" s="3" t="b">
        <v>1</v>
      </c>
      <c r="B180" s="3" t="s">
        <v>148</v>
      </c>
      <c r="C180" s="3" t="s">
        <v>6725</v>
      </c>
      <c r="D180" s="3" t="s">
        <v>5827</v>
      </c>
    </row>
    <row r="181">
      <c r="A181" s="3" t="b">
        <v>1</v>
      </c>
      <c r="B181" s="3" t="s">
        <v>6726</v>
      </c>
      <c r="C181" s="3" t="s">
        <v>6727</v>
      </c>
      <c r="D181" s="3" t="s">
        <v>2937</v>
      </c>
    </row>
    <row r="182">
      <c r="A182" s="3" t="b">
        <v>1</v>
      </c>
      <c r="B182" s="3" t="s">
        <v>169</v>
      </c>
      <c r="C182" s="3" t="s">
        <v>170</v>
      </c>
      <c r="D182" s="3" t="s">
        <v>2522</v>
      </c>
    </row>
    <row r="183">
      <c r="A183" s="3" t="b">
        <v>0</v>
      </c>
      <c r="B183" s="3" t="s">
        <v>6728</v>
      </c>
      <c r="C183" s="3" t="s">
        <v>6729</v>
      </c>
      <c r="D183" s="3" t="s">
        <v>3109</v>
      </c>
    </row>
    <row r="184">
      <c r="A184" s="3" t="b">
        <v>0</v>
      </c>
      <c r="B184" s="3" t="s">
        <v>6730</v>
      </c>
      <c r="C184" s="3" t="s">
        <v>6731</v>
      </c>
      <c r="D184" s="3" t="s">
        <v>5969</v>
      </c>
    </row>
    <row r="185">
      <c r="A185" s="3" t="b">
        <v>1</v>
      </c>
      <c r="B185" s="3" t="s">
        <v>6732</v>
      </c>
      <c r="C185" s="3" t="s">
        <v>6733</v>
      </c>
      <c r="D185" s="3" t="s">
        <v>739</v>
      </c>
    </row>
    <row r="186">
      <c r="A186" s="3" t="b">
        <v>0</v>
      </c>
      <c r="B186" s="3" t="s">
        <v>6734</v>
      </c>
      <c r="C186" s="3" t="s">
        <v>6735</v>
      </c>
      <c r="D186" s="3" t="s">
        <v>5073</v>
      </c>
    </row>
    <row r="187">
      <c r="A187" s="3" t="b">
        <v>0</v>
      </c>
      <c r="B187" s="3" t="s">
        <v>6736</v>
      </c>
      <c r="C187" s="3" t="s">
        <v>6737</v>
      </c>
      <c r="D187" s="3" t="s">
        <v>2791</v>
      </c>
    </row>
    <row r="188">
      <c r="A188" s="3" t="b">
        <v>1</v>
      </c>
      <c r="B188" s="3" t="s">
        <v>6738</v>
      </c>
      <c r="C188" s="3" t="s">
        <v>6739</v>
      </c>
      <c r="D188" s="3" t="s">
        <v>3556</v>
      </c>
    </row>
    <row r="189">
      <c r="A189" s="3" t="b">
        <v>1</v>
      </c>
      <c r="B189" s="3" t="s">
        <v>6740</v>
      </c>
      <c r="C189" s="3" t="s">
        <v>6741</v>
      </c>
      <c r="D189" s="3" t="s">
        <v>3171</v>
      </c>
    </row>
    <row r="190">
      <c r="A190" s="3" t="b">
        <v>1</v>
      </c>
      <c r="B190" s="3" t="s">
        <v>136</v>
      </c>
      <c r="C190" s="3" t="s">
        <v>6742</v>
      </c>
      <c r="D190" s="3" t="s">
        <v>658</v>
      </c>
    </row>
    <row r="191">
      <c r="A191" s="3" t="b">
        <v>1</v>
      </c>
      <c r="B191" s="3" t="s">
        <v>6743</v>
      </c>
      <c r="C191" s="3" t="s">
        <v>6744</v>
      </c>
      <c r="D191" s="3" t="s">
        <v>6168</v>
      </c>
    </row>
    <row r="192">
      <c r="A192" s="3" t="b">
        <v>0</v>
      </c>
      <c r="B192" s="3" t="s">
        <v>6745</v>
      </c>
      <c r="C192" s="3" t="s">
        <v>6746</v>
      </c>
      <c r="D192" s="3" t="s">
        <v>5877</v>
      </c>
    </row>
    <row r="193">
      <c r="A193" s="3" t="b">
        <v>0</v>
      </c>
      <c r="B193" s="3" t="s">
        <v>6747</v>
      </c>
      <c r="C193" s="3" t="s">
        <v>6748</v>
      </c>
      <c r="D193" s="3" t="s">
        <v>2735</v>
      </c>
    </row>
    <row r="194">
      <c r="A194" s="3" t="b">
        <v>1</v>
      </c>
      <c r="B194" s="3" t="s">
        <v>6749</v>
      </c>
      <c r="C194" s="3" t="s">
        <v>2044</v>
      </c>
      <c r="D194" s="3" t="s">
        <v>3333</v>
      </c>
    </row>
    <row r="195">
      <c r="A195" s="3" t="b">
        <v>1</v>
      </c>
      <c r="B195" s="3" t="s">
        <v>6750</v>
      </c>
      <c r="C195" s="3" t="s">
        <v>6751</v>
      </c>
      <c r="D195" s="3" t="s">
        <v>3771</v>
      </c>
    </row>
    <row r="196">
      <c r="A196" s="3" t="b">
        <v>1</v>
      </c>
      <c r="B196" s="3" t="s">
        <v>6752</v>
      </c>
      <c r="C196" s="3" t="s">
        <v>319</v>
      </c>
      <c r="D196" s="3" t="s">
        <v>6249</v>
      </c>
    </row>
    <row r="197">
      <c r="A197" s="3" t="b">
        <v>1</v>
      </c>
      <c r="B197" s="3" t="s">
        <v>6753</v>
      </c>
      <c r="C197" s="3" t="s">
        <v>6754</v>
      </c>
      <c r="D197" s="3" t="s">
        <v>2983</v>
      </c>
    </row>
    <row r="198">
      <c r="A198" s="3" t="b">
        <v>1</v>
      </c>
      <c r="B198" s="3" t="s">
        <v>6755</v>
      </c>
      <c r="C198" s="3" t="s">
        <v>6756</v>
      </c>
      <c r="D198" s="3" t="s">
        <v>6017</v>
      </c>
    </row>
    <row r="199">
      <c r="A199" s="3" t="b">
        <v>1</v>
      </c>
      <c r="B199" s="3" t="s">
        <v>6757</v>
      </c>
      <c r="C199" s="3" t="s">
        <v>6758</v>
      </c>
      <c r="D199" s="3" t="s">
        <v>3190</v>
      </c>
    </row>
    <row r="200">
      <c r="A200" s="3" t="b">
        <v>0</v>
      </c>
      <c r="B200" s="3" t="s">
        <v>6759</v>
      </c>
      <c r="C200" s="3" t="s">
        <v>6760</v>
      </c>
      <c r="D200" s="3" t="s">
        <v>5963</v>
      </c>
    </row>
    <row r="201">
      <c r="A201" s="3" t="b">
        <v>1</v>
      </c>
      <c r="B201" s="3" t="s">
        <v>6761</v>
      </c>
      <c r="C201" s="3" t="s">
        <v>6762</v>
      </c>
      <c r="D201" s="3" t="s">
        <v>1218</v>
      </c>
    </row>
    <row r="202">
      <c r="A202" s="3" t="b">
        <v>0</v>
      </c>
      <c r="B202" s="3" t="s">
        <v>6763</v>
      </c>
      <c r="C202" s="3" t="s">
        <v>6764</v>
      </c>
      <c r="D202" s="3" t="s">
        <v>5916</v>
      </c>
    </row>
    <row r="203">
      <c r="A203" s="3" t="b">
        <v>0</v>
      </c>
      <c r="B203" s="3" t="s">
        <v>6765</v>
      </c>
      <c r="C203" s="3" t="s">
        <v>6766</v>
      </c>
      <c r="D203" s="3" t="s">
        <v>6103</v>
      </c>
    </row>
    <row r="204">
      <c r="A204" s="3" t="b">
        <v>0</v>
      </c>
      <c r="B204" s="3" t="s">
        <v>6767</v>
      </c>
      <c r="C204" s="3" t="s">
        <v>6768</v>
      </c>
      <c r="D204" s="3" t="s">
        <v>6299</v>
      </c>
    </row>
    <row r="205">
      <c r="A205" s="3" t="b">
        <v>1</v>
      </c>
      <c r="B205" s="3" t="s">
        <v>184</v>
      </c>
      <c r="C205" s="3" t="s">
        <v>478</v>
      </c>
      <c r="D205" s="3" t="s">
        <v>5021</v>
      </c>
    </row>
    <row r="206">
      <c r="A206" s="3" t="b">
        <v>0</v>
      </c>
      <c r="B206" s="3" t="s">
        <v>6769</v>
      </c>
      <c r="C206" s="3" t="s">
        <v>312</v>
      </c>
      <c r="D206" s="3" t="s">
        <v>6409</v>
      </c>
    </row>
    <row r="207">
      <c r="A207" s="3" t="b">
        <v>1</v>
      </c>
      <c r="B207" s="3" t="s">
        <v>6770</v>
      </c>
      <c r="C207" s="3" t="s">
        <v>6771</v>
      </c>
      <c r="D207" s="3" t="s">
        <v>5773</v>
      </c>
    </row>
    <row r="208">
      <c r="A208" s="3" t="b">
        <v>0</v>
      </c>
      <c r="B208" s="3" t="s">
        <v>6772</v>
      </c>
      <c r="C208" s="3" t="s">
        <v>6773</v>
      </c>
      <c r="D208" s="3" t="s">
        <v>6276</v>
      </c>
    </row>
    <row r="209">
      <c r="A209" s="3" t="b">
        <v>0</v>
      </c>
      <c r="B209" s="3" t="s">
        <v>6774</v>
      </c>
      <c r="C209" s="3" t="s">
        <v>6775</v>
      </c>
      <c r="D209" s="3" t="s">
        <v>2851</v>
      </c>
    </row>
    <row r="210">
      <c r="A210" s="3" t="b">
        <v>1</v>
      </c>
      <c r="B210" s="3" t="s">
        <v>6776</v>
      </c>
      <c r="C210" s="3" t="s">
        <v>6777</v>
      </c>
      <c r="D210" s="3" t="s">
        <v>3239</v>
      </c>
    </row>
    <row r="211">
      <c r="A211" s="3" t="b">
        <v>0</v>
      </c>
      <c r="B211" s="3" t="s">
        <v>6778</v>
      </c>
      <c r="C211" s="3" t="s">
        <v>6779</v>
      </c>
      <c r="D211" s="3" t="s">
        <v>3163</v>
      </c>
    </row>
    <row r="212">
      <c r="A212" s="3" t="b">
        <v>0</v>
      </c>
      <c r="B212" s="3" t="s">
        <v>181</v>
      </c>
      <c r="C212" s="3" t="s">
        <v>6780</v>
      </c>
      <c r="D212" s="3" t="s">
        <v>6021</v>
      </c>
    </row>
    <row r="213">
      <c r="A213" s="3" t="b">
        <v>1</v>
      </c>
      <c r="B213" s="3" t="s">
        <v>6781</v>
      </c>
      <c r="C213" s="3" t="s">
        <v>6782</v>
      </c>
      <c r="D213" s="3" t="s">
        <v>3512</v>
      </c>
    </row>
    <row r="214">
      <c r="A214" s="3" t="b">
        <v>0</v>
      </c>
      <c r="B214" s="3" t="s">
        <v>6783</v>
      </c>
      <c r="C214" s="3" t="s">
        <v>6784</v>
      </c>
      <c r="D214" s="3" t="s">
        <v>3593</v>
      </c>
    </row>
    <row r="215">
      <c r="A215" s="3" t="b">
        <v>0</v>
      </c>
      <c r="B215" s="3" t="s">
        <v>6785</v>
      </c>
      <c r="C215" s="3" t="s">
        <v>601</v>
      </c>
      <c r="D215" s="3" t="s">
        <v>3133</v>
      </c>
    </row>
    <row r="216">
      <c r="A216" s="3" t="b">
        <v>0</v>
      </c>
      <c r="B216" s="3" t="s">
        <v>6786</v>
      </c>
      <c r="C216" s="3" t="s">
        <v>6787</v>
      </c>
      <c r="D216" s="3" t="s">
        <v>2909</v>
      </c>
    </row>
    <row r="217">
      <c r="A217" s="3" t="b">
        <v>0</v>
      </c>
      <c r="B217" s="3" t="s">
        <v>6788</v>
      </c>
      <c r="C217" s="3" t="s">
        <v>6789</v>
      </c>
      <c r="D217" s="3" t="s">
        <v>6390</v>
      </c>
    </row>
    <row r="218">
      <c r="A218" s="3" t="b">
        <v>1</v>
      </c>
      <c r="B218" s="3" t="s">
        <v>6790</v>
      </c>
      <c r="C218" s="3" t="s">
        <v>598</v>
      </c>
      <c r="D218" s="3" t="s">
        <v>5799</v>
      </c>
    </row>
    <row r="219">
      <c r="A219" s="3" t="b">
        <v>1</v>
      </c>
      <c r="B219" s="3" t="s">
        <v>6791</v>
      </c>
      <c r="C219" s="3" t="s">
        <v>6792</v>
      </c>
      <c r="D219" s="3" t="s">
        <v>2153</v>
      </c>
    </row>
    <row r="220">
      <c r="A220" s="3" t="b">
        <v>1</v>
      </c>
      <c r="B220" s="3" t="s">
        <v>6793</v>
      </c>
      <c r="C220" s="3" t="s">
        <v>6794</v>
      </c>
      <c r="D220" s="3" t="s">
        <v>1410</v>
      </c>
    </row>
    <row r="221">
      <c r="A221" s="3" t="b">
        <v>0</v>
      </c>
      <c r="B221" s="3" t="s">
        <v>6795</v>
      </c>
      <c r="C221" s="3" t="s">
        <v>6796</v>
      </c>
      <c r="D221" s="3" t="s">
        <v>6115</v>
      </c>
    </row>
    <row r="222">
      <c r="A222" s="3" t="b">
        <v>1</v>
      </c>
      <c r="B222" s="3" t="s">
        <v>6797</v>
      </c>
      <c r="C222" s="3" t="s">
        <v>6798</v>
      </c>
      <c r="D222" s="3" t="s">
        <v>5865</v>
      </c>
    </row>
    <row r="223">
      <c r="A223" s="3" t="b">
        <v>1</v>
      </c>
      <c r="B223" s="3" t="s">
        <v>6799</v>
      </c>
      <c r="C223" s="3" t="s">
        <v>6800</v>
      </c>
      <c r="D223" s="3" t="s">
        <v>6153</v>
      </c>
    </row>
    <row r="224">
      <c r="A224" s="3" t="b">
        <v>1</v>
      </c>
      <c r="B224" s="3" t="s">
        <v>6801</v>
      </c>
      <c r="C224" s="3" t="s">
        <v>6802</v>
      </c>
      <c r="D224" s="3" t="s">
        <v>6180</v>
      </c>
    </row>
    <row r="225">
      <c r="A225" s="3" t="b">
        <v>1</v>
      </c>
      <c r="B225" s="3" t="s">
        <v>6803</v>
      </c>
      <c r="C225" s="3" t="s">
        <v>6804</v>
      </c>
      <c r="D225" s="3" t="s">
        <v>5797</v>
      </c>
    </row>
    <row r="226">
      <c r="A226" s="3" t="b">
        <v>0</v>
      </c>
      <c r="B226" s="3" t="s">
        <v>6805</v>
      </c>
      <c r="C226" s="3" t="s">
        <v>6806</v>
      </c>
      <c r="D226" s="3" t="s">
        <v>3428</v>
      </c>
    </row>
    <row r="227">
      <c r="A227" s="3" t="b">
        <v>0</v>
      </c>
      <c r="B227" s="3" t="s">
        <v>6807</v>
      </c>
      <c r="C227" s="3" t="s">
        <v>572</v>
      </c>
      <c r="D227" s="3" t="s">
        <v>718</v>
      </c>
    </row>
    <row r="228">
      <c r="A228" s="3" t="b">
        <v>1</v>
      </c>
      <c r="B228" s="3" t="s">
        <v>6808</v>
      </c>
      <c r="C228" s="3" t="s">
        <v>6809</v>
      </c>
      <c r="D228" s="3" t="s">
        <v>3335</v>
      </c>
    </row>
    <row r="229">
      <c r="A229" s="3" t="b">
        <v>1</v>
      </c>
      <c r="B229" s="3" t="s">
        <v>205</v>
      </c>
      <c r="C229" s="3" t="s">
        <v>206</v>
      </c>
      <c r="D229" s="3" t="s">
        <v>1005</v>
      </c>
    </row>
    <row r="230">
      <c r="A230" s="3" t="b">
        <v>1</v>
      </c>
      <c r="B230" s="3" t="s">
        <v>6810</v>
      </c>
      <c r="C230" s="3" t="s">
        <v>6811</v>
      </c>
      <c r="D230" s="3" t="s">
        <v>1038</v>
      </c>
    </row>
    <row r="231">
      <c r="A231" s="3" t="b">
        <v>1</v>
      </c>
      <c r="B231" s="3" t="s">
        <v>166</v>
      </c>
      <c r="C231" s="3" t="s">
        <v>167</v>
      </c>
      <c r="D231" s="3" t="s">
        <v>3156</v>
      </c>
    </row>
    <row r="232">
      <c r="A232" s="3" t="b">
        <v>1</v>
      </c>
      <c r="B232" s="3" t="s">
        <v>6812</v>
      </c>
      <c r="C232" s="3" t="s">
        <v>6813</v>
      </c>
      <c r="D232" s="3" t="s">
        <v>2638</v>
      </c>
    </row>
    <row r="233">
      <c r="A233" s="3" t="b">
        <v>0</v>
      </c>
      <c r="B233" s="3" t="s">
        <v>6814</v>
      </c>
      <c r="C233" s="3" t="s">
        <v>6815</v>
      </c>
      <c r="D233" s="3" t="s">
        <v>1286</v>
      </c>
    </row>
    <row r="234">
      <c r="A234" s="3" t="b">
        <v>0</v>
      </c>
      <c r="B234" s="3" t="s">
        <v>6816</v>
      </c>
      <c r="C234" s="3" t="s">
        <v>6817</v>
      </c>
      <c r="D234" s="3" t="s">
        <v>6346</v>
      </c>
    </row>
    <row r="235">
      <c r="A235" s="3" t="b">
        <v>1</v>
      </c>
      <c r="B235" s="3" t="s">
        <v>6818</v>
      </c>
      <c r="C235" s="3" t="s">
        <v>6819</v>
      </c>
      <c r="D235" s="3" t="s">
        <v>3462</v>
      </c>
    </row>
    <row r="236">
      <c r="A236" s="3" t="b">
        <v>1</v>
      </c>
      <c r="B236" s="3" t="s">
        <v>6820</v>
      </c>
      <c r="C236" s="3" t="s">
        <v>6821</v>
      </c>
      <c r="D236" s="3" t="s">
        <v>5985</v>
      </c>
    </row>
    <row r="237">
      <c r="A237" s="3" t="b">
        <v>0</v>
      </c>
      <c r="B237" s="3" t="s">
        <v>6822</v>
      </c>
      <c r="C237" s="3" t="s">
        <v>6823</v>
      </c>
      <c r="D237" s="3" t="s">
        <v>6384</v>
      </c>
    </row>
    <row r="238">
      <c r="A238" s="3" t="b">
        <v>0</v>
      </c>
      <c r="B238" s="3" t="s">
        <v>6824</v>
      </c>
      <c r="C238" s="3" t="s">
        <v>6825</v>
      </c>
      <c r="D238" s="3" t="s">
        <v>1907</v>
      </c>
    </row>
    <row r="239">
      <c r="A239" s="3" t="b">
        <v>0</v>
      </c>
      <c r="B239" s="3" t="s">
        <v>6826</v>
      </c>
      <c r="C239" s="3" t="s">
        <v>6827</v>
      </c>
      <c r="D239" s="3" t="s">
        <v>5813</v>
      </c>
    </row>
    <row r="240">
      <c r="A240" s="3" t="b">
        <v>0</v>
      </c>
      <c r="B240" s="3" t="s">
        <v>6828</v>
      </c>
      <c r="C240" s="3" t="s">
        <v>6829</v>
      </c>
      <c r="D240" s="3" t="s">
        <v>6270</v>
      </c>
    </row>
    <row r="241">
      <c r="A241" s="3" t="b">
        <v>0</v>
      </c>
      <c r="B241" s="3" t="s">
        <v>6830</v>
      </c>
      <c r="C241" s="3" t="s">
        <v>6831</v>
      </c>
      <c r="D241" s="3" t="s">
        <v>5099</v>
      </c>
    </row>
    <row r="242">
      <c r="A242" s="3" t="b">
        <v>0</v>
      </c>
      <c r="B242" s="3" t="s">
        <v>6832</v>
      </c>
      <c r="C242" s="3" t="s">
        <v>6833</v>
      </c>
      <c r="D242" s="3" t="s">
        <v>1718</v>
      </c>
    </row>
    <row r="243">
      <c r="A243" s="3" t="b">
        <v>0</v>
      </c>
      <c r="B243" s="3" t="s">
        <v>6834</v>
      </c>
      <c r="C243" s="3" t="s">
        <v>6835</v>
      </c>
      <c r="D243" s="3" t="s">
        <v>2771</v>
      </c>
    </row>
    <row r="244">
      <c r="A244" s="3" t="b">
        <v>0</v>
      </c>
      <c r="B244" s="3" t="s">
        <v>6836</v>
      </c>
      <c r="C244" s="3" t="s">
        <v>6837</v>
      </c>
      <c r="D244" s="3" t="s">
        <v>5879</v>
      </c>
    </row>
    <row r="245">
      <c r="A245" s="3" t="b">
        <v>0</v>
      </c>
      <c r="B245" s="3" t="s">
        <v>6838</v>
      </c>
      <c r="C245" s="3" t="s">
        <v>6839</v>
      </c>
      <c r="D245" s="3" t="s">
        <v>6218</v>
      </c>
    </row>
    <row r="246">
      <c r="A246" s="3" t="b">
        <v>0</v>
      </c>
      <c r="B246" s="3" t="s">
        <v>6840</v>
      </c>
      <c r="C246" s="3" t="s">
        <v>6841</v>
      </c>
      <c r="D246" s="3" t="s">
        <v>1867</v>
      </c>
    </row>
    <row r="247">
      <c r="A247" s="3" t="b">
        <v>1</v>
      </c>
      <c r="B247" s="3" t="s">
        <v>6842</v>
      </c>
      <c r="C247" s="3" t="s">
        <v>6843</v>
      </c>
      <c r="D247" s="3" t="s">
        <v>3305</v>
      </c>
    </row>
    <row r="248">
      <c r="A248" s="3" t="b">
        <v>1</v>
      </c>
      <c r="B248" s="3" t="s">
        <v>6844</v>
      </c>
      <c r="C248" s="3" t="s">
        <v>6845</v>
      </c>
      <c r="D248" s="3" t="s">
        <v>5197</v>
      </c>
    </row>
    <row r="249">
      <c r="A249" s="3" t="b">
        <v>0</v>
      </c>
      <c r="B249" s="3" t="s">
        <v>6846</v>
      </c>
      <c r="C249" s="3" t="s">
        <v>6847</v>
      </c>
      <c r="D249" s="3" t="s">
        <v>3071</v>
      </c>
    </row>
    <row r="250">
      <c r="A250" s="3" t="b">
        <v>1</v>
      </c>
      <c r="B250" s="3" t="s">
        <v>6848</v>
      </c>
      <c r="C250" s="3" t="s">
        <v>6849</v>
      </c>
      <c r="D250" s="3" t="s">
        <v>3375</v>
      </c>
    </row>
    <row r="251">
      <c r="A251" s="3" t="b">
        <v>0</v>
      </c>
      <c r="B251" s="3" t="s">
        <v>6850</v>
      </c>
      <c r="C251" s="3" t="s">
        <v>6851</v>
      </c>
      <c r="D251" s="3" t="s">
        <v>6127</v>
      </c>
    </row>
    <row r="252">
      <c r="A252" s="3" t="b">
        <v>0</v>
      </c>
      <c r="B252" s="3" t="s">
        <v>6852</v>
      </c>
      <c r="C252" s="3" t="s">
        <v>6853</v>
      </c>
      <c r="D252" s="3" t="s">
        <v>6320</v>
      </c>
    </row>
    <row r="253">
      <c r="A253" s="3" t="b">
        <v>0</v>
      </c>
      <c r="B253" s="3" t="s">
        <v>6854</v>
      </c>
      <c r="C253" s="3" t="s">
        <v>6855</v>
      </c>
      <c r="D253" s="3" t="s">
        <v>3093</v>
      </c>
    </row>
    <row r="254">
      <c r="A254" s="3" t="b">
        <v>1</v>
      </c>
      <c r="B254" s="3" t="s">
        <v>6856</v>
      </c>
      <c r="C254" s="3" t="s">
        <v>6857</v>
      </c>
      <c r="D254" s="3" t="s">
        <v>719</v>
      </c>
    </row>
    <row r="255">
      <c r="A255" s="3" t="b">
        <v>0</v>
      </c>
      <c r="B255" s="3" t="s">
        <v>6858</v>
      </c>
      <c r="C255" s="3" t="s">
        <v>6859</v>
      </c>
      <c r="D255" s="3" t="s">
        <v>1288</v>
      </c>
    </row>
    <row r="256">
      <c r="A256" s="3" t="b">
        <v>0</v>
      </c>
      <c r="B256" s="3" t="s">
        <v>157</v>
      </c>
      <c r="C256" s="3" t="s">
        <v>158</v>
      </c>
      <c r="D256" s="3" t="s">
        <v>1748</v>
      </c>
    </row>
    <row r="257">
      <c r="A257" s="3" t="b">
        <v>0</v>
      </c>
      <c r="B257" s="3" t="s">
        <v>6860</v>
      </c>
      <c r="C257" s="3" t="s">
        <v>6861</v>
      </c>
      <c r="D257" s="3" t="s">
        <v>2675</v>
      </c>
    </row>
    <row r="258">
      <c r="A258" s="3" t="b">
        <v>1</v>
      </c>
      <c r="B258" s="3" t="s">
        <v>6862</v>
      </c>
      <c r="C258" s="3" t="s">
        <v>6863</v>
      </c>
      <c r="D258" s="3" t="s">
        <v>5709</v>
      </c>
    </row>
    <row r="259">
      <c r="A259" s="3" t="b">
        <v>0</v>
      </c>
      <c r="B259" s="3" t="s">
        <v>6864</v>
      </c>
      <c r="C259" s="3" t="s">
        <v>6865</v>
      </c>
      <c r="D259" s="3" t="s">
        <v>6332</v>
      </c>
    </row>
    <row r="260">
      <c r="A260" s="3" t="b">
        <v>0</v>
      </c>
      <c r="B260" s="3" t="s">
        <v>6866</v>
      </c>
      <c r="C260" s="3" t="s">
        <v>6867</v>
      </c>
      <c r="D260" s="3" t="s">
        <v>2163</v>
      </c>
    </row>
    <row r="261">
      <c r="A261" s="3" t="b">
        <v>0</v>
      </c>
      <c r="B261" s="3" t="s">
        <v>6868</v>
      </c>
      <c r="C261" s="3" t="s">
        <v>6869</v>
      </c>
      <c r="D261" s="3" t="s">
        <v>6243</v>
      </c>
    </row>
    <row r="262">
      <c r="A262" s="3" t="b">
        <v>0</v>
      </c>
      <c r="B262" s="3" t="s">
        <v>6870</v>
      </c>
      <c r="C262" s="3" t="s">
        <v>6871</v>
      </c>
      <c r="D262" s="3" t="s">
        <v>6239</v>
      </c>
    </row>
    <row r="263">
      <c r="A263" s="3" t="b">
        <v>0</v>
      </c>
      <c r="B263" s="3" t="s">
        <v>6872</v>
      </c>
      <c r="C263" s="3" t="s">
        <v>6873</v>
      </c>
      <c r="D263" s="3" t="s">
        <v>6392</v>
      </c>
    </row>
    <row r="264">
      <c r="A264" s="3" t="b">
        <v>1</v>
      </c>
      <c r="B264" s="3" t="s">
        <v>6874</v>
      </c>
      <c r="C264" s="3" t="s">
        <v>6875</v>
      </c>
      <c r="D264" s="3" t="s">
        <v>6258</v>
      </c>
    </row>
    <row r="265">
      <c r="A265" s="3" t="b">
        <v>0</v>
      </c>
      <c r="B265" s="3" t="s">
        <v>142</v>
      </c>
      <c r="C265" s="3" t="s">
        <v>143</v>
      </c>
      <c r="D265" s="3" t="s">
        <v>6054</v>
      </c>
    </row>
    <row r="266">
      <c r="A266" s="3" t="b">
        <v>0</v>
      </c>
      <c r="B266" s="3" t="s">
        <v>154</v>
      </c>
      <c r="C266" s="3" t="s">
        <v>329</v>
      </c>
      <c r="D266" s="3" t="s">
        <v>3236</v>
      </c>
    </row>
    <row r="267">
      <c r="A267" s="3" t="b">
        <v>1</v>
      </c>
      <c r="B267" s="3" t="s">
        <v>6876</v>
      </c>
      <c r="C267" s="3" t="s">
        <v>6877</v>
      </c>
      <c r="D267" s="3" t="s">
        <v>5987</v>
      </c>
    </row>
    <row r="268">
      <c r="A268" s="3" t="b">
        <v>1</v>
      </c>
      <c r="B268" s="3" t="s">
        <v>178</v>
      </c>
      <c r="C268" s="3" t="s">
        <v>179</v>
      </c>
      <c r="D268" s="3" t="s">
        <v>3582</v>
      </c>
    </row>
    <row r="269">
      <c r="A269" s="3" t="b">
        <v>1</v>
      </c>
      <c r="B269" s="3" t="s">
        <v>187</v>
      </c>
      <c r="C269" s="3" t="s">
        <v>188</v>
      </c>
      <c r="D269" s="3" t="s">
        <v>2527</v>
      </c>
    </row>
    <row r="270">
      <c r="A270" s="3" t="b">
        <v>0</v>
      </c>
      <c r="B270" s="3" t="s">
        <v>6878</v>
      </c>
      <c r="C270" s="3" t="s">
        <v>6879</v>
      </c>
      <c r="D270" s="3" t="s">
        <v>6364</v>
      </c>
    </row>
    <row r="271">
      <c r="A271" s="3" t="b">
        <v>0</v>
      </c>
      <c r="B271" s="3" t="s">
        <v>6880</v>
      </c>
      <c r="C271" s="3" t="s">
        <v>6881</v>
      </c>
      <c r="D271" s="3" t="s">
        <v>3508</v>
      </c>
    </row>
    <row r="272">
      <c r="A272" s="3" t="b">
        <v>0</v>
      </c>
      <c r="B272" s="3" t="s">
        <v>6882</v>
      </c>
      <c r="C272" s="3" t="s">
        <v>6883</v>
      </c>
      <c r="D272" s="3" t="s">
        <v>5787</v>
      </c>
    </row>
    <row r="273">
      <c r="A273" s="3" t="b">
        <v>0</v>
      </c>
      <c r="B273" s="3" t="s">
        <v>6884</v>
      </c>
      <c r="C273" s="3" t="s">
        <v>6885</v>
      </c>
      <c r="D273" s="3" t="s">
        <v>3251</v>
      </c>
    </row>
    <row r="274">
      <c r="A274" s="3" t="b">
        <v>0</v>
      </c>
      <c r="B274" s="3" t="s">
        <v>6886</v>
      </c>
      <c r="C274" s="3" t="s">
        <v>6887</v>
      </c>
      <c r="D274" s="3" t="s">
        <v>2476</v>
      </c>
    </row>
    <row r="275">
      <c r="A275" s="3" t="b">
        <v>0</v>
      </c>
      <c r="B275" s="3" t="s">
        <v>6888</v>
      </c>
      <c r="C275" s="3" t="s">
        <v>6889</v>
      </c>
      <c r="D275" s="3" t="s">
        <v>3150</v>
      </c>
    </row>
    <row r="276">
      <c r="A276" s="3" t="b">
        <v>1</v>
      </c>
      <c r="B276" s="3" t="s">
        <v>6890</v>
      </c>
      <c r="C276" s="3" t="s">
        <v>6891</v>
      </c>
      <c r="D276" s="3" t="s">
        <v>4501</v>
      </c>
    </row>
    <row r="277">
      <c r="A277" s="3" t="b">
        <v>1</v>
      </c>
      <c r="B277" s="3" t="s">
        <v>6892</v>
      </c>
      <c r="C277" s="3" t="s">
        <v>6893</v>
      </c>
      <c r="D277" s="3" t="s">
        <v>2081</v>
      </c>
    </row>
    <row r="278">
      <c r="A278" s="3" t="b">
        <v>0</v>
      </c>
      <c r="B278" s="3" t="s">
        <v>6894</v>
      </c>
      <c r="C278" s="3" t="s">
        <v>6895</v>
      </c>
      <c r="D278" s="3" t="s">
        <v>6015</v>
      </c>
    </row>
    <row r="279">
      <c r="A279" s="3" t="b">
        <v>1</v>
      </c>
      <c r="B279" s="3" t="s">
        <v>6896</v>
      </c>
      <c r="C279" s="3" t="s">
        <v>6897</v>
      </c>
      <c r="D279" s="3" t="s">
        <v>6370</v>
      </c>
    </row>
    <row r="280">
      <c r="A280" s="3" t="b">
        <v>0</v>
      </c>
      <c r="B280" s="3" t="s">
        <v>6898</v>
      </c>
      <c r="C280" s="3" t="s">
        <v>6899</v>
      </c>
      <c r="D280" s="3" t="s">
        <v>6309</v>
      </c>
    </row>
    <row r="281">
      <c r="A281" s="3" t="b">
        <v>0</v>
      </c>
      <c r="B281" s="3" t="s">
        <v>193</v>
      </c>
      <c r="C281" s="3" t="s">
        <v>544</v>
      </c>
      <c r="D281" s="3" t="s">
        <v>1244</v>
      </c>
    </row>
    <row r="282">
      <c r="A282" s="3" t="b">
        <v>1</v>
      </c>
      <c r="B282" s="3" t="s">
        <v>6900</v>
      </c>
      <c r="C282" s="3" t="s">
        <v>6901</v>
      </c>
      <c r="D282" s="3" t="s">
        <v>5908</v>
      </c>
    </row>
    <row r="283">
      <c r="A283" s="3" t="b">
        <v>1</v>
      </c>
      <c r="B283" s="3" t="s">
        <v>6902</v>
      </c>
      <c r="C283" s="3" t="s">
        <v>6903</v>
      </c>
      <c r="D283" s="3" t="s">
        <v>6048</v>
      </c>
    </row>
    <row r="284">
      <c r="A284" s="3" t="b">
        <v>1</v>
      </c>
      <c r="B284" s="3" t="s">
        <v>6904</v>
      </c>
      <c r="C284" s="3" t="s">
        <v>6905</v>
      </c>
      <c r="D284" s="3" t="s">
        <v>2837</v>
      </c>
    </row>
    <row r="285">
      <c r="A285" s="3" t="b">
        <v>1</v>
      </c>
      <c r="B285" s="3" t="s">
        <v>6906</v>
      </c>
      <c r="C285" s="3" t="s">
        <v>6907</v>
      </c>
      <c r="D285" s="3" t="s">
        <v>6069</v>
      </c>
    </row>
    <row r="286">
      <c r="A286" s="3" t="b">
        <v>0</v>
      </c>
      <c r="B286" s="3" t="s">
        <v>6908</v>
      </c>
      <c r="C286" s="3" t="s">
        <v>6909</v>
      </c>
      <c r="D286" s="3" t="s">
        <v>6096</v>
      </c>
    </row>
    <row r="287">
      <c r="A287" s="3" t="b">
        <v>1</v>
      </c>
      <c r="B287" s="3" t="s">
        <v>6910</v>
      </c>
      <c r="C287" s="3" t="s">
        <v>6911</v>
      </c>
      <c r="D287" s="3" t="s">
        <v>6358</v>
      </c>
    </row>
    <row r="288">
      <c r="A288" s="3" t="b">
        <v>1</v>
      </c>
      <c r="B288" s="3" t="s">
        <v>6912</v>
      </c>
      <c r="C288" s="3" t="s">
        <v>6913</v>
      </c>
      <c r="D288" s="3" t="s">
        <v>6090</v>
      </c>
    </row>
    <row r="289">
      <c r="A289" s="3" t="b">
        <v>0</v>
      </c>
      <c r="B289" s="3" t="s">
        <v>6914</v>
      </c>
      <c r="C289" s="3" t="s">
        <v>6915</v>
      </c>
      <c r="D289" s="3" t="s">
        <v>5957</v>
      </c>
    </row>
    <row r="290">
      <c r="A290" s="3" t="b">
        <v>1</v>
      </c>
      <c r="B290" s="3" t="s">
        <v>6916</v>
      </c>
      <c r="C290" s="3" t="s">
        <v>6917</v>
      </c>
      <c r="D290" s="2"/>
    </row>
    <row r="291">
      <c r="A291" s="3" t="b">
        <v>1</v>
      </c>
      <c r="B291" s="3" t="s">
        <v>6918</v>
      </c>
      <c r="C291" s="3" t="s">
        <v>6919</v>
      </c>
      <c r="D291" s="3" t="s">
        <v>6001</v>
      </c>
    </row>
    <row r="292">
      <c r="A292" s="3" t="b">
        <v>1</v>
      </c>
      <c r="B292" s="3" t="s">
        <v>6920</v>
      </c>
      <c r="C292" s="3" t="s">
        <v>6921</v>
      </c>
      <c r="D292" s="3" t="s">
        <v>6011</v>
      </c>
    </row>
    <row r="293">
      <c r="A293" s="3" t="b">
        <v>1</v>
      </c>
      <c r="B293" s="3" t="s">
        <v>6922</v>
      </c>
      <c r="C293" s="3" t="s">
        <v>6923</v>
      </c>
      <c r="D293" s="3" t="s">
        <v>6394</v>
      </c>
    </row>
    <row r="294">
      <c r="A294" s="3" t="b">
        <v>1</v>
      </c>
      <c r="B294" s="3" t="s">
        <v>6924</v>
      </c>
      <c r="C294" s="3" t="s">
        <v>6925</v>
      </c>
      <c r="D294" s="3" t="s">
        <v>5979</v>
      </c>
    </row>
    <row r="295">
      <c r="A295" s="3" t="b">
        <v>1</v>
      </c>
      <c r="B295" s="3" t="s">
        <v>6926</v>
      </c>
      <c r="C295" s="3" t="s">
        <v>6927</v>
      </c>
      <c r="D295" s="3" t="s">
        <v>6247</v>
      </c>
    </row>
    <row r="296">
      <c r="A296" s="3" t="b">
        <v>1</v>
      </c>
      <c r="B296" s="3" t="s">
        <v>6928</v>
      </c>
      <c r="C296" s="3" t="s">
        <v>6929</v>
      </c>
      <c r="D296" s="3" t="s">
        <v>6065</v>
      </c>
    </row>
    <row r="297">
      <c r="A297" s="3" t="b">
        <v>1</v>
      </c>
      <c r="B297" s="3" t="s">
        <v>6930</v>
      </c>
      <c r="C297" s="3" t="s">
        <v>500</v>
      </c>
      <c r="D297" s="3" t="s">
        <v>6075</v>
      </c>
    </row>
    <row r="298">
      <c r="A298" s="3" t="b">
        <v>1</v>
      </c>
      <c r="B298" s="3" t="s">
        <v>6931</v>
      </c>
      <c r="C298" s="3" t="s">
        <v>6932</v>
      </c>
      <c r="D298" s="3" t="s">
        <v>6111</v>
      </c>
    </row>
    <row r="299">
      <c r="A299" s="3" t="b">
        <v>1</v>
      </c>
      <c r="B299" s="3" t="s">
        <v>6933</v>
      </c>
      <c r="C299" s="3" t="s">
        <v>6934</v>
      </c>
      <c r="D299" s="3" t="s">
        <v>6083</v>
      </c>
    </row>
    <row r="300">
      <c r="A300" s="3" t="b">
        <v>1</v>
      </c>
      <c r="B300" s="3" t="s">
        <v>6935</v>
      </c>
      <c r="C300" s="3" t="s">
        <v>6936</v>
      </c>
      <c r="D300" s="3" t="s">
        <v>6303</v>
      </c>
    </row>
    <row r="301">
      <c r="A301" s="3" t="b">
        <v>0</v>
      </c>
      <c r="B301" s="3" t="s">
        <v>6937</v>
      </c>
      <c r="C301" s="3" t="s">
        <v>6938</v>
      </c>
      <c r="D301" s="3" t="s">
        <v>6338</v>
      </c>
    </row>
    <row r="302">
      <c r="A302" s="3" t="b">
        <v>1</v>
      </c>
      <c r="B302" s="3" t="s">
        <v>6939</v>
      </c>
      <c r="C302" s="3" t="s">
        <v>6940</v>
      </c>
      <c r="D302" s="3" t="s">
        <v>6181</v>
      </c>
    </row>
    <row r="303">
      <c r="A303" s="3" t="b">
        <v>1</v>
      </c>
      <c r="B303" s="3" t="s">
        <v>6941</v>
      </c>
      <c r="C303" s="3" t="s">
        <v>6942</v>
      </c>
      <c r="D303" s="3" t="s">
        <v>6230</v>
      </c>
    </row>
    <row r="304">
      <c r="A304" s="3" t="b">
        <v>0</v>
      </c>
      <c r="B304" s="3" t="s">
        <v>6943</v>
      </c>
      <c r="C304" s="3" t="s">
        <v>6944</v>
      </c>
      <c r="D304" s="3" t="s">
        <v>6284</v>
      </c>
    </row>
    <row r="305">
      <c r="A305" s="3" t="b">
        <v>1</v>
      </c>
      <c r="B305" s="3" t="s">
        <v>6945</v>
      </c>
      <c r="C305" s="3" t="s">
        <v>6946</v>
      </c>
      <c r="D305" s="3" t="s">
        <v>5896</v>
      </c>
    </row>
    <row r="306">
      <c r="A306" s="3" t="b">
        <v>1</v>
      </c>
      <c r="B306" s="3" t="s">
        <v>6947</v>
      </c>
      <c r="C306" s="3" t="s">
        <v>6948</v>
      </c>
      <c r="D306" s="3" t="s">
        <v>6404</v>
      </c>
    </row>
    <row r="307">
      <c r="A307" s="3" t="b">
        <v>0</v>
      </c>
      <c r="B307" s="3" t="s">
        <v>6949</v>
      </c>
      <c r="C307" s="3" t="s">
        <v>6950</v>
      </c>
      <c r="D307" s="3" t="s">
        <v>2223</v>
      </c>
    </row>
    <row r="308">
      <c r="A308" s="3" t="b">
        <v>0</v>
      </c>
      <c r="B308" s="3" t="s">
        <v>6951</v>
      </c>
      <c r="C308" s="3" t="s">
        <v>6952</v>
      </c>
      <c r="D308" s="3" t="s">
        <v>5777</v>
      </c>
    </row>
    <row r="309">
      <c r="A309" s="3" t="b">
        <v>0</v>
      </c>
      <c r="B309" s="3" t="s">
        <v>6953</v>
      </c>
      <c r="C309" s="3" t="s">
        <v>6954</v>
      </c>
      <c r="D309" s="3" t="s">
        <v>6170</v>
      </c>
    </row>
    <row r="310">
      <c r="A310" s="3" t="b">
        <v>1</v>
      </c>
      <c r="B310" s="3" t="s">
        <v>6955</v>
      </c>
      <c r="C310" s="3" t="s">
        <v>6956</v>
      </c>
      <c r="D310" s="3" t="s">
        <v>733</v>
      </c>
    </row>
    <row r="311">
      <c r="A311" s="3" t="b">
        <v>1</v>
      </c>
      <c r="B311" s="3" t="s">
        <v>6957</v>
      </c>
      <c r="C311" s="3" t="s">
        <v>6958</v>
      </c>
      <c r="D311" s="3" t="s">
        <v>2759</v>
      </c>
    </row>
    <row r="312">
      <c r="A312" s="3" t="b">
        <v>1</v>
      </c>
      <c r="B312" s="3" t="s">
        <v>6959</v>
      </c>
      <c r="C312" s="3" t="s">
        <v>6960</v>
      </c>
      <c r="D312" s="3" t="s">
        <v>2945</v>
      </c>
    </row>
    <row r="313">
      <c r="A313" s="3" t="b">
        <v>0</v>
      </c>
      <c r="B313" s="3" t="s">
        <v>6961</v>
      </c>
      <c r="C313" s="3" t="s">
        <v>6962</v>
      </c>
      <c r="D313" s="3" t="s">
        <v>3075</v>
      </c>
    </row>
    <row r="314">
      <c r="A314" s="3" t="b">
        <v>0</v>
      </c>
      <c r="B314" s="3" t="s">
        <v>6963</v>
      </c>
      <c r="C314" s="3" t="s">
        <v>6964</v>
      </c>
      <c r="D314" s="3" t="s">
        <v>991</v>
      </c>
    </row>
    <row r="315">
      <c r="A315" s="3" t="b">
        <v>0</v>
      </c>
      <c r="B315" s="3" t="s">
        <v>6965</v>
      </c>
      <c r="C315" s="3" t="s">
        <v>6966</v>
      </c>
      <c r="D315" s="3" t="s">
        <v>5981</v>
      </c>
    </row>
    <row r="316">
      <c r="A316" s="3" t="b">
        <v>0</v>
      </c>
      <c r="B316" s="3" t="s">
        <v>6967</v>
      </c>
      <c r="C316" s="3" t="s">
        <v>6968</v>
      </c>
      <c r="D316" s="3" t="s">
        <v>1931</v>
      </c>
    </row>
    <row r="317">
      <c r="A317" s="3" t="b">
        <v>0</v>
      </c>
      <c r="B317" s="3" t="s">
        <v>6969</v>
      </c>
      <c r="C317" s="3" t="s">
        <v>6970</v>
      </c>
      <c r="D317" s="3" t="s">
        <v>5892</v>
      </c>
    </row>
    <row r="318">
      <c r="A318" s="3" t="b">
        <v>0</v>
      </c>
      <c r="B318" s="3" t="s">
        <v>6971</v>
      </c>
      <c r="C318" s="3" t="s">
        <v>6972</v>
      </c>
      <c r="D318" s="3" t="s">
        <v>6210</v>
      </c>
    </row>
    <row r="319">
      <c r="A319" s="3" t="b">
        <v>1</v>
      </c>
      <c r="B319" s="3" t="s">
        <v>6973</v>
      </c>
      <c r="C319" s="3" t="s">
        <v>6974</v>
      </c>
      <c r="D319" s="3" t="s">
        <v>6042</v>
      </c>
    </row>
    <row r="320">
      <c r="A320" s="3" t="b">
        <v>1</v>
      </c>
      <c r="B320" s="3" t="s">
        <v>6975</v>
      </c>
      <c r="C320" s="3" t="s">
        <v>6976</v>
      </c>
      <c r="D320" s="3" t="s">
        <v>5973</v>
      </c>
    </row>
    <row r="321">
      <c r="A321" s="3" t="b">
        <v>0</v>
      </c>
      <c r="B321" s="3" t="s">
        <v>6977</v>
      </c>
      <c r="C321" s="3" t="s">
        <v>6978</v>
      </c>
      <c r="D321" s="3" t="s">
        <v>2757</v>
      </c>
    </row>
    <row r="322">
      <c r="A322" s="3" t="b">
        <v>1</v>
      </c>
      <c r="B322" s="3" t="s">
        <v>6979</v>
      </c>
      <c r="C322" s="3" t="s">
        <v>6980</v>
      </c>
      <c r="D322" s="3" t="s">
        <v>6382</v>
      </c>
    </row>
    <row r="323">
      <c r="A323" s="3" t="b">
        <v>1</v>
      </c>
      <c r="B323" s="3" t="s">
        <v>6981</v>
      </c>
      <c r="C323" s="3" t="s">
        <v>6982</v>
      </c>
      <c r="D323" s="3" t="s">
        <v>5863</v>
      </c>
    </row>
    <row r="324">
      <c r="A324" s="3" t="b">
        <v>1</v>
      </c>
      <c r="B324" s="3" t="s">
        <v>6983</v>
      </c>
      <c r="C324" s="3" t="s">
        <v>6984</v>
      </c>
      <c r="D324" s="3" t="s">
        <v>6241</v>
      </c>
    </row>
    <row r="325">
      <c r="A325" s="3" t="b">
        <v>1</v>
      </c>
      <c r="B325" s="3" t="s">
        <v>6985</v>
      </c>
      <c r="C325" s="3" t="s">
        <v>6986</v>
      </c>
      <c r="D325" s="3" t="s">
        <v>2835</v>
      </c>
    </row>
    <row r="326">
      <c r="A326" s="3" t="b">
        <v>0</v>
      </c>
      <c r="B326" s="3" t="s">
        <v>6987</v>
      </c>
      <c r="C326" s="3" t="s">
        <v>6988</v>
      </c>
      <c r="D326" s="3" t="s">
        <v>2460</v>
      </c>
    </row>
    <row r="327">
      <c r="A327" s="3" t="b">
        <v>1</v>
      </c>
      <c r="B327" s="3" t="s">
        <v>6989</v>
      </c>
      <c r="C327" s="3" t="s">
        <v>6990</v>
      </c>
      <c r="D327" s="3" t="s">
        <v>2971</v>
      </c>
    </row>
    <row r="328">
      <c r="A328" s="3" t="b">
        <v>0</v>
      </c>
      <c r="B328" s="3" t="s">
        <v>6991</v>
      </c>
      <c r="C328" s="3" t="s">
        <v>6992</v>
      </c>
      <c r="D328" s="3" t="s">
        <v>2999</v>
      </c>
    </row>
    <row r="329">
      <c r="A329" s="3" t="b">
        <v>1</v>
      </c>
      <c r="B329" s="3" t="s">
        <v>6993</v>
      </c>
      <c r="C329" s="3" t="s">
        <v>6994</v>
      </c>
      <c r="D329" s="3" t="s">
        <v>6362</v>
      </c>
    </row>
    <row r="330">
      <c r="A330" s="3" t="b">
        <v>0</v>
      </c>
      <c r="B330" s="3" t="s">
        <v>199</v>
      </c>
      <c r="C330" s="3" t="s">
        <v>272</v>
      </c>
      <c r="D330" s="3" t="s">
        <v>4198</v>
      </c>
    </row>
    <row r="331">
      <c r="A331" s="3" t="b">
        <v>0</v>
      </c>
      <c r="B331" s="3" t="s">
        <v>6995</v>
      </c>
      <c r="C331" s="3" t="s">
        <v>6996</v>
      </c>
      <c r="D331" s="2"/>
    </row>
    <row r="332">
      <c r="A332" s="3" t="b">
        <v>1</v>
      </c>
      <c r="B332" s="3" t="s">
        <v>6997</v>
      </c>
      <c r="C332" s="3" t="s">
        <v>6998</v>
      </c>
      <c r="D332" s="3" t="s">
        <v>3524</v>
      </c>
    </row>
    <row r="333">
      <c r="A333" s="3" t="b">
        <v>1</v>
      </c>
      <c r="B333" s="3" t="s">
        <v>6999</v>
      </c>
      <c r="C333" s="3" t="s">
        <v>7000</v>
      </c>
      <c r="D333" s="3" t="s">
        <v>2921</v>
      </c>
    </row>
    <row r="334">
      <c r="A334" s="3" t="b">
        <v>1</v>
      </c>
      <c r="B334" s="3" t="s">
        <v>7001</v>
      </c>
      <c r="C334" s="3" t="s">
        <v>7002</v>
      </c>
      <c r="D334" s="3" t="s">
        <v>6342</v>
      </c>
    </row>
    <row r="335">
      <c r="A335" s="3" t="b">
        <v>1</v>
      </c>
      <c r="B335" s="3" t="s">
        <v>7003</v>
      </c>
      <c r="C335" s="3" t="s">
        <v>7004</v>
      </c>
      <c r="D335" s="3" t="s">
        <v>5109</v>
      </c>
    </row>
    <row r="336">
      <c r="A336" s="3" t="b">
        <v>1</v>
      </c>
      <c r="B336" s="3" t="s">
        <v>122</v>
      </c>
      <c r="C336" s="3" t="s">
        <v>123</v>
      </c>
      <c r="D336" s="3" t="s">
        <v>1513</v>
      </c>
    </row>
    <row r="337">
      <c r="A337" s="3" t="b">
        <v>1</v>
      </c>
      <c r="B337" s="3" t="s">
        <v>7005</v>
      </c>
      <c r="C337" s="3" t="s">
        <v>7006</v>
      </c>
      <c r="D337" s="3" t="s">
        <v>3495</v>
      </c>
    </row>
    <row r="338">
      <c r="A338" s="3" t="b">
        <v>0</v>
      </c>
      <c r="B338" s="3" t="s">
        <v>7007</v>
      </c>
      <c r="C338" s="3" t="s">
        <v>7008</v>
      </c>
      <c r="D338" s="3" t="s">
        <v>3045</v>
      </c>
    </row>
    <row r="339">
      <c r="A339" s="3" t="b">
        <v>0</v>
      </c>
      <c r="B339" s="3" t="s">
        <v>7009</v>
      </c>
      <c r="C339" s="3" t="s">
        <v>7010</v>
      </c>
      <c r="D339" s="3" t="s">
        <v>6131</v>
      </c>
    </row>
    <row r="340">
      <c r="A340" s="3" t="b">
        <v>1</v>
      </c>
      <c r="B340" s="3" t="s">
        <v>7011</v>
      </c>
      <c r="C340" s="3" t="s">
        <v>7012</v>
      </c>
      <c r="D340" s="3" t="s">
        <v>6272</v>
      </c>
    </row>
    <row r="341">
      <c r="A341" s="3" t="b">
        <v>1</v>
      </c>
      <c r="B341" s="3" t="s">
        <v>7013</v>
      </c>
      <c r="C341" s="3" t="s">
        <v>7014</v>
      </c>
      <c r="D341" s="3" t="s">
        <v>6313</v>
      </c>
    </row>
    <row r="342">
      <c r="A342" s="3" t="b">
        <v>0</v>
      </c>
      <c r="B342" s="3" t="s">
        <v>7015</v>
      </c>
      <c r="C342" s="3" t="s">
        <v>7016</v>
      </c>
      <c r="D342" s="3" t="s">
        <v>6029</v>
      </c>
    </row>
    <row r="343">
      <c r="A343" s="3" t="b">
        <v>1</v>
      </c>
      <c r="B343" s="3" t="s">
        <v>7017</v>
      </c>
      <c r="C343" s="3" t="s">
        <v>7018</v>
      </c>
      <c r="D343" s="3" t="s">
        <v>2707</v>
      </c>
    </row>
    <row r="344">
      <c r="A344" s="3" t="b">
        <v>1</v>
      </c>
      <c r="B344" s="3" t="s">
        <v>7019</v>
      </c>
      <c r="C344" s="3" t="s">
        <v>7020</v>
      </c>
      <c r="D344" s="3" t="s">
        <v>3289</v>
      </c>
    </row>
    <row r="345">
      <c r="A345" s="3" t="b">
        <v>1</v>
      </c>
      <c r="B345" s="3" t="s">
        <v>7021</v>
      </c>
      <c r="C345" s="3" t="s">
        <v>7022</v>
      </c>
      <c r="D345" s="3" t="s">
        <v>5299</v>
      </c>
    </row>
    <row r="346">
      <c r="A346" s="3" t="b">
        <v>1</v>
      </c>
      <c r="B346" s="3" t="s">
        <v>7023</v>
      </c>
      <c r="C346" s="3" t="s">
        <v>7024</v>
      </c>
      <c r="D346" s="3" t="s">
        <v>6297</v>
      </c>
    </row>
    <row r="347">
      <c r="A347" s="3" t="b">
        <v>1</v>
      </c>
      <c r="B347" s="3" t="s">
        <v>7025</v>
      </c>
      <c r="C347" s="3" t="s">
        <v>7026</v>
      </c>
      <c r="D347" s="3" t="s">
        <v>2669</v>
      </c>
    </row>
    <row r="348">
      <c r="A348" s="3" t="b">
        <v>1</v>
      </c>
      <c r="B348" s="3" t="s">
        <v>7027</v>
      </c>
      <c r="C348" s="3" t="s">
        <v>7028</v>
      </c>
      <c r="D348" s="3" t="s">
        <v>6264</v>
      </c>
    </row>
    <row r="349">
      <c r="A349" s="3" t="b">
        <v>1</v>
      </c>
      <c r="B349" s="3" t="s">
        <v>7029</v>
      </c>
      <c r="C349" s="3" t="s">
        <v>7030</v>
      </c>
      <c r="D349" s="3" t="s">
        <v>2516</v>
      </c>
    </row>
    <row r="350">
      <c r="A350" s="3" t="b">
        <v>0</v>
      </c>
      <c r="B350" s="3" t="s">
        <v>7031</v>
      </c>
      <c r="C350" s="3" t="s">
        <v>7032</v>
      </c>
      <c r="D350" s="3" t="s">
        <v>737</v>
      </c>
    </row>
    <row r="351">
      <c r="A351" s="3" t="b">
        <v>0</v>
      </c>
      <c r="B351" s="3" t="s">
        <v>7033</v>
      </c>
      <c r="C351" s="3" t="s">
        <v>7034</v>
      </c>
      <c r="D351" s="3" t="s">
        <v>2749</v>
      </c>
    </row>
    <row r="352">
      <c r="A352" s="3" t="b">
        <v>1</v>
      </c>
      <c r="B352" s="3" t="s">
        <v>7035</v>
      </c>
      <c r="C352" s="3" t="s">
        <v>7036</v>
      </c>
      <c r="D352" s="3" t="s">
        <v>2859</v>
      </c>
    </row>
    <row r="353">
      <c r="A353" s="3" t="b">
        <v>0</v>
      </c>
      <c r="B353" s="3" t="s">
        <v>7037</v>
      </c>
      <c r="C353" s="3" t="s">
        <v>7038</v>
      </c>
      <c r="D353" s="3" t="s">
        <v>6348</v>
      </c>
    </row>
    <row r="354">
      <c r="A354" s="3" t="b">
        <v>0</v>
      </c>
      <c r="B354" s="3" t="s">
        <v>7039</v>
      </c>
      <c r="C354" s="3" t="s">
        <v>7040</v>
      </c>
      <c r="D354" s="3" t="s">
        <v>3587</v>
      </c>
    </row>
    <row r="355">
      <c r="A355" s="3" t="b">
        <v>0</v>
      </c>
      <c r="B355" s="3" t="s">
        <v>7041</v>
      </c>
      <c r="C355" s="3" t="s">
        <v>7042</v>
      </c>
      <c r="D355" s="3" t="s">
        <v>1184</v>
      </c>
    </row>
    <row r="356">
      <c r="A356" s="3" t="b">
        <v>0</v>
      </c>
      <c r="B356" s="3" t="s">
        <v>7043</v>
      </c>
      <c r="C356" s="3" t="s">
        <v>7044</v>
      </c>
      <c r="D356" s="3" t="s">
        <v>2876</v>
      </c>
    </row>
    <row r="357">
      <c r="A357" s="3" t="b">
        <v>1</v>
      </c>
      <c r="B357" s="3" t="s">
        <v>7045</v>
      </c>
      <c r="C357" s="3" t="s">
        <v>7046</v>
      </c>
      <c r="D357" s="3" t="s">
        <v>6386</v>
      </c>
    </row>
    <row r="358">
      <c r="A358" s="3" t="b">
        <v>1</v>
      </c>
      <c r="B358" s="3" t="s">
        <v>7047</v>
      </c>
      <c r="C358" s="3" t="s">
        <v>7048</v>
      </c>
      <c r="D358" s="3" t="s">
        <v>1228</v>
      </c>
    </row>
    <row r="359">
      <c r="A359" s="3" t="b">
        <v>0</v>
      </c>
      <c r="B359" s="3" t="s">
        <v>7049</v>
      </c>
      <c r="C359" s="3" t="s">
        <v>7050</v>
      </c>
      <c r="D359" s="3" t="s">
        <v>4627</v>
      </c>
    </row>
    <row r="360">
      <c r="A360" s="3" t="b">
        <v>1</v>
      </c>
      <c r="B360" s="3" t="s">
        <v>7051</v>
      </c>
      <c r="C360" s="3" t="s">
        <v>7052</v>
      </c>
      <c r="D360" s="3" t="s">
        <v>3491</v>
      </c>
    </row>
    <row r="361">
      <c r="A361" s="3" t="b">
        <v>0</v>
      </c>
      <c r="B361" s="3" t="s">
        <v>145</v>
      </c>
      <c r="C361" s="3" t="s">
        <v>263</v>
      </c>
      <c r="D361" s="3" t="s">
        <v>6406</v>
      </c>
    </row>
    <row r="362">
      <c r="A362" s="3" t="b">
        <v>0</v>
      </c>
      <c r="B362" s="3" t="s">
        <v>7053</v>
      </c>
      <c r="C362" s="3" t="s">
        <v>7054</v>
      </c>
      <c r="D362" s="3" t="s">
        <v>3444</v>
      </c>
    </row>
    <row r="363">
      <c r="A363" s="3" t="b">
        <v>1</v>
      </c>
      <c r="B363" s="3" t="s">
        <v>110</v>
      </c>
      <c r="C363" s="3" t="s">
        <v>111</v>
      </c>
      <c r="D363" s="3" t="s">
        <v>2660</v>
      </c>
    </row>
    <row r="364">
      <c r="A364" s="3" t="b">
        <v>1</v>
      </c>
      <c r="B364" s="3" t="s">
        <v>7055</v>
      </c>
      <c r="C364" s="3" t="s">
        <v>7056</v>
      </c>
      <c r="D364" s="3" t="s">
        <v>5789</v>
      </c>
    </row>
    <row r="365">
      <c r="A365" s="3" t="b">
        <v>1</v>
      </c>
      <c r="B365" s="3" t="s">
        <v>7057</v>
      </c>
      <c r="C365" s="3" t="s">
        <v>7058</v>
      </c>
      <c r="D365" s="3" t="s">
        <v>6121</v>
      </c>
    </row>
    <row r="366">
      <c r="A366" s="3" t="b">
        <v>0</v>
      </c>
      <c r="B366" s="3" t="s">
        <v>7059</v>
      </c>
      <c r="C366" s="3" t="s">
        <v>7060</v>
      </c>
      <c r="D366" s="2"/>
    </row>
    <row r="367">
      <c r="A367" s="3" t="b">
        <v>1</v>
      </c>
      <c r="B367" s="3" t="s">
        <v>7061</v>
      </c>
      <c r="C367" s="3" t="s">
        <v>7062</v>
      </c>
      <c r="D367" s="3" t="s">
        <v>6326</v>
      </c>
    </row>
    <row r="368">
      <c r="A368" s="3" t="b">
        <v>1</v>
      </c>
      <c r="B368" s="3" t="s">
        <v>7063</v>
      </c>
      <c r="C368" s="3" t="s">
        <v>7064</v>
      </c>
      <c r="D368" s="3" t="s">
        <v>5926</v>
      </c>
    </row>
    <row r="369">
      <c r="A369" s="3" t="b">
        <v>1</v>
      </c>
      <c r="B369" s="3" t="s">
        <v>7065</v>
      </c>
      <c r="C369" s="3" t="s">
        <v>7066</v>
      </c>
      <c r="D369" s="3" t="s">
        <v>5930</v>
      </c>
    </row>
    <row r="370">
      <c r="A370" s="3" t="b">
        <v>1</v>
      </c>
      <c r="B370" s="3" t="s">
        <v>7067</v>
      </c>
      <c r="C370" s="3" t="s">
        <v>7068</v>
      </c>
      <c r="D370" s="3" t="s">
        <v>5989</v>
      </c>
    </row>
    <row r="371">
      <c r="A371" s="3" t="b">
        <v>0</v>
      </c>
      <c r="B371" s="3" t="s">
        <v>7069</v>
      </c>
      <c r="C371" s="3" t="s">
        <v>7070</v>
      </c>
      <c r="D371" s="3" t="s">
        <v>6085</v>
      </c>
    </row>
    <row r="372">
      <c r="A372" s="3" t="b">
        <v>1</v>
      </c>
      <c r="B372" s="3" t="s">
        <v>7071</v>
      </c>
      <c r="C372" s="3" t="s">
        <v>7072</v>
      </c>
      <c r="D372" s="3" t="s">
        <v>3169</v>
      </c>
    </row>
    <row r="373">
      <c r="A373" s="3" t="b">
        <v>1</v>
      </c>
      <c r="B373" s="3" t="s">
        <v>7073</v>
      </c>
      <c r="C373" s="3" t="s">
        <v>7074</v>
      </c>
      <c r="D373" s="3" t="s">
        <v>6164</v>
      </c>
    </row>
    <row r="374">
      <c r="A374" s="3" t="b">
        <v>1</v>
      </c>
      <c r="B374" s="3" t="s">
        <v>7075</v>
      </c>
      <c r="C374" s="3" t="s">
        <v>7076</v>
      </c>
      <c r="D374" s="3" t="s">
        <v>6278</v>
      </c>
    </row>
    <row r="375">
      <c r="A375" s="2"/>
      <c r="B375" s="2"/>
      <c r="C375" s="2"/>
      <c r="D375" s="2"/>
    </row>
    <row r="376">
      <c r="A376" s="2"/>
      <c r="B376" s="2"/>
      <c r="C376" s="2"/>
      <c r="D376" s="2"/>
    </row>
    <row r="377">
      <c r="A377" s="2"/>
      <c r="B377" s="2"/>
      <c r="C377" s="2"/>
      <c r="D377" s="2"/>
    </row>
    <row r="378">
      <c r="A378" s="2"/>
      <c r="B378" s="2"/>
      <c r="C378" s="2"/>
      <c r="D378" s="2"/>
    </row>
  </sheetData>
  <hyperlinks>
    <hyperlink r:id="rId1" ref="C177"/>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7077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31.38"/>
    <col customWidth="1" min="3" max="3" width="37.63"/>
    <col customWidth="1" min="5" max="5" width="31.63"/>
  </cols>
  <sheetData>
    <row r="1">
      <c r="A1" s="26" t="s">
        <v>94</v>
      </c>
      <c r="B1" s="26" t="s">
        <v>95</v>
      </c>
      <c r="C1" s="26" t="s">
        <v>7078</v>
      </c>
    </row>
    <row r="2">
      <c r="A2" s="3" t="s">
        <v>6450</v>
      </c>
      <c r="B2" s="3" t="s">
        <v>552</v>
      </c>
      <c r="C2" s="25" t="s">
        <v>7079</v>
      </c>
    </row>
    <row r="3">
      <c r="A3" s="3" t="s">
        <v>166</v>
      </c>
      <c r="B3" s="3" t="s">
        <v>167</v>
      </c>
      <c r="C3" s="25" t="s">
        <v>7080</v>
      </c>
    </row>
    <row r="4">
      <c r="A4" s="3" t="s">
        <v>119</v>
      </c>
      <c r="B4" s="3" t="s">
        <v>251</v>
      </c>
      <c r="C4" s="25" t="s">
        <v>7081</v>
      </c>
    </row>
    <row r="5">
      <c r="A5" s="3" t="s">
        <v>6691</v>
      </c>
      <c r="B5" s="3" t="s">
        <v>590</v>
      </c>
      <c r="C5" s="25" t="s">
        <v>7082</v>
      </c>
    </row>
    <row r="6">
      <c r="A6" s="3" t="s">
        <v>172</v>
      </c>
      <c r="B6" s="3" t="s">
        <v>173</v>
      </c>
      <c r="C6" s="25" t="s">
        <v>7083</v>
      </c>
    </row>
    <row r="7">
      <c r="A7" s="3" t="s">
        <v>145</v>
      </c>
      <c r="B7" s="3" t="s">
        <v>263</v>
      </c>
      <c r="C7" s="25" t="s">
        <v>7084</v>
      </c>
    </row>
    <row r="8">
      <c r="A8" s="3" t="s">
        <v>169</v>
      </c>
      <c r="B8" s="3" t="s">
        <v>170</v>
      </c>
      <c r="C8" s="25" t="s">
        <v>7085</v>
      </c>
    </row>
    <row r="9">
      <c r="A9" s="3" t="s">
        <v>208</v>
      </c>
      <c r="B9" s="3" t="s">
        <v>209</v>
      </c>
      <c r="C9" s="25" t="s">
        <v>7086</v>
      </c>
    </row>
    <row r="10">
      <c r="A10" s="3" t="s">
        <v>175</v>
      </c>
      <c r="B10" s="3" t="s">
        <v>422</v>
      </c>
      <c r="C10" s="25" t="s">
        <v>7087</v>
      </c>
    </row>
    <row r="11">
      <c r="A11" s="3" t="s">
        <v>6608</v>
      </c>
      <c r="B11" s="3" t="s">
        <v>294</v>
      </c>
      <c r="C11" s="25" t="s">
        <v>7088</v>
      </c>
    </row>
    <row r="12">
      <c r="A12" s="3" t="s">
        <v>142</v>
      </c>
      <c r="B12" s="3" t="s">
        <v>143</v>
      </c>
      <c r="C12" s="25" t="s">
        <v>7089</v>
      </c>
    </row>
    <row r="13">
      <c r="A13" s="3" t="s">
        <v>199</v>
      </c>
      <c r="B13" s="3" t="s">
        <v>272</v>
      </c>
      <c r="C13" s="25" t="s">
        <v>7090</v>
      </c>
    </row>
    <row r="14">
      <c r="A14" s="3" t="s">
        <v>190</v>
      </c>
      <c r="B14" s="3" t="s">
        <v>191</v>
      </c>
      <c r="C14" s="25" t="s">
        <v>7091</v>
      </c>
    </row>
    <row r="15">
      <c r="A15" s="3" t="s">
        <v>6487</v>
      </c>
      <c r="B15" s="3" t="s">
        <v>532</v>
      </c>
      <c r="C15" s="25" t="s">
        <v>7092</v>
      </c>
    </row>
    <row r="16">
      <c r="A16" s="3" t="s">
        <v>154</v>
      </c>
      <c r="B16" s="3" t="s">
        <v>329</v>
      </c>
      <c r="C16" s="25" t="s">
        <v>7093</v>
      </c>
    </row>
    <row r="17">
      <c r="A17" s="3" t="s">
        <v>187</v>
      </c>
      <c r="B17" s="3" t="s">
        <v>188</v>
      </c>
      <c r="C17" s="25" t="s">
        <v>7094</v>
      </c>
    </row>
    <row r="18">
      <c r="A18" s="3" t="s">
        <v>163</v>
      </c>
      <c r="B18" s="3" t="s">
        <v>430</v>
      </c>
      <c r="C18" s="25" t="s">
        <v>7095</v>
      </c>
    </row>
    <row r="19">
      <c r="A19" s="3" t="s">
        <v>110</v>
      </c>
      <c r="B19" s="3" t="s">
        <v>111</v>
      </c>
      <c r="C19" s="25" t="s">
        <v>7096</v>
      </c>
    </row>
    <row r="20">
      <c r="A20" s="3" t="s">
        <v>6807</v>
      </c>
      <c r="B20" s="3" t="s">
        <v>572</v>
      </c>
      <c r="C20" s="25" t="s">
        <v>7097</v>
      </c>
    </row>
    <row r="21">
      <c r="A21" s="3" t="s">
        <v>6785</v>
      </c>
      <c r="B21" s="3" t="s">
        <v>601</v>
      </c>
      <c r="C21" s="3" t="s">
        <v>7098</v>
      </c>
    </row>
    <row r="22">
      <c r="A22" s="3" t="s">
        <v>205</v>
      </c>
      <c r="B22" s="3" t="s">
        <v>206</v>
      </c>
      <c r="C22" s="25" t="s">
        <v>7099</v>
      </c>
    </row>
    <row r="23">
      <c r="A23" s="3" t="s">
        <v>125</v>
      </c>
      <c r="B23" s="3" t="s">
        <v>126</v>
      </c>
      <c r="C23" s="25" t="s">
        <v>7100</v>
      </c>
    </row>
    <row r="24">
      <c r="A24" s="3" t="s">
        <v>193</v>
      </c>
      <c r="B24" s="3" t="s">
        <v>544</v>
      </c>
      <c r="C24" s="25" t="s">
        <v>7101</v>
      </c>
    </row>
    <row r="25">
      <c r="A25" s="3" t="s">
        <v>6790</v>
      </c>
      <c r="B25" s="3" t="s">
        <v>598</v>
      </c>
      <c r="C25" s="25" t="s">
        <v>7102</v>
      </c>
    </row>
    <row r="26">
      <c r="A26" s="3" t="s">
        <v>6752</v>
      </c>
      <c r="B26" s="3" t="s">
        <v>319</v>
      </c>
      <c r="C26" s="3" t="s">
        <v>7103</v>
      </c>
    </row>
    <row r="27">
      <c r="A27" s="3" t="s">
        <v>107</v>
      </c>
      <c r="B27" s="3" t="s">
        <v>242</v>
      </c>
      <c r="C27" s="3" t="s">
        <v>7104</v>
      </c>
    </row>
    <row r="28">
      <c r="A28" s="3" t="s">
        <v>128</v>
      </c>
      <c r="B28" s="3" t="s">
        <v>301</v>
      </c>
      <c r="C28" s="25" t="s">
        <v>7105</v>
      </c>
    </row>
    <row r="29">
      <c r="A29" s="3" t="s">
        <v>122</v>
      </c>
      <c r="B29" s="3" t="s">
        <v>123</v>
      </c>
      <c r="C29" s="25" t="s">
        <v>7106</v>
      </c>
    </row>
    <row r="30">
      <c r="A30" s="3" t="s">
        <v>113</v>
      </c>
      <c r="B30" s="3" t="s">
        <v>406</v>
      </c>
      <c r="C30" s="25" t="s">
        <v>7107</v>
      </c>
    </row>
    <row r="31">
      <c r="A31" s="3" t="s">
        <v>101</v>
      </c>
      <c r="B31" s="3" t="s">
        <v>511</v>
      </c>
      <c r="C31" s="3" t="s">
        <v>7108</v>
      </c>
    </row>
    <row r="32">
      <c r="A32" s="3" t="s">
        <v>131</v>
      </c>
      <c r="B32" s="3" t="s">
        <v>132</v>
      </c>
      <c r="C32" s="25" t="s">
        <v>7109</v>
      </c>
    </row>
    <row r="33">
      <c r="A33" s="3" t="s">
        <v>139</v>
      </c>
      <c r="B33" s="3" t="s">
        <v>361</v>
      </c>
      <c r="C33" s="25" t="s">
        <v>7110</v>
      </c>
    </row>
    <row r="34">
      <c r="A34" s="3" t="s">
        <v>184</v>
      </c>
      <c r="B34" s="3" t="s">
        <v>478</v>
      </c>
      <c r="C34" s="25" t="s">
        <v>7111</v>
      </c>
    </row>
    <row r="35">
      <c r="A35" s="3" t="s">
        <v>6769</v>
      </c>
      <c r="B35" s="3" t="s">
        <v>312</v>
      </c>
      <c r="C35" s="25" t="s">
        <v>7112</v>
      </c>
    </row>
    <row r="36">
      <c r="A36" s="3" t="s">
        <v>157</v>
      </c>
      <c r="B36" s="3" t="s">
        <v>158</v>
      </c>
      <c r="C36" s="25" t="s">
        <v>7113</v>
      </c>
    </row>
    <row r="37">
      <c r="A37" s="3" t="s">
        <v>98</v>
      </c>
      <c r="B37" s="3" t="s">
        <v>99</v>
      </c>
      <c r="C37" s="25" t="s">
        <v>7114</v>
      </c>
    </row>
    <row r="38">
      <c r="A38" s="3" t="s">
        <v>151</v>
      </c>
      <c r="B38" s="3" t="s">
        <v>370</v>
      </c>
      <c r="C38" s="25" t="s">
        <v>7115</v>
      </c>
    </row>
    <row r="39">
      <c r="A39" s="3" t="s">
        <v>202</v>
      </c>
      <c r="B39" s="3" t="s">
        <v>203</v>
      </c>
      <c r="C39" s="25" t="s">
        <v>7116</v>
      </c>
    </row>
    <row r="40">
      <c r="A40" s="3" t="s">
        <v>178</v>
      </c>
      <c r="B40" s="3" t="s">
        <v>179</v>
      </c>
      <c r="C40" s="25" t="s">
        <v>7117</v>
      </c>
    </row>
    <row r="41">
      <c r="A41" s="3" t="s">
        <v>160</v>
      </c>
      <c r="B41" s="3" t="s">
        <v>440</v>
      </c>
      <c r="C41" s="25" t="s">
        <v>7118</v>
      </c>
    </row>
    <row r="42">
      <c r="A42" s="3" t="s">
        <v>6930</v>
      </c>
      <c r="B42" s="3" t="s">
        <v>500</v>
      </c>
      <c r="C42" s="25" t="s">
        <v>7119</v>
      </c>
    </row>
    <row r="43">
      <c r="A43" s="3" t="s">
        <v>116</v>
      </c>
      <c r="B43" s="3" t="s">
        <v>117</v>
      </c>
      <c r="C43" s="25" t="s">
        <v>7120</v>
      </c>
    </row>
    <row r="44">
      <c r="A44" s="2"/>
      <c r="B44" s="2"/>
      <c r="C44" s="2"/>
    </row>
    <row r="45">
      <c r="A45" s="2"/>
      <c r="B45" s="2"/>
      <c r="C45" s="2"/>
    </row>
    <row r="46">
      <c r="A46" s="2"/>
      <c r="B46" s="2"/>
      <c r="C46" s="2"/>
    </row>
    <row r="47">
      <c r="C47" s="27"/>
    </row>
  </sheetData>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 r:id="rId17" ref="C17"/>
    <hyperlink r:id="rId18" ref="C18"/>
    <hyperlink r:id="rId19" ref="C19"/>
    <hyperlink r:id="rId20" ref="C20"/>
    <hyperlink r:id="rId21" ref="C22"/>
    <hyperlink r:id="rId22" ref="C23"/>
    <hyperlink r:id="rId23" ref="C24"/>
    <hyperlink r:id="rId24" ref="C25"/>
    <hyperlink r:id="rId25" ref="C28"/>
    <hyperlink r:id="rId26" ref="C29"/>
    <hyperlink r:id="rId27" ref="C30"/>
    <hyperlink r:id="rId28" ref="C32"/>
    <hyperlink r:id="rId29" ref="C33"/>
    <hyperlink r:id="rId30" ref="C34"/>
    <hyperlink r:id="rId31" ref="C35"/>
    <hyperlink r:id="rId32" ref="C36"/>
    <hyperlink r:id="rId33" ref="C37"/>
    <hyperlink r:id="rId34" ref="C38"/>
    <hyperlink r:id="rId35" ref="C39"/>
    <hyperlink r:id="rId36" ref="C40"/>
    <hyperlink r:id="rId37" ref="C41"/>
    <hyperlink r:id="rId38" ref="C42"/>
    <hyperlink r:id="rId39" ref="C43"/>
  </hyperlinks>
  <drawing r:id="rId40"/>
  <legacyDrawing r:id="rId4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7121</v>
      </c>
      <c r="B1" s="3" t="s">
        <v>7122</v>
      </c>
    </row>
    <row r="2">
      <c r="A2" s="4">
        <v>46072.67895677083</v>
      </c>
      <c r="B2" s="19">
        <v>994.0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05.63"/>
    <col customWidth="1" min="2" max="2" width="57.5"/>
    <col customWidth="1" min="3" max="4" width="13.63"/>
    <col customWidth="1" min="5" max="5" width="12.88"/>
    <col customWidth="1" min="6" max="6" width="330.5"/>
    <col customWidth="1" min="7" max="7" width="545.13"/>
    <col customWidth="1" min="8" max="8" width="7.75"/>
    <col customWidth="1" min="9" max="9" width="9.0"/>
    <col customWidth="1" min="10" max="10" width="27.63"/>
    <col customWidth="1" min="11" max="11" width="9.75"/>
    <col customWidth="1" min="12" max="12" width="12.38"/>
    <col customWidth="1" min="13" max="13" width="804.5"/>
    <col customWidth="1" min="14" max="14" width="722.13"/>
    <col customWidth="1" min="15" max="15" width="160.38"/>
    <col customWidth="1" min="16" max="16" width="12.63"/>
    <col customWidth="1" min="17" max="17" width="12.0"/>
    <col customWidth="1" min="18" max="18" width="12.5"/>
    <col customWidth="1" min="19" max="19" width="15.38"/>
    <col customWidth="1" min="20" max="20" width="19.25"/>
    <col customWidth="1" min="21" max="21" width="25.63"/>
    <col customWidth="1" min="22" max="22" width="13.88"/>
  </cols>
  <sheetData>
    <row r="1">
      <c r="A1" s="28" t="s">
        <v>7123</v>
      </c>
      <c r="B1" s="28" t="s">
        <v>7124</v>
      </c>
      <c r="C1" s="28" t="s">
        <v>7125</v>
      </c>
      <c r="D1" s="28" t="s">
        <v>7126</v>
      </c>
      <c r="E1" s="28" t="s">
        <v>7127</v>
      </c>
      <c r="F1" s="28" t="s">
        <v>7128</v>
      </c>
      <c r="G1" s="28" t="s">
        <v>7129</v>
      </c>
      <c r="H1" s="28" t="s">
        <v>7130</v>
      </c>
      <c r="I1" s="28" t="s">
        <v>7131</v>
      </c>
      <c r="J1" s="28" t="s">
        <v>7132</v>
      </c>
      <c r="K1" s="28" t="s">
        <v>7133</v>
      </c>
      <c r="L1" s="28" t="s">
        <v>7134</v>
      </c>
      <c r="M1" s="28" t="s">
        <v>7135</v>
      </c>
      <c r="N1" s="28" t="s">
        <v>7136</v>
      </c>
      <c r="O1" s="28" t="s">
        <v>7137</v>
      </c>
      <c r="P1" s="28" t="s">
        <v>7138</v>
      </c>
      <c r="Q1" s="28" t="s">
        <v>7139</v>
      </c>
      <c r="R1" s="28" t="s">
        <v>7140</v>
      </c>
      <c r="S1" s="28" t="s">
        <v>7141</v>
      </c>
      <c r="T1" s="28" t="s">
        <v>94</v>
      </c>
      <c r="U1" s="28" t="s">
        <v>95</v>
      </c>
      <c r="V1" s="28" t="s">
        <v>7142</v>
      </c>
      <c r="W1" s="2"/>
      <c r="X1" s="3" t="s">
        <v>21</v>
      </c>
      <c r="Y1" s="4">
        <v>46072.68154583333</v>
      </c>
    </row>
    <row r="2">
      <c r="A2" s="3" t="s">
        <v>7143</v>
      </c>
      <c r="B2" s="3" t="s">
        <v>7144</v>
      </c>
      <c r="C2" s="29">
        <v>45708.70833333333</v>
      </c>
      <c r="D2" s="29">
        <v>45708.72916666667</v>
      </c>
      <c r="E2" s="30">
        <v>0.5</v>
      </c>
      <c r="G2" s="3" t="s">
        <v>7145</v>
      </c>
      <c r="H2" s="3" t="s">
        <v>7146</v>
      </c>
      <c r="I2" s="3" t="s">
        <v>7147</v>
      </c>
      <c r="J2" s="3" t="s">
        <v>7148</v>
      </c>
      <c r="K2" s="3" t="s">
        <v>7149</v>
      </c>
      <c r="L2" s="19">
        <v>15.0</v>
      </c>
      <c r="M2" s="3" t="s">
        <v>7150</v>
      </c>
      <c r="N2" s="3" t="s">
        <v>7151</v>
      </c>
      <c r="O2" s="3" t="s">
        <v>7152</v>
      </c>
      <c r="P2" s="19">
        <v>8.0</v>
      </c>
      <c r="Q2" s="19">
        <v>0.0</v>
      </c>
      <c r="R2" s="19">
        <v>2.0</v>
      </c>
      <c r="S2" s="19">
        <v>5.0</v>
      </c>
      <c r="T2" s="3" t="s">
        <v>160</v>
      </c>
      <c r="U2" s="3" t="s">
        <v>440</v>
      </c>
    </row>
    <row r="3">
      <c r="A3" s="3" t="s">
        <v>7153</v>
      </c>
      <c r="B3" s="3" t="s">
        <v>7154</v>
      </c>
      <c r="C3" s="29">
        <v>45713.45833333333</v>
      </c>
      <c r="D3" s="29">
        <v>45713.47916666667</v>
      </c>
      <c r="E3" s="30">
        <v>0.5</v>
      </c>
      <c r="F3" s="2"/>
      <c r="G3" s="3" t="s">
        <v>7155</v>
      </c>
      <c r="H3" s="3" t="s">
        <v>7146</v>
      </c>
      <c r="I3" s="3" t="s">
        <v>7147</v>
      </c>
      <c r="J3" s="3" t="s">
        <v>7156</v>
      </c>
      <c r="K3" s="3" t="s">
        <v>7149</v>
      </c>
      <c r="L3" s="19">
        <v>5.0</v>
      </c>
      <c r="M3" s="3" t="s">
        <v>7157</v>
      </c>
      <c r="N3" s="3" t="s">
        <v>7157</v>
      </c>
      <c r="O3" s="3" t="s">
        <v>7158</v>
      </c>
      <c r="P3" s="19">
        <v>3.0</v>
      </c>
      <c r="Q3" s="19">
        <v>0.0</v>
      </c>
      <c r="R3" s="19">
        <v>1.0</v>
      </c>
      <c r="S3" s="19">
        <v>1.0</v>
      </c>
      <c r="T3" s="3" t="s">
        <v>142</v>
      </c>
      <c r="U3" s="3" t="s">
        <v>143</v>
      </c>
    </row>
    <row r="4">
      <c r="A4" s="3" t="s">
        <v>7159</v>
      </c>
      <c r="B4" s="3" t="s">
        <v>7160</v>
      </c>
      <c r="C4" s="29">
        <v>45715.4375</v>
      </c>
      <c r="D4" s="29">
        <v>45715.45833333333</v>
      </c>
      <c r="E4" s="30">
        <v>0.5</v>
      </c>
      <c r="G4" s="2"/>
      <c r="H4" s="3" t="s">
        <v>7146</v>
      </c>
      <c r="I4" s="3" t="s">
        <v>7147</v>
      </c>
      <c r="J4" s="3" t="s">
        <v>7156</v>
      </c>
      <c r="K4" s="3" t="s">
        <v>7149</v>
      </c>
      <c r="L4" s="19">
        <v>1.0</v>
      </c>
      <c r="M4" s="3" t="s">
        <v>7156</v>
      </c>
      <c r="N4" s="3" t="s">
        <v>7156</v>
      </c>
      <c r="O4" s="3" t="s">
        <v>7161</v>
      </c>
      <c r="P4" s="19">
        <v>1.0</v>
      </c>
      <c r="Q4" s="19">
        <v>0.0</v>
      </c>
      <c r="R4" s="19">
        <v>0.0</v>
      </c>
      <c r="S4" s="19">
        <v>0.0</v>
      </c>
      <c r="T4" s="2"/>
      <c r="U4" s="2"/>
    </row>
    <row r="5">
      <c r="A5" s="3" t="s">
        <v>7162</v>
      </c>
      <c r="B5" s="3" t="s">
        <v>7163</v>
      </c>
      <c r="C5" s="29">
        <v>45715.58333333333</v>
      </c>
      <c r="D5" s="29">
        <v>45715.60416666667</v>
      </c>
      <c r="E5" s="30">
        <v>0.5</v>
      </c>
      <c r="G5" s="2"/>
      <c r="H5" s="3" t="s">
        <v>7146</v>
      </c>
      <c r="I5" s="3" t="s">
        <v>7147</v>
      </c>
      <c r="J5" s="3" t="s">
        <v>7156</v>
      </c>
      <c r="K5" s="3" t="s">
        <v>7149</v>
      </c>
      <c r="L5" s="19">
        <v>6.0</v>
      </c>
      <c r="M5" s="3" t="s">
        <v>7164</v>
      </c>
      <c r="N5" s="3" t="s">
        <v>7164</v>
      </c>
      <c r="O5" s="3" t="s">
        <v>7165</v>
      </c>
      <c r="P5" s="19">
        <v>1.0</v>
      </c>
      <c r="Q5" s="19">
        <v>3.0</v>
      </c>
      <c r="R5" s="19">
        <v>0.0</v>
      </c>
      <c r="S5" s="19">
        <v>2.0</v>
      </c>
      <c r="T5" s="3" t="s">
        <v>151</v>
      </c>
      <c r="U5" s="3" t="s">
        <v>370</v>
      </c>
    </row>
    <row r="6">
      <c r="A6" s="3" t="s">
        <v>7166</v>
      </c>
      <c r="B6" s="3" t="s">
        <v>7167</v>
      </c>
      <c r="C6" s="29">
        <v>45716.54166666667</v>
      </c>
      <c r="D6" s="29">
        <v>45716.5625</v>
      </c>
      <c r="E6" s="30">
        <v>0.5</v>
      </c>
      <c r="G6" s="2"/>
      <c r="H6" s="3" t="s">
        <v>7146</v>
      </c>
      <c r="I6" s="3" t="s">
        <v>7147</v>
      </c>
      <c r="J6" s="3" t="s">
        <v>7168</v>
      </c>
      <c r="K6" s="3" t="s">
        <v>7149</v>
      </c>
      <c r="L6" s="19">
        <v>4.0</v>
      </c>
      <c r="M6" s="3" t="s">
        <v>7169</v>
      </c>
      <c r="N6" s="3" t="s">
        <v>7170</v>
      </c>
      <c r="O6" s="3" t="s">
        <v>7171</v>
      </c>
      <c r="P6" s="19">
        <v>3.0</v>
      </c>
      <c r="Q6" s="19">
        <v>1.0</v>
      </c>
      <c r="R6" s="19">
        <v>0.0</v>
      </c>
      <c r="S6" s="19">
        <v>0.0</v>
      </c>
      <c r="T6" s="3" t="s">
        <v>205</v>
      </c>
      <c r="U6" s="3" t="s">
        <v>206</v>
      </c>
    </row>
    <row r="7">
      <c r="A7" s="3" t="s">
        <v>7172</v>
      </c>
      <c r="B7" s="3" t="s">
        <v>7173</v>
      </c>
      <c r="C7" s="29">
        <v>45720.58333333333</v>
      </c>
      <c r="D7" s="29">
        <v>45720.60416666667</v>
      </c>
      <c r="E7" s="30">
        <v>0.5</v>
      </c>
      <c r="F7" s="2"/>
      <c r="G7" s="2"/>
      <c r="H7" s="3" t="s">
        <v>7146</v>
      </c>
      <c r="I7" s="3" t="s">
        <v>7147</v>
      </c>
      <c r="J7" s="3" t="s">
        <v>7156</v>
      </c>
      <c r="K7" s="3" t="s">
        <v>7149</v>
      </c>
      <c r="L7" s="19">
        <v>9.0</v>
      </c>
      <c r="M7" s="3" t="s">
        <v>7174</v>
      </c>
      <c r="N7" s="3" t="s">
        <v>7175</v>
      </c>
      <c r="O7" s="3" t="s">
        <v>7176</v>
      </c>
      <c r="P7" s="19">
        <v>2.0</v>
      </c>
      <c r="Q7" s="19">
        <v>1.0</v>
      </c>
      <c r="R7" s="19">
        <v>0.0</v>
      </c>
      <c r="S7" s="19">
        <v>6.0</v>
      </c>
      <c r="T7" s="3" t="s">
        <v>110</v>
      </c>
      <c r="U7" s="3" t="s">
        <v>111</v>
      </c>
    </row>
    <row r="8">
      <c r="A8" s="3" t="s">
        <v>7177</v>
      </c>
      <c r="B8" s="3" t="s">
        <v>7178</v>
      </c>
      <c r="C8" s="29">
        <v>45723.39583333333</v>
      </c>
      <c r="D8" s="29">
        <v>45723.41666666667</v>
      </c>
      <c r="E8" s="30">
        <v>0.5</v>
      </c>
      <c r="G8" s="3" t="s">
        <v>7179</v>
      </c>
      <c r="H8" s="3" t="s">
        <v>7146</v>
      </c>
      <c r="I8" s="3" t="s">
        <v>7147</v>
      </c>
      <c r="J8" s="3" t="s">
        <v>7156</v>
      </c>
      <c r="K8" s="3" t="s">
        <v>7149</v>
      </c>
      <c r="L8" s="19">
        <v>5.0</v>
      </c>
      <c r="M8" s="3" t="s">
        <v>7180</v>
      </c>
      <c r="N8" s="3" t="s">
        <v>7180</v>
      </c>
      <c r="O8" s="3" t="s">
        <v>7181</v>
      </c>
      <c r="P8" s="19">
        <v>3.0</v>
      </c>
      <c r="Q8" s="19">
        <v>2.0</v>
      </c>
      <c r="R8" s="19">
        <v>0.0</v>
      </c>
      <c r="S8" s="19">
        <v>0.0</v>
      </c>
      <c r="T8" s="3" t="s">
        <v>169</v>
      </c>
      <c r="U8" s="3" t="s">
        <v>170</v>
      </c>
    </row>
    <row r="9">
      <c r="A9" s="3" t="s">
        <v>7153</v>
      </c>
      <c r="B9" s="3" t="s">
        <v>7154</v>
      </c>
      <c r="C9" s="29">
        <v>45727.45833333333</v>
      </c>
      <c r="D9" s="29">
        <v>45727.47916666667</v>
      </c>
      <c r="E9" s="30">
        <v>0.5</v>
      </c>
      <c r="F9" s="2"/>
      <c r="G9" s="3" t="s">
        <v>7155</v>
      </c>
      <c r="H9" s="3" t="s">
        <v>7146</v>
      </c>
      <c r="I9" s="3" t="s">
        <v>7147</v>
      </c>
      <c r="J9" s="3" t="s">
        <v>7156</v>
      </c>
      <c r="K9" s="3" t="s">
        <v>7149</v>
      </c>
      <c r="L9" s="19">
        <v>5.0</v>
      </c>
      <c r="M9" s="3" t="s">
        <v>7157</v>
      </c>
      <c r="N9" s="3" t="s">
        <v>7157</v>
      </c>
      <c r="O9" s="3" t="s">
        <v>7158</v>
      </c>
      <c r="P9" s="19">
        <v>3.0</v>
      </c>
      <c r="Q9" s="19">
        <v>0.0</v>
      </c>
      <c r="R9" s="19">
        <v>1.0</v>
      </c>
      <c r="S9" s="19">
        <v>1.0</v>
      </c>
      <c r="T9" s="3" t="s">
        <v>142</v>
      </c>
      <c r="U9" s="3" t="s">
        <v>143</v>
      </c>
    </row>
    <row r="10">
      <c r="A10" s="3" t="s">
        <v>7182</v>
      </c>
      <c r="B10" s="3" t="s">
        <v>7183</v>
      </c>
      <c r="C10" s="29">
        <v>45727.5</v>
      </c>
      <c r="D10" s="29">
        <v>45727.52083333333</v>
      </c>
      <c r="E10" s="30">
        <v>0.5</v>
      </c>
      <c r="G10" s="3" t="s">
        <v>7184</v>
      </c>
      <c r="H10" s="3" t="s">
        <v>7146</v>
      </c>
      <c r="I10" s="3" t="s">
        <v>7147</v>
      </c>
      <c r="J10" s="3" t="s">
        <v>7156</v>
      </c>
      <c r="K10" s="3" t="s">
        <v>7149</v>
      </c>
      <c r="L10" s="19">
        <v>3.0</v>
      </c>
      <c r="M10" s="3" t="s">
        <v>7185</v>
      </c>
      <c r="N10" s="3" t="s">
        <v>7186</v>
      </c>
      <c r="O10" s="3" t="s">
        <v>7187</v>
      </c>
      <c r="P10" s="19">
        <v>2.0</v>
      </c>
      <c r="Q10" s="19">
        <v>0.0</v>
      </c>
      <c r="R10" s="19">
        <v>1.0</v>
      </c>
      <c r="S10" s="19">
        <v>0.0</v>
      </c>
      <c r="T10" s="3" t="s">
        <v>184</v>
      </c>
      <c r="U10" s="3" t="s">
        <v>478</v>
      </c>
    </row>
    <row r="11">
      <c r="A11" s="3" t="s">
        <v>7188</v>
      </c>
      <c r="B11" s="3" t="s">
        <v>7189</v>
      </c>
      <c r="C11" s="29">
        <v>45729.39583333333</v>
      </c>
      <c r="D11" s="29">
        <v>45729.41666666667</v>
      </c>
      <c r="E11" s="30">
        <v>0.5</v>
      </c>
      <c r="F11" s="2"/>
      <c r="G11" s="3" t="s">
        <v>7190</v>
      </c>
      <c r="H11" s="3" t="s">
        <v>7146</v>
      </c>
      <c r="I11" s="3" t="s">
        <v>7147</v>
      </c>
      <c r="J11" s="3" t="s">
        <v>7168</v>
      </c>
      <c r="K11" s="3" t="s">
        <v>7149</v>
      </c>
      <c r="L11" s="19">
        <v>7.0</v>
      </c>
      <c r="M11" s="3" t="s">
        <v>7191</v>
      </c>
      <c r="N11" s="3" t="s">
        <v>7192</v>
      </c>
      <c r="O11" s="3" t="s">
        <v>7193</v>
      </c>
      <c r="P11" s="19">
        <v>1.0</v>
      </c>
      <c r="Q11" s="19">
        <v>0.0</v>
      </c>
      <c r="R11" s="19">
        <v>0.0</v>
      </c>
      <c r="S11" s="19">
        <v>6.0</v>
      </c>
      <c r="T11" s="3" t="s">
        <v>178</v>
      </c>
      <c r="U11" s="3" t="s">
        <v>179</v>
      </c>
    </row>
    <row r="12">
      <c r="A12" s="3" t="s">
        <v>7159</v>
      </c>
      <c r="B12" s="3" t="s">
        <v>7160</v>
      </c>
      <c r="C12" s="29">
        <v>45729.4375</v>
      </c>
      <c r="D12" s="29">
        <v>45729.45833333333</v>
      </c>
      <c r="E12" s="30">
        <v>0.5</v>
      </c>
      <c r="G12" s="2"/>
      <c r="H12" s="3" t="s">
        <v>7146</v>
      </c>
      <c r="I12" s="3" t="s">
        <v>7147</v>
      </c>
      <c r="J12" s="3" t="s">
        <v>7156</v>
      </c>
      <c r="K12" s="3" t="s">
        <v>7149</v>
      </c>
      <c r="L12" s="19">
        <v>1.0</v>
      </c>
      <c r="M12" s="3" t="s">
        <v>7156</v>
      </c>
      <c r="N12" s="3" t="s">
        <v>7156</v>
      </c>
      <c r="O12" s="3" t="s">
        <v>7161</v>
      </c>
      <c r="P12" s="19">
        <v>1.0</v>
      </c>
      <c r="Q12" s="19">
        <v>0.0</v>
      </c>
      <c r="R12" s="19">
        <v>0.0</v>
      </c>
      <c r="S12" s="19">
        <v>0.0</v>
      </c>
      <c r="T12" s="2"/>
      <c r="U12" s="2"/>
    </row>
    <row r="13">
      <c r="A13" s="3" t="s">
        <v>7153</v>
      </c>
      <c r="B13" s="3" t="s">
        <v>7154</v>
      </c>
      <c r="C13" s="29">
        <v>45741.45833333333</v>
      </c>
      <c r="D13" s="29">
        <v>45741.47916666667</v>
      </c>
      <c r="E13" s="30">
        <v>0.5</v>
      </c>
      <c r="G13" s="3" t="s">
        <v>7155</v>
      </c>
      <c r="H13" s="3" t="s">
        <v>7146</v>
      </c>
      <c r="I13" s="3" t="s">
        <v>7147</v>
      </c>
      <c r="J13" s="3" t="s">
        <v>7156</v>
      </c>
      <c r="K13" s="3" t="s">
        <v>7149</v>
      </c>
      <c r="L13" s="19">
        <v>6.0</v>
      </c>
      <c r="M13" s="3" t="s">
        <v>7194</v>
      </c>
      <c r="N13" s="3" t="s">
        <v>7194</v>
      </c>
      <c r="O13" s="3" t="s">
        <v>7195</v>
      </c>
      <c r="P13" s="19">
        <v>4.0</v>
      </c>
      <c r="Q13" s="19">
        <v>0.0</v>
      </c>
      <c r="R13" s="19">
        <v>1.0</v>
      </c>
      <c r="S13" s="19">
        <v>1.0</v>
      </c>
      <c r="T13" s="3" t="s">
        <v>142</v>
      </c>
      <c r="U13" s="3" t="s">
        <v>143</v>
      </c>
    </row>
    <row r="14">
      <c r="A14" s="3" t="s">
        <v>7182</v>
      </c>
      <c r="B14" s="3" t="s">
        <v>7183</v>
      </c>
      <c r="C14" s="29">
        <v>45741.5</v>
      </c>
      <c r="D14" s="29">
        <v>45741.52083333333</v>
      </c>
      <c r="E14" s="30">
        <v>0.5</v>
      </c>
      <c r="F14" s="2"/>
      <c r="G14" s="3" t="s">
        <v>7184</v>
      </c>
      <c r="H14" s="3" t="s">
        <v>7146</v>
      </c>
      <c r="I14" s="3" t="s">
        <v>7147</v>
      </c>
      <c r="J14" s="3" t="s">
        <v>7156</v>
      </c>
      <c r="K14" s="3" t="s">
        <v>7149</v>
      </c>
      <c r="L14" s="19">
        <v>3.0</v>
      </c>
      <c r="M14" s="3" t="s">
        <v>7185</v>
      </c>
      <c r="N14" s="3" t="s">
        <v>7186</v>
      </c>
      <c r="O14" s="3" t="s">
        <v>7187</v>
      </c>
      <c r="P14" s="19">
        <v>2.0</v>
      </c>
      <c r="Q14" s="19">
        <v>0.0</v>
      </c>
      <c r="R14" s="19">
        <v>1.0</v>
      </c>
      <c r="S14" s="19">
        <v>0.0</v>
      </c>
      <c r="T14" s="3" t="s">
        <v>184</v>
      </c>
      <c r="U14" s="3" t="s">
        <v>478</v>
      </c>
    </row>
    <row r="15">
      <c r="A15" s="3" t="s">
        <v>7159</v>
      </c>
      <c r="B15" s="3" t="s">
        <v>7160</v>
      </c>
      <c r="C15" s="29">
        <v>45743.4375</v>
      </c>
      <c r="D15" s="29">
        <v>45743.45833333333</v>
      </c>
      <c r="E15" s="30">
        <v>0.5</v>
      </c>
      <c r="G15" s="2"/>
      <c r="H15" s="3" t="s">
        <v>7146</v>
      </c>
      <c r="I15" s="3" t="s">
        <v>7147</v>
      </c>
      <c r="J15" s="3" t="s">
        <v>7156</v>
      </c>
      <c r="K15" s="3" t="s">
        <v>7149</v>
      </c>
      <c r="L15" s="19">
        <v>1.0</v>
      </c>
      <c r="M15" s="3" t="s">
        <v>7156</v>
      </c>
      <c r="N15" s="3" t="s">
        <v>7156</v>
      </c>
      <c r="O15" s="3" t="s">
        <v>7161</v>
      </c>
      <c r="P15" s="19">
        <v>1.0</v>
      </c>
      <c r="Q15" s="19">
        <v>0.0</v>
      </c>
      <c r="R15" s="19">
        <v>0.0</v>
      </c>
      <c r="S15" s="19">
        <v>0.0</v>
      </c>
      <c r="T15" s="2"/>
      <c r="U15" s="2"/>
    </row>
    <row r="16">
      <c r="A16" s="3" t="s">
        <v>7162</v>
      </c>
      <c r="B16" s="3" t="s">
        <v>7163</v>
      </c>
      <c r="C16" s="29">
        <v>45743.58333333333</v>
      </c>
      <c r="D16" s="29">
        <v>45743.60416666667</v>
      </c>
      <c r="E16" s="30">
        <v>0.5</v>
      </c>
      <c r="F16" s="2"/>
      <c r="G16" s="2"/>
      <c r="H16" s="3" t="s">
        <v>7146</v>
      </c>
      <c r="I16" s="3" t="s">
        <v>7147</v>
      </c>
      <c r="J16" s="3" t="s">
        <v>7156</v>
      </c>
      <c r="K16" s="3" t="s">
        <v>7149</v>
      </c>
      <c r="L16" s="19">
        <v>6.0</v>
      </c>
      <c r="M16" s="3" t="s">
        <v>7164</v>
      </c>
      <c r="N16" s="3" t="s">
        <v>7164</v>
      </c>
      <c r="O16" s="3" t="s">
        <v>7165</v>
      </c>
      <c r="P16" s="19">
        <v>1.0</v>
      </c>
      <c r="Q16" s="19">
        <v>3.0</v>
      </c>
      <c r="R16" s="19">
        <v>0.0</v>
      </c>
      <c r="S16" s="19">
        <v>2.0</v>
      </c>
      <c r="T16" s="3" t="s">
        <v>151</v>
      </c>
      <c r="U16" s="3" t="s">
        <v>370</v>
      </c>
    </row>
    <row r="17">
      <c r="A17" s="3" t="s">
        <v>7166</v>
      </c>
      <c r="B17" s="3" t="s">
        <v>7167</v>
      </c>
      <c r="C17" s="29">
        <v>45744.54166666667</v>
      </c>
      <c r="D17" s="29">
        <v>45744.5625</v>
      </c>
      <c r="E17" s="30">
        <v>0.5</v>
      </c>
      <c r="G17" s="2"/>
      <c r="H17" s="3" t="s">
        <v>7146</v>
      </c>
      <c r="I17" s="3" t="s">
        <v>7147</v>
      </c>
      <c r="J17" s="3" t="s">
        <v>7168</v>
      </c>
      <c r="K17" s="3" t="s">
        <v>7149</v>
      </c>
      <c r="L17" s="19">
        <v>4.0</v>
      </c>
      <c r="M17" s="3" t="s">
        <v>7169</v>
      </c>
      <c r="N17" s="3" t="s">
        <v>7170</v>
      </c>
      <c r="O17" s="3" t="s">
        <v>7171</v>
      </c>
      <c r="P17" s="19">
        <v>3.0</v>
      </c>
      <c r="Q17" s="19">
        <v>1.0</v>
      </c>
      <c r="R17" s="19">
        <v>0.0</v>
      </c>
      <c r="S17" s="19">
        <v>0.0</v>
      </c>
      <c r="T17" s="3" t="s">
        <v>205</v>
      </c>
      <c r="U17" s="3" t="s">
        <v>206</v>
      </c>
    </row>
    <row r="18">
      <c r="A18" s="3" t="s">
        <v>7182</v>
      </c>
      <c r="B18" s="3" t="s">
        <v>7183</v>
      </c>
      <c r="C18" s="29">
        <v>45748.5</v>
      </c>
      <c r="D18" s="29">
        <v>45748.52083333333</v>
      </c>
      <c r="E18" s="30">
        <v>0.5</v>
      </c>
      <c r="G18" s="3" t="s">
        <v>7184</v>
      </c>
      <c r="H18" s="3" t="s">
        <v>7146</v>
      </c>
      <c r="I18" s="3" t="s">
        <v>7147</v>
      </c>
      <c r="J18" s="3" t="s">
        <v>7156</v>
      </c>
      <c r="K18" s="3" t="s">
        <v>7149</v>
      </c>
      <c r="L18" s="19">
        <v>3.0</v>
      </c>
      <c r="M18" s="3" t="s">
        <v>7185</v>
      </c>
      <c r="N18" s="3" t="s">
        <v>7186</v>
      </c>
      <c r="O18" s="3" t="s">
        <v>7187</v>
      </c>
      <c r="P18" s="19">
        <v>2.0</v>
      </c>
      <c r="Q18" s="19">
        <v>0.0</v>
      </c>
      <c r="R18" s="19">
        <v>1.0</v>
      </c>
      <c r="S18" s="19">
        <v>0.0</v>
      </c>
      <c r="T18" s="3" t="s">
        <v>184</v>
      </c>
      <c r="U18" s="3" t="s">
        <v>478</v>
      </c>
    </row>
    <row r="19">
      <c r="A19" s="3" t="s">
        <v>7188</v>
      </c>
      <c r="B19" s="3" t="s">
        <v>7189</v>
      </c>
      <c r="C19" s="29">
        <v>45750.39583333333</v>
      </c>
      <c r="D19" s="29">
        <v>45750.41666666667</v>
      </c>
      <c r="E19" s="30">
        <v>0.5</v>
      </c>
      <c r="F19" s="2"/>
      <c r="G19" s="3" t="s">
        <v>7190</v>
      </c>
      <c r="H19" s="3" t="s">
        <v>7146</v>
      </c>
      <c r="I19" s="3" t="s">
        <v>7147</v>
      </c>
      <c r="J19" s="3" t="s">
        <v>7168</v>
      </c>
      <c r="K19" s="3" t="s">
        <v>7149</v>
      </c>
      <c r="L19" s="19">
        <v>6.0</v>
      </c>
      <c r="M19" s="3" t="s">
        <v>7196</v>
      </c>
      <c r="N19" s="3" t="s">
        <v>7196</v>
      </c>
      <c r="O19" s="3" t="s">
        <v>7197</v>
      </c>
      <c r="P19" s="19">
        <v>4.0</v>
      </c>
      <c r="Q19" s="19">
        <v>0.0</v>
      </c>
      <c r="R19" s="19">
        <v>0.0</v>
      </c>
      <c r="S19" s="19">
        <v>2.0</v>
      </c>
      <c r="T19" s="3" t="s">
        <v>178</v>
      </c>
      <c r="U19" s="3" t="s">
        <v>179</v>
      </c>
    </row>
    <row r="20">
      <c r="A20" s="3" t="s">
        <v>7177</v>
      </c>
      <c r="B20" s="3" t="s">
        <v>7178</v>
      </c>
      <c r="C20" s="29">
        <v>45751.39583333333</v>
      </c>
      <c r="D20" s="29">
        <v>45751.41666666667</v>
      </c>
      <c r="E20" s="30">
        <v>0.5</v>
      </c>
      <c r="G20" s="3" t="s">
        <v>7179</v>
      </c>
      <c r="H20" s="3" t="s">
        <v>7146</v>
      </c>
      <c r="I20" s="3" t="s">
        <v>7147</v>
      </c>
      <c r="J20" s="3" t="s">
        <v>7156</v>
      </c>
      <c r="K20" s="3" t="s">
        <v>7149</v>
      </c>
      <c r="L20" s="19">
        <v>4.0</v>
      </c>
      <c r="M20" s="3" t="s">
        <v>7198</v>
      </c>
      <c r="N20" s="3" t="s">
        <v>7198</v>
      </c>
      <c r="O20" s="3" t="s">
        <v>7199</v>
      </c>
      <c r="P20" s="19">
        <v>3.0</v>
      </c>
      <c r="Q20" s="19">
        <v>1.0</v>
      </c>
      <c r="R20" s="19">
        <v>0.0</v>
      </c>
      <c r="S20" s="19">
        <v>0.0</v>
      </c>
      <c r="T20" s="3" t="s">
        <v>169</v>
      </c>
      <c r="U20" s="3" t="s">
        <v>170</v>
      </c>
    </row>
    <row r="21">
      <c r="A21" s="3" t="s">
        <v>7153</v>
      </c>
      <c r="B21" s="3" t="s">
        <v>7154</v>
      </c>
      <c r="C21" s="29">
        <v>45755.45833333333</v>
      </c>
      <c r="D21" s="29">
        <v>45755.47916666667</v>
      </c>
      <c r="E21" s="30">
        <v>0.5</v>
      </c>
      <c r="G21" s="3" t="s">
        <v>7155</v>
      </c>
      <c r="H21" s="3" t="s">
        <v>7146</v>
      </c>
      <c r="I21" s="3" t="s">
        <v>7147</v>
      </c>
      <c r="J21" s="3" t="s">
        <v>7156</v>
      </c>
      <c r="K21" s="3" t="s">
        <v>7149</v>
      </c>
      <c r="L21" s="19">
        <v>5.0</v>
      </c>
      <c r="M21" s="3" t="s">
        <v>7157</v>
      </c>
      <c r="N21" s="3" t="s">
        <v>7157</v>
      </c>
      <c r="O21" s="3" t="s">
        <v>7158</v>
      </c>
      <c r="P21" s="19">
        <v>3.0</v>
      </c>
      <c r="Q21" s="19">
        <v>0.0</v>
      </c>
      <c r="R21" s="19">
        <v>1.0</v>
      </c>
      <c r="S21" s="19">
        <v>1.0</v>
      </c>
      <c r="T21" s="3" t="s">
        <v>142</v>
      </c>
      <c r="U21" s="3" t="s">
        <v>143</v>
      </c>
    </row>
    <row r="22">
      <c r="A22" s="3" t="s">
        <v>7182</v>
      </c>
      <c r="B22" s="3" t="s">
        <v>7183</v>
      </c>
      <c r="C22" s="29">
        <v>45755.5</v>
      </c>
      <c r="D22" s="29">
        <v>45755.52083333333</v>
      </c>
      <c r="E22" s="30">
        <v>0.5</v>
      </c>
      <c r="G22" s="3" t="s">
        <v>7184</v>
      </c>
      <c r="H22" s="3" t="s">
        <v>7146</v>
      </c>
      <c r="I22" s="3" t="s">
        <v>7147</v>
      </c>
      <c r="J22" s="3" t="s">
        <v>7156</v>
      </c>
      <c r="K22" s="3" t="s">
        <v>7149</v>
      </c>
      <c r="L22" s="19">
        <v>3.0</v>
      </c>
      <c r="M22" s="3" t="s">
        <v>7185</v>
      </c>
      <c r="N22" s="3" t="s">
        <v>7186</v>
      </c>
      <c r="O22" s="3" t="s">
        <v>7187</v>
      </c>
      <c r="P22" s="19">
        <v>2.0</v>
      </c>
      <c r="Q22" s="19">
        <v>0.0</v>
      </c>
      <c r="R22" s="19">
        <v>1.0</v>
      </c>
      <c r="S22" s="19">
        <v>0.0</v>
      </c>
      <c r="T22" s="3" t="s">
        <v>184</v>
      </c>
      <c r="U22" s="3" t="s">
        <v>478</v>
      </c>
    </row>
    <row r="23">
      <c r="A23" s="3" t="s">
        <v>7162</v>
      </c>
      <c r="B23" s="3" t="s">
        <v>7163</v>
      </c>
      <c r="C23" s="29">
        <v>45757.58333333333</v>
      </c>
      <c r="D23" s="29">
        <v>45757.60416666667</v>
      </c>
      <c r="E23" s="30">
        <v>0.5</v>
      </c>
      <c r="G23" s="2"/>
      <c r="H23" s="3" t="s">
        <v>7146</v>
      </c>
      <c r="I23" s="3" t="s">
        <v>7147</v>
      </c>
      <c r="J23" s="3" t="s">
        <v>7156</v>
      </c>
      <c r="K23" s="3" t="s">
        <v>7149</v>
      </c>
      <c r="L23" s="19">
        <v>6.0</v>
      </c>
      <c r="M23" s="3" t="s">
        <v>7164</v>
      </c>
      <c r="N23" s="3" t="s">
        <v>7164</v>
      </c>
      <c r="O23" s="3" t="s">
        <v>7165</v>
      </c>
      <c r="P23" s="19">
        <v>1.0</v>
      </c>
      <c r="Q23" s="19">
        <v>3.0</v>
      </c>
      <c r="R23" s="19">
        <v>0.0</v>
      </c>
      <c r="S23" s="19">
        <v>2.0</v>
      </c>
      <c r="T23" s="3" t="s">
        <v>151</v>
      </c>
      <c r="U23" s="3" t="s">
        <v>370</v>
      </c>
    </row>
    <row r="24">
      <c r="A24" s="3" t="s">
        <v>7153</v>
      </c>
      <c r="B24" s="3" t="s">
        <v>7154</v>
      </c>
      <c r="C24" s="29">
        <v>45769.45833333333</v>
      </c>
      <c r="D24" s="29">
        <v>45769.47916666667</v>
      </c>
      <c r="E24" s="30">
        <v>0.5</v>
      </c>
      <c r="F24" s="2"/>
      <c r="G24" s="3" t="s">
        <v>7155</v>
      </c>
      <c r="H24" s="3" t="s">
        <v>7146</v>
      </c>
      <c r="I24" s="3" t="s">
        <v>7147</v>
      </c>
      <c r="J24" s="3" t="s">
        <v>7156</v>
      </c>
      <c r="K24" s="3" t="s">
        <v>7149</v>
      </c>
      <c r="L24" s="19">
        <v>5.0</v>
      </c>
      <c r="M24" s="3" t="s">
        <v>7157</v>
      </c>
      <c r="N24" s="3" t="s">
        <v>7157</v>
      </c>
      <c r="O24" s="3" t="s">
        <v>7158</v>
      </c>
      <c r="P24" s="19">
        <v>3.0</v>
      </c>
      <c r="Q24" s="19">
        <v>0.0</v>
      </c>
      <c r="R24" s="19">
        <v>1.0</v>
      </c>
      <c r="S24" s="19">
        <v>1.0</v>
      </c>
      <c r="T24" s="3" t="s">
        <v>142</v>
      </c>
      <c r="U24" s="3" t="s">
        <v>143</v>
      </c>
    </row>
    <row r="25">
      <c r="A25" s="3" t="s">
        <v>7159</v>
      </c>
      <c r="B25" s="3" t="s">
        <v>7160</v>
      </c>
      <c r="C25" s="29">
        <v>45771.4375</v>
      </c>
      <c r="D25" s="29">
        <v>45771.45833333333</v>
      </c>
      <c r="E25" s="30">
        <v>0.5</v>
      </c>
      <c r="G25" s="2"/>
      <c r="H25" s="3" t="s">
        <v>7146</v>
      </c>
      <c r="I25" s="3" t="s">
        <v>7147</v>
      </c>
      <c r="J25" s="3" t="s">
        <v>7156</v>
      </c>
      <c r="K25" s="3" t="s">
        <v>7149</v>
      </c>
      <c r="L25" s="19">
        <v>1.0</v>
      </c>
      <c r="M25" s="3" t="s">
        <v>7156</v>
      </c>
      <c r="N25" s="3" t="s">
        <v>7156</v>
      </c>
      <c r="O25" s="3" t="s">
        <v>7161</v>
      </c>
      <c r="P25" s="19">
        <v>1.0</v>
      </c>
      <c r="Q25" s="19">
        <v>0.0</v>
      </c>
      <c r="R25" s="19">
        <v>0.0</v>
      </c>
      <c r="S25" s="19">
        <v>0.0</v>
      </c>
      <c r="T25" s="2"/>
      <c r="U25" s="2"/>
    </row>
    <row r="26">
      <c r="A26" s="3" t="s">
        <v>7162</v>
      </c>
      <c r="B26" s="3" t="s">
        <v>7163</v>
      </c>
      <c r="C26" s="29">
        <v>45771.58333333333</v>
      </c>
      <c r="D26" s="29">
        <v>45771.60416666667</v>
      </c>
      <c r="E26" s="30">
        <v>0.5</v>
      </c>
      <c r="F26" s="2"/>
      <c r="G26" s="2"/>
      <c r="H26" s="3" t="s">
        <v>7146</v>
      </c>
      <c r="I26" s="3" t="s">
        <v>7147</v>
      </c>
      <c r="J26" s="3" t="s">
        <v>7156</v>
      </c>
      <c r="K26" s="3" t="s">
        <v>7149</v>
      </c>
      <c r="L26" s="19">
        <v>6.0</v>
      </c>
      <c r="M26" s="3" t="s">
        <v>7164</v>
      </c>
      <c r="N26" s="3" t="s">
        <v>7164</v>
      </c>
      <c r="O26" s="3" t="s">
        <v>7165</v>
      </c>
      <c r="P26" s="19">
        <v>1.0</v>
      </c>
      <c r="Q26" s="19">
        <v>3.0</v>
      </c>
      <c r="R26" s="19">
        <v>0.0</v>
      </c>
      <c r="S26" s="19">
        <v>2.0</v>
      </c>
      <c r="T26" s="3" t="s">
        <v>151</v>
      </c>
      <c r="U26" s="3" t="s">
        <v>370</v>
      </c>
    </row>
    <row r="27">
      <c r="A27" s="3" t="s">
        <v>7182</v>
      </c>
      <c r="B27" s="3" t="s">
        <v>7183</v>
      </c>
      <c r="C27" s="29">
        <v>45776.5</v>
      </c>
      <c r="D27" s="29">
        <v>45776.52083333333</v>
      </c>
      <c r="E27" s="30">
        <v>0.5</v>
      </c>
      <c r="G27" s="3" t="s">
        <v>7184</v>
      </c>
      <c r="H27" s="3" t="s">
        <v>7146</v>
      </c>
      <c r="I27" s="3" t="s">
        <v>7147</v>
      </c>
      <c r="J27" s="3" t="s">
        <v>7156</v>
      </c>
      <c r="K27" s="3" t="s">
        <v>7149</v>
      </c>
      <c r="L27" s="19">
        <v>3.0</v>
      </c>
      <c r="M27" s="3" t="s">
        <v>7185</v>
      </c>
      <c r="N27" s="3" t="s">
        <v>7186</v>
      </c>
      <c r="O27" s="3" t="s">
        <v>7187</v>
      </c>
      <c r="P27" s="19">
        <v>2.0</v>
      </c>
      <c r="Q27" s="19">
        <v>0.0</v>
      </c>
      <c r="R27" s="19">
        <v>1.0</v>
      </c>
      <c r="S27" s="19">
        <v>0.0</v>
      </c>
      <c r="T27" s="3" t="s">
        <v>184</v>
      </c>
      <c r="U27" s="3" t="s">
        <v>478</v>
      </c>
    </row>
    <row r="28">
      <c r="A28" s="3" t="s">
        <v>7200</v>
      </c>
      <c r="B28" s="3" t="s">
        <v>7178</v>
      </c>
      <c r="C28" s="29">
        <v>45782.41666666667</v>
      </c>
      <c r="D28" s="29">
        <v>45782.4375</v>
      </c>
      <c r="E28" s="30">
        <v>0.5</v>
      </c>
      <c r="F28" s="2"/>
      <c r="G28" s="3" t="s">
        <v>7179</v>
      </c>
      <c r="H28" s="3" t="s">
        <v>7146</v>
      </c>
      <c r="I28" s="3" t="s">
        <v>7147</v>
      </c>
      <c r="J28" s="3" t="s">
        <v>7156</v>
      </c>
      <c r="K28" s="3" t="s">
        <v>7149</v>
      </c>
      <c r="L28" s="19">
        <v>5.0</v>
      </c>
      <c r="M28" s="3" t="s">
        <v>7180</v>
      </c>
      <c r="N28" s="3" t="s">
        <v>7180</v>
      </c>
      <c r="O28" s="3" t="s">
        <v>7201</v>
      </c>
      <c r="P28" s="19">
        <v>3.0</v>
      </c>
      <c r="Q28" s="19">
        <v>1.0</v>
      </c>
      <c r="R28" s="19">
        <v>0.0</v>
      </c>
      <c r="S28" s="19">
        <v>1.0</v>
      </c>
      <c r="T28" s="3" t="s">
        <v>169</v>
      </c>
      <c r="U28" s="3" t="s">
        <v>170</v>
      </c>
    </row>
    <row r="29">
      <c r="A29" s="3" t="s">
        <v>7202</v>
      </c>
      <c r="B29" s="3" t="s">
        <v>7203</v>
      </c>
      <c r="C29" s="29">
        <v>45782.5625</v>
      </c>
      <c r="D29" s="29">
        <v>45782.58333333333</v>
      </c>
      <c r="E29" s="30">
        <v>0.5</v>
      </c>
      <c r="F29" s="2"/>
      <c r="G29" s="2"/>
      <c r="H29" s="3" t="s">
        <v>7146</v>
      </c>
      <c r="I29" s="3" t="s">
        <v>7147</v>
      </c>
      <c r="J29" s="3" t="s">
        <v>7156</v>
      </c>
      <c r="K29" s="3" t="s">
        <v>7149</v>
      </c>
      <c r="L29" s="19">
        <v>7.0</v>
      </c>
      <c r="M29" s="3" t="s">
        <v>7204</v>
      </c>
      <c r="N29" s="3" t="s">
        <v>7204</v>
      </c>
      <c r="O29" s="3" t="s">
        <v>7205</v>
      </c>
      <c r="P29" s="19">
        <v>5.0</v>
      </c>
      <c r="Q29" s="19">
        <v>0.0</v>
      </c>
      <c r="R29" s="19">
        <v>0.0</v>
      </c>
      <c r="S29" s="19">
        <v>2.0</v>
      </c>
      <c r="T29" s="3" t="s">
        <v>6785</v>
      </c>
      <c r="U29" s="3" t="s">
        <v>601</v>
      </c>
    </row>
    <row r="30">
      <c r="A30" s="3" t="s">
        <v>7153</v>
      </c>
      <c r="B30" s="3" t="s">
        <v>7154</v>
      </c>
      <c r="C30" s="29">
        <v>45783.45833333333</v>
      </c>
      <c r="D30" s="29">
        <v>45783.47916666667</v>
      </c>
      <c r="E30" s="30">
        <v>0.5</v>
      </c>
      <c r="F30" s="2"/>
      <c r="G30" s="3" t="s">
        <v>7155</v>
      </c>
      <c r="H30" s="3" t="s">
        <v>7146</v>
      </c>
      <c r="I30" s="3" t="s">
        <v>7147</v>
      </c>
      <c r="J30" s="3" t="s">
        <v>7156</v>
      </c>
      <c r="K30" s="3" t="s">
        <v>7149</v>
      </c>
      <c r="L30" s="19">
        <v>5.0</v>
      </c>
      <c r="M30" s="3" t="s">
        <v>7157</v>
      </c>
      <c r="N30" s="3" t="s">
        <v>7157</v>
      </c>
      <c r="O30" s="3" t="s">
        <v>7158</v>
      </c>
      <c r="P30" s="19">
        <v>3.0</v>
      </c>
      <c r="Q30" s="19">
        <v>0.0</v>
      </c>
      <c r="R30" s="19">
        <v>1.0</v>
      </c>
      <c r="S30" s="19">
        <v>1.0</v>
      </c>
      <c r="T30" s="3" t="s">
        <v>142</v>
      </c>
      <c r="U30" s="3" t="s">
        <v>143</v>
      </c>
    </row>
    <row r="31">
      <c r="A31" s="3" t="s">
        <v>7172</v>
      </c>
      <c r="B31" s="3" t="s">
        <v>7173</v>
      </c>
      <c r="C31" s="29">
        <v>45783.58333333333</v>
      </c>
      <c r="D31" s="29">
        <v>45783.60416666667</v>
      </c>
      <c r="E31" s="30">
        <v>0.5</v>
      </c>
      <c r="F31" s="2"/>
      <c r="G31" s="2"/>
      <c r="H31" s="3" t="s">
        <v>7146</v>
      </c>
      <c r="I31" s="3" t="s">
        <v>7147</v>
      </c>
      <c r="J31" s="3" t="s">
        <v>7156</v>
      </c>
      <c r="K31" s="3" t="s">
        <v>7149</v>
      </c>
      <c r="L31" s="19">
        <v>9.0</v>
      </c>
      <c r="M31" s="3" t="s">
        <v>7174</v>
      </c>
      <c r="N31" s="3" t="s">
        <v>7175</v>
      </c>
      <c r="O31" s="3" t="s">
        <v>7206</v>
      </c>
      <c r="P31" s="19">
        <v>2.0</v>
      </c>
      <c r="Q31" s="19">
        <v>2.0</v>
      </c>
      <c r="R31" s="19">
        <v>1.0</v>
      </c>
      <c r="S31" s="19">
        <v>4.0</v>
      </c>
      <c r="T31" s="3" t="s">
        <v>110</v>
      </c>
      <c r="U31" s="3" t="s">
        <v>111</v>
      </c>
    </row>
    <row r="32">
      <c r="A32" s="3" t="s">
        <v>7188</v>
      </c>
      <c r="B32" s="3" t="s">
        <v>7189</v>
      </c>
      <c r="C32" s="29">
        <v>45785.39583333333</v>
      </c>
      <c r="D32" s="29">
        <v>45785.41666666667</v>
      </c>
      <c r="E32" s="30">
        <v>0.5</v>
      </c>
      <c r="F32" s="2"/>
      <c r="G32" s="3" t="s">
        <v>7190</v>
      </c>
      <c r="H32" s="3" t="s">
        <v>7146</v>
      </c>
      <c r="I32" s="3" t="s">
        <v>7147</v>
      </c>
      <c r="J32" s="3" t="s">
        <v>7168</v>
      </c>
      <c r="K32" s="3" t="s">
        <v>7149</v>
      </c>
      <c r="L32" s="19">
        <v>7.0</v>
      </c>
      <c r="M32" s="3" t="s">
        <v>7191</v>
      </c>
      <c r="N32" s="3" t="s">
        <v>7192</v>
      </c>
      <c r="O32" s="3" t="s">
        <v>7207</v>
      </c>
      <c r="P32" s="19">
        <v>1.0</v>
      </c>
      <c r="Q32" s="19">
        <v>0.0</v>
      </c>
      <c r="R32" s="19">
        <v>1.0</v>
      </c>
      <c r="S32" s="19">
        <v>5.0</v>
      </c>
      <c r="T32" s="3" t="s">
        <v>178</v>
      </c>
      <c r="U32" s="3" t="s">
        <v>179</v>
      </c>
    </row>
    <row r="33">
      <c r="A33" s="3" t="s">
        <v>7162</v>
      </c>
      <c r="B33" s="3" t="s">
        <v>7163</v>
      </c>
      <c r="C33" s="29">
        <v>45785.58333333333</v>
      </c>
      <c r="D33" s="29">
        <v>45785.60416666667</v>
      </c>
      <c r="E33" s="30">
        <v>0.5</v>
      </c>
      <c r="G33" s="2"/>
      <c r="H33" s="3" t="s">
        <v>7146</v>
      </c>
      <c r="I33" s="3" t="s">
        <v>7147</v>
      </c>
      <c r="J33" s="3" t="s">
        <v>7156</v>
      </c>
      <c r="K33" s="3" t="s">
        <v>7149</v>
      </c>
      <c r="L33" s="19">
        <v>6.0</v>
      </c>
      <c r="M33" s="3" t="s">
        <v>7164</v>
      </c>
      <c r="N33" s="3" t="s">
        <v>7164</v>
      </c>
      <c r="O33" s="3" t="s">
        <v>7165</v>
      </c>
      <c r="P33" s="19">
        <v>1.0</v>
      </c>
      <c r="Q33" s="19">
        <v>3.0</v>
      </c>
      <c r="R33" s="19">
        <v>0.0</v>
      </c>
      <c r="S33" s="19">
        <v>2.0</v>
      </c>
      <c r="T33" s="3" t="s">
        <v>151</v>
      </c>
      <c r="U33" s="3" t="s">
        <v>370</v>
      </c>
    </row>
    <row r="34">
      <c r="A34" s="3" t="s">
        <v>7182</v>
      </c>
      <c r="B34" s="3" t="s">
        <v>7183</v>
      </c>
      <c r="C34" s="29">
        <v>45790.5</v>
      </c>
      <c r="D34" s="29">
        <v>45790.52083333333</v>
      </c>
      <c r="E34" s="30">
        <v>0.5</v>
      </c>
      <c r="F34" s="2"/>
      <c r="G34" s="3" t="s">
        <v>7184</v>
      </c>
      <c r="H34" s="3" t="s">
        <v>7146</v>
      </c>
      <c r="I34" s="3" t="s">
        <v>7147</v>
      </c>
      <c r="J34" s="3" t="s">
        <v>7156</v>
      </c>
      <c r="K34" s="3" t="s">
        <v>7149</v>
      </c>
      <c r="L34" s="19">
        <v>3.0</v>
      </c>
      <c r="M34" s="3" t="s">
        <v>7185</v>
      </c>
      <c r="N34" s="3" t="s">
        <v>7186</v>
      </c>
      <c r="O34" s="3" t="s">
        <v>7187</v>
      </c>
      <c r="P34" s="19">
        <v>2.0</v>
      </c>
      <c r="Q34" s="19">
        <v>0.0</v>
      </c>
      <c r="R34" s="19">
        <v>1.0</v>
      </c>
      <c r="S34" s="19">
        <v>0.0</v>
      </c>
      <c r="T34" s="3" t="s">
        <v>184</v>
      </c>
      <c r="U34" s="3" t="s">
        <v>478</v>
      </c>
    </row>
    <row r="35">
      <c r="A35" s="3" t="s">
        <v>7143</v>
      </c>
      <c r="B35" s="3" t="s">
        <v>7144</v>
      </c>
      <c r="C35" s="29">
        <v>45792.70833333333</v>
      </c>
      <c r="D35" s="29">
        <v>45792.72916666667</v>
      </c>
      <c r="E35" s="30">
        <v>0.5</v>
      </c>
      <c r="F35" s="2"/>
      <c r="G35" s="3" t="s">
        <v>7145</v>
      </c>
      <c r="H35" s="3" t="s">
        <v>7146</v>
      </c>
      <c r="I35" s="3" t="s">
        <v>7147</v>
      </c>
      <c r="J35" s="3" t="s">
        <v>7148</v>
      </c>
      <c r="K35" s="3" t="s">
        <v>7149</v>
      </c>
      <c r="L35" s="19">
        <v>15.0</v>
      </c>
      <c r="M35" s="3" t="s">
        <v>7150</v>
      </c>
      <c r="N35" s="3" t="s">
        <v>7151</v>
      </c>
      <c r="O35" s="3" t="s">
        <v>7208</v>
      </c>
      <c r="P35" s="19">
        <v>9.0</v>
      </c>
      <c r="Q35" s="19">
        <v>0.0</v>
      </c>
      <c r="R35" s="19">
        <v>1.0</v>
      </c>
      <c r="S35" s="19">
        <v>5.0</v>
      </c>
      <c r="T35" s="3" t="s">
        <v>160</v>
      </c>
      <c r="U35" s="3" t="s">
        <v>440</v>
      </c>
    </row>
    <row r="36">
      <c r="A36" s="3" t="s">
        <v>7153</v>
      </c>
      <c r="B36" s="3" t="s">
        <v>7154</v>
      </c>
      <c r="C36" s="29">
        <v>45797.45833333333</v>
      </c>
      <c r="D36" s="29">
        <v>45797.47916666667</v>
      </c>
      <c r="E36" s="30">
        <v>0.5</v>
      </c>
      <c r="G36" s="3" t="s">
        <v>7155</v>
      </c>
      <c r="H36" s="3" t="s">
        <v>7146</v>
      </c>
      <c r="I36" s="3" t="s">
        <v>7147</v>
      </c>
      <c r="J36" s="3" t="s">
        <v>7156</v>
      </c>
      <c r="K36" s="3" t="s">
        <v>7149</v>
      </c>
      <c r="L36" s="19">
        <v>5.0</v>
      </c>
      <c r="M36" s="3" t="s">
        <v>7157</v>
      </c>
      <c r="N36" s="3" t="s">
        <v>7157</v>
      </c>
      <c r="O36" s="3" t="s">
        <v>7158</v>
      </c>
      <c r="P36" s="19">
        <v>3.0</v>
      </c>
      <c r="Q36" s="19">
        <v>0.0</v>
      </c>
      <c r="R36" s="19">
        <v>1.0</v>
      </c>
      <c r="S36" s="19">
        <v>1.0</v>
      </c>
      <c r="T36" s="3" t="s">
        <v>142</v>
      </c>
      <c r="U36" s="3" t="s">
        <v>143</v>
      </c>
    </row>
    <row r="37">
      <c r="A37" s="3" t="s">
        <v>7166</v>
      </c>
      <c r="B37" s="3" t="s">
        <v>7167</v>
      </c>
      <c r="C37" s="29">
        <v>45807.54166666667</v>
      </c>
      <c r="D37" s="29">
        <v>45807.5625</v>
      </c>
      <c r="E37" s="30">
        <v>0.5</v>
      </c>
      <c r="F37" s="2"/>
      <c r="G37" s="2"/>
      <c r="H37" s="3" t="s">
        <v>7146</v>
      </c>
      <c r="I37" s="3" t="s">
        <v>7147</v>
      </c>
      <c r="J37" s="3" t="s">
        <v>7168</v>
      </c>
      <c r="K37" s="3" t="s">
        <v>7149</v>
      </c>
      <c r="L37" s="19">
        <v>4.0</v>
      </c>
      <c r="M37" s="3" t="s">
        <v>7169</v>
      </c>
      <c r="N37" s="3" t="s">
        <v>7170</v>
      </c>
      <c r="O37" s="3" t="s">
        <v>7171</v>
      </c>
      <c r="P37" s="19">
        <v>3.0</v>
      </c>
      <c r="Q37" s="19">
        <v>1.0</v>
      </c>
      <c r="R37" s="19">
        <v>0.0</v>
      </c>
      <c r="S37" s="19">
        <v>0.0</v>
      </c>
      <c r="T37" s="3" t="s">
        <v>205</v>
      </c>
      <c r="U37" s="3" t="s">
        <v>206</v>
      </c>
    </row>
    <row r="38">
      <c r="A38" s="3" t="s">
        <v>7153</v>
      </c>
      <c r="B38" s="3" t="s">
        <v>7154</v>
      </c>
      <c r="C38" s="29">
        <v>45811.45833333333</v>
      </c>
      <c r="D38" s="29">
        <v>45811.47916666667</v>
      </c>
      <c r="E38" s="30">
        <v>0.5</v>
      </c>
      <c r="F38" s="2"/>
      <c r="G38" s="3" t="s">
        <v>7155</v>
      </c>
      <c r="H38" s="3" t="s">
        <v>7146</v>
      </c>
      <c r="I38" s="3" t="s">
        <v>7147</v>
      </c>
      <c r="J38" s="3" t="s">
        <v>7156</v>
      </c>
      <c r="K38" s="3" t="s">
        <v>7149</v>
      </c>
      <c r="L38" s="19">
        <v>5.0</v>
      </c>
      <c r="M38" s="3" t="s">
        <v>7157</v>
      </c>
      <c r="N38" s="3" t="s">
        <v>7157</v>
      </c>
      <c r="O38" s="3" t="s">
        <v>7158</v>
      </c>
      <c r="P38" s="19">
        <v>3.0</v>
      </c>
      <c r="Q38" s="19">
        <v>0.0</v>
      </c>
      <c r="R38" s="19">
        <v>1.0</v>
      </c>
      <c r="S38" s="19">
        <v>1.0</v>
      </c>
      <c r="T38" s="3" t="s">
        <v>142</v>
      </c>
      <c r="U38" s="3" t="s">
        <v>143</v>
      </c>
    </row>
    <row r="39">
      <c r="A39" s="3" t="s">
        <v>7172</v>
      </c>
      <c r="B39" s="3" t="s">
        <v>7173</v>
      </c>
      <c r="C39" s="29">
        <v>45811.58333333333</v>
      </c>
      <c r="D39" s="29">
        <v>45811.60416666667</v>
      </c>
      <c r="E39" s="30">
        <v>0.5</v>
      </c>
      <c r="G39" s="2"/>
      <c r="H39" s="3" t="s">
        <v>7146</v>
      </c>
      <c r="I39" s="3" t="s">
        <v>7147</v>
      </c>
      <c r="J39" s="3" t="s">
        <v>7156</v>
      </c>
      <c r="K39" s="3" t="s">
        <v>7149</v>
      </c>
      <c r="L39" s="19">
        <v>9.0</v>
      </c>
      <c r="M39" s="3" t="s">
        <v>7174</v>
      </c>
      <c r="N39" s="3" t="s">
        <v>7175</v>
      </c>
      <c r="O39" s="3" t="s">
        <v>7209</v>
      </c>
      <c r="P39" s="19">
        <v>2.0</v>
      </c>
      <c r="Q39" s="19">
        <v>3.0</v>
      </c>
      <c r="R39" s="19">
        <v>0.0</v>
      </c>
      <c r="S39" s="19">
        <v>4.0</v>
      </c>
      <c r="T39" s="3" t="s">
        <v>110</v>
      </c>
      <c r="U39" s="3" t="s">
        <v>111</v>
      </c>
    </row>
    <row r="40">
      <c r="A40" s="3" t="s">
        <v>7162</v>
      </c>
      <c r="B40" s="3" t="s">
        <v>7163</v>
      </c>
      <c r="C40" s="29">
        <v>45813.58333333333</v>
      </c>
      <c r="D40" s="29">
        <v>45813.60416666667</v>
      </c>
      <c r="E40" s="30">
        <v>0.5</v>
      </c>
      <c r="G40" s="2"/>
      <c r="H40" s="3" t="s">
        <v>7146</v>
      </c>
      <c r="I40" s="3" t="s">
        <v>7147</v>
      </c>
      <c r="J40" s="3" t="s">
        <v>7156</v>
      </c>
      <c r="K40" s="3" t="s">
        <v>7149</v>
      </c>
      <c r="L40" s="19">
        <v>6.0</v>
      </c>
      <c r="M40" s="3" t="s">
        <v>7164</v>
      </c>
      <c r="N40" s="3" t="s">
        <v>7164</v>
      </c>
      <c r="O40" s="3" t="s">
        <v>7165</v>
      </c>
      <c r="P40" s="19">
        <v>1.0</v>
      </c>
      <c r="Q40" s="19">
        <v>3.0</v>
      </c>
      <c r="R40" s="19">
        <v>0.0</v>
      </c>
      <c r="S40" s="19">
        <v>2.0</v>
      </c>
      <c r="T40" s="3" t="s">
        <v>151</v>
      </c>
      <c r="U40" s="3" t="s">
        <v>370</v>
      </c>
    </row>
    <row r="41">
      <c r="A41" s="3" t="s">
        <v>7153</v>
      </c>
      <c r="B41" s="3" t="s">
        <v>7154</v>
      </c>
      <c r="C41" s="29">
        <v>45825.45833333333</v>
      </c>
      <c r="D41" s="29">
        <v>45825.47916666667</v>
      </c>
      <c r="E41" s="30">
        <v>0.5</v>
      </c>
      <c r="F41" s="2"/>
      <c r="G41" s="3" t="s">
        <v>7155</v>
      </c>
      <c r="H41" s="3" t="s">
        <v>7146</v>
      </c>
      <c r="I41" s="3" t="s">
        <v>7147</v>
      </c>
      <c r="J41" s="3" t="s">
        <v>7156</v>
      </c>
      <c r="K41" s="3" t="s">
        <v>7149</v>
      </c>
      <c r="L41" s="19">
        <v>5.0</v>
      </c>
      <c r="M41" s="3" t="s">
        <v>7157</v>
      </c>
      <c r="N41" s="3" t="s">
        <v>7157</v>
      </c>
      <c r="O41" s="3" t="s">
        <v>7158</v>
      </c>
      <c r="P41" s="19">
        <v>3.0</v>
      </c>
      <c r="Q41" s="19">
        <v>0.0</v>
      </c>
      <c r="R41" s="19">
        <v>1.0</v>
      </c>
      <c r="S41" s="19">
        <v>1.0</v>
      </c>
      <c r="T41" s="3" t="s">
        <v>142</v>
      </c>
      <c r="U41" s="3" t="s">
        <v>143</v>
      </c>
    </row>
    <row r="42">
      <c r="A42" s="3" t="s">
        <v>7162</v>
      </c>
      <c r="B42" s="3" t="s">
        <v>7163</v>
      </c>
      <c r="C42" s="29">
        <v>45827.58333333333</v>
      </c>
      <c r="D42" s="29">
        <v>45827.60416666667</v>
      </c>
      <c r="E42" s="30">
        <v>0.5</v>
      </c>
      <c r="G42" s="2"/>
      <c r="H42" s="3" t="s">
        <v>7146</v>
      </c>
      <c r="I42" s="3" t="s">
        <v>7147</v>
      </c>
      <c r="J42" s="3" t="s">
        <v>7156</v>
      </c>
      <c r="K42" s="3" t="s">
        <v>7149</v>
      </c>
      <c r="L42" s="19">
        <v>6.0</v>
      </c>
      <c r="M42" s="3" t="s">
        <v>7164</v>
      </c>
      <c r="N42" s="3" t="s">
        <v>7164</v>
      </c>
      <c r="O42" s="3" t="s">
        <v>7165</v>
      </c>
      <c r="P42" s="19">
        <v>1.0</v>
      </c>
      <c r="Q42" s="19">
        <v>3.0</v>
      </c>
      <c r="R42" s="19">
        <v>0.0</v>
      </c>
      <c r="S42" s="19">
        <v>2.0</v>
      </c>
      <c r="T42" s="3" t="s">
        <v>151</v>
      </c>
      <c r="U42" s="3" t="s">
        <v>370</v>
      </c>
    </row>
    <row r="43">
      <c r="A43" s="3" t="s">
        <v>7143</v>
      </c>
      <c r="B43" s="3" t="s">
        <v>7144</v>
      </c>
      <c r="C43" s="29">
        <v>45827.70833333333</v>
      </c>
      <c r="D43" s="29">
        <v>45827.72916666667</v>
      </c>
      <c r="E43" s="30">
        <v>0.5</v>
      </c>
      <c r="F43" s="2"/>
      <c r="G43" s="3" t="s">
        <v>7145</v>
      </c>
      <c r="H43" s="3" t="s">
        <v>7146</v>
      </c>
      <c r="I43" s="3" t="s">
        <v>7147</v>
      </c>
      <c r="J43" s="3" t="s">
        <v>7148</v>
      </c>
      <c r="K43" s="3" t="s">
        <v>7149</v>
      </c>
      <c r="L43" s="19">
        <v>15.0</v>
      </c>
      <c r="M43" s="3" t="s">
        <v>7150</v>
      </c>
      <c r="N43" s="3" t="s">
        <v>7151</v>
      </c>
      <c r="O43" s="3" t="s">
        <v>7208</v>
      </c>
      <c r="P43" s="19">
        <v>9.0</v>
      </c>
      <c r="Q43" s="19">
        <v>0.0</v>
      </c>
      <c r="R43" s="19">
        <v>1.0</v>
      </c>
      <c r="S43" s="19">
        <v>5.0</v>
      </c>
      <c r="T43" s="3" t="s">
        <v>160</v>
      </c>
      <c r="U43" s="3" t="s">
        <v>440</v>
      </c>
    </row>
    <row r="44">
      <c r="A44" s="3" t="s">
        <v>7210</v>
      </c>
      <c r="B44" s="3" t="s">
        <v>7211</v>
      </c>
      <c r="C44" s="29">
        <v>45832.54166666667</v>
      </c>
      <c r="D44" s="29">
        <v>45832.5625</v>
      </c>
      <c r="E44" s="30">
        <v>0.5</v>
      </c>
      <c r="F44" s="2"/>
      <c r="G44" s="3" t="s">
        <v>7212</v>
      </c>
      <c r="H44" s="3" t="s">
        <v>7146</v>
      </c>
      <c r="I44" s="3" t="s">
        <v>7147</v>
      </c>
      <c r="J44" s="3" t="s">
        <v>7156</v>
      </c>
      <c r="K44" s="3" t="s">
        <v>7149</v>
      </c>
      <c r="L44" s="19">
        <v>4.0</v>
      </c>
      <c r="M44" s="3" t="s">
        <v>7213</v>
      </c>
      <c r="N44" s="3" t="s">
        <v>7213</v>
      </c>
      <c r="O44" s="3" t="s">
        <v>7214</v>
      </c>
      <c r="P44" s="19">
        <v>2.0</v>
      </c>
      <c r="Q44" s="19">
        <v>0.0</v>
      </c>
      <c r="R44" s="19">
        <v>0.0</v>
      </c>
      <c r="S44" s="19">
        <v>2.0</v>
      </c>
      <c r="T44" s="3" t="s">
        <v>175</v>
      </c>
      <c r="U44" s="3" t="s">
        <v>422</v>
      </c>
    </row>
    <row r="45">
      <c r="A45" s="3" t="s">
        <v>7166</v>
      </c>
      <c r="B45" s="3" t="s">
        <v>7167</v>
      </c>
      <c r="C45" s="29">
        <v>45835.54166666667</v>
      </c>
      <c r="D45" s="29">
        <v>45835.5625</v>
      </c>
      <c r="E45" s="30">
        <v>0.5</v>
      </c>
      <c r="F45" s="2"/>
      <c r="G45" s="2"/>
      <c r="H45" s="3" t="s">
        <v>7146</v>
      </c>
      <c r="I45" s="3" t="s">
        <v>7147</v>
      </c>
      <c r="J45" s="3" t="s">
        <v>7168</v>
      </c>
      <c r="K45" s="3" t="s">
        <v>7149</v>
      </c>
      <c r="L45" s="19">
        <v>4.0</v>
      </c>
      <c r="M45" s="3" t="s">
        <v>7169</v>
      </c>
      <c r="N45" s="3" t="s">
        <v>7170</v>
      </c>
      <c r="O45" s="3" t="s">
        <v>7171</v>
      </c>
      <c r="P45" s="19">
        <v>3.0</v>
      </c>
      <c r="Q45" s="19">
        <v>1.0</v>
      </c>
      <c r="R45" s="19">
        <v>0.0</v>
      </c>
      <c r="S45" s="19">
        <v>0.0</v>
      </c>
      <c r="T45" s="3" t="s">
        <v>205</v>
      </c>
      <c r="U45" s="3" t="s">
        <v>206</v>
      </c>
    </row>
    <row r="46">
      <c r="A46" s="3" t="s">
        <v>7172</v>
      </c>
      <c r="B46" s="3" t="s">
        <v>7173</v>
      </c>
      <c r="C46" s="29">
        <v>45839.58333333333</v>
      </c>
      <c r="D46" s="29">
        <v>45839.60416666667</v>
      </c>
      <c r="E46" s="30">
        <v>0.5</v>
      </c>
      <c r="F46" s="2"/>
      <c r="G46" s="2"/>
      <c r="H46" s="3" t="s">
        <v>7146</v>
      </c>
      <c r="I46" s="3" t="s">
        <v>7147</v>
      </c>
      <c r="J46" s="3" t="s">
        <v>7156</v>
      </c>
      <c r="K46" s="3" t="s">
        <v>7149</v>
      </c>
      <c r="L46" s="19">
        <v>9.0</v>
      </c>
      <c r="M46" s="3" t="s">
        <v>7174</v>
      </c>
      <c r="N46" s="3" t="s">
        <v>7175</v>
      </c>
      <c r="O46" s="3" t="s">
        <v>7215</v>
      </c>
      <c r="P46" s="19">
        <v>2.0</v>
      </c>
      <c r="Q46" s="19">
        <v>2.0</v>
      </c>
      <c r="R46" s="19">
        <v>0.0</v>
      </c>
      <c r="S46" s="19">
        <v>5.0</v>
      </c>
      <c r="T46" s="3" t="s">
        <v>110</v>
      </c>
      <c r="U46" s="3" t="s">
        <v>111</v>
      </c>
    </row>
    <row r="47">
      <c r="A47" s="3" t="s">
        <v>7188</v>
      </c>
      <c r="B47" s="3" t="s">
        <v>7189</v>
      </c>
      <c r="C47" s="29">
        <v>45841.39583333333</v>
      </c>
      <c r="D47" s="29">
        <v>45841.41666666667</v>
      </c>
      <c r="E47" s="30">
        <v>0.5</v>
      </c>
      <c r="G47" s="3" t="s">
        <v>7190</v>
      </c>
      <c r="H47" s="3" t="s">
        <v>7146</v>
      </c>
      <c r="I47" s="3" t="s">
        <v>7147</v>
      </c>
      <c r="J47" s="3" t="s">
        <v>7168</v>
      </c>
      <c r="K47" s="3" t="s">
        <v>7149</v>
      </c>
      <c r="L47" s="19">
        <v>6.0</v>
      </c>
      <c r="M47" s="3" t="s">
        <v>7196</v>
      </c>
      <c r="N47" s="3" t="s">
        <v>7196</v>
      </c>
      <c r="O47" s="3" t="s">
        <v>7197</v>
      </c>
      <c r="P47" s="19">
        <v>4.0</v>
      </c>
      <c r="Q47" s="19">
        <v>0.0</v>
      </c>
      <c r="R47" s="19">
        <v>0.0</v>
      </c>
      <c r="S47" s="19">
        <v>2.0</v>
      </c>
      <c r="T47" s="3" t="s">
        <v>178</v>
      </c>
      <c r="U47" s="3" t="s">
        <v>179</v>
      </c>
    </row>
    <row r="48">
      <c r="A48" s="3" t="s">
        <v>7159</v>
      </c>
      <c r="B48" s="3" t="s">
        <v>7160</v>
      </c>
      <c r="C48" s="29">
        <v>45841.4375</v>
      </c>
      <c r="D48" s="29">
        <v>45841.45833333333</v>
      </c>
      <c r="E48" s="30">
        <v>0.5</v>
      </c>
      <c r="G48" s="2"/>
      <c r="H48" s="3" t="s">
        <v>7146</v>
      </c>
      <c r="I48" s="3" t="s">
        <v>7147</v>
      </c>
      <c r="J48" s="3" t="s">
        <v>7156</v>
      </c>
      <c r="K48" s="3" t="s">
        <v>7149</v>
      </c>
      <c r="L48" s="19">
        <v>2.0</v>
      </c>
      <c r="M48" s="3" t="s">
        <v>7216</v>
      </c>
      <c r="N48" s="3" t="s">
        <v>7217</v>
      </c>
      <c r="O48" s="3" t="s">
        <v>7218</v>
      </c>
      <c r="P48" s="19">
        <v>2.0</v>
      </c>
      <c r="Q48" s="19">
        <v>0.0</v>
      </c>
      <c r="R48" s="19">
        <v>0.0</v>
      </c>
      <c r="S48" s="19">
        <v>0.0</v>
      </c>
      <c r="T48" s="3" t="s">
        <v>154</v>
      </c>
      <c r="U48" s="3" t="s">
        <v>329</v>
      </c>
    </row>
    <row r="49">
      <c r="A49" s="3" t="s">
        <v>7162</v>
      </c>
      <c r="B49" s="3" t="s">
        <v>7163</v>
      </c>
      <c r="C49" s="29">
        <v>45841.58333333333</v>
      </c>
      <c r="D49" s="29">
        <v>45841.60416666667</v>
      </c>
      <c r="E49" s="30">
        <v>0.5</v>
      </c>
      <c r="F49" s="2"/>
      <c r="G49" s="2"/>
      <c r="H49" s="3" t="s">
        <v>7146</v>
      </c>
      <c r="I49" s="3" t="s">
        <v>7147</v>
      </c>
      <c r="J49" s="3" t="s">
        <v>7156</v>
      </c>
      <c r="K49" s="3" t="s">
        <v>7149</v>
      </c>
      <c r="L49" s="19">
        <v>6.0</v>
      </c>
      <c r="M49" s="3" t="s">
        <v>7164</v>
      </c>
      <c r="N49" s="3" t="s">
        <v>7164</v>
      </c>
      <c r="O49" s="3" t="s">
        <v>7219</v>
      </c>
      <c r="P49" s="19">
        <v>1.0</v>
      </c>
      <c r="Q49" s="19">
        <v>4.0</v>
      </c>
      <c r="R49" s="19">
        <v>0.0</v>
      </c>
      <c r="S49" s="19">
        <v>1.0</v>
      </c>
      <c r="T49" s="3" t="s">
        <v>151</v>
      </c>
      <c r="U49" s="3" t="s">
        <v>370</v>
      </c>
    </row>
    <row r="50">
      <c r="A50" s="3" t="s">
        <v>7182</v>
      </c>
      <c r="B50" s="3" t="s">
        <v>7183</v>
      </c>
      <c r="C50" s="29">
        <v>45853.5</v>
      </c>
      <c r="D50" s="29">
        <v>45853.52083333333</v>
      </c>
      <c r="E50" s="30">
        <v>0.5</v>
      </c>
      <c r="F50" s="2"/>
      <c r="G50" s="3" t="s">
        <v>7184</v>
      </c>
      <c r="H50" s="3" t="s">
        <v>7146</v>
      </c>
      <c r="I50" s="3" t="s">
        <v>7147</v>
      </c>
      <c r="J50" s="3" t="s">
        <v>7156</v>
      </c>
      <c r="K50" s="3" t="s">
        <v>7149</v>
      </c>
      <c r="L50" s="19">
        <v>3.0</v>
      </c>
      <c r="M50" s="3" t="s">
        <v>7185</v>
      </c>
      <c r="N50" s="3" t="s">
        <v>7186</v>
      </c>
      <c r="O50" s="3" t="s">
        <v>7187</v>
      </c>
      <c r="P50" s="19">
        <v>2.0</v>
      </c>
      <c r="Q50" s="19">
        <v>0.0</v>
      </c>
      <c r="R50" s="19">
        <v>1.0</v>
      </c>
      <c r="S50" s="19">
        <v>0.0</v>
      </c>
      <c r="T50" s="3" t="s">
        <v>184</v>
      </c>
      <c r="U50" s="3" t="s">
        <v>478</v>
      </c>
    </row>
    <row r="51">
      <c r="A51" s="3" t="s">
        <v>7162</v>
      </c>
      <c r="B51" s="3" t="s">
        <v>7163</v>
      </c>
      <c r="C51" s="29">
        <v>45855.58333333333</v>
      </c>
      <c r="D51" s="29">
        <v>45855.60416666667</v>
      </c>
      <c r="E51" s="30">
        <v>0.5</v>
      </c>
      <c r="F51" s="2"/>
      <c r="G51" s="2"/>
      <c r="H51" s="3" t="s">
        <v>7146</v>
      </c>
      <c r="I51" s="3" t="s">
        <v>7147</v>
      </c>
      <c r="J51" s="3" t="s">
        <v>7156</v>
      </c>
      <c r="K51" s="3" t="s">
        <v>7149</v>
      </c>
      <c r="L51" s="19">
        <v>6.0</v>
      </c>
      <c r="M51" s="3" t="s">
        <v>7164</v>
      </c>
      <c r="N51" s="3" t="s">
        <v>7164</v>
      </c>
      <c r="O51" s="3" t="s">
        <v>7165</v>
      </c>
      <c r="P51" s="19">
        <v>1.0</v>
      </c>
      <c r="Q51" s="19">
        <v>3.0</v>
      </c>
      <c r="R51" s="19">
        <v>0.0</v>
      </c>
      <c r="S51" s="19">
        <v>2.0</v>
      </c>
      <c r="T51" s="3" t="s">
        <v>151</v>
      </c>
      <c r="U51" s="3" t="s">
        <v>370</v>
      </c>
    </row>
    <row r="52">
      <c r="A52" s="3" t="s">
        <v>7143</v>
      </c>
      <c r="B52" s="3" t="s">
        <v>7144</v>
      </c>
      <c r="C52" s="29">
        <v>45855.70833333333</v>
      </c>
      <c r="D52" s="29">
        <v>45855.72916666667</v>
      </c>
      <c r="E52" s="30">
        <v>0.5</v>
      </c>
      <c r="F52" s="2"/>
      <c r="G52" s="3" t="s">
        <v>7145</v>
      </c>
      <c r="H52" s="3" t="s">
        <v>7146</v>
      </c>
      <c r="I52" s="3" t="s">
        <v>7147</v>
      </c>
      <c r="J52" s="3" t="s">
        <v>7148</v>
      </c>
      <c r="K52" s="3" t="s">
        <v>7149</v>
      </c>
      <c r="L52" s="19">
        <v>15.0</v>
      </c>
      <c r="M52" s="3" t="s">
        <v>7150</v>
      </c>
      <c r="N52" s="3" t="s">
        <v>7151</v>
      </c>
      <c r="O52" s="3" t="s">
        <v>7208</v>
      </c>
      <c r="P52" s="19">
        <v>9.0</v>
      </c>
      <c r="Q52" s="19">
        <v>0.0</v>
      </c>
      <c r="R52" s="19">
        <v>1.0</v>
      </c>
      <c r="S52" s="19">
        <v>5.0</v>
      </c>
      <c r="T52" s="3" t="s">
        <v>160</v>
      </c>
      <c r="U52" s="3" t="s">
        <v>440</v>
      </c>
    </row>
    <row r="53">
      <c r="A53" s="3" t="s">
        <v>7220</v>
      </c>
      <c r="B53" s="3" t="s">
        <v>7221</v>
      </c>
      <c r="C53" s="29">
        <v>45859.41666666667</v>
      </c>
      <c r="D53" s="29">
        <v>45859.4375</v>
      </c>
      <c r="E53" s="30">
        <v>0.5</v>
      </c>
      <c r="F53" s="2"/>
      <c r="G53" s="2"/>
      <c r="H53" s="3" t="s">
        <v>7146</v>
      </c>
      <c r="I53" s="3" t="s">
        <v>7147</v>
      </c>
      <c r="J53" s="3" t="s">
        <v>7156</v>
      </c>
      <c r="K53" s="3" t="s">
        <v>7149</v>
      </c>
      <c r="L53" s="19">
        <v>5.0</v>
      </c>
      <c r="M53" s="3" t="s">
        <v>7222</v>
      </c>
      <c r="N53" s="3" t="s">
        <v>7222</v>
      </c>
      <c r="O53" s="3" t="s">
        <v>7223</v>
      </c>
      <c r="P53" s="19">
        <v>4.0</v>
      </c>
      <c r="Q53" s="19">
        <v>0.0</v>
      </c>
      <c r="R53" s="19">
        <v>0.0</v>
      </c>
      <c r="S53" s="19">
        <v>1.0</v>
      </c>
      <c r="T53" s="3" t="s">
        <v>6608</v>
      </c>
      <c r="U53" s="3" t="s">
        <v>294</v>
      </c>
    </row>
    <row r="54">
      <c r="A54" s="3" t="s">
        <v>7210</v>
      </c>
      <c r="B54" s="3" t="s">
        <v>7211</v>
      </c>
      <c r="C54" s="29">
        <v>45860.54166666667</v>
      </c>
      <c r="D54" s="29">
        <v>45860.5625</v>
      </c>
      <c r="E54" s="30">
        <v>0.5</v>
      </c>
      <c r="F54" s="2"/>
      <c r="G54" s="3" t="s">
        <v>7212</v>
      </c>
      <c r="H54" s="3" t="s">
        <v>7146</v>
      </c>
      <c r="I54" s="3" t="s">
        <v>7147</v>
      </c>
      <c r="J54" s="3" t="s">
        <v>7156</v>
      </c>
      <c r="K54" s="3" t="s">
        <v>7149</v>
      </c>
      <c r="L54" s="19">
        <v>4.0</v>
      </c>
      <c r="M54" s="3" t="s">
        <v>7213</v>
      </c>
      <c r="N54" s="3" t="s">
        <v>7213</v>
      </c>
      <c r="O54" s="3" t="s">
        <v>7214</v>
      </c>
      <c r="P54" s="19">
        <v>2.0</v>
      </c>
      <c r="Q54" s="19">
        <v>0.0</v>
      </c>
      <c r="R54" s="19">
        <v>0.0</v>
      </c>
      <c r="S54" s="19">
        <v>2.0</v>
      </c>
      <c r="T54" s="3" t="s">
        <v>175</v>
      </c>
      <c r="U54" s="3" t="s">
        <v>422</v>
      </c>
    </row>
    <row r="55">
      <c r="A55" s="3" t="s">
        <v>7159</v>
      </c>
      <c r="B55" s="3" t="s">
        <v>7160</v>
      </c>
      <c r="C55" s="29">
        <v>45862.4375</v>
      </c>
      <c r="D55" s="29">
        <v>45862.45833333333</v>
      </c>
      <c r="E55" s="30">
        <v>0.5</v>
      </c>
      <c r="F55" s="2"/>
      <c r="G55" s="2"/>
      <c r="H55" s="3" t="s">
        <v>7146</v>
      </c>
      <c r="I55" s="3" t="s">
        <v>7147</v>
      </c>
      <c r="J55" s="3" t="s">
        <v>7156</v>
      </c>
      <c r="K55" s="3" t="s">
        <v>7149</v>
      </c>
      <c r="L55" s="19">
        <v>1.0</v>
      </c>
      <c r="M55" s="3" t="s">
        <v>7156</v>
      </c>
      <c r="N55" s="3" t="s">
        <v>7156</v>
      </c>
      <c r="O55" s="3" t="s">
        <v>7161</v>
      </c>
      <c r="P55" s="19">
        <v>1.0</v>
      </c>
      <c r="Q55" s="19">
        <v>0.0</v>
      </c>
      <c r="R55" s="19">
        <v>0.0</v>
      </c>
      <c r="S55" s="19">
        <v>0.0</v>
      </c>
      <c r="T55" s="2"/>
      <c r="U55" s="2"/>
    </row>
    <row r="56">
      <c r="A56" s="3" t="s">
        <v>7166</v>
      </c>
      <c r="B56" s="3" t="s">
        <v>7167</v>
      </c>
      <c r="C56" s="29">
        <v>45863.54166666667</v>
      </c>
      <c r="D56" s="29">
        <v>45863.5625</v>
      </c>
      <c r="E56" s="30">
        <v>0.5</v>
      </c>
      <c r="F56" s="2"/>
      <c r="G56" s="2"/>
      <c r="H56" s="3" t="s">
        <v>7146</v>
      </c>
      <c r="I56" s="3" t="s">
        <v>7147</v>
      </c>
      <c r="J56" s="3" t="s">
        <v>7168</v>
      </c>
      <c r="K56" s="3" t="s">
        <v>7149</v>
      </c>
      <c r="L56" s="19">
        <v>4.0</v>
      </c>
      <c r="M56" s="3" t="s">
        <v>7169</v>
      </c>
      <c r="N56" s="3" t="s">
        <v>7170</v>
      </c>
      <c r="O56" s="3" t="s">
        <v>7171</v>
      </c>
      <c r="P56" s="19">
        <v>3.0</v>
      </c>
      <c r="Q56" s="19">
        <v>1.0</v>
      </c>
      <c r="R56" s="19">
        <v>0.0</v>
      </c>
      <c r="S56" s="19">
        <v>0.0</v>
      </c>
      <c r="T56" s="3" t="s">
        <v>205</v>
      </c>
      <c r="U56" s="3" t="s">
        <v>206</v>
      </c>
    </row>
    <row r="57">
      <c r="A57" s="3" t="s">
        <v>7153</v>
      </c>
      <c r="B57" s="3" t="s">
        <v>7154</v>
      </c>
      <c r="C57" s="29">
        <v>45867.45833333333</v>
      </c>
      <c r="D57" s="29">
        <v>45867.47916666667</v>
      </c>
      <c r="E57" s="30">
        <v>0.5</v>
      </c>
      <c r="F57" s="2"/>
      <c r="G57" s="3" t="s">
        <v>7155</v>
      </c>
      <c r="H57" s="3" t="s">
        <v>7146</v>
      </c>
      <c r="I57" s="3" t="s">
        <v>7147</v>
      </c>
      <c r="J57" s="3" t="s">
        <v>7156</v>
      </c>
      <c r="K57" s="3" t="s">
        <v>7149</v>
      </c>
      <c r="L57" s="19">
        <v>5.0</v>
      </c>
      <c r="M57" s="3" t="s">
        <v>7157</v>
      </c>
      <c r="N57" s="3" t="s">
        <v>7157</v>
      </c>
      <c r="O57" s="3" t="s">
        <v>7158</v>
      </c>
      <c r="P57" s="19">
        <v>3.0</v>
      </c>
      <c r="Q57" s="19">
        <v>0.0</v>
      </c>
      <c r="R57" s="19">
        <v>1.0</v>
      </c>
      <c r="S57" s="19">
        <v>1.0</v>
      </c>
      <c r="T57" s="3" t="s">
        <v>142</v>
      </c>
      <c r="U57" s="3" t="s">
        <v>143</v>
      </c>
    </row>
    <row r="58">
      <c r="A58" s="3" t="s">
        <v>7200</v>
      </c>
      <c r="B58" s="3" t="s">
        <v>7178</v>
      </c>
      <c r="C58" s="29">
        <v>45870.39583333333</v>
      </c>
      <c r="D58" s="29">
        <v>45870.41666666667</v>
      </c>
      <c r="E58" s="30">
        <v>0.5</v>
      </c>
      <c r="F58" s="2"/>
      <c r="G58" s="3" t="s">
        <v>7179</v>
      </c>
      <c r="H58" s="3" t="s">
        <v>7146</v>
      </c>
      <c r="I58" s="3" t="s">
        <v>7147</v>
      </c>
      <c r="J58" s="3" t="s">
        <v>7156</v>
      </c>
      <c r="K58" s="3" t="s">
        <v>7149</v>
      </c>
      <c r="L58" s="19">
        <v>5.0</v>
      </c>
      <c r="M58" s="3" t="s">
        <v>7180</v>
      </c>
      <c r="N58" s="3" t="s">
        <v>7180</v>
      </c>
      <c r="O58" s="3" t="s">
        <v>7224</v>
      </c>
      <c r="P58" s="19">
        <v>4.0</v>
      </c>
      <c r="Q58" s="19">
        <v>1.0</v>
      </c>
      <c r="R58" s="19">
        <v>0.0</v>
      </c>
      <c r="S58" s="19">
        <v>0.0</v>
      </c>
      <c r="T58" s="3" t="s">
        <v>169</v>
      </c>
      <c r="U58" s="3" t="s">
        <v>170</v>
      </c>
    </row>
    <row r="59">
      <c r="A59" s="3" t="s">
        <v>7202</v>
      </c>
      <c r="B59" s="3" t="s">
        <v>7203</v>
      </c>
      <c r="C59" s="29">
        <v>45873.5625</v>
      </c>
      <c r="D59" s="29">
        <v>45873.58333333333</v>
      </c>
      <c r="E59" s="30">
        <v>0.5</v>
      </c>
      <c r="F59" s="2"/>
      <c r="G59" s="2"/>
      <c r="H59" s="3" t="s">
        <v>7146</v>
      </c>
      <c r="I59" s="3" t="s">
        <v>7147</v>
      </c>
      <c r="J59" s="3" t="s">
        <v>7156</v>
      </c>
      <c r="K59" s="3" t="s">
        <v>7149</v>
      </c>
      <c r="L59" s="19">
        <v>8.0</v>
      </c>
      <c r="M59" s="3" t="s">
        <v>7225</v>
      </c>
      <c r="N59" s="3" t="s">
        <v>7225</v>
      </c>
      <c r="O59" s="3" t="s">
        <v>7226</v>
      </c>
      <c r="P59" s="19">
        <v>5.0</v>
      </c>
      <c r="Q59" s="19">
        <v>0.0</v>
      </c>
      <c r="R59" s="19">
        <v>0.0</v>
      </c>
      <c r="S59" s="19">
        <v>3.0</v>
      </c>
      <c r="T59" s="3" t="s">
        <v>6785</v>
      </c>
      <c r="U59" s="3" t="s">
        <v>601</v>
      </c>
    </row>
    <row r="60">
      <c r="A60" s="3" t="s">
        <v>7172</v>
      </c>
      <c r="B60" s="3" t="s">
        <v>7173</v>
      </c>
      <c r="C60" s="29">
        <v>45874.58333333333</v>
      </c>
      <c r="D60" s="29">
        <v>45874.60416666667</v>
      </c>
      <c r="E60" s="30">
        <v>0.5</v>
      </c>
      <c r="F60" s="2"/>
      <c r="G60" s="2"/>
      <c r="H60" s="3" t="s">
        <v>7146</v>
      </c>
      <c r="I60" s="3" t="s">
        <v>7147</v>
      </c>
      <c r="J60" s="3" t="s">
        <v>7156</v>
      </c>
      <c r="K60" s="3" t="s">
        <v>7149</v>
      </c>
      <c r="L60" s="19">
        <v>9.0</v>
      </c>
      <c r="M60" s="3" t="s">
        <v>7174</v>
      </c>
      <c r="N60" s="3" t="s">
        <v>7175</v>
      </c>
      <c r="O60" s="3" t="s">
        <v>7227</v>
      </c>
      <c r="P60" s="19">
        <v>1.0</v>
      </c>
      <c r="Q60" s="19">
        <v>2.0</v>
      </c>
      <c r="R60" s="19">
        <v>1.0</v>
      </c>
      <c r="S60" s="19">
        <v>5.0</v>
      </c>
      <c r="T60" s="3" t="s">
        <v>110</v>
      </c>
      <c r="U60" s="3" t="s">
        <v>111</v>
      </c>
    </row>
    <row r="61">
      <c r="A61" s="3" t="s">
        <v>7153</v>
      </c>
      <c r="B61" s="3" t="s">
        <v>7154</v>
      </c>
      <c r="C61" s="29">
        <v>45881.45833333333</v>
      </c>
      <c r="D61" s="29">
        <v>45881.47916666667</v>
      </c>
      <c r="E61" s="30">
        <v>0.5</v>
      </c>
      <c r="F61" s="2"/>
      <c r="G61" s="3" t="s">
        <v>7155</v>
      </c>
      <c r="H61" s="3" t="s">
        <v>7146</v>
      </c>
      <c r="I61" s="3" t="s">
        <v>7147</v>
      </c>
      <c r="J61" s="3" t="s">
        <v>7156</v>
      </c>
      <c r="K61" s="3" t="s">
        <v>7149</v>
      </c>
      <c r="L61" s="19">
        <v>5.0</v>
      </c>
      <c r="M61" s="3" t="s">
        <v>7157</v>
      </c>
      <c r="N61" s="3" t="s">
        <v>7157</v>
      </c>
      <c r="O61" s="3" t="s">
        <v>7158</v>
      </c>
      <c r="P61" s="19">
        <v>3.0</v>
      </c>
      <c r="Q61" s="19">
        <v>0.0</v>
      </c>
      <c r="R61" s="19">
        <v>1.0</v>
      </c>
      <c r="S61" s="19">
        <v>1.0</v>
      </c>
      <c r="T61" s="3" t="s">
        <v>142</v>
      </c>
      <c r="U61" s="3" t="s">
        <v>143</v>
      </c>
    </row>
    <row r="62">
      <c r="A62" s="3" t="s">
        <v>7228</v>
      </c>
      <c r="B62" s="3" t="s">
        <v>7160</v>
      </c>
      <c r="C62" s="29">
        <v>45883.4375</v>
      </c>
      <c r="D62" s="29">
        <v>45883.45833333333</v>
      </c>
      <c r="E62" s="30">
        <v>0.5</v>
      </c>
      <c r="F62" s="2"/>
      <c r="G62" s="2"/>
      <c r="H62" s="3" t="s">
        <v>7146</v>
      </c>
      <c r="I62" s="3" t="s">
        <v>7147</v>
      </c>
      <c r="J62" s="3" t="s">
        <v>7156</v>
      </c>
      <c r="K62" s="3" t="s">
        <v>7149</v>
      </c>
      <c r="L62" s="19">
        <v>3.0</v>
      </c>
      <c r="M62" s="3" t="s">
        <v>7229</v>
      </c>
      <c r="N62" s="3" t="s">
        <v>7230</v>
      </c>
      <c r="O62" s="3" t="s">
        <v>7231</v>
      </c>
      <c r="P62" s="19">
        <v>2.0</v>
      </c>
      <c r="Q62" s="19">
        <v>1.0</v>
      </c>
      <c r="R62" s="19">
        <v>0.0</v>
      </c>
      <c r="S62" s="19">
        <v>0.0</v>
      </c>
      <c r="T62" s="3" t="s">
        <v>154</v>
      </c>
      <c r="U62" s="3" t="s">
        <v>329</v>
      </c>
    </row>
    <row r="63">
      <c r="A63" s="3" t="s">
        <v>7162</v>
      </c>
      <c r="B63" s="3" t="s">
        <v>7163</v>
      </c>
      <c r="C63" s="29">
        <v>45883.58333333333</v>
      </c>
      <c r="D63" s="29">
        <v>45883.60416666667</v>
      </c>
      <c r="E63" s="30">
        <v>0.5</v>
      </c>
      <c r="F63" s="2"/>
      <c r="G63" s="2"/>
      <c r="H63" s="3" t="s">
        <v>7146</v>
      </c>
      <c r="I63" s="3" t="s">
        <v>7147</v>
      </c>
      <c r="J63" s="3" t="s">
        <v>7156</v>
      </c>
      <c r="K63" s="3" t="s">
        <v>7149</v>
      </c>
      <c r="L63" s="19">
        <v>6.0</v>
      </c>
      <c r="M63" s="3" t="s">
        <v>7164</v>
      </c>
      <c r="N63" s="3" t="s">
        <v>7164</v>
      </c>
      <c r="O63" s="3" t="s">
        <v>7165</v>
      </c>
      <c r="P63" s="19">
        <v>1.0</v>
      </c>
      <c r="Q63" s="19">
        <v>3.0</v>
      </c>
      <c r="R63" s="19">
        <v>0.0</v>
      </c>
      <c r="S63" s="19">
        <v>2.0</v>
      </c>
      <c r="T63" s="3" t="s">
        <v>151</v>
      </c>
      <c r="U63" s="3" t="s">
        <v>370</v>
      </c>
    </row>
    <row r="64">
      <c r="A64" s="3" t="s">
        <v>7220</v>
      </c>
      <c r="B64" s="3" t="s">
        <v>7221</v>
      </c>
      <c r="C64" s="29">
        <v>45884.41666666667</v>
      </c>
      <c r="D64" s="29">
        <v>45884.4375</v>
      </c>
      <c r="E64" s="30">
        <v>0.5</v>
      </c>
      <c r="F64" s="2"/>
      <c r="G64" s="2"/>
      <c r="H64" s="3" t="s">
        <v>7146</v>
      </c>
      <c r="I64" s="3" t="s">
        <v>7147</v>
      </c>
      <c r="J64" s="3" t="s">
        <v>7156</v>
      </c>
      <c r="K64" s="3" t="s">
        <v>7149</v>
      </c>
      <c r="L64" s="19">
        <v>5.0</v>
      </c>
      <c r="M64" s="3" t="s">
        <v>7222</v>
      </c>
      <c r="N64" s="3" t="s">
        <v>7222</v>
      </c>
      <c r="O64" s="3" t="s">
        <v>7232</v>
      </c>
      <c r="P64" s="19">
        <v>5.0</v>
      </c>
      <c r="Q64" s="19">
        <v>0.0</v>
      </c>
      <c r="R64" s="19">
        <v>0.0</v>
      </c>
      <c r="S64" s="19">
        <v>0.0</v>
      </c>
      <c r="T64" s="3" t="s">
        <v>6608</v>
      </c>
      <c r="U64" s="3" t="s">
        <v>294</v>
      </c>
    </row>
    <row r="65">
      <c r="A65" s="3" t="s">
        <v>7233</v>
      </c>
      <c r="B65" s="3" t="s">
        <v>7234</v>
      </c>
      <c r="C65" s="29">
        <v>45887.58333333333</v>
      </c>
      <c r="D65" s="29">
        <v>45887.60416666667</v>
      </c>
      <c r="E65" s="30">
        <v>0.5</v>
      </c>
      <c r="F65" s="2"/>
      <c r="G65" s="2"/>
      <c r="H65" s="3" t="s">
        <v>7146</v>
      </c>
      <c r="I65" s="3" t="s">
        <v>7147</v>
      </c>
      <c r="J65" s="3" t="s">
        <v>7156</v>
      </c>
      <c r="K65" s="3" t="s">
        <v>7149</v>
      </c>
      <c r="L65" s="19">
        <v>4.0</v>
      </c>
      <c r="M65" s="3" t="s">
        <v>7235</v>
      </c>
      <c r="N65" s="3" t="s">
        <v>7235</v>
      </c>
      <c r="O65" s="3" t="s">
        <v>7236</v>
      </c>
      <c r="P65" s="19">
        <v>1.0</v>
      </c>
      <c r="Q65" s="19">
        <v>0.0</v>
      </c>
      <c r="R65" s="19">
        <v>0.0</v>
      </c>
      <c r="S65" s="19">
        <v>3.0</v>
      </c>
      <c r="T65" s="3" t="s">
        <v>166</v>
      </c>
      <c r="U65" s="3" t="s">
        <v>167</v>
      </c>
    </row>
    <row r="66">
      <c r="A66" s="3" t="s">
        <v>7210</v>
      </c>
      <c r="B66" s="3" t="s">
        <v>7211</v>
      </c>
      <c r="C66" s="29">
        <v>45888.54166666667</v>
      </c>
      <c r="D66" s="29">
        <v>45888.5625</v>
      </c>
      <c r="E66" s="30">
        <v>0.5</v>
      </c>
      <c r="F66" s="2"/>
      <c r="G66" s="3" t="s">
        <v>7212</v>
      </c>
      <c r="H66" s="3" t="s">
        <v>7146</v>
      </c>
      <c r="I66" s="3" t="s">
        <v>7147</v>
      </c>
      <c r="J66" s="3" t="s">
        <v>7156</v>
      </c>
      <c r="K66" s="3" t="s">
        <v>7149</v>
      </c>
      <c r="L66" s="19">
        <v>4.0</v>
      </c>
      <c r="M66" s="3" t="s">
        <v>7213</v>
      </c>
      <c r="N66" s="3" t="s">
        <v>7213</v>
      </c>
      <c r="O66" s="3" t="s">
        <v>7214</v>
      </c>
      <c r="P66" s="19">
        <v>2.0</v>
      </c>
      <c r="Q66" s="19">
        <v>0.0</v>
      </c>
      <c r="R66" s="19">
        <v>0.0</v>
      </c>
      <c r="S66" s="19">
        <v>2.0</v>
      </c>
      <c r="T66" s="3" t="s">
        <v>175</v>
      </c>
      <c r="U66" s="3" t="s">
        <v>422</v>
      </c>
    </row>
    <row r="67">
      <c r="A67" s="3" t="s">
        <v>7237</v>
      </c>
      <c r="B67" s="3" t="s">
        <v>7238</v>
      </c>
      <c r="C67" s="29">
        <v>45890.3125</v>
      </c>
      <c r="D67" s="29">
        <v>45890.35416666667</v>
      </c>
      <c r="E67" s="30">
        <v>1.0</v>
      </c>
      <c r="F67" s="3" t="s">
        <v>7239</v>
      </c>
      <c r="G67" s="2"/>
      <c r="H67" s="3" t="s">
        <v>7146</v>
      </c>
      <c r="I67" s="3" t="s">
        <v>7240</v>
      </c>
      <c r="J67" s="3" t="s">
        <v>7241</v>
      </c>
      <c r="K67" s="3" t="s">
        <v>7149</v>
      </c>
      <c r="L67" s="19">
        <v>2.0</v>
      </c>
      <c r="M67" s="3" t="s">
        <v>7242</v>
      </c>
      <c r="N67" s="3" t="s">
        <v>7243</v>
      </c>
      <c r="O67" s="3" t="s">
        <v>7244</v>
      </c>
      <c r="P67" s="19">
        <v>0.0</v>
      </c>
      <c r="Q67" s="19">
        <v>0.0</v>
      </c>
      <c r="R67" s="19">
        <v>0.0</v>
      </c>
      <c r="S67" s="19">
        <v>2.0</v>
      </c>
      <c r="T67" s="2"/>
      <c r="U67" s="2"/>
    </row>
    <row r="68">
      <c r="A68" s="3" t="s">
        <v>7245</v>
      </c>
      <c r="B68" s="3" t="s">
        <v>7246</v>
      </c>
      <c r="C68" s="29">
        <v>45890.35416666667</v>
      </c>
      <c r="D68" s="29">
        <v>45890.58333333333</v>
      </c>
      <c r="E68" s="30">
        <v>5.5</v>
      </c>
      <c r="F68" s="2"/>
      <c r="G68" s="3" t="s">
        <v>7247</v>
      </c>
      <c r="H68" s="3" t="s">
        <v>7146</v>
      </c>
      <c r="I68" s="3" t="s">
        <v>7240</v>
      </c>
      <c r="J68" s="3" t="s">
        <v>7241</v>
      </c>
      <c r="K68" s="3" t="s">
        <v>7149</v>
      </c>
      <c r="L68" s="19">
        <v>2.0</v>
      </c>
      <c r="M68" s="3" t="s">
        <v>7242</v>
      </c>
      <c r="N68" s="3" t="s">
        <v>7243</v>
      </c>
      <c r="O68" s="3" t="s">
        <v>7244</v>
      </c>
      <c r="P68" s="19">
        <v>0.0</v>
      </c>
      <c r="Q68" s="19">
        <v>0.0</v>
      </c>
      <c r="R68" s="19">
        <v>0.0</v>
      </c>
      <c r="S68" s="19">
        <v>2.0</v>
      </c>
      <c r="T68" s="2"/>
      <c r="U68" s="2"/>
    </row>
    <row r="69">
      <c r="A69" s="3" t="s">
        <v>7153</v>
      </c>
      <c r="B69" s="3" t="s">
        <v>7154</v>
      </c>
      <c r="C69" s="29">
        <v>45895.45833333333</v>
      </c>
      <c r="D69" s="29">
        <v>45895.47916666667</v>
      </c>
      <c r="E69" s="30">
        <v>0.5</v>
      </c>
      <c r="F69" s="2"/>
      <c r="G69" s="3" t="s">
        <v>7155</v>
      </c>
      <c r="H69" s="3" t="s">
        <v>7146</v>
      </c>
      <c r="I69" s="3" t="s">
        <v>7147</v>
      </c>
      <c r="J69" s="3" t="s">
        <v>7156</v>
      </c>
      <c r="K69" s="3" t="s">
        <v>7149</v>
      </c>
      <c r="L69" s="19">
        <v>5.0</v>
      </c>
      <c r="M69" s="3" t="s">
        <v>7157</v>
      </c>
      <c r="N69" s="3" t="s">
        <v>7157</v>
      </c>
      <c r="O69" s="3" t="s">
        <v>7158</v>
      </c>
      <c r="P69" s="19">
        <v>3.0</v>
      </c>
      <c r="Q69" s="19">
        <v>0.0</v>
      </c>
      <c r="R69" s="19">
        <v>1.0</v>
      </c>
      <c r="S69" s="19">
        <v>1.0</v>
      </c>
      <c r="T69" s="3" t="s">
        <v>142</v>
      </c>
      <c r="U69" s="3" t="s">
        <v>143</v>
      </c>
    </row>
    <row r="70">
      <c r="A70" s="3" t="s">
        <v>7248</v>
      </c>
      <c r="B70" s="3" t="s">
        <v>7249</v>
      </c>
      <c r="C70" s="29">
        <v>45896.54166666667</v>
      </c>
      <c r="D70" s="29">
        <v>45896.5625</v>
      </c>
      <c r="E70" s="30">
        <v>0.5</v>
      </c>
      <c r="F70" s="2"/>
      <c r="G70" s="2"/>
      <c r="H70" s="3" t="s">
        <v>7146</v>
      </c>
      <c r="I70" s="3" t="s">
        <v>7147</v>
      </c>
      <c r="J70" s="3" t="s">
        <v>7156</v>
      </c>
      <c r="K70" s="3" t="s">
        <v>7149</v>
      </c>
      <c r="L70" s="19">
        <v>3.0</v>
      </c>
      <c r="M70" s="3" t="s">
        <v>7250</v>
      </c>
      <c r="N70" s="3" t="s">
        <v>7250</v>
      </c>
      <c r="O70" s="3" t="s">
        <v>7251</v>
      </c>
      <c r="P70" s="19">
        <v>3.0</v>
      </c>
      <c r="Q70" s="19">
        <v>0.0</v>
      </c>
      <c r="R70" s="19">
        <v>0.0</v>
      </c>
      <c r="S70" s="19">
        <v>0.0</v>
      </c>
      <c r="T70" s="3" t="s">
        <v>187</v>
      </c>
      <c r="U70" s="3" t="s">
        <v>188</v>
      </c>
    </row>
    <row r="71">
      <c r="A71" s="3" t="s">
        <v>7228</v>
      </c>
      <c r="B71" s="3" t="s">
        <v>7160</v>
      </c>
      <c r="C71" s="29">
        <v>45897.4375</v>
      </c>
      <c r="D71" s="29">
        <v>45897.45833333333</v>
      </c>
      <c r="E71" s="30">
        <v>0.5</v>
      </c>
      <c r="F71" s="2"/>
      <c r="G71" s="2"/>
      <c r="H71" s="3" t="s">
        <v>7146</v>
      </c>
      <c r="I71" s="3" t="s">
        <v>7147</v>
      </c>
      <c r="J71" s="3" t="s">
        <v>7156</v>
      </c>
      <c r="K71" s="3" t="s">
        <v>7149</v>
      </c>
      <c r="L71" s="19">
        <v>3.0</v>
      </c>
      <c r="M71" s="3" t="s">
        <v>7229</v>
      </c>
      <c r="N71" s="3" t="s">
        <v>7230</v>
      </c>
      <c r="O71" s="3" t="s">
        <v>7231</v>
      </c>
      <c r="P71" s="19">
        <v>2.0</v>
      </c>
      <c r="Q71" s="19">
        <v>1.0</v>
      </c>
      <c r="R71" s="19">
        <v>0.0</v>
      </c>
      <c r="S71" s="19">
        <v>0.0</v>
      </c>
      <c r="T71" s="3" t="s">
        <v>154</v>
      </c>
      <c r="U71" s="3" t="s">
        <v>329</v>
      </c>
    </row>
    <row r="72">
      <c r="A72" s="3" t="s">
        <v>7162</v>
      </c>
      <c r="B72" s="3" t="s">
        <v>7163</v>
      </c>
      <c r="C72" s="29">
        <v>45897.58333333333</v>
      </c>
      <c r="D72" s="29">
        <v>45897.60416666667</v>
      </c>
      <c r="E72" s="30">
        <v>0.5</v>
      </c>
      <c r="F72" s="2"/>
      <c r="G72" s="2"/>
      <c r="H72" s="3" t="s">
        <v>7146</v>
      </c>
      <c r="I72" s="3" t="s">
        <v>7147</v>
      </c>
      <c r="J72" s="3" t="s">
        <v>7156</v>
      </c>
      <c r="K72" s="3" t="s">
        <v>7149</v>
      </c>
      <c r="L72" s="19">
        <v>6.0</v>
      </c>
      <c r="M72" s="3" t="s">
        <v>7164</v>
      </c>
      <c r="N72" s="3" t="s">
        <v>7164</v>
      </c>
      <c r="O72" s="3" t="s">
        <v>7165</v>
      </c>
      <c r="P72" s="19">
        <v>1.0</v>
      </c>
      <c r="Q72" s="19">
        <v>3.0</v>
      </c>
      <c r="R72" s="19">
        <v>0.0</v>
      </c>
      <c r="S72" s="19">
        <v>2.0</v>
      </c>
      <c r="T72" s="3" t="s">
        <v>151</v>
      </c>
      <c r="U72" s="3" t="s">
        <v>370</v>
      </c>
    </row>
    <row r="73">
      <c r="A73" s="3" t="s">
        <v>7143</v>
      </c>
      <c r="B73" s="3" t="s">
        <v>7144</v>
      </c>
      <c r="C73" s="29">
        <v>45897.70833333333</v>
      </c>
      <c r="D73" s="29">
        <v>45897.72916666667</v>
      </c>
      <c r="E73" s="30">
        <v>0.5</v>
      </c>
      <c r="F73" s="2"/>
      <c r="G73" s="3" t="s">
        <v>7145</v>
      </c>
      <c r="H73" s="3" t="s">
        <v>7146</v>
      </c>
      <c r="I73" s="3" t="s">
        <v>7147</v>
      </c>
      <c r="J73" s="3" t="s">
        <v>7148</v>
      </c>
      <c r="K73" s="3" t="s">
        <v>7149</v>
      </c>
      <c r="L73" s="19">
        <v>15.0</v>
      </c>
      <c r="M73" s="3" t="s">
        <v>7150</v>
      </c>
      <c r="N73" s="3" t="s">
        <v>7151</v>
      </c>
      <c r="O73" s="3" t="s">
        <v>7252</v>
      </c>
      <c r="P73" s="19">
        <v>4.0</v>
      </c>
      <c r="Q73" s="19">
        <v>0.0</v>
      </c>
      <c r="R73" s="19">
        <v>1.0</v>
      </c>
      <c r="S73" s="19">
        <v>10.0</v>
      </c>
      <c r="T73" s="3" t="s">
        <v>160</v>
      </c>
      <c r="U73" s="3" t="s">
        <v>440</v>
      </c>
    </row>
    <row r="74">
      <c r="A74" s="3" t="s">
        <v>7233</v>
      </c>
      <c r="B74" s="3" t="s">
        <v>7234</v>
      </c>
      <c r="C74" s="29">
        <v>45901.58333333333</v>
      </c>
      <c r="D74" s="29">
        <v>45901.60416666667</v>
      </c>
      <c r="E74" s="30">
        <v>0.5</v>
      </c>
      <c r="F74" s="2"/>
      <c r="G74" s="2"/>
      <c r="H74" s="3" t="s">
        <v>7146</v>
      </c>
      <c r="I74" s="3" t="s">
        <v>7147</v>
      </c>
      <c r="J74" s="3" t="s">
        <v>7156</v>
      </c>
      <c r="K74" s="3" t="s">
        <v>7149</v>
      </c>
      <c r="L74" s="19">
        <v>4.0</v>
      </c>
      <c r="M74" s="3" t="s">
        <v>7235</v>
      </c>
      <c r="N74" s="3" t="s">
        <v>7235</v>
      </c>
      <c r="O74" s="3" t="s">
        <v>7236</v>
      </c>
      <c r="P74" s="19">
        <v>1.0</v>
      </c>
      <c r="Q74" s="19">
        <v>0.0</v>
      </c>
      <c r="R74" s="19">
        <v>0.0</v>
      </c>
      <c r="S74" s="19">
        <v>3.0</v>
      </c>
      <c r="T74" s="3" t="s">
        <v>166</v>
      </c>
      <c r="U74" s="3" t="s">
        <v>167</v>
      </c>
    </row>
    <row r="75">
      <c r="A75" s="3" t="s">
        <v>7182</v>
      </c>
      <c r="B75" s="3" t="s">
        <v>7183</v>
      </c>
      <c r="C75" s="29">
        <v>45902.5</v>
      </c>
      <c r="D75" s="29">
        <v>45902.52083333333</v>
      </c>
      <c r="E75" s="30">
        <v>0.5</v>
      </c>
      <c r="F75" s="2"/>
      <c r="G75" s="3" t="s">
        <v>7184</v>
      </c>
      <c r="H75" s="3" t="s">
        <v>7146</v>
      </c>
      <c r="I75" s="3" t="s">
        <v>7147</v>
      </c>
      <c r="J75" s="3" t="s">
        <v>7156</v>
      </c>
      <c r="K75" s="3" t="s">
        <v>7149</v>
      </c>
      <c r="L75" s="19">
        <v>3.0</v>
      </c>
      <c r="M75" s="3" t="s">
        <v>7185</v>
      </c>
      <c r="N75" s="3" t="s">
        <v>7186</v>
      </c>
      <c r="O75" s="3" t="s">
        <v>7187</v>
      </c>
      <c r="P75" s="19">
        <v>2.0</v>
      </c>
      <c r="Q75" s="19">
        <v>0.0</v>
      </c>
      <c r="R75" s="19">
        <v>1.0</v>
      </c>
      <c r="S75" s="19">
        <v>0.0</v>
      </c>
      <c r="T75" s="3" t="s">
        <v>184</v>
      </c>
      <c r="U75" s="3" t="s">
        <v>478</v>
      </c>
    </row>
    <row r="76">
      <c r="A76" s="3" t="s">
        <v>7172</v>
      </c>
      <c r="B76" s="3" t="s">
        <v>7173</v>
      </c>
      <c r="C76" s="29">
        <v>45902.58333333333</v>
      </c>
      <c r="D76" s="29">
        <v>45902.60416666667</v>
      </c>
      <c r="E76" s="30">
        <v>0.5</v>
      </c>
      <c r="F76" s="2"/>
      <c r="G76" s="2"/>
      <c r="H76" s="3" t="s">
        <v>7146</v>
      </c>
      <c r="I76" s="3" t="s">
        <v>7147</v>
      </c>
      <c r="J76" s="3" t="s">
        <v>7156</v>
      </c>
      <c r="K76" s="3" t="s">
        <v>7149</v>
      </c>
      <c r="L76" s="19">
        <v>9.0</v>
      </c>
      <c r="M76" s="3" t="s">
        <v>7174</v>
      </c>
      <c r="N76" s="3" t="s">
        <v>7175</v>
      </c>
      <c r="O76" s="3" t="s">
        <v>7253</v>
      </c>
      <c r="P76" s="19">
        <v>3.0</v>
      </c>
      <c r="Q76" s="19">
        <v>1.0</v>
      </c>
      <c r="R76" s="19">
        <v>0.0</v>
      </c>
      <c r="S76" s="19">
        <v>5.0</v>
      </c>
      <c r="T76" s="3" t="s">
        <v>110</v>
      </c>
      <c r="U76" s="3" t="s">
        <v>111</v>
      </c>
    </row>
    <row r="77">
      <c r="A77" s="3" t="s">
        <v>7188</v>
      </c>
      <c r="B77" s="3" t="s">
        <v>7189</v>
      </c>
      <c r="C77" s="29">
        <v>45904.39583333333</v>
      </c>
      <c r="D77" s="29">
        <v>45904.41666666667</v>
      </c>
      <c r="E77" s="30">
        <v>0.5</v>
      </c>
      <c r="F77" s="2"/>
      <c r="G77" s="3" t="s">
        <v>7190</v>
      </c>
      <c r="H77" s="3" t="s">
        <v>7146</v>
      </c>
      <c r="I77" s="3" t="s">
        <v>7147</v>
      </c>
      <c r="J77" s="3" t="s">
        <v>7168</v>
      </c>
      <c r="K77" s="3" t="s">
        <v>7149</v>
      </c>
      <c r="L77" s="19">
        <v>6.0</v>
      </c>
      <c r="M77" s="3" t="s">
        <v>7196</v>
      </c>
      <c r="N77" s="3" t="s">
        <v>7196</v>
      </c>
      <c r="O77" s="3" t="s">
        <v>7197</v>
      </c>
      <c r="P77" s="19">
        <v>4.0</v>
      </c>
      <c r="Q77" s="19">
        <v>0.0</v>
      </c>
      <c r="R77" s="19">
        <v>0.0</v>
      </c>
      <c r="S77" s="19">
        <v>2.0</v>
      </c>
      <c r="T77" s="3" t="s">
        <v>178</v>
      </c>
      <c r="U77" s="3" t="s">
        <v>179</v>
      </c>
    </row>
    <row r="78">
      <c r="A78" s="3" t="s">
        <v>7200</v>
      </c>
      <c r="B78" s="3" t="s">
        <v>7178</v>
      </c>
      <c r="C78" s="29">
        <v>45905.39583333333</v>
      </c>
      <c r="D78" s="29">
        <v>45905.41666666667</v>
      </c>
      <c r="E78" s="30">
        <v>0.5</v>
      </c>
      <c r="F78" s="2"/>
      <c r="G78" s="3" t="s">
        <v>7179</v>
      </c>
      <c r="H78" s="3" t="s">
        <v>7146</v>
      </c>
      <c r="I78" s="3" t="s">
        <v>7147</v>
      </c>
      <c r="J78" s="3" t="s">
        <v>7156</v>
      </c>
      <c r="K78" s="3" t="s">
        <v>7149</v>
      </c>
      <c r="L78" s="19">
        <v>5.0</v>
      </c>
      <c r="M78" s="3" t="s">
        <v>7180</v>
      </c>
      <c r="N78" s="3" t="s">
        <v>7180</v>
      </c>
      <c r="O78" s="3" t="s">
        <v>7201</v>
      </c>
      <c r="P78" s="19">
        <v>3.0</v>
      </c>
      <c r="Q78" s="19">
        <v>1.0</v>
      </c>
      <c r="R78" s="19">
        <v>0.0</v>
      </c>
      <c r="S78" s="19">
        <v>1.0</v>
      </c>
      <c r="T78" s="3" t="s">
        <v>169</v>
      </c>
      <c r="U78" s="3" t="s">
        <v>170</v>
      </c>
    </row>
    <row r="79">
      <c r="A79" s="3" t="s">
        <v>7153</v>
      </c>
      <c r="B79" s="3" t="s">
        <v>7154</v>
      </c>
      <c r="C79" s="29">
        <v>45909.45833333333</v>
      </c>
      <c r="D79" s="29">
        <v>45909.47916666667</v>
      </c>
      <c r="E79" s="30">
        <v>0.5</v>
      </c>
      <c r="F79" s="2"/>
      <c r="G79" s="3" t="s">
        <v>7155</v>
      </c>
      <c r="H79" s="3" t="s">
        <v>7146</v>
      </c>
      <c r="I79" s="3" t="s">
        <v>7147</v>
      </c>
      <c r="J79" s="3" t="s">
        <v>7156</v>
      </c>
      <c r="K79" s="3" t="s">
        <v>7149</v>
      </c>
      <c r="L79" s="19">
        <v>5.0</v>
      </c>
      <c r="M79" s="3" t="s">
        <v>7157</v>
      </c>
      <c r="N79" s="3" t="s">
        <v>7157</v>
      </c>
      <c r="O79" s="3" t="s">
        <v>7158</v>
      </c>
      <c r="P79" s="19">
        <v>3.0</v>
      </c>
      <c r="Q79" s="19">
        <v>0.0</v>
      </c>
      <c r="R79" s="19">
        <v>1.0</v>
      </c>
      <c r="S79" s="19">
        <v>1.0</v>
      </c>
      <c r="T79" s="3" t="s">
        <v>142</v>
      </c>
      <c r="U79" s="3" t="s">
        <v>143</v>
      </c>
    </row>
    <row r="80">
      <c r="A80" s="3" t="s">
        <v>7228</v>
      </c>
      <c r="B80" s="3" t="s">
        <v>7160</v>
      </c>
      <c r="C80" s="29">
        <v>45911.4375</v>
      </c>
      <c r="D80" s="29">
        <v>45911.45833333333</v>
      </c>
      <c r="E80" s="30">
        <v>0.5</v>
      </c>
      <c r="F80" s="2"/>
      <c r="G80" s="2"/>
      <c r="H80" s="3" t="s">
        <v>7146</v>
      </c>
      <c r="I80" s="3" t="s">
        <v>7147</v>
      </c>
      <c r="J80" s="3" t="s">
        <v>7156</v>
      </c>
      <c r="K80" s="3" t="s">
        <v>7149</v>
      </c>
      <c r="L80" s="19">
        <v>3.0</v>
      </c>
      <c r="M80" s="3" t="s">
        <v>7229</v>
      </c>
      <c r="N80" s="3" t="s">
        <v>7230</v>
      </c>
      <c r="O80" s="3" t="s">
        <v>7231</v>
      </c>
      <c r="P80" s="19">
        <v>2.0</v>
      </c>
      <c r="Q80" s="19">
        <v>1.0</v>
      </c>
      <c r="R80" s="19">
        <v>0.0</v>
      </c>
      <c r="S80" s="19">
        <v>0.0</v>
      </c>
      <c r="T80" s="3" t="s">
        <v>154</v>
      </c>
      <c r="U80" s="3" t="s">
        <v>329</v>
      </c>
    </row>
    <row r="81">
      <c r="A81" s="3" t="s">
        <v>7162</v>
      </c>
      <c r="B81" s="3" t="s">
        <v>7163</v>
      </c>
      <c r="C81" s="29">
        <v>45911.58333333333</v>
      </c>
      <c r="D81" s="29">
        <v>45911.60416666667</v>
      </c>
      <c r="E81" s="30">
        <v>0.5</v>
      </c>
      <c r="F81" s="2"/>
      <c r="G81" s="2"/>
      <c r="H81" s="3" t="s">
        <v>7146</v>
      </c>
      <c r="I81" s="3" t="s">
        <v>7147</v>
      </c>
      <c r="J81" s="3" t="s">
        <v>7156</v>
      </c>
      <c r="K81" s="3" t="s">
        <v>7149</v>
      </c>
      <c r="L81" s="19">
        <v>6.0</v>
      </c>
      <c r="M81" s="3" t="s">
        <v>7164</v>
      </c>
      <c r="N81" s="3" t="s">
        <v>7164</v>
      </c>
      <c r="O81" s="3" t="s">
        <v>7165</v>
      </c>
      <c r="P81" s="19">
        <v>1.0</v>
      </c>
      <c r="Q81" s="19">
        <v>3.0</v>
      </c>
      <c r="R81" s="19">
        <v>0.0</v>
      </c>
      <c r="S81" s="19">
        <v>2.0</v>
      </c>
      <c r="T81" s="3" t="s">
        <v>151</v>
      </c>
      <c r="U81" s="3" t="s">
        <v>370</v>
      </c>
    </row>
    <row r="82">
      <c r="A82" s="3" t="s">
        <v>7233</v>
      </c>
      <c r="B82" s="3" t="s">
        <v>7234</v>
      </c>
      <c r="C82" s="29">
        <v>45915.58333333333</v>
      </c>
      <c r="D82" s="29">
        <v>45915.60416666667</v>
      </c>
      <c r="E82" s="30">
        <v>0.5</v>
      </c>
      <c r="F82" s="2"/>
      <c r="G82" s="2"/>
      <c r="H82" s="3" t="s">
        <v>7146</v>
      </c>
      <c r="I82" s="3" t="s">
        <v>7147</v>
      </c>
      <c r="J82" s="3" t="s">
        <v>7156</v>
      </c>
      <c r="K82" s="3" t="s">
        <v>7149</v>
      </c>
      <c r="L82" s="19">
        <v>4.0</v>
      </c>
      <c r="M82" s="3" t="s">
        <v>7235</v>
      </c>
      <c r="N82" s="3" t="s">
        <v>7235</v>
      </c>
      <c r="O82" s="3" t="s">
        <v>7236</v>
      </c>
      <c r="P82" s="19">
        <v>1.0</v>
      </c>
      <c r="Q82" s="19">
        <v>0.0</v>
      </c>
      <c r="R82" s="19">
        <v>0.0</v>
      </c>
      <c r="S82" s="19">
        <v>3.0</v>
      </c>
      <c r="T82" s="3" t="s">
        <v>166</v>
      </c>
      <c r="U82" s="3" t="s">
        <v>167</v>
      </c>
    </row>
    <row r="83">
      <c r="A83" s="3" t="s">
        <v>7143</v>
      </c>
      <c r="B83" s="3" t="s">
        <v>7144</v>
      </c>
      <c r="C83" s="29">
        <v>45918.70833333333</v>
      </c>
      <c r="D83" s="29">
        <v>45918.72916666667</v>
      </c>
      <c r="E83" s="30">
        <v>0.5</v>
      </c>
      <c r="F83" s="2"/>
      <c r="G83" s="3" t="s">
        <v>7145</v>
      </c>
      <c r="H83" s="3" t="s">
        <v>7146</v>
      </c>
      <c r="I83" s="3" t="s">
        <v>7147</v>
      </c>
      <c r="J83" s="3" t="s">
        <v>7148</v>
      </c>
      <c r="K83" s="3" t="s">
        <v>7149</v>
      </c>
      <c r="L83" s="19">
        <v>15.0</v>
      </c>
      <c r="M83" s="3" t="s">
        <v>7150</v>
      </c>
      <c r="N83" s="3" t="s">
        <v>7151</v>
      </c>
      <c r="O83" s="3" t="s">
        <v>7254</v>
      </c>
      <c r="P83" s="19">
        <v>9.0</v>
      </c>
      <c r="Q83" s="19">
        <v>1.0</v>
      </c>
      <c r="R83" s="19">
        <v>0.0</v>
      </c>
      <c r="S83" s="19">
        <v>5.0</v>
      </c>
      <c r="T83" s="3" t="s">
        <v>160</v>
      </c>
      <c r="U83" s="3" t="s">
        <v>440</v>
      </c>
    </row>
    <row r="84">
      <c r="A84" s="3" t="s">
        <v>7220</v>
      </c>
      <c r="B84" s="3" t="s">
        <v>7221</v>
      </c>
      <c r="C84" s="29">
        <v>45919.41666666667</v>
      </c>
      <c r="D84" s="29">
        <v>45919.4375</v>
      </c>
      <c r="E84" s="30">
        <v>0.5</v>
      </c>
      <c r="F84" s="2"/>
      <c r="G84" s="2"/>
      <c r="H84" s="3" t="s">
        <v>7146</v>
      </c>
      <c r="I84" s="3" t="s">
        <v>7147</v>
      </c>
      <c r="J84" s="3" t="s">
        <v>7156</v>
      </c>
      <c r="K84" s="3" t="s">
        <v>7149</v>
      </c>
      <c r="L84" s="19">
        <v>5.0</v>
      </c>
      <c r="M84" s="3" t="s">
        <v>7222</v>
      </c>
      <c r="N84" s="3" t="s">
        <v>7222</v>
      </c>
      <c r="O84" s="3" t="s">
        <v>7232</v>
      </c>
      <c r="P84" s="19">
        <v>5.0</v>
      </c>
      <c r="Q84" s="19">
        <v>0.0</v>
      </c>
      <c r="R84" s="19">
        <v>0.0</v>
      </c>
      <c r="S84" s="19">
        <v>0.0</v>
      </c>
      <c r="T84" s="3" t="s">
        <v>6608</v>
      </c>
      <c r="U84" s="3" t="s">
        <v>294</v>
      </c>
    </row>
    <row r="85">
      <c r="A85" s="3" t="s">
        <v>7233</v>
      </c>
      <c r="B85" s="3" t="s">
        <v>7234</v>
      </c>
      <c r="C85" s="29">
        <v>45929.58333333333</v>
      </c>
      <c r="D85" s="29">
        <v>45929.60416666667</v>
      </c>
      <c r="E85" s="30">
        <v>0.5</v>
      </c>
      <c r="F85" s="2"/>
      <c r="G85" s="2"/>
      <c r="H85" s="3" t="s">
        <v>7146</v>
      </c>
      <c r="I85" s="3" t="s">
        <v>7147</v>
      </c>
      <c r="J85" s="3" t="s">
        <v>7156</v>
      </c>
      <c r="K85" s="3" t="s">
        <v>7149</v>
      </c>
      <c r="L85" s="19">
        <v>4.0</v>
      </c>
      <c r="M85" s="3" t="s">
        <v>7235</v>
      </c>
      <c r="N85" s="3" t="s">
        <v>7235</v>
      </c>
      <c r="O85" s="3" t="s">
        <v>7236</v>
      </c>
      <c r="P85" s="19">
        <v>1.0</v>
      </c>
      <c r="Q85" s="19">
        <v>0.0</v>
      </c>
      <c r="R85" s="19">
        <v>0.0</v>
      </c>
      <c r="S85" s="19">
        <v>3.0</v>
      </c>
      <c r="T85" s="3" t="s">
        <v>166</v>
      </c>
      <c r="U85" s="3" t="s">
        <v>167</v>
      </c>
    </row>
    <row r="86">
      <c r="A86" s="3" t="s">
        <v>7188</v>
      </c>
      <c r="B86" s="3" t="s">
        <v>7189</v>
      </c>
      <c r="C86" s="29">
        <v>45932.39583333333</v>
      </c>
      <c r="D86" s="29">
        <v>45932.41666666667</v>
      </c>
      <c r="E86" s="30">
        <v>0.5</v>
      </c>
      <c r="F86" s="2"/>
      <c r="G86" s="3" t="s">
        <v>7190</v>
      </c>
      <c r="H86" s="3" t="s">
        <v>7146</v>
      </c>
      <c r="I86" s="3" t="s">
        <v>7147</v>
      </c>
      <c r="J86" s="3" t="s">
        <v>7168</v>
      </c>
      <c r="K86" s="3" t="s">
        <v>7149</v>
      </c>
      <c r="L86" s="19">
        <v>6.0</v>
      </c>
      <c r="M86" s="3" t="s">
        <v>7196</v>
      </c>
      <c r="N86" s="3" t="s">
        <v>7196</v>
      </c>
      <c r="O86" s="3" t="s">
        <v>7197</v>
      </c>
      <c r="P86" s="19">
        <v>4.0</v>
      </c>
      <c r="Q86" s="19">
        <v>0.0</v>
      </c>
      <c r="R86" s="19">
        <v>0.0</v>
      </c>
      <c r="S86" s="19">
        <v>2.0</v>
      </c>
      <c r="T86" s="3" t="s">
        <v>178</v>
      </c>
      <c r="U86" s="3" t="s">
        <v>179</v>
      </c>
    </row>
    <row r="87">
      <c r="A87" s="3" t="s">
        <v>7200</v>
      </c>
      <c r="B87" s="3" t="s">
        <v>7178</v>
      </c>
      <c r="C87" s="29">
        <v>45933.39583333333</v>
      </c>
      <c r="D87" s="29">
        <v>45933.41666666667</v>
      </c>
      <c r="E87" s="30">
        <v>0.5</v>
      </c>
      <c r="F87" s="2"/>
      <c r="G87" s="3" t="s">
        <v>7179</v>
      </c>
      <c r="H87" s="3" t="s">
        <v>7146</v>
      </c>
      <c r="I87" s="3" t="s">
        <v>7147</v>
      </c>
      <c r="J87" s="3" t="s">
        <v>7156</v>
      </c>
      <c r="K87" s="3" t="s">
        <v>7149</v>
      </c>
      <c r="L87" s="19">
        <v>5.0</v>
      </c>
      <c r="M87" s="3" t="s">
        <v>7180</v>
      </c>
      <c r="N87" s="3" t="s">
        <v>7180</v>
      </c>
      <c r="O87" s="3" t="s">
        <v>7201</v>
      </c>
      <c r="P87" s="19">
        <v>3.0</v>
      </c>
      <c r="Q87" s="19">
        <v>1.0</v>
      </c>
      <c r="R87" s="19">
        <v>0.0</v>
      </c>
      <c r="S87" s="19">
        <v>1.0</v>
      </c>
      <c r="T87" s="3" t="s">
        <v>169</v>
      </c>
      <c r="U87" s="3" t="s">
        <v>170</v>
      </c>
    </row>
    <row r="88">
      <c r="A88" s="3" t="s">
        <v>7255</v>
      </c>
      <c r="B88" s="3" t="s">
        <v>7256</v>
      </c>
      <c r="C88" s="29">
        <v>45936.60416666667</v>
      </c>
      <c r="D88" s="29">
        <v>45936.625</v>
      </c>
      <c r="E88" s="30">
        <v>0.5</v>
      </c>
      <c r="F88" s="2"/>
      <c r="G88" s="2"/>
      <c r="H88" s="3" t="s">
        <v>7146</v>
      </c>
      <c r="I88" s="3" t="s">
        <v>7147</v>
      </c>
      <c r="J88" s="3" t="s">
        <v>7156</v>
      </c>
      <c r="K88" s="3" t="s">
        <v>7149</v>
      </c>
      <c r="L88" s="19">
        <v>3.0</v>
      </c>
      <c r="M88" s="3" t="s">
        <v>7257</v>
      </c>
      <c r="N88" s="3" t="s">
        <v>7257</v>
      </c>
      <c r="O88" s="3" t="s">
        <v>7258</v>
      </c>
      <c r="P88" s="19">
        <v>2.0</v>
      </c>
      <c r="Q88" s="19">
        <v>0.0</v>
      </c>
      <c r="R88" s="19">
        <v>0.0</v>
      </c>
      <c r="S88" s="19">
        <v>1.0</v>
      </c>
      <c r="T88" s="3" t="s">
        <v>202</v>
      </c>
      <c r="U88" s="3" t="s">
        <v>203</v>
      </c>
    </row>
    <row r="89">
      <c r="A89" s="3" t="s">
        <v>7153</v>
      </c>
      <c r="B89" s="3" t="s">
        <v>7154</v>
      </c>
      <c r="C89" s="29">
        <v>45937.45833333333</v>
      </c>
      <c r="D89" s="29">
        <v>45937.47916666667</v>
      </c>
      <c r="E89" s="30">
        <v>0.5</v>
      </c>
      <c r="F89" s="2"/>
      <c r="G89" s="3" t="s">
        <v>7155</v>
      </c>
      <c r="H89" s="3" t="s">
        <v>7146</v>
      </c>
      <c r="I89" s="3" t="s">
        <v>7147</v>
      </c>
      <c r="J89" s="3" t="s">
        <v>7156</v>
      </c>
      <c r="K89" s="3" t="s">
        <v>7149</v>
      </c>
      <c r="L89" s="19">
        <v>5.0</v>
      </c>
      <c r="M89" s="3" t="s">
        <v>7157</v>
      </c>
      <c r="N89" s="3" t="s">
        <v>7157</v>
      </c>
      <c r="O89" s="3" t="s">
        <v>7158</v>
      </c>
      <c r="P89" s="19">
        <v>3.0</v>
      </c>
      <c r="Q89" s="19">
        <v>0.0</v>
      </c>
      <c r="R89" s="19">
        <v>1.0</v>
      </c>
      <c r="S89" s="19">
        <v>1.0</v>
      </c>
      <c r="T89" s="3" t="s">
        <v>142</v>
      </c>
      <c r="U89" s="3" t="s">
        <v>143</v>
      </c>
    </row>
    <row r="90">
      <c r="A90" s="3" t="s">
        <v>7182</v>
      </c>
      <c r="B90" s="3" t="s">
        <v>7183</v>
      </c>
      <c r="C90" s="29">
        <v>45937.5</v>
      </c>
      <c r="D90" s="29">
        <v>45937.52083333333</v>
      </c>
      <c r="E90" s="30">
        <v>0.5</v>
      </c>
      <c r="F90" s="2"/>
      <c r="G90" s="3" t="s">
        <v>7184</v>
      </c>
      <c r="H90" s="3" t="s">
        <v>7146</v>
      </c>
      <c r="I90" s="3" t="s">
        <v>7147</v>
      </c>
      <c r="J90" s="3" t="s">
        <v>7156</v>
      </c>
      <c r="K90" s="3" t="s">
        <v>7149</v>
      </c>
      <c r="L90" s="19">
        <v>3.0</v>
      </c>
      <c r="M90" s="3" t="s">
        <v>7185</v>
      </c>
      <c r="N90" s="3" t="s">
        <v>7186</v>
      </c>
      <c r="O90" s="3" t="s">
        <v>7187</v>
      </c>
      <c r="P90" s="19">
        <v>2.0</v>
      </c>
      <c r="Q90" s="19">
        <v>0.0</v>
      </c>
      <c r="R90" s="19">
        <v>1.0</v>
      </c>
      <c r="S90" s="19">
        <v>0.0</v>
      </c>
      <c r="T90" s="3" t="s">
        <v>184</v>
      </c>
      <c r="U90" s="3" t="s">
        <v>478</v>
      </c>
    </row>
    <row r="91">
      <c r="A91" s="3" t="s">
        <v>7172</v>
      </c>
      <c r="B91" s="3" t="s">
        <v>7173</v>
      </c>
      <c r="C91" s="29">
        <v>45937.58333333333</v>
      </c>
      <c r="D91" s="29">
        <v>45937.60416666667</v>
      </c>
      <c r="E91" s="30">
        <v>0.5</v>
      </c>
      <c r="F91" s="2"/>
      <c r="G91" s="2"/>
      <c r="H91" s="3" t="s">
        <v>7146</v>
      </c>
      <c r="I91" s="3" t="s">
        <v>7147</v>
      </c>
      <c r="J91" s="3" t="s">
        <v>7156</v>
      </c>
      <c r="K91" s="3" t="s">
        <v>7149</v>
      </c>
      <c r="L91" s="19">
        <v>9.0</v>
      </c>
      <c r="M91" s="3" t="s">
        <v>7174</v>
      </c>
      <c r="N91" s="3" t="s">
        <v>7175</v>
      </c>
      <c r="O91" s="3" t="s">
        <v>7259</v>
      </c>
      <c r="P91" s="19">
        <v>2.0</v>
      </c>
      <c r="Q91" s="19">
        <v>2.0</v>
      </c>
      <c r="R91" s="19">
        <v>0.0</v>
      </c>
      <c r="S91" s="19">
        <v>5.0</v>
      </c>
      <c r="T91" s="3" t="s">
        <v>110</v>
      </c>
      <c r="U91" s="3" t="s">
        <v>111</v>
      </c>
    </row>
    <row r="92">
      <c r="A92" s="3" t="s">
        <v>7248</v>
      </c>
      <c r="B92" s="3" t="s">
        <v>7249</v>
      </c>
      <c r="C92" s="29">
        <v>45938.54166666667</v>
      </c>
      <c r="D92" s="29">
        <v>45938.5625</v>
      </c>
      <c r="E92" s="30">
        <v>0.5</v>
      </c>
      <c r="F92" s="2"/>
      <c r="G92" s="2"/>
      <c r="H92" s="3" t="s">
        <v>7146</v>
      </c>
      <c r="I92" s="3" t="s">
        <v>7147</v>
      </c>
      <c r="J92" s="3" t="s">
        <v>7156</v>
      </c>
      <c r="K92" s="3" t="s">
        <v>7149</v>
      </c>
      <c r="L92" s="19">
        <v>3.0</v>
      </c>
      <c r="M92" s="3" t="s">
        <v>7250</v>
      </c>
      <c r="N92" s="3" t="s">
        <v>7250</v>
      </c>
      <c r="O92" s="3" t="s">
        <v>7251</v>
      </c>
      <c r="P92" s="19">
        <v>3.0</v>
      </c>
      <c r="Q92" s="19">
        <v>0.0</v>
      </c>
      <c r="R92" s="19">
        <v>0.0</v>
      </c>
      <c r="S92" s="19">
        <v>0.0</v>
      </c>
      <c r="T92" s="3" t="s">
        <v>187</v>
      </c>
      <c r="U92" s="3" t="s">
        <v>188</v>
      </c>
    </row>
    <row r="93">
      <c r="A93" s="3" t="s">
        <v>7162</v>
      </c>
      <c r="B93" s="3" t="s">
        <v>7163</v>
      </c>
      <c r="C93" s="29">
        <v>45939.58333333333</v>
      </c>
      <c r="D93" s="29">
        <v>45939.60416666667</v>
      </c>
      <c r="E93" s="30">
        <v>0.5</v>
      </c>
      <c r="F93" s="2"/>
      <c r="G93" s="2"/>
      <c r="H93" s="3" t="s">
        <v>7146</v>
      </c>
      <c r="I93" s="3" t="s">
        <v>7147</v>
      </c>
      <c r="J93" s="3" t="s">
        <v>7156</v>
      </c>
      <c r="K93" s="3" t="s">
        <v>7149</v>
      </c>
      <c r="L93" s="19">
        <v>6.0</v>
      </c>
      <c r="M93" s="3" t="s">
        <v>7164</v>
      </c>
      <c r="N93" s="3" t="s">
        <v>7164</v>
      </c>
      <c r="O93" s="3" t="s">
        <v>7165</v>
      </c>
      <c r="P93" s="19">
        <v>1.0</v>
      </c>
      <c r="Q93" s="19">
        <v>3.0</v>
      </c>
      <c r="R93" s="19">
        <v>0.0</v>
      </c>
      <c r="S93" s="19">
        <v>2.0</v>
      </c>
      <c r="T93" s="3" t="s">
        <v>151</v>
      </c>
      <c r="U93" s="3" t="s">
        <v>370</v>
      </c>
    </row>
    <row r="94">
      <c r="A94" s="3" t="s">
        <v>7233</v>
      </c>
      <c r="B94" s="3" t="s">
        <v>7234</v>
      </c>
      <c r="C94" s="29">
        <v>45943.58333333333</v>
      </c>
      <c r="D94" s="29">
        <v>45943.60416666667</v>
      </c>
      <c r="E94" s="30">
        <v>0.5</v>
      </c>
      <c r="F94" s="2"/>
      <c r="G94" s="2"/>
      <c r="H94" s="3" t="s">
        <v>7146</v>
      </c>
      <c r="I94" s="3" t="s">
        <v>7147</v>
      </c>
      <c r="J94" s="3" t="s">
        <v>7156</v>
      </c>
      <c r="K94" s="3" t="s">
        <v>7149</v>
      </c>
      <c r="L94" s="19">
        <v>4.0</v>
      </c>
      <c r="M94" s="3" t="s">
        <v>7235</v>
      </c>
      <c r="N94" s="3" t="s">
        <v>7235</v>
      </c>
      <c r="O94" s="3" t="s">
        <v>7236</v>
      </c>
      <c r="P94" s="19">
        <v>1.0</v>
      </c>
      <c r="Q94" s="19">
        <v>0.0</v>
      </c>
      <c r="R94" s="19">
        <v>0.0</v>
      </c>
      <c r="S94" s="19">
        <v>3.0</v>
      </c>
      <c r="T94" s="3" t="s">
        <v>166</v>
      </c>
      <c r="U94" s="3" t="s">
        <v>167</v>
      </c>
    </row>
    <row r="95">
      <c r="A95" s="3" t="s">
        <v>7210</v>
      </c>
      <c r="B95" s="3" t="s">
        <v>7211</v>
      </c>
      <c r="C95" s="29">
        <v>45944.54166666667</v>
      </c>
      <c r="D95" s="29">
        <v>45944.5625</v>
      </c>
      <c r="E95" s="30">
        <v>0.5</v>
      </c>
      <c r="F95" s="2"/>
      <c r="G95" s="3" t="s">
        <v>7212</v>
      </c>
      <c r="H95" s="3" t="s">
        <v>7146</v>
      </c>
      <c r="I95" s="3" t="s">
        <v>7147</v>
      </c>
      <c r="J95" s="3" t="s">
        <v>7156</v>
      </c>
      <c r="K95" s="3" t="s">
        <v>7149</v>
      </c>
      <c r="L95" s="19">
        <v>4.0</v>
      </c>
      <c r="M95" s="3" t="s">
        <v>7213</v>
      </c>
      <c r="N95" s="3" t="s">
        <v>7213</v>
      </c>
      <c r="O95" s="3" t="s">
        <v>7260</v>
      </c>
      <c r="P95" s="19">
        <v>2.0</v>
      </c>
      <c r="Q95" s="19">
        <v>1.0</v>
      </c>
      <c r="R95" s="19">
        <v>1.0</v>
      </c>
      <c r="S95" s="19">
        <v>0.0</v>
      </c>
      <c r="T95" s="3" t="s">
        <v>175</v>
      </c>
      <c r="U95" s="3" t="s">
        <v>422</v>
      </c>
    </row>
    <row r="96">
      <c r="A96" s="3" t="s">
        <v>7261</v>
      </c>
      <c r="B96" s="3" t="s">
        <v>7262</v>
      </c>
      <c r="C96" s="29">
        <v>45946.47916666667</v>
      </c>
      <c r="D96" s="29">
        <v>45946.5</v>
      </c>
      <c r="E96" s="30">
        <v>0.5</v>
      </c>
      <c r="F96" s="2"/>
      <c r="G96" s="2"/>
      <c r="H96" s="3" t="s">
        <v>7146</v>
      </c>
      <c r="I96" s="3" t="s">
        <v>7147</v>
      </c>
      <c r="J96" s="3" t="s">
        <v>7156</v>
      </c>
      <c r="K96" s="3" t="s">
        <v>7149</v>
      </c>
      <c r="L96" s="19">
        <v>2.0</v>
      </c>
      <c r="M96" s="3" t="s">
        <v>7263</v>
      </c>
      <c r="N96" s="3" t="s">
        <v>7263</v>
      </c>
      <c r="O96" s="3" t="s">
        <v>7218</v>
      </c>
      <c r="P96" s="19">
        <v>2.0</v>
      </c>
      <c r="Q96" s="19">
        <v>0.0</v>
      </c>
      <c r="R96" s="19">
        <v>0.0</v>
      </c>
      <c r="S96" s="19">
        <v>0.0</v>
      </c>
      <c r="T96" s="3" t="s">
        <v>128</v>
      </c>
      <c r="U96" s="3" t="s">
        <v>301</v>
      </c>
    </row>
    <row r="97">
      <c r="A97" s="3" t="s">
        <v>7143</v>
      </c>
      <c r="B97" s="3" t="s">
        <v>7144</v>
      </c>
      <c r="C97" s="29">
        <v>45946.70833333333</v>
      </c>
      <c r="D97" s="29">
        <v>45946.72916666667</v>
      </c>
      <c r="E97" s="30">
        <v>0.5</v>
      </c>
      <c r="F97" s="2"/>
      <c r="G97" s="3" t="s">
        <v>7145</v>
      </c>
      <c r="H97" s="3" t="s">
        <v>7146</v>
      </c>
      <c r="I97" s="3" t="s">
        <v>7147</v>
      </c>
      <c r="J97" s="3" t="s">
        <v>7148</v>
      </c>
      <c r="K97" s="3" t="s">
        <v>7149</v>
      </c>
      <c r="L97" s="19">
        <v>15.0</v>
      </c>
      <c r="M97" s="3" t="s">
        <v>7150</v>
      </c>
      <c r="N97" s="3" t="s">
        <v>7151</v>
      </c>
      <c r="O97" s="3" t="s">
        <v>7208</v>
      </c>
      <c r="P97" s="19">
        <v>9.0</v>
      </c>
      <c r="Q97" s="19">
        <v>0.0</v>
      </c>
      <c r="R97" s="19">
        <v>1.0</v>
      </c>
      <c r="S97" s="19">
        <v>5.0</v>
      </c>
      <c r="T97" s="3" t="s">
        <v>160</v>
      </c>
      <c r="U97" s="3" t="s">
        <v>440</v>
      </c>
    </row>
    <row r="98">
      <c r="A98" s="3" t="s">
        <v>7220</v>
      </c>
      <c r="B98" s="3" t="s">
        <v>7221</v>
      </c>
      <c r="C98" s="29">
        <v>45947.41666666667</v>
      </c>
      <c r="D98" s="29">
        <v>45947.4375</v>
      </c>
      <c r="E98" s="30">
        <v>0.5</v>
      </c>
      <c r="F98" s="2"/>
      <c r="G98" s="2"/>
      <c r="H98" s="3" t="s">
        <v>7146</v>
      </c>
      <c r="I98" s="3" t="s">
        <v>7147</v>
      </c>
      <c r="J98" s="3" t="s">
        <v>7156</v>
      </c>
      <c r="K98" s="3" t="s">
        <v>7149</v>
      </c>
      <c r="L98" s="19">
        <v>5.0</v>
      </c>
      <c r="M98" s="3" t="s">
        <v>7222</v>
      </c>
      <c r="N98" s="3" t="s">
        <v>7222</v>
      </c>
      <c r="O98" s="3" t="s">
        <v>7264</v>
      </c>
      <c r="P98" s="19">
        <v>4.0</v>
      </c>
      <c r="Q98" s="19">
        <v>0.0</v>
      </c>
      <c r="R98" s="19">
        <v>0.0</v>
      </c>
      <c r="S98" s="19">
        <v>1.0</v>
      </c>
      <c r="T98" s="3" t="s">
        <v>6608</v>
      </c>
      <c r="U98" s="3" t="s">
        <v>294</v>
      </c>
    </row>
    <row r="99">
      <c r="A99" s="3" t="s">
        <v>7265</v>
      </c>
      <c r="B99" s="3" t="s">
        <v>7266</v>
      </c>
      <c r="C99" s="29">
        <v>45953.375</v>
      </c>
      <c r="D99" s="29">
        <v>45953.39583333333</v>
      </c>
      <c r="E99" s="30">
        <v>0.5</v>
      </c>
      <c r="F99" s="2"/>
      <c r="G99" s="2"/>
      <c r="H99" s="3" t="s">
        <v>7146</v>
      </c>
      <c r="I99" s="3" t="s">
        <v>7147</v>
      </c>
      <c r="J99" s="3" t="s">
        <v>7156</v>
      </c>
      <c r="K99" s="3" t="s">
        <v>7149</v>
      </c>
      <c r="L99" s="19">
        <v>4.0</v>
      </c>
      <c r="M99" s="3" t="s">
        <v>7267</v>
      </c>
      <c r="N99" s="3" t="s">
        <v>7267</v>
      </c>
      <c r="O99" s="3" t="s">
        <v>7268</v>
      </c>
      <c r="P99" s="19">
        <v>1.0</v>
      </c>
      <c r="Q99" s="19">
        <v>0.0</v>
      </c>
      <c r="R99" s="19">
        <v>0.0</v>
      </c>
      <c r="S99" s="19">
        <v>3.0</v>
      </c>
      <c r="T99" s="3" t="s">
        <v>6752</v>
      </c>
      <c r="U99" s="3" t="s">
        <v>319</v>
      </c>
    </row>
    <row r="100">
      <c r="A100" s="3" t="s">
        <v>7233</v>
      </c>
      <c r="B100" s="3" t="s">
        <v>7234</v>
      </c>
      <c r="C100" s="29">
        <v>45957.58333333333</v>
      </c>
      <c r="D100" s="29">
        <v>45957.60416666667</v>
      </c>
      <c r="E100" s="30">
        <v>0.5</v>
      </c>
      <c r="F100" s="2"/>
      <c r="G100" s="2"/>
      <c r="H100" s="3" t="s">
        <v>7146</v>
      </c>
      <c r="I100" s="3" t="s">
        <v>7147</v>
      </c>
      <c r="J100" s="3" t="s">
        <v>7156</v>
      </c>
      <c r="K100" s="3" t="s">
        <v>7149</v>
      </c>
      <c r="L100" s="19">
        <v>4.0</v>
      </c>
      <c r="M100" s="3" t="s">
        <v>7235</v>
      </c>
      <c r="N100" s="3" t="s">
        <v>7235</v>
      </c>
      <c r="O100" s="3" t="s">
        <v>7269</v>
      </c>
      <c r="P100" s="19">
        <v>1.0</v>
      </c>
      <c r="Q100" s="19">
        <v>1.0</v>
      </c>
      <c r="R100" s="19">
        <v>0.0</v>
      </c>
      <c r="S100" s="19">
        <v>2.0</v>
      </c>
      <c r="T100" s="3" t="s">
        <v>166</v>
      </c>
      <c r="U100" s="3" t="s">
        <v>167</v>
      </c>
    </row>
    <row r="101">
      <c r="A101" s="3" t="s">
        <v>7182</v>
      </c>
      <c r="B101" s="3" t="s">
        <v>7183</v>
      </c>
      <c r="C101" s="29">
        <v>45958.5</v>
      </c>
      <c r="D101" s="29">
        <v>45958.52083333333</v>
      </c>
      <c r="E101" s="30">
        <v>0.5</v>
      </c>
      <c r="F101" s="2"/>
      <c r="G101" s="3" t="s">
        <v>7184</v>
      </c>
      <c r="H101" s="3" t="s">
        <v>7146</v>
      </c>
      <c r="I101" s="3" t="s">
        <v>7147</v>
      </c>
      <c r="J101" s="3" t="s">
        <v>7156</v>
      </c>
      <c r="K101" s="3" t="s">
        <v>7149</v>
      </c>
      <c r="L101" s="19">
        <v>3.0</v>
      </c>
      <c r="M101" s="3" t="s">
        <v>7185</v>
      </c>
      <c r="N101" s="3" t="s">
        <v>7186</v>
      </c>
      <c r="O101" s="3" t="s">
        <v>7187</v>
      </c>
      <c r="P101" s="19">
        <v>2.0</v>
      </c>
      <c r="Q101" s="19">
        <v>0.0</v>
      </c>
      <c r="R101" s="19">
        <v>1.0</v>
      </c>
      <c r="S101" s="19">
        <v>0.0</v>
      </c>
      <c r="T101" s="3" t="s">
        <v>184</v>
      </c>
      <c r="U101" s="3" t="s">
        <v>478</v>
      </c>
    </row>
    <row r="102">
      <c r="A102" s="3" t="s">
        <v>7166</v>
      </c>
      <c r="B102" s="3" t="s">
        <v>7167</v>
      </c>
      <c r="C102" s="29">
        <v>45961.54166666667</v>
      </c>
      <c r="D102" s="29">
        <v>45961.5625</v>
      </c>
      <c r="E102" s="30">
        <v>0.5</v>
      </c>
      <c r="F102" s="2"/>
      <c r="G102" s="2"/>
      <c r="H102" s="3" t="s">
        <v>7146</v>
      </c>
      <c r="I102" s="3" t="s">
        <v>7147</v>
      </c>
      <c r="J102" s="3" t="s">
        <v>7168</v>
      </c>
      <c r="K102" s="3" t="s">
        <v>7149</v>
      </c>
      <c r="L102" s="19">
        <v>4.0</v>
      </c>
      <c r="M102" s="3" t="s">
        <v>7169</v>
      </c>
      <c r="N102" s="3" t="s">
        <v>7170</v>
      </c>
      <c r="O102" s="3" t="s">
        <v>7171</v>
      </c>
      <c r="P102" s="19">
        <v>3.0</v>
      </c>
      <c r="Q102" s="19">
        <v>1.0</v>
      </c>
      <c r="R102" s="19">
        <v>0.0</v>
      </c>
      <c r="S102" s="19">
        <v>0.0</v>
      </c>
      <c r="T102" s="3" t="s">
        <v>205</v>
      </c>
      <c r="U102" s="3" t="s">
        <v>206</v>
      </c>
    </row>
    <row r="103">
      <c r="A103" s="3" t="s">
        <v>7202</v>
      </c>
      <c r="B103" s="3" t="s">
        <v>7203</v>
      </c>
      <c r="C103" s="29">
        <v>45964.5625</v>
      </c>
      <c r="D103" s="29">
        <v>45964.58333333333</v>
      </c>
      <c r="E103" s="30">
        <v>0.5</v>
      </c>
      <c r="F103" s="2"/>
      <c r="G103" s="2"/>
      <c r="H103" s="3" t="s">
        <v>7146</v>
      </c>
      <c r="I103" s="3" t="s">
        <v>7147</v>
      </c>
      <c r="J103" s="3" t="s">
        <v>7156</v>
      </c>
      <c r="K103" s="3" t="s">
        <v>7149</v>
      </c>
      <c r="L103" s="19">
        <v>7.0</v>
      </c>
      <c r="M103" s="3" t="s">
        <v>7204</v>
      </c>
      <c r="N103" s="3" t="s">
        <v>7204</v>
      </c>
      <c r="O103" s="3" t="s">
        <v>7205</v>
      </c>
      <c r="P103" s="19">
        <v>5.0</v>
      </c>
      <c r="Q103" s="19">
        <v>0.0</v>
      </c>
      <c r="R103" s="19">
        <v>0.0</v>
      </c>
      <c r="S103" s="19">
        <v>2.0</v>
      </c>
      <c r="T103" s="3" t="s">
        <v>6785</v>
      </c>
      <c r="U103" s="3" t="s">
        <v>601</v>
      </c>
    </row>
    <row r="104">
      <c r="A104" s="3" t="s">
        <v>7153</v>
      </c>
      <c r="B104" s="3" t="s">
        <v>7154</v>
      </c>
      <c r="C104" s="29">
        <v>45965.45833333333</v>
      </c>
      <c r="D104" s="29">
        <v>45965.47916666667</v>
      </c>
      <c r="E104" s="30">
        <v>0.5</v>
      </c>
      <c r="F104" s="2"/>
      <c r="G104" s="3" t="s">
        <v>7155</v>
      </c>
      <c r="H104" s="3" t="s">
        <v>7146</v>
      </c>
      <c r="I104" s="3" t="s">
        <v>7147</v>
      </c>
      <c r="J104" s="3" t="s">
        <v>7156</v>
      </c>
      <c r="K104" s="3" t="s">
        <v>7149</v>
      </c>
      <c r="L104" s="19">
        <v>5.0</v>
      </c>
      <c r="M104" s="3" t="s">
        <v>7157</v>
      </c>
      <c r="N104" s="3" t="s">
        <v>7157</v>
      </c>
      <c r="O104" s="3" t="s">
        <v>7158</v>
      </c>
      <c r="P104" s="19">
        <v>3.0</v>
      </c>
      <c r="Q104" s="19">
        <v>0.0</v>
      </c>
      <c r="R104" s="19">
        <v>1.0</v>
      </c>
      <c r="S104" s="19">
        <v>1.0</v>
      </c>
      <c r="T104" s="3" t="s">
        <v>142</v>
      </c>
      <c r="U104" s="3" t="s">
        <v>143</v>
      </c>
    </row>
    <row r="105">
      <c r="A105" s="3" t="s">
        <v>7172</v>
      </c>
      <c r="B105" s="3" t="s">
        <v>7173</v>
      </c>
      <c r="C105" s="29">
        <v>45965.58333333333</v>
      </c>
      <c r="D105" s="29">
        <v>45965.60416666667</v>
      </c>
      <c r="E105" s="30">
        <v>0.5</v>
      </c>
      <c r="F105" s="2"/>
      <c r="G105" s="2"/>
      <c r="H105" s="3" t="s">
        <v>7146</v>
      </c>
      <c r="I105" s="3" t="s">
        <v>7147</v>
      </c>
      <c r="J105" s="3" t="s">
        <v>7156</v>
      </c>
      <c r="K105" s="3" t="s">
        <v>7149</v>
      </c>
      <c r="L105" s="19">
        <v>9.0</v>
      </c>
      <c r="M105" s="3" t="s">
        <v>7174</v>
      </c>
      <c r="N105" s="3" t="s">
        <v>7175</v>
      </c>
      <c r="O105" s="3" t="s">
        <v>7253</v>
      </c>
      <c r="P105" s="19">
        <v>3.0</v>
      </c>
      <c r="Q105" s="19">
        <v>1.0</v>
      </c>
      <c r="R105" s="19">
        <v>0.0</v>
      </c>
      <c r="S105" s="19">
        <v>5.0</v>
      </c>
      <c r="T105" s="3" t="s">
        <v>110</v>
      </c>
      <c r="U105" s="3" t="s">
        <v>111</v>
      </c>
    </row>
    <row r="106">
      <c r="A106" s="3" t="s">
        <v>7248</v>
      </c>
      <c r="B106" s="3" t="s">
        <v>7249</v>
      </c>
      <c r="C106" s="29">
        <v>45966.54166666667</v>
      </c>
      <c r="D106" s="29">
        <v>45966.5625</v>
      </c>
      <c r="E106" s="30">
        <v>0.5</v>
      </c>
      <c r="F106" s="2"/>
      <c r="G106" s="2"/>
      <c r="H106" s="3" t="s">
        <v>7146</v>
      </c>
      <c r="I106" s="3" t="s">
        <v>7147</v>
      </c>
      <c r="J106" s="3" t="s">
        <v>7156</v>
      </c>
      <c r="K106" s="3" t="s">
        <v>7149</v>
      </c>
      <c r="L106" s="19">
        <v>3.0</v>
      </c>
      <c r="M106" s="3" t="s">
        <v>7250</v>
      </c>
      <c r="N106" s="3" t="s">
        <v>7250</v>
      </c>
      <c r="O106" s="3" t="s">
        <v>7251</v>
      </c>
      <c r="P106" s="19">
        <v>3.0</v>
      </c>
      <c r="Q106" s="19">
        <v>0.0</v>
      </c>
      <c r="R106" s="19">
        <v>0.0</v>
      </c>
      <c r="S106" s="19">
        <v>0.0</v>
      </c>
      <c r="T106" s="3" t="s">
        <v>187</v>
      </c>
      <c r="U106" s="3" t="s">
        <v>188</v>
      </c>
    </row>
    <row r="107">
      <c r="A107" s="3" t="s">
        <v>7255</v>
      </c>
      <c r="B107" s="3" t="s">
        <v>7256</v>
      </c>
      <c r="C107" s="29">
        <v>45966.5625</v>
      </c>
      <c r="D107" s="29">
        <v>45966.58333333333</v>
      </c>
      <c r="E107" s="30">
        <v>0.5</v>
      </c>
      <c r="F107" s="2"/>
      <c r="G107" s="2"/>
      <c r="H107" s="3" t="s">
        <v>7146</v>
      </c>
      <c r="I107" s="3" t="s">
        <v>7147</v>
      </c>
      <c r="J107" s="3" t="s">
        <v>7156</v>
      </c>
      <c r="K107" s="3" t="s">
        <v>7149</v>
      </c>
      <c r="L107" s="19">
        <v>3.0</v>
      </c>
      <c r="M107" s="3" t="s">
        <v>7257</v>
      </c>
      <c r="N107" s="3" t="s">
        <v>7257</v>
      </c>
      <c r="O107" s="3" t="s">
        <v>7251</v>
      </c>
      <c r="P107" s="19">
        <v>3.0</v>
      </c>
      <c r="Q107" s="19">
        <v>0.0</v>
      </c>
      <c r="R107" s="19">
        <v>0.0</v>
      </c>
      <c r="S107" s="19">
        <v>0.0</v>
      </c>
      <c r="T107" s="3" t="s">
        <v>202</v>
      </c>
      <c r="U107" s="3" t="s">
        <v>203</v>
      </c>
    </row>
    <row r="108">
      <c r="A108" s="3" t="s">
        <v>7228</v>
      </c>
      <c r="B108" s="3" t="s">
        <v>7160</v>
      </c>
      <c r="C108" s="29">
        <v>45967.4375</v>
      </c>
      <c r="D108" s="29">
        <v>45967.45833333333</v>
      </c>
      <c r="E108" s="30">
        <v>0.5</v>
      </c>
      <c r="F108" s="2"/>
      <c r="G108" s="2"/>
      <c r="H108" s="3" t="s">
        <v>7146</v>
      </c>
      <c r="I108" s="3" t="s">
        <v>7147</v>
      </c>
      <c r="J108" s="3" t="s">
        <v>7156</v>
      </c>
      <c r="K108" s="3" t="s">
        <v>7149</v>
      </c>
      <c r="L108" s="19">
        <v>3.0</v>
      </c>
      <c r="M108" s="3" t="s">
        <v>7229</v>
      </c>
      <c r="N108" s="3" t="s">
        <v>7230</v>
      </c>
      <c r="O108" s="3" t="s">
        <v>7231</v>
      </c>
      <c r="P108" s="19">
        <v>2.0</v>
      </c>
      <c r="Q108" s="19">
        <v>1.0</v>
      </c>
      <c r="R108" s="19">
        <v>0.0</v>
      </c>
      <c r="S108" s="19">
        <v>0.0</v>
      </c>
      <c r="T108" s="3" t="s">
        <v>154</v>
      </c>
      <c r="U108" s="3" t="s">
        <v>329</v>
      </c>
    </row>
    <row r="109">
      <c r="A109" s="3" t="s">
        <v>7261</v>
      </c>
      <c r="B109" s="3" t="s">
        <v>7262</v>
      </c>
      <c r="C109" s="29">
        <v>45972.41666666667</v>
      </c>
      <c r="D109" s="29">
        <v>45972.4375</v>
      </c>
      <c r="E109" s="30">
        <v>0.5</v>
      </c>
      <c r="F109" s="2"/>
      <c r="G109" s="2"/>
      <c r="H109" s="3" t="s">
        <v>7146</v>
      </c>
      <c r="I109" s="3" t="s">
        <v>7147</v>
      </c>
      <c r="J109" s="3" t="s">
        <v>7156</v>
      </c>
      <c r="K109" s="3" t="s">
        <v>7149</v>
      </c>
      <c r="L109" s="19">
        <v>2.0</v>
      </c>
      <c r="M109" s="3" t="s">
        <v>7263</v>
      </c>
      <c r="N109" s="3" t="s">
        <v>7263</v>
      </c>
      <c r="O109" s="3" t="s">
        <v>7218</v>
      </c>
      <c r="P109" s="19">
        <v>2.0</v>
      </c>
      <c r="Q109" s="19">
        <v>0.0</v>
      </c>
      <c r="R109" s="19">
        <v>0.0</v>
      </c>
      <c r="S109" s="19">
        <v>0.0</v>
      </c>
      <c r="T109" s="3" t="s">
        <v>128</v>
      </c>
      <c r="U109" s="3" t="s">
        <v>301</v>
      </c>
    </row>
    <row r="110">
      <c r="A110" s="3" t="s">
        <v>7182</v>
      </c>
      <c r="B110" s="3" t="s">
        <v>7183</v>
      </c>
      <c r="C110" s="29">
        <v>45972.5</v>
      </c>
      <c r="D110" s="29">
        <v>45972.52083333333</v>
      </c>
      <c r="E110" s="30">
        <v>0.5</v>
      </c>
      <c r="F110" s="2"/>
      <c r="G110" s="3" t="s">
        <v>7184</v>
      </c>
      <c r="H110" s="3" t="s">
        <v>7146</v>
      </c>
      <c r="I110" s="3" t="s">
        <v>7147</v>
      </c>
      <c r="J110" s="3" t="s">
        <v>7156</v>
      </c>
      <c r="K110" s="3" t="s">
        <v>7149</v>
      </c>
      <c r="L110" s="19">
        <v>3.0</v>
      </c>
      <c r="M110" s="3" t="s">
        <v>7185</v>
      </c>
      <c r="N110" s="3" t="s">
        <v>7186</v>
      </c>
      <c r="O110" s="3" t="s">
        <v>7187</v>
      </c>
      <c r="P110" s="19">
        <v>2.0</v>
      </c>
      <c r="Q110" s="19">
        <v>0.0</v>
      </c>
      <c r="R110" s="19">
        <v>1.0</v>
      </c>
      <c r="S110" s="19">
        <v>0.0</v>
      </c>
      <c r="T110" s="3" t="s">
        <v>184</v>
      </c>
      <c r="U110" s="3" t="s">
        <v>478</v>
      </c>
    </row>
    <row r="111">
      <c r="A111" s="3" t="s">
        <v>7143</v>
      </c>
      <c r="B111" s="3" t="s">
        <v>7144</v>
      </c>
      <c r="C111" s="29">
        <v>45974.70833333333</v>
      </c>
      <c r="D111" s="29">
        <v>45974.72916666667</v>
      </c>
      <c r="E111" s="30">
        <v>0.5</v>
      </c>
      <c r="F111" s="2"/>
      <c r="G111" s="3" t="s">
        <v>7145</v>
      </c>
      <c r="H111" s="3" t="s">
        <v>7146</v>
      </c>
      <c r="I111" s="3" t="s">
        <v>7147</v>
      </c>
      <c r="J111" s="3" t="s">
        <v>7148</v>
      </c>
      <c r="K111" s="3" t="s">
        <v>7149</v>
      </c>
      <c r="L111" s="19">
        <v>15.0</v>
      </c>
      <c r="M111" s="3" t="s">
        <v>7150</v>
      </c>
      <c r="N111" s="3" t="s">
        <v>7151</v>
      </c>
      <c r="O111" s="3" t="s">
        <v>7270</v>
      </c>
      <c r="P111" s="19">
        <v>4.0</v>
      </c>
      <c r="Q111" s="19">
        <v>1.0</v>
      </c>
      <c r="R111" s="19">
        <v>1.0</v>
      </c>
      <c r="S111" s="19">
        <v>9.0</v>
      </c>
      <c r="T111" s="3" t="s">
        <v>160</v>
      </c>
      <c r="U111" s="3" t="s">
        <v>440</v>
      </c>
    </row>
    <row r="112">
      <c r="A112" s="3" t="s">
        <v>7220</v>
      </c>
      <c r="B112" s="3" t="s">
        <v>7221</v>
      </c>
      <c r="C112" s="29">
        <v>45975.41666666667</v>
      </c>
      <c r="D112" s="29">
        <v>45975.4375</v>
      </c>
      <c r="E112" s="30">
        <v>0.5</v>
      </c>
      <c r="F112" s="2"/>
      <c r="G112" s="2"/>
      <c r="H112" s="3" t="s">
        <v>7146</v>
      </c>
      <c r="I112" s="3" t="s">
        <v>7147</v>
      </c>
      <c r="J112" s="3" t="s">
        <v>7156</v>
      </c>
      <c r="K112" s="3" t="s">
        <v>7149</v>
      </c>
      <c r="L112" s="19">
        <v>5.0</v>
      </c>
      <c r="M112" s="3" t="s">
        <v>7222</v>
      </c>
      <c r="N112" s="3" t="s">
        <v>7222</v>
      </c>
      <c r="O112" s="3" t="s">
        <v>7271</v>
      </c>
      <c r="P112" s="19">
        <v>2.0</v>
      </c>
      <c r="Q112" s="19">
        <v>0.0</v>
      </c>
      <c r="R112" s="19">
        <v>0.0</v>
      </c>
      <c r="S112" s="19">
        <v>3.0</v>
      </c>
      <c r="T112" s="3" t="s">
        <v>6608</v>
      </c>
      <c r="U112" s="3" t="s">
        <v>294</v>
      </c>
    </row>
    <row r="113">
      <c r="A113" s="3" t="s">
        <v>7272</v>
      </c>
      <c r="B113" s="3" t="s">
        <v>7273</v>
      </c>
      <c r="C113" s="29">
        <v>45978.47916666667</v>
      </c>
      <c r="D113" s="29">
        <v>45978.54166666667</v>
      </c>
      <c r="E113" s="30">
        <v>1.5</v>
      </c>
      <c r="F113" s="2"/>
      <c r="G113" s="2"/>
      <c r="H113" s="3" t="s">
        <v>7146</v>
      </c>
      <c r="I113" s="3" t="s">
        <v>7240</v>
      </c>
      <c r="J113" s="3" t="s">
        <v>7274</v>
      </c>
      <c r="K113" s="3" t="s">
        <v>7146</v>
      </c>
      <c r="L113" s="19">
        <v>6.0</v>
      </c>
      <c r="M113" s="3" t="s">
        <v>7275</v>
      </c>
      <c r="N113" s="3" t="s">
        <v>7275</v>
      </c>
      <c r="O113" s="3" t="s">
        <v>7276</v>
      </c>
      <c r="P113" s="19">
        <v>3.0</v>
      </c>
      <c r="Q113" s="19">
        <v>1.0</v>
      </c>
      <c r="R113" s="19">
        <v>0.0</v>
      </c>
      <c r="S113" s="19">
        <v>2.0</v>
      </c>
      <c r="T113" s="2"/>
      <c r="U113" s="2"/>
    </row>
    <row r="114">
      <c r="A114" s="3" t="s">
        <v>7277</v>
      </c>
      <c r="B114" s="3" t="s">
        <v>7278</v>
      </c>
      <c r="C114" s="29">
        <v>45978.5625</v>
      </c>
      <c r="D114" s="29">
        <v>45978.58333333333</v>
      </c>
      <c r="E114" s="30">
        <v>0.5</v>
      </c>
      <c r="F114" s="2"/>
      <c r="G114" s="2"/>
      <c r="H114" s="3" t="s">
        <v>7146</v>
      </c>
      <c r="I114" s="3" t="s">
        <v>7240</v>
      </c>
      <c r="J114" s="3" t="s">
        <v>7274</v>
      </c>
      <c r="K114" s="3" t="s">
        <v>7149</v>
      </c>
      <c r="L114" s="19">
        <v>10.0</v>
      </c>
      <c r="M114" s="3" t="s">
        <v>7279</v>
      </c>
      <c r="N114" s="3" t="s">
        <v>7279</v>
      </c>
      <c r="O114" s="3" t="s">
        <v>7280</v>
      </c>
      <c r="P114" s="19">
        <v>5.0</v>
      </c>
      <c r="Q114" s="19">
        <v>0.0</v>
      </c>
      <c r="R114" s="19">
        <v>2.0</v>
      </c>
      <c r="S114" s="19">
        <v>3.0</v>
      </c>
      <c r="T114" s="2"/>
      <c r="U114" s="2"/>
    </row>
    <row r="115">
      <c r="A115" s="3" t="s">
        <v>7281</v>
      </c>
      <c r="B115" s="3" t="s">
        <v>7282</v>
      </c>
      <c r="C115" s="29">
        <v>45978.625</v>
      </c>
      <c r="D115" s="29">
        <v>45978.64583333333</v>
      </c>
      <c r="E115" s="30">
        <v>0.5</v>
      </c>
      <c r="F115" s="2"/>
      <c r="G115" s="2"/>
      <c r="H115" s="3" t="s">
        <v>7146</v>
      </c>
      <c r="I115" s="3" t="s">
        <v>7240</v>
      </c>
      <c r="J115" s="3" t="s">
        <v>7283</v>
      </c>
      <c r="K115" s="3" t="s">
        <v>7146</v>
      </c>
      <c r="L115" s="19">
        <v>2.0</v>
      </c>
      <c r="M115" s="3" t="s">
        <v>7284</v>
      </c>
      <c r="N115" s="3" t="s">
        <v>7284</v>
      </c>
      <c r="O115" s="3" t="s">
        <v>7285</v>
      </c>
      <c r="P115" s="19">
        <v>1.0</v>
      </c>
      <c r="Q115" s="19">
        <v>0.0</v>
      </c>
      <c r="R115" s="19">
        <v>0.0</v>
      </c>
      <c r="S115" s="19">
        <v>1.0</v>
      </c>
      <c r="T115" s="2"/>
      <c r="U115" s="2"/>
    </row>
    <row r="116">
      <c r="A116" s="3" t="s">
        <v>7286</v>
      </c>
      <c r="B116" s="3" t="s">
        <v>7287</v>
      </c>
      <c r="C116" s="29">
        <v>45979.39583333333</v>
      </c>
      <c r="D116" s="29">
        <v>45979.41666666667</v>
      </c>
      <c r="E116" s="30">
        <v>0.5</v>
      </c>
      <c r="F116" s="2"/>
      <c r="G116" s="2"/>
      <c r="H116" s="3" t="s">
        <v>7146</v>
      </c>
      <c r="I116" s="3" t="s">
        <v>7240</v>
      </c>
      <c r="J116" s="3" t="s">
        <v>7274</v>
      </c>
      <c r="K116" s="3" t="s">
        <v>7146</v>
      </c>
      <c r="L116" s="19">
        <v>1.0</v>
      </c>
      <c r="M116" s="3" t="s">
        <v>7288</v>
      </c>
      <c r="N116" s="3" t="s">
        <v>7288</v>
      </c>
      <c r="O116" s="3" t="s">
        <v>7240</v>
      </c>
      <c r="P116" s="19">
        <v>0.0</v>
      </c>
      <c r="Q116" s="19">
        <v>0.0</v>
      </c>
      <c r="R116" s="19">
        <v>0.0</v>
      </c>
      <c r="S116" s="19">
        <v>1.0</v>
      </c>
      <c r="T116" s="2"/>
      <c r="U116" s="2"/>
    </row>
    <row r="117">
      <c r="A117" s="3" t="s">
        <v>7289</v>
      </c>
      <c r="B117" s="3" t="s">
        <v>7290</v>
      </c>
      <c r="C117" s="29">
        <v>45979.54166666667</v>
      </c>
      <c r="D117" s="29">
        <v>45979.5625</v>
      </c>
      <c r="E117" s="30">
        <v>0.5</v>
      </c>
      <c r="F117" s="2"/>
      <c r="G117" s="2"/>
      <c r="H117" s="3" t="s">
        <v>7146</v>
      </c>
      <c r="I117" s="3" t="s">
        <v>7240</v>
      </c>
      <c r="J117" s="3" t="s">
        <v>7274</v>
      </c>
      <c r="K117" s="3" t="s">
        <v>7149</v>
      </c>
      <c r="L117" s="19">
        <v>5.0</v>
      </c>
      <c r="M117" s="3" t="s">
        <v>7291</v>
      </c>
      <c r="N117" s="3" t="s">
        <v>7291</v>
      </c>
      <c r="O117" s="3" t="s">
        <v>7292</v>
      </c>
      <c r="P117" s="19">
        <v>2.0</v>
      </c>
      <c r="Q117" s="19">
        <v>0.0</v>
      </c>
      <c r="R117" s="19">
        <v>0.0</v>
      </c>
      <c r="S117" s="19">
        <v>3.0</v>
      </c>
      <c r="T117" s="2"/>
      <c r="U117" s="2"/>
    </row>
    <row r="118">
      <c r="A118" s="3" t="s">
        <v>7293</v>
      </c>
      <c r="B118" s="3" t="s">
        <v>7294</v>
      </c>
      <c r="C118" s="29">
        <v>45979.625</v>
      </c>
      <c r="D118" s="29">
        <v>45979.66666666667</v>
      </c>
      <c r="E118" s="30">
        <v>1.0</v>
      </c>
      <c r="F118" s="2"/>
      <c r="G118" s="2"/>
      <c r="H118" s="3" t="s">
        <v>7146</v>
      </c>
      <c r="I118" s="3" t="s">
        <v>7240</v>
      </c>
      <c r="J118" s="3" t="s">
        <v>7274</v>
      </c>
      <c r="K118" s="3" t="s">
        <v>7146</v>
      </c>
      <c r="L118" s="19">
        <v>1.0</v>
      </c>
      <c r="M118" s="3" t="s">
        <v>7288</v>
      </c>
      <c r="N118" s="3" t="s">
        <v>7288</v>
      </c>
      <c r="O118" s="3" t="s">
        <v>7240</v>
      </c>
      <c r="P118" s="19">
        <v>0.0</v>
      </c>
      <c r="Q118" s="19">
        <v>0.0</v>
      </c>
      <c r="R118" s="19">
        <v>0.0</v>
      </c>
      <c r="S118" s="19">
        <v>1.0</v>
      </c>
      <c r="T118" s="2"/>
      <c r="U118" s="2"/>
    </row>
    <row r="119">
      <c r="A119" s="3" t="s">
        <v>7248</v>
      </c>
      <c r="B119" s="3" t="s">
        <v>7249</v>
      </c>
      <c r="C119" s="29">
        <v>45980.54166666667</v>
      </c>
      <c r="D119" s="29">
        <v>45980.5625</v>
      </c>
      <c r="E119" s="30">
        <v>0.5</v>
      </c>
      <c r="F119" s="2"/>
      <c r="G119" s="2"/>
      <c r="H119" s="3" t="s">
        <v>7146</v>
      </c>
      <c r="I119" s="3" t="s">
        <v>7147</v>
      </c>
      <c r="J119" s="3" t="s">
        <v>7156</v>
      </c>
      <c r="K119" s="3" t="s">
        <v>7149</v>
      </c>
      <c r="L119" s="19">
        <v>3.0</v>
      </c>
      <c r="M119" s="3" t="s">
        <v>7250</v>
      </c>
      <c r="N119" s="3" t="s">
        <v>7250</v>
      </c>
      <c r="O119" s="3" t="s">
        <v>7251</v>
      </c>
      <c r="P119" s="19">
        <v>3.0</v>
      </c>
      <c r="Q119" s="19">
        <v>0.0</v>
      </c>
      <c r="R119" s="19">
        <v>0.0</v>
      </c>
      <c r="S119" s="19">
        <v>0.0</v>
      </c>
      <c r="T119" s="3" t="s">
        <v>187</v>
      </c>
      <c r="U119" s="3" t="s">
        <v>188</v>
      </c>
    </row>
    <row r="120">
      <c r="A120" s="3" t="s">
        <v>7233</v>
      </c>
      <c r="B120" s="3" t="s">
        <v>7234</v>
      </c>
      <c r="C120" s="29">
        <v>45980.64583333333</v>
      </c>
      <c r="D120" s="29">
        <v>45980.66666666667</v>
      </c>
      <c r="E120" s="30">
        <v>0.5</v>
      </c>
      <c r="F120" s="2"/>
      <c r="G120" s="2"/>
      <c r="H120" s="3" t="s">
        <v>7146</v>
      </c>
      <c r="I120" s="3" t="s">
        <v>7147</v>
      </c>
      <c r="J120" s="3" t="s">
        <v>7156</v>
      </c>
      <c r="K120" s="3" t="s">
        <v>7149</v>
      </c>
      <c r="L120" s="19">
        <v>4.0</v>
      </c>
      <c r="M120" s="3" t="s">
        <v>7235</v>
      </c>
      <c r="N120" s="3" t="s">
        <v>7235</v>
      </c>
      <c r="O120" s="3" t="s">
        <v>7236</v>
      </c>
      <c r="P120" s="19">
        <v>1.0</v>
      </c>
      <c r="Q120" s="19">
        <v>0.0</v>
      </c>
      <c r="R120" s="19">
        <v>0.0</v>
      </c>
      <c r="S120" s="19">
        <v>3.0</v>
      </c>
      <c r="T120" s="3" t="s">
        <v>166</v>
      </c>
      <c r="U120" s="3" t="s">
        <v>167</v>
      </c>
    </row>
    <row r="121">
      <c r="A121" s="3" t="s">
        <v>7295</v>
      </c>
      <c r="B121" s="3" t="s">
        <v>7238</v>
      </c>
      <c r="C121" s="29">
        <v>45981.3125</v>
      </c>
      <c r="D121" s="29">
        <v>45981.35416666667</v>
      </c>
      <c r="E121" s="30">
        <v>1.0</v>
      </c>
      <c r="F121" s="3" t="s">
        <v>7239</v>
      </c>
      <c r="G121" s="2"/>
      <c r="H121" s="3" t="s">
        <v>7146</v>
      </c>
      <c r="I121" s="3" t="s">
        <v>7240</v>
      </c>
      <c r="J121" s="3" t="s">
        <v>7241</v>
      </c>
      <c r="K121" s="3" t="s">
        <v>7149</v>
      </c>
      <c r="L121" s="19">
        <v>2.0</v>
      </c>
      <c r="M121" s="3" t="s">
        <v>7242</v>
      </c>
      <c r="N121" s="3" t="s">
        <v>7243</v>
      </c>
      <c r="O121" s="3" t="s">
        <v>7244</v>
      </c>
      <c r="P121" s="19">
        <v>0.0</v>
      </c>
      <c r="Q121" s="19">
        <v>0.0</v>
      </c>
      <c r="R121" s="19">
        <v>0.0</v>
      </c>
      <c r="S121" s="19">
        <v>2.0</v>
      </c>
      <c r="T121" s="2"/>
      <c r="U121" s="2"/>
    </row>
    <row r="122">
      <c r="A122" s="3" t="s">
        <v>7245</v>
      </c>
      <c r="B122" s="3" t="s">
        <v>7246</v>
      </c>
      <c r="C122" s="29">
        <v>45981.35416666667</v>
      </c>
      <c r="D122" s="29">
        <v>45981.58333333333</v>
      </c>
      <c r="E122" s="30">
        <v>5.5</v>
      </c>
      <c r="F122" s="2"/>
      <c r="G122" s="3" t="s">
        <v>7247</v>
      </c>
      <c r="H122" s="3" t="s">
        <v>7146</v>
      </c>
      <c r="I122" s="3" t="s">
        <v>7240</v>
      </c>
      <c r="J122" s="3" t="s">
        <v>7241</v>
      </c>
      <c r="K122" s="3" t="s">
        <v>7149</v>
      </c>
      <c r="L122" s="19">
        <v>2.0</v>
      </c>
      <c r="M122" s="3" t="s">
        <v>7242</v>
      </c>
      <c r="N122" s="3" t="s">
        <v>7243</v>
      </c>
      <c r="O122" s="3" t="s">
        <v>7244</v>
      </c>
      <c r="P122" s="19">
        <v>0.0</v>
      </c>
      <c r="Q122" s="19">
        <v>0.0</v>
      </c>
      <c r="R122" s="19">
        <v>0.0</v>
      </c>
      <c r="S122" s="19">
        <v>2.0</v>
      </c>
      <c r="T122" s="2"/>
      <c r="U122" s="2"/>
    </row>
    <row r="123">
      <c r="A123" s="3" t="s">
        <v>7296</v>
      </c>
      <c r="B123" s="3" t="s">
        <v>7297</v>
      </c>
      <c r="C123" s="29">
        <v>45981.75</v>
      </c>
      <c r="D123" s="29">
        <v>45981.875</v>
      </c>
      <c r="E123" s="30">
        <v>3.0</v>
      </c>
      <c r="F123" s="3" t="s">
        <v>7298</v>
      </c>
      <c r="G123" s="3" t="s">
        <v>7299</v>
      </c>
      <c r="H123" s="3" t="s">
        <v>7146</v>
      </c>
      <c r="I123" s="3" t="s">
        <v>7240</v>
      </c>
      <c r="J123" s="3" t="s">
        <v>7300</v>
      </c>
      <c r="K123" s="3" t="s">
        <v>7146</v>
      </c>
      <c r="L123" s="19">
        <v>9.0</v>
      </c>
      <c r="M123" s="3" t="s">
        <v>7301</v>
      </c>
      <c r="N123" s="3" t="s">
        <v>7302</v>
      </c>
      <c r="O123" s="3" t="s">
        <v>7303</v>
      </c>
      <c r="P123" s="19">
        <v>4.0</v>
      </c>
      <c r="Q123" s="19">
        <v>0.0</v>
      </c>
      <c r="R123" s="19">
        <v>0.0</v>
      </c>
      <c r="S123" s="19">
        <v>5.0</v>
      </c>
      <c r="T123" s="2"/>
      <c r="U123" s="2"/>
    </row>
    <row r="124">
      <c r="A124" s="3" t="s">
        <v>7304</v>
      </c>
      <c r="B124" s="3" t="s">
        <v>7305</v>
      </c>
      <c r="C124" s="29">
        <v>45982.54166666667</v>
      </c>
      <c r="D124" s="29">
        <v>45982.66666666667</v>
      </c>
      <c r="E124" s="30">
        <v>3.0</v>
      </c>
      <c r="F124" s="2"/>
      <c r="G124" s="3" t="s">
        <v>7306</v>
      </c>
      <c r="H124" s="3" t="s">
        <v>7146</v>
      </c>
      <c r="I124" s="3" t="s">
        <v>7240</v>
      </c>
      <c r="J124" s="3" t="s">
        <v>7274</v>
      </c>
      <c r="K124" s="3" t="s">
        <v>7146</v>
      </c>
      <c r="L124" s="19">
        <v>11.0</v>
      </c>
      <c r="M124" s="3" t="s">
        <v>7307</v>
      </c>
      <c r="N124" s="3" t="s">
        <v>7307</v>
      </c>
      <c r="O124" s="3" t="s">
        <v>7308</v>
      </c>
      <c r="P124" s="19">
        <v>5.0</v>
      </c>
      <c r="Q124" s="19">
        <v>1.0</v>
      </c>
      <c r="R124" s="19">
        <v>2.0</v>
      </c>
      <c r="S124" s="19">
        <v>3.0</v>
      </c>
      <c r="T124" s="2"/>
      <c r="U124" s="2"/>
    </row>
    <row r="125">
      <c r="A125" s="3" t="s">
        <v>7309</v>
      </c>
      <c r="B125" s="3" t="s">
        <v>7310</v>
      </c>
      <c r="C125" s="29">
        <v>45985.45833333333</v>
      </c>
      <c r="D125" s="29">
        <v>45985.47916666667</v>
      </c>
      <c r="E125" s="30">
        <v>0.5</v>
      </c>
      <c r="F125" s="2"/>
      <c r="G125" s="2"/>
      <c r="H125" s="3" t="s">
        <v>7146</v>
      </c>
      <c r="I125" s="3" t="s">
        <v>7240</v>
      </c>
      <c r="J125" s="3" t="s">
        <v>7274</v>
      </c>
      <c r="K125" s="3" t="s">
        <v>7146</v>
      </c>
      <c r="L125" s="19">
        <v>1.0</v>
      </c>
      <c r="M125" s="3" t="s">
        <v>7288</v>
      </c>
      <c r="N125" s="3" t="s">
        <v>7288</v>
      </c>
      <c r="O125" s="3" t="s">
        <v>7240</v>
      </c>
      <c r="P125" s="19">
        <v>0.0</v>
      </c>
      <c r="Q125" s="19">
        <v>0.0</v>
      </c>
      <c r="R125" s="19">
        <v>0.0</v>
      </c>
      <c r="S125" s="19">
        <v>1.0</v>
      </c>
      <c r="T125" s="2"/>
      <c r="U125" s="2"/>
    </row>
    <row r="126">
      <c r="A126" s="3" t="s">
        <v>7311</v>
      </c>
      <c r="B126" s="3" t="s">
        <v>7312</v>
      </c>
      <c r="C126" s="29">
        <v>45986.375</v>
      </c>
      <c r="D126" s="29">
        <v>45986.40972222222</v>
      </c>
      <c r="E126" s="30">
        <v>0.8333333333333334</v>
      </c>
      <c r="F126" s="25" t="s">
        <v>7313</v>
      </c>
      <c r="G126" s="3" t="s">
        <v>7314</v>
      </c>
      <c r="H126" s="3" t="s">
        <v>7146</v>
      </c>
      <c r="I126" s="3" t="s">
        <v>7240</v>
      </c>
      <c r="J126" s="3" t="s">
        <v>7315</v>
      </c>
      <c r="K126" s="3" t="s">
        <v>7146</v>
      </c>
      <c r="L126" s="19">
        <v>5.0</v>
      </c>
      <c r="M126" s="3" t="s">
        <v>7316</v>
      </c>
      <c r="N126" s="3" t="s">
        <v>7316</v>
      </c>
      <c r="O126" s="3" t="s">
        <v>7317</v>
      </c>
      <c r="P126" s="19">
        <v>2.0</v>
      </c>
      <c r="Q126" s="19">
        <v>1.0</v>
      </c>
      <c r="R126" s="19">
        <v>0.0</v>
      </c>
      <c r="S126" s="19">
        <v>2.0</v>
      </c>
      <c r="T126" s="3" t="s">
        <v>6691</v>
      </c>
      <c r="U126" s="3" t="s">
        <v>590</v>
      </c>
    </row>
    <row r="127">
      <c r="A127" s="3" t="s">
        <v>7318</v>
      </c>
      <c r="B127" s="3" t="s">
        <v>7319</v>
      </c>
      <c r="C127" s="29">
        <v>45986.45833333333</v>
      </c>
      <c r="D127" s="29">
        <v>45986.5</v>
      </c>
      <c r="E127" s="30">
        <v>1.0</v>
      </c>
      <c r="F127" s="2"/>
      <c r="G127" s="3" t="s">
        <v>7320</v>
      </c>
      <c r="H127" s="3" t="s">
        <v>7146</v>
      </c>
      <c r="I127" s="3" t="s">
        <v>7161</v>
      </c>
      <c r="J127" s="3" t="s">
        <v>7321</v>
      </c>
      <c r="K127" s="3" t="s">
        <v>7146</v>
      </c>
      <c r="L127" s="19">
        <v>1.0</v>
      </c>
      <c r="M127" s="3" t="s">
        <v>7288</v>
      </c>
      <c r="N127" s="3" t="s">
        <v>7288</v>
      </c>
      <c r="O127" s="3" t="s">
        <v>7161</v>
      </c>
      <c r="P127" s="19">
        <v>1.0</v>
      </c>
      <c r="Q127" s="19">
        <v>0.0</v>
      </c>
      <c r="R127" s="19">
        <v>0.0</v>
      </c>
      <c r="S127" s="19">
        <v>0.0</v>
      </c>
      <c r="T127" s="2"/>
      <c r="U127" s="2"/>
    </row>
    <row r="128">
      <c r="A128" s="3" t="s">
        <v>7182</v>
      </c>
      <c r="B128" s="3" t="s">
        <v>7183</v>
      </c>
      <c r="C128" s="29">
        <v>45986.5</v>
      </c>
      <c r="D128" s="29">
        <v>45986.52083333333</v>
      </c>
      <c r="E128" s="30">
        <v>0.5</v>
      </c>
      <c r="F128" s="2"/>
      <c r="G128" s="3" t="s">
        <v>7184</v>
      </c>
      <c r="H128" s="3" t="s">
        <v>7146</v>
      </c>
      <c r="I128" s="3" t="s">
        <v>7147</v>
      </c>
      <c r="J128" s="3" t="s">
        <v>7156</v>
      </c>
      <c r="K128" s="3" t="s">
        <v>7149</v>
      </c>
      <c r="L128" s="19">
        <v>3.0</v>
      </c>
      <c r="M128" s="3" t="s">
        <v>7185</v>
      </c>
      <c r="N128" s="3" t="s">
        <v>7186</v>
      </c>
      <c r="O128" s="3" t="s">
        <v>7322</v>
      </c>
      <c r="P128" s="19">
        <v>1.0</v>
      </c>
      <c r="Q128" s="19">
        <v>1.0</v>
      </c>
      <c r="R128" s="19">
        <v>1.0</v>
      </c>
      <c r="S128" s="19">
        <v>0.0</v>
      </c>
      <c r="T128" s="3" t="s">
        <v>184</v>
      </c>
      <c r="U128" s="3" t="s">
        <v>478</v>
      </c>
    </row>
    <row r="129">
      <c r="A129" s="3" t="s">
        <v>7323</v>
      </c>
      <c r="B129" s="3" t="s">
        <v>7324</v>
      </c>
      <c r="C129" s="29">
        <v>45986.52083333333</v>
      </c>
      <c r="D129" s="29">
        <v>45986.54166666667</v>
      </c>
      <c r="E129" s="30">
        <v>0.5</v>
      </c>
      <c r="F129" s="2"/>
      <c r="G129" s="2"/>
      <c r="H129" s="3" t="s">
        <v>7146</v>
      </c>
      <c r="I129" s="3" t="s">
        <v>7240</v>
      </c>
      <c r="J129" s="3" t="s">
        <v>7274</v>
      </c>
      <c r="K129" s="3" t="s">
        <v>7146</v>
      </c>
      <c r="L129" s="19">
        <v>3.0</v>
      </c>
      <c r="M129" s="3" t="s">
        <v>7325</v>
      </c>
      <c r="N129" s="3" t="s">
        <v>7325</v>
      </c>
      <c r="O129" s="3" t="s">
        <v>7326</v>
      </c>
      <c r="P129" s="19">
        <v>1.0</v>
      </c>
      <c r="Q129" s="19">
        <v>0.0</v>
      </c>
      <c r="R129" s="19">
        <v>0.0</v>
      </c>
      <c r="S129" s="19">
        <v>2.0</v>
      </c>
      <c r="T129" s="3" t="s">
        <v>101</v>
      </c>
      <c r="U129" s="3" t="s">
        <v>511</v>
      </c>
    </row>
    <row r="130">
      <c r="A130" s="3" t="s">
        <v>7327</v>
      </c>
      <c r="B130" s="3" t="s">
        <v>7328</v>
      </c>
      <c r="C130" s="29">
        <v>45992.47916666667</v>
      </c>
      <c r="D130" s="29">
        <v>45992.5</v>
      </c>
      <c r="E130" s="30">
        <v>0.5</v>
      </c>
      <c r="F130" s="2"/>
      <c r="G130" s="2"/>
      <c r="H130" s="3" t="s">
        <v>7146</v>
      </c>
      <c r="I130" s="3" t="s">
        <v>7240</v>
      </c>
      <c r="J130" s="3" t="s">
        <v>7274</v>
      </c>
      <c r="K130" s="3" t="s">
        <v>7146</v>
      </c>
      <c r="L130" s="19">
        <v>1.0</v>
      </c>
      <c r="M130" s="3" t="s">
        <v>7288</v>
      </c>
      <c r="N130" s="3" t="s">
        <v>7288</v>
      </c>
      <c r="O130" s="3" t="s">
        <v>7240</v>
      </c>
      <c r="P130" s="19">
        <v>0.0</v>
      </c>
      <c r="Q130" s="19">
        <v>0.0</v>
      </c>
      <c r="R130" s="19">
        <v>0.0</v>
      </c>
      <c r="S130" s="19">
        <v>1.0</v>
      </c>
      <c r="T130" s="2"/>
      <c r="U130" s="2"/>
    </row>
    <row r="131">
      <c r="A131" s="3" t="s">
        <v>7329</v>
      </c>
      <c r="B131" s="3" t="s">
        <v>7330</v>
      </c>
      <c r="C131" s="29">
        <v>45993.41666666667</v>
      </c>
      <c r="D131" s="29">
        <v>45993.45833333333</v>
      </c>
      <c r="E131" s="30">
        <v>1.0</v>
      </c>
      <c r="F131" s="2"/>
      <c r="G131" s="3" t="s">
        <v>7331</v>
      </c>
      <c r="H131" s="3" t="s">
        <v>7146</v>
      </c>
      <c r="I131" s="3" t="s">
        <v>7161</v>
      </c>
      <c r="J131" s="3" t="s">
        <v>7321</v>
      </c>
      <c r="K131" s="3" t="s">
        <v>7146</v>
      </c>
      <c r="L131" s="19">
        <v>1.0</v>
      </c>
      <c r="M131" s="3" t="s">
        <v>7288</v>
      </c>
      <c r="N131" s="3" t="s">
        <v>7288</v>
      </c>
      <c r="O131" s="3" t="s">
        <v>7161</v>
      </c>
      <c r="P131" s="19">
        <v>1.0</v>
      </c>
      <c r="Q131" s="19">
        <v>0.0</v>
      </c>
      <c r="R131" s="19">
        <v>0.0</v>
      </c>
      <c r="S131" s="19">
        <v>0.0</v>
      </c>
      <c r="T131" s="2"/>
      <c r="U131" s="2"/>
    </row>
    <row r="132">
      <c r="A132" s="3" t="s">
        <v>7332</v>
      </c>
      <c r="B132" s="3" t="s">
        <v>7333</v>
      </c>
      <c r="C132" s="29">
        <v>45993.46875</v>
      </c>
      <c r="D132" s="29">
        <v>45993.5</v>
      </c>
      <c r="E132" s="30">
        <v>0.75</v>
      </c>
      <c r="F132" s="2"/>
      <c r="G132" s="3" t="s">
        <v>7334</v>
      </c>
      <c r="H132" s="3" t="s">
        <v>7146</v>
      </c>
      <c r="I132" s="3" t="s">
        <v>7240</v>
      </c>
      <c r="J132" s="3" t="s">
        <v>7274</v>
      </c>
      <c r="K132" s="3" t="s">
        <v>7146</v>
      </c>
      <c r="L132" s="19">
        <v>1.0</v>
      </c>
      <c r="M132" s="3" t="s">
        <v>7288</v>
      </c>
      <c r="N132" s="3" t="s">
        <v>7288</v>
      </c>
      <c r="O132" s="3" t="s">
        <v>7240</v>
      </c>
      <c r="P132" s="19">
        <v>0.0</v>
      </c>
      <c r="Q132" s="19">
        <v>0.0</v>
      </c>
      <c r="R132" s="19">
        <v>0.0</v>
      </c>
      <c r="S132" s="19">
        <v>1.0</v>
      </c>
      <c r="T132" s="2"/>
      <c r="U132" s="2"/>
    </row>
    <row r="133">
      <c r="A133" s="3" t="s">
        <v>7335</v>
      </c>
      <c r="B133" s="3" t="s">
        <v>7336</v>
      </c>
      <c r="C133" s="29">
        <v>45993.58333333333</v>
      </c>
      <c r="D133" s="29">
        <v>45993.625</v>
      </c>
      <c r="E133" s="30">
        <v>1.0</v>
      </c>
      <c r="F133" s="2"/>
      <c r="G133" s="3" t="s">
        <v>7337</v>
      </c>
      <c r="H133" s="3" t="s">
        <v>7146</v>
      </c>
      <c r="I133" s="3" t="s">
        <v>7338</v>
      </c>
      <c r="J133" s="3" t="s">
        <v>7288</v>
      </c>
      <c r="K133" s="3" t="s">
        <v>7146</v>
      </c>
      <c r="L133" s="19">
        <v>0.0</v>
      </c>
      <c r="M133" s="2"/>
      <c r="N133" s="2"/>
      <c r="O133" s="2"/>
      <c r="P133" s="19">
        <v>0.0</v>
      </c>
      <c r="Q133" s="19">
        <v>0.0</v>
      </c>
      <c r="R133" s="19">
        <v>0.0</v>
      </c>
      <c r="S133" s="19">
        <v>0.0</v>
      </c>
      <c r="T133" s="2"/>
      <c r="U133" s="2"/>
    </row>
    <row r="134">
      <c r="A134" s="3" t="s">
        <v>7339</v>
      </c>
      <c r="B134" s="3" t="s">
        <v>7340</v>
      </c>
      <c r="C134" s="29">
        <v>45993.625</v>
      </c>
      <c r="D134" s="29">
        <v>45993.64583333333</v>
      </c>
      <c r="E134" s="30">
        <v>0.5</v>
      </c>
      <c r="F134" s="25" t="s">
        <v>7341</v>
      </c>
      <c r="G134" s="3" t="s">
        <v>7342</v>
      </c>
      <c r="H134" s="3" t="s">
        <v>7146</v>
      </c>
      <c r="I134" s="3" t="s">
        <v>7161</v>
      </c>
      <c r="J134" s="3" t="s">
        <v>7315</v>
      </c>
      <c r="K134" s="3" t="s">
        <v>7146</v>
      </c>
      <c r="L134" s="19">
        <v>1.0</v>
      </c>
      <c r="M134" s="3" t="s">
        <v>7288</v>
      </c>
      <c r="N134" s="3" t="s">
        <v>7288</v>
      </c>
      <c r="O134" s="3" t="s">
        <v>7161</v>
      </c>
      <c r="P134" s="19">
        <v>1.0</v>
      </c>
      <c r="Q134" s="19">
        <v>0.0</v>
      </c>
      <c r="R134" s="19">
        <v>0.0</v>
      </c>
      <c r="S134" s="19">
        <v>0.0</v>
      </c>
      <c r="T134" s="2"/>
      <c r="U134" s="2"/>
    </row>
    <row r="135">
      <c r="A135" s="3" t="s">
        <v>7343</v>
      </c>
      <c r="B135" s="3" t="s">
        <v>7344</v>
      </c>
      <c r="C135" s="29">
        <v>45994.54166666667</v>
      </c>
      <c r="D135" s="29">
        <v>45994.58333333333</v>
      </c>
      <c r="E135" s="30">
        <v>1.0</v>
      </c>
      <c r="F135" s="25" t="s">
        <v>7345</v>
      </c>
      <c r="G135" s="3" t="s">
        <v>7346</v>
      </c>
      <c r="H135" s="3" t="s">
        <v>7146</v>
      </c>
      <c r="I135" s="3" t="s">
        <v>7161</v>
      </c>
      <c r="J135" s="3" t="s">
        <v>7321</v>
      </c>
      <c r="K135" s="3" t="s">
        <v>7149</v>
      </c>
      <c r="L135" s="19">
        <v>3.0</v>
      </c>
      <c r="M135" s="3" t="s">
        <v>7347</v>
      </c>
      <c r="N135" s="3" t="s">
        <v>7347</v>
      </c>
      <c r="O135" s="3" t="s">
        <v>7251</v>
      </c>
      <c r="P135" s="19">
        <v>3.0</v>
      </c>
      <c r="Q135" s="19">
        <v>0.0</v>
      </c>
      <c r="R135" s="19">
        <v>0.0</v>
      </c>
      <c r="S135" s="19">
        <v>0.0</v>
      </c>
      <c r="T135" s="2"/>
      <c r="U135" s="2"/>
    </row>
    <row r="136">
      <c r="A136" s="3" t="s">
        <v>7228</v>
      </c>
      <c r="B136" s="3" t="s">
        <v>7160</v>
      </c>
      <c r="C136" s="29">
        <v>45995.4375</v>
      </c>
      <c r="D136" s="29">
        <v>45995.45833333333</v>
      </c>
      <c r="E136" s="30">
        <v>0.5</v>
      </c>
      <c r="F136" s="2"/>
      <c r="G136" s="2"/>
      <c r="H136" s="3" t="s">
        <v>7146</v>
      </c>
      <c r="I136" s="3" t="s">
        <v>7147</v>
      </c>
      <c r="J136" s="3" t="s">
        <v>7156</v>
      </c>
      <c r="K136" s="3" t="s">
        <v>7149</v>
      </c>
      <c r="L136" s="19">
        <v>4.0</v>
      </c>
      <c r="M136" s="3" t="s">
        <v>7348</v>
      </c>
      <c r="N136" s="3" t="s">
        <v>7349</v>
      </c>
      <c r="O136" s="3" t="s">
        <v>7350</v>
      </c>
      <c r="P136" s="19">
        <v>1.0</v>
      </c>
      <c r="Q136" s="19">
        <v>2.0</v>
      </c>
      <c r="R136" s="19">
        <v>0.0</v>
      </c>
      <c r="S136" s="19">
        <v>1.0</v>
      </c>
      <c r="T136" s="3" t="s">
        <v>154</v>
      </c>
      <c r="U136" s="3" t="s">
        <v>329</v>
      </c>
    </row>
    <row r="137">
      <c r="A137" s="3" t="s">
        <v>7351</v>
      </c>
      <c r="B137" s="3" t="s">
        <v>7352</v>
      </c>
      <c r="C137" s="29">
        <v>45995.4375</v>
      </c>
      <c r="D137" s="29">
        <v>45995.45833333333</v>
      </c>
      <c r="E137" s="30">
        <v>0.5</v>
      </c>
      <c r="F137" s="2"/>
      <c r="G137" s="2"/>
      <c r="H137" s="3" t="s">
        <v>7146</v>
      </c>
      <c r="I137" s="3" t="s">
        <v>7338</v>
      </c>
      <c r="J137" s="3" t="s">
        <v>7288</v>
      </c>
      <c r="K137" s="3" t="s">
        <v>7146</v>
      </c>
      <c r="L137" s="19">
        <v>1.0</v>
      </c>
      <c r="M137" s="3" t="s">
        <v>7274</v>
      </c>
      <c r="N137" s="3" t="s">
        <v>7274</v>
      </c>
      <c r="O137" s="3" t="s">
        <v>7161</v>
      </c>
      <c r="P137" s="19">
        <v>1.0</v>
      </c>
      <c r="Q137" s="19">
        <v>0.0</v>
      </c>
      <c r="R137" s="19">
        <v>0.0</v>
      </c>
      <c r="S137" s="19">
        <v>0.0</v>
      </c>
      <c r="T137" s="2"/>
      <c r="U137" s="2"/>
    </row>
    <row r="138">
      <c r="A138" s="3" t="s">
        <v>7353</v>
      </c>
      <c r="B138" s="3" t="s">
        <v>7354</v>
      </c>
      <c r="C138" s="29">
        <v>45995.47916666667</v>
      </c>
      <c r="D138" s="29">
        <v>45995.5</v>
      </c>
      <c r="E138" s="30">
        <v>0.5</v>
      </c>
      <c r="F138" s="3" t="s">
        <v>7355</v>
      </c>
      <c r="G138" s="3" t="s">
        <v>7356</v>
      </c>
      <c r="H138" s="3" t="s">
        <v>7146</v>
      </c>
      <c r="I138" s="3" t="s">
        <v>7338</v>
      </c>
      <c r="J138" s="3" t="s">
        <v>7288</v>
      </c>
      <c r="K138" s="3" t="s">
        <v>7146</v>
      </c>
      <c r="L138" s="19">
        <v>20.0</v>
      </c>
      <c r="M138" s="3" t="s">
        <v>7357</v>
      </c>
      <c r="N138" s="3" t="s">
        <v>7358</v>
      </c>
      <c r="O138" s="3" t="s">
        <v>7359</v>
      </c>
      <c r="P138" s="19">
        <v>1.0</v>
      </c>
      <c r="Q138" s="19">
        <v>0.0</v>
      </c>
      <c r="R138" s="19">
        <v>0.0</v>
      </c>
      <c r="S138" s="19">
        <v>19.0</v>
      </c>
      <c r="T138" s="3" t="s">
        <v>101</v>
      </c>
      <c r="U138" s="3" t="s">
        <v>511</v>
      </c>
    </row>
    <row r="139">
      <c r="A139" s="3" t="s">
        <v>7360</v>
      </c>
      <c r="B139" s="3" t="s">
        <v>7361</v>
      </c>
      <c r="C139" s="29">
        <v>45995.5</v>
      </c>
      <c r="D139" s="29">
        <v>45995.54166666667</v>
      </c>
      <c r="E139" s="30">
        <v>1.0</v>
      </c>
      <c r="F139" s="2"/>
      <c r="G139" s="2"/>
      <c r="H139" s="3" t="s">
        <v>7146</v>
      </c>
      <c r="I139" s="3" t="s">
        <v>7338</v>
      </c>
      <c r="J139" s="3" t="s">
        <v>7288</v>
      </c>
      <c r="K139" s="3" t="s">
        <v>7146</v>
      </c>
      <c r="L139" s="19">
        <v>0.0</v>
      </c>
      <c r="M139" s="2"/>
      <c r="N139" s="2"/>
      <c r="O139" s="2"/>
      <c r="P139" s="19">
        <v>0.0</v>
      </c>
      <c r="Q139" s="19">
        <v>0.0</v>
      </c>
      <c r="R139" s="19">
        <v>0.0</v>
      </c>
      <c r="S139" s="19">
        <v>0.0</v>
      </c>
      <c r="T139" s="2"/>
      <c r="U139" s="2"/>
    </row>
    <row r="140">
      <c r="A140" s="3" t="s">
        <v>7362</v>
      </c>
      <c r="B140" s="3" t="s">
        <v>7363</v>
      </c>
      <c r="C140" s="29">
        <v>45995.54166666667</v>
      </c>
      <c r="D140" s="29">
        <v>45995.5625</v>
      </c>
      <c r="E140" s="30">
        <v>0.5</v>
      </c>
      <c r="F140" s="25" t="s">
        <v>7364</v>
      </c>
      <c r="G140" s="3" t="s">
        <v>7365</v>
      </c>
      <c r="H140" s="3" t="s">
        <v>7146</v>
      </c>
      <c r="I140" s="3" t="s">
        <v>7161</v>
      </c>
      <c r="J140" s="3" t="s">
        <v>7366</v>
      </c>
      <c r="K140" s="3" t="s">
        <v>7146</v>
      </c>
      <c r="L140" s="19">
        <v>3.0</v>
      </c>
      <c r="M140" s="3" t="s">
        <v>7367</v>
      </c>
      <c r="N140" s="3" t="s">
        <v>7367</v>
      </c>
      <c r="O140" s="3" t="s">
        <v>7251</v>
      </c>
      <c r="P140" s="19">
        <v>3.0</v>
      </c>
      <c r="Q140" s="19">
        <v>0.0</v>
      </c>
      <c r="R140" s="19">
        <v>0.0</v>
      </c>
      <c r="S140" s="19">
        <v>0.0</v>
      </c>
      <c r="T140" s="3" t="s">
        <v>101</v>
      </c>
      <c r="U140" s="3" t="s">
        <v>511</v>
      </c>
    </row>
    <row r="141">
      <c r="A141" s="3" t="s">
        <v>7368</v>
      </c>
      <c r="B141" s="3" t="s">
        <v>7369</v>
      </c>
      <c r="C141" s="29">
        <v>45995.54166666667</v>
      </c>
      <c r="D141" s="29">
        <v>45995.5625</v>
      </c>
      <c r="E141" s="30">
        <v>0.5</v>
      </c>
      <c r="F141" s="3" t="s">
        <v>7355</v>
      </c>
      <c r="G141" s="3" t="s">
        <v>7370</v>
      </c>
      <c r="H141" s="3" t="s">
        <v>7146</v>
      </c>
      <c r="I141" s="3" t="s">
        <v>7338</v>
      </c>
      <c r="J141" s="3" t="s">
        <v>7288</v>
      </c>
      <c r="K141" s="3" t="s">
        <v>7146</v>
      </c>
      <c r="L141" s="19">
        <v>2.0</v>
      </c>
      <c r="M141" s="3" t="s">
        <v>7371</v>
      </c>
      <c r="N141" s="3" t="s">
        <v>7371</v>
      </c>
      <c r="O141" s="3" t="s">
        <v>7244</v>
      </c>
      <c r="P141" s="19">
        <v>0.0</v>
      </c>
      <c r="Q141" s="19">
        <v>0.0</v>
      </c>
      <c r="R141" s="19">
        <v>0.0</v>
      </c>
      <c r="S141" s="19">
        <v>2.0</v>
      </c>
      <c r="T141" s="2"/>
      <c r="U141" s="2"/>
    </row>
    <row r="142">
      <c r="A142" s="3" t="s">
        <v>7372</v>
      </c>
      <c r="B142" s="3" t="s">
        <v>7373</v>
      </c>
      <c r="C142" s="29">
        <v>45995.625</v>
      </c>
      <c r="D142" s="29">
        <v>45995.66666666667</v>
      </c>
      <c r="E142" s="30">
        <v>1.0</v>
      </c>
      <c r="F142" s="2"/>
      <c r="G142" s="2"/>
      <c r="H142" s="3" t="s">
        <v>7146</v>
      </c>
      <c r="I142" s="3" t="s">
        <v>7161</v>
      </c>
      <c r="J142" s="3" t="s">
        <v>7374</v>
      </c>
      <c r="K142" s="3" t="s">
        <v>7146</v>
      </c>
      <c r="L142" s="19">
        <v>1.0</v>
      </c>
      <c r="M142" s="3" t="s">
        <v>7288</v>
      </c>
      <c r="N142" s="3" t="s">
        <v>7288</v>
      </c>
      <c r="O142" s="3" t="s">
        <v>7161</v>
      </c>
      <c r="P142" s="19">
        <v>1.0</v>
      </c>
      <c r="Q142" s="19">
        <v>0.0</v>
      </c>
      <c r="R142" s="19">
        <v>0.0</v>
      </c>
      <c r="S142" s="19">
        <v>0.0</v>
      </c>
      <c r="T142" s="2"/>
      <c r="U142" s="2"/>
    </row>
    <row r="143">
      <c r="A143" s="3" t="s">
        <v>7375</v>
      </c>
      <c r="B143" s="3" t="s">
        <v>7376</v>
      </c>
      <c r="C143" s="29">
        <v>45996.39583333333</v>
      </c>
      <c r="D143" s="29">
        <v>45996.41666666667</v>
      </c>
      <c r="E143" s="30">
        <v>0.5</v>
      </c>
      <c r="F143" s="3" t="s">
        <v>7355</v>
      </c>
      <c r="G143" s="3" t="s">
        <v>7377</v>
      </c>
      <c r="H143" s="3" t="s">
        <v>7146</v>
      </c>
      <c r="I143" s="3" t="s">
        <v>7338</v>
      </c>
      <c r="J143" s="3" t="s">
        <v>7288</v>
      </c>
      <c r="K143" s="3" t="s">
        <v>7146</v>
      </c>
      <c r="L143" s="19">
        <v>9.0</v>
      </c>
      <c r="M143" s="3" t="s">
        <v>7378</v>
      </c>
      <c r="N143" s="3" t="s">
        <v>7379</v>
      </c>
      <c r="O143" s="3" t="s">
        <v>7380</v>
      </c>
      <c r="P143" s="19">
        <v>0.0</v>
      </c>
      <c r="Q143" s="19">
        <v>0.0</v>
      </c>
      <c r="R143" s="19">
        <v>0.0</v>
      </c>
      <c r="S143" s="19">
        <v>9.0</v>
      </c>
      <c r="T143" s="3" t="s">
        <v>101</v>
      </c>
      <c r="U143" s="3" t="s">
        <v>511</v>
      </c>
    </row>
    <row r="144">
      <c r="A144" s="3" t="s">
        <v>7233</v>
      </c>
      <c r="B144" s="3" t="s">
        <v>7234</v>
      </c>
      <c r="C144" s="29">
        <v>45999.58333333333</v>
      </c>
      <c r="D144" s="29">
        <v>45999.60416666667</v>
      </c>
      <c r="E144" s="30">
        <v>0.5</v>
      </c>
      <c r="F144" s="2"/>
      <c r="G144" s="2"/>
      <c r="H144" s="3" t="s">
        <v>7146</v>
      </c>
      <c r="I144" s="3" t="s">
        <v>7147</v>
      </c>
      <c r="J144" s="3" t="s">
        <v>7156</v>
      </c>
      <c r="K144" s="3" t="s">
        <v>7149</v>
      </c>
      <c r="L144" s="19">
        <v>4.0</v>
      </c>
      <c r="M144" s="3" t="s">
        <v>7235</v>
      </c>
      <c r="N144" s="3" t="s">
        <v>7235</v>
      </c>
      <c r="O144" s="3" t="s">
        <v>7236</v>
      </c>
      <c r="P144" s="19">
        <v>1.0</v>
      </c>
      <c r="Q144" s="19">
        <v>0.0</v>
      </c>
      <c r="R144" s="19">
        <v>0.0</v>
      </c>
      <c r="S144" s="19">
        <v>3.0</v>
      </c>
      <c r="T144" s="3" t="s">
        <v>166</v>
      </c>
      <c r="U144" s="3" t="s">
        <v>167</v>
      </c>
    </row>
    <row r="145">
      <c r="A145" s="3" t="s">
        <v>7381</v>
      </c>
      <c r="B145" s="3" t="s">
        <v>7382</v>
      </c>
      <c r="C145" s="29">
        <v>46000.39583333333</v>
      </c>
      <c r="D145" s="29">
        <v>46000.41666666667</v>
      </c>
      <c r="E145" s="30">
        <v>0.5</v>
      </c>
      <c r="F145" s="3" t="s">
        <v>7355</v>
      </c>
      <c r="G145" s="3" t="s">
        <v>7383</v>
      </c>
      <c r="H145" s="3" t="s">
        <v>7146</v>
      </c>
      <c r="I145" s="3" t="s">
        <v>7338</v>
      </c>
      <c r="J145" s="3" t="s">
        <v>7288</v>
      </c>
      <c r="K145" s="3" t="s">
        <v>7146</v>
      </c>
      <c r="L145" s="19">
        <v>5.0</v>
      </c>
      <c r="M145" s="3" t="s">
        <v>7384</v>
      </c>
      <c r="N145" s="3" t="s">
        <v>7385</v>
      </c>
      <c r="O145" s="3" t="s">
        <v>7386</v>
      </c>
      <c r="P145" s="19">
        <v>1.0</v>
      </c>
      <c r="Q145" s="19">
        <v>0.0</v>
      </c>
      <c r="R145" s="19">
        <v>0.0</v>
      </c>
      <c r="S145" s="19">
        <v>4.0</v>
      </c>
      <c r="T145" s="3" t="s">
        <v>101</v>
      </c>
      <c r="U145" s="3" t="s">
        <v>511</v>
      </c>
    </row>
    <row r="146">
      <c r="A146" s="3" t="s">
        <v>7182</v>
      </c>
      <c r="B146" s="3" t="s">
        <v>7183</v>
      </c>
      <c r="C146" s="29">
        <v>46000.5</v>
      </c>
      <c r="D146" s="29">
        <v>46000.52083333333</v>
      </c>
      <c r="E146" s="30">
        <v>0.5</v>
      </c>
      <c r="F146" s="2"/>
      <c r="G146" s="3" t="s">
        <v>7184</v>
      </c>
      <c r="H146" s="3" t="s">
        <v>7146</v>
      </c>
      <c r="I146" s="3" t="s">
        <v>7387</v>
      </c>
      <c r="J146" s="3" t="s">
        <v>7156</v>
      </c>
      <c r="K146" s="3" t="s">
        <v>7149</v>
      </c>
      <c r="L146" s="19">
        <v>3.0</v>
      </c>
      <c r="M146" s="3" t="s">
        <v>7185</v>
      </c>
      <c r="N146" s="3" t="s">
        <v>7186</v>
      </c>
      <c r="O146" s="3" t="s">
        <v>7187</v>
      </c>
      <c r="P146" s="19">
        <v>2.0</v>
      </c>
      <c r="Q146" s="19">
        <v>0.0</v>
      </c>
      <c r="R146" s="19">
        <v>1.0</v>
      </c>
      <c r="S146" s="19">
        <v>0.0</v>
      </c>
      <c r="T146" s="3" t="s">
        <v>184</v>
      </c>
      <c r="U146" s="3" t="s">
        <v>478</v>
      </c>
    </row>
    <row r="147">
      <c r="A147" s="3" t="s">
        <v>7388</v>
      </c>
      <c r="B147" s="3" t="s">
        <v>7389</v>
      </c>
      <c r="C147" s="29">
        <v>46000.5</v>
      </c>
      <c r="D147" s="29">
        <v>46000.52083333333</v>
      </c>
      <c r="E147" s="30">
        <v>0.5</v>
      </c>
      <c r="F147" s="2"/>
      <c r="G147" s="2"/>
      <c r="H147" s="3" t="s">
        <v>7146</v>
      </c>
      <c r="I147" s="3" t="s">
        <v>7161</v>
      </c>
      <c r="J147" s="3" t="s">
        <v>7390</v>
      </c>
      <c r="K147" s="3" t="s">
        <v>7146</v>
      </c>
      <c r="L147" s="19">
        <v>3.0</v>
      </c>
      <c r="M147" s="3" t="s">
        <v>7391</v>
      </c>
      <c r="N147" s="3" t="s">
        <v>7391</v>
      </c>
      <c r="O147" s="3" t="s">
        <v>7258</v>
      </c>
      <c r="P147" s="19">
        <v>2.0</v>
      </c>
      <c r="Q147" s="19">
        <v>0.0</v>
      </c>
      <c r="R147" s="19">
        <v>0.0</v>
      </c>
      <c r="S147" s="19">
        <v>1.0</v>
      </c>
      <c r="T147" s="3" t="s">
        <v>107</v>
      </c>
      <c r="U147" s="3" t="s">
        <v>242</v>
      </c>
    </row>
    <row r="148">
      <c r="A148" s="3" t="s">
        <v>7392</v>
      </c>
      <c r="B148" s="3" t="s">
        <v>7393</v>
      </c>
      <c r="C148" s="29">
        <v>46000.5625</v>
      </c>
      <c r="D148" s="29">
        <v>46000.58333333333</v>
      </c>
      <c r="E148" s="30">
        <v>0.5</v>
      </c>
      <c r="F148" s="2"/>
      <c r="G148" s="3" t="s">
        <v>7394</v>
      </c>
      <c r="H148" s="3" t="s">
        <v>7146</v>
      </c>
      <c r="I148" s="3" t="s">
        <v>7161</v>
      </c>
      <c r="J148" s="3" t="s">
        <v>7156</v>
      </c>
      <c r="K148" s="3" t="s">
        <v>7146</v>
      </c>
      <c r="L148" s="19">
        <v>1.0</v>
      </c>
      <c r="M148" s="3" t="s">
        <v>7288</v>
      </c>
      <c r="N148" s="3" t="s">
        <v>7288</v>
      </c>
      <c r="O148" s="3" t="s">
        <v>7161</v>
      </c>
      <c r="P148" s="19">
        <v>1.0</v>
      </c>
      <c r="Q148" s="19">
        <v>0.0</v>
      </c>
      <c r="R148" s="19">
        <v>0.0</v>
      </c>
      <c r="S148" s="19">
        <v>0.0</v>
      </c>
      <c r="T148" s="2"/>
      <c r="U148" s="2"/>
    </row>
    <row r="149">
      <c r="A149" s="3" t="s">
        <v>7172</v>
      </c>
      <c r="B149" s="3" t="s">
        <v>7173</v>
      </c>
      <c r="C149" s="29">
        <v>46000.58333333333</v>
      </c>
      <c r="D149" s="29">
        <v>46000.60416666667</v>
      </c>
      <c r="E149" s="30">
        <v>0.5</v>
      </c>
      <c r="F149" s="2"/>
      <c r="G149" s="2"/>
      <c r="H149" s="3" t="s">
        <v>7146</v>
      </c>
      <c r="I149" s="3" t="s">
        <v>7161</v>
      </c>
      <c r="J149" s="3" t="s">
        <v>7156</v>
      </c>
      <c r="K149" s="3" t="s">
        <v>7149</v>
      </c>
      <c r="L149" s="19">
        <v>9.0</v>
      </c>
      <c r="M149" s="3" t="s">
        <v>7174</v>
      </c>
      <c r="N149" s="3" t="s">
        <v>7175</v>
      </c>
      <c r="O149" s="3" t="s">
        <v>7395</v>
      </c>
      <c r="P149" s="19">
        <v>2.0</v>
      </c>
      <c r="Q149" s="19">
        <v>2.0</v>
      </c>
      <c r="R149" s="19">
        <v>2.0</v>
      </c>
      <c r="S149" s="19">
        <v>3.0</v>
      </c>
      <c r="T149" s="3" t="s">
        <v>110</v>
      </c>
      <c r="U149" s="3" t="s">
        <v>111</v>
      </c>
    </row>
    <row r="150">
      <c r="A150" s="3" t="s">
        <v>7396</v>
      </c>
      <c r="B150" s="3" t="s">
        <v>7397</v>
      </c>
      <c r="C150" s="29">
        <v>46000.64583333333</v>
      </c>
      <c r="D150" s="29">
        <v>46000.66666666667</v>
      </c>
      <c r="E150" s="30">
        <v>0.5</v>
      </c>
      <c r="F150" s="2"/>
      <c r="G150" s="3" t="s">
        <v>7398</v>
      </c>
      <c r="H150" s="3" t="s">
        <v>7146</v>
      </c>
      <c r="I150" s="3" t="s">
        <v>7338</v>
      </c>
      <c r="J150" s="3" t="s">
        <v>7288</v>
      </c>
      <c r="K150" s="3" t="s">
        <v>7146</v>
      </c>
      <c r="L150" s="19">
        <v>0.0</v>
      </c>
      <c r="M150" s="2"/>
      <c r="N150" s="2"/>
      <c r="O150" s="2"/>
      <c r="P150" s="19">
        <v>0.0</v>
      </c>
      <c r="Q150" s="19">
        <v>0.0</v>
      </c>
      <c r="R150" s="19">
        <v>0.0</v>
      </c>
      <c r="S150" s="19">
        <v>0.0</v>
      </c>
      <c r="T150" s="2"/>
      <c r="U150" s="2"/>
    </row>
    <row r="151">
      <c r="A151" s="3" t="s">
        <v>7399</v>
      </c>
      <c r="B151" s="3" t="s">
        <v>7400</v>
      </c>
      <c r="C151" s="29">
        <v>46001.41666666667</v>
      </c>
      <c r="D151" s="29">
        <v>46001.4375</v>
      </c>
      <c r="E151" s="30">
        <v>0.5</v>
      </c>
      <c r="F151" s="2"/>
      <c r="G151" s="3" t="s">
        <v>7401</v>
      </c>
      <c r="H151" s="3" t="s">
        <v>7146</v>
      </c>
      <c r="I151" s="3" t="s">
        <v>7338</v>
      </c>
      <c r="J151" s="3" t="s">
        <v>7288</v>
      </c>
      <c r="K151" s="3" t="s">
        <v>7146</v>
      </c>
      <c r="L151" s="19">
        <v>0.0</v>
      </c>
      <c r="M151" s="2"/>
      <c r="N151" s="2"/>
      <c r="O151" s="2"/>
      <c r="P151" s="19">
        <v>0.0</v>
      </c>
      <c r="Q151" s="19">
        <v>0.0</v>
      </c>
      <c r="R151" s="19">
        <v>0.0</v>
      </c>
      <c r="S151" s="19">
        <v>0.0</v>
      </c>
      <c r="T151" s="2"/>
      <c r="U151" s="2"/>
    </row>
    <row r="152">
      <c r="A152" s="3" t="s">
        <v>7402</v>
      </c>
      <c r="B152" s="3" t="s">
        <v>7403</v>
      </c>
      <c r="C152" s="29">
        <v>46001.5625</v>
      </c>
      <c r="D152" s="29">
        <v>46001.58333333333</v>
      </c>
      <c r="E152" s="30">
        <v>0.5</v>
      </c>
      <c r="F152" s="2"/>
      <c r="G152" s="3" t="s">
        <v>7404</v>
      </c>
      <c r="H152" s="3" t="s">
        <v>7146</v>
      </c>
      <c r="I152" s="3" t="s">
        <v>7161</v>
      </c>
      <c r="J152" s="3" t="s">
        <v>7156</v>
      </c>
      <c r="K152" s="3" t="s">
        <v>7149</v>
      </c>
      <c r="L152" s="19">
        <v>10.0</v>
      </c>
      <c r="M152" s="3" t="s">
        <v>7405</v>
      </c>
      <c r="N152" s="3" t="s">
        <v>7406</v>
      </c>
      <c r="O152" s="3" t="s">
        <v>7407</v>
      </c>
      <c r="P152" s="19">
        <v>5.0</v>
      </c>
      <c r="Q152" s="19">
        <v>0.0</v>
      </c>
      <c r="R152" s="19">
        <v>0.0</v>
      </c>
      <c r="S152" s="19">
        <v>5.0</v>
      </c>
      <c r="T152" s="3" t="s">
        <v>119</v>
      </c>
      <c r="U152" s="3" t="s">
        <v>251</v>
      </c>
    </row>
    <row r="153">
      <c r="A153" s="3" t="s">
        <v>7408</v>
      </c>
      <c r="B153" s="3" t="s">
        <v>7409</v>
      </c>
      <c r="C153" s="29">
        <v>46001.58333333333</v>
      </c>
      <c r="D153" s="29">
        <v>46001.60416666667</v>
      </c>
      <c r="E153" s="30">
        <v>0.5</v>
      </c>
      <c r="F153" s="2"/>
      <c r="G153" s="2"/>
      <c r="H153" s="3" t="s">
        <v>7146</v>
      </c>
      <c r="I153" s="3" t="s">
        <v>7338</v>
      </c>
      <c r="J153" s="3" t="s">
        <v>7288</v>
      </c>
      <c r="K153" s="3" t="s">
        <v>7146</v>
      </c>
      <c r="L153" s="19">
        <v>4.0</v>
      </c>
      <c r="M153" s="3" t="s">
        <v>7410</v>
      </c>
      <c r="N153" s="3" t="s">
        <v>7410</v>
      </c>
      <c r="O153" s="3" t="s">
        <v>7411</v>
      </c>
      <c r="P153" s="19">
        <v>4.0</v>
      </c>
      <c r="Q153" s="19">
        <v>0.0</v>
      </c>
      <c r="R153" s="19">
        <v>0.0</v>
      </c>
      <c r="S153" s="19">
        <v>0.0</v>
      </c>
      <c r="T153" s="3" t="s">
        <v>98</v>
      </c>
      <c r="U153" s="3" t="s">
        <v>99</v>
      </c>
    </row>
    <row r="154">
      <c r="A154" s="3" t="s">
        <v>7412</v>
      </c>
      <c r="B154" s="3" t="s">
        <v>7413</v>
      </c>
      <c r="C154" s="29">
        <v>46001.60416666667</v>
      </c>
      <c r="D154" s="29">
        <v>46001.625</v>
      </c>
      <c r="E154" s="30">
        <v>0.5</v>
      </c>
      <c r="F154" s="2"/>
      <c r="G154" s="3" t="s">
        <v>7414</v>
      </c>
      <c r="H154" s="3" t="s">
        <v>7146</v>
      </c>
      <c r="I154" s="3" t="s">
        <v>7161</v>
      </c>
      <c r="J154" s="3" t="s">
        <v>7156</v>
      </c>
      <c r="K154" s="3" t="s">
        <v>7146</v>
      </c>
      <c r="L154" s="19">
        <v>2.0</v>
      </c>
      <c r="M154" s="3" t="s">
        <v>7415</v>
      </c>
      <c r="N154" s="3" t="s">
        <v>7415</v>
      </c>
      <c r="O154" s="3" t="s">
        <v>7218</v>
      </c>
      <c r="P154" s="19">
        <v>2.0</v>
      </c>
      <c r="Q154" s="19">
        <v>0.0</v>
      </c>
      <c r="R154" s="19">
        <v>0.0</v>
      </c>
      <c r="S154" s="19">
        <v>0.0</v>
      </c>
      <c r="T154" s="3" t="s">
        <v>122</v>
      </c>
      <c r="U154" s="3" t="s">
        <v>123</v>
      </c>
    </row>
    <row r="155">
      <c r="A155" s="3" t="s">
        <v>7416</v>
      </c>
      <c r="B155" s="3" t="s">
        <v>7417</v>
      </c>
      <c r="C155" s="29">
        <v>46002.35416666667</v>
      </c>
      <c r="D155" s="29">
        <v>46002.375</v>
      </c>
      <c r="E155" s="30">
        <v>0.5</v>
      </c>
      <c r="F155" s="2"/>
      <c r="G155" s="2"/>
      <c r="H155" s="3" t="s">
        <v>7146</v>
      </c>
      <c r="I155" s="3" t="s">
        <v>7161</v>
      </c>
      <c r="J155" s="3" t="s">
        <v>7156</v>
      </c>
      <c r="K155" s="3" t="s">
        <v>7146</v>
      </c>
      <c r="L155" s="19">
        <v>1.0</v>
      </c>
      <c r="M155" s="3" t="s">
        <v>7288</v>
      </c>
      <c r="N155" s="3" t="s">
        <v>7288</v>
      </c>
      <c r="O155" s="3" t="s">
        <v>7161</v>
      </c>
      <c r="P155" s="19">
        <v>1.0</v>
      </c>
      <c r="Q155" s="19">
        <v>0.0</v>
      </c>
      <c r="R155" s="19">
        <v>0.0</v>
      </c>
      <c r="S155" s="19">
        <v>0.0</v>
      </c>
      <c r="T155" s="2"/>
      <c r="U155" s="2"/>
    </row>
    <row r="156">
      <c r="A156" s="3" t="s">
        <v>7418</v>
      </c>
      <c r="B156" s="3" t="s">
        <v>7262</v>
      </c>
      <c r="C156" s="29">
        <v>46002.4375</v>
      </c>
      <c r="D156" s="29">
        <v>46002.45833333333</v>
      </c>
      <c r="E156" s="30">
        <v>0.5</v>
      </c>
      <c r="F156" s="2"/>
      <c r="G156" s="2"/>
      <c r="H156" s="3" t="s">
        <v>7146</v>
      </c>
      <c r="I156" s="3" t="s">
        <v>7161</v>
      </c>
      <c r="J156" s="3" t="s">
        <v>7156</v>
      </c>
      <c r="K156" s="3" t="s">
        <v>7149</v>
      </c>
      <c r="L156" s="19">
        <v>2.0</v>
      </c>
      <c r="M156" s="3" t="s">
        <v>7263</v>
      </c>
      <c r="N156" s="3" t="s">
        <v>7263</v>
      </c>
      <c r="O156" s="3" t="s">
        <v>7218</v>
      </c>
      <c r="P156" s="19">
        <v>2.0</v>
      </c>
      <c r="Q156" s="19">
        <v>0.0</v>
      </c>
      <c r="R156" s="19">
        <v>0.0</v>
      </c>
      <c r="S156" s="19">
        <v>0.0</v>
      </c>
      <c r="T156" s="3" t="s">
        <v>128</v>
      </c>
      <c r="U156" s="3" t="s">
        <v>301</v>
      </c>
    </row>
    <row r="157">
      <c r="A157" s="3" t="s">
        <v>7419</v>
      </c>
      <c r="B157" s="3" t="s">
        <v>7420</v>
      </c>
      <c r="C157" s="29">
        <v>46002.47916666667</v>
      </c>
      <c r="D157" s="29">
        <v>46002.5</v>
      </c>
      <c r="E157" s="30">
        <v>0.5</v>
      </c>
      <c r="F157" s="2"/>
      <c r="G157" s="2"/>
      <c r="H157" s="3" t="s">
        <v>7146</v>
      </c>
      <c r="I157" s="3" t="s">
        <v>7161</v>
      </c>
      <c r="J157" s="3" t="s">
        <v>7156</v>
      </c>
      <c r="K157" s="3" t="s">
        <v>7149</v>
      </c>
      <c r="L157" s="19">
        <v>4.0</v>
      </c>
      <c r="M157" s="3" t="s">
        <v>7421</v>
      </c>
      <c r="N157" s="3" t="s">
        <v>7421</v>
      </c>
      <c r="O157" s="3" t="s">
        <v>7411</v>
      </c>
      <c r="P157" s="19">
        <v>4.0</v>
      </c>
      <c r="Q157" s="19">
        <v>0.0</v>
      </c>
      <c r="R157" s="19">
        <v>0.0</v>
      </c>
      <c r="S157" s="19">
        <v>0.0</v>
      </c>
      <c r="T157" s="3" t="s">
        <v>125</v>
      </c>
      <c r="U157" s="3" t="s">
        <v>126</v>
      </c>
    </row>
    <row r="158">
      <c r="A158" s="3" t="s">
        <v>7422</v>
      </c>
      <c r="B158" s="3" t="s">
        <v>7423</v>
      </c>
      <c r="C158" s="29">
        <v>46002.52083333333</v>
      </c>
      <c r="D158" s="29">
        <v>46002.5625</v>
      </c>
      <c r="E158" s="30">
        <v>1.0</v>
      </c>
      <c r="F158" s="2"/>
      <c r="G158" s="2"/>
      <c r="H158" s="3" t="s">
        <v>7146</v>
      </c>
      <c r="I158" s="3" t="s">
        <v>7161</v>
      </c>
      <c r="J158" s="3" t="s">
        <v>7321</v>
      </c>
      <c r="K158" s="3" t="s">
        <v>7146</v>
      </c>
      <c r="L158" s="19">
        <v>1.0</v>
      </c>
      <c r="M158" s="3" t="s">
        <v>7288</v>
      </c>
      <c r="N158" s="3" t="s">
        <v>7288</v>
      </c>
      <c r="O158" s="3" t="s">
        <v>7161</v>
      </c>
      <c r="P158" s="19">
        <v>1.0</v>
      </c>
      <c r="Q158" s="19">
        <v>0.0</v>
      </c>
      <c r="R158" s="19">
        <v>0.0</v>
      </c>
      <c r="S158" s="19">
        <v>0.0</v>
      </c>
      <c r="T158" s="2"/>
      <c r="U158" s="2"/>
    </row>
    <row r="159">
      <c r="A159" s="3" t="s">
        <v>7424</v>
      </c>
      <c r="B159" s="3" t="s">
        <v>7425</v>
      </c>
      <c r="C159" s="29">
        <v>46002.5625</v>
      </c>
      <c r="D159" s="29">
        <v>46002.58333333333</v>
      </c>
      <c r="E159" s="30">
        <v>0.5</v>
      </c>
      <c r="F159" s="2"/>
      <c r="G159" s="2"/>
      <c r="H159" s="3" t="s">
        <v>7146</v>
      </c>
      <c r="I159" s="3" t="s">
        <v>7161</v>
      </c>
      <c r="J159" s="3" t="s">
        <v>7156</v>
      </c>
      <c r="K159" s="3" t="s">
        <v>7146</v>
      </c>
      <c r="L159" s="19">
        <v>3.0</v>
      </c>
      <c r="M159" s="3" t="s">
        <v>7426</v>
      </c>
      <c r="N159" s="3" t="s">
        <v>7426</v>
      </c>
      <c r="O159" s="3" t="s">
        <v>7251</v>
      </c>
      <c r="P159" s="19">
        <v>3.0</v>
      </c>
      <c r="Q159" s="19">
        <v>0.0</v>
      </c>
      <c r="R159" s="19">
        <v>0.0</v>
      </c>
      <c r="S159" s="19">
        <v>0.0</v>
      </c>
      <c r="T159" s="3" t="s">
        <v>131</v>
      </c>
      <c r="U159" s="3" t="s">
        <v>132</v>
      </c>
    </row>
    <row r="160">
      <c r="A160" s="3" t="s">
        <v>7427</v>
      </c>
      <c r="B160" s="3" t="s">
        <v>7428</v>
      </c>
      <c r="C160" s="29">
        <v>46002.75</v>
      </c>
      <c r="D160" s="29">
        <v>46002.875</v>
      </c>
      <c r="E160" s="30">
        <v>3.0</v>
      </c>
      <c r="F160" s="3" t="s">
        <v>7429</v>
      </c>
      <c r="G160" s="3" t="s">
        <v>7430</v>
      </c>
      <c r="H160" s="3" t="s">
        <v>7146</v>
      </c>
      <c r="I160" s="3" t="s">
        <v>7240</v>
      </c>
      <c r="J160" s="3" t="s">
        <v>7300</v>
      </c>
      <c r="K160" s="3" t="s">
        <v>7146</v>
      </c>
      <c r="L160" s="19">
        <v>5.0</v>
      </c>
      <c r="M160" s="3" t="s">
        <v>7431</v>
      </c>
      <c r="N160" s="3" t="s">
        <v>7432</v>
      </c>
      <c r="O160" s="3" t="s">
        <v>7433</v>
      </c>
      <c r="P160" s="19">
        <v>3.0</v>
      </c>
      <c r="Q160" s="19">
        <v>0.0</v>
      </c>
      <c r="R160" s="19">
        <v>0.0</v>
      </c>
      <c r="S160" s="19">
        <v>2.0</v>
      </c>
      <c r="T160" s="2"/>
      <c r="U160" s="2"/>
    </row>
    <row r="161">
      <c r="A161" s="3" t="s">
        <v>7434</v>
      </c>
      <c r="B161" s="3" t="s">
        <v>7428</v>
      </c>
      <c r="C161" s="29">
        <v>46002.75</v>
      </c>
      <c r="D161" s="29">
        <v>46002.875</v>
      </c>
      <c r="E161" s="30">
        <v>3.0</v>
      </c>
      <c r="F161" s="3" t="s">
        <v>7429</v>
      </c>
      <c r="G161" s="3" t="s">
        <v>7430</v>
      </c>
      <c r="H161" s="3" t="s">
        <v>7146</v>
      </c>
      <c r="I161" s="3" t="s">
        <v>7240</v>
      </c>
      <c r="J161" s="3" t="s">
        <v>7435</v>
      </c>
      <c r="K161" s="3" t="s">
        <v>7146</v>
      </c>
      <c r="L161" s="19">
        <v>5.0</v>
      </c>
      <c r="M161" s="3" t="s">
        <v>7436</v>
      </c>
      <c r="N161" s="3" t="s">
        <v>7437</v>
      </c>
      <c r="O161" s="3" t="s">
        <v>7438</v>
      </c>
      <c r="P161" s="19">
        <v>0.0</v>
      </c>
      <c r="Q161" s="19">
        <v>1.0</v>
      </c>
      <c r="R161" s="19">
        <v>0.0</v>
      </c>
      <c r="S161" s="19">
        <v>4.0</v>
      </c>
      <c r="T161" s="2"/>
      <c r="U161" s="2"/>
    </row>
    <row r="162">
      <c r="A162" s="3" t="s">
        <v>7439</v>
      </c>
      <c r="B162" s="3" t="s">
        <v>7178</v>
      </c>
      <c r="C162" s="29">
        <v>46003.375</v>
      </c>
      <c r="D162" s="29">
        <v>46003.39583333333</v>
      </c>
      <c r="E162" s="30">
        <v>0.5</v>
      </c>
      <c r="F162" s="2"/>
      <c r="G162" s="3" t="s">
        <v>7179</v>
      </c>
      <c r="H162" s="3" t="s">
        <v>7146</v>
      </c>
      <c r="I162" s="3" t="s">
        <v>7387</v>
      </c>
      <c r="J162" s="3" t="s">
        <v>7156</v>
      </c>
      <c r="K162" s="3" t="s">
        <v>7149</v>
      </c>
      <c r="L162" s="19">
        <v>4.0</v>
      </c>
      <c r="M162" s="3" t="s">
        <v>7440</v>
      </c>
      <c r="N162" s="3" t="s">
        <v>7440</v>
      </c>
      <c r="O162" s="3" t="s">
        <v>7441</v>
      </c>
      <c r="P162" s="19">
        <v>2.0</v>
      </c>
      <c r="Q162" s="19">
        <v>1.0</v>
      </c>
      <c r="R162" s="19">
        <v>0.0</v>
      </c>
      <c r="S162" s="19">
        <v>1.0</v>
      </c>
      <c r="T162" s="3" t="s">
        <v>169</v>
      </c>
      <c r="U162" s="3" t="s">
        <v>170</v>
      </c>
    </row>
    <row r="163">
      <c r="A163" s="3" t="s">
        <v>7442</v>
      </c>
      <c r="B163" s="3" t="s">
        <v>7443</v>
      </c>
      <c r="C163" s="29">
        <v>46003.41666666667</v>
      </c>
      <c r="D163" s="29">
        <v>46003.4375</v>
      </c>
      <c r="E163" s="30">
        <v>0.5</v>
      </c>
      <c r="F163" s="2"/>
      <c r="G163" s="2"/>
      <c r="H163" s="3" t="s">
        <v>7146</v>
      </c>
      <c r="I163" s="3" t="s">
        <v>7387</v>
      </c>
      <c r="J163" s="3" t="s">
        <v>7156</v>
      </c>
      <c r="K163" s="3" t="s">
        <v>7149</v>
      </c>
      <c r="L163" s="19">
        <v>2.0</v>
      </c>
      <c r="M163" s="3" t="s">
        <v>7444</v>
      </c>
      <c r="N163" s="3" t="s">
        <v>7444</v>
      </c>
      <c r="O163" s="3" t="s">
        <v>7445</v>
      </c>
      <c r="P163" s="19">
        <v>1.0</v>
      </c>
      <c r="Q163" s="19">
        <v>1.0</v>
      </c>
      <c r="R163" s="19">
        <v>0.0</v>
      </c>
      <c r="S163" s="19">
        <v>0.0</v>
      </c>
      <c r="T163" s="3" t="s">
        <v>101</v>
      </c>
      <c r="U163" s="3" t="s">
        <v>511</v>
      </c>
    </row>
    <row r="164">
      <c r="A164" s="3" t="s">
        <v>7210</v>
      </c>
      <c r="B164" s="3" t="s">
        <v>7211</v>
      </c>
      <c r="C164" s="29">
        <v>46003.5</v>
      </c>
      <c r="D164" s="29">
        <v>46003.52083333333</v>
      </c>
      <c r="E164" s="30">
        <v>0.5</v>
      </c>
      <c r="F164" s="2"/>
      <c r="G164" s="3" t="s">
        <v>7212</v>
      </c>
      <c r="H164" s="3" t="s">
        <v>7146</v>
      </c>
      <c r="I164" s="3" t="s">
        <v>7387</v>
      </c>
      <c r="J164" s="3" t="s">
        <v>7156</v>
      </c>
      <c r="K164" s="3" t="s">
        <v>7149</v>
      </c>
      <c r="L164" s="19">
        <v>4.0</v>
      </c>
      <c r="M164" s="3" t="s">
        <v>7213</v>
      </c>
      <c r="N164" s="3" t="s">
        <v>7213</v>
      </c>
      <c r="O164" s="3" t="s">
        <v>7446</v>
      </c>
      <c r="P164" s="19">
        <v>3.0</v>
      </c>
      <c r="Q164" s="19">
        <v>0.0</v>
      </c>
      <c r="R164" s="19">
        <v>0.0</v>
      </c>
      <c r="S164" s="19">
        <v>1.0</v>
      </c>
      <c r="T164" s="3" t="s">
        <v>175</v>
      </c>
      <c r="U164" s="3" t="s">
        <v>422</v>
      </c>
    </row>
    <row r="165">
      <c r="A165" s="3" t="s">
        <v>7447</v>
      </c>
      <c r="B165" s="3" t="s">
        <v>7167</v>
      </c>
      <c r="C165" s="29">
        <v>46003.54166666667</v>
      </c>
      <c r="D165" s="29">
        <v>46003.5625</v>
      </c>
      <c r="E165" s="30">
        <v>0.5</v>
      </c>
      <c r="F165" s="2"/>
      <c r="G165" s="2"/>
      <c r="H165" s="3" t="s">
        <v>7146</v>
      </c>
      <c r="I165" s="3" t="s">
        <v>7387</v>
      </c>
      <c r="J165" s="3" t="s">
        <v>7168</v>
      </c>
      <c r="K165" s="3" t="s">
        <v>7149</v>
      </c>
      <c r="L165" s="19">
        <v>4.0</v>
      </c>
      <c r="M165" s="3" t="s">
        <v>7169</v>
      </c>
      <c r="N165" s="3" t="s">
        <v>7170</v>
      </c>
      <c r="O165" s="3" t="s">
        <v>7448</v>
      </c>
      <c r="P165" s="19">
        <v>2.0</v>
      </c>
      <c r="Q165" s="19">
        <v>0.0</v>
      </c>
      <c r="R165" s="19">
        <v>0.0</v>
      </c>
      <c r="S165" s="19">
        <v>2.0</v>
      </c>
      <c r="T165" s="3" t="s">
        <v>205</v>
      </c>
      <c r="U165" s="3" t="s">
        <v>206</v>
      </c>
    </row>
    <row r="166">
      <c r="A166" s="3" t="s">
        <v>7449</v>
      </c>
      <c r="B166" s="3" t="s">
        <v>7450</v>
      </c>
      <c r="C166" s="29">
        <v>46006.54166666667</v>
      </c>
      <c r="D166" s="29">
        <v>46006.5625</v>
      </c>
      <c r="E166" s="30">
        <v>0.5</v>
      </c>
      <c r="F166" s="2"/>
      <c r="G166" s="3" t="s">
        <v>7451</v>
      </c>
      <c r="H166" s="3" t="s">
        <v>7146</v>
      </c>
      <c r="I166" s="3" t="s">
        <v>7161</v>
      </c>
      <c r="J166" s="3" t="s">
        <v>7156</v>
      </c>
      <c r="K166" s="3" t="s">
        <v>7146</v>
      </c>
      <c r="L166" s="19">
        <v>4.0</v>
      </c>
      <c r="M166" s="3" t="s">
        <v>7452</v>
      </c>
      <c r="N166" s="3" t="s">
        <v>7452</v>
      </c>
      <c r="O166" s="3" t="s">
        <v>7453</v>
      </c>
      <c r="P166" s="19">
        <v>3.0</v>
      </c>
      <c r="Q166" s="19">
        <v>0.0</v>
      </c>
      <c r="R166" s="19">
        <v>0.0</v>
      </c>
      <c r="S166" s="19">
        <v>1.0</v>
      </c>
      <c r="T166" s="3" t="s">
        <v>6807</v>
      </c>
      <c r="U166" s="3" t="s">
        <v>572</v>
      </c>
    </row>
    <row r="167">
      <c r="A167" s="3" t="s">
        <v>7454</v>
      </c>
      <c r="B167" s="3" t="s">
        <v>7455</v>
      </c>
      <c r="C167" s="29">
        <v>46006.5625</v>
      </c>
      <c r="D167" s="29">
        <v>46006.58333333333</v>
      </c>
      <c r="E167" s="30">
        <v>0.5</v>
      </c>
      <c r="F167" s="2"/>
      <c r="G167" s="2"/>
      <c r="H167" s="3" t="s">
        <v>7146</v>
      </c>
      <c r="I167" s="3" t="s">
        <v>7161</v>
      </c>
      <c r="J167" s="3" t="s">
        <v>7156</v>
      </c>
      <c r="K167" s="3" t="s">
        <v>7146</v>
      </c>
      <c r="L167" s="19">
        <v>1.0</v>
      </c>
      <c r="M167" s="3" t="s">
        <v>7288</v>
      </c>
      <c r="N167" s="3" t="s">
        <v>7288</v>
      </c>
      <c r="O167" s="3" t="s">
        <v>7161</v>
      </c>
      <c r="P167" s="19">
        <v>1.0</v>
      </c>
      <c r="Q167" s="19">
        <v>0.0</v>
      </c>
      <c r="R167" s="19">
        <v>0.0</v>
      </c>
      <c r="S167" s="19">
        <v>0.0</v>
      </c>
      <c r="T167" s="2"/>
      <c r="U167" s="2"/>
    </row>
    <row r="168">
      <c r="A168" s="3" t="s">
        <v>7456</v>
      </c>
      <c r="B168" s="3" t="s">
        <v>7457</v>
      </c>
      <c r="C168" s="29">
        <v>46006.58333333333</v>
      </c>
      <c r="D168" s="29">
        <v>46006.60416666667</v>
      </c>
      <c r="E168" s="30">
        <v>0.5</v>
      </c>
      <c r="F168" s="3" t="s">
        <v>7355</v>
      </c>
      <c r="G168" s="3" t="s">
        <v>7458</v>
      </c>
      <c r="H168" s="3" t="s">
        <v>7146</v>
      </c>
      <c r="I168" s="3" t="s">
        <v>7338</v>
      </c>
      <c r="J168" s="3" t="s">
        <v>7288</v>
      </c>
      <c r="K168" s="3" t="s">
        <v>7146</v>
      </c>
      <c r="L168" s="19">
        <v>3.0</v>
      </c>
      <c r="M168" s="3" t="s">
        <v>7459</v>
      </c>
      <c r="N168" s="3" t="s">
        <v>7460</v>
      </c>
      <c r="O168" s="3" t="s">
        <v>7461</v>
      </c>
      <c r="P168" s="19">
        <v>2.0</v>
      </c>
      <c r="Q168" s="19">
        <v>0.0</v>
      </c>
      <c r="R168" s="19">
        <v>0.0</v>
      </c>
      <c r="S168" s="19">
        <v>1.0</v>
      </c>
      <c r="T168" s="3" t="s">
        <v>6769</v>
      </c>
      <c r="U168" s="3" t="s">
        <v>312</v>
      </c>
    </row>
    <row r="169">
      <c r="A169" s="3" t="s">
        <v>7462</v>
      </c>
      <c r="B169" s="3" t="s">
        <v>7463</v>
      </c>
      <c r="C169" s="29">
        <v>46006.60416666667</v>
      </c>
      <c r="D169" s="29">
        <v>46006.625</v>
      </c>
      <c r="E169" s="30">
        <v>0.5</v>
      </c>
      <c r="F169" s="2"/>
      <c r="G169" s="3" t="s">
        <v>7464</v>
      </c>
      <c r="H169" s="3" t="s">
        <v>7146</v>
      </c>
      <c r="I169" s="3" t="s">
        <v>7338</v>
      </c>
      <c r="J169" s="3" t="s">
        <v>7288</v>
      </c>
      <c r="K169" s="3" t="s">
        <v>7149</v>
      </c>
      <c r="L169" s="19">
        <v>2.0</v>
      </c>
      <c r="M169" s="3" t="s">
        <v>7465</v>
      </c>
      <c r="N169" s="3" t="s">
        <v>7465</v>
      </c>
      <c r="O169" s="3" t="s">
        <v>7285</v>
      </c>
      <c r="P169" s="19">
        <v>1.0</v>
      </c>
      <c r="Q169" s="19">
        <v>0.0</v>
      </c>
      <c r="R169" s="19">
        <v>0.0</v>
      </c>
      <c r="S169" s="19">
        <v>1.0</v>
      </c>
      <c r="T169" s="3" t="s">
        <v>101</v>
      </c>
      <c r="U169" s="3" t="s">
        <v>511</v>
      </c>
    </row>
    <row r="170">
      <c r="A170" s="3" t="s">
        <v>7466</v>
      </c>
      <c r="B170" s="3" t="s">
        <v>7467</v>
      </c>
      <c r="C170" s="29">
        <v>46007.33333333333</v>
      </c>
      <c r="D170" s="29">
        <v>46007.35416666667</v>
      </c>
      <c r="E170" s="30">
        <v>0.5</v>
      </c>
      <c r="F170" s="2"/>
      <c r="G170" s="2"/>
      <c r="H170" s="3" t="s">
        <v>7146</v>
      </c>
      <c r="I170" s="3" t="s">
        <v>7338</v>
      </c>
      <c r="J170" s="3" t="s">
        <v>7288</v>
      </c>
      <c r="K170" s="3" t="s">
        <v>7146</v>
      </c>
      <c r="L170" s="19">
        <v>4.0</v>
      </c>
      <c r="M170" s="3" t="s">
        <v>7468</v>
      </c>
      <c r="N170" s="3" t="s">
        <v>7468</v>
      </c>
      <c r="O170" s="3" t="s">
        <v>7469</v>
      </c>
      <c r="P170" s="19">
        <v>3.0</v>
      </c>
      <c r="Q170" s="19">
        <v>0.0</v>
      </c>
      <c r="R170" s="19">
        <v>1.0</v>
      </c>
      <c r="S170" s="19">
        <v>0.0</v>
      </c>
      <c r="T170" s="3" t="s">
        <v>139</v>
      </c>
      <c r="U170" s="3" t="s">
        <v>361</v>
      </c>
    </row>
    <row r="171">
      <c r="A171" s="3" t="s">
        <v>7470</v>
      </c>
      <c r="B171" s="3" t="s">
        <v>7471</v>
      </c>
      <c r="C171" s="29">
        <v>46007.39583333333</v>
      </c>
      <c r="D171" s="29">
        <v>46007.41666666667</v>
      </c>
      <c r="E171" s="30">
        <v>0.5</v>
      </c>
      <c r="F171" s="2"/>
      <c r="G171" s="2"/>
      <c r="H171" s="3" t="s">
        <v>7146</v>
      </c>
      <c r="I171" s="3" t="s">
        <v>7387</v>
      </c>
      <c r="J171" s="3" t="s">
        <v>7156</v>
      </c>
      <c r="K171" s="3" t="s">
        <v>7146</v>
      </c>
      <c r="L171" s="19">
        <v>3.0</v>
      </c>
      <c r="M171" s="3" t="s">
        <v>7472</v>
      </c>
      <c r="N171" s="3" t="s">
        <v>7472</v>
      </c>
      <c r="O171" s="3" t="s">
        <v>7473</v>
      </c>
      <c r="P171" s="19">
        <v>1.0</v>
      </c>
      <c r="Q171" s="19">
        <v>2.0</v>
      </c>
      <c r="R171" s="19">
        <v>0.0</v>
      </c>
      <c r="S171" s="19">
        <v>0.0</v>
      </c>
      <c r="T171" s="3" t="s">
        <v>199</v>
      </c>
      <c r="U171" s="3" t="s">
        <v>272</v>
      </c>
    </row>
    <row r="172">
      <c r="A172" s="3" t="s">
        <v>7474</v>
      </c>
      <c r="B172" s="3" t="s">
        <v>7154</v>
      </c>
      <c r="C172" s="29">
        <v>46007.45833333333</v>
      </c>
      <c r="D172" s="29">
        <v>46007.47916666667</v>
      </c>
      <c r="E172" s="30">
        <v>0.5</v>
      </c>
      <c r="F172" s="2"/>
      <c r="G172" s="3" t="s">
        <v>7155</v>
      </c>
      <c r="H172" s="3" t="s">
        <v>7146</v>
      </c>
      <c r="I172" s="3" t="s">
        <v>7161</v>
      </c>
      <c r="J172" s="3" t="s">
        <v>7156</v>
      </c>
      <c r="K172" s="3" t="s">
        <v>7149</v>
      </c>
      <c r="L172" s="19">
        <v>5.0</v>
      </c>
      <c r="M172" s="3" t="s">
        <v>7157</v>
      </c>
      <c r="N172" s="3" t="s">
        <v>7157</v>
      </c>
      <c r="O172" s="3" t="s">
        <v>7475</v>
      </c>
      <c r="P172" s="19">
        <v>4.0</v>
      </c>
      <c r="Q172" s="19">
        <v>0.0</v>
      </c>
      <c r="R172" s="19">
        <v>1.0</v>
      </c>
      <c r="S172" s="19">
        <v>0.0</v>
      </c>
      <c r="T172" s="3" t="s">
        <v>142</v>
      </c>
      <c r="U172" s="3" t="s">
        <v>143</v>
      </c>
    </row>
    <row r="173">
      <c r="A173" s="3" t="s">
        <v>7476</v>
      </c>
      <c r="B173" s="3" t="s">
        <v>7477</v>
      </c>
      <c r="C173" s="29">
        <v>46007.47916666667</v>
      </c>
      <c r="D173" s="29">
        <v>46007.5</v>
      </c>
      <c r="E173" s="30">
        <v>0.5</v>
      </c>
      <c r="F173" s="3" t="s">
        <v>7355</v>
      </c>
      <c r="G173" s="3" t="s">
        <v>7478</v>
      </c>
      <c r="H173" s="3" t="s">
        <v>7146</v>
      </c>
      <c r="I173" s="3" t="s">
        <v>7338</v>
      </c>
      <c r="J173" s="3" t="s">
        <v>7288</v>
      </c>
      <c r="K173" s="3" t="s">
        <v>7146</v>
      </c>
      <c r="L173" s="19">
        <v>8.0</v>
      </c>
      <c r="M173" s="3" t="s">
        <v>7479</v>
      </c>
      <c r="N173" s="3" t="s">
        <v>7480</v>
      </c>
      <c r="O173" s="3" t="s">
        <v>7481</v>
      </c>
      <c r="P173" s="19">
        <v>1.0</v>
      </c>
      <c r="Q173" s="19">
        <v>0.0</v>
      </c>
      <c r="R173" s="19">
        <v>0.0</v>
      </c>
      <c r="S173" s="19">
        <v>7.0</v>
      </c>
      <c r="T173" s="3" t="s">
        <v>101</v>
      </c>
      <c r="U173" s="3" t="s">
        <v>511</v>
      </c>
    </row>
    <row r="174">
      <c r="A174" s="3" t="s">
        <v>7482</v>
      </c>
      <c r="B174" s="3" t="s">
        <v>7483</v>
      </c>
      <c r="C174" s="29">
        <v>46007.5625</v>
      </c>
      <c r="D174" s="29">
        <v>46007.58333333333</v>
      </c>
      <c r="E174" s="30">
        <v>0.5</v>
      </c>
      <c r="F174" s="2"/>
      <c r="G174" s="2"/>
      <c r="H174" s="3" t="s">
        <v>7146</v>
      </c>
      <c r="I174" s="3" t="s">
        <v>7161</v>
      </c>
      <c r="J174" s="3" t="s">
        <v>7484</v>
      </c>
      <c r="K174" s="3" t="s">
        <v>7146</v>
      </c>
      <c r="L174" s="19">
        <v>3.0</v>
      </c>
      <c r="M174" s="3" t="s">
        <v>7485</v>
      </c>
      <c r="N174" s="3" t="s">
        <v>7486</v>
      </c>
      <c r="O174" s="3" t="s">
        <v>7251</v>
      </c>
      <c r="P174" s="19">
        <v>3.0</v>
      </c>
      <c r="Q174" s="19">
        <v>0.0</v>
      </c>
      <c r="R174" s="19">
        <v>0.0</v>
      </c>
      <c r="S174" s="19">
        <v>0.0</v>
      </c>
      <c r="T174" s="3" t="s">
        <v>116</v>
      </c>
      <c r="U174" s="3" t="s">
        <v>117</v>
      </c>
    </row>
    <row r="175">
      <c r="A175" s="3" t="s">
        <v>7487</v>
      </c>
      <c r="B175" s="3" t="s">
        <v>7488</v>
      </c>
      <c r="C175" s="29">
        <v>46008.419444444444</v>
      </c>
      <c r="D175" s="29">
        <v>46008.478472222225</v>
      </c>
      <c r="E175" s="30">
        <v>1.4166666666666667</v>
      </c>
      <c r="F175" s="2"/>
      <c r="G175" s="3" t="s">
        <v>7489</v>
      </c>
      <c r="H175" s="3" t="s">
        <v>7146</v>
      </c>
      <c r="I175" s="3" t="s">
        <v>7161</v>
      </c>
      <c r="J175" s="3" t="s">
        <v>7490</v>
      </c>
      <c r="K175" s="3" t="s">
        <v>7149</v>
      </c>
      <c r="L175" s="19">
        <v>31.0</v>
      </c>
      <c r="M175" s="3" t="s">
        <v>7491</v>
      </c>
      <c r="N175" s="3" t="s">
        <v>7492</v>
      </c>
      <c r="O175" s="3" t="s">
        <v>7493</v>
      </c>
      <c r="P175" s="19">
        <v>26.0</v>
      </c>
      <c r="Q175" s="19">
        <v>2.0</v>
      </c>
      <c r="R175" s="19">
        <v>0.0</v>
      </c>
      <c r="S175" s="19">
        <v>3.0</v>
      </c>
      <c r="T175" s="2"/>
      <c r="U175" s="2"/>
    </row>
    <row r="176">
      <c r="A176" s="3" t="s">
        <v>7402</v>
      </c>
      <c r="B176" s="3" t="s">
        <v>7403</v>
      </c>
      <c r="C176" s="29">
        <v>46008.5625</v>
      </c>
      <c r="D176" s="29">
        <v>46008.58333333333</v>
      </c>
      <c r="E176" s="30">
        <v>0.5</v>
      </c>
      <c r="F176" s="2"/>
      <c r="G176" s="3" t="s">
        <v>7404</v>
      </c>
      <c r="H176" s="3" t="s">
        <v>7146</v>
      </c>
      <c r="I176" s="3" t="s">
        <v>7161</v>
      </c>
      <c r="J176" s="3" t="s">
        <v>7156</v>
      </c>
      <c r="K176" s="3" t="s">
        <v>7149</v>
      </c>
      <c r="L176" s="19">
        <v>10.0</v>
      </c>
      <c r="M176" s="3" t="s">
        <v>7405</v>
      </c>
      <c r="N176" s="3" t="s">
        <v>7406</v>
      </c>
      <c r="O176" s="3" t="s">
        <v>7407</v>
      </c>
      <c r="P176" s="19">
        <v>5.0</v>
      </c>
      <c r="Q176" s="19">
        <v>0.0</v>
      </c>
      <c r="R176" s="19">
        <v>0.0</v>
      </c>
      <c r="S176" s="19">
        <v>5.0</v>
      </c>
      <c r="T176" s="3" t="s">
        <v>119</v>
      </c>
      <c r="U176" s="3" t="s">
        <v>251</v>
      </c>
    </row>
    <row r="177">
      <c r="A177" s="3" t="s">
        <v>7494</v>
      </c>
      <c r="B177" s="3" t="s">
        <v>7495</v>
      </c>
      <c r="C177" s="29">
        <v>46008.58333333333</v>
      </c>
      <c r="D177" s="29">
        <v>46008.60416666667</v>
      </c>
      <c r="E177" s="30">
        <v>0.5</v>
      </c>
      <c r="G177" s="2"/>
      <c r="H177" s="3" t="s">
        <v>7146</v>
      </c>
      <c r="I177" s="3" t="s">
        <v>7161</v>
      </c>
      <c r="J177" s="3" t="s">
        <v>7156</v>
      </c>
      <c r="K177" s="3" t="s">
        <v>7146</v>
      </c>
      <c r="L177" s="19">
        <v>1.0</v>
      </c>
      <c r="M177" s="3" t="s">
        <v>7288</v>
      </c>
      <c r="N177" s="3" t="s">
        <v>7288</v>
      </c>
      <c r="O177" s="3" t="s">
        <v>7161</v>
      </c>
      <c r="P177" s="19">
        <v>1.0</v>
      </c>
      <c r="Q177" s="19">
        <v>0.0</v>
      </c>
      <c r="R177" s="19">
        <v>0.0</v>
      </c>
      <c r="S177" s="19">
        <v>0.0</v>
      </c>
      <c r="T177" s="2"/>
      <c r="U177" s="2"/>
    </row>
    <row r="178">
      <c r="A178" s="3" t="s">
        <v>7496</v>
      </c>
      <c r="B178" s="3" t="s">
        <v>7497</v>
      </c>
      <c r="C178" s="29">
        <v>46008.60416666667</v>
      </c>
      <c r="D178" s="29">
        <v>46008.625</v>
      </c>
      <c r="E178" s="30">
        <v>0.5</v>
      </c>
      <c r="F178" s="2"/>
      <c r="G178" s="3" t="s">
        <v>7498</v>
      </c>
      <c r="H178" s="3" t="s">
        <v>7146</v>
      </c>
      <c r="I178" s="3" t="s">
        <v>7161</v>
      </c>
      <c r="J178" s="3" t="s">
        <v>7156</v>
      </c>
      <c r="K178" s="3" t="s">
        <v>7146</v>
      </c>
      <c r="L178" s="19">
        <v>4.0</v>
      </c>
      <c r="M178" s="3" t="s">
        <v>7499</v>
      </c>
      <c r="N178" s="3" t="s">
        <v>7499</v>
      </c>
      <c r="O178" s="3" t="s">
        <v>7411</v>
      </c>
      <c r="P178" s="19">
        <v>4.0</v>
      </c>
      <c r="Q178" s="19">
        <v>0.0</v>
      </c>
      <c r="R178" s="19">
        <v>0.0</v>
      </c>
      <c r="S178" s="19">
        <v>0.0</v>
      </c>
      <c r="T178" s="3" t="s">
        <v>145</v>
      </c>
      <c r="U178" s="3" t="s">
        <v>263</v>
      </c>
    </row>
    <row r="179">
      <c r="A179" s="3" t="s">
        <v>7500</v>
      </c>
      <c r="B179" s="3" t="s">
        <v>7266</v>
      </c>
      <c r="C179" s="29">
        <v>46009.33333333333</v>
      </c>
      <c r="D179" s="29">
        <v>46009.35416666667</v>
      </c>
      <c r="E179" s="30">
        <v>0.5</v>
      </c>
      <c r="F179" s="2"/>
      <c r="G179" s="2"/>
      <c r="H179" s="3" t="s">
        <v>7146</v>
      </c>
      <c r="I179" s="3" t="s">
        <v>7161</v>
      </c>
      <c r="J179" s="3" t="s">
        <v>7156</v>
      </c>
      <c r="K179" s="3" t="s">
        <v>7149</v>
      </c>
      <c r="L179" s="19">
        <v>4.0</v>
      </c>
      <c r="M179" s="3" t="s">
        <v>7267</v>
      </c>
      <c r="N179" s="3" t="s">
        <v>7267</v>
      </c>
      <c r="O179" s="3" t="s">
        <v>7268</v>
      </c>
      <c r="P179" s="19">
        <v>1.0</v>
      </c>
      <c r="Q179" s="19">
        <v>0.0</v>
      </c>
      <c r="R179" s="19">
        <v>0.0</v>
      </c>
      <c r="S179" s="19">
        <v>3.0</v>
      </c>
      <c r="T179" s="3" t="s">
        <v>6752</v>
      </c>
      <c r="U179" s="3" t="s">
        <v>319</v>
      </c>
    </row>
    <row r="180">
      <c r="A180" s="3" t="s">
        <v>7501</v>
      </c>
      <c r="B180" s="3" t="s">
        <v>7502</v>
      </c>
      <c r="C180" s="29">
        <v>46009.375</v>
      </c>
      <c r="D180" s="29">
        <v>46009.39583333333</v>
      </c>
      <c r="E180" s="30">
        <v>0.5</v>
      </c>
      <c r="F180" s="2"/>
      <c r="G180" s="2"/>
      <c r="H180" s="3" t="s">
        <v>7146</v>
      </c>
      <c r="I180" s="3" t="s">
        <v>7161</v>
      </c>
      <c r="J180" s="3" t="s">
        <v>7503</v>
      </c>
      <c r="K180" s="3" t="s">
        <v>7149</v>
      </c>
      <c r="L180" s="19">
        <v>2.0</v>
      </c>
      <c r="M180" s="3" t="s">
        <v>7504</v>
      </c>
      <c r="N180" s="3" t="s">
        <v>7504</v>
      </c>
      <c r="O180" s="3" t="s">
        <v>7218</v>
      </c>
      <c r="P180" s="19">
        <v>2.0</v>
      </c>
      <c r="Q180" s="19">
        <v>0.0</v>
      </c>
      <c r="R180" s="19">
        <v>0.0</v>
      </c>
      <c r="S180" s="19">
        <v>0.0</v>
      </c>
      <c r="T180" s="2"/>
      <c r="U180" s="2"/>
    </row>
    <row r="181">
      <c r="A181" s="3" t="s">
        <v>7505</v>
      </c>
      <c r="B181" s="3" t="s">
        <v>7160</v>
      </c>
      <c r="C181" s="29">
        <v>46009.4375</v>
      </c>
      <c r="D181" s="29">
        <v>46009.45833333333</v>
      </c>
      <c r="E181" s="30">
        <v>0.5</v>
      </c>
      <c r="F181" s="2"/>
      <c r="G181" s="2"/>
      <c r="H181" s="3" t="s">
        <v>7146</v>
      </c>
      <c r="I181" s="3" t="s">
        <v>7161</v>
      </c>
      <c r="J181" s="3" t="s">
        <v>7156</v>
      </c>
      <c r="K181" s="3" t="s">
        <v>7149</v>
      </c>
      <c r="L181" s="19">
        <v>4.0</v>
      </c>
      <c r="M181" s="3" t="s">
        <v>7506</v>
      </c>
      <c r="N181" s="3" t="s">
        <v>7507</v>
      </c>
      <c r="O181" s="3" t="s">
        <v>7508</v>
      </c>
      <c r="P181" s="19">
        <v>3.0</v>
      </c>
      <c r="Q181" s="19">
        <v>0.0</v>
      </c>
      <c r="R181" s="19">
        <v>1.0</v>
      </c>
      <c r="S181" s="19">
        <v>0.0</v>
      </c>
      <c r="T181" s="3" t="s">
        <v>154</v>
      </c>
      <c r="U181" s="3" t="s">
        <v>329</v>
      </c>
    </row>
    <row r="182">
      <c r="A182" s="3" t="s">
        <v>7509</v>
      </c>
      <c r="B182" s="3" t="s">
        <v>7510</v>
      </c>
      <c r="C182" s="29">
        <v>46009.45833333333</v>
      </c>
      <c r="D182" s="29">
        <v>46009.47916666667</v>
      </c>
      <c r="E182" s="30">
        <v>0.5</v>
      </c>
      <c r="F182" s="2"/>
      <c r="G182" s="2"/>
      <c r="H182" s="3" t="s">
        <v>7146</v>
      </c>
      <c r="I182" s="3" t="s">
        <v>7338</v>
      </c>
      <c r="J182" s="3" t="s">
        <v>7288</v>
      </c>
      <c r="K182" s="3" t="s">
        <v>7146</v>
      </c>
      <c r="L182" s="19">
        <v>0.0</v>
      </c>
      <c r="M182" s="2"/>
      <c r="N182" s="2"/>
      <c r="O182" s="2"/>
      <c r="P182" s="19">
        <v>0.0</v>
      </c>
      <c r="Q182" s="19">
        <v>0.0</v>
      </c>
      <c r="R182" s="19">
        <v>0.0</v>
      </c>
      <c r="S182" s="19">
        <v>0.0</v>
      </c>
      <c r="T182" s="2"/>
      <c r="U182" s="2"/>
    </row>
    <row r="183">
      <c r="A183" s="3" t="s">
        <v>7511</v>
      </c>
      <c r="B183" s="3" t="s">
        <v>7512</v>
      </c>
      <c r="C183" s="29">
        <v>46009.47916666667</v>
      </c>
      <c r="D183" s="29">
        <v>46009.5</v>
      </c>
      <c r="E183" s="30">
        <v>0.5</v>
      </c>
      <c r="F183" s="2"/>
      <c r="G183" s="2"/>
      <c r="H183" s="3" t="s">
        <v>7146</v>
      </c>
      <c r="I183" s="3" t="s">
        <v>7161</v>
      </c>
      <c r="J183" s="3" t="s">
        <v>7156</v>
      </c>
      <c r="K183" s="3" t="s">
        <v>7146</v>
      </c>
      <c r="L183" s="19">
        <v>2.0</v>
      </c>
      <c r="M183" s="3" t="s">
        <v>7371</v>
      </c>
      <c r="N183" s="3" t="s">
        <v>7371</v>
      </c>
      <c r="O183" s="3" t="s">
        <v>7218</v>
      </c>
      <c r="P183" s="19">
        <v>2.0</v>
      </c>
      <c r="Q183" s="19">
        <v>0.0</v>
      </c>
      <c r="R183" s="19">
        <v>0.0</v>
      </c>
      <c r="S183" s="19">
        <v>0.0</v>
      </c>
      <c r="T183" s="2"/>
      <c r="U183" s="2"/>
    </row>
    <row r="184">
      <c r="A184" s="3" t="s">
        <v>7513</v>
      </c>
      <c r="B184" s="3" t="s">
        <v>7514</v>
      </c>
      <c r="C184" s="29">
        <v>46009.5</v>
      </c>
      <c r="D184" s="29">
        <v>46009.52083333333</v>
      </c>
      <c r="E184" s="30">
        <v>0.5</v>
      </c>
      <c r="F184" s="2"/>
      <c r="G184" s="2"/>
      <c r="H184" s="3" t="s">
        <v>7146</v>
      </c>
      <c r="I184" s="3" t="s">
        <v>7161</v>
      </c>
      <c r="J184" s="3" t="s">
        <v>7156</v>
      </c>
      <c r="K184" s="3" t="s">
        <v>7149</v>
      </c>
      <c r="L184" s="19">
        <v>3.0</v>
      </c>
      <c r="M184" s="3" t="s">
        <v>7515</v>
      </c>
      <c r="N184" s="3" t="s">
        <v>7516</v>
      </c>
      <c r="O184" s="3" t="s">
        <v>7517</v>
      </c>
      <c r="P184" s="19">
        <v>2.0</v>
      </c>
      <c r="Q184" s="19">
        <v>0.0</v>
      </c>
      <c r="R184" s="19">
        <v>0.0</v>
      </c>
      <c r="S184" s="19">
        <v>1.0</v>
      </c>
      <c r="T184" s="3" t="s">
        <v>157</v>
      </c>
      <c r="U184" s="3" t="s">
        <v>158</v>
      </c>
    </row>
    <row r="185">
      <c r="A185" s="3" t="s">
        <v>7518</v>
      </c>
      <c r="B185" s="3" t="s">
        <v>7512</v>
      </c>
      <c r="C185" s="29">
        <v>46009.54166666667</v>
      </c>
      <c r="D185" s="29">
        <v>46009.5625</v>
      </c>
      <c r="E185" s="30">
        <v>0.5</v>
      </c>
      <c r="F185" s="2"/>
      <c r="G185" s="2"/>
      <c r="H185" s="3" t="s">
        <v>7146</v>
      </c>
      <c r="I185" s="3" t="s">
        <v>7161</v>
      </c>
      <c r="J185" s="3" t="s">
        <v>7156</v>
      </c>
      <c r="K185" s="3" t="s">
        <v>7146</v>
      </c>
      <c r="L185" s="19">
        <v>2.0</v>
      </c>
      <c r="M185" s="3" t="s">
        <v>7519</v>
      </c>
      <c r="N185" s="3" t="s">
        <v>7519</v>
      </c>
      <c r="O185" s="3" t="s">
        <v>7218</v>
      </c>
      <c r="P185" s="19">
        <v>2.0</v>
      </c>
      <c r="Q185" s="19">
        <v>0.0</v>
      </c>
      <c r="R185" s="19">
        <v>0.0</v>
      </c>
      <c r="S185" s="19">
        <v>0.0</v>
      </c>
      <c r="T185" s="2"/>
      <c r="U185" s="2"/>
    </row>
    <row r="186">
      <c r="A186" s="3" t="s">
        <v>7520</v>
      </c>
      <c r="B186" s="3" t="s">
        <v>7521</v>
      </c>
      <c r="C186" s="29">
        <v>46009.60416666667</v>
      </c>
      <c r="D186" s="29">
        <v>46009.625</v>
      </c>
      <c r="E186" s="30">
        <v>0.5</v>
      </c>
      <c r="G186" s="2"/>
      <c r="H186" s="3" t="s">
        <v>7146</v>
      </c>
      <c r="I186" s="3" t="s">
        <v>7161</v>
      </c>
      <c r="J186" s="3" t="s">
        <v>7274</v>
      </c>
      <c r="K186" s="3" t="s">
        <v>7146</v>
      </c>
      <c r="L186" s="19">
        <v>1.0</v>
      </c>
      <c r="M186" s="3" t="s">
        <v>7288</v>
      </c>
      <c r="N186" s="3" t="s">
        <v>7288</v>
      </c>
      <c r="O186" s="3" t="s">
        <v>7161</v>
      </c>
      <c r="P186" s="19">
        <v>1.0</v>
      </c>
      <c r="Q186" s="19">
        <v>0.0</v>
      </c>
      <c r="R186" s="19">
        <v>0.0</v>
      </c>
      <c r="S186" s="19">
        <v>0.0</v>
      </c>
      <c r="T186" s="2"/>
      <c r="U186" s="2"/>
    </row>
    <row r="187">
      <c r="A187" s="3" t="s">
        <v>7522</v>
      </c>
      <c r="B187" s="3" t="s">
        <v>7144</v>
      </c>
      <c r="C187" s="29">
        <v>46009.70833333333</v>
      </c>
      <c r="D187" s="29">
        <v>46009.72916666667</v>
      </c>
      <c r="E187" s="30">
        <v>0.5</v>
      </c>
      <c r="F187" s="2"/>
      <c r="G187" s="3" t="s">
        <v>7145</v>
      </c>
      <c r="H187" s="3" t="s">
        <v>7146</v>
      </c>
      <c r="I187" s="3" t="s">
        <v>7161</v>
      </c>
      <c r="J187" s="3" t="s">
        <v>7148</v>
      </c>
      <c r="K187" s="3" t="s">
        <v>7149</v>
      </c>
      <c r="L187" s="19">
        <v>15.0</v>
      </c>
      <c r="M187" s="3" t="s">
        <v>7150</v>
      </c>
      <c r="N187" s="3" t="s">
        <v>7151</v>
      </c>
      <c r="O187" s="3" t="s">
        <v>7523</v>
      </c>
      <c r="P187" s="19">
        <v>9.0</v>
      </c>
      <c r="Q187" s="19">
        <v>1.0</v>
      </c>
      <c r="R187" s="19">
        <v>1.0</v>
      </c>
      <c r="S187" s="19">
        <v>4.0</v>
      </c>
      <c r="T187" s="3" t="s">
        <v>160</v>
      </c>
      <c r="U187" s="3" t="s">
        <v>440</v>
      </c>
    </row>
    <row r="188">
      <c r="A188" s="3" t="s">
        <v>7524</v>
      </c>
      <c r="B188" s="3" t="s">
        <v>7525</v>
      </c>
      <c r="C188" s="29">
        <v>46010.4375</v>
      </c>
      <c r="D188" s="29">
        <v>46010.45833333333</v>
      </c>
      <c r="E188" s="30">
        <v>0.5</v>
      </c>
      <c r="F188" s="2"/>
      <c r="G188" s="2"/>
      <c r="H188" s="3" t="s">
        <v>7146</v>
      </c>
      <c r="I188" s="3" t="s">
        <v>7338</v>
      </c>
      <c r="J188" s="3" t="s">
        <v>7288</v>
      </c>
      <c r="K188" s="3" t="s">
        <v>7146</v>
      </c>
      <c r="L188" s="19">
        <v>2.0</v>
      </c>
      <c r="M188" s="3" t="s">
        <v>7526</v>
      </c>
      <c r="N188" s="3" t="s">
        <v>7526</v>
      </c>
      <c r="O188" s="3" t="s">
        <v>7218</v>
      </c>
      <c r="P188" s="19">
        <v>2.0</v>
      </c>
      <c r="Q188" s="19">
        <v>0.0</v>
      </c>
      <c r="R188" s="19">
        <v>0.0</v>
      </c>
      <c r="S188" s="19">
        <v>0.0</v>
      </c>
      <c r="T188" s="2"/>
      <c r="U188" s="2"/>
    </row>
    <row r="189">
      <c r="A189" s="3" t="s">
        <v>7527</v>
      </c>
      <c r="B189" s="3" t="s">
        <v>7528</v>
      </c>
      <c r="C189" s="29">
        <v>46013.45833333333</v>
      </c>
      <c r="D189" s="29">
        <v>46013.47916666667</v>
      </c>
      <c r="E189" s="30">
        <v>0.5</v>
      </c>
      <c r="F189" s="2"/>
      <c r="G189" s="2"/>
      <c r="H189" s="3" t="s">
        <v>7146</v>
      </c>
      <c r="I189" s="3" t="s">
        <v>7338</v>
      </c>
      <c r="J189" s="3" t="s">
        <v>7288</v>
      </c>
      <c r="K189" s="3" t="s">
        <v>7146</v>
      </c>
      <c r="L189" s="19">
        <v>1.0</v>
      </c>
      <c r="M189" s="3" t="s">
        <v>7503</v>
      </c>
      <c r="N189" s="3" t="s">
        <v>7503</v>
      </c>
      <c r="O189" s="3" t="s">
        <v>7161</v>
      </c>
      <c r="P189" s="19">
        <v>1.0</v>
      </c>
      <c r="Q189" s="19">
        <v>0.0</v>
      </c>
      <c r="R189" s="19">
        <v>0.0</v>
      </c>
      <c r="S189" s="19">
        <v>0.0</v>
      </c>
      <c r="T189" s="2"/>
      <c r="U189" s="2"/>
    </row>
    <row r="190">
      <c r="A190" s="3" t="s">
        <v>7529</v>
      </c>
      <c r="B190" s="3" t="s">
        <v>7530</v>
      </c>
      <c r="C190" s="29">
        <v>46013.48958333333</v>
      </c>
      <c r="D190" s="29">
        <v>46013.5</v>
      </c>
      <c r="E190" s="30">
        <v>0.25</v>
      </c>
      <c r="F190" s="25" t="s">
        <v>7531</v>
      </c>
      <c r="G190" s="3" t="s">
        <v>7532</v>
      </c>
      <c r="H190" s="3" t="s">
        <v>7146</v>
      </c>
      <c r="I190" s="3" t="s">
        <v>7161</v>
      </c>
      <c r="J190" s="3" t="s">
        <v>7315</v>
      </c>
      <c r="K190" s="3" t="s">
        <v>7146</v>
      </c>
      <c r="L190" s="19">
        <v>1.0</v>
      </c>
      <c r="M190" s="3" t="s">
        <v>7288</v>
      </c>
      <c r="N190" s="3" t="s">
        <v>7288</v>
      </c>
      <c r="O190" s="3" t="s">
        <v>7161</v>
      </c>
      <c r="P190" s="19">
        <v>1.0</v>
      </c>
      <c r="Q190" s="19">
        <v>0.0</v>
      </c>
      <c r="R190" s="19">
        <v>0.0</v>
      </c>
      <c r="S190" s="19">
        <v>0.0</v>
      </c>
      <c r="T190" s="2"/>
      <c r="U190" s="2"/>
    </row>
    <row r="191">
      <c r="A191" s="3" t="s">
        <v>7533</v>
      </c>
      <c r="B191" s="3" t="s">
        <v>7534</v>
      </c>
      <c r="C191" s="29">
        <v>46013.5</v>
      </c>
      <c r="D191" s="29">
        <v>46013.52083333333</v>
      </c>
      <c r="E191" s="30">
        <v>0.5</v>
      </c>
      <c r="F191" s="25" t="s">
        <v>7535</v>
      </c>
      <c r="G191" s="3" t="s">
        <v>7536</v>
      </c>
      <c r="H191" s="3" t="s">
        <v>7146</v>
      </c>
      <c r="I191" s="3" t="s">
        <v>7161</v>
      </c>
      <c r="J191" s="3" t="s">
        <v>7315</v>
      </c>
      <c r="K191" s="3" t="s">
        <v>7146</v>
      </c>
      <c r="L191" s="19">
        <v>5.0</v>
      </c>
      <c r="M191" s="3" t="s">
        <v>7537</v>
      </c>
      <c r="N191" s="3" t="s">
        <v>7537</v>
      </c>
      <c r="O191" s="3" t="s">
        <v>7538</v>
      </c>
      <c r="P191" s="19">
        <v>3.0</v>
      </c>
      <c r="Q191" s="19">
        <v>0.0</v>
      </c>
      <c r="R191" s="19">
        <v>0.0</v>
      </c>
      <c r="S191" s="19">
        <v>2.0</v>
      </c>
      <c r="T191" s="3" t="s">
        <v>163</v>
      </c>
      <c r="U191" s="3" t="s">
        <v>430</v>
      </c>
    </row>
    <row r="192">
      <c r="A192" s="3" t="s">
        <v>7539</v>
      </c>
      <c r="B192" s="3" t="s">
        <v>7540</v>
      </c>
      <c r="C192" s="29">
        <v>46013.54166666667</v>
      </c>
      <c r="D192" s="29">
        <v>46013.55208333333</v>
      </c>
      <c r="E192" s="30">
        <v>0.25</v>
      </c>
      <c r="F192" s="2"/>
      <c r="G192" s="2"/>
      <c r="H192" s="3" t="s">
        <v>7146</v>
      </c>
      <c r="I192" s="3" t="s">
        <v>7240</v>
      </c>
      <c r="J192" s="3" t="s">
        <v>7156</v>
      </c>
      <c r="K192" s="3" t="s">
        <v>7146</v>
      </c>
      <c r="L192" s="19">
        <v>1.0</v>
      </c>
      <c r="M192" s="3" t="s">
        <v>7288</v>
      </c>
      <c r="N192" s="3" t="s">
        <v>7288</v>
      </c>
      <c r="O192" s="3" t="s">
        <v>7240</v>
      </c>
      <c r="P192" s="19">
        <v>0.0</v>
      </c>
      <c r="Q192" s="19">
        <v>0.0</v>
      </c>
      <c r="R192" s="19">
        <v>0.0</v>
      </c>
      <c r="S192" s="19">
        <v>1.0</v>
      </c>
      <c r="T192" s="2"/>
      <c r="U192" s="2"/>
      <c r="V192" s="2"/>
    </row>
    <row r="193">
      <c r="A193" s="3" t="s">
        <v>7462</v>
      </c>
      <c r="B193" s="3" t="s">
        <v>7463</v>
      </c>
      <c r="C193" s="29">
        <v>46013.60416666667</v>
      </c>
      <c r="D193" s="29">
        <v>46013.625</v>
      </c>
      <c r="E193" s="30">
        <v>0.5</v>
      </c>
      <c r="F193" s="2"/>
      <c r="G193" s="3" t="s">
        <v>7541</v>
      </c>
      <c r="H193" s="3" t="s">
        <v>7146</v>
      </c>
      <c r="I193" s="3" t="s">
        <v>7338</v>
      </c>
      <c r="J193" s="3" t="s">
        <v>7288</v>
      </c>
      <c r="K193" s="3" t="s">
        <v>7149</v>
      </c>
      <c r="L193" s="19">
        <v>2.0</v>
      </c>
      <c r="M193" s="3" t="s">
        <v>7465</v>
      </c>
      <c r="N193" s="3" t="s">
        <v>7465</v>
      </c>
      <c r="O193" s="3" t="s">
        <v>7244</v>
      </c>
      <c r="P193" s="19">
        <v>0.0</v>
      </c>
      <c r="Q193" s="19">
        <v>0.0</v>
      </c>
      <c r="R193" s="19">
        <v>0.0</v>
      </c>
      <c r="S193" s="19">
        <v>2.0</v>
      </c>
      <c r="T193" s="3" t="s">
        <v>101</v>
      </c>
      <c r="U193" s="3" t="s">
        <v>511</v>
      </c>
      <c r="V193" s="2"/>
    </row>
    <row r="194">
      <c r="A194" s="3" t="s">
        <v>7542</v>
      </c>
      <c r="B194" s="3" t="s">
        <v>7543</v>
      </c>
      <c r="C194" s="29">
        <v>46014.39583333333</v>
      </c>
      <c r="D194" s="29">
        <v>46014.41666666667</v>
      </c>
      <c r="E194" s="30">
        <v>0.5</v>
      </c>
      <c r="F194" s="2"/>
      <c r="G194" s="2"/>
      <c r="H194" s="3" t="s">
        <v>7146</v>
      </c>
      <c r="I194" s="3" t="s">
        <v>7240</v>
      </c>
      <c r="J194" s="3" t="s">
        <v>7156</v>
      </c>
      <c r="K194" s="3" t="s">
        <v>7146</v>
      </c>
      <c r="L194" s="19">
        <v>1.0</v>
      </c>
      <c r="M194" s="3" t="s">
        <v>7288</v>
      </c>
      <c r="N194" s="3" t="s">
        <v>7288</v>
      </c>
      <c r="O194" s="3" t="s">
        <v>7240</v>
      </c>
      <c r="P194" s="19">
        <v>0.0</v>
      </c>
      <c r="Q194" s="19">
        <v>0.0</v>
      </c>
      <c r="R194" s="19">
        <v>0.0</v>
      </c>
      <c r="S194" s="19">
        <v>1.0</v>
      </c>
      <c r="T194" s="2"/>
      <c r="U194" s="2"/>
      <c r="V194" s="2"/>
    </row>
    <row r="195">
      <c r="A195" s="3" t="s">
        <v>7233</v>
      </c>
      <c r="B195" s="3" t="s">
        <v>7234</v>
      </c>
      <c r="C195" s="29">
        <v>46014.4375</v>
      </c>
      <c r="D195" s="29">
        <v>46014.45833333333</v>
      </c>
      <c r="E195" s="30">
        <v>0.5</v>
      </c>
      <c r="G195" s="2"/>
      <c r="H195" s="3" t="s">
        <v>7146</v>
      </c>
      <c r="I195" s="3" t="s">
        <v>7147</v>
      </c>
      <c r="J195" s="3" t="s">
        <v>7156</v>
      </c>
      <c r="K195" s="3" t="s">
        <v>7149</v>
      </c>
      <c r="L195" s="19">
        <v>4.0</v>
      </c>
      <c r="M195" s="3" t="s">
        <v>7235</v>
      </c>
      <c r="N195" s="3" t="s">
        <v>7235</v>
      </c>
      <c r="O195" s="3" t="s">
        <v>7236</v>
      </c>
      <c r="P195" s="19">
        <v>1.0</v>
      </c>
      <c r="Q195" s="19">
        <v>0.0</v>
      </c>
      <c r="R195" s="19">
        <v>0.0</v>
      </c>
      <c r="S195" s="19">
        <v>3.0</v>
      </c>
      <c r="T195" s="3" t="s">
        <v>166</v>
      </c>
      <c r="U195" s="3" t="s">
        <v>167</v>
      </c>
    </row>
    <row r="196">
      <c r="A196" s="3" t="s">
        <v>7544</v>
      </c>
      <c r="B196" s="3" t="s">
        <v>7183</v>
      </c>
      <c r="C196" s="29">
        <v>46014.5</v>
      </c>
      <c r="D196" s="29">
        <v>46014.52083333333</v>
      </c>
      <c r="E196" s="30">
        <v>0.5</v>
      </c>
      <c r="F196" s="2"/>
      <c r="G196" s="3" t="s">
        <v>7184</v>
      </c>
      <c r="H196" s="3" t="s">
        <v>7146</v>
      </c>
      <c r="I196" s="3" t="s">
        <v>7161</v>
      </c>
      <c r="J196" s="3" t="s">
        <v>7156</v>
      </c>
      <c r="K196" s="3" t="s">
        <v>7149</v>
      </c>
      <c r="L196" s="19">
        <v>3.0</v>
      </c>
      <c r="M196" s="3" t="s">
        <v>7185</v>
      </c>
      <c r="N196" s="3" t="s">
        <v>7186</v>
      </c>
      <c r="O196" s="3" t="s">
        <v>7187</v>
      </c>
      <c r="P196" s="19">
        <v>2.0</v>
      </c>
      <c r="Q196" s="19">
        <v>0.0</v>
      </c>
      <c r="R196" s="19">
        <v>1.0</v>
      </c>
      <c r="S196" s="19">
        <v>0.0</v>
      </c>
      <c r="T196" s="3" t="s">
        <v>184</v>
      </c>
      <c r="U196" s="3" t="s">
        <v>478</v>
      </c>
    </row>
    <row r="197">
      <c r="A197" s="3" t="s">
        <v>7545</v>
      </c>
      <c r="B197" s="3" t="s">
        <v>7546</v>
      </c>
      <c r="C197" s="29">
        <v>46014.5625</v>
      </c>
      <c r="D197" s="29">
        <v>46014.58333333333</v>
      </c>
      <c r="E197" s="30">
        <v>0.5</v>
      </c>
      <c r="G197" s="2"/>
      <c r="H197" s="3" t="s">
        <v>7146</v>
      </c>
      <c r="I197" s="3" t="s">
        <v>7338</v>
      </c>
      <c r="J197" s="3" t="s">
        <v>7288</v>
      </c>
      <c r="K197" s="3" t="s">
        <v>7149</v>
      </c>
      <c r="L197" s="19">
        <v>2.0</v>
      </c>
      <c r="M197" s="3" t="s">
        <v>7547</v>
      </c>
      <c r="N197" s="3" t="s">
        <v>7547</v>
      </c>
      <c r="O197" s="3" t="s">
        <v>7285</v>
      </c>
      <c r="P197" s="19">
        <v>1.0</v>
      </c>
      <c r="Q197" s="19">
        <v>0.0</v>
      </c>
      <c r="R197" s="19">
        <v>0.0</v>
      </c>
      <c r="S197" s="19">
        <v>1.0</v>
      </c>
      <c r="T197" s="3" t="s">
        <v>119</v>
      </c>
      <c r="U197" s="3" t="s">
        <v>251</v>
      </c>
      <c r="V197" s="2"/>
    </row>
    <row r="198">
      <c r="A198" s="3" t="s">
        <v>7505</v>
      </c>
      <c r="B198" s="3" t="s">
        <v>7160</v>
      </c>
      <c r="C198" s="29">
        <v>46023.4375</v>
      </c>
      <c r="D198" s="29">
        <v>46023.45833333333</v>
      </c>
      <c r="E198" s="30">
        <v>0.5</v>
      </c>
      <c r="F198" s="2"/>
      <c r="G198" s="2"/>
      <c r="H198" s="3" t="s">
        <v>7146</v>
      </c>
      <c r="I198" s="3" t="s">
        <v>7387</v>
      </c>
      <c r="J198" s="3" t="s">
        <v>7156</v>
      </c>
      <c r="K198" s="3" t="s">
        <v>7149</v>
      </c>
      <c r="L198" s="19">
        <v>3.0</v>
      </c>
      <c r="M198" s="3" t="s">
        <v>7229</v>
      </c>
      <c r="N198" s="3" t="s">
        <v>7230</v>
      </c>
      <c r="O198" s="3" t="s">
        <v>7251</v>
      </c>
      <c r="P198" s="19">
        <v>3.0</v>
      </c>
      <c r="Q198" s="19">
        <v>0.0</v>
      </c>
      <c r="R198" s="19">
        <v>0.0</v>
      </c>
      <c r="S198" s="19">
        <v>0.0</v>
      </c>
      <c r="T198" s="3" t="s">
        <v>154</v>
      </c>
      <c r="U198" s="3" t="s">
        <v>329</v>
      </c>
      <c r="V198" s="2"/>
    </row>
    <row r="199">
      <c r="A199" s="3" t="s">
        <v>7548</v>
      </c>
      <c r="B199" s="3" t="s">
        <v>7163</v>
      </c>
      <c r="C199" s="29">
        <v>46023.58333333333</v>
      </c>
      <c r="D199" s="29">
        <v>46023.60416666667</v>
      </c>
      <c r="E199" s="30">
        <v>0.5</v>
      </c>
      <c r="F199" s="2"/>
      <c r="G199" s="2"/>
      <c r="H199" s="3" t="s">
        <v>7146</v>
      </c>
      <c r="I199" s="3" t="s">
        <v>7387</v>
      </c>
      <c r="J199" s="3" t="s">
        <v>7156</v>
      </c>
      <c r="K199" s="3" t="s">
        <v>7149</v>
      </c>
      <c r="L199" s="19">
        <v>6.0</v>
      </c>
      <c r="M199" s="3" t="s">
        <v>7164</v>
      </c>
      <c r="N199" s="3" t="s">
        <v>7164</v>
      </c>
      <c r="O199" s="3" t="s">
        <v>7165</v>
      </c>
      <c r="P199" s="19">
        <v>1.0</v>
      </c>
      <c r="Q199" s="19">
        <v>3.0</v>
      </c>
      <c r="R199" s="19">
        <v>0.0</v>
      </c>
      <c r="S199" s="19">
        <v>2.0</v>
      </c>
      <c r="T199" s="3" t="s">
        <v>151</v>
      </c>
      <c r="U199" s="3" t="s">
        <v>370</v>
      </c>
      <c r="V199" s="2"/>
    </row>
    <row r="200">
      <c r="A200" s="3" t="s">
        <v>7549</v>
      </c>
      <c r="B200" s="3" t="s">
        <v>7550</v>
      </c>
      <c r="C200" s="29">
        <v>46024.38541666667</v>
      </c>
      <c r="D200" s="29">
        <v>46024.39583333333</v>
      </c>
      <c r="E200" s="30">
        <v>0.25</v>
      </c>
      <c r="G200" s="2"/>
      <c r="H200" s="3" t="s">
        <v>7146</v>
      </c>
      <c r="I200" s="3" t="s">
        <v>7240</v>
      </c>
      <c r="J200" s="3" t="s">
        <v>7156</v>
      </c>
      <c r="K200" s="3" t="s">
        <v>7146</v>
      </c>
      <c r="L200" s="19">
        <v>1.0</v>
      </c>
      <c r="M200" s="3" t="s">
        <v>7288</v>
      </c>
      <c r="N200" s="3" t="s">
        <v>7288</v>
      </c>
      <c r="O200" s="3" t="s">
        <v>7240</v>
      </c>
      <c r="P200" s="19">
        <v>0.0</v>
      </c>
      <c r="Q200" s="19">
        <v>0.0</v>
      </c>
      <c r="R200" s="19">
        <v>0.0</v>
      </c>
      <c r="S200" s="19">
        <v>1.0</v>
      </c>
      <c r="T200" s="2"/>
      <c r="U200" s="2"/>
      <c r="V200" s="2"/>
    </row>
    <row r="201">
      <c r="A201" s="3" t="s">
        <v>7551</v>
      </c>
      <c r="B201" s="3" t="s">
        <v>7178</v>
      </c>
      <c r="C201" s="29">
        <v>46024.39583333333</v>
      </c>
      <c r="D201" s="29">
        <v>46024.41666666667</v>
      </c>
      <c r="E201" s="30">
        <v>0.5</v>
      </c>
      <c r="F201" s="2"/>
      <c r="G201" s="3" t="s">
        <v>7179</v>
      </c>
      <c r="H201" s="3" t="s">
        <v>7146</v>
      </c>
      <c r="I201" s="3" t="s">
        <v>7161</v>
      </c>
      <c r="J201" s="3" t="s">
        <v>7156</v>
      </c>
      <c r="K201" s="3" t="s">
        <v>7149</v>
      </c>
      <c r="L201" s="19">
        <v>4.0</v>
      </c>
      <c r="M201" s="3" t="s">
        <v>7440</v>
      </c>
      <c r="N201" s="3" t="s">
        <v>7440</v>
      </c>
      <c r="O201" s="3" t="s">
        <v>7441</v>
      </c>
      <c r="P201" s="19">
        <v>2.0</v>
      </c>
      <c r="Q201" s="19">
        <v>1.0</v>
      </c>
      <c r="R201" s="19">
        <v>0.0</v>
      </c>
      <c r="S201" s="19">
        <v>1.0</v>
      </c>
      <c r="T201" s="3" t="s">
        <v>169</v>
      </c>
      <c r="U201" s="3" t="s">
        <v>170</v>
      </c>
    </row>
    <row r="202">
      <c r="A202" s="3" t="s">
        <v>7552</v>
      </c>
      <c r="B202" s="3" t="s">
        <v>7553</v>
      </c>
      <c r="C202" s="29">
        <v>46027.39583333333</v>
      </c>
      <c r="D202" s="29">
        <v>46027.41666666667</v>
      </c>
      <c r="E202" s="30">
        <v>0.5</v>
      </c>
      <c r="F202" s="2"/>
      <c r="G202" s="3" t="s">
        <v>7554</v>
      </c>
      <c r="H202" s="3" t="s">
        <v>7146</v>
      </c>
      <c r="I202" s="3" t="s">
        <v>7161</v>
      </c>
      <c r="J202" s="3" t="s">
        <v>7156</v>
      </c>
      <c r="K202" s="3" t="s">
        <v>7146</v>
      </c>
      <c r="L202" s="19">
        <v>1.0</v>
      </c>
      <c r="M202" s="3" t="s">
        <v>7288</v>
      </c>
      <c r="N202" s="3" t="s">
        <v>7288</v>
      </c>
      <c r="O202" s="3" t="s">
        <v>7161</v>
      </c>
      <c r="P202" s="19">
        <v>1.0</v>
      </c>
      <c r="Q202" s="19">
        <v>0.0</v>
      </c>
      <c r="R202" s="19">
        <v>0.0</v>
      </c>
      <c r="S202" s="19">
        <v>0.0</v>
      </c>
      <c r="T202" s="2"/>
      <c r="U202" s="2"/>
    </row>
    <row r="203">
      <c r="A203" s="3" t="s">
        <v>7555</v>
      </c>
      <c r="B203" s="3" t="s">
        <v>7234</v>
      </c>
      <c r="C203" s="29">
        <v>46027.58333333333</v>
      </c>
      <c r="D203" s="29">
        <v>46027.60416666667</v>
      </c>
      <c r="E203" s="30">
        <v>0.5</v>
      </c>
      <c r="F203" s="2"/>
      <c r="G203" s="2"/>
      <c r="H203" s="3" t="s">
        <v>7146</v>
      </c>
      <c r="I203" s="3" t="s">
        <v>7147</v>
      </c>
      <c r="J203" s="3" t="s">
        <v>7156</v>
      </c>
      <c r="K203" s="3" t="s">
        <v>7149</v>
      </c>
      <c r="L203" s="19">
        <v>4.0</v>
      </c>
      <c r="M203" s="3" t="s">
        <v>7235</v>
      </c>
      <c r="N203" s="3" t="s">
        <v>7235</v>
      </c>
      <c r="O203" s="3" t="s">
        <v>7236</v>
      </c>
      <c r="P203" s="19">
        <v>1.0</v>
      </c>
      <c r="Q203" s="19">
        <v>0.0</v>
      </c>
      <c r="R203" s="19">
        <v>0.0</v>
      </c>
      <c r="S203" s="19">
        <v>3.0</v>
      </c>
      <c r="T203" s="3" t="s">
        <v>166</v>
      </c>
      <c r="U203" s="3" t="s">
        <v>167</v>
      </c>
    </row>
    <row r="204">
      <c r="A204" s="3" t="s">
        <v>7462</v>
      </c>
      <c r="B204" s="3" t="s">
        <v>7463</v>
      </c>
      <c r="C204" s="29">
        <v>46027.60416666667</v>
      </c>
      <c r="D204" s="29">
        <v>46027.625</v>
      </c>
      <c r="E204" s="30">
        <v>0.5</v>
      </c>
      <c r="F204" s="2"/>
      <c r="G204" s="3" t="s">
        <v>7541</v>
      </c>
      <c r="H204" s="3" t="s">
        <v>7146</v>
      </c>
      <c r="I204" s="3" t="s">
        <v>7338</v>
      </c>
      <c r="J204" s="3" t="s">
        <v>7288</v>
      </c>
      <c r="K204" s="3" t="s">
        <v>7149</v>
      </c>
      <c r="L204" s="19">
        <v>2.0</v>
      </c>
      <c r="M204" s="3" t="s">
        <v>7465</v>
      </c>
      <c r="N204" s="3" t="s">
        <v>7465</v>
      </c>
      <c r="O204" s="3" t="s">
        <v>7244</v>
      </c>
      <c r="P204" s="19">
        <v>0.0</v>
      </c>
      <c r="Q204" s="19">
        <v>0.0</v>
      </c>
      <c r="R204" s="19">
        <v>0.0</v>
      </c>
      <c r="S204" s="19">
        <v>2.0</v>
      </c>
      <c r="T204" s="3" t="s">
        <v>101</v>
      </c>
      <c r="U204" s="3" t="s">
        <v>511</v>
      </c>
    </row>
    <row r="205">
      <c r="A205" s="3" t="s">
        <v>7556</v>
      </c>
      <c r="B205" s="3" t="s">
        <v>7211</v>
      </c>
      <c r="C205" s="29">
        <v>46028.54166666667</v>
      </c>
      <c r="D205" s="29">
        <v>46028.5625</v>
      </c>
      <c r="E205" s="30">
        <v>0.5</v>
      </c>
      <c r="F205" s="2"/>
      <c r="G205" s="3" t="s">
        <v>7212</v>
      </c>
      <c r="H205" s="3" t="s">
        <v>7146</v>
      </c>
      <c r="I205" s="3" t="s">
        <v>7161</v>
      </c>
      <c r="J205" s="3" t="s">
        <v>7156</v>
      </c>
      <c r="K205" s="3" t="s">
        <v>7149</v>
      </c>
      <c r="L205" s="19">
        <v>4.0</v>
      </c>
      <c r="M205" s="3" t="s">
        <v>7213</v>
      </c>
      <c r="N205" s="3" t="s">
        <v>7213</v>
      </c>
      <c r="O205" s="3" t="s">
        <v>7446</v>
      </c>
      <c r="P205" s="19">
        <v>3.0</v>
      </c>
      <c r="Q205" s="19">
        <v>0.0</v>
      </c>
      <c r="R205" s="19">
        <v>0.0</v>
      </c>
      <c r="S205" s="19">
        <v>1.0</v>
      </c>
      <c r="T205" s="3" t="s">
        <v>175</v>
      </c>
      <c r="U205" s="3" t="s">
        <v>422</v>
      </c>
    </row>
    <row r="206">
      <c r="A206" s="3" t="s">
        <v>7545</v>
      </c>
      <c r="B206" s="3" t="s">
        <v>7546</v>
      </c>
      <c r="C206" s="29">
        <v>46028.5625</v>
      </c>
      <c r="D206" s="29">
        <v>46028.58333333333</v>
      </c>
      <c r="E206" s="30">
        <v>0.5</v>
      </c>
      <c r="F206" s="2"/>
      <c r="G206" s="2"/>
      <c r="H206" s="3" t="s">
        <v>7146</v>
      </c>
      <c r="I206" s="3" t="s">
        <v>7338</v>
      </c>
      <c r="J206" s="3" t="s">
        <v>7288</v>
      </c>
      <c r="K206" s="3" t="s">
        <v>7149</v>
      </c>
      <c r="L206" s="19">
        <v>2.0</v>
      </c>
      <c r="M206" s="3" t="s">
        <v>7547</v>
      </c>
      <c r="N206" s="3" t="s">
        <v>7547</v>
      </c>
      <c r="O206" s="3" t="s">
        <v>7445</v>
      </c>
      <c r="P206" s="19">
        <v>1.0</v>
      </c>
      <c r="Q206" s="19">
        <v>1.0</v>
      </c>
      <c r="R206" s="19">
        <v>0.0</v>
      </c>
      <c r="S206" s="19">
        <v>0.0</v>
      </c>
      <c r="T206" s="3" t="s">
        <v>119</v>
      </c>
      <c r="U206" s="3" t="s">
        <v>251</v>
      </c>
    </row>
    <row r="207">
      <c r="A207" s="3" t="s">
        <v>7557</v>
      </c>
      <c r="B207" s="3" t="s">
        <v>7173</v>
      </c>
      <c r="C207" s="29">
        <v>46028.58333333333</v>
      </c>
      <c r="D207" s="29">
        <v>46028.60416666667</v>
      </c>
      <c r="E207" s="30">
        <v>0.5</v>
      </c>
      <c r="F207" s="2"/>
      <c r="G207" s="2"/>
      <c r="H207" s="3" t="s">
        <v>7146</v>
      </c>
      <c r="I207" s="3" t="s">
        <v>7161</v>
      </c>
      <c r="J207" s="3" t="s">
        <v>7156</v>
      </c>
      <c r="K207" s="3" t="s">
        <v>7149</v>
      </c>
      <c r="L207" s="19">
        <v>9.0</v>
      </c>
      <c r="M207" s="3" t="s">
        <v>7174</v>
      </c>
      <c r="N207" s="3" t="s">
        <v>7175</v>
      </c>
      <c r="O207" s="3" t="s">
        <v>7558</v>
      </c>
      <c r="P207" s="19">
        <v>3.0</v>
      </c>
      <c r="Q207" s="19">
        <v>1.0</v>
      </c>
      <c r="R207" s="19">
        <v>0.0</v>
      </c>
      <c r="S207" s="19">
        <v>5.0</v>
      </c>
      <c r="T207" s="3" t="s">
        <v>110</v>
      </c>
      <c r="U207" s="3" t="s">
        <v>111</v>
      </c>
    </row>
    <row r="208">
      <c r="A208" s="3" t="s">
        <v>7559</v>
      </c>
      <c r="B208" s="3" t="s">
        <v>7560</v>
      </c>
      <c r="C208" s="29">
        <v>46029.419444444444</v>
      </c>
      <c r="D208" s="29">
        <v>46029.455555555556</v>
      </c>
      <c r="E208" s="30">
        <v>0.8666666666666667</v>
      </c>
      <c r="F208" s="2"/>
      <c r="G208" s="2"/>
      <c r="H208" s="3" t="s">
        <v>7146</v>
      </c>
      <c r="I208" s="3" t="s">
        <v>7240</v>
      </c>
      <c r="J208" s="3" t="s">
        <v>7490</v>
      </c>
      <c r="K208" s="3" t="s">
        <v>7149</v>
      </c>
      <c r="L208" s="19">
        <v>19.0</v>
      </c>
      <c r="M208" s="3" t="s">
        <v>7561</v>
      </c>
      <c r="N208" s="3" t="s">
        <v>7562</v>
      </c>
      <c r="O208" s="3" t="s">
        <v>7563</v>
      </c>
      <c r="P208" s="19">
        <v>16.0</v>
      </c>
      <c r="Q208" s="19">
        <v>0.0</v>
      </c>
      <c r="R208" s="19">
        <v>0.0</v>
      </c>
      <c r="S208" s="19">
        <v>3.0</v>
      </c>
      <c r="T208" s="2"/>
      <c r="U208" s="2"/>
    </row>
    <row r="209">
      <c r="A209" s="3" t="s">
        <v>7564</v>
      </c>
      <c r="B209" s="3" t="s">
        <v>7266</v>
      </c>
      <c r="C209" s="29">
        <v>46030.33333333333</v>
      </c>
      <c r="D209" s="29">
        <v>46030.35416666667</v>
      </c>
      <c r="E209" s="30">
        <v>0.5</v>
      </c>
      <c r="F209" s="2"/>
      <c r="G209" s="2"/>
      <c r="H209" s="3" t="s">
        <v>7146</v>
      </c>
      <c r="I209" s="3" t="s">
        <v>7161</v>
      </c>
      <c r="J209" s="3" t="s">
        <v>7156</v>
      </c>
      <c r="K209" s="3" t="s">
        <v>7149</v>
      </c>
      <c r="L209" s="19">
        <v>4.0</v>
      </c>
      <c r="M209" s="3" t="s">
        <v>7267</v>
      </c>
      <c r="N209" s="3" t="s">
        <v>7267</v>
      </c>
      <c r="O209" s="3" t="s">
        <v>7565</v>
      </c>
      <c r="P209" s="19">
        <v>2.0</v>
      </c>
      <c r="Q209" s="19">
        <v>0.0</v>
      </c>
      <c r="R209" s="19">
        <v>0.0</v>
      </c>
      <c r="S209" s="19">
        <v>2.0</v>
      </c>
      <c r="T209" s="3" t="s">
        <v>6752</v>
      </c>
      <c r="U209" s="3" t="s">
        <v>319</v>
      </c>
      <c r="V209" s="3" t="s">
        <v>7566</v>
      </c>
    </row>
    <row r="210">
      <c r="A210" s="3" t="s">
        <v>7567</v>
      </c>
      <c r="B210" s="3" t="s">
        <v>7189</v>
      </c>
      <c r="C210" s="29">
        <v>46030.39583333333</v>
      </c>
      <c r="D210" s="29">
        <v>46030.41666666667</v>
      </c>
      <c r="E210" s="30">
        <v>0.5</v>
      </c>
      <c r="F210" s="2"/>
      <c r="G210" s="3" t="s">
        <v>7190</v>
      </c>
      <c r="H210" s="3" t="s">
        <v>7146</v>
      </c>
      <c r="I210" s="3" t="s">
        <v>7161</v>
      </c>
      <c r="J210" s="3" t="s">
        <v>7168</v>
      </c>
      <c r="K210" s="3" t="s">
        <v>7149</v>
      </c>
      <c r="L210" s="19">
        <v>6.0</v>
      </c>
      <c r="M210" s="3" t="s">
        <v>7196</v>
      </c>
      <c r="N210" s="3" t="s">
        <v>7196</v>
      </c>
      <c r="O210" s="3" t="s">
        <v>7568</v>
      </c>
      <c r="P210" s="19">
        <v>0.0</v>
      </c>
      <c r="Q210" s="19">
        <v>0.0</v>
      </c>
      <c r="R210" s="19">
        <v>0.0</v>
      </c>
      <c r="S210" s="19">
        <v>6.0</v>
      </c>
      <c r="T210" s="3" t="s">
        <v>178</v>
      </c>
      <c r="U210" s="3" t="s">
        <v>179</v>
      </c>
      <c r="V210" s="3" t="s">
        <v>7569</v>
      </c>
    </row>
    <row r="211">
      <c r="A211" s="3" t="s">
        <v>7418</v>
      </c>
      <c r="B211" s="3" t="s">
        <v>7262</v>
      </c>
      <c r="C211" s="29">
        <v>46030.4375</v>
      </c>
      <c r="D211" s="29">
        <v>46030.45833333333</v>
      </c>
      <c r="E211" s="30">
        <v>0.5</v>
      </c>
      <c r="F211" s="2"/>
      <c r="G211" s="2"/>
      <c r="H211" s="3" t="s">
        <v>7146</v>
      </c>
      <c r="I211" s="3" t="s">
        <v>7161</v>
      </c>
      <c r="J211" s="3" t="s">
        <v>7156</v>
      </c>
      <c r="K211" s="3" t="s">
        <v>7149</v>
      </c>
      <c r="L211" s="19">
        <v>2.0</v>
      </c>
      <c r="M211" s="3" t="s">
        <v>7263</v>
      </c>
      <c r="N211" s="3" t="s">
        <v>7263</v>
      </c>
      <c r="O211" s="3" t="s">
        <v>7218</v>
      </c>
      <c r="P211" s="19">
        <v>2.0</v>
      </c>
      <c r="Q211" s="19">
        <v>0.0</v>
      </c>
      <c r="R211" s="19">
        <v>0.0</v>
      </c>
      <c r="S211" s="19">
        <v>0.0</v>
      </c>
      <c r="T211" s="3" t="s">
        <v>128</v>
      </c>
      <c r="U211" s="3" t="s">
        <v>301</v>
      </c>
      <c r="V211" s="2"/>
    </row>
    <row r="212">
      <c r="A212" s="3" t="s">
        <v>7570</v>
      </c>
      <c r="B212" s="3" t="s">
        <v>7420</v>
      </c>
      <c r="C212" s="29">
        <v>46030.47916666667</v>
      </c>
      <c r="D212" s="29">
        <v>46030.5</v>
      </c>
      <c r="E212" s="30">
        <v>0.5</v>
      </c>
      <c r="F212" s="2"/>
      <c r="G212" s="2"/>
      <c r="H212" s="3" t="s">
        <v>7146</v>
      </c>
      <c r="I212" s="3" t="s">
        <v>7161</v>
      </c>
      <c r="J212" s="3" t="s">
        <v>7156</v>
      </c>
      <c r="K212" s="3" t="s">
        <v>7149</v>
      </c>
      <c r="L212" s="19">
        <v>5.0</v>
      </c>
      <c r="M212" s="3" t="s">
        <v>7571</v>
      </c>
      <c r="N212" s="3" t="s">
        <v>7571</v>
      </c>
      <c r="O212" s="3" t="s">
        <v>7264</v>
      </c>
      <c r="P212" s="19">
        <v>4.0</v>
      </c>
      <c r="Q212" s="19">
        <v>0.0</v>
      </c>
      <c r="R212" s="19">
        <v>0.0</v>
      </c>
      <c r="S212" s="19">
        <v>1.0</v>
      </c>
      <c r="T212" s="3" t="s">
        <v>125</v>
      </c>
      <c r="U212" s="3" t="s">
        <v>126</v>
      </c>
      <c r="V212" s="2"/>
    </row>
    <row r="213">
      <c r="A213" s="3" t="s">
        <v>7572</v>
      </c>
      <c r="B213" s="3" t="s">
        <v>7514</v>
      </c>
      <c r="C213" s="29">
        <v>46030.5</v>
      </c>
      <c r="D213" s="29">
        <v>46030.52083333333</v>
      </c>
      <c r="E213" s="30">
        <v>0.5</v>
      </c>
      <c r="F213" s="2"/>
      <c r="G213" s="2"/>
      <c r="H213" s="3" t="s">
        <v>7146</v>
      </c>
      <c r="I213" s="3" t="s">
        <v>7161</v>
      </c>
      <c r="J213" s="3" t="s">
        <v>7156</v>
      </c>
      <c r="K213" s="3" t="s">
        <v>7149</v>
      </c>
      <c r="L213" s="19">
        <v>2.0</v>
      </c>
      <c r="M213" s="3" t="s">
        <v>7573</v>
      </c>
      <c r="N213" s="3" t="s">
        <v>7574</v>
      </c>
      <c r="O213" s="3" t="s">
        <v>7218</v>
      </c>
      <c r="P213" s="19">
        <v>2.0</v>
      </c>
      <c r="Q213" s="19">
        <v>0.0</v>
      </c>
      <c r="R213" s="19">
        <v>0.0</v>
      </c>
      <c r="S213" s="19">
        <v>0.0</v>
      </c>
      <c r="T213" s="3" t="s">
        <v>157</v>
      </c>
      <c r="U213" s="3" t="s">
        <v>158</v>
      </c>
      <c r="V213" s="2"/>
    </row>
    <row r="214">
      <c r="A214" s="3" t="s">
        <v>7575</v>
      </c>
      <c r="B214" s="3" t="s">
        <v>7576</v>
      </c>
      <c r="C214" s="29">
        <v>46030.54166666667</v>
      </c>
      <c r="D214" s="29">
        <v>46030.5625</v>
      </c>
      <c r="E214" s="30">
        <v>0.5</v>
      </c>
      <c r="F214" s="2"/>
      <c r="G214" s="3" t="s">
        <v>7577</v>
      </c>
      <c r="H214" s="3" t="s">
        <v>7146</v>
      </c>
      <c r="I214" s="3" t="s">
        <v>7338</v>
      </c>
      <c r="J214" s="3" t="s">
        <v>7288</v>
      </c>
      <c r="K214" s="3" t="s">
        <v>7146</v>
      </c>
      <c r="L214" s="19">
        <v>4.0</v>
      </c>
      <c r="M214" s="3" t="s">
        <v>7578</v>
      </c>
      <c r="N214" s="3" t="s">
        <v>7578</v>
      </c>
      <c r="O214" s="3" t="s">
        <v>7579</v>
      </c>
      <c r="P214" s="19">
        <v>2.0</v>
      </c>
      <c r="Q214" s="19">
        <v>0.0</v>
      </c>
      <c r="R214" s="19">
        <v>1.0</v>
      </c>
      <c r="S214" s="19">
        <v>1.0</v>
      </c>
      <c r="T214" s="3" t="s">
        <v>131</v>
      </c>
      <c r="U214" s="3" t="s">
        <v>132</v>
      </c>
      <c r="V214" s="2"/>
    </row>
    <row r="215">
      <c r="A215" s="3" t="s">
        <v>7580</v>
      </c>
      <c r="B215" s="3" t="s">
        <v>7581</v>
      </c>
      <c r="C215" s="29">
        <v>46031.35416666667</v>
      </c>
      <c r="D215" s="29">
        <v>46031.375</v>
      </c>
      <c r="E215" s="30">
        <v>0.5</v>
      </c>
      <c r="F215" s="2"/>
      <c r="G215" s="3" t="s">
        <v>7582</v>
      </c>
      <c r="H215" s="3" t="s">
        <v>7146</v>
      </c>
      <c r="I215" s="3" t="s">
        <v>7161</v>
      </c>
      <c r="J215" s="3" t="s">
        <v>7583</v>
      </c>
      <c r="K215" s="3" t="s">
        <v>7146</v>
      </c>
      <c r="L215" s="19">
        <v>3.0</v>
      </c>
      <c r="M215" s="3" t="s">
        <v>7584</v>
      </c>
      <c r="N215" s="3" t="s">
        <v>7584</v>
      </c>
      <c r="O215" s="3" t="s">
        <v>7258</v>
      </c>
      <c r="P215" s="19">
        <v>2.0</v>
      </c>
      <c r="Q215" s="19">
        <v>0.0</v>
      </c>
      <c r="R215" s="19">
        <v>0.0</v>
      </c>
      <c r="S215" s="19">
        <v>1.0</v>
      </c>
      <c r="T215" s="3" t="s">
        <v>128</v>
      </c>
      <c r="U215" s="3" t="s">
        <v>301</v>
      </c>
      <c r="V215" s="2"/>
    </row>
    <row r="216">
      <c r="A216" s="3" t="s">
        <v>7585</v>
      </c>
      <c r="B216" s="3" t="s">
        <v>7586</v>
      </c>
      <c r="C216" s="29">
        <v>46031.47916666667</v>
      </c>
      <c r="D216" s="29">
        <v>46031.5</v>
      </c>
      <c r="E216" s="30">
        <v>0.5</v>
      </c>
      <c r="F216" s="2"/>
      <c r="G216" s="2"/>
      <c r="H216" s="3" t="s">
        <v>7146</v>
      </c>
      <c r="I216" s="3" t="s">
        <v>7338</v>
      </c>
      <c r="J216" s="3" t="s">
        <v>7288</v>
      </c>
      <c r="K216" s="3" t="s">
        <v>7146</v>
      </c>
      <c r="L216" s="19">
        <v>2.0</v>
      </c>
      <c r="M216" s="3" t="s">
        <v>7587</v>
      </c>
      <c r="N216" s="3" t="s">
        <v>7587</v>
      </c>
      <c r="O216" s="3" t="s">
        <v>7218</v>
      </c>
      <c r="P216" s="19">
        <v>2.0</v>
      </c>
      <c r="Q216" s="19">
        <v>0.0</v>
      </c>
      <c r="R216" s="19">
        <v>0.0</v>
      </c>
      <c r="S216" s="19">
        <v>0.0</v>
      </c>
      <c r="T216" s="3" t="s">
        <v>119</v>
      </c>
      <c r="U216" s="3" t="s">
        <v>251</v>
      </c>
      <c r="V216" s="2"/>
    </row>
    <row r="217">
      <c r="A217" s="3" t="s">
        <v>7588</v>
      </c>
      <c r="B217" s="3" t="s">
        <v>7589</v>
      </c>
      <c r="C217" s="29">
        <v>46034.54166666667</v>
      </c>
      <c r="D217" s="29">
        <v>46034.5625</v>
      </c>
      <c r="E217" s="30">
        <v>0.5</v>
      </c>
      <c r="F217" s="2"/>
      <c r="G217" s="3" t="s">
        <v>7590</v>
      </c>
      <c r="H217" s="3" t="s">
        <v>7146</v>
      </c>
      <c r="I217" s="3" t="s">
        <v>7338</v>
      </c>
      <c r="J217" s="3" t="s">
        <v>7288</v>
      </c>
      <c r="K217" s="3" t="s">
        <v>7146</v>
      </c>
      <c r="L217" s="19">
        <v>1.0</v>
      </c>
      <c r="M217" s="3" t="s">
        <v>7591</v>
      </c>
      <c r="N217" s="3" t="s">
        <v>7591</v>
      </c>
      <c r="O217" s="3" t="s">
        <v>7161</v>
      </c>
      <c r="P217" s="19">
        <v>1.0</v>
      </c>
      <c r="Q217" s="19">
        <v>0.0</v>
      </c>
      <c r="R217" s="19">
        <v>0.0</v>
      </c>
      <c r="S217" s="19">
        <v>0.0</v>
      </c>
      <c r="T217" s="3" t="s">
        <v>110</v>
      </c>
      <c r="U217" s="3" t="s">
        <v>111</v>
      </c>
      <c r="V217" s="2"/>
    </row>
    <row r="218">
      <c r="A218" s="3" t="s">
        <v>7592</v>
      </c>
      <c r="B218" s="3" t="s">
        <v>7593</v>
      </c>
      <c r="C218" s="29">
        <v>46034.64583333333</v>
      </c>
      <c r="D218" s="29">
        <v>46034.66666666667</v>
      </c>
      <c r="E218" s="30">
        <v>0.5</v>
      </c>
      <c r="F218" s="2"/>
      <c r="G218" s="3" t="s">
        <v>7594</v>
      </c>
      <c r="H218" s="3" t="s">
        <v>7146</v>
      </c>
      <c r="I218" s="3" t="s">
        <v>7338</v>
      </c>
      <c r="J218" s="3" t="s">
        <v>7288</v>
      </c>
      <c r="K218" s="3" t="s">
        <v>7146</v>
      </c>
      <c r="L218" s="19">
        <v>5.0</v>
      </c>
      <c r="M218" s="3" t="s">
        <v>7595</v>
      </c>
      <c r="N218" s="3" t="s">
        <v>7595</v>
      </c>
      <c r="O218" s="3" t="s">
        <v>7596</v>
      </c>
      <c r="P218" s="19">
        <v>2.0</v>
      </c>
      <c r="Q218" s="19">
        <v>0.0</v>
      </c>
      <c r="R218" s="19">
        <v>1.0</v>
      </c>
      <c r="S218" s="19">
        <v>2.0</v>
      </c>
      <c r="T218" s="3" t="s">
        <v>145</v>
      </c>
      <c r="U218" s="3" t="s">
        <v>263</v>
      </c>
      <c r="V218" s="2"/>
    </row>
    <row r="219">
      <c r="A219" s="3" t="s">
        <v>7597</v>
      </c>
      <c r="B219" s="3" t="s">
        <v>7598</v>
      </c>
      <c r="C219" s="29">
        <v>46035.41666666667</v>
      </c>
      <c r="D219" s="29">
        <v>46035.4375</v>
      </c>
      <c r="E219" s="30">
        <v>0.5</v>
      </c>
      <c r="F219" s="2"/>
      <c r="G219" s="3" t="s">
        <v>7599</v>
      </c>
      <c r="H219" s="3" t="s">
        <v>7146</v>
      </c>
      <c r="I219" s="3" t="s">
        <v>7338</v>
      </c>
      <c r="J219" s="3" t="s">
        <v>7288</v>
      </c>
      <c r="K219" s="3" t="s">
        <v>7146</v>
      </c>
      <c r="L219" s="19">
        <v>3.0</v>
      </c>
      <c r="M219" s="3" t="s">
        <v>7600</v>
      </c>
      <c r="N219" s="3" t="s">
        <v>7600</v>
      </c>
      <c r="O219" s="3" t="s">
        <v>7601</v>
      </c>
      <c r="P219" s="19">
        <v>1.0</v>
      </c>
      <c r="Q219" s="19">
        <v>0.0</v>
      </c>
      <c r="R219" s="19">
        <v>0.0</v>
      </c>
      <c r="S219" s="19">
        <v>2.0</v>
      </c>
      <c r="T219" s="3" t="s">
        <v>107</v>
      </c>
      <c r="U219" s="3" t="s">
        <v>242</v>
      </c>
      <c r="V219" s="2"/>
    </row>
    <row r="220">
      <c r="A220" s="3" t="s">
        <v>7602</v>
      </c>
      <c r="B220" s="3" t="s">
        <v>7603</v>
      </c>
      <c r="C220" s="29">
        <v>46035.47916666667</v>
      </c>
      <c r="D220" s="29">
        <v>46035.5</v>
      </c>
      <c r="E220" s="30">
        <v>0.5</v>
      </c>
      <c r="F220" s="3" t="s">
        <v>7604</v>
      </c>
      <c r="G220" s="3" t="s">
        <v>7605</v>
      </c>
      <c r="H220" s="3" t="s">
        <v>7146</v>
      </c>
      <c r="I220" s="3" t="s">
        <v>7338</v>
      </c>
      <c r="J220" s="3" t="s">
        <v>7288</v>
      </c>
      <c r="K220" s="3" t="s">
        <v>7146</v>
      </c>
      <c r="L220" s="19">
        <v>4.0</v>
      </c>
      <c r="M220" s="3" t="s">
        <v>7606</v>
      </c>
      <c r="N220" s="3" t="s">
        <v>7607</v>
      </c>
      <c r="O220" s="3" t="s">
        <v>7268</v>
      </c>
      <c r="P220" s="19">
        <v>1.0</v>
      </c>
      <c r="Q220" s="19">
        <v>0.0</v>
      </c>
      <c r="R220" s="19">
        <v>0.0</v>
      </c>
      <c r="S220" s="19">
        <v>3.0</v>
      </c>
      <c r="T220" s="3" t="s">
        <v>6769</v>
      </c>
      <c r="U220" s="3" t="s">
        <v>312</v>
      </c>
      <c r="V220" s="2"/>
    </row>
    <row r="221">
      <c r="A221" s="3" t="s">
        <v>7544</v>
      </c>
      <c r="B221" s="3" t="s">
        <v>7183</v>
      </c>
      <c r="C221" s="29">
        <v>46035.5</v>
      </c>
      <c r="D221" s="29">
        <v>46035.52083333333</v>
      </c>
      <c r="E221" s="30">
        <v>0.5</v>
      </c>
      <c r="F221" s="2"/>
      <c r="G221" s="3" t="s">
        <v>7184</v>
      </c>
      <c r="H221" s="3" t="s">
        <v>7146</v>
      </c>
      <c r="I221" s="3" t="s">
        <v>7161</v>
      </c>
      <c r="J221" s="3" t="s">
        <v>7156</v>
      </c>
      <c r="K221" s="3" t="s">
        <v>7149</v>
      </c>
      <c r="L221" s="19">
        <v>3.0</v>
      </c>
      <c r="M221" s="3" t="s">
        <v>7185</v>
      </c>
      <c r="N221" s="3" t="s">
        <v>7186</v>
      </c>
      <c r="O221" s="3" t="s">
        <v>7187</v>
      </c>
      <c r="P221" s="19">
        <v>2.0</v>
      </c>
      <c r="Q221" s="19">
        <v>0.0</v>
      </c>
      <c r="R221" s="19">
        <v>1.0</v>
      </c>
      <c r="S221" s="19">
        <v>0.0</v>
      </c>
      <c r="T221" s="3" t="s">
        <v>184</v>
      </c>
      <c r="U221" s="3" t="s">
        <v>478</v>
      </c>
      <c r="V221" s="2"/>
    </row>
    <row r="222">
      <c r="A222" s="3" t="s">
        <v>7608</v>
      </c>
      <c r="B222" s="3" t="s">
        <v>7609</v>
      </c>
      <c r="C222" s="29">
        <v>46035.625</v>
      </c>
      <c r="D222" s="29">
        <v>46035.70833333333</v>
      </c>
      <c r="E222" s="30">
        <v>2.0</v>
      </c>
      <c r="F222" s="2"/>
      <c r="G222" s="2"/>
      <c r="H222" s="3" t="s">
        <v>7146</v>
      </c>
      <c r="I222" s="3" t="s">
        <v>7161</v>
      </c>
      <c r="J222" s="3" t="s">
        <v>7274</v>
      </c>
      <c r="K222" s="3" t="s">
        <v>7146</v>
      </c>
      <c r="L222" s="19">
        <v>9.0</v>
      </c>
      <c r="M222" s="3" t="s">
        <v>7610</v>
      </c>
      <c r="N222" s="3" t="s">
        <v>7610</v>
      </c>
      <c r="O222" s="3" t="s">
        <v>7611</v>
      </c>
      <c r="P222" s="19">
        <v>5.0</v>
      </c>
      <c r="Q222" s="19">
        <v>1.0</v>
      </c>
      <c r="R222" s="19">
        <v>1.0</v>
      </c>
      <c r="S222" s="19">
        <v>2.0</v>
      </c>
      <c r="T222" s="2"/>
      <c r="U222" s="2"/>
      <c r="V222" s="2"/>
    </row>
    <row r="223">
      <c r="A223" s="3" t="s">
        <v>7612</v>
      </c>
      <c r="B223" s="3" t="s">
        <v>7613</v>
      </c>
      <c r="C223" s="29">
        <v>46036.45833333333</v>
      </c>
      <c r="D223" s="29">
        <v>46036.47916666667</v>
      </c>
      <c r="E223" s="30">
        <v>0.5</v>
      </c>
      <c r="F223" s="2"/>
      <c r="G223" s="3" t="s">
        <v>7614</v>
      </c>
      <c r="H223" s="3" t="s">
        <v>7146</v>
      </c>
      <c r="I223" s="3" t="s">
        <v>7338</v>
      </c>
      <c r="J223" s="3" t="s">
        <v>7288</v>
      </c>
      <c r="K223" s="3" t="s">
        <v>7146</v>
      </c>
      <c r="L223" s="19">
        <v>3.0</v>
      </c>
      <c r="M223" s="3" t="s">
        <v>7615</v>
      </c>
      <c r="N223" s="3" t="s">
        <v>7615</v>
      </c>
      <c r="O223" s="3" t="s">
        <v>7517</v>
      </c>
      <c r="P223" s="19">
        <v>2.0</v>
      </c>
      <c r="Q223" s="19">
        <v>0.0</v>
      </c>
      <c r="R223" s="19">
        <v>0.0</v>
      </c>
      <c r="S223" s="19">
        <v>1.0</v>
      </c>
      <c r="T223" s="3" t="s">
        <v>6807</v>
      </c>
      <c r="U223" s="3" t="s">
        <v>572</v>
      </c>
    </row>
    <row r="224">
      <c r="A224" s="3" t="s">
        <v>7616</v>
      </c>
      <c r="B224" s="3" t="s">
        <v>7249</v>
      </c>
      <c r="C224" s="29">
        <v>46036.54166666667</v>
      </c>
      <c r="D224" s="29">
        <v>46036.5625</v>
      </c>
      <c r="E224" s="30">
        <v>0.5</v>
      </c>
      <c r="F224" s="2"/>
      <c r="G224" s="2"/>
      <c r="H224" s="3" t="s">
        <v>7146</v>
      </c>
      <c r="I224" s="3" t="s">
        <v>7161</v>
      </c>
      <c r="J224" s="3" t="s">
        <v>7156</v>
      </c>
      <c r="K224" s="3" t="s">
        <v>7149</v>
      </c>
      <c r="L224" s="19">
        <v>3.0</v>
      </c>
      <c r="M224" s="3" t="s">
        <v>7250</v>
      </c>
      <c r="N224" s="3" t="s">
        <v>7250</v>
      </c>
      <c r="O224" s="3" t="s">
        <v>7251</v>
      </c>
      <c r="P224" s="19">
        <v>3.0</v>
      </c>
      <c r="Q224" s="19">
        <v>0.0</v>
      </c>
      <c r="R224" s="19">
        <v>0.0</v>
      </c>
      <c r="S224" s="19">
        <v>0.0</v>
      </c>
      <c r="T224" s="3" t="s">
        <v>187</v>
      </c>
      <c r="U224" s="3" t="s">
        <v>188</v>
      </c>
      <c r="V224" s="2"/>
    </row>
    <row r="225">
      <c r="A225" s="3" t="s">
        <v>7505</v>
      </c>
      <c r="B225" s="3" t="s">
        <v>7160</v>
      </c>
      <c r="C225" s="29">
        <v>46037.4375</v>
      </c>
      <c r="D225" s="29">
        <v>46037.45833333333</v>
      </c>
      <c r="E225" s="30">
        <v>0.5</v>
      </c>
      <c r="F225" s="2"/>
      <c r="G225" s="2"/>
      <c r="H225" s="3" t="s">
        <v>7146</v>
      </c>
      <c r="I225" s="3" t="s">
        <v>7161</v>
      </c>
      <c r="J225" s="3" t="s">
        <v>7156</v>
      </c>
      <c r="K225" s="3" t="s">
        <v>7149</v>
      </c>
      <c r="L225" s="19">
        <v>3.0</v>
      </c>
      <c r="M225" s="3" t="s">
        <v>7229</v>
      </c>
      <c r="N225" s="3" t="s">
        <v>7230</v>
      </c>
      <c r="O225" s="3" t="s">
        <v>7251</v>
      </c>
      <c r="P225" s="19">
        <v>3.0</v>
      </c>
      <c r="Q225" s="19">
        <v>0.0</v>
      </c>
      <c r="R225" s="19">
        <v>0.0</v>
      </c>
      <c r="S225" s="19">
        <v>0.0</v>
      </c>
      <c r="T225" s="3" t="s">
        <v>154</v>
      </c>
      <c r="U225" s="3" t="s">
        <v>329</v>
      </c>
    </row>
    <row r="226">
      <c r="A226" s="3" t="s">
        <v>7617</v>
      </c>
      <c r="B226" s="3" t="s">
        <v>7618</v>
      </c>
      <c r="C226" s="29">
        <v>46037.4375</v>
      </c>
      <c r="D226" s="29">
        <v>46037.45833333333</v>
      </c>
      <c r="E226" s="30">
        <v>0.5</v>
      </c>
      <c r="F226" s="3" t="s">
        <v>7355</v>
      </c>
      <c r="G226" s="3" t="s">
        <v>7619</v>
      </c>
      <c r="H226" s="3" t="s">
        <v>7146</v>
      </c>
      <c r="I226" s="3" t="s">
        <v>7338</v>
      </c>
      <c r="J226" s="3" t="s">
        <v>7288</v>
      </c>
      <c r="K226" s="3" t="s">
        <v>7146</v>
      </c>
      <c r="L226" s="19">
        <v>3.0</v>
      </c>
      <c r="M226" s="3" t="s">
        <v>7620</v>
      </c>
      <c r="N226" s="3" t="s">
        <v>7621</v>
      </c>
      <c r="O226" s="3" t="s">
        <v>7622</v>
      </c>
      <c r="P226" s="19">
        <v>0.0</v>
      </c>
      <c r="Q226" s="19">
        <v>0.0</v>
      </c>
      <c r="R226" s="19">
        <v>0.0</v>
      </c>
      <c r="S226" s="19">
        <v>3.0</v>
      </c>
      <c r="T226" s="3" t="s">
        <v>154</v>
      </c>
      <c r="U226" s="3" t="s">
        <v>329</v>
      </c>
      <c r="V226" s="3" t="s">
        <v>7623</v>
      </c>
    </row>
    <row r="227">
      <c r="A227" s="3" t="s">
        <v>7624</v>
      </c>
      <c r="B227" s="3" t="s">
        <v>7203</v>
      </c>
      <c r="C227" s="29">
        <v>46037.45833333333</v>
      </c>
      <c r="D227" s="29">
        <v>46037.47916666667</v>
      </c>
      <c r="E227" s="30">
        <v>0.5</v>
      </c>
      <c r="F227" s="2"/>
      <c r="G227" s="3" t="s">
        <v>7625</v>
      </c>
      <c r="H227" s="3" t="s">
        <v>7146</v>
      </c>
      <c r="I227" s="3" t="s">
        <v>7161</v>
      </c>
      <c r="J227" s="3" t="s">
        <v>7156</v>
      </c>
      <c r="K227" s="3" t="s">
        <v>7146</v>
      </c>
      <c r="L227" s="19">
        <v>3.0</v>
      </c>
      <c r="M227" s="3" t="s">
        <v>7626</v>
      </c>
      <c r="N227" s="3" t="s">
        <v>7626</v>
      </c>
      <c r="O227" s="3" t="s">
        <v>7251</v>
      </c>
      <c r="P227" s="19">
        <v>3.0</v>
      </c>
      <c r="Q227" s="19">
        <v>0.0</v>
      </c>
      <c r="R227" s="19">
        <v>0.0</v>
      </c>
      <c r="S227" s="19">
        <v>0.0</v>
      </c>
      <c r="T227" s="3" t="s">
        <v>6785</v>
      </c>
      <c r="U227" s="3" t="s">
        <v>601</v>
      </c>
      <c r="V227" s="2"/>
    </row>
    <row r="228">
      <c r="A228" s="3" t="s">
        <v>7627</v>
      </c>
      <c r="B228" s="3" t="s">
        <v>7628</v>
      </c>
      <c r="C228" s="29">
        <v>46037.5625</v>
      </c>
      <c r="D228" s="29">
        <v>46037.58333333333</v>
      </c>
      <c r="E228" s="30">
        <v>0.5</v>
      </c>
      <c r="F228" s="2"/>
      <c r="G228" s="3" t="s">
        <v>7629</v>
      </c>
      <c r="H228" s="3" t="s">
        <v>7146</v>
      </c>
      <c r="I228" s="3" t="s">
        <v>7161</v>
      </c>
      <c r="J228" s="3" t="s">
        <v>7156</v>
      </c>
      <c r="K228" s="3" t="s">
        <v>7146</v>
      </c>
      <c r="L228" s="19">
        <v>3.0</v>
      </c>
      <c r="M228" s="3" t="s">
        <v>7630</v>
      </c>
      <c r="N228" s="3" t="s">
        <v>7630</v>
      </c>
      <c r="O228" s="3" t="s">
        <v>7251</v>
      </c>
      <c r="P228" s="19">
        <v>3.0</v>
      </c>
      <c r="Q228" s="19">
        <v>0.0</v>
      </c>
      <c r="R228" s="19">
        <v>0.0</v>
      </c>
      <c r="S228" s="19">
        <v>0.0</v>
      </c>
      <c r="T228" s="3" t="s">
        <v>190</v>
      </c>
      <c r="U228" s="3" t="s">
        <v>191</v>
      </c>
      <c r="V228" s="3" t="s">
        <v>7631</v>
      </c>
    </row>
    <row r="229">
      <c r="A229" s="3" t="s">
        <v>7548</v>
      </c>
      <c r="B229" s="3" t="s">
        <v>7163</v>
      </c>
      <c r="C229" s="29">
        <v>46037.58333333333</v>
      </c>
      <c r="D229" s="29">
        <v>46037.60416666667</v>
      </c>
      <c r="E229" s="30">
        <v>0.5</v>
      </c>
      <c r="F229" s="2"/>
      <c r="G229" s="2"/>
      <c r="H229" s="3" t="s">
        <v>7146</v>
      </c>
      <c r="I229" s="3" t="s">
        <v>7161</v>
      </c>
      <c r="J229" s="3" t="s">
        <v>7156</v>
      </c>
      <c r="K229" s="3" t="s">
        <v>7149</v>
      </c>
      <c r="L229" s="19">
        <v>6.0</v>
      </c>
      <c r="M229" s="3" t="s">
        <v>7164</v>
      </c>
      <c r="N229" s="3" t="s">
        <v>7164</v>
      </c>
      <c r="O229" s="3" t="s">
        <v>7165</v>
      </c>
      <c r="P229" s="19">
        <v>1.0</v>
      </c>
      <c r="Q229" s="19">
        <v>3.0</v>
      </c>
      <c r="R229" s="19">
        <v>0.0</v>
      </c>
      <c r="S229" s="19">
        <v>2.0</v>
      </c>
      <c r="T229" s="3" t="s">
        <v>151</v>
      </c>
      <c r="U229" s="3" t="s">
        <v>370</v>
      </c>
      <c r="V229" s="2"/>
    </row>
    <row r="230">
      <c r="A230" s="3" t="s">
        <v>7632</v>
      </c>
      <c r="B230" s="3" t="s">
        <v>7633</v>
      </c>
      <c r="C230" s="29">
        <v>46037.64583333333</v>
      </c>
      <c r="D230" s="29">
        <v>46037.66666666667</v>
      </c>
      <c r="E230" s="30">
        <v>0.5</v>
      </c>
      <c r="F230" s="25" t="s">
        <v>7634</v>
      </c>
      <c r="G230" s="3" t="s">
        <v>7635</v>
      </c>
      <c r="H230" s="3" t="s">
        <v>7146</v>
      </c>
      <c r="I230" s="3" t="s">
        <v>7338</v>
      </c>
      <c r="J230" s="3" t="s">
        <v>7288</v>
      </c>
      <c r="K230" s="3" t="s">
        <v>7146</v>
      </c>
      <c r="L230" s="19">
        <v>6.0</v>
      </c>
      <c r="M230" s="3" t="s">
        <v>7636</v>
      </c>
      <c r="N230" s="3" t="s">
        <v>7636</v>
      </c>
      <c r="O230" s="3" t="s">
        <v>7637</v>
      </c>
      <c r="P230" s="19">
        <v>2.0</v>
      </c>
      <c r="Q230" s="19">
        <v>0.0</v>
      </c>
      <c r="R230" s="19">
        <v>0.0</v>
      </c>
      <c r="S230" s="19">
        <v>4.0</v>
      </c>
      <c r="T230" s="3" t="s">
        <v>122</v>
      </c>
      <c r="U230" s="3" t="s">
        <v>123</v>
      </c>
      <c r="V230" s="2"/>
    </row>
    <row r="231">
      <c r="A231" s="3" t="s">
        <v>7522</v>
      </c>
      <c r="B231" s="3" t="s">
        <v>7144</v>
      </c>
      <c r="C231" s="29">
        <v>46037.70833333333</v>
      </c>
      <c r="D231" s="29">
        <v>46037.72916666667</v>
      </c>
      <c r="E231" s="30">
        <v>0.5</v>
      </c>
      <c r="F231" s="2"/>
      <c r="G231" s="3" t="s">
        <v>7145</v>
      </c>
      <c r="H231" s="3" t="s">
        <v>7146</v>
      </c>
      <c r="I231" s="3" t="s">
        <v>7161</v>
      </c>
      <c r="J231" s="3" t="s">
        <v>7148</v>
      </c>
      <c r="K231" s="3" t="s">
        <v>7149</v>
      </c>
      <c r="L231" s="19">
        <v>15.0</v>
      </c>
      <c r="M231" s="3" t="s">
        <v>7150</v>
      </c>
      <c r="N231" s="3" t="s">
        <v>7151</v>
      </c>
      <c r="O231" s="3" t="s">
        <v>7208</v>
      </c>
      <c r="P231" s="19">
        <v>9.0</v>
      </c>
      <c r="Q231" s="19">
        <v>0.0</v>
      </c>
      <c r="R231" s="19">
        <v>1.0</v>
      </c>
      <c r="S231" s="19">
        <v>5.0</v>
      </c>
      <c r="T231" s="3" t="s">
        <v>160</v>
      </c>
      <c r="U231" s="3" t="s">
        <v>440</v>
      </c>
      <c r="V231" s="2"/>
    </row>
    <row r="232">
      <c r="A232" s="3" t="s">
        <v>7638</v>
      </c>
      <c r="B232" s="3" t="s">
        <v>7221</v>
      </c>
      <c r="C232" s="29">
        <v>46038.41666666667</v>
      </c>
      <c r="D232" s="29">
        <v>46038.4375</v>
      </c>
      <c r="E232" s="30">
        <v>0.5</v>
      </c>
      <c r="F232" s="2"/>
      <c r="G232" s="2"/>
      <c r="H232" s="3" t="s">
        <v>7146</v>
      </c>
      <c r="I232" s="3" t="s">
        <v>7161</v>
      </c>
      <c r="J232" s="3" t="s">
        <v>7156</v>
      </c>
      <c r="K232" s="3" t="s">
        <v>7149</v>
      </c>
      <c r="L232" s="19">
        <v>6.0</v>
      </c>
      <c r="M232" s="3" t="s">
        <v>7639</v>
      </c>
      <c r="N232" s="3" t="s">
        <v>7639</v>
      </c>
      <c r="O232" s="3" t="s">
        <v>7640</v>
      </c>
      <c r="P232" s="19">
        <v>6.0</v>
      </c>
      <c r="Q232" s="19">
        <v>0.0</v>
      </c>
      <c r="R232" s="19">
        <v>0.0</v>
      </c>
      <c r="S232" s="19">
        <v>0.0</v>
      </c>
      <c r="T232" s="3" t="s">
        <v>6608</v>
      </c>
      <c r="U232" s="3" t="s">
        <v>294</v>
      </c>
      <c r="V232" s="2"/>
    </row>
    <row r="233">
      <c r="A233" s="3" t="s">
        <v>7544</v>
      </c>
      <c r="B233" s="3" t="s">
        <v>7183</v>
      </c>
      <c r="C233" s="29">
        <v>46042.5</v>
      </c>
      <c r="D233" s="29">
        <v>46042.52083333333</v>
      </c>
      <c r="E233" s="30">
        <v>0.5</v>
      </c>
      <c r="F233" s="2"/>
      <c r="G233" s="3" t="s">
        <v>7184</v>
      </c>
      <c r="H233" s="3" t="s">
        <v>7146</v>
      </c>
      <c r="I233" s="3" t="s">
        <v>7161</v>
      </c>
      <c r="J233" s="3" t="s">
        <v>7156</v>
      </c>
      <c r="K233" s="3" t="s">
        <v>7149</v>
      </c>
      <c r="L233" s="19">
        <v>3.0</v>
      </c>
      <c r="M233" s="3" t="s">
        <v>7185</v>
      </c>
      <c r="N233" s="3" t="s">
        <v>7186</v>
      </c>
      <c r="O233" s="3" t="s">
        <v>7231</v>
      </c>
      <c r="P233" s="19">
        <v>2.0</v>
      </c>
      <c r="Q233" s="19">
        <v>1.0</v>
      </c>
      <c r="R233" s="19">
        <v>0.0</v>
      </c>
      <c r="S233" s="19">
        <v>0.0</v>
      </c>
      <c r="T233" s="3" t="s">
        <v>184</v>
      </c>
      <c r="U233" s="3" t="s">
        <v>478</v>
      </c>
      <c r="V233" s="2"/>
    </row>
    <row r="234">
      <c r="A234" s="3" t="s">
        <v>7641</v>
      </c>
      <c r="B234" s="3" t="s">
        <v>7642</v>
      </c>
      <c r="C234" s="29">
        <v>46042.53472222222</v>
      </c>
      <c r="D234" s="29">
        <v>46042.54861111111</v>
      </c>
      <c r="E234" s="30">
        <v>0.3333333333333333</v>
      </c>
      <c r="F234" s="2"/>
      <c r="G234" s="2"/>
      <c r="H234" s="3" t="s">
        <v>7146</v>
      </c>
      <c r="I234" s="3" t="s">
        <v>7338</v>
      </c>
      <c r="J234" s="3" t="s">
        <v>7288</v>
      </c>
      <c r="K234" s="3" t="s">
        <v>7146</v>
      </c>
      <c r="L234" s="19">
        <v>1.0</v>
      </c>
      <c r="M234" s="3" t="s">
        <v>7643</v>
      </c>
      <c r="N234" s="3" t="s">
        <v>7644</v>
      </c>
      <c r="O234" s="3" t="s">
        <v>7240</v>
      </c>
      <c r="P234" s="19">
        <v>0.0</v>
      </c>
      <c r="Q234" s="19">
        <v>0.0</v>
      </c>
      <c r="R234" s="19">
        <v>0.0</v>
      </c>
      <c r="S234" s="19">
        <v>1.0</v>
      </c>
      <c r="T234" s="3" t="s">
        <v>184</v>
      </c>
      <c r="U234" s="3" t="s">
        <v>478</v>
      </c>
      <c r="V234" s="2"/>
    </row>
    <row r="235">
      <c r="A235" s="3" t="s">
        <v>7645</v>
      </c>
      <c r="B235" s="3" t="s">
        <v>7546</v>
      </c>
      <c r="C235" s="29">
        <v>46042.5625</v>
      </c>
      <c r="D235" s="29">
        <v>46042.58333333333</v>
      </c>
      <c r="E235" s="30">
        <v>0.5</v>
      </c>
      <c r="F235" s="2"/>
      <c r="G235" s="2"/>
      <c r="H235" s="3" t="s">
        <v>7146</v>
      </c>
      <c r="I235" s="3" t="s">
        <v>7338</v>
      </c>
      <c r="J235" s="3" t="s">
        <v>7288</v>
      </c>
      <c r="K235" s="3" t="s">
        <v>7149</v>
      </c>
      <c r="L235" s="19">
        <v>2.0</v>
      </c>
      <c r="M235" s="3" t="s">
        <v>7547</v>
      </c>
      <c r="N235" s="3" t="s">
        <v>7547</v>
      </c>
      <c r="O235" s="3" t="s">
        <v>7445</v>
      </c>
      <c r="P235" s="19">
        <v>1.0</v>
      </c>
      <c r="Q235" s="19">
        <v>1.0</v>
      </c>
      <c r="R235" s="19">
        <v>0.0</v>
      </c>
      <c r="S235" s="19">
        <v>0.0</v>
      </c>
      <c r="T235" s="3" t="s">
        <v>119</v>
      </c>
      <c r="U235" s="3" t="s">
        <v>251</v>
      </c>
      <c r="V235" s="2"/>
    </row>
    <row r="236">
      <c r="A236" s="3" t="s">
        <v>7646</v>
      </c>
      <c r="B236" s="3" t="s">
        <v>7647</v>
      </c>
      <c r="C236" s="29">
        <v>46043.41666666667</v>
      </c>
      <c r="D236" s="29">
        <v>46043.4375</v>
      </c>
      <c r="E236" s="30">
        <v>0.5</v>
      </c>
      <c r="F236" s="2"/>
      <c r="G236" s="2"/>
      <c r="H236" s="3" t="s">
        <v>7146</v>
      </c>
      <c r="I236" s="3" t="s">
        <v>7161</v>
      </c>
      <c r="J236" s="3" t="s">
        <v>7156</v>
      </c>
      <c r="K236" s="3" t="s">
        <v>7146</v>
      </c>
      <c r="L236" s="19">
        <v>1.0</v>
      </c>
      <c r="M236" s="3" t="s">
        <v>7288</v>
      </c>
      <c r="N236" s="3" t="s">
        <v>7288</v>
      </c>
      <c r="O236" s="3" t="s">
        <v>7161</v>
      </c>
      <c r="P236" s="19">
        <v>1.0</v>
      </c>
      <c r="Q236" s="19">
        <v>0.0</v>
      </c>
      <c r="R236" s="19">
        <v>0.0</v>
      </c>
      <c r="S236" s="19">
        <v>0.0</v>
      </c>
      <c r="T236" s="2"/>
      <c r="U236" s="2"/>
      <c r="V236" s="2"/>
    </row>
    <row r="237">
      <c r="A237" s="3" t="s">
        <v>7648</v>
      </c>
      <c r="B237" s="3" t="s">
        <v>7576</v>
      </c>
      <c r="C237" s="29">
        <v>46043.45833333333</v>
      </c>
      <c r="D237" s="29">
        <v>46043.47916666667</v>
      </c>
      <c r="E237" s="30">
        <v>0.5</v>
      </c>
      <c r="F237" s="2"/>
      <c r="G237" s="3" t="s">
        <v>7649</v>
      </c>
      <c r="H237" s="3" t="s">
        <v>7146</v>
      </c>
      <c r="I237" s="3" t="s">
        <v>7338</v>
      </c>
      <c r="J237" s="3" t="s">
        <v>7288</v>
      </c>
      <c r="K237" s="3" t="s">
        <v>7146</v>
      </c>
      <c r="L237" s="19">
        <v>4.0</v>
      </c>
      <c r="M237" s="3" t="s">
        <v>7578</v>
      </c>
      <c r="N237" s="3" t="s">
        <v>7578</v>
      </c>
      <c r="O237" s="3" t="s">
        <v>7650</v>
      </c>
      <c r="P237" s="19">
        <v>2.0</v>
      </c>
      <c r="Q237" s="19">
        <v>2.0</v>
      </c>
      <c r="R237" s="19">
        <v>0.0</v>
      </c>
      <c r="S237" s="19">
        <v>0.0</v>
      </c>
      <c r="T237" s="3" t="s">
        <v>131</v>
      </c>
      <c r="U237" s="3" t="s">
        <v>132</v>
      </c>
      <c r="V237" s="2"/>
    </row>
    <row r="238">
      <c r="A238" s="3" t="s">
        <v>7651</v>
      </c>
      <c r="B238" s="3" t="s">
        <v>7652</v>
      </c>
      <c r="C238" s="29">
        <v>46044.35416666667</v>
      </c>
      <c r="D238" s="29">
        <v>46044.375</v>
      </c>
      <c r="E238" s="30">
        <v>0.5</v>
      </c>
      <c r="F238" s="2"/>
      <c r="G238" s="2"/>
      <c r="H238" s="3" t="s">
        <v>7146</v>
      </c>
      <c r="I238" s="3" t="s">
        <v>7161</v>
      </c>
      <c r="J238" s="3" t="s">
        <v>7156</v>
      </c>
      <c r="K238" s="3" t="s">
        <v>7149</v>
      </c>
      <c r="L238" s="19">
        <v>4.0</v>
      </c>
      <c r="M238" s="3" t="s">
        <v>7653</v>
      </c>
      <c r="N238" s="3" t="s">
        <v>7653</v>
      </c>
      <c r="O238" s="3" t="s">
        <v>7236</v>
      </c>
      <c r="P238" s="19">
        <v>1.0</v>
      </c>
      <c r="Q238" s="19">
        <v>0.0</v>
      </c>
      <c r="R238" s="19">
        <v>0.0</v>
      </c>
      <c r="S238" s="19">
        <v>3.0</v>
      </c>
      <c r="T238" s="3" t="s">
        <v>193</v>
      </c>
      <c r="U238" s="3" t="s">
        <v>544</v>
      </c>
      <c r="V238" s="2"/>
    </row>
    <row r="239">
      <c r="A239" s="3" t="s">
        <v>7654</v>
      </c>
      <c r="B239" s="3" t="s">
        <v>7655</v>
      </c>
      <c r="C239" s="29">
        <v>46044.45833333333</v>
      </c>
      <c r="D239" s="29">
        <v>46044.47916666667</v>
      </c>
      <c r="E239" s="30">
        <v>0.5</v>
      </c>
      <c r="F239" s="2"/>
      <c r="G239" s="3" t="s">
        <v>7656</v>
      </c>
      <c r="H239" s="3" t="s">
        <v>7146</v>
      </c>
      <c r="I239" s="3" t="s">
        <v>7338</v>
      </c>
      <c r="J239" s="3" t="s">
        <v>7288</v>
      </c>
      <c r="K239" s="3" t="s">
        <v>7146</v>
      </c>
      <c r="L239" s="19">
        <v>3.0</v>
      </c>
      <c r="M239" s="3" t="s">
        <v>7657</v>
      </c>
      <c r="N239" s="3" t="s">
        <v>7657</v>
      </c>
      <c r="O239" s="3" t="s">
        <v>7658</v>
      </c>
      <c r="P239" s="19">
        <v>2.0</v>
      </c>
      <c r="Q239" s="19">
        <v>0.0</v>
      </c>
      <c r="R239" s="19">
        <v>1.0</v>
      </c>
      <c r="S239" s="19">
        <v>0.0</v>
      </c>
      <c r="T239" s="3" t="s">
        <v>128</v>
      </c>
      <c r="U239" s="3" t="s">
        <v>301</v>
      </c>
      <c r="V239" s="2"/>
    </row>
    <row r="240">
      <c r="A240" s="3" t="s">
        <v>7659</v>
      </c>
      <c r="B240" s="3" t="s">
        <v>7420</v>
      </c>
      <c r="C240" s="29">
        <v>46044.47916666667</v>
      </c>
      <c r="D240" s="29">
        <v>46044.5</v>
      </c>
      <c r="E240" s="30">
        <v>0.5</v>
      </c>
      <c r="F240" s="2"/>
      <c r="G240" s="2"/>
      <c r="H240" s="3" t="s">
        <v>7146</v>
      </c>
      <c r="I240" s="3" t="s">
        <v>7161</v>
      </c>
      <c r="J240" s="3" t="s">
        <v>7156</v>
      </c>
      <c r="K240" s="3" t="s">
        <v>7149</v>
      </c>
      <c r="L240" s="19">
        <v>5.0</v>
      </c>
      <c r="M240" s="3" t="s">
        <v>7571</v>
      </c>
      <c r="N240" s="3" t="s">
        <v>7571</v>
      </c>
      <c r="O240" s="3" t="s">
        <v>7660</v>
      </c>
      <c r="P240" s="19">
        <v>2.0</v>
      </c>
      <c r="Q240" s="19">
        <v>1.0</v>
      </c>
      <c r="R240" s="19">
        <v>1.0</v>
      </c>
      <c r="S240" s="19">
        <v>1.0</v>
      </c>
      <c r="T240" s="3" t="s">
        <v>125</v>
      </c>
      <c r="U240" s="3" t="s">
        <v>126</v>
      </c>
      <c r="V240" s="2"/>
    </row>
    <row r="241">
      <c r="A241" s="3" t="s">
        <v>7661</v>
      </c>
      <c r="B241" s="3" t="s">
        <v>7662</v>
      </c>
      <c r="C241" s="29">
        <v>46044.54166666667</v>
      </c>
      <c r="D241" s="29">
        <v>46044.5625</v>
      </c>
      <c r="E241" s="30">
        <v>0.5</v>
      </c>
      <c r="F241" s="2"/>
      <c r="G241" s="3" t="s">
        <v>7663</v>
      </c>
      <c r="H241" s="3" t="s">
        <v>7146</v>
      </c>
      <c r="I241" s="3" t="s">
        <v>7338</v>
      </c>
      <c r="J241" s="3" t="s">
        <v>7288</v>
      </c>
      <c r="K241" s="3" t="s">
        <v>7146</v>
      </c>
      <c r="L241" s="19">
        <v>4.0</v>
      </c>
      <c r="M241" s="3" t="s">
        <v>7468</v>
      </c>
      <c r="N241" s="3" t="s">
        <v>7468</v>
      </c>
      <c r="O241" s="3" t="s">
        <v>7664</v>
      </c>
      <c r="P241" s="19">
        <v>2.0</v>
      </c>
      <c r="Q241" s="19">
        <v>0.0</v>
      </c>
      <c r="R241" s="19">
        <v>1.0</v>
      </c>
      <c r="S241" s="19">
        <v>1.0</v>
      </c>
      <c r="T241" s="3" t="s">
        <v>139</v>
      </c>
      <c r="U241" s="3" t="s">
        <v>361</v>
      </c>
      <c r="V241" s="2"/>
    </row>
    <row r="242">
      <c r="A242" s="3" t="s">
        <v>7665</v>
      </c>
      <c r="B242" s="3" t="s">
        <v>7666</v>
      </c>
      <c r="C242" s="29">
        <v>46044.625</v>
      </c>
      <c r="D242" s="29">
        <v>46044.64583333333</v>
      </c>
      <c r="E242" s="30">
        <v>0.5</v>
      </c>
      <c r="F242" s="2"/>
      <c r="G242" s="3" t="s">
        <v>7667</v>
      </c>
      <c r="H242" s="3" t="s">
        <v>7146</v>
      </c>
      <c r="I242" s="3" t="s">
        <v>7161</v>
      </c>
      <c r="J242" s="3" t="s">
        <v>7156</v>
      </c>
      <c r="K242" s="3" t="s">
        <v>7146</v>
      </c>
      <c r="L242" s="19">
        <v>5.0</v>
      </c>
      <c r="M242" s="3" t="s">
        <v>7668</v>
      </c>
      <c r="N242" s="3" t="s">
        <v>7668</v>
      </c>
      <c r="O242" s="3" t="s">
        <v>7669</v>
      </c>
      <c r="P242" s="19">
        <v>3.0</v>
      </c>
      <c r="Q242" s="19">
        <v>0.0</v>
      </c>
      <c r="R242" s="19">
        <v>1.0</v>
      </c>
      <c r="S242" s="19">
        <v>1.0</v>
      </c>
      <c r="T242" s="2"/>
      <c r="U242" s="2"/>
      <c r="V242" s="2"/>
    </row>
    <row r="243">
      <c r="A243" s="3" t="s">
        <v>7670</v>
      </c>
      <c r="B243" s="3" t="s">
        <v>7671</v>
      </c>
      <c r="C243" s="29">
        <v>46044.64583333333</v>
      </c>
      <c r="D243" s="29">
        <v>46044.66666666667</v>
      </c>
      <c r="E243" s="30">
        <v>0.5</v>
      </c>
      <c r="F243" s="2"/>
      <c r="G243" s="3" t="s">
        <v>7672</v>
      </c>
      <c r="H243" s="3" t="s">
        <v>7146</v>
      </c>
      <c r="I243" s="3" t="s">
        <v>7338</v>
      </c>
      <c r="J243" s="3" t="s">
        <v>7288</v>
      </c>
      <c r="K243" s="3" t="s">
        <v>7146</v>
      </c>
      <c r="L243" s="19">
        <v>2.0</v>
      </c>
      <c r="M243" s="3" t="s">
        <v>7673</v>
      </c>
      <c r="N243" s="3" t="s">
        <v>7673</v>
      </c>
      <c r="O243" s="3" t="s">
        <v>7674</v>
      </c>
      <c r="P243" s="19">
        <v>1.0</v>
      </c>
      <c r="Q243" s="19">
        <v>1.0</v>
      </c>
      <c r="R243" s="19">
        <v>0.0</v>
      </c>
      <c r="S243" s="19">
        <v>0.0</v>
      </c>
      <c r="T243" s="3" t="s">
        <v>166</v>
      </c>
      <c r="U243" s="3" t="s">
        <v>167</v>
      </c>
      <c r="V243" s="2"/>
    </row>
    <row r="244">
      <c r="A244" s="3" t="s">
        <v>7675</v>
      </c>
      <c r="B244" s="3" t="s">
        <v>7471</v>
      </c>
      <c r="C244" s="29">
        <v>46045.41666666667</v>
      </c>
      <c r="D244" s="29">
        <v>46045.4375</v>
      </c>
      <c r="E244" s="30">
        <v>0.5</v>
      </c>
      <c r="F244" s="2"/>
      <c r="G244" s="3" t="s">
        <v>7676</v>
      </c>
      <c r="H244" s="3" t="s">
        <v>7146</v>
      </c>
      <c r="I244" s="3" t="s">
        <v>7161</v>
      </c>
      <c r="J244" s="3" t="s">
        <v>7156</v>
      </c>
      <c r="K244" s="3" t="s">
        <v>7149</v>
      </c>
      <c r="L244" s="19">
        <v>5.0</v>
      </c>
      <c r="M244" s="3" t="s">
        <v>7677</v>
      </c>
      <c r="N244" s="3" t="s">
        <v>7677</v>
      </c>
      <c r="O244" s="3" t="s">
        <v>7678</v>
      </c>
      <c r="P244" s="19">
        <v>1.0</v>
      </c>
      <c r="Q244" s="19">
        <v>0.0</v>
      </c>
      <c r="R244" s="19">
        <v>0.0</v>
      </c>
      <c r="S244" s="19">
        <v>4.0</v>
      </c>
      <c r="T244" s="3" t="s">
        <v>199</v>
      </c>
      <c r="U244" s="3" t="s">
        <v>272</v>
      </c>
      <c r="V244" s="2"/>
    </row>
    <row r="245">
      <c r="A245" s="3" t="s">
        <v>7679</v>
      </c>
      <c r="B245" s="3" t="s">
        <v>7546</v>
      </c>
      <c r="C245" s="29">
        <v>46045.47916666667</v>
      </c>
      <c r="D245" s="29">
        <v>46045.52083333333</v>
      </c>
      <c r="E245" s="30">
        <v>1.0</v>
      </c>
      <c r="F245" s="2"/>
      <c r="G245" s="2"/>
      <c r="H245" s="3" t="s">
        <v>7146</v>
      </c>
      <c r="I245" s="3" t="s">
        <v>7338</v>
      </c>
      <c r="J245" s="3" t="s">
        <v>7288</v>
      </c>
      <c r="K245" s="3" t="s">
        <v>7149</v>
      </c>
      <c r="L245" s="19">
        <v>1.0</v>
      </c>
      <c r="M245" s="3" t="s">
        <v>7680</v>
      </c>
      <c r="N245" s="3" t="s">
        <v>7680</v>
      </c>
      <c r="O245" s="3" t="s">
        <v>7161</v>
      </c>
      <c r="P245" s="19">
        <v>1.0</v>
      </c>
      <c r="Q245" s="19">
        <v>0.0</v>
      </c>
      <c r="R245" s="19">
        <v>0.0</v>
      </c>
      <c r="S245" s="19">
        <v>0.0</v>
      </c>
      <c r="T245" s="3" t="s">
        <v>119</v>
      </c>
      <c r="U245" s="3" t="s">
        <v>251</v>
      </c>
      <c r="V245" s="3" t="s">
        <v>7681</v>
      </c>
    </row>
    <row r="246">
      <c r="A246" s="3" t="s">
        <v>7682</v>
      </c>
      <c r="B246" s="3" t="s">
        <v>7683</v>
      </c>
      <c r="C246" s="29">
        <v>46045.54166666667</v>
      </c>
      <c r="D246" s="29">
        <v>46045.5625</v>
      </c>
      <c r="E246" s="30">
        <v>0.5</v>
      </c>
      <c r="F246" s="25" t="s">
        <v>7684</v>
      </c>
      <c r="G246" s="3" t="s">
        <v>7685</v>
      </c>
      <c r="H246" s="3" t="s">
        <v>7146</v>
      </c>
      <c r="I246" s="3" t="s">
        <v>7338</v>
      </c>
      <c r="J246" s="3" t="s">
        <v>7288</v>
      </c>
      <c r="K246" s="3" t="s">
        <v>7146</v>
      </c>
      <c r="L246" s="19">
        <v>6.0</v>
      </c>
      <c r="M246" s="3" t="s">
        <v>7686</v>
      </c>
      <c r="N246" s="3" t="s">
        <v>7686</v>
      </c>
      <c r="O246" s="3" t="s">
        <v>7687</v>
      </c>
      <c r="P246" s="19">
        <v>1.0</v>
      </c>
      <c r="Q246" s="19">
        <v>1.0</v>
      </c>
      <c r="R246" s="19">
        <v>0.0</v>
      </c>
      <c r="S246" s="19">
        <v>4.0</v>
      </c>
      <c r="T246" s="3" t="s">
        <v>163</v>
      </c>
      <c r="U246" s="3" t="s">
        <v>430</v>
      </c>
      <c r="V246" s="2"/>
    </row>
    <row r="247">
      <c r="A247" s="3" t="s">
        <v>7688</v>
      </c>
      <c r="B247" s="3" t="s">
        <v>7689</v>
      </c>
      <c r="C247" s="29">
        <v>46048.5</v>
      </c>
      <c r="D247" s="29">
        <v>46048.52083333333</v>
      </c>
      <c r="E247" s="30">
        <v>0.5</v>
      </c>
      <c r="F247" s="2"/>
      <c r="G247" s="2"/>
      <c r="H247" s="3" t="s">
        <v>7146</v>
      </c>
      <c r="I247" s="3" t="s">
        <v>7338</v>
      </c>
      <c r="J247" s="3" t="s">
        <v>7288</v>
      </c>
      <c r="K247" s="3" t="s">
        <v>7146</v>
      </c>
      <c r="L247" s="19">
        <v>3.0</v>
      </c>
      <c r="M247" s="3" t="s">
        <v>7690</v>
      </c>
      <c r="N247" s="3" t="s">
        <v>7690</v>
      </c>
      <c r="O247" s="3" t="s">
        <v>7258</v>
      </c>
      <c r="P247" s="19">
        <v>2.0</v>
      </c>
      <c r="Q247" s="19">
        <v>0.0</v>
      </c>
      <c r="R247" s="19">
        <v>0.0</v>
      </c>
      <c r="S247" s="19">
        <v>1.0</v>
      </c>
      <c r="T247" s="3" t="s">
        <v>142</v>
      </c>
      <c r="U247" s="3" t="s">
        <v>143</v>
      </c>
      <c r="V247" s="2"/>
    </row>
    <row r="248">
      <c r="A248" s="3" t="s">
        <v>7691</v>
      </c>
      <c r="B248" s="3" t="s">
        <v>7183</v>
      </c>
      <c r="C248" s="29">
        <v>46049.5</v>
      </c>
      <c r="D248" s="29">
        <v>46049.52083333333</v>
      </c>
      <c r="E248" s="30">
        <v>0.5</v>
      </c>
      <c r="F248" s="2"/>
      <c r="G248" s="3" t="s">
        <v>7692</v>
      </c>
      <c r="H248" s="3" t="s">
        <v>7146</v>
      </c>
      <c r="I248" s="3" t="s">
        <v>7161</v>
      </c>
      <c r="J248" s="3" t="s">
        <v>7156</v>
      </c>
      <c r="K248" s="3" t="s">
        <v>7149</v>
      </c>
      <c r="L248" s="19">
        <v>3.0</v>
      </c>
      <c r="M248" s="3" t="s">
        <v>7185</v>
      </c>
      <c r="N248" s="3" t="s">
        <v>7186</v>
      </c>
      <c r="O248" s="3" t="s">
        <v>7187</v>
      </c>
      <c r="P248" s="19">
        <v>2.0</v>
      </c>
      <c r="Q248" s="19">
        <v>0.0</v>
      </c>
      <c r="R248" s="19">
        <v>1.0</v>
      </c>
      <c r="S248" s="19">
        <v>0.0</v>
      </c>
      <c r="T248" s="3" t="s">
        <v>184</v>
      </c>
      <c r="U248" s="3" t="s">
        <v>478</v>
      </c>
      <c r="V248" s="3" t="s">
        <v>7693</v>
      </c>
    </row>
    <row r="249">
      <c r="A249" s="3" t="s">
        <v>7694</v>
      </c>
      <c r="B249" s="3" t="s">
        <v>7463</v>
      </c>
      <c r="C249" s="29">
        <v>46049.60416666667</v>
      </c>
      <c r="D249" s="29">
        <v>46049.625</v>
      </c>
      <c r="E249" s="30">
        <v>0.5</v>
      </c>
      <c r="F249" s="2"/>
      <c r="G249" s="3" t="s">
        <v>7541</v>
      </c>
      <c r="H249" s="3" t="s">
        <v>7146</v>
      </c>
      <c r="I249" s="3" t="s">
        <v>7338</v>
      </c>
      <c r="J249" s="3" t="s">
        <v>7288</v>
      </c>
      <c r="K249" s="3" t="s">
        <v>7149</v>
      </c>
      <c r="L249" s="19">
        <v>2.0</v>
      </c>
      <c r="M249" s="3" t="s">
        <v>7465</v>
      </c>
      <c r="N249" s="3" t="s">
        <v>7465</v>
      </c>
      <c r="O249" s="3" t="s">
        <v>7244</v>
      </c>
      <c r="P249" s="19">
        <v>0.0</v>
      </c>
      <c r="Q249" s="19">
        <v>0.0</v>
      </c>
      <c r="R249" s="19">
        <v>0.0</v>
      </c>
      <c r="S249" s="19">
        <v>2.0</v>
      </c>
      <c r="T249" s="3" t="s">
        <v>101</v>
      </c>
      <c r="U249" s="3" t="s">
        <v>511</v>
      </c>
      <c r="V249" s="2"/>
    </row>
    <row r="250">
      <c r="A250" s="3" t="s">
        <v>7695</v>
      </c>
      <c r="B250" s="3" t="s">
        <v>7696</v>
      </c>
      <c r="C250" s="29">
        <v>46050.41666666667</v>
      </c>
      <c r="D250" s="29">
        <v>46050.4375</v>
      </c>
      <c r="E250" s="30">
        <v>0.5</v>
      </c>
      <c r="F250" s="2"/>
      <c r="G250" s="2"/>
      <c r="H250" s="3" t="s">
        <v>7146</v>
      </c>
      <c r="I250" s="3" t="s">
        <v>7161</v>
      </c>
      <c r="J250" s="3" t="s">
        <v>7274</v>
      </c>
      <c r="K250" s="3" t="s">
        <v>7149</v>
      </c>
      <c r="L250" s="19">
        <v>1.0</v>
      </c>
      <c r="M250" s="3" t="s">
        <v>7288</v>
      </c>
      <c r="N250" s="3" t="s">
        <v>7288</v>
      </c>
      <c r="O250" s="3" t="s">
        <v>7161</v>
      </c>
      <c r="P250" s="19">
        <v>1.0</v>
      </c>
      <c r="Q250" s="19">
        <v>0.0</v>
      </c>
      <c r="R250" s="19">
        <v>0.0</v>
      </c>
      <c r="S250" s="19">
        <v>0.0</v>
      </c>
      <c r="T250" s="2"/>
      <c r="U250" s="2"/>
      <c r="V250" s="2"/>
    </row>
    <row r="251">
      <c r="A251" s="3" t="s">
        <v>7555</v>
      </c>
      <c r="B251" s="3" t="s">
        <v>7234</v>
      </c>
      <c r="C251" s="29">
        <v>46050.45833333333</v>
      </c>
      <c r="D251" s="29">
        <v>46050.47916666667</v>
      </c>
      <c r="E251" s="30">
        <v>0.5</v>
      </c>
      <c r="F251" s="2"/>
      <c r="G251" s="2"/>
      <c r="H251" s="3" t="s">
        <v>7146</v>
      </c>
      <c r="I251" s="3" t="s">
        <v>7147</v>
      </c>
      <c r="J251" s="3" t="s">
        <v>7156</v>
      </c>
      <c r="K251" s="3" t="s">
        <v>7149</v>
      </c>
      <c r="L251" s="19">
        <v>4.0</v>
      </c>
      <c r="M251" s="3" t="s">
        <v>7235</v>
      </c>
      <c r="N251" s="3" t="s">
        <v>7235</v>
      </c>
      <c r="O251" s="3" t="s">
        <v>7697</v>
      </c>
      <c r="P251" s="19">
        <v>0.0</v>
      </c>
      <c r="Q251" s="19">
        <v>0.0</v>
      </c>
      <c r="R251" s="19">
        <v>0.0</v>
      </c>
      <c r="S251" s="19">
        <v>4.0</v>
      </c>
      <c r="T251" s="3" t="s">
        <v>166</v>
      </c>
      <c r="U251" s="3" t="s">
        <v>167</v>
      </c>
      <c r="V251" s="3" t="s">
        <v>7698</v>
      </c>
    </row>
    <row r="252">
      <c r="A252" s="3" t="s">
        <v>7699</v>
      </c>
      <c r="B252" s="3" t="s">
        <v>7249</v>
      </c>
      <c r="C252" s="29">
        <v>46050.54166666667</v>
      </c>
      <c r="D252" s="29">
        <v>46050.5625</v>
      </c>
      <c r="E252" s="30">
        <v>0.5</v>
      </c>
      <c r="F252" s="2"/>
      <c r="G252" s="2"/>
      <c r="H252" s="3" t="s">
        <v>7146</v>
      </c>
      <c r="I252" s="3" t="s">
        <v>7161</v>
      </c>
      <c r="J252" s="3" t="s">
        <v>7156</v>
      </c>
      <c r="K252" s="3" t="s">
        <v>7149</v>
      </c>
      <c r="L252" s="19">
        <v>3.0</v>
      </c>
      <c r="M252" s="3" t="s">
        <v>7250</v>
      </c>
      <c r="N252" s="3" t="s">
        <v>7250</v>
      </c>
      <c r="O252" s="3" t="s">
        <v>7231</v>
      </c>
      <c r="P252" s="19">
        <v>2.0</v>
      </c>
      <c r="Q252" s="19">
        <v>1.0</v>
      </c>
      <c r="R252" s="19">
        <v>0.0</v>
      </c>
      <c r="S252" s="19">
        <v>0.0</v>
      </c>
      <c r="T252" s="3" t="s">
        <v>187</v>
      </c>
      <c r="U252" s="3" t="s">
        <v>188</v>
      </c>
      <c r="V252" s="2"/>
    </row>
    <row r="253">
      <c r="A253" s="3" t="s">
        <v>7700</v>
      </c>
      <c r="B253" s="3" t="s">
        <v>7256</v>
      </c>
      <c r="C253" s="29">
        <v>46050.5625</v>
      </c>
      <c r="D253" s="29">
        <v>46050.58333333333</v>
      </c>
      <c r="E253" s="30">
        <v>0.5</v>
      </c>
      <c r="F253" s="2"/>
      <c r="G253" s="2"/>
      <c r="H253" s="3" t="s">
        <v>7146</v>
      </c>
      <c r="I253" s="3" t="s">
        <v>7161</v>
      </c>
      <c r="J253" s="3" t="s">
        <v>7156</v>
      </c>
      <c r="K253" s="3" t="s">
        <v>7149</v>
      </c>
      <c r="L253" s="19">
        <v>4.0</v>
      </c>
      <c r="M253" s="3" t="s">
        <v>7701</v>
      </c>
      <c r="N253" s="3" t="s">
        <v>7701</v>
      </c>
      <c r="O253" s="3" t="s">
        <v>7411</v>
      </c>
      <c r="P253" s="19">
        <v>4.0</v>
      </c>
      <c r="Q253" s="19">
        <v>0.0</v>
      </c>
      <c r="R253" s="19">
        <v>0.0</v>
      </c>
      <c r="S253" s="19">
        <v>0.0</v>
      </c>
      <c r="T253" s="3" t="s">
        <v>202</v>
      </c>
      <c r="U253" s="3" t="s">
        <v>203</v>
      </c>
      <c r="V253" s="3" t="s">
        <v>7702</v>
      </c>
    </row>
    <row r="254">
      <c r="A254" s="3" t="s">
        <v>7703</v>
      </c>
      <c r="B254" s="3" t="s">
        <v>7704</v>
      </c>
      <c r="C254" s="29">
        <v>46050.58333333333</v>
      </c>
      <c r="D254" s="29">
        <v>46050.625</v>
      </c>
      <c r="E254" s="30">
        <v>1.0</v>
      </c>
      <c r="F254" s="2"/>
      <c r="G254" s="2"/>
      <c r="H254" s="3" t="s">
        <v>7146</v>
      </c>
      <c r="I254" s="3" t="s">
        <v>7338</v>
      </c>
      <c r="J254" s="3" t="s">
        <v>7288</v>
      </c>
      <c r="K254" s="3" t="s">
        <v>7146</v>
      </c>
      <c r="L254" s="19">
        <v>0.0</v>
      </c>
      <c r="M254" s="2"/>
      <c r="N254" s="2"/>
      <c r="O254" s="2"/>
      <c r="P254" s="19">
        <v>0.0</v>
      </c>
      <c r="Q254" s="19">
        <v>0.0</v>
      </c>
      <c r="R254" s="19">
        <v>0.0</v>
      </c>
      <c r="S254" s="19">
        <v>0.0</v>
      </c>
      <c r="T254" s="2"/>
      <c r="U254" s="2"/>
      <c r="V254" s="2"/>
    </row>
    <row r="255">
      <c r="A255" s="3" t="s">
        <v>7705</v>
      </c>
      <c r="B255" s="3" t="s">
        <v>7706</v>
      </c>
      <c r="C255" s="29">
        <v>46050.64583333333</v>
      </c>
      <c r="D255" s="29">
        <v>46050.66666666667</v>
      </c>
      <c r="E255" s="30">
        <v>0.5</v>
      </c>
      <c r="F255" s="2"/>
      <c r="G255" s="2"/>
      <c r="H255" s="3" t="s">
        <v>7146</v>
      </c>
      <c r="I255" s="3" t="s">
        <v>7387</v>
      </c>
      <c r="J255" s="3" t="s">
        <v>7156</v>
      </c>
      <c r="K255" s="3" t="s">
        <v>7149</v>
      </c>
      <c r="L255" s="19">
        <v>4.0</v>
      </c>
      <c r="M255" s="3" t="s">
        <v>7707</v>
      </c>
      <c r="N255" s="3" t="s">
        <v>7708</v>
      </c>
      <c r="O255" s="3" t="s">
        <v>7446</v>
      </c>
      <c r="P255" s="19">
        <v>3.0</v>
      </c>
      <c r="Q255" s="19">
        <v>0.0</v>
      </c>
      <c r="R255" s="19">
        <v>0.0</v>
      </c>
      <c r="S255" s="19">
        <v>1.0</v>
      </c>
      <c r="T255" s="3" t="s">
        <v>6450</v>
      </c>
      <c r="U255" s="3" t="s">
        <v>552</v>
      </c>
      <c r="V255" s="3" t="s">
        <v>7709</v>
      </c>
    </row>
    <row r="256">
      <c r="A256" s="3" t="s">
        <v>7710</v>
      </c>
      <c r="B256" s="3" t="s">
        <v>7160</v>
      </c>
      <c r="C256" s="29">
        <v>46051.4375</v>
      </c>
      <c r="D256" s="29">
        <v>46051.45833333333</v>
      </c>
      <c r="E256" s="30">
        <v>0.5</v>
      </c>
      <c r="F256" s="2"/>
      <c r="G256" s="2"/>
      <c r="H256" s="3" t="s">
        <v>7146</v>
      </c>
      <c r="I256" s="3" t="s">
        <v>7161</v>
      </c>
      <c r="J256" s="3" t="s">
        <v>7156</v>
      </c>
      <c r="K256" s="3" t="s">
        <v>7149</v>
      </c>
      <c r="L256" s="19">
        <v>3.0</v>
      </c>
      <c r="M256" s="3" t="s">
        <v>7229</v>
      </c>
      <c r="N256" s="3" t="s">
        <v>7230</v>
      </c>
      <c r="O256" s="3" t="s">
        <v>7251</v>
      </c>
      <c r="P256" s="19">
        <v>3.0</v>
      </c>
      <c r="Q256" s="19">
        <v>0.0</v>
      </c>
      <c r="R256" s="19">
        <v>0.0</v>
      </c>
      <c r="S256" s="19">
        <v>0.0</v>
      </c>
      <c r="T256" s="3" t="s">
        <v>154</v>
      </c>
      <c r="U256" s="3" t="s">
        <v>329</v>
      </c>
      <c r="V256" s="2"/>
    </row>
    <row r="257">
      <c r="A257" s="3" t="s">
        <v>7548</v>
      </c>
      <c r="B257" s="3" t="s">
        <v>7163</v>
      </c>
      <c r="C257" s="29">
        <v>46051.58333333333</v>
      </c>
      <c r="D257" s="29">
        <v>46051.60416666667</v>
      </c>
      <c r="E257" s="30">
        <v>0.5</v>
      </c>
      <c r="F257" s="2"/>
      <c r="G257" s="2"/>
      <c r="H257" s="3" t="s">
        <v>7146</v>
      </c>
      <c r="I257" s="3" t="s">
        <v>7161</v>
      </c>
      <c r="J257" s="3" t="s">
        <v>7156</v>
      </c>
      <c r="K257" s="3" t="s">
        <v>7149</v>
      </c>
      <c r="L257" s="19">
        <v>6.0</v>
      </c>
      <c r="M257" s="3" t="s">
        <v>7164</v>
      </c>
      <c r="N257" s="3" t="s">
        <v>7164</v>
      </c>
      <c r="O257" s="3" t="s">
        <v>7165</v>
      </c>
      <c r="P257" s="19">
        <v>1.0</v>
      </c>
      <c r="Q257" s="19">
        <v>3.0</v>
      </c>
      <c r="R257" s="19">
        <v>0.0</v>
      </c>
      <c r="S257" s="19">
        <v>2.0</v>
      </c>
      <c r="T257" s="3" t="s">
        <v>151</v>
      </c>
      <c r="U257" s="3" t="s">
        <v>370</v>
      </c>
      <c r="V257" s="2"/>
    </row>
    <row r="258">
      <c r="A258" s="3" t="s">
        <v>7711</v>
      </c>
      <c r="B258" s="3" t="s">
        <v>7712</v>
      </c>
      <c r="C258" s="29">
        <v>46051.64583333333</v>
      </c>
      <c r="D258" s="29">
        <v>46051.66666666667</v>
      </c>
      <c r="E258" s="30">
        <v>0.5</v>
      </c>
      <c r="F258" s="2"/>
      <c r="G258" s="3" t="s">
        <v>7713</v>
      </c>
      <c r="H258" s="3" t="s">
        <v>7146</v>
      </c>
      <c r="I258" s="3" t="s">
        <v>7338</v>
      </c>
      <c r="J258" s="3" t="s">
        <v>7288</v>
      </c>
      <c r="K258" s="3" t="s">
        <v>7149</v>
      </c>
      <c r="L258" s="19">
        <v>6.0</v>
      </c>
      <c r="M258" s="3" t="s">
        <v>7636</v>
      </c>
      <c r="N258" s="3" t="s">
        <v>7636</v>
      </c>
      <c r="O258" s="3" t="s">
        <v>7714</v>
      </c>
      <c r="P258" s="19">
        <v>1.0</v>
      </c>
      <c r="Q258" s="19">
        <v>0.0</v>
      </c>
      <c r="R258" s="19">
        <v>1.0</v>
      </c>
      <c r="S258" s="19">
        <v>4.0</v>
      </c>
      <c r="T258" s="3" t="s">
        <v>122</v>
      </c>
      <c r="U258" s="3" t="s">
        <v>123</v>
      </c>
      <c r="V258" s="3" t="s">
        <v>7715</v>
      </c>
    </row>
    <row r="259">
      <c r="A259" s="3" t="s">
        <v>7716</v>
      </c>
      <c r="B259" s="3" t="s">
        <v>7717</v>
      </c>
      <c r="C259" s="29">
        <v>46052.41666666667</v>
      </c>
      <c r="D259" s="29">
        <v>46052.45833333333</v>
      </c>
      <c r="E259" s="30">
        <v>1.0</v>
      </c>
      <c r="F259" s="2"/>
      <c r="G259" s="2"/>
      <c r="H259" s="3" t="s">
        <v>7146</v>
      </c>
      <c r="I259" s="3" t="s">
        <v>7338</v>
      </c>
      <c r="J259" s="3" t="s">
        <v>7288</v>
      </c>
      <c r="K259" s="3" t="s">
        <v>7146</v>
      </c>
      <c r="L259" s="19">
        <v>0.0</v>
      </c>
      <c r="M259" s="2"/>
      <c r="N259" s="2"/>
      <c r="O259" s="2"/>
      <c r="P259" s="19">
        <v>0.0</v>
      </c>
      <c r="Q259" s="19">
        <v>0.0</v>
      </c>
      <c r="R259" s="19">
        <v>0.0</v>
      </c>
      <c r="S259" s="19">
        <v>0.0</v>
      </c>
      <c r="T259" s="2"/>
      <c r="U259" s="2"/>
      <c r="V259" s="2"/>
    </row>
    <row r="260">
      <c r="A260" s="3" t="s">
        <v>7718</v>
      </c>
      <c r="B260" s="3" t="s">
        <v>7719</v>
      </c>
      <c r="C260" s="29">
        <v>46052.45833333333</v>
      </c>
      <c r="D260" s="29">
        <v>46052.54166666667</v>
      </c>
      <c r="E260" s="30">
        <v>2.0</v>
      </c>
      <c r="F260" s="2"/>
      <c r="G260" s="2"/>
      <c r="H260" s="3" t="s">
        <v>7146</v>
      </c>
      <c r="I260" s="3" t="s">
        <v>7240</v>
      </c>
      <c r="J260" s="3" t="s">
        <v>7274</v>
      </c>
      <c r="K260" s="3" t="s">
        <v>7146</v>
      </c>
      <c r="L260" s="19">
        <v>7.0</v>
      </c>
      <c r="M260" s="3" t="s">
        <v>7720</v>
      </c>
      <c r="N260" s="3" t="s">
        <v>7720</v>
      </c>
      <c r="O260" s="3" t="s">
        <v>7721</v>
      </c>
      <c r="P260" s="19">
        <v>4.0</v>
      </c>
      <c r="Q260" s="19">
        <v>0.0</v>
      </c>
      <c r="R260" s="19">
        <v>1.0</v>
      </c>
      <c r="S260" s="19">
        <v>2.0</v>
      </c>
      <c r="T260" s="2"/>
      <c r="U260" s="2"/>
      <c r="V260" s="2"/>
    </row>
    <row r="261">
      <c r="A261" s="3" t="s">
        <v>7679</v>
      </c>
      <c r="B261" s="3" t="s">
        <v>7546</v>
      </c>
      <c r="C261" s="29">
        <v>46052.47916666667</v>
      </c>
      <c r="D261" s="29">
        <v>46052.52083333333</v>
      </c>
      <c r="E261" s="30">
        <v>1.0</v>
      </c>
      <c r="F261" s="2"/>
      <c r="G261" s="2"/>
      <c r="H261" s="3" t="s">
        <v>7146</v>
      </c>
      <c r="I261" s="3" t="s">
        <v>7338</v>
      </c>
      <c r="J261" s="3" t="s">
        <v>7288</v>
      </c>
      <c r="K261" s="3" t="s">
        <v>7149</v>
      </c>
      <c r="L261" s="19">
        <v>1.0</v>
      </c>
      <c r="M261" s="3" t="s">
        <v>7680</v>
      </c>
      <c r="N261" s="3" t="s">
        <v>7680</v>
      </c>
      <c r="O261" s="3" t="s">
        <v>7161</v>
      </c>
      <c r="P261" s="19">
        <v>1.0</v>
      </c>
      <c r="Q261" s="19">
        <v>0.0</v>
      </c>
      <c r="R261" s="19">
        <v>0.0</v>
      </c>
      <c r="S261" s="19">
        <v>0.0</v>
      </c>
      <c r="T261" s="3" t="s">
        <v>119</v>
      </c>
      <c r="U261" s="3" t="s">
        <v>251</v>
      </c>
      <c r="V261" s="3" t="s">
        <v>7722</v>
      </c>
    </row>
    <row r="262">
      <c r="A262" s="3" t="s">
        <v>7723</v>
      </c>
      <c r="B262" s="3" t="s">
        <v>7724</v>
      </c>
      <c r="C262" s="29">
        <v>46052.52083333333</v>
      </c>
      <c r="D262" s="29">
        <v>46052.54166666667</v>
      </c>
      <c r="E262" s="30">
        <v>0.5</v>
      </c>
      <c r="F262" s="3" t="s">
        <v>7355</v>
      </c>
      <c r="G262" s="3" t="s">
        <v>7725</v>
      </c>
      <c r="H262" s="3" t="s">
        <v>7146</v>
      </c>
      <c r="I262" s="3" t="s">
        <v>7338</v>
      </c>
      <c r="J262" s="3" t="s">
        <v>7288</v>
      </c>
      <c r="K262" s="3" t="s">
        <v>7146</v>
      </c>
      <c r="L262" s="19">
        <v>1.0</v>
      </c>
      <c r="M262" s="3" t="s">
        <v>7288</v>
      </c>
      <c r="N262" s="3" t="s">
        <v>7288</v>
      </c>
      <c r="O262" s="3" t="s">
        <v>7161</v>
      </c>
      <c r="P262" s="19">
        <v>1.0</v>
      </c>
      <c r="Q262" s="19">
        <v>0.0</v>
      </c>
      <c r="R262" s="19">
        <v>0.0</v>
      </c>
      <c r="S262" s="19">
        <v>0.0</v>
      </c>
      <c r="T262" s="2"/>
      <c r="U262" s="2"/>
      <c r="V262" s="3" t="s">
        <v>7726</v>
      </c>
    </row>
    <row r="263">
      <c r="A263" s="3" t="s">
        <v>7727</v>
      </c>
      <c r="B263" s="3" t="s">
        <v>7167</v>
      </c>
      <c r="C263" s="29">
        <v>46052.54166666667</v>
      </c>
      <c r="D263" s="29">
        <v>46052.5625</v>
      </c>
      <c r="E263" s="30">
        <v>0.5</v>
      </c>
      <c r="F263" s="2"/>
      <c r="G263" s="2"/>
      <c r="H263" s="3" t="s">
        <v>7146</v>
      </c>
      <c r="I263" s="3" t="s">
        <v>7161</v>
      </c>
      <c r="J263" s="3" t="s">
        <v>7168</v>
      </c>
      <c r="K263" s="3" t="s">
        <v>7149</v>
      </c>
      <c r="L263" s="19">
        <v>4.0</v>
      </c>
      <c r="M263" s="3" t="s">
        <v>7169</v>
      </c>
      <c r="N263" s="3" t="s">
        <v>7170</v>
      </c>
      <c r="O263" s="3" t="s">
        <v>7171</v>
      </c>
      <c r="P263" s="19">
        <v>3.0</v>
      </c>
      <c r="Q263" s="19">
        <v>1.0</v>
      </c>
      <c r="R263" s="19">
        <v>0.0</v>
      </c>
      <c r="S263" s="19">
        <v>0.0</v>
      </c>
      <c r="T263" s="3" t="s">
        <v>205</v>
      </c>
      <c r="U263" s="3" t="s">
        <v>206</v>
      </c>
      <c r="V263" s="2"/>
    </row>
    <row r="264">
      <c r="A264" s="3" t="s">
        <v>7728</v>
      </c>
      <c r="B264" s="3" t="s">
        <v>7729</v>
      </c>
      <c r="C264" s="29">
        <v>46052.5625</v>
      </c>
      <c r="D264" s="29">
        <v>46052.60416666667</v>
      </c>
      <c r="E264" s="30">
        <v>1.0</v>
      </c>
      <c r="F264" s="2"/>
      <c r="G264" s="2"/>
      <c r="H264" s="3" t="s">
        <v>7146</v>
      </c>
      <c r="I264" s="3" t="s">
        <v>7338</v>
      </c>
      <c r="J264" s="3" t="s">
        <v>7288</v>
      </c>
      <c r="K264" s="3" t="s">
        <v>7146</v>
      </c>
      <c r="L264" s="19">
        <v>0.0</v>
      </c>
      <c r="M264" s="2"/>
      <c r="N264" s="2"/>
      <c r="O264" s="2"/>
      <c r="P264" s="19">
        <v>0.0</v>
      </c>
      <c r="Q264" s="19">
        <v>0.0</v>
      </c>
      <c r="R264" s="19">
        <v>0.0</v>
      </c>
      <c r="S264" s="19">
        <v>0.0</v>
      </c>
      <c r="T264" s="2"/>
      <c r="U264" s="2"/>
      <c r="V264" s="2"/>
    </row>
    <row r="265">
      <c r="A265" s="3" t="s">
        <v>7730</v>
      </c>
      <c r="B265" s="3" t="s">
        <v>7731</v>
      </c>
      <c r="C265" s="29">
        <v>46052.60416666667</v>
      </c>
      <c r="D265" s="29">
        <v>46052.64583333333</v>
      </c>
      <c r="E265" s="30">
        <v>1.0</v>
      </c>
      <c r="F265" s="2"/>
      <c r="G265" s="2"/>
      <c r="H265" s="3" t="s">
        <v>7146</v>
      </c>
      <c r="I265" s="3" t="s">
        <v>7338</v>
      </c>
      <c r="J265" s="3" t="s">
        <v>7288</v>
      </c>
      <c r="K265" s="3" t="s">
        <v>7146</v>
      </c>
      <c r="L265" s="19">
        <v>0.0</v>
      </c>
      <c r="M265" s="2"/>
      <c r="N265" s="2"/>
      <c r="O265" s="2"/>
      <c r="P265" s="19">
        <v>0.0</v>
      </c>
      <c r="Q265" s="19">
        <v>0.0</v>
      </c>
      <c r="R265" s="19">
        <v>0.0</v>
      </c>
      <c r="S265" s="19">
        <v>0.0</v>
      </c>
      <c r="T265" s="2"/>
      <c r="U265" s="2"/>
      <c r="V265" s="2"/>
    </row>
    <row r="266">
      <c r="A266" s="3" t="s">
        <v>7732</v>
      </c>
      <c r="B266" s="3" t="s">
        <v>7671</v>
      </c>
      <c r="C266" s="29">
        <v>46056.41666666667</v>
      </c>
      <c r="D266" s="29">
        <v>46056.4375</v>
      </c>
      <c r="E266" s="30">
        <v>0.5</v>
      </c>
      <c r="F266" s="2"/>
      <c r="G266" s="3" t="s">
        <v>7733</v>
      </c>
      <c r="H266" s="3" t="s">
        <v>7146</v>
      </c>
      <c r="I266" s="3" t="s">
        <v>7338</v>
      </c>
      <c r="J266" s="3" t="s">
        <v>7288</v>
      </c>
      <c r="K266" s="3" t="s">
        <v>7146</v>
      </c>
      <c r="L266" s="19">
        <v>1.0</v>
      </c>
      <c r="M266" s="3" t="s">
        <v>7734</v>
      </c>
      <c r="N266" s="3" t="s">
        <v>7734</v>
      </c>
      <c r="O266" s="3" t="s">
        <v>7161</v>
      </c>
      <c r="P266" s="19">
        <v>1.0</v>
      </c>
      <c r="Q266" s="19">
        <v>0.0</v>
      </c>
      <c r="R266" s="19">
        <v>0.0</v>
      </c>
      <c r="S266" s="19">
        <v>0.0</v>
      </c>
      <c r="T266" s="3" t="s">
        <v>166</v>
      </c>
      <c r="U266" s="3" t="s">
        <v>167</v>
      </c>
      <c r="V266" s="3" t="s">
        <v>7735</v>
      </c>
    </row>
    <row r="267">
      <c r="A267" s="3" t="s">
        <v>7736</v>
      </c>
      <c r="B267" s="3" t="s">
        <v>7737</v>
      </c>
      <c r="C267" s="29">
        <v>46056.47916666667</v>
      </c>
      <c r="D267" s="29">
        <v>46056.5</v>
      </c>
      <c r="E267" s="30">
        <v>0.5</v>
      </c>
      <c r="F267" s="3" t="s">
        <v>7355</v>
      </c>
      <c r="G267" s="3" t="s">
        <v>7738</v>
      </c>
      <c r="H267" s="3" t="s">
        <v>7146</v>
      </c>
      <c r="I267" s="3" t="s">
        <v>7338</v>
      </c>
      <c r="J267" s="3" t="s">
        <v>7288</v>
      </c>
      <c r="K267" s="3" t="s">
        <v>7146</v>
      </c>
      <c r="L267" s="19">
        <v>15.0</v>
      </c>
      <c r="M267" s="3" t="s">
        <v>7739</v>
      </c>
      <c r="N267" s="3" t="s">
        <v>7740</v>
      </c>
      <c r="O267" s="3" t="s">
        <v>7741</v>
      </c>
      <c r="P267" s="19">
        <v>1.0</v>
      </c>
      <c r="Q267" s="19">
        <v>0.0</v>
      </c>
      <c r="R267" s="19">
        <v>0.0</v>
      </c>
      <c r="S267" s="19">
        <v>14.0</v>
      </c>
      <c r="T267" s="3" t="s">
        <v>101</v>
      </c>
      <c r="U267" s="3" t="s">
        <v>511</v>
      </c>
      <c r="V267" s="3" t="s">
        <v>7742</v>
      </c>
    </row>
    <row r="268">
      <c r="A268" s="3" t="s">
        <v>7743</v>
      </c>
      <c r="B268" s="3" t="s">
        <v>7744</v>
      </c>
      <c r="C268" s="29">
        <v>46056.52083333333</v>
      </c>
      <c r="D268" s="29">
        <v>46056.54166666667</v>
      </c>
      <c r="E268" s="30">
        <v>0.5</v>
      </c>
      <c r="F268" s="2"/>
      <c r="G268" s="3" t="s">
        <v>7745</v>
      </c>
      <c r="H268" s="3" t="s">
        <v>7146</v>
      </c>
      <c r="I268" s="3" t="s">
        <v>7338</v>
      </c>
      <c r="J268" s="3" t="s">
        <v>7288</v>
      </c>
      <c r="K268" s="3" t="s">
        <v>7146</v>
      </c>
      <c r="L268" s="19">
        <v>1.0</v>
      </c>
      <c r="M268" s="3" t="s">
        <v>7746</v>
      </c>
      <c r="N268" s="3" t="s">
        <v>7746</v>
      </c>
      <c r="O268" s="3" t="s">
        <v>7161</v>
      </c>
      <c r="P268" s="19">
        <v>1.0</v>
      </c>
      <c r="Q268" s="19">
        <v>0.0</v>
      </c>
      <c r="R268" s="19">
        <v>0.0</v>
      </c>
      <c r="S268" s="19">
        <v>0.0</v>
      </c>
      <c r="T268" s="3" t="s">
        <v>208</v>
      </c>
      <c r="U268" s="3" t="s">
        <v>209</v>
      </c>
      <c r="V268" s="3" t="s">
        <v>7747</v>
      </c>
    </row>
    <row r="269">
      <c r="A269" s="3" t="s">
        <v>7748</v>
      </c>
      <c r="B269" s="3" t="s">
        <v>7211</v>
      </c>
      <c r="C269" s="29">
        <v>46056.54166666667</v>
      </c>
      <c r="D269" s="29">
        <v>46056.5625</v>
      </c>
      <c r="E269" s="30">
        <v>0.5</v>
      </c>
      <c r="F269" s="2"/>
      <c r="G269" s="3" t="s">
        <v>7212</v>
      </c>
      <c r="H269" s="3" t="s">
        <v>7146</v>
      </c>
      <c r="I269" s="3" t="s">
        <v>7161</v>
      </c>
      <c r="J269" s="3" t="s">
        <v>7156</v>
      </c>
      <c r="K269" s="3" t="s">
        <v>7149</v>
      </c>
      <c r="L269" s="19">
        <v>5.0</v>
      </c>
      <c r="M269" s="3" t="s">
        <v>7749</v>
      </c>
      <c r="N269" s="3" t="s">
        <v>7749</v>
      </c>
      <c r="O269" s="3" t="s">
        <v>7750</v>
      </c>
      <c r="P269" s="19">
        <v>3.0</v>
      </c>
      <c r="Q269" s="19">
        <v>1.0</v>
      </c>
      <c r="R269" s="19">
        <v>0.0</v>
      </c>
      <c r="S269" s="19">
        <v>1.0</v>
      </c>
      <c r="T269" s="3" t="s">
        <v>175</v>
      </c>
      <c r="U269" s="3" t="s">
        <v>422</v>
      </c>
      <c r="V269" s="2"/>
    </row>
    <row r="270">
      <c r="A270" s="3" t="s">
        <v>7751</v>
      </c>
      <c r="B270" s="3" t="s">
        <v>7689</v>
      </c>
      <c r="C270" s="29">
        <v>46056.5625</v>
      </c>
      <c r="D270" s="29">
        <v>46056.58333333333</v>
      </c>
      <c r="E270" s="30">
        <v>0.5</v>
      </c>
      <c r="F270" s="2"/>
      <c r="G270" s="2"/>
      <c r="H270" s="3" t="s">
        <v>7146</v>
      </c>
      <c r="I270" s="3" t="s">
        <v>7338</v>
      </c>
      <c r="J270" s="3" t="s">
        <v>7288</v>
      </c>
      <c r="K270" s="3" t="s">
        <v>7149</v>
      </c>
      <c r="L270" s="19">
        <v>2.0</v>
      </c>
      <c r="M270" s="3" t="s">
        <v>7752</v>
      </c>
      <c r="N270" s="3" t="s">
        <v>7752</v>
      </c>
      <c r="O270" s="3" t="s">
        <v>7218</v>
      </c>
      <c r="P270" s="19">
        <v>2.0</v>
      </c>
      <c r="Q270" s="19">
        <v>0.0</v>
      </c>
      <c r="R270" s="19">
        <v>0.0</v>
      </c>
      <c r="S270" s="19">
        <v>0.0</v>
      </c>
      <c r="T270" s="3" t="s">
        <v>142</v>
      </c>
      <c r="U270" s="3" t="s">
        <v>143</v>
      </c>
      <c r="V270" s="3" t="s">
        <v>7753</v>
      </c>
    </row>
    <row r="271">
      <c r="A271" s="3" t="s">
        <v>7754</v>
      </c>
      <c r="B271" s="3" t="s">
        <v>7755</v>
      </c>
      <c r="C271" s="29">
        <v>46056.58333333333</v>
      </c>
      <c r="D271" s="29">
        <v>46056.60416666667</v>
      </c>
      <c r="E271" s="30">
        <v>0.5</v>
      </c>
      <c r="F271" s="2"/>
      <c r="G271" s="3" t="s">
        <v>7756</v>
      </c>
      <c r="H271" s="3" t="s">
        <v>7146</v>
      </c>
      <c r="I271" s="3" t="s">
        <v>7161</v>
      </c>
      <c r="J271" s="3" t="s">
        <v>7156</v>
      </c>
      <c r="K271" s="3" t="s">
        <v>7149</v>
      </c>
      <c r="L271" s="19">
        <v>7.0</v>
      </c>
      <c r="M271" s="3" t="s">
        <v>7757</v>
      </c>
      <c r="N271" s="3" t="s">
        <v>7758</v>
      </c>
      <c r="O271" s="3" t="s">
        <v>7759</v>
      </c>
      <c r="P271" s="19">
        <v>0.0</v>
      </c>
      <c r="Q271" s="19">
        <v>1.0</v>
      </c>
      <c r="R271" s="19">
        <v>1.0</v>
      </c>
      <c r="S271" s="19">
        <v>5.0</v>
      </c>
      <c r="T271" s="3" t="s">
        <v>110</v>
      </c>
      <c r="U271" s="3" t="s">
        <v>111</v>
      </c>
      <c r="V271" s="3" t="s">
        <v>7760</v>
      </c>
    </row>
    <row r="272">
      <c r="A272" s="3" t="s">
        <v>7761</v>
      </c>
      <c r="B272" s="3" t="s">
        <v>7762</v>
      </c>
      <c r="C272" s="29">
        <v>46056.60416666667</v>
      </c>
      <c r="D272" s="29">
        <v>46056.625</v>
      </c>
      <c r="E272" s="30">
        <v>0.5</v>
      </c>
      <c r="F272" s="2"/>
      <c r="G272" s="3" t="s">
        <v>7763</v>
      </c>
      <c r="H272" s="3" t="s">
        <v>7146</v>
      </c>
      <c r="I272" s="3" t="s">
        <v>7338</v>
      </c>
      <c r="J272" s="3" t="s">
        <v>7288</v>
      </c>
      <c r="K272" s="3" t="s">
        <v>7146</v>
      </c>
      <c r="L272" s="19">
        <v>6.0</v>
      </c>
      <c r="M272" s="3" t="s">
        <v>7764</v>
      </c>
      <c r="N272" s="3" t="s">
        <v>7764</v>
      </c>
      <c r="O272" s="3" t="s">
        <v>7765</v>
      </c>
      <c r="P272" s="19">
        <v>5.0</v>
      </c>
      <c r="Q272" s="19">
        <v>1.0</v>
      </c>
      <c r="R272" s="19">
        <v>0.0</v>
      </c>
      <c r="S272" s="19">
        <v>0.0</v>
      </c>
      <c r="T272" s="3" t="s">
        <v>6785</v>
      </c>
      <c r="U272" s="3" t="s">
        <v>601</v>
      </c>
      <c r="V272" s="3" t="s">
        <v>7766</v>
      </c>
    </row>
    <row r="273">
      <c r="A273" s="3" t="s">
        <v>7767</v>
      </c>
      <c r="B273" s="3" t="s">
        <v>7768</v>
      </c>
      <c r="C273" s="29">
        <v>46056.66666666667</v>
      </c>
      <c r="D273" s="29">
        <v>46056.70833333333</v>
      </c>
      <c r="E273" s="30">
        <v>1.0</v>
      </c>
      <c r="F273" s="2"/>
      <c r="G273" s="2"/>
      <c r="H273" s="3" t="s">
        <v>7146</v>
      </c>
      <c r="I273" s="3" t="s">
        <v>7161</v>
      </c>
      <c r="J273" s="3" t="s">
        <v>7374</v>
      </c>
      <c r="K273" s="3" t="s">
        <v>7146</v>
      </c>
      <c r="L273" s="19">
        <v>1.0</v>
      </c>
      <c r="M273" s="3" t="s">
        <v>7288</v>
      </c>
      <c r="N273" s="3" t="s">
        <v>7288</v>
      </c>
      <c r="O273" s="3" t="s">
        <v>7161</v>
      </c>
      <c r="P273" s="19">
        <v>1.0</v>
      </c>
      <c r="Q273" s="19">
        <v>0.0</v>
      </c>
      <c r="R273" s="19">
        <v>0.0</v>
      </c>
      <c r="S273" s="19">
        <v>0.0</v>
      </c>
      <c r="T273" s="2"/>
      <c r="U273" s="2"/>
      <c r="V273" s="2"/>
    </row>
    <row r="274">
      <c r="A274" s="3" t="s">
        <v>7769</v>
      </c>
      <c r="B274" s="3" t="s">
        <v>7770</v>
      </c>
      <c r="C274" s="29">
        <v>46057.0</v>
      </c>
      <c r="D274" s="29">
        <v>46058.0</v>
      </c>
      <c r="E274" s="30">
        <v>24.0</v>
      </c>
      <c r="F274" s="2"/>
      <c r="G274" s="2"/>
      <c r="H274" s="3" t="s">
        <v>7149</v>
      </c>
      <c r="I274" s="3" t="s">
        <v>7240</v>
      </c>
      <c r="J274" s="3" t="s">
        <v>7274</v>
      </c>
      <c r="K274" s="3" t="s">
        <v>7146</v>
      </c>
      <c r="L274" s="19">
        <v>9.0</v>
      </c>
      <c r="M274" s="3" t="s">
        <v>7771</v>
      </c>
      <c r="N274" s="3" t="s">
        <v>7771</v>
      </c>
      <c r="O274" s="3" t="s">
        <v>7772</v>
      </c>
      <c r="P274" s="19">
        <v>3.0</v>
      </c>
      <c r="Q274" s="19">
        <v>1.0</v>
      </c>
      <c r="R274" s="19">
        <v>0.0</v>
      </c>
      <c r="S274" s="19">
        <v>5.0</v>
      </c>
      <c r="T274" s="2"/>
      <c r="U274" s="2"/>
      <c r="V274" s="2"/>
    </row>
    <row r="275">
      <c r="A275" s="3" t="s">
        <v>7695</v>
      </c>
      <c r="B275" s="3" t="s">
        <v>7696</v>
      </c>
      <c r="C275" s="29">
        <v>46057.41666666667</v>
      </c>
      <c r="D275" s="29">
        <v>46057.4375</v>
      </c>
      <c r="E275" s="30">
        <v>0.5</v>
      </c>
      <c r="F275" s="2"/>
      <c r="G275" s="2"/>
      <c r="H275" s="3" t="s">
        <v>7146</v>
      </c>
      <c r="I275" s="3" t="s">
        <v>7387</v>
      </c>
      <c r="J275" s="3" t="s">
        <v>7274</v>
      </c>
      <c r="K275" s="3" t="s">
        <v>7149</v>
      </c>
      <c r="L275" s="19">
        <v>1.0</v>
      </c>
      <c r="M275" s="3" t="s">
        <v>7288</v>
      </c>
      <c r="N275" s="3" t="s">
        <v>7288</v>
      </c>
      <c r="O275" s="3" t="s">
        <v>7387</v>
      </c>
      <c r="P275" s="19">
        <v>0.0</v>
      </c>
      <c r="Q275" s="19">
        <v>1.0</v>
      </c>
      <c r="R275" s="19">
        <v>0.0</v>
      </c>
      <c r="S275" s="19">
        <v>0.0</v>
      </c>
      <c r="T275" s="2"/>
      <c r="U275" s="2"/>
      <c r="V275" s="2"/>
    </row>
    <row r="276">
      <c r="A276" s="3" t="s">
        <v>7773</v>
      </c>
      <c r="B276" s="3" t="s">
        <v>7560</v>
      </c>
      <c r="C276" s="29">
        <v>46057.419444444444</v>
      </c>
      <c r="D276" s="29">
        <v>46057.455555555556</v>
      </c>
      <c r="E276" s="30">
        <v>0.8666666666666667</v>
      </c>
      <c r="F276" s="2"/>
      <c r="G276" s="3" t="s">
        <v>7774</v>
      </c>
      <c r="H276" s="3" t="s">
        <v>7146</v>
      </c>
      <c r="I276" s="3" t="s">
        <v>7161</v>
      </c>
      <c r="J276" s="3" t="s">
        <v>7490</v>
      </c>
      <c r="K276" s="3" t="s">
        <v>7149</v>
      </c>
      <c r="L276" s="19">
        <v>24.0</v>
      </c>
      <c r="M276" s="3" t="s">
        <v>7775</v>
      </c>
      <c r="N276" s="3" t="s">
        <v>7776</v>
      </c>
      <c r="O276" s="3" t="s">
        <v>7777</v>
      </c>
      <c r="P276" s="19">
        <v>21.0</v>
      </c>
      <c r="Q276" s="19">
        <v>2.0</v>
      </c>
      <c r="R276" s="19">
        <v>0.0</v>
      </c>
      <c r="S276" s="19">
        <v>1.0</v>
      </c>
      <c r="T276" s="2"/>
      <c r="U276" s="2"/>
      <c r="V276" s="2"/>
    </row>
    <row r="277">
      <c r="A277" s="3" t="s">
        <v>7778</v>
      </c>
      <c r="B277" s="3" t="s">
        <v>7779</v>
      </c>
      <c r="C277" s="29">
        <v>46057.4375</v>
      </c>
      <c r="D277" s="29">
        <v>46057.45833333333</v>
      </c>
      <c r="E277" s="30">
        <v>0.5</v>
      </c>
      <c r="F277" s="2"/>
      <c r="G277" s="3" t="s">
        <v>7780</v>
      </c>
      <c r="H277" s="3" t="s">
        <v>7146</v>
      </c>
      <c r="I277" s="3" t="s">
        <v>7338</v>
      </c>
      <c r="J277" s="3" t="s">
        <v>7288</v>
      </c>
      <c r="K277" s="3" t="s">
        <v>7146</v>
      </c>
      <c r="L277" s="19">
        <v>1.0</v>
      </c>
      <c r="M277" s="3" t="s">
        <v>7781</v>
      </c>
      <c r="N277" s="3" t="s">
        <v>7781</v>
      </c>
      <c r="O277" s="3" t="s">
        <v>7161</v>
      </c>
      <c r="P277" s="19">
        <v>1.0</v>
      </c>
      <c r="Q277" s="19">
        <v>0.0</v>
      </c>
      <c r="R277" s="19">
        <v>0.0</v>
      </c>
      <c r="S277" s="19">
        <v>0.0</v>
      </c>
      <c r="T277" s="3" t="s">
        <v>125</v>
      </c>
      <c r="U277" s="3" t="s">
        <v>126</v>
      </c>
      <c r="V277" s="3" t="s">
        <v>7782</v>
      </c>
    </row>
    <row r="278">
      <c r="A278" s="3" t="s">
        <v>7783</v>
      </c>
      <c r="B278" s="3" t="s">
        <v>7655</v>
      </c>
      <c r="C278" s="29">
        <v>46057.45833333333</v>
      </c>
      <c r="D278" s="29">
        <v>46057.47916666667</v>
      </c>
      <c r="E278" s="30">
        <v>0.5</v>
      </c>
      <c r="F278" s="2"/>
      <c r="G278" s="3" t="s">
        <v>7784</v>
      </c>
      <c r="H278" s="3" t="s">
        <v>7146</v>
      </c>
      <c r="I278" s="3" t="s">
        <v>7338</v>
      </c>
      <c r="J278" s="3" t="s">
        <v>7288</v>
      </c>
      <c r="K278" s="3" t="s">
        <v>7146</v>
      </c>
      <c r="L278" s="19">
        <v>3.0</v>
      </c>
      <c r="M278" s="3" t="s">
        <v>7657</v>
      </c>
      <c r="N278" s="3" t="s">
        <v>7657</v>
      </c>
      <c r="O278" s="3" t="s">
        <v>7658</v>
      </c>
      <c r="P278" s="19">
        <v>2.0</v>
      </c>
      <c r="Q278" s="19">
        <v>0.0</v>
      </c>
      <c r="R278" s="19">
        <v>1.0</v>
      </c>
      <c r="S278" s="19">
        <v>0.0</v>
      </c>
      <c r="T278" s="3" t="s">
        <v>128</v>
      </c>
      <c r="U278" s="3" t="s">
        <v>301</v>
      </c>
      <c r="V278" s="3" t="s">
        <v>7785</v>
      </c>
    </row>
    <row r="279">
      <c r="A279" s="3" t="s">
        <v>7786</v>
      </c>
      <c r="B279" s="3" t="s">
        <v>7576</v>
      </c>
      <c r="C279" s="29">
        <v>46057.5625</v>
      </c>
      <c r="D279" s="29">
        <v>46057.58333333333</v>
      </c>
      <c r="E279" s="30">
        <v>0.5</v>
      </c>
      <c r="F279" s="2"/>
      <c r="G279" s="3" t="s">
        <v>7787</v>
      </c>
      <c r="H279" s="3" t="s">
        <v>7146</v>
      </c>
      <c r="I279" s="3" t="s">
        <v>7338</v>
      </c>
      <c r="J279" s="3" t="s">
        <v>7288</v>
      </c>
      <c r="K279" s="3" t="s">
        <v>7146</v>
      </c>
      <c r="L279" s="19">
        <v>3.0</v>
      </c>
      <c r="M279" s="3" t="s">
        <v>7788</v>
      </c>
      <c r="N279" s="3" t="s">
        <v>7788</v>
      </c>
      <c r="O279" s="3" t="s">
        <v>7789</v>
      </c>
      <c r="P279" s="19">
        <v>1.0</v>
      </c>
      <c r="Q279" s="19">
        <v>2.0</v>
      </c>
      <c r="R279" s="19">
        <v>0.0</v>
      </c>
      <c r="S279" s="19">
        <v>0.0</v>
      </c>
      <c r="T279" s="3" t="s">
        <v>131</v>
      </c>
      <c r="U279" s="3" t="s">
        <v>132</v>
      </c>
      <c r="V279" s="3" t="s">
        <v>7790</v>
      </c>
    </row>
    <row r="280">
      <c r="A280" s="3" t="s">
        <v>7791</v>
      </c>
      <c r="B280" s="3" t="s">
        <v>7266</v>
      </c>
      <c r="C280" s="29">
        <v>46058.33333333333</v>
      </c>
      <c r="D280" s="29">
        <v>46058.35416666667</v>
      </c>
      <c r="E280" s="30">
        <v>0.5</v>
      </c>
      <c r="F280" s="2"/>
      <c r="G280" s="2"/>
      <c r="H280" s="3" t="s">
        <v>7146</v>
      </c>
      <c r="I280" s="3" t="s">
        <v>7161</v>
      </c>
      <c r="J280" s="3" t="s">
        <v>7156</v>
      </c>
      <c r="K280" s="3" t="s">
        <v>7149</v>
      </c>
      <c r="L280" s="19">
        <v>4.0</v>
      </c>
      <c r="M280" s="3" t="s">
        <v>7267</v>
      </c>
      <c r="N280" s="3" t="s">
        <v>7267</v>
      </c>
      <c r="O280" s="3" t="s">
        <v>7792</v>
      </c>
      <c r="P280" s="19">
        <v>1.0</v>
      </c>
      <c r="Q280" s="19">
        <v>1.0</v>
      </c>
      <c r="R280" s="19">
        <v>0.0</v>
      </c>
      <c r="S280" s="19">
        <v>2.0</v>
      </c>
      <c r="T280" s="3" t="s">
        <v>6752</v>
      </c>
      <c r="U280" s="3" t="s">
        <v>319</v>
      </c>
      <c r="V280" s="3" t="s">
        <v>7793</v>
      </c>
    </row>
    <row r="281">
      <c r="A281" s="3" t="s">
        <v>7794</v>
      </c>
      <c r="B281" s="3" t="s">
        <v>7795</v>
      </c>
      <c r="C281" s="29">
        <v>46058.39583333333</v>
      </c>
      <c r="D281" s="29">
        <v>46058.41666666667</v>
      </c>
      <c r="E281" s="30">
        <v>0.5</v>
      </c>
      <c r="F281" s="2"/>
      <c r="G281" s="2"/>
      <c r="H281" s="3" t="s">
        <v>7146</v>
      </c>
      <c r="I281" s="3" t="s">
        <v>7161</v>
      </c>
      <c r="J281" s="3" t="s">
        <v>7168</v>
      </c>
      <c r="K281" s="3" t="s">
        <v>7149</v>
      </c>
      <c r="L281" s="19">
        <v>6.0</v>
      </c>
      <c r="M281" s="3" t="s">
        <v>7196</v>
      </c>
      <c r="N281" s="3" t="s">
        <v>7196</v>
      </c>
      <c r="O281" s="3" t="s">
        <v>7197</v>
      </c>
      <c r="P281" s="19">
        <v>4.0</v>
      </c>
      <c r="Q281" s="19">
        <v>0.0</v>
      </c>
      <c r="R281" s="19">
        <v>0.0</v>
      </c>
      <c r="S281" s="19">
        <v>2.0</v>
      </c>
      <c r="T281" s="3" t="s">
        <v>178</v>
      </c>
      <c r="U281" s="3" t="s">
        <v>179</v>
      </c>
      <c r="V281" s="2"/>
    </row>
    <row r="282">
      <c r="A282" s="3" t="s">
        <v>7796</v>
      </c>
      <c r="B282" s="3" t="s">
        <v>7797</v>
      </c>
      <c r="C282" s="29">
        <v>46058.45833333333</v>
      </c>
      <c r="D282" s="29">
        <v>46058.47916666667</v>
      </c>
      <c r="E282" s="30">
        <v>0.5</v>
      </c>
      <c r="F282" s="2"/>
      <c r="G282" s="3" t="s">
        <v>7798</v>
      </c>
      <c r="H282" s="3" t="s">
        <v>7146</v>
      </c>
      <c r="I282" s="3" t="s">
        <v>7338</v>
      </c>
      <c r="J282" s="3" t="s">
        <v>7288</v>
      </c>
      <c r="K282" s="3" t="s">
        <v>7146</v>
      </c>
      <c r="L282" s="19">
        <v>5.0</v>
      </c>
      <c r="M282" s="3" t="s">
        <v>7799</v>
      </c>
      <c r="N282" s="3" t="s">
        <v>7799</v>
      </c>
      <c r="O282" s="3" t="s">
        <v>7800</v>
      </c>
      <c r="P282" s="19">
        <v>2.0</v>
      </c>
      <c r="Q282" s="19">
        <v>0.0</v>
      </c>
      <c r="R282" s="19">
        <v>0.0</v>
      </c>
      <c r="S282" s="19">
        <v>3.0</v>
      </c>
      <c r="T282" s="3" t="s">
        <v>154</v>
      </c>
      <c r="U282" s="3" t="s">
        <v>329</v>
      </c>
      <c r="V282" s="3" t="s">
        <v>7801</v>
      </c>
    </row>
    <row r="283">
      <c r="A283" s="3" t="s">
        <v>7659</v>
      </c>
      <c r="B283" s="3" t="s">
        <v>7420</v>
      </c>
      <c r="C283" s="29">
        <v>46058.47916666667</v>
      </c>
      <c r="D283" s="29">
        <v>46058.5</v>
      </c>
      <c r="E283" s="30">
        <v>0.5</v>
      </c>
      <c r="F283" s="2"/>
      <c r="G283" s="2"/>
      <c r="H283" s="3" t="s">
        <v>7146</v>
      </c>
      <c r="I283" s="3" t="s">
        <v>7161</v>
      </c>
      <c r="J283" s="3" t="s">
        <v>7156</v>
      </c>
      <c r="K283" s="3" t="s">
        <v>7149</v>
      </c>
      <c r="L283" s="19">
        <v>5.0</v>
      </c>
      <c r="M283" s="3" t="s">
        <v>7571</v>
      </c>
      <c r="N283" s="3" t="s">
        <v>7571</v>
      </c>
      <c r="O283" s="3" t="s">
        <v>7802</v>
      </c>
      <c r="P283" s="19">
        <v>1.0</v>
      </c>
      <c r="Q283" s="19">
        <v>2.0</v>
      </c>
      <c r="R283" s="19">
        <v>0.0</v>
      </c>
      <c r="S283" s="19">
        <v>2.0</v>
      </c>
      <c r="T283" s="3" t="s">
        <v>125</v>
      </c>
      <c r="U283" s="3" t="s">
        <v>126</v>
      </c>
      <c r="V283" s="3" t="s">
        <v>7803</v>
      </c>
    </row>
    <row r="284">
      <c r="A284" s="3" t="s">
        <v>7804</v>
      </c>
      <c r="B284" s="3" t="s">
        <v>7805</v>
      </c>
      <c r="C284" s="29">
        <v>46058.5</v>
      </c>
      <c r="D284" s="29">
        <v>46058.52083333333</v>
      </c>
      <c r="E284" s="30">
        <v>0.5</v>
      </c>
      <c r="F284" s="2"/>
      <c r="G284" s="2"/>
      <c r="H284" s="3" t="s">
        <v>7146</v>
      </c>
      <c r="I284" s="3" t="s">
        <v>7338</v>
      </c>
      <c r="J284" s="3" t="s">
        <v>7288</v>
      </c>
      <c r="K284" s="3" t="s">
        <v>7149</v>
      </c>
      <c r="L284" s="19">
        <v>1.0</v>
      </c>
      <c r="M284" s="3" t="s">
        <v>7806</v>
      </c>
      <c r="N284" s="3" t="s">
        <v>7806</v>
      </c>
      <c r="O284" s="3" t="s">
        <v>7161</v>
      </c>
      <c r="P284" s="19">
        <v>1.0</v>
      </c>
      <c r="Q284" s="19">
        <v>0.0</v>
      </c>
      <c r="R284" s="19">
        <v>0.0</v>
      </c>
      <c r="S284" s="19">
        <v>0.0</v>
      </c>
      <c r="T284" s="3" t="s">
        <v>157</v>
      </c>
      <c r="U284" s="3" t="s">
        <v>158</v>
      </c>
      <c r="V284" s="3" t="s">
        <v>7807</v>
      </c>
    </row>
    <row r="285">
      <c r="A285" s="3" t="s">
        <v>7808</v>
      </c>
      <c r="B285" s="3" t="s">
        <v>7809</v>
      </c>
      <c r="C285" s="29">
        <v>46058.52083333333</v>
      </c>
      <c r="D285" s="29">
        <v>46058.54166666667</v>
      </c>
      <c r="E285" s="30">
        <v>0.5</v>
      </c>
      <c r="F285" s="2"/>
      <c r="G285" s="3" t="s">
        <v>7810</v>
      </c>
      <c r="H285" s="3" t="s">
        <v>7146</v>
      </c>
      <c r="I285" s="3" t="s">
        <v>7338</v>
      </c>
      <c r="J285" s="3" t="s">
        <v>7288</v>
      </c>
      <c r="K285" s="3" t="s">
        <v>7146</v>
      </c>
      <c r="L285" s="19">
        <v>1.0</v>
      </c>
      <c r="M285" s="3" t="s">
        <v>7643</v>
      </c>
      <c r="N285" s="3" t="s">
        <v>7644</v>
      </c>
      <c r="O285" s="3" t="s">
        <v>7161</v>
      </c>
      <c r="P285" s="19">
        <v>1.0</v>
      </c>
      <c r="Q285" s="19">
        <v>0.0</v>
      </c>
      <c r="R285" s="19">
        <v>0.0</v>
      </c>
      <c r="S285" s="19">
        <v>0.0</v>
      </c>
      <c r="T285" s="3" t="s">
        <v>184</v>
      </c>
      <c r="U285" s="3" t="s">
        <v>478</v>
      </c>
      <c r="V285" s="3" t="s">
        <v>7811</v>
      </c>
    </row>
    <row r="286">
      <c r="A286" s="3" t="s">
        <v>7812</v>
      </c>
      <c r="B286" s="3" t="s">
        <v>7813</v>
      </c>
      <c r="C286" s="29">
        <v>46058.5625</v>
      </c>
      <c r="D286" s="29">
        <v>46058.58333333333</v>
      </c>
      <c r="E286" s="30">
        <v>0.5</v>
      </c>
      <c r="F286" s="2"/>
      <c r="G286" s="3" t="s">
        <v>7814</v>
      </c>
      <c r="H286" s="3" t="s">
        <v>7146</v>
      </c>
      <c r="I286" s="3" t="s">
        <v>7338</v>
      </c>
      <c r="J286" s="3" t="s">
        <v>7288</v>
      </c>
      <c r="K286" s="3" t="s">
        <v>7149</v>
      </c>
      <c r="L286" s="19">
        <v>3.0</v>
      </c>
      <c r="M286" s="3" t="s">
        <v>7815</v>
      </c>
      <c r="N286" s="3" t="s">
        <v>7815</v>
      </c>
      <c r="O286" s="3" t="s">
        <v>7816</v>
      </c>
      <c r="P286" s="19">
        <v>1.0</v>
      </c>
      <c r="Q286" s="19">
        <v>1.0</v>
      </c>
      <c r="R286" s="19">
        <v>0.0</v>
      </c>
      <c r="S286" s="19">
        <v>1.0</v>
      </c>
      <c r="T286" s="3" t="s">
        <v>190</v>
      </c>
      <c r="U286" s="3" t="s">
        <v>191</v>
      </c>
      <c r="V286" s="3" t="s">
        <v>7817</v>
      </c>
    </row>
    <row r="287">
      <c r="A287" s="3" t="s">
        <v>7818</v>
      </c>
      <c r="B287" s="3" t="s">
        <v>7819</v>
      </c>
      <c r="C287" s="29">
        <v>46059.375</v>
      </c>
      <c r="D287" s="29">
        <v>46059.40972222222</v>
      </c>
      <c r="E287" s="30">
        <v>0.8333333333333334</v>
      </c>
      <c r="F287" s="2"/>
      <c r="G287" s="3" t="s">
        <v>7820</v>
      </c>
      <c r="H287" s="3" t="s">
        <v>7146</v>
      </c>
      <c r="I287" s="3" t="s">
        <v>7240</v>
      </c>
      <c r="J287" s="3" t="s">
        <v>7821</v>
      </c>
      <c r="K287" s="3" t="s">
        <v>7146</v>
      </c>
      <c r="L287" s="19">
        <v>7.0</v>
      </c>
      <c r="M287" s="3" t="s">
        <v>7822</v>
      </c>
      <c r="N287" s="3" t="s">
        <v>7823</v>
      </c>
      <c r="O287" s="3" t="s">
        <v>7824</v>
      </c>
      <c r="P287" s="19">
        <v>2.0</v>
      </c>
      <c r="Q287" s="19">
        <v>1.0</v>
      </c>
      <c r="R287" s="19">
        <v>0.0</v>
      </c>
      <c r="S287" s="19">
        <v>4.0</v>
      </c>
      <c r="T287" s="3" t="s">
        <v>131</v>
      </c>
      <c r="U287" s="3" t="s">
        <v>132</v>
      </c>
      <c r="V287" s="2"/>
    </row>
    <row r="288">
      <c r="A288" s="3" t="s">
        <v>7551</v>
      </c>
      <c r="B288" s="3" t="s">
        <v>7178</v>
      </c>
      <c r="C288" s="29">
        <v>46059.39583333333</v>
      </c>
      <c r="D288" s="29">
        <v>46059.41666666667</v>
      </c>
      <c r="E288" s="30">
        <v>0.5</v>
      </c>
      <c r="F288" s="2"/>
      <c r="G288" s="3" t="s">
        <v>7179</v>
      </c>
      <c r="H288" s="3" t="s">
        <v>7146</v>
      </c>
      <c r="I288" s="3" t="s">
        <v>7161</v>
      </c>
      <c r="J288" s="3" t="s">
        <v>7156</v>
      </c>
      <c r="K288" s="3" t="s">
        <v>7149</v>
      </c>
      <c r="L288" s="19">
        <v>4.0</v>
      </c>
      <c r="M288" s="3" t="s">
        <v>7440</v>
      </c>
      <c r="N288" s="3" t="s">
        <v>7440</v>
      </c>
      <c r="O288" s="3" t="s">
        <v>7441</v>
      </c>
      <c r="P288" s="19">
        <v>2.0</v>
      </c>
      <c r="Q288" s="19">
        <v>1.0</v>
      </c>
      <c r="R288" s="19">
        <v>0.0</v>
      </c>
      <c r="S288" s="19">
        <v>1.0</v>
      </c>
      <c r="T288" s="3" t="s">
        <v>169</v>
      </c>
      <c r="U288" s="3" t="s">
        <v>170</v>
      </c>
      <c r="V288" s="2"/>
    </row>
    <row r="289">
      <c r="A289" s="3" t="s">
        <v>7825</v>
      </c>
      <c r="B289" s="3" t="s">
        <v>7471</v>
      </c>
      <c r="C289" s="29">
        <v>46059.41666666667</v>
      </c>
      <c r="D289" s="29">
        <v>46059.4375</v>
      </c>
      <c r="E289" s="30">
        <v>0.5</v>
      </c>
      <c r="F289" s="2"/>
      <c r="G289" s="2"/>
      <c r="H289" s="3" t="s">
        <v>7146</v>
      </c>
      <c r="I289" s="3" t="s">
        <v>7161</v>
      </c>
      <c r="J289" s="3" t="s">
        <v>7156</v>
      </c>
      <c r="K289" s="3" t="s">
        <v>7149</v>
      </c>
      <c r="L289" s="19">
        <v>5.0</v>
      </c>
      <c r="M289" s="3" t="s">
        <v>7826</v>
      </c>
      <c r="N289" s="3" t="s">
        <v>7826</v>
      </c>
      <c r="O289" s="3" t="s">
        <v>7827</v>
      </c>
      <c r="P289" s="19">
        <v>3.0</v>
      </c>
      <c r="Q289" s="19">
        <v>0.0</v>
      </c>
      <c r="R289" s="19">
        <v>0.0</v>
      </c>
      <c r="S289" s="19">
        <v>2.0</v>
      </c>
      <c r="T289" s="3" t="s">
        <v>199</v>
      </c>
      <c r="U289" s="3" t="s">
        <v>272</v>
      </c>
      <c r="V289" s="3" t="s">
        <v>7828</v>
      </c>
    </row>
    <row r="290">
      <c r="A290" s="3" t="s">
        <v>7829</v>
      </c>
      <c r="B290" s="3" t="s">
        <v>7655</v>
      </c>
      <c r="C290" s="29">
        <v>46059.45833333333</v>
      </c>
      <c r="D290" s="29">
        <v>46059.47916666667</v>
      </c>
      <c r="E290" s="30">
        <v>0.5</v>
      </c>
      <c r="F290" s="2"/>
      <c r="G290" s="3" t="s">
        <v>7830</v>
      </c>
      <c r="H290" s="3" t="s">
        <v>7146</v>
      </c>
      <c r="I290" s="3" t="s">
        <v>7338</v>
      </c>
      <c r="J290" s="3" t="s">
        <v>7288</v>
      </c>
      <c r="K290" s="3" t="s">
        <v>7146</v>
      </c>
      <c r="L290" s="19">
        <v>1.0</v>
      </c>
      <c r="M290" s="3" t="s">
        <v>7583</v>
      </c>
      <c r="N290" s="3" t="s">
        <v>7583</v>
      </c>
      <c r="O290" s="3" t="s">
        <v>7161</v>
      </c>
      <c r="P290" s="19">
        <v>1.0</v>
      </c>
      <c r="Q290" s="19">
        <v>0.0</v>
      </c>
      <c r="R290" s="19">
        <v>0.0</v>
      </c>
      <c r="S290" s="19">
        <v>0.0</v>
      </c>
      <c r="T290" s="3" t="s">
        <v>128</v>
      </c>
      <c r="U290" s="3" t="s">
        <v>301</v>
      </c>
      <c r="V290" s="3" t="s">
        <v>7831</v>
      </c>
    </row>
    <row r="291">
      <c r="A291" s="3" t="s">
        <v>7679</v>
      </c>
      <c r="B291" s="3" t="s">
        <v>7546</v>
      </c>
      <c r="C291" s="29">
        <v>46059.47916666667</v>
      </c>
      <c r="D291" s="29">
        <v>46059.52083333333</v>
      </c>
      <c r="E291" s="30">
        <v>1.0</v>
      </c>
      <c r="F291" s="2"/>
      <c r="G291" s="2"/>
      <c r="H291" s="3" t="s">
        <v>7146</v>
      </c>
      <c r="I291" s="3" t="s">
        <v>7338</v>
      </c>
      <c r="J291" s="3" t="s">
        <v>7288</v>
      </c>
      <c r="K291" s="3" t="s">
        <v>7149</v>
      </c>
      <c r="L291" s="19">
        <v>2.0</v>
      </c>
      <c r="M291" s="3" t="s">
        <v>7587</v>
      </c>
      <c r="N291" s="3" t="s">
        <v>7587</v>
      </c>
      <c r="O291" s="3" t="s">
        <v>7218</v>
      </c>
      <c r="P291" s="19">
        <v>2.0</v>
      </c>
      <c r="Q291" s="19">
        <v>0.0</v>
      </c>
      <c r="R291" s="19">
        <v>0.0</v>
      </c>
      <c r="S291" s="19">
        <v>0.0</v>
      </c>
      <c r="T291" s="3" t="s">
        <v>119</v>
      </c>
      <c r="U291" s="3" t="s">
        <v>251</v>
      </c>
      <c r="V291" s="3" t="s">
        <v>7832</v>
      </c>
    </row>
    <row r="292">
      <c r="A292" s="3" t="s">
        <v>7833</v>
      </c>
      <c r="B292" s="3" t="s">
        <v>7683</v>
      </c>
      <c r="C292" s="29">
        <v>46059.58333333333</v>
      </c>
      <c r="D292" s="29">
        <v>46059.60416666667</v>
      </c>
      <c r="E292" s="30">
        <v>0.5</v>
      </c>
      <c r="F292" s="2"/>
      <c r="G292" s="3" t="s">
        <v>7834</v>
      </c>
      <c r="H292" s="3" t="s">
        <v>7146</v>
      </c>
      <c r="I292" s="3" t="s">
        <v>7338</v>
      </c>
      <c r="J292" s="3" t="s">
        <v>7288</v>
      </c>
      <c r="K292" s="3" t="s">
        <v>7146</v>
      </c>
      <c r="L292" s="19">
        <v>2.0</v>
      </c>
      <c r="M292" s="3" t="s">
        <v>7835</v>
      </c>
      <c r="N292" s="3" t="s">
        <v>7835</v>
      </c>
      <c r="O292" s="3" t="s">
        <v>7218</v>
      </c>
      <c r="P292" s="19">
        <v>2.0</v>
      </c>
      <c r="Q292" s="19">
        <v>0.0</v>
      </c>
      <c r="R292" s="19">
        <v>0.0</v>
      </c>
      <c r="S292" s="19">
        <v>0.0</v>
      </c>
      <c r="T292" s="3" t="s">
        <v>163</v>
      </c>
      <c r="U292" s="3" t="s">
        <v>430</v>
      </c>
      <c r="V292" s="3" t="s">
        <v>7836</v>
      </c>
    </row>
    <row r="293">
      <c r="A293" s="3" t="s">
        <v>7837</v>
      </c>
      <c r="B293" s="3" t="s">
        <v>7838</v>
      </c>
      <c r="C293" s="29">
        <v>46062.40625</v>
      </c>
      <c r="D293" s="29">
        <v>46062.413194444445</v>
      </c>
      <c r="E293" s="30">
        <v>0.16666666666666666</v>
      </c>
      <c r="F293" s="3" t="s">
        <v>7839</v>
      </c>
      <c r="G293" s="3" t="s">
        <v>7840</v>
      </c>
      <c r="H293" s="3" t="s">
        <v>7146</v>
      </c>
      <c r="I293" s="3" t="s">
        <v>7240</v>
      </c>
      <c r="J293" s="3" t="s">
        <v>7490</v>
      </c>
      <c r="K293" s="3" t="s">
        <v>7146</v>
      </c>
      <c r="L293" s="19">
        <v>31.0</v>
      </c>
      <c r="M293" s="3" t="s">
        <v>7841</v>
      </c>
      <c r="N293" s="3" t="s">
        <v>7842</v>
      </c>
      <c r="O293" s="3" t="s">
        <v>7843</v>
      </c>
      <c r="P293" s="19">
        <v>15.0</v>
      </c>
      <c r="Q293" s="19">
        <v>0.0</v>
      </c>
      <c r="R293" s="19">
        <v>0.0</v>
      </c>
      <c r="S293" s="19">
        <v>16.0</v>
      </c>
      <c r="T293" s="2"/>
      <c r="U293" s="2"/>
      <c r="V293" s="2"/>
    </row>
    <row r="294">
      <c r="A294" s="3" t="s">
        <v>7844</v>
      </c>
      <c r="B294" s="3" t="s">
        <v>7273</v>
      </c>
      <c r="C294" s="29">
        <v>46062.5</v>
      </c>
      <c r="D294" s="29">
        <v>46062.5625</v>
      </c>
      <c r="E294" s="30">
        <v>1.5</v>
      </c>
      <c r="F294" s="2"/>
      <c r="G294" s="2"/>
      <c r="H294" s="3" t="s">
        <v>7146</v>
      </c>
      <c r="I294" s="3" t="s">
        <v>7240</v>
      </c>
      <c r="J294" s="3" t="s">
        <v>7274</v>
      </c>
      <c r="K294" s="3" t="s">
        <v>7146</v>
      </c>
      <c r="L294" s="19">
        <v>12.0</v>
      </c>
      <c r="M294" s="3" t="s">
        <v>7845</v>
      </c>
      <c r="N294" s="3" t="s">
        <v>7845</v>
      </c>
      <c r="O294" s="3" t="s">
        <v>7846</v>
      </c>
      <c r="P294" s="19">
        <v>6.0</v>
      </c>
      <c r="Q294" s="19">
        <v>2.0</v>
      </c>
      <c r="R294" s="19">
        <v>0.0</v>
      </c>
      <c r="S294" s="19">
        <v>4.0</v>
      </c>
      <c r="T294" s="2"/>
      <c r="U294" s="2"/>
      <c r="V294" s="2"/>
    </row>
    <row r="295">
      <c r="A295" s="3" t="s">
        <v>7694</v>
      </c>
      <c r="B295" s="3" t="s">
        <v>7463</v>
      </c>
      <c r="C295" s="29">
        <v>46062.60416666667</v>
      </c>
      <c r="D295" s="29">
        <v>46062.625</v>
      </c>
      <c r="E295" s="30">
        <v>0.5</v>
      </c>
      <c r="F295" s="2"/>
      <c r="G295" s="3" t="s">
        <v>7541</v>
      </c>
      <c r="H295" s="3" t="s">
        <v>7146</v>
      </c>
      <c r="I295" s="3" t="s">
        <v>7338</v>
      </c>
      <c r="J295" s="3" t="s">
        <v>7288</v>
      </c>
      <c r="K295" s="3" t="s">
        <v>7149</v>
      </c>
      <c r="L295" s="19">
        <v>2.0</v>
      </c>
      <c r="M295" s="3" t="s">
        <v>7465</v>
      </c>
      <c r="N295" s="3" t="s">
        <v>7465</v>
      </c>
      <c r="O295" s="3" t="s">
        <v>7847</v>
      </c>
      <c r="P295" s="19">
        <v>0.0</v>
      </c>
      <c r="Q295" s="19">
        <v>1.0</v>
      </c>
      <c r="R295" s="19">
        <v>0.0</v>
      </c>
      <c r="S295" s="19">
        <v>1.0</v>
      </c>
      <c r="T295" s="3" t="s">
        <v>101</v>
      </c>
      <c r="U295" s="3" t="s">
        <v>511</v>
      </c>
    </row>
    <row r="296">
      <c r="A296" s="3" t="s">
        <v>7848</v>
      </c>
      <c r="B296" s="3" t="s">
        <v>7849</v>
      </c>
      <c r="C296" s="29">
        <v>46063.47916666667</v>
      </c>
      <c r="D296" s="29">
        <v>46063.5</v>
      </c>
      <c r="E296" s="30">
        <v>0.5</v>
      </c>
      <c r="F296" s="2"/>
      <c r="G296" s="2"/>
      <c r="H296" s="3" t="s">
        <v>7146</v>
      </c>
      <c r="I296" s="3" t="s">
        <v>7161</v>
      </c>
      <c r="J296" s="3" t="s">
        <v>7156</v>
      </c>
      <c r="K296" s="3" t="s">
        <v>7149</v>
      </c>
      <c r="L296" s="19">
        <v>3.0</v>
      </c>
      <c r="M296" s="3" t="s">
        <v>7850</v>
      </c>
      <c r="N296" s="3" t="s">
        <v>7850</v>
      </c>
      <c r="O296" s="3" t="s">
        <v>7851</v>
      </c>
      <c r="P296" s="19">
        <v>1.0</v>
      </c>
      <c r="Q296" s="19">
        <v>0.0</v>
      </c>
      <c r="R296" s="19">
        <v>0.0</v>
      </c>
      <c r="S296" s="19">
        <v>2.0</v>
      </c>
      <c r="T296" s="3" t="s">
        <v>113</v>
      </c>
      <c r="U296" s="3" t="s">
        <v>406</v>
      </c>
    </row>
    <row r="297">
      <c r="A297" s="3" t="s">
        <v>7852</v>
      </c>
      <c r="B297" s="3" t="s">
        <v>7183</v>
      </c>
      <c r="C297" s="29">
        <v>46063.5</v>
      </c>
      <c r="D297" s="29">
        <v>46063.52083333333</v>
      </c>
      <c r="E297" s="30">
        <v>0.5</v>
      </c>
      <c r="F297" s="2"/>
      <c r="G297" s="3" t="s">
        <v>7692</v>
      </c>
      <c r="H297" s="3" t="s">
        <v>7146</v>
      </c>
      <c r="I297" s="3" t="s">
        <v>7161</v>
      </c>
      <c r="J297" s="3" t="s">
        <v>7156</v>
      </c>
      <c r="K297" s="3" t="s">
        <v>7149</v>
      </c>
      <c r="L297" s="19">
        <v>3.0</v>
      </c>
      <c r="M297" s="3" t="s">
        <v>7185</v>
      </c>
      <c r="N297" s="3" t="s">
        <v>7186</v>
      </c>
      <c r="O297" s="3" t="s">
        <v>7322</v>
      </c>
      <c r="P297" s="19">
        <v>1.0</v>
      </c>
      <c r="Q297" s="19">
        <v>1.0</v>
      </c>
      <c r="R297" s="19">
        <v>1.0</v>
      </c>
      <c r="S297" s="19">
        <v>0.0</v>
      </c>
      <c r="T297" s="3" t="s">
        <v>184</v>
      </c>
      <c r="U297" s="3" t="s">
        <v>478</v>
      </c>
      <c r="V297" s="3" t="s">
        <v>7853</v>
      </c>
    </row>
    <row r="298">
      <c r="A298" s="3" t="s">
        <v>7854</v>
      </c>
      <c r="B298" s="3" t="s">
        <v>7855</v>
      </c>
      <c r="C298" s="29">
        <v>46063.58333333333</v>
      </c>
      <c r="D298" s="29">
        <v>46063.60416666667</v>
      </c>
      <c r="E298" s="30">
        <v>0.5</v>
      </c>
      <c r="F298" s="2"/>
      <c r="G298" s="3" t="s">
        <v>7856</v>
      </c>
      <c r="H298" s="3" t="s">
        <v>7146</v>
      </c>
      <c r="I298" s="3" t="s">
        <v>7338</v>
      </c>
      <c r="J298" s="3" t="s">
        <v>7288</v>
      </c>
      <c r="K298" s="3" t="s">
        <v>7146</v>
      </c>
      <c r="L298" s="19">
        <v>2.0</v>
      </c>
      <c r="M298" s="3" t="s">
        <v>7857</v>
      </c>
      <c r="N298" s="3" t="s">
        <v>7857</v>
      </c>
      <c r="O298" s="3" t="s">
        <v>7858</v>
      </c>
      <c r="P298" s="19">
        <v>1.0</v>
      </c>
      <c r="Q298" s="19">
        <v>0.0</v>
      </c>
      <c r="R298" s="19">
        <v>0.0</v>
      </c>
      <c r="S298" s="19">
        <v>1.0</v>
      </c>
      <c r="T298" s="2"/>
      <c r="U298" s="2"/>
      <c r="V298" s="2"/>
    </row>
    <row r="299">
      <c r="A299" s="3" t="s">
        <v>7859</v>
      </c>
      <c r="B299" s="3" t="s">
        <v>7860</v>
      </c>
      <c r="C299" s="29">
        <v>46064.3125</v>
      </c>
      <c r="D299" s="29">
        <v>46064.66666666667</v>
      </c>
      <c r="E299" s="30">
        <v>8.5</v>
      </c>
      <c r="F299" s="3" t="s">
        <v>7861</v>
      </c>
      <c r="G299" s="3" t="s">
        <v>7862</v>
      </c>
      <c r="H299" s="3" t="s">
        <v>7146</v>
      </c>
      <c r="I299" s="3" t="s">
        <v>7240</v>
      </c>
      <c r="J299" s="3" t="s">
        <v>7490</v>
      </c>
      <c r="K299" s="3" t="s">
        <v>7146</v>
      </c>
      <c r="L299" s="19">
        <v>9.0</v>
      </c>
      <c r="M299" s="3" t="s">
        <v>7863</v>
      </c>
      <c r="N299" s="3" t="s">
        <v>7864</v>
      </c>
      <c r="O299" s="3" t="s">
        <v>7865</v>
      </c>
      <c r="P299" s="19">
        <v>3.0</v>
      </c>
      <c r="Q299" s="19">
        <v>0.0</v>
      </c>
      <c r="R299" s="19">
        <v>0.0</v>
      </c>
      <c r="S299" s="19">
        <v>6.0</v>
      </c>
      <c r="T299" s="2"/>
      <c r="U299" s="2"/>
      <c r="V299" s="2"/>
    </row>
    <row r="300">
      <c r="A300" s="3" t="s">
        <v>7866</v>
      </c>
      <c r="B300" s="3" t="s">
        <v>7238</v>
      </c>
      <c r="C300" s="29">
        <v>46065.3125</v>
      </c>
      <c r="D300" s="29">
        <v>46065.35416666667</v>
      </c>
      <c r="E300" s="30">
        <v>1.0</v>
      </c>
      <c r="F300" s="3" t="s">
        <v>7239</v>
      </c>
      <c r="G300" s="2"/>
      <c r="H300" s="3" t="s">
        <v>7146</v>
      </c>
      <c r="I300" s="3" t="s">
        <v>7240</v>
      </c>
      <c r="J300" s="3" t="s">
        <v>7241</v>
      </c>
      <c r="K300" s="3" t="s">
        <v>7149</v>
      </c>
      <c r="L300" s="19">
        <v>2.0</v>
      </c>
      <c r="M300" s="3" t="s">
        <v>7242</v>
      </c>
      <c r="N300" s="3" t="s">
        <v>7243</v>
      </c>
      <c r="O300" s="3" t="s">
        <v>7244</v>
      </c>
      <c r="P300" s="19">
        <v>0.0</v>
      </c>
      <c r="Q300" s="19">
        <v>0.0</v>
      </c>
      <c r="R300" s="19">
        <v>0.0</v>
      </c>
      <c r="S300" s="19">
        <v>2.0</v>
      </c>
      <c r="T300" s="2"/>
      <c r="U300" s="2"/>
    </row>
    <row r="301">
      <c r="A301" s="3" t="s">
        <v>7867</v>
      </c>
      <c r="B301" s="3" t="s">
        <v>7246</v>
      </c>
      <c r="C301" s="29">
        <v>46065.35416666667</v>
      </c>
      <c r="D301" s="29">
        <v>46065.58333333333</v>
      </c>
      <c r="E301" s="30">
        <v>5.5</v>
      </c>
      <c r="F301" s="2"/>
      <c r="G301" s="3" t="s">
        <v>7247</v>
      </c>
      <c r="H301" s="3" t="s">
        <v>7146</v>
      </c>
      <c r="I301" s="3" t="s">
        <v>7240</v>
      </c>
      <c r="J301" s="3" t="s">
        <v>7241</v>
      </c>
      <c r="K301" s="3" t="s">
        <v>7149</v>
      </c>
      <c r="L301" s="19">
        <v>2.0</v>
      </c>
      <c r="M301" s="3" t="s">
        <v>7242</v>
      </c>
      <c r="N301" s="3" t="s">
        <v>7243</v>
      </c>
      <c r="O301" s="3" t="s">
        <v>7244</v>
      </c>
      <c r="P301" s="19">
        <v>0.0</v>
      </c>
      <c r="Q301" s="19">
        <v>0.0</v>
      </c>
      <c r="R301" s="19">
        <v>0.0</v>
      </c>
      <c r="S301" s="19">
        <v>2.0</v>
      </c>
      <c r="T301" s="2"/>
      <c r="U301" s="2"/>
    </row>
    <row r="302">
      <c r="A302" s="3" t="s">
        <v>7868</v>
      </c>
      <c r="B302" s="3" t="s">
        <v>7869</v>
      </c>
      <c r="C302" s="29">
        <v>46065.60416666667</v>
      </c>
      <c r="D302" s="29">
        <v>46065.64583333333</v>
      </c>
      <c r="E302" s="30">
        <v>1.0</v>
      </c>
      <c r="F302" s="2"/>
      <c r="G302" s="3" t="s">
        <v>7870</v>
      </c>
      <c r="H302" s="3" t="s">
        <v>7146</v>
      </c>
      <c r="I302" s="3" t="s">
        <v>7338</v>
      </c>
      <c r="J302" s="3" t="s">
        <v>7288</v>
      </c>
      <c r="K302" s="3" t="s">
        <v>7146</v>
      </c>
      <c r="L302" s="19">
        <v>4.0</v>
      </c>
      <c r="M302" s="3" t="s">
        <v>7871</v>
      </c>
      <c r="N302" s="3" t="s">
        <v>7872</v>
      </c>
      <c r="O302" s="3" t="s">
        <v>7873</v>
      </c>
      <c r="P302" s="19">
        <v>2.0</v>
      </c>
      <c r="Q302" s="19">
        <v>0.0</v>
      </c>
      <c r="R302" s="19">
        <v>0.0</v>
      </c>
      <c r="S302" s="19">
        <v>2.0</v>
      </c>
      <c r="T302" s="3" t="s">
        <v>116</v>
      </c>
      <c r="U302" s="3" t="s">
        <v>117</v>
      </c>
      <c r="V302" s="3" t="s">
        <v>7874</v>
      </c>
    </row>
    <row r="303">
      <c r="A303" s="3" t="s">
        <v>7875</v>
      </c>
      <c r="B303" s="3" t="s">
        <v>7876</v>
      </c>
      <c r="C303" s="29">
        <v>46065.75</v>
      </c>
      <c r="D303" s="29">
        <v>46065.875</v>
      </c>
      <c r="E303" s="30">
        <v>3.0</v>
      </c>
      <c r="F303" s="3" t="s">
        <v>7239</v>
      </c>
      <c r="G303" s="3" t="s">
        <v>7877</v>
      </c>
      <c r="H303" s="3" t="s">
        <v>7146</v>
      </c>
      <c r="I303" s="3" t="s">
        <v>7240</v>
      </c>
      <c r="J303" s="3" t="s">
        <v>7300</v>
      </c>
      <c r="K303" s="3" t="s">
        <v>7146</v>
      </c>
      <c r="L303" s="19">
        <v>2.0</v>
      </c>
      <c r="M303" s="3" t="s">
        <v>7878</v>
      </c>
      <c r="N303" s="3" t="s">
        <v>7879</v>
      </c>
      <c r="O303" s="3" t="s">
        <v>7244</v>
      </c>
      <c r="P303" s="19">
        <v>0.0</v>
      </c>
      <c r="Q303" s="19">
        <v>0.0</v>
      </c>
      <c r="R303" s="19">
        <v>0.0</v>
      </c>
      <c r="S303" s="19">
        <v>2.0</v>
      </c>
      <c r="T303" s="2"/>
      <c r="U303" s="2"/>
      <c r="V303" s="2"/>
    </row>
    <row r="304">
      <c r="A304" s="3" t="s">
        <v>7880</v>
      </c>
      <c r="B304" s="3" t="s">
        <v>7881</v>
      </c>
      <c r="C304" s="29">
        <v>46065.75</v>
      </c>
      <c r="D304" s="29">
        <v>46065.875</v>
      </c>
      <c r="E304" s="30">
        <v>3.0</v>
      </c>
      <c r="F304" s="2"/>
      <c r="G304" s="3" t="s">
        <v>7882</v>
      </c>
      <c r="H304" s="3" t="s">
        <v>7146</v>
      </c>
      <c r="I304" s="3" t="s">
        <v>7240</v>
      </c>
      <c r="J304" s="3" t="s">
        <v>7241</v>
      </c>
      <c r="K304" s="3" t="s">
        <v>7146</v>
      </c>
      <c r="L304" s="19">
        <v>8.0</v>
      </c>
      <c r="M304" s="3" t="s">
        <v>7883</v>
      </c>
      <c r="N304" s="3" t="s">
        <v>7884</v>
      </c>
      <c r="O304" s="3" t="s">
        <v>7885</v>
      </c>
      <c r="P304" s="19">
        <v>4.0</v>
      </c>
      <c r="Q304" s="19">
        <v>0.0</v>
      </c>
      <c r="R304" s="19">
        <v>0.0</v>
      </c>
      <c r="S304" s="19">
        <v>4.0</v>
      </c>
      <c r="T304" s="2"/>
      <c r="U304" s="2"/>
    </row>
    <row r="305">
      <c r="A305" s="3" t="s">
        <v>7886</v>
      </c>
      <c r="B305" s="3" t="s">
        <v>7887</v>
      </c>
      <c r="C305" s="29">
        <v>46066.58333333333</v>
      </c>
      <c r="D305" s="29">
        <v>46066.625</v>
      </c>
      <c r="E305" s="30">
        <v>1.0</v>
      </c>
      <c r="F305" s="2"/>
      <c r="G305" s="2"/>
      <c r="H305" s="3" t="s">
        <v>7146</v>
      </c>
      <c r="I305" s="3" t="s">
        <v>7161</v>
      </c>
      <c r="J305" s="3" t="s">
        <v>7888</v>
      </c>
      <c r="K305" s="3" t="s">
        <v>7146</v>
      </c>
      <c r="L305" s="19">
        <v>7.0</v>
      </c>
      <c r="M305" s="3" t="s">
        <v>7889</v>
      </c>
      <c r="N305" s="3" t="s">
        <v>7889</v>
      </c>
      <c r="O305" s="3" t="s">
        <v>7890</v>
      </c>
      <c r="P305" s="19">
        <v>5.0</v>
      </c>
      <c r="Q305" s="19">
        <v>2.0</v>
      </c>
      <c r="R305" s="19">
        <v>0.0</v>
      </c>
      <c r="S305" s="19">
        <v>0.0</v>
      </c>
      <c r="T305" s="3" t="s">
        <v>131</v>
      </c>
      <c r="U305" s="3" t="s">
        <v>132</v>
      </c>
    </row>
    <row r="306">
      <c r="A306" s="3" t="s">
        <v>7891</v>
      </c>
      <c r="B306" s="3" t="s">
        <v>7683</v>
      </c>
      <c r="C306" s="29">
        <v>46069.45833333333</v>
      </c>
      <c r="D306" s="29">
        <v>46069.47916666667</v>
      </c>
      <c r="E306" s="30">
        <v>0.5</v>
      </c>
      <c r="F306" s="25" t="s">
        <v>7892</v>
      </c>
      <c r="G306" s="3" t="s">
        <v>7893</v>
      </c>
      <c r="H306" s="3" t="s">
        <v>7146</v>
      </c>
      <c r="I306" s="3" t="s">
        <v>7338</v>
      </c>
      <c r="J306" s="3" t="s">
        <v>7288</v>
      </c>
      <c r="K306" s="3" t="s">
        <v>7146</v>
      </c>
      <c r="L306" s="19">
        <v>2.0</v>
      </c>
      <c r="M306" s="3" t="s">
        <v>7894</v>
      </c>
      <c r="N306" s="3" t="s">
        <v>7894</v>
      </c>
      <c r="O306" s="3" t="s">
        <v>7858</v>
      </c>
      <c r="P306" s="19">
        <v>1.0</v>
      </c>
      <c r="Q306" s="19">
        <v>0.0</v>
      </c>
      <c r="R306" s="19">
        <v>0.0</v>
      </c>
      <c r="S306" s="19">
        <v>1.0</v>
      </c>
      <c r="T306" s="3" t="s">
        <v>163</v>
      </c>
      <c r="U306" s="3" t="s">
        <v>430</v>
      </c>
      <c r="V306" s="3" t="s">
        <v>7895</v>
      </c>
    </row>
    <row r="307">
      <c r="A307" s="3" t="s">
        <v>7896</v>
      </c>
      <c r="B307" s="3" t="s">
        <v>7463</v>
      </c>
      <c r="C307" s="29">
        <v>46069.60416666667</v>
      </c>
      <c r="D307" s="29">
        <v>46069.625</v>
      </c>
      <c r="E307" s="30">
        <v>0.5</v>
      </c>
      <c r="F307" s="2"/>
      <c r="G307" s="3" t="s">
        <v>7541</v>
      </c>
      <c r="H307" s="3" t="s">
        <v>7146</v>
      </c>
      <c r="I307" s="3" t="s">
        <v>7338</v>
      </c>
      <c r="J307" s="3" t="s">
        <v>7288</v>
      </c>
      <c r="K307" s="3" t="s">
        <v>7149</v>
      </c>
      <c r="L307" s="19">
        <v>1.0</v>
      </c>
      <c r="M307" s="3" t="s">
        <v>7897</v>
      </c>
      <c r="N307" s="3" t="s">
        <v>7897</v>
      </c>
      <c r="O307" s="3" t="s">
        <v>7161</v>
      </c>
      <c r="P307" s="19">
        <v>1.0</v>
      </c>
      <c r="Q307" s="19">
        <v>0.0</v>
      </c>
      <c r="R307" s="19">
        <v>0.0</v>
      </c>
      <c r="S307" s="19">
        <v>0.0</v>
      </c>
      <c r="T307" s="3" t="s">
        <v>101</v>
      </c>
      <c r="U307" s="3" t="s">
        <v>511</v>
      </c>
    </row>
    <row r="308">
      <c r="A308" s="3" t="s">
        <v>7898</v>
      </c>
      <c r="B308" s="3" t="s">
        <v>7899</v>
      </c>
      <c r="C308" s="29">
        <v>46070.52083333333</v>
      </c>
      <c r="D308" s="29">
        <v>46070.54166666667</v>
      </c>
      <c r="E308" s="30">
        <v>0.5</v>
      </c>
      <c r="F308" s="2"/>
      <c r="G308" s="2"/>
      <c r="H308" s="3" t="s">
        <v>7146</v>
      </c>
      <c r="I308" s="3" t="s">
        <v>7338</v>
      </c>
      <c r="J308" s="3" t="s">
        <v>7288</v>
      </c>
      <c r="K308" s="3" t="s">
        <v>7146</v>
      </c>
      <c r="L308" s="19">
        <v>1.0</v>
      </c>
      <c r="M308" s="3" t="s">
        <v>7900</v>
      </c>
      <c r="N308" s="3" t="s">
        <v>7900</v>
      </c>
      <c r="O308" s="3" t="s">
        <v>7387</v>
      </c>
      <c r="P308" s="19">
        <v>0.0</v>
      </c>
      <c r="Q308" s="19">
        <v>1.0</v>
      </c>
      <c r="R308" s="19">
        <v>0.0</v>
      </c>
      <c r="S308" s="19">
        <v>0.0</v>
      </c>
      <c r="T308" s="2"/>
      <c r="U308" s="2"/>
    </row>
    <row r="309">
      <c r="A309" s="3" t="s">
        <v>7901</v>
      </c>
      <c r="B309" s="3" t="s">
        <v>7689</v>
      </c>
      <c r="C309" s="29">
        <v>46070.60416666667</v>
      </c>
      <c r="D309" s="29">
        <v>46070.625</v>
      </c>
      <c r="E309" s="30">
        <v>0.5</v>
      </c>
      <c r="F309" s="2"/>
      <c r="G309" s="2"/>
      <c r="H309" s="3" t="s">
        <v>7146</v>
      </c>
      <c r="I309" s="3" t="s">
        <v>7338</v>
      </c>
      <c r="J309" s="3" t="s">
        <v>7288</v>
      </c>
      <c r="K309" s="3" t="s">
        <v>7149</v>
      </c>
      <c r="L309" s="19">
        <v>1.0</v>
      </c>
      <c r="M309" s="3" t="s">
        <v>7902</v>
      </c>
      <c r="N309" s="3" t="s">
        <v>7902</v>
      </c>
      <c r="O309" s="3" t="s">
        <v>7240</v>
      </c>
      <c r="P309" s="19">
        <v>0.0</v>
      </c>
      <c r="Q309" s="19">
        <v>0.0</v>
      </c>
      <c r="R309" s="19">
        <v>0.0</v>
      </c>
      <c r="S309" s="19">
        <v>1.0</v>
      </c>
      <c r="T309" s="3" t="s">
        <v>142</v>
      </c>
      <c r="U309" s="3" t="s">
        <v>143</v>
      </c>
      <c r="V309" s="3" t="s">
        <v>7903</v>
      </c>
    </row>
    <row r="310">
      <c r="A310" s="3" t="s">
        <v>7904</v>
      </c>
      <c r="B310" s="3" t="s">
        <v>7183</v>
      </c>
      <c r="C310" s="29">
        <v>46071.45833333333</v>
      </c>
      <c r="D310" s="29">
        <v>46071.47916666667</v>
      </c>
      <c r="E310" s="30">
        <v>0.5</v>
      </c>
      <c r="F310" s="2"/>
      <c r="G310" s="3" t="s">
        <v>7692</v>
      </c>
      <c r="H310" s="3" t="s">
        <v>7146</v>
      </c>
      <c r="I310" s="3" t="s">
        <v>7161</v>
      </c>
      <c r="J310" s="3" t="s">
        <v>7156</v>
      </c>
      <c r="K310" s="3" t="s">
        <v>7149</v>
      </c>
      <c r="L310" s="19">
        <v>2.0</v>
      </c>
      <c r="M310" s="3" t="s">
        <v>7905</v>
      </c>
      <c r="N310" s="3" t="s">
        <v>7906</v>
      </c>
      <c r="O310" s="3" t="s">
        <v>7858</v>
      </c>
      <c r="P310" s="19">
        <v>1.0</v>
      </c>
      <c r="Q310" s="19">
        <v>0.0</v>
      </c>
      <c r="R310" s="19">
        <v>0.0</v>
      </c>
      <c r="S310" s="19">
        <v>1.0</v>
      </c>
      <c r="T310" s="3" t="s">
        <v>184</v>
      </c>
      <c r="U310" s="3" t="s">
        <v>478</v>
      </c>
      <c r="V310" s="3" t="s">
        <v>7907</v>
      </c>
    </row>
    <row r="311">
      <c r="A311" s="3" t="s">
        <v>7908</v>
      </c>
      <c r="B311" s="3" t="s">
        <v>7744</v>
      </c>
      <c r="C311" s="29">
        <v>46071.58333333333</v>
      </c>
      <c r="D311" s="29">
        <v>46071.60416666667</v>
      </c>
      <c r="E311" s="30">
        <v>0.5</v>
      </c>
      <c r="F311" s="2"/>
      <c r="G311" s="3" t="s">
        <v>7909</v>
      </c>
      <c r="H311" s="3" t="s">
        <v>7146</v>
      </c>
      <c r="I311" s="3" t="s">
        <v>7338</v>
      </c>
      <c r="J311" s="3" t="s">
        <v>7288</v>
      </c>
      <c r="K311" s="3" t="s">
        <v>7146</v>
      </c>
      <c r="L311" s="19">
        <v>2.0</v>
      </c>
      <c r="M311" s="3" t="s">
        <v>7910</v>
      </c>
      <c r="N311" s="3" t="s">
        <v>7910</v>
      </c>
      <c r="O311" s="3" t="s">
        <v>7218</v>
      </c>
      <c r="P311" s="19">
        <v>2.0</v>
      </c>
      <c r="Q311" s="19">
        <v>0.0</v>
      </c>
      <c r="R311" s="19">
        <v>0.0</v>
      </c>
      <c r="S311" s="19">
        <v>0.0</v>
      </c>
      <c r="T311" s="3" t="s">
        <v>208</v>
      </c>
      <c r="U311" s="3" t="s">
        <v>209</v>
      </c>
      <c r="V311" s="3" t="s">
        <v>7911</v>
      </c>
    </row>
    <row r="312">
      <c r="A312" s="3" t="s">
        <v>7912</v>
      </c>
      <c r="B312" s="3" t="s">
        <v>7696</v>
      </c>
      <c r="C312" s="29">
        <v>46071.60416666667</v>
      </c>
      <c r="D312" s="29">
        <v>46071.625</v>
      </c>
      <c r="E312" s="30">
        <v>0.5</v>
      </c>
      <c r="F312" s="2"/>
      <c r="G312" s="2"/>
      <c r="H312" s="3" t="s">
        <v>7146</v>
      </c>
      <c r="I312" s="3" t="s">
        <v>7161</v>
      </c>
      <c r="J312" s="3" t="s">
        <v>7274</v>
      </c>
      <c r="K312" s="3" t="s">
        <v>7149</v>
      </c>
      <c r="L312" s="19">
        <v>1.0</v>
      </c>
      <c r="M312" s="3" t="s">
        <v>7288</v>
      </c>
      <c r="N312" s="3" t="s">
        <v>7288</v>
      </c>
      <c r="O312" s="3" t="s">
        <v>7161</v>
      </c>
      <c r="P312" s="19">
        <v>1.0</v>
      </c>
      <c r="Q312" s="19">
        <v>0.0</v>
      </c>
      <c r="R312" s="19">
        <v>0.0</v>
      </c>
      <c r="S312" s="19">
        <v>0.0</v>
      </c>
      <c r="T312" s="2"/>
      <c r="U312" s="2"/>
    </row>
    <row r="313">
      <c r="A313" s="3" t="s">
        <v>7659</v>
      </c>
      <c r="B313" s="3" t="s">
        <v>7420</v>
      </c>
      <c r="C313" s="29">
        <v>46072.47916666667</v>
      </c>
      <c r="D313" s="29">
        <v>46072.5</v>
      </c>
      <c r="E313" s="30">
        <v>0.5</v>
      </c>
      <c r="F313" s="2"/>
      <c r="G313" s="2"/>
      <c r="H313" s="3" t="s">
        <v>7146</v>
      </c>
      <c r="I313" s="3" t="s">
        <v>7161</v>
      </c>
      <c r="J313" s="3" t="s">
        <v>7156</v>
      </c>
      <c r="K313" s="3" t="s">
        <v>7149</v>
      </c>
      <c r="L313" s="19">
        <v>5.0</v>
      </c>
      <c r="M313" s="3" t="s">
        <v>7571</v>
      </c>
      <c r="N313" s="3" t="s">
        <v>7571</v>
      </c>
      <c r="O313" s="3" t="s">
        <v>7802</v>
      </c>
      <c r="P313" s="19">
        <v>1.0</v>
      </c>
      <c r="Q313" s="19">
        <v>2.0</v>
      </c>
      <c r="R313" s="19">
        <v>0.0</v>
      </c>
      <c r="S313" s="19">
        <v>2.0</v>
      </c>
      <c r="T313" s="3" t="s">
        <v>125</v>
      </c>
      <c r="U313" s="3" t="s">
        <v>126</v>
      </c>
      <c r="V313" s="3" t="s">
        <v>7913</v>
      </c>
    </row>
    <row r="314">
      <c r="A314" s="3" t="s">
        <v>7914</v>
      </c>
      <c r="B314" s="3" t="s">
        <v>7797</v>
      </c>
      <c r="C314" s="29">
        <v>46072.54166666667</v>
      </c>
      <c r="D314" s="29">
        <v>46072.5625</v>
      </c>
      <c r="E314" s="30">
        <v>0.5</v>
      </c>
      <c r="F314" s="2"/>
      <c r="G314" s="3" t="s">
        <v>7915</v>
      </c>
      <c r="H314" s="3" t="s">
        <v>7146</v>
      </c>
      <c r="I314" s="3" t="s">
        <v>7338</v>
      </c>
      <c r="J314" s="3" t="s">
        <v>7288</v>
      </c>
      <c r="K314" s="3" t="s">
        <v>7146</v>
      </c>
      <c r="L314" s="19">
        <v>3.0</v>
      </c>
      <c r="M314" s="3" t="s">
        <v>7916</v>
      </c>
      <c r="N314" s="3" t="s">
        <v>7916</v>
      </c>
      <c r="O314" s="3" t="s">
        <v>7917</v>
      </c>
      <c r="P314" s="19">
        <v>2.0</v>
      </c>
      <c r="Q314" s="19">
        <v>1.0</v>
      </c>
      <c r="R314" s="19">
        <v>0.0</v>
      </c>
      <c r="S314" s="19">
        <v>0.0</v>
      </c>
      <c r="T314" s="3" t="s">
        <v>154</v>
      </c>
      <c r="U314" s="3" t="s">
        <v>329</v>
      </c>
      <c r="V314" s="3" t="s">
        <v>7918</v>
      </c>
    </row>
    <row r="315">
      <c r="A315" s="3" t="s">
        <v>7919</v>
      </c>
      <c r="B315" s="3" t="s">
        <v>7249</v>
      </c>
      <c r="C315" s="29">
        <v>46072.5625</v>
      </c>
      <c r="D315" s="29">
        <v>46072.58333333333</v>
      </c>
      <c r="E315" s="30">
        <v>0.5</v>
      </c>
      <c r="F315" s="2"/>
      <c r="G315" s="3" t="s">
        <v>7920</v>
      </c>
      <c r="H315" s="3" t="s">
        <v>7146</v>
      </c>
      <c r="I315" s="3" t="s">
        <v>7338</v>
      </c>
      <c r="J315" s="3" t="s">
        <v>7288</v>
      </c>
      <c r="K315" s="3" t="s">
        <v>7146</v>
      </c>
      <c r="L315" s="19">
        <v>2.0</v>
      </c>
      <c r="M315" s="3" t="s">
        <v>7921</v>
      </c>
      <c r="N315" s="3" t="s">
        <v>7921</v>
      </c>
      <c r="O315" s="3" t="s">
        <v>7218</v>
      </c>
      <c r="P315" s="19">
        <v>2.0</v>
      </c>
      <c r="Q315" s="19">
        <v>0.0</v>
      </c>
      <c r="R315" s="19">
        <v>0.0</v>
      </c>
      <c r="S315" s="19">
        <v>0.0</v>
      </c>
      <c r="T315" s="3" t="s">
        <v>187</v>
      </c>
      <c r="U315" s="3" t="s">
        <v>188</v>
      </c>
      <c r="V315" s="3" t="s">
        <v>7922</v>
      </c>
    </row>
    <row r="316">
      <c r="A316" s="3" t="s">
        <v>7923</v>
      </c>
      <c r="B316" s="3" t="s">
        <v>7924</v>
      </c>
      <c r="C316" s="29">
        <v>46072.60416666667</v>
      </c>
      <c r="D316" s="29">
        <v>46072.625</v>
      </c>
      <c r="E316" s="30">
        <v>0.5</v>
      </c>
      <c r="F316" s="2"/>
      <c r="G316" s="3" t="s">
        <v>7925</v>
      </c>
      <c r="H316" s="3" t="s">
        <v>7146</v>
      </c>
      <c r="I316" s="3" t="s">
        <v>7338</v>
      </c>
      <c r="J316" s="3" t="s">
        <v>7288</v>
      </c>
      <c r="K316" s="3" t="s">
        <v>7146</v>
      </c>
      <c r="L316" s="19">
        <v>2.0</v>
      </c>
      <c r="M316" s="3" t="s">
        <v>7926</v>
      </c>
      <c r="N316" s="3" t="s">
        <v>7926</v>
      </c>
      <c r="O316" s="3" t="s">
        <v>7858</v>
      </c>
      <c r="P316" s="19">
        <v>1.0</v>
      </c>
      <c r="Q316" s="19">
        <v>0.0</v>
      </c>
      <c r="R316" s="19">
        <v>0.0</v>
      </c>
      <c r="S316" s="19">
        <v>1.0</v>
      </c>
      <c r="T316" s="3" t="s">
        <v>113</v>
      </c>
      <c r="U316" s="3" t="s">
        <v>406</v>
      </c>
    </row>
    <row r="317">
      <c r="A317" s="3" t="s">
        <v>7927</v>
      </c>
      <c r="B317" s="3" t="s">
        <v>7928</v>
      </c>
      <c r="C317" s="29">
        <v>46072.70833333333</v>
      </c>
      <c r="D317" s="29">
        <v>46072.72916666667</v>
      </c>
      <c r="E317" s="30">
        <v>0.5</v>
      </c>
      <c r="F317" s="2"/>
      <c r="G317" s="3" t="s">
        <v>7929</v>
      </c>
      <c r="H317" s="3" t="s">
        <v>7146</v>
      </c>
      <c r="I317" s="3" t="s">
        <v>7161</v>
      </c>
      <c r="J317" s="3" t="s">
        <v>7148</v>
      </c>
      <c r="K317" s="3" t="s">
        <v>7149</v>
      </c>
      <c r="L317" s="19">
        <v>10.0</v>
      </c>
      <c r="M317" s="3" t="s">
        <v>7930</v>
      </c>
      <c r="N317" s="3" t="s">
        <v>7931</v>
      </c>
      <c r="O317" s="3" t="s">
        <v>7932</v>
      </c>
      <c r="P317" s="19">
        <v>6.0</v>
      </c>
      <c r="Q317" s="19">
        <v>0.0</v>
      </c>
      <c r="R317" s="19">
        <v>1.0</v>
      </c>
      <c r="S317" s="19">
        <v>3.0</v>
      </c>
      <c r="T317" s="3" t="s">
        <v>160</v>
      </c>
      <c r="U317" s="3" t="s">
        <v>440</v>
      </c>
    </row>
    <row r="318">
      <c r="A318" s="3" t="s">
        <v>7825</v>
      </c>
      <c r="B318" s="3" t="s">
        <v>7471</v>
      </c>
      <c r="C318" s="29">
        <v>46073.41666666667</v>
      </c>
      <c r="D318" s="29">
        <v>46073.4375</v>
      </c>
      <c r="E318" s="30">
        <v>0.5</v>
      </c>
      <c r="F318" s="2"/>
      <c r="G318" s="2"/>
      <c r="H318" s="3" t="s">
        <v>7146</v>
      </c>
      <c r="I318" s="3" t="s">
        <v>7161</v>
      </c>
      <c r="J318" s="3" t="s">
        <v>7156</v>
      </c>
      <c r="K318" s="3" t="s">
        <v>7149</v>
      </c>
      <c r="L318" s="19">
        <v>5.0</v>
      </c>
      <c r="M318" s="3" t="s">
        <v>7826</v>
      </c>
      <c r="N318" s="3" t="s">
        <v>7826</v>
      </c>
      <c r="O318" s="3" t="s">
        <v>7933</v>
      </c>
      <c r="P318" s="19">
        <v>2.0</v>
      </c>
      <c r="Q318" s="19">
        <v>1.0</v>
      </c>
      <c r="R318" s="19">
        <v>0.0</v>
      </c>
      <c r="S318" s="19">
        <v>2.0</v>
      </c>
      <c r="T318" s="3" t="s">
        <v>199</v>
      </c>
      <c r="U318" s="3" t="s">
        <v>272</v>
      </c>
    </row>
    <row r="319">
      <c r="A319" s="3" t="s">
        <v>7934</v>
      </c>
      <c r="B319" s="3" t="s">
        <v>7221</v>
      </c>
      <c r="C319" s="29">
        <v>46073.41666666667</v>
      </c>
      <c r="D319" s="29">
        <v>46073.45833333333</v>
      </c>
      <c r="E319" s="30">
        <v>1.0</v>
      </c>
      <c r="F319" s="2"/>
      <c r="G319" s="2"/>
      <c r="H319" s="3" t="s">
        <v>7146</v>
      </c>
      <c r="I319" s="3" t="s">
        <v>7161</v>
      </c>
      <c r="J319" s="3" t="s">
        <v>7156</v>
      </c>
      <c r="K319" s="3" t="s">
        <v>7149</v>
      </c>
      <c r="L319" s="19">
        <v>4.0</v>
      </c>
      <c r="M319" s="3" t="s">
        <v>7935</v>
      </c>
      <c r="N319" s="3" t="s">
        <v>7935</v>
      </c>
      <c r="O319" s="3" t="s">
        <v>7411</v>
      </c>
      <c r="P319" s="19">
        <v>4.0</v>
      </c>
      <c r="Q319" s="19">
        <v>0.0</v>
      </c>
      <c r="R319" s="19">
        <v>0.0</v>
      </c>
      <c r="S319" s="19">
        <v>0.0</v>
      </c>
      <c r="T319" s="3" t="s">
        <v>6608</v>
      </c>
      <c r="U319" s="3" t="s">
        <v>294</v>
      </c>
    </row>
    <row r="320">
      <c r="A320" s="3" t="s">
        <v>7936</v>
      </c>
      <c r="B320" s="3" t="s">
        <v>7671</v>
      </c>
      <c r="C320" s="29">
        <v>46073.45833333333</v>
      </c>
      <c r="D320" s="29">
        <v>46073.47916666667</v>
      </c>
      <c r="E320" s="30">
        <v>0.5</v>
      </c>
      <c r="F320" s="2"/>
      <c r="G320" s="3" t="s">
        <v>7937</v>
      </c>
      <c r="H320" s="3" t="s">
        <v>7146</v>
      </c>
      <c r="I320" s="3" t="s">
        <v>7338</v>
      </c>
      <c r="J320" s="3" t="s">
        <v>7288</v>
      </c>
      <c r="K320" s="3" t="s">
        <v>7146</v>
      </c>
      <c r="L320" s="19">
        <v>1.0</v>
      </c>
      <c r="M320" s="3" t="s">
        <v>7734</v>
      </c>
      <c r="N320" s="3" t="s">
        <v>7734</v>
      </c>
      <c r="O320" s="3" t="s">
        <v>7161</v>
      </c>
      <c r="P320" s="19">
        <v>1.0</v>
      </c>
      <c r="Q320" s="19">
        <v>0.0</v>
      </c>
      <c r="R320" s="19">
        <v>0.0</v>
      </c>
      <c r="S320" s="19">
        <v>0.0</v>
      </c>
      <c r="T320" s="3" t="s">
        <v>166</v>
      </c>
      <c r="U320" s="3" t="s">
        <v>167</v>
      </c>
    </row>
    <row r="321">
      <c r="A321" s="3" t="s">
        <v>7679</v>
      </c>
      <c r="B321" s="3" t="s">
        <v>7546</v>
      </c>
      <c r="C321" s="29">
        <v>46073.47916666667</v>
      </c>
      <c r="D321" s="29">
        <v>46073.52083333333</v>
      </c>
      <c r="E321" s="30">
        <v>1.0</v>
      </c>
      <c r="F321" s="2"/>
      <c r="G321" s="2"/>
      <c r="H321" s="3" t="s">
        <v>7146</v>
      </c>
      <c r="I321" s="3" t="s">
        <v>7338</v>
      </c>
      <c r="J321" s="3" t="s">
        <v>7288</v>
      </c>
      <c r="K321" s="3" t="s">
        <v>7149</v>
      </c>
      <c r="L321" s="19">
        <v>2.0</v>
      </c>
      <c r="M321" s="3" t="s">
        <v>7587</v>
      </c>
      <c r="N321" s="3" t="s">
        <v>7587</v>
      </c>
      <c r="O321" s="3" t="s">
        <v>7285</v>
      </c>
      <c r="P321" s="19">
        <v>1.0</v>
      </c>
      <c r="Q321" s="19">
        <v>0.0</v>
      </c>
      <c r="R321" s="19">
        <v>0.0</v>
      </c>
      <c r="S321" s="19">
        <v>1.0</v>
      </c>
      <c r="T321" s="3" t="s">
        <v>119</v>
      </c>
      <c r="U321" s="3" t="s">
        <v>251</v>
      </c>
    </row>
    <row r="322">
      <c r="A322" s="3" t="s">
        <v>7938</v>
      </c>
      <c r="B322" s="3" t="s">
        <v>7689</v>
      </c>
      <c r="C322" s="29">
        <v>46073.54166666667</v>
      </c>
      <c r="D322" s="29">
        <v>46073.5625</v>
      </c>
      <c r="E322" s="30">
        <v>0.5</v>
      </c>
      <c r="F322" s="2"/>
      <c r="G322" s="3" t="s">
        <v>7939</v>
      </c>
      <c r="H322" s="3" t="s">
        <v>7146</v>
      </c>
      <c r="I322" s="3" t="s">
        <v>7338</v>
      </c>
      <c r="J322" s="3" t="s">
        <v>7288</v>
      </c>
      <c r="K322" s="3" t="s">
        <v>7146</v>
      </c>
      <c r="L322" s="19">
        <v>6.0</v>
      </c>
      <c r="M322" s="3" t="s">
        <v>7940</v>
      </c>
      <c r="N322" s="3" t="s">
        <v>7940</v>
      </c>
      <c r="O322" s="3" t="s">
        <v>7941</v>
      </c>
      <c r="P322" s="19">
        <v>3.0</v>
      </c>
      <c r="Q322" s="19">
        <v>0.0</v>
      </c>
      <c r="R322" s="19">
        <v>0.0</v>
      </c>
      <c r="S322" s="19">
        <v>3.0</v>
      </c>
      <c r="T322" s="3" t="s">
        <v>142</v>
      </c>
      <c r="U322" s="3" t="s">
        <v>143</v>
      </c>
    </row>
    <row r="323">
      <c r="A323" s="3" t="s">
        <v>7942</v>
      </c>
      <c r="B323" s="3" t="s">
        <v>7256</v>
      </c>
      <c r="C323" s="29">
        <v>46076.5625</v>
      </c>
      <c r="D323" s="29">
        <v>46076.58333333333</v>
      </c>
      <c r="E323" s="30">
        <v>0.5</v>
      </c>
      <c r="F323" s="2"/>
      <c r="G323" s="2"/>
      <c r="H323" s="3" t="s">
        <v>7146</v>
      </c>
      <c r="I323" s="3" t="s">
        <v>7161</v>
      </c>
      <c r="J323" s="3" t="s">
        <v>7156</v>
      </c>
      <c r="K323" s="3" t="s">
        <v>7149</v>
      </c>
      <c r="L323" s="19">
        <v>3.0</v>
      </c>
      <c r="M323" s="3" t="s">
        <v>7943</v>
      </c>
      <c r="N323" s="3" t="s">
        <v>7943</v>
      </c>
      <c r="O323" s="3" t="s">
        <v>7258</v>
      </c>
      <c r="P323" s="19">
        <v>2.0</v>
      </c>
      <c r="Q323" s="19">
        <v>0.0</v>
      </c>
      <c r="R323" s="19">
        <v>0.0</v>
      </c>
      <c r="S323" s="19">
        <v>1.0</v>
      </c>
      <c r="T323" s="3" t="s">
        <v>202</v>
      </c>
      <c r="U323" s="3" t="s">
        <v>203</v>
      </c>
    </row>
    <row r="324">
      <c r="A324" s="3" t="s">
        <v>7896</v>
      </c>
      <c r="B324" s="3" t="s">
        <v>7463</v>
      </c>
      <c r="C324" s="29">
        <v>46076.60416666667</v>
      </c>
      <c r="D324" s="29">
        <v>46076.625</v>
      </c>
      <c r="E324" s="30">
        <v>0.5</v>
      </c>
      <c r="F324" s="2"/>
      <c r="G324" s="3" t="s">
        <v>7541</v>
      </c>
      <c r="H324" s="3" t="s">
        <v>7146</v>
      </c>
      <c r="I324" s="3" t="s">
        <v>7338</v>
      </c>
      <c r="J324" s="3" t="s">
        <v>7288</v>
      </c>
      <c r="K324" s="3" t="s">
        <v>7149</v>
      </c>
      <c r="L324" s="19">
        <v>1.0</v>
      </c>
      <c r="M324" s="3" t="s">
        <v>7897</v>
      </c>
      <c r="N324" s="3" t="s">
        <v>7897</v>
      </c>
      <c r="O324" s="3" t="s">
        <v>7161</v>
      </c>
      <c r="P324" s="19">
        <v>1.0</v>
      </c>
      <c r="Q324" s="19">
        <v>0.0</v>
      </c>
      <c r="R324" s="19">
        <v>0.0</v>
      </c>
      <c r="S324" s="19">
        <v>0.0</v>
      </c>
      <c r="T324" s="3" t="s">
        <v>101</v>
      </c>
      <c r="U324" s="3" t="s">
        <v>511</v>
      </c>
    </row>
    <row r="325">
      <c r="A325" s="3" t="s">
        <v>7904</v>
      </c>
      <c r="B325" s="3" t="s">
        <v>7183</v>
      </c>
      <c r="C325" s="29">
        <v>46077.5</v>
      </c>
      <c r="D325" s="29">
        <v>46077.52083333333</v>
      </c>
      <c r="E325" s="30">
        <v>0.5</v>
      </c>
      <c r="F325" s="2"/>
      <c r="G325" s="3" t="s">
        <v>7692</v>
      </c>
      <c r="H325" s="3" t="s">
        <v>7146</v>
      </c>
      <c r="I325" s="3" t="s">
        <v>7161</v>
      </c>
      <c r="J325" s="3" t="s">
        <v>7156</v>
      </c>
      <c r="K325" s="3" t="s">
        <v>7149</v>
      </c>
      <c r="L325" s="19">
        <v>2.0</v>
      </c>
      <c r="M325" s="3" t="s">
        <v>7905</v>
      </c>
      <c r="N325" s="3" t="s">
        <v>7906</v>
      </c>
      <c r="O325" s="3" t="s">
        <v>7944</v>
      </c>
      <c r="P325" s="19">
        <v>1.0</v>
      </c>
      <c r="Q325" s="19">
        <v>0.0</v>
      </c>
      <c r="R325" s="19">
        <v>1.0</v>
      </c>
      <c r="S325" s="19">
        <v>0.0</v>
      </c>
      <c r="T325" s="3" t="s">
        <v>184</v>
      </c>
      <c r="U325" s="3" t="s">
        <v>478</v>
      </c>
    </row>
    <row r="326">
      <c r="A326" s="3" t="s">
        <v>7945</v>
      </c>
      <c r="B326" s="3" t="s">
        <v>7946</v>
      </c>
      <c r="C326" s="29">
        <v>46077.54166666667</v>
      </c>
      <c r="D326" s="29">
        <v>46077.5625</v>
      </c>
      <c r="E326" s="30">
        <v>0.5</v>
      </c>
      <c r="F326" s="2"/>
      <c r="G326" s="2"/>
      <c r="H326" s="3" t="s">
        <v>7146</v>
      </c>
      <c r="I326" s="3" t="s">
        <v>7161</v>
      </c>
      <c r="J326" s="3" t="s">
        <v>7366</v>
      </c>
      <c r="K326" s="3" t="s">
        <v>7146</v>
      </c>
      <c r="L326" s="19">
        <v>2.0</v>
      </c>
      <c r="M326" s="3" t="s">
        <v>7947</v>
      </c>
      <c r="N326" s="3" t="s">
        <v>7947</v>
      </c>
      <c r="O326" s="3" t="s">
        <v>7218</v>
      </c>
      <c r="P326" s="19">
        <v>2.0</v>
      </c>
      <c r="Q326" s="19">
        <v>0.0</v>
      </c>
      <c r="R326" s="19">
        <v>0.0</v>
      </c>
      <c r="S326" s="19">
        <v>0.0</v>
      </c>
      <c r="T326" s="3" t="s">
        <v>119</v>
      </c>
      <c r="U326" s="3" t="s">
        <v>251</v>
      </c>
    </row>
    <row r="327">
      <c r="A327" s="3" t="s">
        <v>7912</v>
      </c>
      <c r="B327" s="3" t="s">
        <v>7696</v>
      </c>
      <c r="C327" s="29">
        <v>46078.41666666667</v>
      </c>
      <c r="D327" s="29">
        <v>46078.4375</v>
      </c>
      <c r="E327" s="30">
        <v>0.5</v>
      </c>
      <c r="G327" s="2"/>
      <c r="H327" s="3" t="s">
        <v>7146</v>
      </c>
      <c r="I327" s="3" t="s">
        <v>7161</v>
      </c>
      <c r="J327" s="3" t="s">
        <v>7274</v>
      </c>
      <c r="K327" s="3" t="s">
        <v>7149</v>
      </c>
      <c r="L327" s="19">
        <v>1.0</v>
      </c>
      <c r="M327" s="3" t="s">
        <v>7288</v>
      </c>
      <c r="N327" s="3" t="s">
        <v>7288</v>
      </c>
      <c r="O327" s="3" t="s">
        <v>7161</v>
      </c>
      <c r="P327" s="19">
        <v>1.0</v>
      </c>
      <c r="Q327" s="19">
        <v>0.0</v>
      </c>
      <c r="R327" s="19">
        <v>0.0</v>
      </c>
      <c r="S327" s="19">
        <v>0.0</v>
      </c>
      <c r="T327" s="2"/>
      <c r="U327" s="2"/>
    </row>
    <row r="328">
      <c r="A328" s="3" t="s">
        <v>7948</v>
      </c>
      <c r="B328" s="3" t="s">
        <v>7949</v>
      </c>
      <c r="C328" s="29">
        <v>46079.35416666667</v>
      </c>
      <c r="D328" s="29">
        <v>46079.375</v>
      </c>
      <c r="E328" s="30">
        <v>0.5</v>
      </c>
      <c r="G328" s="2"/>
      <c r="H328" s="3" t="s">
        <v>7146</v>
      </c>
      <c r="I328" s="3" t="s">
        <v>7338</v>
      </c>
      <c r="J328" s="3" t="s">
        <v>7288</v>
      </c>
      <c r="K328" s="3" t="s">
        <v>7149</v>
      </c>
      <c r="L328" s="19">
        <v>3.0</v>
      </c>
      <c r="M328" s="3" t="s">
        <v>7950</v>
      </c>
      <c r="N328" s="3" t="s">
        <v>7950</v>
      </c>
      <c r="O328" s="3" t="s">
        <v>7622</v>
      </c>
      <c r="P328" s="19">
        <v>0.0</v>
      </c>
      <c r="Q328" s="19">
        <v>0.0</v>
      </c>
      <c r="R328" s="19">
        <v>0.0</v>
      </c>
      <c r="S328" s="19">
        <v>3.0</v>
      </c>
      <c r="T328" s="3" t="s">
        <v>193</v>
      </c>
      <c r="U328" s="3" t="s">
        <v>544</v>
      </c>
    </row>
    <row r="329">
      <c r="A329" s="3" t="s">
        <v>7951</v>
      </c>
      <c r="B329" s="3" t="s">
        <v>7160</v>
      </c>
      <c r="C329" s="29">
        <v>46079.4375</v>
      </c>
      <c r="D329" s="29">
        <v>46079.45833333333</v>
      </c>
      <c r="E329" s="30">
        <v>0.5</v>
      </c>
      <c r="G329" s="2"/>
      <c r="H329" s="3" t="s">
        <v>7146</v>
      </c>
      <c r="I329" s="3" t="s">
        <v>7161</v>
      </c>
      <c r="J329" s="3" t="s">
        <v>7156</v>
      </c>
      <c r="K329" s="3" t="s">
        <v>7149</v>
      </c>
      <c r="L329" s="19">
        <v>2.0</v>
      </c>
      <c r="M329" s="3" t="s">
        <v>7952</v>
      </c>
      <c r="N329" s="3" t="s">
        <v>7953</v>
      </c>
      <c r="O329" s="3" t="s">
        <v>7218</v>
      </c>
      <c r="P329" s="19">
        <v>2.0</v>
      </c>
      <c r="Q329" s="19">
        <v>0.0</v>
      </c>
      <c r="R329" s="19">
        <v>0.0</v>
      </c>
      <c r="S329" s="19">
        <v>0.0</v>
      </c>
      <c r="T329" s="3" t="s">
        <v>154</v>
      </c>
      <c r="U329" s="3" t="s">
        <v>329</v>
      </c>
    </row>
    <row r="330">
      <c r="A330" s="3" t="s">
        <v>7954</v>
      </c>
      <c r="B330" s="3" t="s">
        <v>7163</v>
      </c>
      <c r="C330" s="29">
        <v>46079.58333333333</v>
      </c>
      <c r="D330" s="29">
        <v>46079.60416666667</v>
      </c>
      <c r="E330" s="30">
        <v>0.5</v>
      </c>
      <c r="F330" s="2"/>
      <c r="G330" s="2"/>
      <c r="H330" s="3" t="s">
        <v>7146</v>
      </c>
      <c r="I330" s="3" t="s">
        <v>7387</v>
      </c>
      <c r="J330" s="3" t="s">
        <v>7156</v>
      </c>
      <c r="K330" s="3" t="s">
        <v>7149</v>
      </c>
      <c r="L330" s="19">
        <v>5.0</v>
      </c>
      <c r="M330" s="3" t="s">
        <v>7955</v>
      </c>
      <c r="N330" s="3" t="s">
        <v>7955</v>
      </c>
      <c r="O330" s="3" t="s">
        <v>7956</v>
      </c>
      <c r="P330" s="19">
        <v>0.0</v>
      </c>
      <c r="Q330" s="19">
        <v>3.0</v>
      </c>
      <c r="R330" s="19">
        <v>0.0</v>
      </c>
      <c r="S330" s="19">
        <v>2.0</v>
      </c>
      <c r="T330" s="3" t="s">
        <v>151</v>
      </c>
      <c r="U330" s="3" t="s">
        <v>370</v>
      </c>
    </row>
    <row r="331">
      <c r="A331" s="3" t="s">
        <v>7957</v>
      </c>
      <c r="B331" s="3" t="s">
        <v>7712</v>
      </c>
      <c r="C331" s="29">
        <v>46079.64583333333</v>
      </c>
      <c r="D331" s="29">
        <v>46079.66666666667</v>
      </c>
      <c r="E331" s="30">
        <v>0.5</v>
      </c>
      <c r="G331" s="3" t="s">
        <v>7713</v>
      </c>
      <c r="H331" s="3" t="s">
        <v>7146</v>
      </c>
      <c r="I331" s="3" t="s">
        <v>7338</v>
      </c>
      <c r="J331" s="3" t="s">
        <v>7288</v>
      </c>
      <c r="K331" s="3" t="s">
        <v>7149</v>
      </c>
      <c r="L331" s="19">
        <v>5.0</v>
      </c>
      <c r="M331" s="3" t="s">
        <v>7958</v>
      </c>
      <c r="N331" s="3" t="s">
        <v>7958</v>
      </c>
      <c r="O331" s="3" t="s">
        <v>7959</v>
      </c>
      <c r="P331" s="19">
        <v>2.0</v>
      </c>
      <c r="Q331" s="19">
        <v>1.0</v>
      </c>
      <c r="R331" s="19">
        <v>1.0</v>
      </c>
      <c r="S331" s="19">
        <v>1.0</v>
      </c>
      <c r="T331" s="3" t="s">
        <v>122</v>
      </c>
      <c r="U331" s="3" t="s">
        <v>123</v>
      </c>
    </row>
    <row r="332">
      <c r="A332" s="3" t="s">
        <v>7679</v>
      </c>
      <c r="B332" s="3" t="s">
        <v>7546</v>
      </c>
      <c r="C332" s="29">
        <v>46080.47916666667</v>
      </c>
      <c r="D332" s="29">
        <v>46080.52083333333</v>
      </c>
      <c r="E332" s="30">
        <v>1.0</v>
      </c>
      <c r="G332" s="2"/>
      <c r="H332" s="3" t="s">
        <v>7146</v>
      </c>
      <c r="I332" s="3" t="s">
        <v>7338</v>
      </c>
      <c r="J332" s="3" t="s">
        <v>7288</v>
      </c>
      <c r="K332" s="3" t="s">
        <v>7149</v>
      </c>
      <c r="L332" s="19">
        <v>1.0</v>
      </c>
      <c r="M332" s="3" t="s">
        <v>7680</v>
      </c>
      <c r="N332" s="3" t="s">
        <v>7680</v>
      </c>
      <c r="O332" s="3" t="s">
        <v>7161</v>
      </c>
      <c r="P332" s="19">
        <v>1.0</v>
      </c>
      <c r="Q332" s="19">
        <v>0.0</v>
      </c>
      <c r="R332" s="19">
        <v>0.0</v>
      </c>
      <c r="S332" s="19">
        <v>0.0</v>
      </c>
      <c r="T332" s="3" t="s">
        <v>119</v>
      </c>
      <c r="U332" s="3" t="s">
        <v>251</v>
      </c>
    </row>
    <row r="333">
      <c r="A333" s="3" t="s">
        <v>7960</v>
      </c>
      <c r="B333" s="3" t="s">
        <v>7961</v>
      </c>
      <c r="C333" s="29">
        <v>46083.54166666667</v>
      </c>
      <c r="D333" s="29">
        <v>46083.5625</v>
      </c>
      <c r="E333" s="30">
        <v>0.5</v>
      </c>
      <c r="F333" s="2"/>
      <c r="G333" s="3" t="s">
        <v>7962</v>
      </c>
      <c r="H333" s="3" t="s">
        <v>7146</v>
      </c>
      <c r="I333" s="3" t="s">
        <v>7338</v>
      </c>
      <c r="J333" s="3" t="s">
        <v>7288</v>
      </c>
      <c r="K333" s="3" t="s">
        <v>7149</v>
      </c>
      <c r="L333" s="19">
        <v>3.0</v>
      </c>
      <c r="M333" s="3" t="s">
        <v>7788</v>
      </c>
      <c r="N333" s="3" t="s">
        <v>7788</v>
      </c>
      <c r="O333" s="3" t="s">
        <v>7326</v>
      </c>
      <c r="P333" s="19">
        <v>1.0</v>
      </c>
      <c r="Q333" s="19">
        <v>0.0</v>
      </c>
      <c r="R333" s="19">
        <v>0.0</v>
      </c>
      <c r="S333" s="19">
        <v>2.0</v>
      </c>
      <c r="T333" s="3" t="s">
        <v>131</v>
      </c>
      <c r="U333" s="3" t="s">
        <v>132</v>
      </c>
    </row>
    <row r="334">
      <c r="A334" s="3" t="s">
        <v>7963</v>
      </c>
      <c r="B334" s="3" t="s">
        <v>7234</v>
      </c>
      <c r="C334" s="29">
        <v>46083.58333333333</v>
      </c>
      <c r="D334" s="29">
        <v>46083.60416666667</v>
      </c>
      <c r="E334" s="30">
        <v>0.5</v>
      </c>
      <c r="F334" s="2"/>
      <c r="G334" s="2"/>
      <c r="H334" s="3" t="s">
        <v>7146</v>
      </c>
      <c r="I334" s="3" t="s">
        <v>7147</v>
      </c>
      <c r="J334" s="3" t="s">
        <v>7156</v>
      </c>
      <c r="K334" s="3" t="s">
        <v>7149</v>
      </c>
      <c r="L334" s="19">
        <v>4.0</v>
      </c>
      <c r="M334" s="3" t="s">
        <v>7235</v>
      </c>
      <c r="N334" s="3" t="s">
        <v>7235</v>
      </c>
      <c r="O334" s="3" t="s">
        <v>7964</v>
      </c>
      <c r="P334" s="19">
        <v>0.0</v>
      </c>
      <c r="Q334" s="19">
        <v>1.0</v>
      </c>
      <c r="R334" s="19">
        <v>0.0</v>
      </c>
      <c r="S334" s="19">
        <v>3.0</v>
      </c>
      <c r="T334" s="3" t="s">
        <v>166</v>
      </c>
      <c r="U334" s="3" t="s">
        <v>167</v>
      </c>
    </row>
    <row r="335">
      <c r="A335" s="3" t="s">
        <v>7896</v>
      </c>
      <c r="B335" s="3" t="s">
        <v>7463</v>
      </c>
      <c r="C335" s="29">
        <v>46083.60416666667</v>
      </c>
      <c r="D335" s="29">
        <v>46083.625</v>
      </c>
      <c r="E335" s="30">
        <v>0.5</v>
      </c>
      <c r="F335" s="2"/>
      <c r="G335" s="3" t="s">
        <v>7541</v>
      </c>
      <c r="H335" s="3" t="s">
        <v>7146</v>
      </c>
      <c r="I335" s="3" t="s">
        <v>7338</v>
      </c>
      <c r="J335" s="3" t="s">
        <v>7288</v>
      </c>
      <c r="K335" s="3" t="s">
        <v>7149</v>
      </c>
      <c r="L335" s="19">
        <v>1.0</v>
      </c>
      <c r="M335" s="3" t="s">
        <v>7897</v>
      </c>
      <c r="N335" s="3" t="s">
        <v>7897</v>
      </c>
      <c r="O335" s="3" t="s">
        <v>7161</v>
      </c>
      <c r="P335" s="19">
        <v>1.0</v>
      </c>
      <c r="Q335" s="19">
        <v>0.0</v>
      </c>
      <c r="R335" s="19">
        <v>0.0</v>
      </c>
      <c r="S335" s="19">
        <v>0.0</v>
      </c>
      <c r="T335" s="3" t="s">
        <v>101</v>
      </c>
      <c r="U335" s="3" t="s">
        <v>511</v>
      </c>
    </row>
    <row r="336">
      <c r="A336" s="3" t="s">
        <v>7904</v>
      </c>
      <c r="B336" s="3" t="s">
        <v>7183</v>
      </c>
      <c r="C336" s="29">
        <v>46084.5</v>
      </c>
      <c r="D336" s="29">
        <v>46084.52083333333</v>
      </c>
      <c r="E336" s="30">
        <v>0.5</v>
      </c>
      <c r="F336" s="2"/>
      <c r="G336" s="3" t="s">
        <v>7692</v>
      </c>
      <c r="H336" s="3" t="s">
        <v>7146</v>
      </c>
      <c r="I336" s="3" t="s">
        <v>7161</v>
      </c>
      <c r="J336" s="3" t="s">
        <v>7156</v>
      </c>
      <c r="K336" s="3" t="s">
        <v>7149</v>
      </c>
      <c r="L336" s="19">
        <v>2.0</v>
      </c>
      <c r="M336" s="3" t="s">
        <v>7905</v>
      </c>
      <c r="N336" s="3" t="s">
        <v>7906</v>
      </c>
      <c r="O336" s="3" t="s">
        <v>7944</v>
      </c>
      <c r="P336" s="19">
        <v>1.0</v>
      </c>
      <c r="Q336" s="19">
        <v>0.0</v>
      </c>
      <c r="R336" s="19">
        <v>1.0</v>
      </c>
      <c r="S336" s="19">
        <v>0.0</v>
      </c>
      <c r="T336" s="3" t="s">
        <v>184</v>
      </c>
      <c r="U336" s="3" t="s">
        <v>478</v>
      </c>
    </row>
    <row r="337">
      <c r="A337" s="3" t="s">
        <v>7748</v>
      </c>
      <c r="B337" s="3" t="s">
        <v>7211</v>
      </c>
      <c r="C337" s="29">
        <v>46084.54166666667</v>
      </c>
      <c r="D337" s="29">
        <v>46084.5625</v>
      </c>
      <c r="E337" s="30">
        <v>0.5</v>
      </c>
      <c r="F337" s="2"/>
      <c r="G337" s="3" t="s">
        <v>7212</v>
      </c>
      <c r="H337" s="3" t="s">
        <v>7146</v>
      </c>
      <c r="I337" s="3" t="s">
        <v>7161</v>
      </c>
      <c r="J337" s="3" t="s">
        <v>7156</v>
      </c>
      <c r="K337" s="3" t="s">
        <v>7149</v>
      </c>
      <c r="L337" s="19">
        <v>4.0</v>
      </c>
      <c r="M337" s="3" t="s">
        <v>7213</v>
      </c>
      <c r="N337" s="3" t="s">
        <v>7213</v>
      </c>
      <c r="O337" s="3" t="s">
        <v>7965</v>
      </c>
      <c r="P337" s="19">
        <v>2.0</v>
      </c>
      <c r="Q337" s="19">
        <v>1.0</v>
      </c>
      <c r="R337" s="19">
        <v>0.0</v>
      </c>
      <c r="S337" s="19">
        <v>1.0</v>
      </c>
      <c r="T337" s="3" t="s">
        <v>175</v>
      </c>
      <c r="U337" s="3" t="s">
        <v>422</v>
      </c>
    </row>
    <row r="338">
      <c r="A338" s="3" t="s">
        <v>7901</v>
      </c>
      <c r="B338" s="3" t="s">
        <v>7689</v>
      </c>
      <c r="C338" s="29">
        <v>46084.5625</v>
      </c>
      <c r="D338" s="29">
        <v>46084.58333333333</v>
      </c>
      <c r="E338" s="30">
        <v>0.5</v>
      </c>
      <c r="F338" s="2"/>
      <c r="G338" s="2"/>
      <c r="H338" s="3" t="s">
        <v>7146</v>
      </c>
      <c r="I338" s="3" t="s">
        <v>7338</v>
      </c>
      <c r="J338" s="3" t="s">
        <v>7288</v>
      </c>
      <c r="K338" s="3" t="s">
        <v>7149</v>
      </c>
      <c r="L338" s="19">
        <v>1.0</v>
      </c>
      <c r="M338" s="3" t="s">
        <v>7902</v>
      </c>
      <c r="N338" s="3" t="s">
        <v>7902</v>
      </c>
      <c r="O338" s="3" t="s">
        <v>7161</v>
      </c>
      <c r="P338" s="19">
        <v>1.0</v>
      </c>
      <c r="Q338" s="19">
        <v>0.0</v>
      </c>
      <c r="R338" s="19">
        <v>0.0</v>
      </c>
      <c r="S338" s="19">
        <v>0.0</v>
      </c>
      <c r="T338" s="3" t="s">
        <v>142</v>
      </c>
      <c r="U338" s="3" t="s">
        <v>143</v>
      </c>
    </row>
    <row r="339">
      <c r="A339" s="3" t="s">
        <v>7754</v>
      </c>
      <c r="B339" s="3" t="s">
        <v>7755</v>
      </c>
      <c r="C339" s="29">
        <v>46084.58333333333</v>
      </c>
      <c r="D339" s="29">
        <v>46084.60416666667</v>
      </c>
      <c r="E339" s="30">
        <v>0.5</v>
      </c>
      <c r="F339" s="2"/>
      <c r="G339" s="3" t="s">
        <v>7756</v>
      </c>
      <c r="H339" s="3" t="s">
        <v>7146</v>
      </c>
      <c r="I339" s="3" t="s">
        <v>7161</v>
      </c>
      <c r="J339" s="3" t="s">
        <v>7156</v>
      </c>
      <c r="K339" s="3" t="s">
        <v>7149</v>
      </c>
      <c r="L339" s="19">
        <v>7.0</v>
      </c>
      <c r="M339" s="3" t="s">
        <v>7757</v>
      </c>
      <c r="N339" s="3" t="s">
        <v>7758</v>
      </c>
      <c r="O339" s="3" t="s">
        <v>7759</v>
      </c>
      <c r="P339" s="19">
        <v>0.0</v>
      </c>
      <c r="Q339" s="19">
        <v>1.0</v>
      </c>
      <c r="R339" s="19">
        <v>1.0</v>
      </c>
      <c r="S339" s="19">
        <v>5.0</v>
      </c>
      <c r="T339" s="3" t="s">
        <v>110</v>
      </c>
      <c r="U339" s="3" t="s">
        <v>111</v>
      </c>
    </row>
    <row r="340">
      <c r="A340" s="3" t="s">
        <v>7966</v>
      </c>
      <c r="B340" s="3" t="s">
        <v>7967</v>
      </c>
      <c r="C340" s="29">
        <v>46084.64583333333</v>
      </c>
      <c r="D340" s="29">
        <v>46084.66666666667</v>
      </c>
      <c r="E340" s="30">
        <v>0.5</v>
      </c>
      <c r="F340" s="2"/>
      <c r="G340" s="3" t="s">
        <v>7968</v>
      </c>
      <c r="H340" s="3" t="s">
        <v>7146</v>
      </c>
      <c r="I340" s="3" t="s">
        <v>7338</v>
      </c>
      <c r="J340" s="3" t="s">
        <v>7288</v>
      </c>
      <c r="K340" s="3" t="s">
        <v>7149</v>
      </c>
      <c r="L340" s="19">
        <v>4.0</v>
      </c>
      <c r="M340" s="3" t="s">
        <v>7707</v>
      </c>
      <c r="N340" s="3" t="s">
        <v>7707</v>
      </c>
      <c r="O340" s="3" t="s">
        <v>7236</v>
      </c>
      <c r="P340" s="19">
        <v>1.0</v>
      </c>
      <c r="Q340" s="19">
        <v>0.0</v>
      </c>
      <c r="R340" s="19">
        <v>0.0</v>
      </c>
      <c r="S340" s="19">
        <v>3.0</v>
      </c>
      <c r="T340" s="3" t="s">
        <v>6450</v>
      </c>
      <c r="U340" s="3" t="s">
        <v>552</v>
      </c>
    </row>
    <row r="341">
      <c r="A341" s="3" t="s">
        <v>7912</v>
      </c>
      <c r="B341" s="3" t="s">
        <v>7696</v>
      </c>
      <c r="C341" s="29">
        <v>46085.41666666667</v>
      </c>
      <c r="D341" s="29">
        <v>46085.4375</v>
      </c>
      <c r="E341" s="30">
        <v>0.5</v>
      </c>
      <c r="F341" s="2"/>
      <c r="G341" s="2"/>
      <c r="H341" s="3" t="s">
        <v>7146</v>
      </c>
      <c r="I341" s="3" t="s">
        <v>7161</v>
      </c>
      <c r="J341" s="3" t="s">
        <v>7274</v>
      </c>
      <c r="K341" s="3" t="s">
        <v>7149</v>
      </c>
      <c r="L341" s="19">
        <v>1.0</v>
      </c>
      <c r="M341" s="3" t="s">
        <v>7288</v>
      </c>
      <c r="N341" s="3" t="s">
        <v>7288</v>
      </c>
      <c r="O341" s="3" t="s">
        <v>7161</v>
      </c>
      <c r="P341" s="19">
        <v>1.0</v>
      </c>
      <c r="Q341" s="19">
        <v>0.0</v>
      </c>
      <c r="R341" s="19">
        <v>0.0</v>
      </c>
      <c r="S341" s="19">
        <v>0.0</v>
      </c>
      <c r="T341" s="2"/>
      <c r="U341" s="2"/>
    </row>
    <row r="342">
      <c r="A342" s="3" t="s">
        <v>7791</v>
      </c>
      <c r="B342" s="3" t="s">
        <v>7266</v>
      </c>
      <c r="C342" s="29">
        <v>46086.33333333333</v>
      </c>
      <c r="D342" s="29">
        <v>46086.35416666667</v>
      </c>
      <c r="E342" s="30">
        <v>0.5</v>
      </c>
      <c r="F342" s="2"/>
      <c r="G342" s="2"/>
      <c r="H342" s="3" t="s">
        <v>7146</v>
      </c>
      <c r="I342" s="3" t="s">
        <v>7161</v>
      </c>
      <c r="J342" s="3" t="s">
        <v>7156</v>
      </c>
      <c r="K342" s="3" t="s">
        <v>7149</v>
      </c>
      <c r="L342" s="19">
        <v>4.0</v>
      </c>
      <c r="M342" s="3" t="s">
        <v>7267</v>
      </c>
      <c r="N342" s="3" t="s">
        <v>7267</v>
      </c>
      <c r="O342" s="3" t="s">
        <v>7792</v>
      </c>
      <c r="P342" s="19">
        <v>1.0</v>
      </c>
      <c r="Q342" s="19">
        <v>1.0</v>
      </c>
      <c r="R342" s="19">
        <v>0.0</v>
      </c>
      <c r="S342" s="19">
        <v>2.0</v>
      </c>
      <c r="T342" s="3" t="s">
        <v>6752</v>
      </c>
      <c r="U342" s="3" t="s">
        <v>319</v>
      </c>
    </row>
    <row r="343">
      <c r="A343" s="3" t="s">
        <v>7794</v>
      </c>
      <c r="B343" s="3" t="s">
        <v>7795</v>
      </c>
      <c r="C343" s="29">
        <v>46086.39583333333</v>
      </c>
      <c r="D343" s="29">
        <v>46086.41666666667</v>
      </c>
      <c r="E343" s="30">
        <v>0.5</v>
      </c>
      <c r="F343" s="2"/>
      <c r="G343" s="2"/>
      <c r="H343" s="3" t="s">
        <v>7146</v>
      </c>
      <c r="I343" s="3" t="s">
        <v>7161</v>
      </c>
      <c r="J343" s="3" t="s">
        <v>7168</v>
      </c>
      <c r="K343" s="3" t="s">
        <v>7149</v>
      </c>
      <c r="L343" s="19">
        <v>6.0</v>
      </c>
      <c r="M343" s="3" t="s">
        <v>7196</v>
      </c>
      <c r="N343" s="3" t="s">
        <v>7196</v>
      </c>
      <c r="O343" s="3" t="s">
        <v>7197</v>
      </c>
      <c r="P343" s="19">
        <v>4.0</v>
      </c>
      <c r="Q343" s="19">
        <v>0.0</v>
      </c>
      <c r="R343" s="19">
        <v>0.0</v>
      </c>
      <c r="S343" s="19">
        <v>2.0</v>
      </c>
      <c r="T343" s="3" t="s">
        <v>178</v>
      </c>
      <c r="U343" s="3" t="s">
        <v>179</v>
      </c>
    </row>
    <row r="344">
      <c r="A344" s="3" t="s">
        <v>7969</v>
      </c>
      <c r="B344" s="3" t="s">
        <v>7262</v>
      </c>
      <c r="C344" s="29">
        <v>46086.4375</v>
      </c>
      <c r="D344" s="29">
        <v>46086.45833333333</v>
      </c>
      <c r="E344" s="30">
        <v>0.5</v>
      </c>
      <c r="F344" s="2"/>
      <c r="G344" s="2"/>
      <c r="H344" s="3" t="s">
        <v>7146</v>
      </c>
      <c r="I344" s="3" t="s">
        <v>7161</v>
      </c>
      <c r="J344" s="3" t="s">
        <v>7156</v>
      </c>
      <c r="K344" s="3" t="s">
        <v>7149</v>
      </c>
      <c r="L344" s="19">
        <v>2.0</v>
      </c>
      <c r="M344" s="3" t="s">
        <v>7263</v>
      </c>
      <c r="N344" s="3" t="s">
        <v>7263</v>
      </c>
      <c r="O344" s="3" t="s">
        <v>7218</v>
      </c>
      <c r="P344" s="19">
        <v>2.0</v>
      </c>
      <c r="Q344" s="19">
        <v>0.0</v>
      </c>
      <c r="R344" s="19">
        <v>0.0</v>
      </c>
      <c r="S344" s="19">
        <v>0.0</v>
      </c>
      <c r="T344" s="3" t="s">
        <v>128</v>
      </c>
      <c r="U344" s="3" t="s">
        <v>301</v>
      </c>
    </row>
    <row r="345">
      <c r="A345" s="3" t="s">
        <v>7659</v>
      </c>
      <c r="B345" s="3" t="s">
        <v>7420</v>
      </c>
      <c r="C345" s="29">
        <v>46086.47916666667</v>
      </c>
      <c r="D345" s="29">
        <v>46086.5</v>
      </c>
      <c r="E345" s="30">
        <v>0.5</v>
      </c>
      <c r="F345" s="2"/>
      <c r="G345" s="2"/>
      <c r="H345" s="3" t="s">
        <v>7146</v>
      </c>
      <c r="I345" s="3" t="s">
        <v>7161</v>
      </c>
      <c r="J345" s="3" t="s">
        <v>7156</v>
      </c>
      <c r="K345" s="3" t="s">
        <v>7149</v>
      </c>
      <c r="L345" s="19">
        <v>5.0</v>
      </c>
      <c r="M345" s="3" t="s">
        <v>7571</v>
      </c>
      <c r="N345" s="3" t="s">
        <v>7571</v>
      </c>
      <c r="O345" s="3" t="s">
        <v>7970</v>
      </c>
      <c r="P345" s="19">
        <v>3.0</v>
      </c>
      <c r="Q345" s="19">
        <v>1.0</v>
      </c>
      <c r="R345" s="19">
        <v>0.0</v>
      </c>
      <c r="S345" s="19">
        <v>1.0</v>
      </c>
      <c r="T345" s="3" t="s">
        <v>125</v>
      </c>
      <c r="U345" s="3" t="s">
        <v>126</v>
      </c>
    </row>
    <row r="346">
      <c r="A346" s="3" t="s">
        <v>7804</v>
      </c>
      <c r="B346" s="3" t="s">
        <v>7805</v>
      </c>
      <c r="C346" s="29">
        <v>46086.5</v>
      </c>
      <c r="D346" s="29">
        <v>46086.52083333333</v>
      </c>
      <c r="E346" s="30">
        <v>0.5</v>
      </c>
      <c r="F346" s="2"/>
      <c r="G346" s="2"/>
      <c r="H346" s="3" t="s">
        <v>7146</v>
      </c>
      <c r="I346" s="3" t="s">
        <v>7338</v>
      </c>
      <c r="J346" s="3" t="s">
        <v>7288</v>
      </c>
      <c r="K346" s="3" t="s">
        <v>7149</v>
      </c>
      <c r="L346" s="19">
        <v>1.0</v>
      </c>
      <c r="M346" s="3" t="s">
        <v>7806</v>
      </c>
      <c r="N346" s="3" t="s">
        <v>7806</v>
      </c>
      <c r="O346" s="3" t="s">
        <v>7161</v>
      </c>
      <c r="P346" s="19">
        <v>1.0</v>
      </c>
      <c r="Q346" s="19">
        <v>0.0</v>
      </c>
      <c r="R346" s="19">
        <v>0.0</v>
      </c>
      <c r="S346" s="19">
        <v>0.0</v>
      </c>
      <c r="T346" s="3" t="s">
        <v>157</v>
      </c>
      <c r="U346" s="3" t="s">
        <v>158</v>
      </c>
    </row>
    <row r="347">
      <c r="A347" s="3" t="s">
        <v>7812</v>
      </c>
      <c r="B347" s="3" t="s">
        <v>7813</v>
      </c>
      <c r="C347" s="29">
        <v>46086.5625</v>
      </c>
      <c r="D347" s="29">
        <v>46086.58333333333</v>
      </c>
      <c r="E347" s="30">
        <v>0.5</v>
      </c>
      <c r="F347" s="2"/>
      <c r="G347" s="3" t="s">
        <v>7814</v>
      </c>
      <c r="H347" s="3" t="s">
        <v>7146</v>
      </c>
      <c r="I347" s="3" t="s">
        <v>7338</v>
      </c>
      <c r="J347" s="3" t="s">
        <v>7288</v>
      </c>
      <c r="K347" s="3" t="s">
        <v>7149</v>
      </c>
      <c r="L347" s="19">
        <v>3.0</v>
      </c>
      <c r="M347" s="3" t="s">
        <v>7815</v>
      </c>
      <c r="N347" s="3" t="s">
        <v>7815</v>
      </c>
      <c r="O347" s="3" t="s">
        <v>7601</v>
      </c>
      <c r="P347" s="19">
        <v>1.0</v>
      </c>
      <c r="Q347" s="19">
        <v>0.0</v>
      </c>
      <c r="R347" s="19">
        <v>0.0</v>
      </c>
      <c r="S347" s="19">
        <v>2.0</v>
      </c>
      <c r="T347" s="3" t="s">
        <v>190</v>
      </c>
      <c r="U347" s="3" t="s">
        <v>191</v>
      </c>
    </row>
    <row r="348">
      <c r="A348" s="3" t="s">
        <v>7971</v>
      </c>
      <c r="B348" s="3" t="s">
        <v>7178</v>
      </c>
      <c r="C348" s="29">
        <v>46087.39583333333</v>
      </c>
      <c r="D348" s="29">
        <v>46087.41666666667</v>
      </c>
      <c r="E348" s="30">
        <v>0.5</v>
      </c>
      <c r="G348" s="25" t="s">
        <v>7972</v>
      </c>
      <c r="H348" s="3" t="s">
        <v>7146</v>
      </c>
      <c r="I348" s="3" t="s">
        <v>7161</v>
      </c>
      <c r="J348" s="3" t="s">
        <v>7156</v>
      </c>
      <c r="K348" s="3" t="s">
        <v>7149</v>
      </c>
      <c r="L348" s="19">
        <v>3.0</v>
      </c>
      <c r="M348" s="3" t="s">
        <v>7973</v>
      </c>
      <c r="N348" s="3" t="s">
        <v>7973</v>
      </c>
      <c r="O348" s="3" t="s">
        <v>7231</v>
      </c>
      <c r="P348" s="19">
        <v>2.0</v>
      </c>
      <c r="Q348" s="19">
        <v>1.0</v>
      </c>
      <c r="R348" s="19">
        <v>0.0</v>
      </c>
      <c r="S348" s="19">
        <v>0.0</v>
      </c>
      <c r="T348" s="3" t="s">
        <v>169</v>
      </c>
      <c r="U348" s="3" t="s">
        <v>170</v>
      </c>
    </row>
    <row r="349">
      <c r="A349" s="3" t="s">
        <v>7825</v>
      </c>
      <c r="B349" s="3" t="s">
        <v>7471</v>
      </c>
      <c r="C349" s="29">
        <v>46087.41666666667</v>
      </c>
      <c r="D349" s="29">
        <v>46087.4375</v>
      </c>
      <c r="E349" s="30">
        <v>0.5</v>
      </c>
      <c r="F349" s="2"/>
      <c r="G349" s="2"/>
      <c r="H349" s="3" t="s">
        <v>7146</v>
      </c>
      <c r="I349" s="3" t="s">
        <v>7161</v>
      </c>
      <c r="J349" s="3" t="s">
        <v>7156</v>
      </c>
      <c r="K349" s="3" t="s">
        <v>7149</v>
      </c>
      <c r="L349" s="19">
        <v>5.0</v>
      </c>
      <c r="M349" s="3" t="s">
        <v>7826</v>
      </c>
      <c r="N349" s="3" t="s">
        <v>7826</v>
      </c>
      <c r="O349" s="3" t="s">
        <v>7974</v>
      </c>
      <c r="P349" s="19">
        <v>2.0</v>
      </c>
      <c r="Q349" s="19">
        <v>0.0</v>
      </c>
      <c r="R349" s="19">
        <v>0.0</v>
      </c>
      <c r="S349" s="19">
        <v>3.0</v>
      </c>
      <c r="T349" s="3" t="s">
        <v>199</v>
      </c>
      <c r="U349" s="3" t="s">
        <v>272</v>
      </c>
    </row>
    <row r="350">
      <c r="A350" s="3" t="s">
        <v>7679</v>
      </c>
      <c r="B350" s="3" t="s">
        <v>7546</v>
      </c>
      <c r="C350" s="29">
        <v>46087.47916666667</v>
      </c>
      <c r="D350" s="29">
        <v>46087.52083333333</v>
      </c>
      <c r="E350" s="30">
        <v>1.0</v>
      </c>
      <c r="F350" s="2"/>
      <c r="G350" s="2"/>
      <c r="H350" s="3" t="s">
        <v>7146</v>
      </c>
      <c r="I350" s="3" t="s">
        <v>7338</v>
      </c>
      <c r="J350" s="3" t="s">
        <v>7288</v>
      </c>
      <c r="K350" s="3" t="s">
        <v>7149</v>
      </c>
      <c r="L350" s="19">
        <v>1.0</v>
      </c>
      <c r="M350" s="3" t="s">
        <v>7680</v>
      </c>
      <c r="N350" s="3" t="s">
        <v>7680</v>
      </c>
      <c r="O350" s="3" t="s">
        <v>7161</v>
      </c>
      <c r="P350" s="19">
        <v>1.0</v>
      </c>
      <c r="Q350" s="19">
        <v>0.0</v>
      </c>
      <c r="R350" s="19">
        <v>0.0</v>
      </c>
      <c r="S350" s="19">
        <v>0.0</v>
      </c>
      <c r="T350" s="3" t="s">
        <v>119</v>
      </c>
      <c r="U350" s="3" t="s">
        <v>251</v>
      </c>
    </row>
    <row r="351">
      <c r="A351" s="3" t="s">
        <v>7975</v>
      </c>
      <c r="B351" s="3" t="s">
        <v>7167</v>
      </c>
      <c r="C351" s="29">
        <v>46087.54166666667</v>
      </c>
      <c r="D351" s="29">
        <v>46087.5625</v>
      </c>
      <c r="E351" s="30">
        <v>0.5</v>
      </c>
      <c r="F351" s="2"/>
      <c r="G351" s="2"/>
      <c r="H351" s="3" t="s">
        <v>7146</v>
      </c>
      <c r="I351" s="3" t="s">
        <v>7338</v>
      </c>
      <c r="J351" s="3" t="s">
        <v>7288</v>
      </c>
      <c r="K351" s="3" t="s">
        <v>7149</v>
      </c>
      <c r="L351" s="19">
        <v>4.0</v>
      </c>
      <c r="M351" s="3" t="s">
        <v>7169</v>
      </c>
      <c r="N351" s="3" t="s">
        <v>7170</v>
      </c>
      <c r="O351" s="3" t="s">
        <v>7268</v>
      </c>
      <c r="P351" s="19">
        <v>1.0</v>
      </c>
      <c r="Q351" s="19">
        <v>0.0</v>
      </c>
      <c r="R351" s="19">
        <v>0.0</v>
      </c>
      <c r="S351" s="19">
        <v>3.0</v>
      </c>
      <c r="T351" s="3" t="s">
        <v>205</v>
      </c>
      <c r="U351" s="3" t="s">
        <v>206</v>
      </c>
    </row>
    <row r="352">
      <c r="A352" s="3" t="s">
        <v>7976</v>
      </c>
      <c r="B352" s="3" t="s">
        <v>7977</v>
      </c>
      <c r="C352" s="29">
        <v>46090.58333333333</v>
      </c>
      <c r="D352" s="29">
        <v>46090.60416666667</v>
      </c>
      <c r="E352" s="30">
        <v>0.5</v>
      </c>
      <c r="F352" s="2"/>
      <c r="G352" s="2"/>
      <c r="H352" s="3" t="s">
        <v>7146</v>
      </c>
      <c r="I352" s="3" t="s">
        <v>7338</v>
      </c>
      <c r="J352" s="3" t="s">
        <v>7288</v>
      </c>
      <c r="K352" s="3" t="s">
        <v>7149</v>
      </c>
      <c r="L352" s="19">
        <v>3.0</v>
      </c>
      <c r="M352" s="3" t="s">
        <v>7978</v>
      </c>
      <c r="N352" s="3" t="s">
        <v>7978</v>
      </c>
      <c r="O352" s="3" t="s">
        <v>7326</v>
      </c>
      <c r="P352" s="19">
        <v>1.0</v>
      </c>
      <c r="Q352" s="19">
        <v>0.0</v>
      </c>
      <c r="R352" s="19">
        <v>0.0</v>
      </c>
      <c r="S352" s="19">
        <v>2.0</v>
      </c>
      <c r="T352" s="3" t="s">
        <v>98</v>
      </c>
      <c r="U352" s="3" t="s">
        <v>99</v>
      </c>
    </row>
    <row r="353">
      <c r="A353" s="3" t="s">
        <v>7896</v>
      </c>
      <c r="B353" s="3" t="s">
        <v>7463</v>
      </c>
      <c r="C353" s="29">
        <v>46090.60416666667</v>
      </c>
      <c r="D353" s="29">
        <v>46090.625</v>
      </c>
      <c r="E353" s="30">
        <v>0.5</v>
      </c>
      <c r="F353" s="2"/>
      <c r="G353" s="3" t="s">
        <v>7541</v>
      </c>
      <c r="H353" s="3" t="s">
        <v>7146</v>
      </c>
      <c r="I353" s="3" t="s">
        <v>7338</v>
      </c>
      <c r="J353" s="3" t="s">
        <v>7288</v>
      </c>
      <c r="K353" s="3" t="s">
        <v>7149</v>
      </c>
      <c r="L353" s="19">
        <v>1.0</v>
      </c>
      <c r="M353" s="3" t="s">
        <v>7897</v>
      </c>
      <c r="N353" s="3" t="s">
        <v>7897</v>
      </c>
      <c r="O353" s="3" t="s">
        <v>7161</v>
      </c>
      <c r="P353" s="19">
        <v>1.0</v>
      </c>
      <c r="Q353" s="19">
        <v>0.0</v>
      </c>
      <c r="R353" s="19">
        <v>0.0</v>
      </c>
      <c r="S353" s="19">
        <v>0.0</v>
      </c>
      <c r="T353" s="3" t="s">
        <v>101</v>
      </c>
      <c r="U353" s="3" t="s">
        <v>511</v>
      </c>
    </row>
    <row r="354">
      <c r="A354" s="3" t="s">
        <v>7904</v>
      </c>
      <c r="B354" s="3" t="s">
        <v>7183</v>
      </c>
      <c r="C354" s="29">
        <v>46091.5</v>
      </c>
      <c r="D354" s="29">
        <v>46091.52083333333</v>
      </c>
      <c r="E354" s="30">
        <v>0.5</v>
      </c>
      <c r="F354" s="2"/>
      <c r="G354" s="3" t="s">
        <v>7692</v>
      </c>
      <c r="H354" s="3" t="s">
        <v>7146</v>
      </c>
      <c r="I354" s="3" t="s">
        <v>7161</v>
      </c>
      <c r="J354" s="3" t="s">
        <v>7156</v>
      </c>
      <c r="K354" s="3" t="s">
        <v>7149</v>
      </c>
      <c r="L354" s="19">
        <v>2.0</v>
      </c>
      <c r="M354" s="3" t="s">
        <v>7905</v>
      </c>
      <c r="N354" s="3" t="s">
        <v>7906</v>
      </c>
      <c r="O354" s="3" t="s">
        <v>7944</v>
      </c>
      <c r="P354" s="19">
        <v>1.0</v>
      </c>
      <c r="Q354" s="19">
        <v>0.0</v>
      </c>
      <c r="R354" s="19">
        <v>1.0</v>
      </c>
      <c r="S354" s="19">
        <v>0.0</v>
      </c>
      <c r="T354" s="3" t="s">
        <v>184</v>
      </c>
      <c r="U354" s="3" t="s">
        <v>478</v>
      </c>
    </row>
    <row r="355">
      <c r="A355" s="3" t="s">
        <v>7912</v>
      </c>
      <c r="B355" s="3" t="s">
        <v>7696</v>
      </c>
      <c r="C355" s="29">
        <v>46092.41666666667</v>
      </c>
      <c r="D355" s="29">
        <v>46092.4375</v>
      </c>
      <c r="E355" s="30">
        <v>0.5</v>
      </c>
      <c r="F355" s="2"/>
      <c r="G355" s="2"/>
      <c r="H355" s="3" t="s">
        <v>7146</v>
      </c>
      <c r="I355" s="3" t="s">
        <v>7161</v>
      </c>
      <c r="J355" s="3" t="s">
        <v>7274</v>
      </c>
      <c r="K355" s="3" t="s">
        <v>7149</v>
      </c>
      <c r="L355" s="19">
        <v>1.0</v>
      </c>
      <c r="M355" s="3" t="s">
        <v>7288</v>
      </c>
      <c r="N355" s="3" t="s">
        <v>7288</v>
      </c>
      <c r="O355" s="3" t="s">
        <v>7161</v>
      </c>
      <c r="P355" s="19">
        <v>1.0</v>
      </c>
      <c r="Q355" s="19">
        <v>0.0</v>
      </c>
      <c r="R355" s="19">
        <v>0.0</v>
      </c>
      <c r="S355" s="19">
        <v>0.0</v>
      </c>
      <c r="T355" s="2"/>
      <c r="U355" s="2"/>
    </row>
    <row r="356">
      <c r="A356" s="3" t="s">
        <v>7979</v>
      </c>
      <c r="B356" s="3" t="s">
        <v>7249</v>
      </c>
      <c r="C356" s="29">
        <v>46092.54166666667</v>
      </c>
      <c r="D356" s="29">
        <v>46092.5625</v>
      </c>
      <c r="E356" s="30">
        <v>0.5</v>
      </c>
      <c r="F356" s="2"/>
      <c r="G356" s="2"/>
      <c r="H356" s="3" t="s">
        <v>7146</v>
      </c>
      <c r="I356" s="3" t="s">
        <v>7161</v>
      </c>
      <c r="J356" s="3" t="s">
        <v>7156</v>
      </c>
      <c r="K356" s="3" t="s">
        <v>7149</v>
      </c>
      <c r="L356" s="19">
        <v>2.0</v>
      </c>
      <c r="M356" s="3" t="s">
        <v>7921</v>
      </c>
      <c r="N356" s="3" t="s">
        <v>7921</v>
      </c>
      <c r="O356" s="3" t="s">
        <v>7218</v>
      </c>
      <c r="P356" s="19">
        <v>2.0</v>
      </c>
      <c r="Q356" s="19">
        <v>0.0</v>
      </c>
      <c r="R356" s="19">
        <v>0.0</v>
      </c>
      <c r="S356" s="19">
        <v>0.0</v>
      </c>
      <c r="T356" s="3" t="s">
        <v>187</v>
      </c>
      <c r="U356" s="3" t="s">
        <v>188</v>
      </c>
    </row>
    <row r="357">
      <c r="A357" s="3" t="s">
        <v>7951</v>
      </c>
      <c r="B357" s="3" t="s">
        <v>7160</v>
      </c>
      <c r="C357" s="29">
        <v>46093.4375</v>
      </c>
      <c r="D357" s="29">
        <v>46093.45833333333</v>
      </c>
      <c r="E357" s="30">
        <v>0.5</v>
      </c>
      <c r="F357" s="2"/>
      <c r="G357" s="2"/>
      <c r="H357" s="3" t="s">
        <v>7146</v>
      </c>
      <c r="I357" s="3" t="s">
        <v>7161</v>
      </c>
      <c r="J357" s="3" t="s">
        <v>7156</v>
      </c>
      <c r="K357" s="3" t="s">
        <v>7149</v>
      </c>
      <c r="L357" s="19">
        <v>2.0</v>
      </c>
      <c r="M357" s="3" t="s">
        <v>7952</v>
      </c>
      <c r="N357" s="3" t="s">
        <v>7953</v>
      </c>
      <c r="O357" s="3" t="s">
        <v>7218</v>
      </c>
      <c r="P357" s="19">
        <v>2.0</v>
      </c>
      <c r="Q357" s="19">
        <v>0.0</v>
      </c>
      <c r="R357" s="19">
        <v>0.0</v>
      </c>
      <c r="S357" s="19">
        <v>0.0</v>
      </c>
      <c r="T357" s="3" t="s">
        <v>154</v>
      </c>
      <c r="U357" s="3" t="s">
        <v>329</v>
      </c>
    </row>
    <row r="358">
      <c r="A358" s="3" t="s">
        <v>7954</v>
      </c>
      <c r="B358" s="3" t="s">
        <v>7163</v>
      </c>
      <c r="C358" s="29">
        <v>46093.58333333333</v>
      </c>
      <c r="D358" s="29">
        <v>46093.60416666667</v>
      </c>
      <c r="E358" s="30">
        <v>0.5</v>
      </c>
      <c r="F358" s="2"/>
      <c r="G358" s="2"/>
      <c r="H358" s="3" t="s">
        <v>7146</v>
      </c>
      <c r="I358" s="3" t="s">
        <v>7161</v>
      </c>
      <c r="J358" s="3" t="s">
        <v>7156</v>
      </c>
      <c r="K358" s="3" t="s">
        <v>7149</v>
      </c>
      <c r="L358" s="19">
        <v>5.0</v>
      </c>
      <c r="M358" s="3" t="s">
        <v>7955</v>
      </c>
      <c r="N358" s="3" t="s">
        <v>7955</v>
      </c>
      <c r="O358" s="3" t="s">
        <v>7956</v>
      </c>
      <c r="P358" s="19">
        <v>0.0</v>
      </c>
      <c r="Q358" s="19">
        <v>3.0</v>
      </c>
      <c r="R358" s="19">
        <v>0.0</v>
      </c>
      <c r="S358" s="19">
        <v>2.0</v>
      </c>
      <c r="T358" s="3" t="s">
        <v>151</v>
      </c>
      <c r="U358" s="3" t="s">
        <v>370</v>
      </c>
    </row>
    <row r="359">
      <c r="A359" s="3" t="s">
        <v>7679</v>
      </c>
      <c r="B359" s="3" t="s">
        <v>7546</v>
      </c>
      <c r="C359" s="29">
        <v>46094.47916666667</v>
      </c>
      <c r="D359" s="29">
        <v>46094.52083333333</v>
      </c>
      <c r="E359" s="30">
        <v>1.0</v>
      </c>
      <c r="F359" s="2"/>
      <c r="G359" s="2"/>
      <c r="H359" s="3" t="s">
        <v>7146</v>
      </c>
      <c r="I359" s="3" t="s">
        <v>7338</v>
      </c>
      <c r="J359" s="3" t="s">
        <v>7288</v>
      </c>
      <c r="K359" s="3" t="s">
        <v>7149</v>
      </c>
      <c r="L359" s="19">
        <v>1.0</v>
      </c>
      <c r="M359" s="3" t="s">
        <v>7680</v>
      </c>
      <c r="N359" s="3" t="s">
        <v>7680</v>
      </c>
      <c r="O359" s="3" t="s">
        <v>7161</v>
      </c>
      <c r="P359" s="19">
        <v>1.0</v>
      </c>
      <c r="Q359" s="19">
        <v>0.0</v>
      </c>
      <c r="R359" s="19">
        <v>0.0</v>
      </c>
      <c r="S359" s="19">
        <v>0.0</v>
      </c>
      <c r="T359" s="3" t="s">
        <v>119</v>
      </c>
      <c r="U359" s="3" t="s">
        <v>251</v>
      </c>
    </row>
    <row r="360">
      <c r="A360" s="3" t="s">
        <v>7960</v>
      </c>
      <c r="B360" s="3" t="s">
        <v>7961</v>
      </c>
      <c r="C360" s="29">
        <v>46097.54166666667</v>
      </c>
      <c r="D360" s="29">
        <v>46097.5625</v>
      </c>
      <c r="E360" s="30">
        <v>0.5</v>
      </c>
      <c r="F360" s="2"/>
      <c r="G360" s="3" t="s">
        <v>7962</v>
      </c>
      <c r="H360" s="3" t="s">
        <v>7146</v>
      </c>
      <c r="I360" s="3" t="s">
        <v>7338</v>
      </c>
      <c r="J360" s="3" t="s">
        <v>7288</v>
      </c>
      <c r="K360" s="3" t="s">
        <v>7149</v>
      </c>
      <c r="L360" s="19">
        <v>3.0</v>
      </c>
      <c r="M360" s="3" t="s">
        <v>7788</v>
      </c>
      <c r="N360" s="3" t="s">
        <v>7788</v>
      </c>
      <c r="O360" s="3" t="s">
        <v>7326</v>
      </c>
      <c r="P360" s="19">
        <v>1.0</v>
      </c>
      <c r="Q360" s="19">
        <v>0.0</v>
      </c>
      <c r="R360" s="19">
        <v>0.0</v>
      </c>
      <c r="S360" s="19">
        <v>2.0</v>
      </c>
      <c r="T360" s="3" t="s">
        <v>131</v>
      </c>
      <c r="U360" s="3" t="s">
        <v>132</v>
      </c>
    </row>
    <row r="361">
      <c r="A361" s="3" t="s">
        <v>7963</v>
      </c>
      <c r="B361" s="3" t="s">
        <v>7234</v>
      </c>
      <c r="C361" s="29">
        <v>46097.58333333333</v>
      </c>
      <c r="D361" s="29">
        <v>46097.60416666667</v>
      </c>
      <c r="E361" s="30">
        <v>0.5</v>
      </c>
      <c r="F361" s="2"/>
      <c r="G361" s="2"/>
      <c r="H361" s="3" t="s">
        <v>7146</v>
      </c>
      <c r="I361" s="3" t="s">
        <v>7147</v>
      </c>
      <c r="J361" s="3" t="s">
        <v>7156</v>
      </c>
      <c r="K361" s="3" t="s">
        <v>7149</v>
      </c>
      <c r="L361" s="19">
        <v>4.0</v>
      </c>
      <c r="M361" s="3" t="s">
        <v>7235</v>
      </c>
      <c r="N361" s="3" t="s">
        <v>7235</v>
      </c>
      <c r="O361" s="3" t="s">
        <v>7964</v>
      </c>
      <c r="P361" s="19">
        <v>0.0</v>
      </c>
      <c r="Q361" s="19">
        <v>1.0</v>
      </c>
      <c r="R361" s="19">
        <v>0.0</v>
      </c>
      <c r="S361" s="19">
        <v>3.0</v>
      </c>
      <c r="T361" s="3" t="s">
        <v>166</v>
      </c>
      <c r="U361" s="3" t="s">
        <v>167</v>
      </c>
    </row>
    <row r="362">
      <c r="A362" s="3" t="s">
        <v>7896</v>
      </c>
      <c r="B362" s="3" t="s">
        <v>7463</v>
      </c>
      <c r="C362" s="29">
        <v>46097.60416666667</v>
      </c>
      <c r="D362" s="29">
        <v>46097.625</v>
      </c>
      <c r="E362" s="30">
        <v>0.5</v>
      </c>
      <c r="F362" s="2"/>
      <c r="G362" s="3" t="s">
        <v>7541</v>
      </c>
      <c r="H362" s="3" t="s">
        <v>7146</v>
      </c>
      <c r="I362" s="3" t="s">
        <v>7338</v>
      </c>
      <c r="J362" s="3" t="s">
        <v>7288</v>
      </c>
      <c r="K362" s="3" t="s">
        <v>7149</v>
      </c>
      <c r="L362" s="19">
        <v>1.0</v>
      </c>
      <c r="M362" s="3" t="s">
        <v>7897</v>
      </c>
      <c r="N362" s="3" t="s">
        <v>7897</v>
      </c>
      <c r="O362" s="3" t="s">
        <v>7161</v>
      </c>
      <c r="P362" s="19">
        <v>1.0</v>
      </c>
      <c r="Q362" s="19">
        <v>0.0</v>
      </c>
      <c r="R362" s="19">
        <v>0.0</v>
      </c>
      <c r="S362" s="19">
        <v>0.0</v>
      </c>
      <c r="T362" s="3" t="s">
        <v>101</v>
      </c>
      <c r="U362" s="3" t="s">
        <v>511</v>
      </c>
    </row>
    <row r="363">
      <c r="A363" s="3" t="s">
        <v>7904</v>
      </c>
      <c r="B363" s="3" t="s">
        <v>7183</v>
      </c>
      <c r="C363" s="29">
        <v>46098.5</v>
      </c>
      <c r="D363" s="29">
        <v>46098.52083333333</v>
      </c>
      <c r="E363" s="30">
        <v>0.5</v>
      </c>
      <c r="G363" s="3" t="s">
        <v>7692</v>
      </c>
      <c r="H363" s="3" t="s">
        <v>7146</v>
      </c>
      <c r="I363" s="3" t="s">
        <v>7161</v>
      </c>
      <c r="J363" s="3" t="s">
        <v>7156</v>
      </c>
      <c r="K363" s="3" t="s">
        <v>7149</v>
      </c>
      <c r="L363" s="19">
        <v>2.0</v>
      </c>
      <c r="M363" s="3" t="s">
        <v>7905</v>
      </c>
      <c r="N363" s="3" t="s">
        <v>7906</v>
      </c>
      <c r="O363" s="3" t="s">
        <v>7944</v>
      </c>
      <c r="P363" s="19">
        <v>1.0</v>
      </c>
      <c r="Q363" s="19">
        <v>0.0</v>
      </c>
      <c r="R363" s="19">
        <v>1.0</v>
      </c>
      <c r="S363" s="19">
        <v>0.0</v>
      </c>
      <c r="T363" s="3" t="s">
        <v>184</v>
      </c>
      <c r="U363" s="3" t="s">
        <v>478</v>
      </c>
    </row>
    <row r="364">
      <c r="A364" s="3" t="s">
        <v>7901</v>
      </c>
      <c r="B364" s="3" t="s">
        <v>7689</v>
      </c>
      <c r="C364" s="29">
        <v>46098.5625</v>
      </c>
      <c r="D364" s="29">
        <v>46098.58333333333</v>
      </c>
      <c r="E364" s="30">
        <v>0.5</v>
      </c>
      <c r="F364" s="2"/>
      <c r="G364" s="2"/>
      <c r="H364" s="3" t="s">
        <v>7146</v>
      </c>
      <c r="I364" s="3" t="s">
        <v>7338</v>
      </c>
      <c r="J364" s="3" t="s">
        <v>7288</v>
      </c>
      <c r="K364" s="3" t="s">
        <v>7149</v>
      </c>
      <c r="L364" s="19">
        <v>1.0</v>
      </c>
      <c r="M364" s="3" t="s">
        <v>7902</v>
      </c>
      <c r="N364" s="3" t="s">
        <v>7902</v>
      </c>
      <c r="O364" s="3" t="s">
        <v>7161</v>
      </c>
      <c r="P364" s="19">
        <v>1.0</v>
      </c>
      <c r="Q364" s="19">
        <v>0.0</v>
      </c>
      <c r="R364" s="19">
        <v>0.0</v>
      </c>
      <c r="S364" s="19">
        <v>0.0</v>
      </c>
      <c r="T364" s="3" t="s">
        <v>142</v>
      </c>
      <c r="U364" s="3" t="s">
        <v>143</v>
      </c>
    </row>
    <row r="365">
      <c r="A365" s="3" t="s">
        <v>7912</v>
      </c>
      <c r="B365" s="3" t="s">
        <v>7696</v>
      </c>
      <c r="C365" s="29">
        <v>46099.41666666667</v>
      </c>
      <c r="D365" s="29">
        <v>46099.4375</v>
      </c>
      <c r="E365" s="30">
        <v>0.5</v>
      </c>
      <c r="F365" s="2"/>
      <c r="G365" s="2"/>
      <c r="H365" s="3" t="s">
        <v>7146</v>
      </c>
      <c r="I365" s="3" t="s">
        <v>7161</v>
      </c>
      <c r="J365" s="3" t="s">
        <v>7274</v>
      </c>
      <c r="K365" s="3" t="s">
        <v>7149</v>
      </c>
      <c r="L365" s="19">
        <v>1.0</v>
      </c>
      <c r="M365" s="3" t="s">
        <v>7288</v>
      </c>
      <c r="N365" s="3" t="s">
        <v>7288</v>
      </c>
      <c r="O365" s="3" t="s">
        <v>7161</v>
      </c>
      <c r="P365" s="19">
        <v>1.0</v>
      </c>
      <c r="Q365" s="19">
        <v>0.0</v>
      </c>
      <c r="R365" s="19">
        <v>0.0</v>
      </c>
      <c r="S365" s="19">
        <v>0.0</v>
      </c>
      <c r="T365" s="2"/>
      <c r="U365" s="2"/>
    </row>
    <row r="366">
      <c r="A366" s="3" t="s">
        <v>7804</v>
      </c>
      <c r="B366" s="3" t="s">
        <v>7805</v>
      </c>
      <c r="C366" s="29">
        <v>46100.5</v>
      </c>
      <c r="D366" s="29">
        <v>46100.52083333333</v>
      </c>
      <c r="E366" s="30">
        <v>0.5</v>
      </c>
      <c r="F366" s="2"/>
      <c r="G366" s="2"/>
      <c r="H366" s="3" t="s">
        <v>7146</v>
      </c>
      <c r="I366" s="3" t="s">
        <v>7338</v>
      </c>
      <c r="J366" s="3" t="s">
        <v>7288</v>
      </c>
      <c r="K366" s="3" t="s">
        <v>7149</v>
      </c>
      <c r="L366" s="19">
        <v>1.0</v>
      </c>
      <c r="M366" s="3" t="s">
        <v>7806</v>
      </c>
      <c r="N366" s="3" t="s">
        <v>7806</v>
      </c>
      <c r="O366" s="3" t="s">
        <v>7161</v>
      </c>
      <c r="P366" s="19">
        <v>1.0</v>
      </c>
      <c r="Q366" s="19">
        <v>0.0</v>
      </c>
      <c r="R366" s="19">
        <v>0.0</v>
      </c>
      <c r="S366" s="19">
        <v>0.0</v>
      </c>
      <c r="T366" s="3" t="s">
        <v>157</v>
      </c>
      <c r="U366" s="3" t="s">
        <v>158</v>
      </c>
    </row>
    <row r="367">
      <c r="A367" s="3" t="s">
        <v>7659</v>
      </c>
      <c r="B367" s="3" t="s">
        <v>7420</v>
      </c>
      <c r="C367" s="29">
        <v>46100.52083333333</v>
      </c>
      <c r="D367" s="29">
        <v>46100.54166666667</v>
      </c>
      <c r="E367" s="30">
        <v>0.5</v>
      </c>
      <c r="F367" s="2"/>
      <c r="G367" s="2"/>
      <c r="H367" s="3" t="s">
        <v>7146</v>
      </c>
      <c r="I367" s="3" t="s">
        <v>7161</v>
      </c>
      <c r="J367" s="3" t="s">
        <v>7156</v>
      </c>
      <c r="K367" s="3" t="s">
        <v>7149</v>
      </c>
      <c r="L367" s="19">
        <v>5.0</v>
      </c>
      <c r="M367" s="3" t="s">
        <v>7571</v>
      </c>
      <c r="N367" s="3" t="s">
        <v>7571</v>
      </c>
      <c r="O367" s="3" t="s">
        <v>7970</v>
      </c>
      <c r="P367" s="19">
        <v>3.0</v>
      </c>
      <c r="Q367" s="19">
        <v>1.0</v>
      </c>
      <c r="R367" s="19">
        <v>0.0</v>
      </c>
      <c r="S367" s="19">
        <v>1.0</v>
      </c>
      <c r="T367" s="3" t="s">
        <v>125</v>
      </c>
      <c r="U367" s="3" t="s">
        <v>126</v>
      </c>
    </row>
    <row r="368">
      <c r="A368" s="3" t="s">
        <v>7927</v>
      </c>
      <c r="B368" s="3" t="s">
        <v>7928</v>
      </c>
      <c r="C368" s="29">
        <v>46100.70833333333</v>
      </c>
      <c r="D368" s="29">
        <v>46100.72916666667</v>
      </c>
      <c r="E368" s="30">
        <v>0.5</v>
      </c>
      <c r="F368" s="2"/>
      <c r="G368" s="3" t="s">
        <v>7929</v>
      </c>
      <c r="H368" s="3" t="s">
        <v>7146</v>
      </c>
      <c r="I368" s="3" t="s">
        <v>7161</v>
      </c>
      <c r="J368" s="3" t="s">
        <v>7148</v>
      </c>
      <c r="K368" s="3" t="s">
        <v>7149</v>
      </c>
      <c r="L368" s="19">
        <v>10.0</v>
      </c>
      <c r="M368" s="3" t="s">
        <v>7930</v>
      </c>
      <c r="N368" s="3" t="s">
        <v>7931</v>
      </c>
      <c r="O368" s="3" t="s">
        <v>7932</v>
      </c>
      <c r="P368" s="19">
        <v>6.0</v>
      </c>
      <c r="Q368" s="19">
        <v>0.0</v>
      </c>
      <c r="R368" s="19">
        <v>1.0</v>
      </c>
      <c r="S368" s="19">
        <v>3.0</v>
      </c>
      <c r="T368" s="3" t="s">
        <v>160</v>
      </c>
      <c r="U368" s="3" t="s">
        <v>440</v>
      </c>
    </row>
    <row r="369">
      <c r="A369" s="3" t="s">
        <v>7825</v>
      </c>
      <c r="B369" s="3" t="s">
        <v>7471</v>
      </c>
      <c r="C369" s="29">
        <v>46101.41666666667</v>
      </c>
      <c r="D369" s="29">
        <v>46101.4375</v>
      </c>
      <c r="E369" s="30">
        <v>0.5</v>
      </c>
      <c r="F369" s="2"/>
      <c r="G369" s="2"/>
      <c r="H369" s="3" t="s">
        <v>7146</v>
      </c>
      <c r="I369" s="3" t="s">
        <v>7161</v>
      </c>
      <c r="J369" s="3" t="s">
        <v>7156</v>
      </c>
      <c r="K369" s="3" t="s">
        <v>7149</v>
      </c>
      <c r="L369" s="19">
        <v>5.0</v>
      </c>
      <c r="M369" s="3" t="s">
        <v>7826</v>
      </c>
      <c r="N369" s="3" t="s">
        <v>7826</v>
      </c>
      <c r="O369" s="3" t="s">
        <v>7974</v>
      </c>
      <c r="P369" s="19">
        <v>2.0</v>
      </c>
      <c r="Q369" s="19">
        <v>0.0</v>
      </c>
      <c r="R369" s="19">
        <v>0.0</v>
      </c>
      <c r="S369" s="19">
        <v>3.0</v>
      </c>
      <c r="T369" s="3" t="s">
        <v>199</v>
      </c>
      <c r="U369" s="3" t="s">
        <v>272</v>
      </c>
    </row>
    <row r="370">
      <c r="A370" s="3" t="s">
        <v>7980</v>
      </c>
      <c r="B370" s="3" t="s">
        <v>7221</v>
      </c>
      <c r="C370" s="29">
        <v>46101.41666666667</v>
      </c>
      <c r="D370" s="29">
        <v>46101.4375</v>
      </c>
      <c r="E370" s="30">
        <v>0.5</v>
      </c>
      <c r="F370" s="2"/>
      <c r="G370" s="2"/>
      <c r="H370" s="3" t="s">
        <v>7146</v>
      </c>
      <c r="I370" s="3" t="s">
        <v>7161</v>
      </c>
      <c r="J370" s="3" t="s">
        <v>7156</v>
      </c>
      <c r="K370" s="3" t="s">
        <v>7149</v>
      </c>
      <c r="L370" s="19">
        <v>4.0</v>
      </c>
      <c r="M370" s="3" t="s">
        <v>7935</v>
      </c>
      <c r="N370" s="3" t="s">
        <v>7935</v>
      </c>
      <c r="O370" s="3" t="s">
        <v>7453</v>
      </c>
      <c r="P370" s="19">
        <v>3.0</v>
      </c>
      <c r="Q370" s="19">
        <v>0.0</v>
      </c>
      <c r="R370" s="19">
        <v>0.0</v>
      </c>
      <c r="S370" s="19">
        <v>1.0</v>
      </c>
      <c r="T370" s="3" t="s">
        <v>6608</v>
      </c>
      <c r="U370" s="3" t="s">
        <v>294</v>
      </c>
    </row>
    <row r="371">
      <c r="A371" s="3" t="s">
        <v>7679</v>
      </c>
      <c r="B371" s="3" t="s">
        <v>7546</v>
      </c>
      <c r="C371" s="29">
        <v>46101.47916666667</v>
      </c>
      <c r="D371" s="29">
        <v>46101.52083333333</v>
      </c>
      <c r="E371" s="30">
        <v>1.0</v>
      </c>
      <c r="F371" s="2"/>
      <c r="G371" s="2"/>
      <c r="H371" s="3" t="s">
        <v>7146</v>
      </c>
      <c r="I371" s="3" t="s">
        <v>7338</v>
      </c>
      <c r="J371" s="3" t="s">
        <v>7288</v>
      </c>
      <c r="K371" s="3" t="s">
        <v>7149</v>
      </c>
      <c r="L371" s="19">
        <v>1.0</v>
      </c>
      <c r="M371" s="3" t="s">
        <v>7680</v>
      </c>
      <c r="N371" s="3" t="s">
        <v>7680</v>
      </c>
      <c r="O371" s="3" t="s">
        <v>7161</v>
      </c>
      <c r="P371" s="19">
        <v>1.0</v>
      </c>
      <c r="Q371" s="19">
        <v>0.0</v>
      </c>
      <c r="R371" s="19">
        <v>0.0</v>
      </c>
      <c r="S371" s="19">
        <v>0.0</v>
      </c>
      <c r="T371" s="3" t="s">
        <v>119</v>
      </c>
      <c r="U371" s="3" t="s">
        <v>251</v>
      </c>
    </row>
    <row r="372">
      <c r="A372" s="3" t="s">
        <v>7896</v>
      </c>
      <c r="B372" s="3" t="s">
        <v>7463</v>
      </c>
      <c r="C372" s="29">
        <v>46104.60416666667</v>
      </c>
      <c r="D372" s="29">
        <v>46104.625</v>
      </c>
      <c r="E372" s="30">
        <v>0.5</v>
      </c>
      <c r="F372" s="2"/>
      <c r="G372" s="3" t="s">
        <v>7541</v>
      </c>
      <c r="H372" s="3" t="s">
        <v>7146</v>
      </c>
      <c r="I372" s="3" t="s">
        <v>7338</v>
      </c>
      <c r="J372" s="3" t="s">
        <v>7288</v>
      </c>
      <c r="K372" s="3" t="s">
        <v>7149</v>
      </c>
      <c r="L372" s="19">
        <v>1.0</v>
      </c>
      <c r="M372" s="3" t="s">
        <v>7897</v>
      </c>
      <c r="N372" s="3" t="s">
        <v>7897</v>
      </c>
      <c r="O372" s="3" t="s">
        <v>7161</v>
      </c>
      <c r="P372" s="19">
        <v>1.0</v>
      </c>
      <c r="Q372" s="19">
        <v>0.0</v>
      </c>
      <c r="R372" s="19">
        <v>0.0</v>
      </c>
      <c r="S372" s="19">
        <v>0.0</v>
      </c>
      <c r="T372" s="3" t="s">
        <v>101</v>
      </c>
      <c r="U372" s="3" t="s">
        <v>511</v>
      </c>
    </row>
    <row r="373">
      <c r="A373" s="3" t="s">
        <v>7942</v>
      </c>
      <c r="B373" s="3" t="s">
        <v>7256</v>
      </c>
      <c r="C373" s="29">
        <v>46104.60416666667</v>
      </c>
      <c r="D373" s="29">
        <v>46104.625</v>
      </c>
      <c r="E373" s="30">
        <v>0.5</v>
      </c>
      <c r="G373" s="2"/>
      <c r="H373" s="3" t="s">
        <v>7146</v>
      </c>
      <c r="I373" s="3" t="s">
        <v>7161</v>
      </c>
      <c r="J373" s="3" t="s">
        <v>7156</v>
      </c>
      <c r="K373" s="3" t="s">
        <v>7149</v>
      </c>
      <c r="L373" s="19">
        <v>3.0</v>
      </c>
      <c r="M373" s="3" t="s">
        <v>7943</v>
      </c>
      <c r="N373" s="3" t="s">
        <v>7943</v>
      </c>
      <c r="O373" s="3" t="s">
        <v>7258</v>
      </c>
      <c r="P373" s="19">
        <v>2.0</v>
      </c>
      <c r="Q373" s="19">
        <v>0.0</v>
      </c>
      <c r="R373" s="19">
        <v>0.0</v>
      </c>
      <c r="S373" s="19">
        <v>1.0</v>
      </c>
      <c r="T373" s="3" t="s">
        <v>202</v>
      </c>
      <c r="U373" s="3" t="s">
        <v>203</v>
      </c>
    </row>
    <row r="374">
      <c r="A374" s="3" t="s">
        <v>7904</v>
      </c>
      <c r="B374" s="3" t="s">
        <v>7183</v>
      </c>
      <c r="C374" s="29">
        <v>46105.5</v>
      </c>
      <c r="D374" s="29">
        <v>46105.52083333333</v>
      </c>
      <c r="E374" s="30">
        <v>0.5</v>
      </c>
      <c r="F374" s="2"/>
      <c r="G374" s="3" t="s">
        <v>7692</v>
      </c>
      <c r="H374" s="3" t="s">
        <v>7146</v>
      </c>
      <c r="I374" s="3" t="s">
        <v>7161</v>
      </c>
      <c r="J374" s="3" t="s">
        <v>7156</v>
      </c>
      <c r="K374" s="3" t="s">
        <v>7149</v>
      </c>
      <c r="L374" s="19">
        <v>2.0</v>
      </c>
      <c r="M374" s="3" t="s">
        <v>7905</v>
      </c>
      <c r="N374" s="3" t="s">
        <v>7906</v>
      </c>
      <c r="O374" s="3" t="s">
        <v>7944</v>
      </c>
      <c r="P374" s="19">
        <v>1.0</v>
      </c>
      <c r="Q374" s="19">
        <v>0.0</v>
      </c>
      <c r="R374" s="19">
        <v>1.0</v>
      </c>
      <c r="S374" s="19">
        <v>0.0</v>
      </c>
      <c r="T374" s="3" t="s">
        <v>184</v>
      </c>
      <c r="U374" s="3" t="s">
        <v>478</v>
      </c>
    </row>
    <row r="375">
      <c r="A375" s="3" t="s">
        <v>7912</v>
      </c>
      <c r="B375" s="3" t="s">
        <v>7696</v>
      </c>
      <c r="C375" s="29">
        <v>46106.41666666667</v>
      </c>
      <c r="D375" s="29">
        <v>46106.4375</v>
      </c>
      <c r="E375" s="30">
        <v>0.5</v>
      </c>
      <c r="F375" s="2"/>
      <c r="G375" s="2"/>
      <c r="H375" s="3" t="s">
        <v>7146</v>
      </c>
      <c r="I375" s="3" t="s">
        <v>7161</v>
      </c>
      <c r="J375" s="3" t="s">
        <v>7274</v>
      </c>
      <c r="K375" s="3" t="s">
        <v>7149</v>
      </c>
      <c r="L375" s="19">
        <v>1.0</v>
      </c>
      <c r="M375" s="3" t="s">
        <v>7288</v>
      </c>
      <c r="N375" s="3" t="s">
        <v>7288</v>
      </c>
      <c r="O375" s="3" t="s">
        <v>7161</v>
      </c>
      <c r="P375" s="19">
        <v>1.0</v>
      </c>
      <c r="Q375" s="19">
        <v>0.0</v>
      </c>
      <c r="R375" s="19">
        <v>0.0</v>
      </c>
      <c r="S375" s="19">
        <v>0.0</v>
      </c>
      <c r="T375" s="2"/>
      <c r="U375" s="2"/>
    </row>
    <row r="376">
      <c r="A376" s="3" t="s">
        <v>7979</v>
      </c>
      <c r="B376" s="3" t="s">
        <v>7249</v>
      </c>
      <c r="C376" s="29">
        <v>46106.54166666667</v>
      </c>
      <c r="D376" s="29">
        <v>46106.5625</v>
      </c>
      <c r="E376" s="30">
        <v>0.5</v>
      </c>
      <c r="G376" s="2"/>
      <c r="H376" s="3" t="s">
        <v>7146</v>
      </c>
      <c r="I376" s="3" t="s">
        <v>7161</v>
      </c>
      <c r="J376" s="3" t="s">
        <v>7156</v>
      </c>
      <c r="K376" s="3" t="s">
        <v>7149</v>
      </c>
      <c r="L376" s="19">
        <v>2.0</v>
      </c>
      <c r="M376" s="3" t="s">
        <v>7921</v>
      </c>
      <c r="N376" s="3" t="s">
        <v>7921</v>
      </c>
      <c r="O376" s="3" t="s">
        <v>7218</v>
      </c>
      <c r="P376" s="19">
        <v>2.0</v>
      </c>
      <c r="Q376" s="19">
        <v>0.0</v>
      </c>
      <c r="R376" s="19">
        <v>0.0</v>
      </c>
      <c r="S376" s="19">
        <v>0.0</v>
      </c>
      <c r="T376" s="3" t="s">
        <v>187</v>
      </c>
      <c r="U376" s="3" t="s">
        <v>188</v>
      </c>
    </row>
    <row r="377">
      <c r="A377" s="3" t="s">
        <v>7948</v>
      </c>
      <c r="B377" s="3" t="s">
        <v>7949</v>
      </c>
      <c r="C377" s="29">
        <v>46107.35416666667</v>
      </c>
      <c r="D377" s="29">
        <v>46107.375</v>
      </c>
      <c r="E377" s="30">
        <v>0.5</v>
      </c>
      <c r="F377" s="2"/>
      <c r="G377" s="2"/>
      <c r="H377" s="3" t="s">
        <v>7146</v>
      </c>
      <c r="I377" s="3" t="s">
        <v>7338</v>
      </c>
      <c r="J377" s="3" t="s">
        <v>7288</v>
      </c>
      <c r="K377" s="3" t="s">
        <v>7149</v>
      </c>
      <c r="L377" s="19">
        <v>3.0</v>
      </c>
      <c r="M377" s="3" t="s">
        <v>7950</v>
      </c>
      <c r="N377" s="3" t="s">
        <v>7950</v>
      </c>
      <c r="O377" s="3" t="s">
        <v>7622</v>
      </c>
      <c r="P377" s="19">
        <v>0.0</v>
      </c>
      <c r="Q377" s="19">
        <v>0.0</v>
      </c>
      <c r="R377" s="19">
        <v>0.0</v>
      </c>
      <c r="S377" s="19">
        <v>3.0</v>
      </c>
      <c r="T377" s="3" t="s">
        <v>193</v>
      </c>
      <c r="U377" s="3" t="s">
        <v>544</v>
      </c>
    </row>
    <row r="378">
      <c r="A378" s="3" t="s">
        <v>7951</v>
      </c>
      <c r="B378" s="3" t="s">
        <v>7160</v>
      </c>
      <c r="C378" s="29">
        <v>46107.4375</v>
      </c>
      <c r="D378" s="29">
        <v>46107.45833333333</v>
      </c>
      <c r="E378" s="30">
        <v>0.5</v>
      </c>
      <c r="F378" s="2"/>
      <c r="G378" s="2"/>
      <c r="H378" s="3" t="s">
        <v>7146</v>
      </c>
      <c r="I378" s="3" t="s">
        <v>7161</v>
      </c>
      <c r="J378" s="3" t="s">
        <v>7156</v>
      </c>
      <c r="K378" s="3" t="s">
        <v>7149</v>
      </c>
      <c r="L378" s="19">
        <v>2.0</v>
      </c>
      <c r="M378" s="3" t="s">
        <v>7952</v>
      </c>
      <c r="N378" s="3" t="s">
        <v>7953</v>
      </c>
      <c r="O378" s="3" t="s">
        <v>7218</v>
      </c>
      <c r="P378" s="19">
        <v>2.0</v>
      </c>
      <c r="Q378" s="19">
        <v>0.0</v>
      </c>
      <c r="R378" s="19">
        <v>0.0</v>
      </c>
      <c r="S378" s="19">
        <v>0.0</v>
      </c>
      <c r="T378" s="3" t="s">
        <v>154</v>
      </c>
      <c r="U378" s="3" t="s">
        <v>329</v>
      </c>
    </row>
    <row r="379">
      <c r="A379" s="3" t="s">
        <v>7954</v>
      </c>
      <c r="B379" s="3" t="s">
        <v>7163</v>
      </c>
      <c r="C379" s="29">
        <v>46107.58333333333</v>
      </c>
      <c r="D379" s="29">
        <v>46107.60416666667</v>
      </c>
      <c r="E379" s="30">
        <v>0.5</v>
      </c>
      <c r="F379" s="2"/>
      <c r="G379" s="2"/>
      <c r="H379" s="3" t="s">
        <v>7146</v>
      </c>
      <c r="I379" s="3" t="s">
        <v>7161</v>
      </c>
      <c r="J379" s="3" t="s">
        <v>7156</v>
      </c>
      <c r="K379" s="3" t="s">
        <v>7149</v>
      </c>
      <c r="L379" s="19">
        <v>5.0</v>
      </c>
      <c r="M379" s="3" t="s">
        <v>7955</v>
      </c>
      <c r="N379" s="3" t="s">
        <v>7955</v>
      </c>
      <c r="O379" s="3" t="s">
        <v>7956</v>
      </c>
      <c r="P379" s="19">
        <v>0.0</v>
      </c>
      <c r="Q379" s="19">
        <v>3.0</v>
      </c>
      <c r="R379" s="19">
        <v>0.0</v>
      </c>
      <c r="S379" s="19">
        <v>2.0</v>
      </c>
      <c r="T379" s="3" t="s">
        <v>151</v>
      </c>
      <c r="U379" s="3" t="s">
        <v>370</v>
      </c>
    </row>
    <row r="380">
      <c r="A380" s="3" t="s">
        <v>7957</v>
      </c>
      <c r="B380" s="3" t="s">
        <v>7712</v>
      </c>
      <c r="C380" s="29">
        <v>46107.64583333333</v>
      </c>
      <c r="D380" s="29">
        <v>46107.66666666667</v>
      </c>
      <c r="E380" s="30">
        <v>0.5</v>
      </c>
      <c r="F380" s="2"/>
      <c r="G380" s="3" t="s">
        <v>7713</v>
      </c>
      <c r="H380" s="3" t="s">
        <v>7146</v>
      </c>
      <c r="I380" s="3" t="s">
        <v>7338</v>
      </c>
      <c r="J380" s="3" t="s">
        <v>7288</v>
      </c>
      <c r="K380" s="3" t="s">
        <v>7149</v>
      </c>
      <c r="L380" s="19">
        <v>5.0</v>
      </c>
      <c r="M380" s="3" t="s">
        <v>7958</v>
      </c>
      <c r="N380" s="3" t="s">
        <v>7958</v>
      </c>
      <c r="O380" s="3" t="s">
        <v>7959</v>
      </c>
      <c r="P380" s="19">
        <v>2.0</v>
      </c>
      <c r="Q380" s="19">
        <v>1.0</v>
      </c>
      <c r="R380" s="19">
        <v>1.0</v>
      </c>
      <c r="S380" s="19">
        <v>1.0</v>
      </c>
      <c r="T380" s="3" t="s">
        <v>122</v>
      </c>
      <c r="U380" s="3" t="s">
        <v>123</v>
      </c>
    </row>
    <row r="381">
      <c r="A381" s="3" t="s">
        <v>7679</v>
      </c>
      <c r="B381" s="3" t="s">
        <v>7546</v>
      </c>
      <c r="C381" s="29">
        <v>46108.47916666667</v>
      </c>
      <c r="D381" s="29">
        <v>46108.52083333333</v>
      </c>
      <c r="E381" s="30">
        <v>1.0</v>
      </c>
      <c r="F381" s="2"/>
      <c r="G381" s="2"/>
      <c r="H381" s="3" t="s">
        <v>7146</v>
      </c>
      <c r="I381" s="3" t="s">
        <v>7338</v>
      </c>
      <c r="J381" s="3" t="s">
        <v>7288</v>
      </c>
      <c r="K381" s="3" t="s">
        <v>7149</v>
      </c>
      <c r="L381" s="19">
        <v>1.0</v>
      </c>
      <c r="M381" s="3" t="s">
        <v>7680</v>
      </c>
      <c r="N381" s="3" t="s">
        <v>7680</v>
      </c>
      <c r="O381" s="3" t="s">
        <v>7161</v>
      </c>
      <c r="P381" s="19">
        <v>1.0</v>
      </c>
      <c r="Q381" s="19">
        <v>0.0</v>
      </c>
      <c r="R381" s="19">
        <v>0.0</v>
      </c>
      <c r="S381" s="19">
        <v>0.0</v>
      </c>
      <c r="T381" s="3" t="s">
        <v>119</v>
      </c>
      <c r="U381" s="3" t="s">
        <v>251</v>
      </c>
    </row>
    <row r="382">
      <c r="A382" s="3" t="s">
        <v>7960</v>
      </c>
      <c r="B382" s="3" t="s">
        <v>7961</v>
      </c>
      <c r="C382" s="29">
        <v>46111.54166666667</v>
      </c>
      <c r="D382" s="29">
        <v>46111.5625</v>
      </c>
      <c r="E382" s="30">
        <v>0.5</v>
      </c>
      <c r="F382" s="2"/>
      <c r="G382" s="3" t="s">
        <v>7962</v>
      </c>
      <c r="H382" s="3" t="s">
        <v>7146</v>
      </c>
      <c r="I382" s="3" t="s">
        <v>7338</v>
      </c>
      <c r="J382" s="3" t="s">
        <v>7288</v>
      </c>
      <c r="K382" s="3" t="s">
        <v>7149</v>
      </c>
      <c r="L382" s="19">
        <v>3.0</v>
      </c>
      <c r="M382" s="3" t="s">
        <v>7788</v>
      </c>
      <c r="N382" s="3" t="s">
        <v>7788</v>
      </c>
      <c r="O382" s="3" t="s">
        <v>7981</v>
      </c>
      <c r="P382" s="19">
        <v>1.0</v>
      </c>
      <c r="Q382" s="19">
        <v>1.0</v>
      </c>
      <c r="R382" s="19">
        <v>0.0</v>
      </c>
      <c r="S382" s="19">
        <v>1.0</v>
      </c>
      <c r="T382" s="3" t="s">
        <v>131</v>
      </c>
      <c r="U382" s="3" t="s">
        <v>132</v>
      </c>
    </row>
    <row r="383">
      <c r="A383" s="3" t="s">
        <v>7963</v>
      </c>
      <c r="B383" s="3" t="s">
        <v>7234</v>
      </c>
      <c r="C383" s="29">
        <v>46111.58333333333</v>
      </c>
      <c r="D383" s="29">
        <v>46111.60416666667</v>
      </c>
      <c r="E383" s="30">
        <v>0.5</v>
      </c>
      <c r="F383" s="2"/>
      <c r="G383" s="2"/>
      <c r="H383" s="3" t="s">
        <v>7146</v>
      </c>
      <c r="I383" s="3" t="s">
        <v>7147</v>
      </c>
      <c r="J383" s="3" t="s">
        <v>7156</v>
      </c>
      <c r="K383" s="3" t="s">
        <v>7149</v>
      </c>
      <c r="L383" s="19">
        <v>4.0</v>
      </c>
      <c r="M383" s="3" t="s">
        <v>7235</v>
      </c>
      <c r="N383" s="3" t="s">
        <v>7235</v>
      </c>
      <c r="O383" s="3" t="s">
        <v>7964</v>
      </c>
      <c r="P383" s="19">
        <v>0.0</v>
      </c>
      <c r="Q383" s="19">
        <v>1.0</v>
      </c>
      <c r="R383" s="19">
        <v>0.0</v>
      </c>
      <c r="S383" s="19">
        <v>3.0</v>
      </c>
      <c r="T383" s="3" t="s">
        <v>166</v>
      </c>
      <c r="U383" s="3" t="s">
        <v>167</v>
      </c>
    </row>
    <row r="384">
      <c r="A384" s="3" t="s">
        <v>7896</v>
      </c>
      <c r="B384" s="3" t="s">
        <v>7463</v>
      </c>
      <c r="C384" s="29">
        <v>46111.60416666667</v>
      </c>
      <c r="D384" s="29">
        <v>46111.625</v>
      </c>
      <c r="E384" s="30">
        <v>0.5</v>
      </c>
      <c r="F384" s="2"/>
      <c r="G384" s="3" t="s">
        <v>7541</v>
      </c>
      <c r="H384" s="3" t="s">
        <v>7146</v>
      </c>
      <c r="I384" s="3" t="s">
        <v>7338</v>
      </c>
      <c r="J384" s="3" t="s">
        <v>7288</v>
      </c>
      <c r="K384" s="3" t="s">
        <v>7149</v>
      </c>
      <c r="L384" s="19">
        <v>1.0</v>
      </c>
      <c r="M384" s="3" t="s">
        <v>7897</v>
      </c>
      <c r="N384" s="3" t="s">
        <v>7897</v>
      </c>
      <c r="O384" s="3" t="s">
        <v>7161</v>
      </c>
      <c r="P384" s="19">
        <v>1.0</v>
      </c>
      <c r="Q384" s="19">
        <v>0.0</v>
      </c>
      <c r="R384" s="19">
        <v>0.0</v>
      </c>
      <c r="S384" s="19">
        <v>0.0</v>
      </c>
      <c r="T384" s="3" t="s">
        <v>101</v>
      </c>
      <c r="U384" s="3" t="s">
        <v>511</v>
      </c>
    </row>
    <row r="385">
      <c r="A385" s="3" t="s">
        <v>7904</v>
      </c>
      <c r="B385" s="3" t="s">
        <v>7183</v>
      </c>
      <c r="C385" s="29">
        <v>46112.5</v>
      </c>
      <c r="D385" s="29">
        <v>46112.52083333333</v>
      </c>
      <c r="E385" s="30">
        <v>0.5</v>
      </c>
      <c r="F385" s="2"/>
      <c r="G385" s="3" t="s">
        <v>7692</v>
      </c>
      <c r="H385" s="3" t="s">
        <v>7146</v>
      </c>
      <c r="I385" s="3" t="s">
        <v>7161</v>
      </c>
      <c r="J385" s="3" t="s">
        <v>7156</v>
      </c>
      <c r="K385" s="3" t="s">
        <v>7149</v>
      </c>
      <c r="L385" s="19">
        <v>2.0</v>
      </c>
      <c r="M385" s="3" t="s">
        <v>7905</v>
      </c>
      <c r="N385" s="3" t="s">
        <v>7906</v>
      </c>
      <c r="O385" s="3" t="s">
        <v>7944</v>
      </c>
      <c r="P385" s="19">
        <v>1.0</v>
      </c>
      <c r="Q385" s="19">
        <v>0.0</v>
      </c>
      <c r="R385" s="19">
        <v>1.0</v>
      </c>
      <c r="S385" s="19">
        <v>0.0</v>
      </c>
      <c r="T385" s="3" t="s">
        <v>184</v>
      </c>
      <c r="U385" s="3" t="s">
        <v>478</v>
      </c>
    </row>
    <row r="386">
      <c r="A386" s="3" t="s">
        <v>7748</v>
      </c>
      <c r="B386" s="3" t="s">
        <v>7211</v>
      </c>
      <c r="C386" s="29">
        <v>46112.54166666667</v>
      </c>
      <c r="D386" s="29">
        <v>46112.5625</v>
      </c>
      <c r="E386" s="30">
        <v>0.5</v>
      </c>
      <c r="F386" s="2"/>
      <c r="G386" s="3" t="s">
        <v>7212</v>
      </c>
      <c r="H386" s="3" t="s">
        <v>7146</v>
      </c>
      <c r="I386" s="3" t="s">
        <v>7161</v>
      </c>
      <c r="J386" s="3" t="s">
        <v>7156</v>
      </c>
      <c r="K386" s="3" t="s">
        <v>7149</v>
      </c>
      <c r="L386" s="19">
        <v>4.0</v>
      </c>
      <c r="M386" s="3" t="s">
        <v>7213</v>
      </c>
      <c r="N386" s="3" t="s">
        <v>7213</v>
      </c>
      <c r="O386" s="3" t="s">
        <v>7965</v>
      </c>
      <c r="P386" s="19">
        <v>2.0</v>
      </c>
      <c r="Q386" s="19">
        <v>1.0</v>
      </c>
      <c r="R386" s="19">
        <v>0.0</v>
      </c>
      <c r="S386" s="19">
        <v>1.0</v>
      </c>
      <c r="T386" s="3" t="s">
        <v>175</v>
      </c>
      <c r="U386" s="3" t="s">
        <v>422</v>
      </c>
    </row>
    <row r="387">
      <c r="A387" s="3" t="s">
        <v>7901</v>
      </c>
      <c r="B387" s="3" t="s">
        <v>7689</v>
      </c>
      <c r="C387" s="29">
        <v>46112.5625</v>
      </c>
      <c r="D387" s="29">
        <v>46112.58333333333</v>
      </c>
      <c r="E387" s="30">
        <v>0.5</v>
      </c>
      <c r="F387" s="2"/>
      <c r="G387" s="2"/>
      <c r="H387" s="3" t="s">
        <v>7146</v>
      </c>
      <c r="I387" s="3" t="s">
        <v>7338</v>
      </c>
      <c r="J387" s="3" t="s">
        <v>7288</v>
      </c>
      <c r="K387" s="3" t="s">
        <v>7149</v>
      </c>
      <c r="L387" s="19">
        <v>1.0</v>
      </c>
      <c r="M387" s="3" t="s">
        <v>7902</v>
      </c>
      <c r="N387" s="3" t="s">
        <v>7902</v>
      </c>
      <c r="O387" s="3" t="s">
        <v>7161</v>
      </c>
      <c r="P387" s="19">
        <v>1.0</v>
      </c>
      <c r="Q387" s="19">
        <v>0.0</v>
      </c>
      <c r="R387" s="19">
        <v>0.0</v>
      </c>
      <c r="S387" s="19">
        <v>0.0</v>
      </c>
      <c r="T387" s="3" t="s">
        <v>142</v>
      </c>
      <c r="U387" s="3" t="s">
        <v>143</v>
      </c>
    </row>
    <row r="388">
      <c r="A388" s="3" t="s">
        <v>7966</v>
      </c>
      <c r="B388" s="3" t="s">
        <v>7967</v>
      </c>
      <c r="C388" s="29">
        <v>46112.64583333333</v>
      </c>
      <c r="D388" s="29">
        <v>46112.66666666667</v>
      </c>
      <c r="E388" s="30">
        <v>0.5</v>
      </c>
      <c r="F388" s="2"/>
      <c r="G388" s="3" t="s">
        <v>7968</v>
      </c>
      <c r="H388" s="3" t="s">
        <v>7146</v>
      </c>
      <c r="I388" s="3" t="s">
        <v>7338</v>
      </c>
      <c r="J388" s="3" t="s">
        <v>7288</v>
      </c>
      <c r="K388" s="3" t="s">
        <v>7149</v>
      </c>
      <c r="L388" s="19">
        <v>4.0</v>
      </c>
      <c r="M388" s="3" t="s">
        <v>7707</v>
      </c>
      <c r="N388" s="3" t="s">
        <v>7707</v>
      </c>
      <c r="O388" s="3" t="s">
        <v>7236</v>
      </c>
      <c r="P388" s="19">
        <v>1.0</v>
      </c>
      <c r="Q388" s="19">
        <v>0.0</v>
      </c>
      <c r="R388" s="19">
        <v>0.0</v>
      </c>
      <c r="S388" s="19">
        <v>3.0</v>
      </c>
      <c r="T388" s="3" t="s">
        <v>6450</v>
      </c>
      <c r="U388" s="3" t="s">
        <v>552</v>
      </c>
    </row>
    <row r="389">
      <c r="A389" s="3" t="s">
        <v>7912</v>
      </c>
      <c r="B389" s="3" t="s">
        <v>7696</v>
      </c>
      <c r="C389" s="29">
        <v>46113.41666666667</v>
      </c>
      <c r="D389" s="29">
        <v>46113.4375</v>
      </c>
      <c r="E389" s="30">
        <v>0.5</v>
      </c>
      <c r="F389" s="2"/>
      <c r="G389" s="2"/>
      <c r="H389" s="3" t="s">
        <v>7146</v>
      </c>
      <c r="I389" s="3" t="s">
        <v>7161</v>
      </c>
      <c r="J389" s="3" t="s">
        <v>7274</v>
      </c>
      <c r="K389" s="3" t="s">
        <v>7149</v>
      </c>
      <c r="L389" s="19">
        <v>1.0</v>
      </c>
      <c r="M389" s="3" t="s">
        <v>7288</v>
      </c>
      <c r="N389" s="3" t="s">
        <v>7288</v>
      </c>
      <c r="O389" s="3" t="s">
        <v>7161</v>
      </c>
      <c r="P389" s="19">
        <v>1.0</v>
      </c>
      <c r="Q389" s="19">
        <v>0.0</v>
      </c>
      <c r="R389" s="19">
        <v>0.0</v>
      </c>
      <c r="S389" s="19">
        <v>0.0</v>
      </c>
      <c r="T389" s="2"/>
      <c r="U389" s="2"/>
    </row>
    <row r="390">
      <c r="A390" s="3" t="s">
        <v>7791</v>
      </c>
      <c r="B390" s="3" t="s">
        <v>7266</v>
      </c>
      <c r="C390" s="29">
        <v>46114.375</v>
      </c>
      <c r="D390" s="29">
        <v>46114.39583333333</v>
      </c>
      <c r="E390" s="30">
        <v>0.5</v>
      </c>
      <c r="F390" s="2"/>
      <c r="G390" s="2"/>
      <c r="H390" s="3" t="s">
        <v>7146</v>
      </c>
      <c r="I390" s="3" t="s">
        <v>7161</v>
      </c>
      <c r="J390" s="3" t="s">
        <v>7156</v>
      </c>
      <c r="K390" s="3" t="s">
        <v>7149</v>
      </c>
      <c r="L390" s="19">
        <v>4.0</v>
      </c>
      <c r="M390" s="3" t="s">
        <v>7267</v>
      </c>
      <c r="N390" s="3" t="s">
        <v>7267</v>
      </c>
      <c r="O390" s="3" t="s">
        <v>7792</v>
      </c>
      <c r="P390" s="19">
        <v>1.0</v>
      </c>
      <c r="Q390" s="19">
        <v>1.0</v>
      </c>
      <c r="R390" s="19">
        <v>0.0</v>
      </c>
      <c r="S390" s="19">
        <v>2.0</v>
      </c>
      <c r="T390" s="3" t="s">
        <v>6752</v>
      </c>
      <c r="U390" s="3" t="s">
        <v>319</v>
      </c>
    </row>
    <row r="391">
      <c r="A391" s="3" t="s">
        <v>7794</v>
      </c>
      <c r="B391" s="3" t="s">
        <v>7795</v>
      </c>
      <c r="C391" s="29">
        <v>46114.39583333333</v>
      </c>
      <c r="D391" s="29">
        <v>46114.41666666667</v>
      </c>
      <c r="E391" s="30">
        <v>0.5</v>
      </c>
      <c r="F391" s="2"/>
      <c r="G391" s="2"/>
      <c r="H391" s="3" t="s">
        <v>7146</v>
      </c>
      <c r="I391" s="3" t="s">
        <v>7161</v>
      </c>
      <c r="J391" s="3" t="s">
        <v>7168</v>
      </c>
      <c r="K391" s="3" t="s">
        <v>7149</v>
      </c>
      <c r="L391" s="19">
        <v>6.0</v>
      </c>
      <c r="M391" s="3" t="s">
        <v>7196</v>
      </c>
      <c r="N391" s="3" t="s">
        <v>7196</v>
      </c>
      <c r="O391" s="3" t="s">
        <v>7197</v>
      </c>
      <c r="P391" s="19">
        <v>4.0</v>
      </c>
      <c r="Q391" s="19">
        <v>0.0</v>
      </c>
      <c r="R391" s="19">
        <v>0.0</v>
      </c>
      <c r="S391" s="19">
        <v>2.0</v>
      </c>
      <c r="T391" s="3" t="s">
        <v>178</v>
      </c>
      <c r="U391" s="3" t="s">
        <v>179</v>
      </c>
    </row>
    <row r="392">
      <c r="A392" s="3" t="s">
        <v>7969</v>
      </c>
      <c r="B392" s="3" t="s">
        <v>7262</v>
      </c>
      <c r="C392" s="29">
        <v>46114.47916666667</v>
      </c>
      <c r="D392" s="29">
        <v>46114.5</v>
      </c>
      <c r="E392" s="30">
        <v>0.5</v>
      </c>
      <c r="F392" s="2"/>
      <c r="G392" s="2"/>
      <c r="H392" s="3" t="s">
        <v>7146</v>
      </c>
      <c r="I392" s="3" t="s">
        <v>7161</v>
      </c>
      <c r="J392" s="3" t="s">
        <v>7156</v>
      </c>
      <c r="K392" s="3" t="s">
        <v>7149</v>
      </c>
      <c r="L392" s="19">
        <v>2.0</v>
      </c>
      <c r="M392" s="3" t="s">
        <v>7263</v>
      </c>
      <c r="N392" s="3" t="s">
        <v>7263</v>
      </c>
      <c r="O392" s="3" t="s">
        <v>7218</v>
      </c>
      <c r="P392" s="19">
        <v>2.0</v>
      </c>
      <c r="Q392" s="19">
        <v>0.0</v>
      </c>
      <c r="R392" s="19">
        <v>0.0</v>
      </c>
      <c r="S392" s="19">
        <v>0.0</v>
      </c>
      <c r="T392" s="3" t="s">
        <v>128</v>
      </c>
      <c r="U392" s="3" t="s">
        <v>301</v>
      </c>
    </row>
    <row r="393">
      <c r="A393" s="3" t="s">
        <v>7804</v>
      </c>
      <c r="B393" s="3" t="s">
        <v>7805</v>
      </c>
      <c r="C393" s="29">
        <v>46114.5</v>
      </c>
      <c r="D393" s="29">
        <v>46114.52083333333</v>
      </c>
      <c r="E393" s="30">
        <v>0.5</v>
      </c>
      <c r="G393" s="2"/>
      <c r="H393" s="3" t="s">
        <v>7146</v>
      </c>
      <c r="I393" s="3" t="s">
        <v>7338</v>
      </c>
      <c r="J393" s="3" t="s">
        <v>7288</v>
      </c>
      <c r="K393" s="3" t="s">
        <v>7149</v>
      </c>
      <c r="L393" s="19">
        <v>1.0</v>
      </c>
      <c r="M393" s="3" t="s">
        <v>7806</v>
      </c>
      <c r="N393" s="3" t="s">
        <v>7806</v>
      </c>
      <c r="O393" s="3" t="s">
        <v>7161</v>
      </c>
      <c r="P393" s="19">
        <v>1.0</v>
      </c>
      <c r="Q393" s="19">
        <v>0.0</v>
      </c>
      <c r="R393" s="19">
        <v>0.0</v>
      </c>
      <c r="S393" s="19">
        <v>0.0</v>
      </c>
      <c r="T393" s="3" t="s">
        <v>157</v>
      </c>
      <c r="U393" s="3" t="s">
        <v>158</v>
      </c>
    </row>
    <row r="394">
      <c r="A394" s="3" t="s">
        <v>7659</v>
      </c>
      <c r="B394" s="3" t="s">
        <v>7420</v>
      </c>
      <c r="C394" s="29">
        <v>46114.52083333333</v>
      </c>
      <c r="D394" s="29">
        <v>46114.54166666667</v>
      </c>
      <c r="E394" s="30">
        <v>0.5</v>
      </c>
      <c r="F394" s="2"/>
      <c r="G394" s="2"/>
      <c r="H394" s="3" t="s">
        <v>7146</v>
      </c>
      <c r="I394" s="3" t="s">
        <v>7161</v>
      </c>
      <c r="J394" s="3" t="s">
        <v>7156</v>
      </c>
      <c r="K394" s="3" t="s">
        <v>7149</v>
      </c>
      <c r="L394" s="19">
        <v>5.0</v>
      </c>
      <c r="M394" s="3" t="s">
        <v>7571</v>
      </c>
      <c r="N394" s="3" t="s">
        <v>7571</v>
      </c>
      <c r="O394" s="3" t="s">
        <v>7970</v>
      </c>
      <c r="P394" s="19">
        <v>3.0</v>
      </c>
      <c r="Q394" s="19">
        <v>1.0</v>
      </c>
      <c r="R394" s="19">
        <v>0.0</v>
      </c>
      <c r="S394" s="19">
        <v>1.0</v>
      </c>
      <c r="T394" s="3" t="s">
        <v>125</v>
      </c>
      <c r="U394" s="3" t="s">
        <v>126</v>
      </c>
    </row>
    <row r="395">
      <c r="A395" s="3" t="s">
        <v>7812</v>
      </c>
      <c r="B395" s="3" t="s">
        <v>7813</v>
      </c>
      <c r="C395" s="29">
        <v>46114.5625</v>
      </c>
      <c r="D395" s="29">
        <v>46114.58333333333</v>
      </c>
      <c r="E395" s="30">
        <v>0.5</v>
      </c>
      <c r="F395" s="2"/>
      <c r="G395" s="3" t="s">
        <v>7814</v>
      </c>
      <c r="H395" s="3" t="s">
        <v>7146</v>
      </c>
      <c r="I395" s="3" t="s">
        <v>7338</v>
      </c>
      <c r="J395" s="3" t="s">
        <v>7288</v>
      </c>
      <c r="K395" s="3" t="s">
        <v>7149</v>
      </c>
      <c r="L395" s="19">
        <v>3.0</v>
      </c>
      <c r="M395" s="3" t="s">
        <v>7815</v>
      </c>
      <c r="N395" s="3" t="s">
        <v>7815</v>
      </c>
      <c r="O395" s="3" t="s">
        <v>7601</v>
      </c>
      <c r="P395" s="19">
        <v>1.0</v>
      </c>
      <c r="Q395" s="19">
        <v>0.0</v>
      </c>
      <c r="R395" s="19">
        <v>0.0</v>
      </c>
      <c r="S395" s="19">
        <v>2.0</v>
      </c>
      <c r="T395" s="3" t="s">
        <v>190</v>
      </c>
      <c r="U395" s="3" t="s">
        <v>191</v>
      </c>
    </row>
    <row r="396">
      <c r="A396" s="3" t="s">
        <v>7971</v>
      </c>
      <c r="B396" s="3" t="s">
        <v>7178</v>
      </c>
      <c r="C396" s="29">
        <v>46115.39583333333</v>
      </c>
      <c r="D396" s="29">
        <v>46115.41666666667</v>
      </c>
      <c r="E396" s="30">
        <v>0.5</v>
      </c>
      <c r="F396" s="2"/>
      <c r="G396" s="25" t="s">
        <v>7972</v>
      </c>
      <c r="H396" s="3" t="s">
        <v>7146</v>
      </c>
      <c r="I396" s="3" t="s">
        <v>7161</v>
      </c>
      <c r="J396" s="3" t="s">
        <v>7156</v>
      </c>
      <c r="K396" s="3" t="s">
        <v>7149</v>
      </c>
      <c r="L396" s="19">
        <v>3.0</v>
      </c>
      <c r="M396" s="3" t="s">
        <v>7973</v>
      </c>
      <c r="N396" s="3" t="s">
        <v>7973</v>
      </c>
      <c r="O396" s="3" t="s">
        <v>7231</v>
      </c>
      <c r="P396" s="19">
        <v>2.0</v>
      </c>
      <c r="Q396" s="19">
        <v>1.0</v>
      </c>
      <c r="R396" s="19">
        <v>0.0</v>
      </c>
      <c r="S396" s="19">
        <v>0.0</v>
      </c>
      <c r="T396" s="3" t="s">
        <v>169</v>
      </c>
      <c r="U396" s="3" t="s">
        <v>170</v>
      </c>
    </row>
    <row r="397">
      <c r="A397" s="3" t="s">
        <v>7825</v>
      </c>
      <c r="B397" s="3" t="s">
        <v>7471</v>
      </c>
      <c r="C397" s="29">
        <v>46115.41666666667</v>
      </c>
      <c r="D397" s="29">
        <v>46115.4375</v>
      </c>
      <c r="E397" s="30">
        <v>0.5</v>
      </c>
      <c r="F397" s="2"/>
      <c r="G397" s="2"/>
      <c r="H397" s="3" t="s">
        <v>7146</v>
      </c>
      <c r="I397" s="3" t="s">
        <v>7161</v>
      </c>
      <c r="J397" s="3" t="s">
        <v>7156</v>
      </c>
      <c r="K397" s="3" t="s">
        <v>7149</v>
      </c>
      <c r="L397" s="19">
        <v>5.0</v>
      </c>
      <c r="M397" s="3" t="s">
        <v>7826</v>
      </c>
      <c r="N397" s="3" t="s">
        <v>7826</v>
      </c>
      <c r="O397" s="3" t="s">
        <v>7974</v>
      </c>
      <c r="P397" s="19">
        <v>2.0</v>
      </c>
      <c r="Q397" s="19">
        <v>0.0</v>
      </c>
      <c r="R397" s="19">
        <v>0.0</v>
      </c>
      <c r="S397" s="19">
        <v>3.0</v>
      </c>
      <c r="T397" s="3" t="s">
        <v>199</v>
      </c>
      <c r="U397" s="3" t="s">
        <v>272</v>
      </c>
    </row>
    <row r="398">
      <c r="A398" s="3" t="s">
        <v>7679</v>
      </c>
      <c r="B398" s="3" t="s">
        <v>7546</v>
      </c>
      <c r="C398" s="29">
        <v>46115.47916666667</v>
      </c>
      <c r="D398" s="29">
        <v>46115.52083333333</v>
      </c>
      <c r="E398" s="30">
        <v>1.0</v>
      </c>
      <c r="F398" s="2"/>
      <c r="G398" s="2"/>
      <c r="H398" s="3" t="s">
        <v>7146</v>
      </c>
      <c r="I398" s="3" t="s">
        <v>7338</v>
      </c>
      <c r="J398" s="3" t="s">
        <v>7288</v>
      </c>
      <c r="K398" s="3" t="s">
        <v>7149</v>
      </c>
      <c r="L398" s="19">
        <v>1.0</v>
      </c>
      <c r="M398" s="3" t="s">
        <v>7680</v>
      </c>
      <c r="N398" s="3" t="s">
        <v>7680</v>
      </c>
      <c r="O398" s="3" t="s">
        <v>7161</v>
      </c>
      <c r="P398" s="19">
        <v>1.0</v>
      </c>
      <c r="Q398" s="19">
        <v>0.0</v>
      </c>
      <c r="R398" s="19">
        <v>0.0</v>
      </c>
      <c r="S398" s="19">
        <v>0.0</v>
      </c>
      <c r="T398" s="3" t="s">
        <v>119</v>
      </c>
      <c r="U398" s="3" t="s">
        <v>251</v>
      </c>
    </row>
    <row r="399">
      <c r="A399" s="3" t="s">
        <v>7975</v>
      </c>
      <c r="B399" s="3" t="s">
        <v>7167</v>
      </c>
      <c r="C399" s="29">
        <v>46115.54166666667</v>
      </c>
      <c r="D399" s="29">
        <v>46115.5625</v>
      </c>
      <c r="E399" s="30">
        <v>0.5</v>
      </c>
      <c r="F399" s="2"/>
      <c r="G399" s="2"/>
      <c r="H399" s="3" t="s">
        <v>7146</v>
      </c>
      <c r="I399" s="3" t="s">
        <v>7338</v>
      </c>
      <c r="J399" s="3" t="s">
        <v>7288</v>
      </c>
      <c r="K399" s="3" t="s">
        <v>7149</v>
      </c>
      <c r="L399" s="19">
        <v>4.0</v>
      </c>
      <c r="M399" s="3" t="s">
        <v>7169</v>
      </c>
      <c r="N399" s="3" t="s">
        <v>7170</v>
      </c>
      <c r="O399" s="3" t="s">
        <v>7268</v>
      </c>
      <c r="P399" s="19">
        <v>1.0</v>
      </c>
      <c r="Q399" s="19">
        <v>0.0</v>
      </c>
      <c r="R399" s="19">
        <v>0.0</v>
      </c>
      <c r="S399" s="19">
        <v>3.0</v>
      </c>
      <c r="T399" s="3" t="s">
        <v>205</v>
      </c>
      <c r="U399" s="3" t="s">
        <v>206</v>
      </c>
    </row>
    <row r="400">
      <c r="A400" s="3" t="s">
        <v>7976</v>
      </c>
      <c r="B400" s="3" t="s">
        <v>7977</v>
      </c>
      <c r="C400" s="29">
        <v>46118.58333333333</v>
      </c>
      <c r="D400" s="29">
        <v>46118.60416666667</v>
      </c>
      <c r="E400" s="30">
        <v>0.5</v>
      </c>
      <c r="F400" s="2"/>
      <c r="G400" s="2"/>
      <c r="H400" s="3" t="s">
        <v>7146</v>
      </c>
      <c r="I400" s="3" t="s">
        <v>7338</v>
      </c>
      <c r="J400" s="3" t="s">
        <v>7288</v>
      </c>
      <c r="K400" s="3" t="s">
        <v>7149</v>
      </c>
      <c r="L400" s="19">
        <v>3.0</v>
      </c>
      <c r="M400" s="3" t="s">
        <v>7978</v>
      </c>
      <c r="N400" s="3" t="s">
        <v>7978</v>
      </c>
      <c r="O400" s="3" t="s">
        <v>7326</v>
      </c>
      <c r="P400" s="19">
        <v>1.0</v>
      </c>
      <c r="Q400" s="19">
        <v>0.0</v>
      </c>
      <c r="R400" s="19">
        <v>0.0</v>
      </c>
      <c r="S400" s="19">
        <v>2.0</v>
      </c>
      <c r="T400" s="3" t="s">
        <v>98</v>
      </c>
      <c r="U400" s="3" t="s">
        <v>99</v>
      </c>
    </row>
    <row r="401">
      <c r="A401" s="3" t="s">
        <v>7896</v>
      </c>
      <c r="B401" s="3" t="s">
        <v>7463</v>
      </c>
      <c r="C401" s="29">
        <v>46118.60416666667</v>
      </c>
      <c r="D401" s="29">
        <v>46118.625</v>
      </c>
      <c r="E401" s="30">
        <v>0.5</v>
      </c>
      <c r="F401" s="2"/>
      <c r="G401" s="3" t="s">
        <v>7541</v>
      </c>
      <c r="H401" s="3" t="s">
        <v>7146</v>
      </c>
      <c r="I401" s="3" t="s">
        <v>7338</v>
      </c>
      <c r="J401" s="3" t="s">
        <v>7288</v>
      </c>
      <c r="K401" s="3" t="s">
        <v>7149</v>
      </c>
      <c r="L401" s="19">
        <v>1.0</v>
      </c>
      <c r="M401" s="3" t="s">
        <v>7897</v>
      </c>
      <c r="N401" s="3" t="s">
        <v>7897</v>
      </c>
      <c r="O401" s="3" t="s">
        <v>7161</v>
      </c>
      <c r="P401" s="19">
        <v>1.0</v>
      </c>
      <c r="Q401" s="19">
        <v>0.0</v>
      </c>
      <c r="R401" s="19">
        <v>0.0</v>
      </c>
      <c r="S401" s="19">
        <v>0.0</v>
      </c>
      <c r="T401" s="3" t="s">
        <v>101</v>
      </c>
      <c r="U401" s="3" t="s">
        <v>511</v>
      </c>
    </row>
    <row r="402">
      <c r="A402" s="3" t="s">
        <v>7904</v>
      </c>
      <c r="B402" s="3" t="s">
        <v>7183</v>
      </c>
      <c r="C402" s="29">
        <v>46119.5</v>
      </c>
      <c r="D402" s="29">
        <v>46119.52083333333</v>
      </c>
      <c r="E402" s="30">
        <v>0.5</v>
      </c>
      <c r="F402" s="2"/>
      <c r="G402" s="3" t="s">
        <v>7692</v>
      </c>
      <c r="H402" s="3" t="s">
        <v>7146</v>
      </c>
      <c r="I402" s="3" t="s">
        <v>7161</v>
      </c>
      <c r="J402" s="3" t="s">
        <v>7156</v>
      </c>
      <c r="K402" s="3" t="s">
        <v>7149</v>
      </c>
      <c r="L402" s="19">
        <v>2.0</v>
      </c>
      <c r="M402" s="3" t="s">
        <v>7905</v>
      </c>
      <c r="N402" s="3" t="s">
        <v>7906</v>
      </c>
      <c r="O402" s="3" t="s">
        <v>7944</v>
      </c>
      <c r="P402" s="19">
        <v>1.0</v>
      </c>
      <c r="Q402" s="19">
        <v>0.0</v>
      </c>
      <c r="R402" s="19">
        <v>1.0</v>
      </c>
      <c r="S402" s="19">
        <v>0.0</v>
      </c>
      <c r="T402" s="3" t="s">
        <v>184</v>
      </c>
      <c r="U402" s="3" t="s">
        <v>478</v>
      </c>
    </row>
    <row r="403">
      <c r="A403" s="3" t="s">
        <v>7754</v>
      </c>
      <c r="B403" s="3" t="s">
        <v>7755</v>
      </c>
      <c r="C403" s="29">
        <v>46119.58333333333</v>
      </c>
      <c r="D403" s="29">
        <v>46119.60416666667</v>
      </c>
      <c r="E403" s="30">
        <v>0.5</v>
      </c>
      <c r="F403" s="2"/>
      <c r="G403" s="3" t="s">
        <v>7756</v>
      </c>
      <c r="H403" s="3" t="s">
        <v>7146</v>
      </c>
      <c r="I403" s="3" t="s">
        <v>7161</v>
      </c>
      <c r="J403" s="3" t="s">
        <v>7156</v>
      </c>
      <c r="K403" s="3" t="s">
        <v>7149</v>
      </c>
      <c r="L403" s="19">
        <v>7.0</v>
      </c>
      <c r="M403" s="3" t="s">
        <v>7757</v>
      </c>
      <c r="N403" s="3" t="s">
        <v>7758</v>
      </c>
      <c r="O403" s="3" t="s">
        <v>7759</v>
      </c>
      <c r="P403" s="19">
        <v>0.0</v>
      </c>
      <c r="Q403" s="19">
        <v>1.0</v>
      </c>
      <c r="R403" s="19">
        <v>1.0</v>
      </c>
      <c r="S403" s="19">
        <v>5.0</v>
      </c>
      <c r="T403" s="3" t="s">
        <v>110</v>
      </c>
      <c r="U403" s="3" t="s">
        <v>111</v>
      </c>
    </row>
    <row r="404">
      <c r="A404" s="3" t="s">
        <v>7912</v>
      </c>
      <c r="B404" s="3" t="s">
        <v>7696</v>
      </c>
      <c r="C404" s="29">
        <v>46120.41666666667</v>
      </c>
      <c r="D404" s="29">
        <v>46120.4375</v>
      </c>
      <c r="E404" s="30">
        <v>0.5</v>
      </c>
      <c r="G404" s="2"/>
      <c r="H404" s="3" t="s">
        <v>7146</v>
      </c>
      <c r="I404" s="3" t="s">
        <v>7161</v>
      </c>
      <c r="J404" s="3" t="s">
        <v>7274</v>
      </c>
      <c r="K404" s="3" t="s">
        <v>7149</v>
      </c>
      <c r="L404" s="19">
        <v>1.0</v>
      </c>
      <c r="M404" s="3" t="s">
        <v>7288</v>
      </c>
      <c r="N404" s="3" t="s">
        <v>7288</v>
      </c>
      <c r="O404" s="3" t="s">
        <v>7161</v>
      </c>
      <c r="P404" s="19">
        <v>1.0</v>
      </c>
      <c r="Q404" s="19">
        <v>0.0</v>
      </c>
      <c r="R404" s="19">
        <v>0.0</v>
      </c>
      <c r="S404" s="19">
        <v>0.0</v>
      </c>
      <c r="T404" s="2"/>
      <c r="U404" s="2"/>
    </row>
    <row r="405">
      <c r="A405" s="3" t="s">
        <v>7979</v>
      </c>
      <c r="B405" s="3" t="s">
        <v>7249</v>
      </c>
      <c r="C405" s="29">
        <v>46120.54166666667</v>
      </c>
      <c r="D405" s="29">
        <v>46120.5625</v>
      </c>
      <c r="E405" s="30">
        <v>0.5</v>
      </c>
      <c r="G405" s="2"/>
      <c r="H405" s="3" t="s">
        <v>7146</v>
      </c>
      <c r="I405" s="3" t="s">
        <v>7161</v>
      </c>
      <c r="J405" s="3" t="s">
        <v>7156</v>
      </c>
      <c r="K405" s="3" t="s">
        <v>7149</v>
      </c>
      <c r="L405" s="19">
        <v>2.0</v>
      </c>
      <c r="M405" s="3" t="s">
        <v>7921</v>
      </c>
      <c r="N405" s="3" t="s">
        <v>7921</v>
      </c>
      <c r="O405" s="3" t="s">
        <v>7218</v>
      </c>
      <c r="P405" s="19">
        <v>2.0</v>
      </c>
      <c r="Q405" s="19">
        <v>0.0</v>
      </c>
      <c r="R405" s="19">
        <v>0.0</v>
      </c>
      <c r="S405" s="19">
        <v>0.0</v>
      </c>
      <c r="T405" s="3" t="s">
        <v>187</v>
      </c>
      <c r="U405" s="3" t="s">
        <v>188</v>
      </c>
    </row>
    <row r="406">
      <c r="A406" s="3" t="s">
        <v>7951</v>
      </c>
      <c r="B406" s="3" t="s">
        <v>7160</v>
      </c>
      <c r="C406" s="29">
        <v>46121.4375</v>
      </c>
      <c r="D406" s="29">
        <v>46121.45833333333</v>
      </c>
      <c r="E406" s="30">
        <v>0.5</v>
      </c>
      <c r="F406" s="2"/>
      <c r="G406" s="2"/>
      <c r="H406" s="3" t="s">
        <v>7146</v>
      </c>
      <c r="I406" s="3" t="s">
        <v>7161</v>
      </c>
      <c r="J406" s="3" t="s">
        <v>7156</v>
      </c>
      <c r="K406" s="3" t="s">
        <v>7149</v>
      </c>
      <c r="L406" s="19">
        <v>2.0</v>
      </c>
      <c r="M406" s="3" t="s">
        <v>7952</v>
      </c>
      <c r="N406" s="3" t="s">
        <v>7953</v>
      </c>
      <c r="O406" s="3" t="s">
        <v>7218</v>
      </c>
      <c r="P406" s="19">
        <v>2.0</v>
      </c>
      <c r="Q406" s="19">
        <v>0.0</v>
      </c>
      <c r="R406" s="19">
        <v>0.0</v>
      </c>
      <c r="S406" s="19">
        <v>0.0</v>
      </c>
      <c r="T406" s="3" t="s">
        <v>154</v>
      </c>
      <c r="U406" s="3" t="s">
        <v>329</v>
      </c>
    </row>
    <row r="407">
      <c r="A407" s="3" t="s">
        <v>7954</v>
      </c>
      <c r="B407" s="3" t="s">
        <v>7163</v>
      </c>
      <c r="C407" s="29">
        <v>46121.58333333333</v>
      </c>
      <c r="D407" s="29">
        <v>46121.60416666667</v>
      </c>
      <c r="E407" s="30">
        <v>0.5</v>
      </c>
      <c r="F407" s="2"/>
      <c r="G407" s="2"/>
      <c r="H407" s="3" t="s">
        <v>7146</v>
      </c>
      <c r="I407" s="3" t="s">
        <v>7161</v>
      </c>
      <c r="J407" s="3" t="s">
        <v>7156</v>
      </c>
      <c r="K407" s="3" t="s">
        <v>7149</v>
      </c>
      <c r="L407" s="19">
        <v>5.0</v>
      </c>
      <c r="M407" s="3" t="s">
        <v>7955</v>
      </c>
      <c r="N407" s="3" t="s">
        <v>7955</v>
      </c>
      <c r="O407" s="3" t="s">
        <v>7956</v>
      </c>
      <c r="P407" s="19">
        <v>0.0</v>
      </c>
      <c r="Q407" s="19">
        <v>3.0</v>
      </c>
      <c r="R407" s="19">
        <v>0.0</v>
      </c>
      <c r="S407" s="19">
        <v>2.0</v>
      </c>
      <c r="T407" s="3" t="s">
        <v>151</v>
      </c>
      <c r="U407" s="3" t="s">
        <v>370</v>
      </c>
    </row>
    <row r="408">
      <c r="A408" s="3" t="s">
        <v>7679</v>
      </c>
      <c r="B408" s="3" t="s">
        <v>7546</v>
      </c>
      <c r="C408" s="29">
        <v>46122.47916666667</v>
      </c>
      <c r="D408" s="29">
        <v>46122.52083333333</v>
      </c>
      <c r="E408" s="30">
        <v>1.0</v>
      </c>
      <c r="F408" s="2"/>
      <c r="G408" s="2"/>
      <c r="H408" s="3" t="s">
        <v>7146</v>
      </c>
      <c r="I408" s="3" t="s">
        <v>7338</v>
      </c>
      <c r="J408" s="3" t="s">
        <v>7288</v>
      </c>
      <c r="K408" s="3" t="s">
        <v>7149</v>
      </c>
      <c r="L408" s="19">
        <v>1.0</v>
      </c>
      <c r="M408" s="3" t="s">
        <v>7680</v>
      </c>
      <c r="N408" s="3" t="s">
        <v>7680</v>
      </c>
      <c r="O408" s="3" t="s">
        <v>7161</v>
      </c>
      <c r="P408" s="19">
        <v>1.0</v>
      </c>
      <c r="Q408" s="19">
        <v>0.0</v>
      </c>
      <c r="R408" s="19">
        <v>0.0</v>
      </c>
      <c r="S408" s="19">
        <v>0.0</v>
      </c>
      <c r="T408" s="3" t="s">
        <v>119</v>
      </c>
      <c r="U408" s="3" t="s">
        <v>251</v>
      </c>
    </row>
    <row r="409">
      <c r="A409" s="3" t="s">
        <v>7960</v>
      </c>
      <c r="B409" s="3" t="s">
        <v>7961</v>
      </c>
      <c r="C409" s="29">
        <v>46125.54166666667</v>
      </c>
      <c r="D409" s="29">
        <v>46125.5625</v>
      </c>
      <c r="E409" s="30">
        <v>0.5</v>
      </c>
      <c r="G409" s="3" t="s">
        <v>7962</v>
      </c>
      <c r="H409" s="3" t="s">
        <v>7146</v>
      </c>
      <c r="I409" s="3" t="s">
        <v>7338</v>
      </c>
      <c r="J409" s="3" t="s">
        <v>7288</v>
      </c>
      <c r="K409" s="3" t="s">
        <v>7149</v>
      </c>
      <c r="L409" s="19">
        <v>3.0</v>
      </c>
      <c r="M409" s="3" t="s">
        <v>7788</v>
      </c>
      <c r="N409" s="3" t="s">
        <v>7788</v>
      </c>
      <c r="O409" s="3" t="s">
        <v>7326</v>
      </c>
      <c r="P409" s="19">
        <v>1.0</v>
      </c>
      <c r="Q409" s="19">
        <v>0.0</v>
      </c>
      <c r="R409" s="19">
        <v>0.0</v>
      </c>
      <c r="S409" s="19">
        <v>2.0</v>
      </c>
      <c r="T409" s="3" t="s">
        <v>131</v>
      </c>
      <c r="U409" s="3" t="s">
        <v>132</v>
      </c>
    </row>
    <row r="410">
      <c r="A410" s="3" t="s">
        <v>7963</v>
      </c>
      <c r="B410" s="3" t="s">
        <v>7234</v>
      </c>
      <c r="C410" s="29">
        <v>46125.58333333333</v>
      </c>
      <c r="D410" s="29">
        <v>46125.60416666667</v>
      </c>
      <c r="E410" s="30">
        <v>0.5</v>
      </c>
      <c r="F410" s="2"/>
      <c r="G410" s="2"/>
      <c r="H410" s="3" t="s">
        <v>7146</v>
      </c>
      <c r="I410" s="3" t="s">
        <v>7147</v>
      </c>
      <c r="J410" s="3" t="s">
        <v>7156</v>
      </c>
      <c r="K410" s="3" t="s">
        <v>7149</v>
      </c>
      <c r="L410" s="19">
        <v>4.0</v>
      </c>
      <c r="M410" s="3" t="s">
        <v>7235</v>
      </c>
      <c r="N410" s="3" t="s">
        <v>7235</v>
      </c>
      <c r="O410" s="3" t="s">
        <v>7964</v>
      </c>
      <c r="P410" s="19">
        <v>0.0</v>
      </c>
      <c r="Q410" s="19">
        <v>1.0</v>
      </c>
      <c r="R410" s="19">
        <v>0.0</v>
      </c>
      <c r="S410" s="19">
        <v>3.0</v>
      </c>
      <c r="T410" s="3" t="s">
        <v>166</v>
      </c>
      <c r="U410" s="3" t="s">
        <v>167</v>
      </c>
    </row>
    <row r="411">
      <c r="A411" s="3" t="s">
        <v>7896</v>
      </c>
      <c r="B411" s="3" t="s">
        <v>7463</v>
      </c>
      <c r="C411" s="29">
        <v>46125.60416666667</v>
      </c>
      <c r="D411" s="29">
        <v>46125.625</v>
      </c>
      <c r="E411" s="30">
        <v>0.5</v>
      </c>
      <c r="F411" s="2"/>
      <c r="G411" s="3" t="s">
        <v>7541</v>
      </c>
      <c r="H411" s="3" t="s">
        <v>7146</v>
      </c>
      <c r="I411" s="3" t="s">
        <v>7338</v>
      </c>
      <c r="J411" s="3" t="s">
        <v>7288</v>
      </c>
      <c r="K411" s="3" t="s">
        <v>7149</v>
      </c>
      <c r="L411" s="19">
        <v>1.0</v>
      </c>
      <c r="M411" s="3" t="s">
        <v>7897</v>
      </c>
      <c r="N411" s="3" t="s">
        <v>7897</v>
      </c>
      <c r="O411" s="3" t="s">
        <v>7161</v>
      </c>
      <c r="P411" s="19">
        <v>1.0</v>
      </c>
      <c r="Q411" s="19">
        <v>0.0</v>
      </c>
      <c r="R411" s="19">
        <v>0.0</v>
      </c>
      <c r="S411" s="19">
        <v>0.0</v>
      </c>
      <c r="T411" s="3" t="s">
        <v>101</v>
      </c>
      <c r="U411" s="3" t="s">
        <v>511</v>
      </c>
    </row>
    <row r="412">
      <c r="A412" s="3" t="s">
        <v>7904</v>
      </c>
      <c r="B412" s="3" t="s">
        <v>7183</v>
      </c>
      <c r="C412" s="29">
        <v>46126.5</v>
      </c>
      <c r="D412" s="29">
        <v>46126.52083333333</v>
      </c>
      <c r="E412" s="30">
        <v>0.5</v>
      </c>
      <c r="F412" s="2"/>
      <c r="G412" s="3" t="s">
        <v>7692</v>
      </c>
      <c r="H412" s="3" t="s">
        <v>7146</v>
      </c>
      <c r="I412" s="3" t="s">
        <v>7161</v>
      </c>
      <c r="J412" s="3" t="s">
        <v>7156</v>
      </c>
      <c r="K412" s="3" t="s">
        <v>7149</v>
      </c>
      <c r="L412" s="19">
        <v>2.0</v>
      </c>
      <c r="M412" s="3" t="s">
        <v>7905</v>
      </c>
      <c r="N412" s="3" t="s">
        <v>7906</v>
      </c>
      <c r="O412" s="3" t="s">
        <v>7944</v>
      </c>
      <c r="P412" s="19">
        <v>1.0</v>
      </c>
      <c r="Q412" s="19">
        <v>0.0</v>
      </c>
      <c r="R412" s="19">
        <v>1.0</v>
      </c>
      <c r="S412" s="19">
        <v>0.0</v>
      </c>
      <c r="T412" s="3" t="s">
        <v>184</v>
      </c>
      <c r="U412" s="3" t="s">
        <v>478</v>
      </c>
    </row>
    <row r="413">
      <c r="A413" s="3" t="s">
        <v>7901</v>
      </c>
      <c r="B413" s="3" t="s">
        <v>7689</v>
      </c>
      <c r="C413" s="29">
        <v>46126.5625</v>
      </c>
      <c r="D413" s="29">
        <v>46126.58333333333</v>
      </c>
      <c r="E413" s="30">
        <v>0.5</v>
      </c>
      <c r="G413" s="2"/>
      <c r="H413" s="3" t="s">
        <v>7146</v>
      </c>
      <c r="I413" s="3" t="s">
        <v>7338</v>
      </c>
      <c r="J413" s="3" t="s">
        <v>7288</v>
      </c>
      <c r="K413" s="3" t="s">
        <v>7149</v>
      </c>
      <c r="L413" s="19">
        <v>1.0</v>
      </c>
      <c r="M413" s="3" t="s">
        <v>7902</v>
      </c>
      <c r="N413" s="3" t="s">
        <v>7902</v>
      </c>
      <c r="O413" s="3" t="s">
        <v>7161</v>
      </c>
      <c r="P413" s="19">
        <v>1.0</v>
      </c>
      <c r="Q413" s="19">
        <v>0.0</v>
      </c>
      <c r="R413" s="19">
        <v>0.0</v>
      </c>
      <c r="S413" s="19">
        <v>0.0</v>
      </c>
      <c r="T413" s="3" t="s">
        <v>142</v>
      </c>
      <c r="U413" s="3" t="s">
        <v>143</v>
      </c>
    </row>
    <row r="414">
      <c r="A414" s="3" t="s">
        <v>7912</v>
      </c>
      <c r="B414" s="3" t="s">
        <v>7696</v>
      </c>
      <c r="C414" s="29">
        <v>46127.41666666667</v>
      </c>
      <c r="D414" s="29">
        <v>46127.4375</v>
      </c>
      <c r="E414" s="30">
        <v>0.5</v>
      </c>
      <c r="F414" s="2"/>
      <c r="G414" s="2"/>
      <c r="H414" s="3" t="s">
        <v>7146</v>
      </c>
      <c r="I414" s="3" t="s">
        <v>7161</v>
      </c>
      <c r="J414" s="3" t="s">
        <v>7274</v>
      </c>
      <c r="K414" s="3" t="s">
        <v>7149</v>
      </c>
      <c r="L414" s="19">
        <v>1.0</v>
      </c>
      <c r="M414" s="3" t="s">
        <v>7288</v>
      </c>
      <c r="N414" s="3" t="s">
        <v>7288</v>
      </c>
      <c r="O414" s="3" t="s">
        <v>7161</v>
      </c>
      <c r="P414" s="19">
        <v>1.0</v>
      </c>
      <c r="Q414" s="19">
        <v>0.0</v>
      </c>
      <c r="R414" s="19">
        <v>0.0</v>
      </c>
      <c r="S414" s="19">
        <v>0.0</v>
      </c>
      <c r="T414" s="2"/>
      <c r="U414" s="2"/>
    </row>
    <row r="415">
      <c r="A415" s="3" t="s">
        <v>7804</v>
      </c>
      <c r="B415" s="3" t="s">
        <v>7805</v>
      </c>
      <c r="C415" s="29">
        <v>46128.5</v>
      </c>
      <c r="D415" s="29">
        <v>46128.52083333333</v>
      </c>
      <c r="E415" s="30">
        <v>0.5</v>
      </c>
      <c r="F415" s="2"/>
      <c r="G415" s="2"/>
      <c r="H415" s="3" t="s">
        <v>7146</v>
      </c>
      <c r="I415" s="3" t="s">
        <v>7338</v>
      </c>
      <c r="J415" s="3" t="s">
        <v>7288</v>
      </c>
      <c r="K415" s="3" t="s">
        <v>7149</v>
      </c>
      <c r="L415" s="19">
        <v>1.0</v>
      </c>
      <c r="M415" s="3" t="s">
        <v>7806</v>
      </c>
      <c r="N415" s="3" t="s">
        <v>7806</v>
      </c>
      <c r="O415" s="3" t="s">
        <v>7161</v>
      </c>
      <c r="P415" s="19">
        <v>1.0</v>
      </c>
      <c r="Q415" s="19">
        <v>0.0</v>
      </c>
      <c r="R415" s="19">
        <v>0.0</v>
      </c>
      <c r="S415" s="19">
        <v>0.0</v>
      </c>
      <c r="T415" s="3" t="s">
        <v>157</v>
      </c>
      <c r="U415" s="3" t="s">
        <v>158</v>
      </c>
    </row>
    <row r="416">
      <c r="A416" s="3" t="s">
        <v>7659</v>
      </c>
      <c r="B416" s="3" t="s">
        <v>7420</v>
      </c>
      <c r="C416" s="29">
        <v>46128.52083333333</v>
      </c>
      <c r="D416" s="29">
        <v>46128.54166666667</v>
      </c>
      <c r="E416" s="30">
        <v>0.5</v>
      </c>
      <c r="F416" s="2"/>
      <c r="G416" s="2"/>
      <c r="H416" s="3" t="s">
        <v>7146</v>
      </c>
      <c r="I416" s="3" t="s">
        <v>7161</v>
      </c>
      <c r="J416" s="3" t="s">
        <v>7156</v>
      </c>
      <c r="K416" s="3" t="s">
        <v>7149</v>
      </c>
      <c r="L416" s="19">
        <v>5.0</v>
      </c>
      <c r="M416" s="3" t="s">
        <v>7571</v>
      </c>
      <c r="N416" s="3" t="s">
        <v>7571</v>
      </c>
      <c r="O416" s="3" t="s">
        <v>7970</v>
      </c>
      <c r="P416" s="19">
        <v>3.0</v>
      </c>
      <c r="Q416" s="19">
        <v>1.0</v>
      </c>
      <c r="R416" s="19">
        <v>0.0</v>
      </c>
      <c r="S416" s="19">
        <v>1.0</v>
      </c>
      <c r="T416" s="3" t="s">
        <v>125</v>
      </c>
      <c r="U416" s="3" t="s">
        <v>126</v>
      </c>
    </row>
    <row r="417">
      <c r="A417" s="3" t="s">
        <v>7927</v>
      </c>
      <c r="B417" s="3" t="s">
        <v>7928</v>
      </c>
      <c r="C417" s="29">
        <v>46128.70833333333</v>
      </c>
      <c r="D417" s="29">
        <v>46128.72916666667</v>
      </c>
      <c r="E417" s="30">
        <v>0.5</v>
      </c>
      <c r="F417" s="2"/>
      <c r="G417" s="3" t="s">
        <v>7929</v>
      </c>
      <c r="H417" s="3" t="s">
        <v>7146</v>
      </c>
      <c r="I417" s="3" t="s">
        <v>7161</v>
      </c>
      <c r="J417" s="3" t="s">
        <v>7148</v>
      </c>
      <c r="K417" s="3" t="s">
        <v>7149</v>
      </c>
      <c r="L417" s="19">
        <v>10.0</v>
      </c>
      <c r="M417" s="3" t="s">
        <v>7930</v>
      </c>
      <c r="N417" s="3" t="s">
        <v>7931</v>
      </c>
      <c r="O417" s="3" t="s">
        <v>7932</v>
      </c>
      <c r="P417" s="19">
        <v>6.0</v>
      </c>
      <c r="Q417" s="19">
        <v>0.0</v>
      </c>
      <c r="R417" s="19">
        <v>1.0</v>
      </c>
      <c r="S417" s="19">
        <v>3.0</v>
      </c>
      <c r="T417" s="3" t="s">
        <v>160</v>
      </c>
      <c r="U417" s="3" t="s">
        <v>440</v>
      </c>
    </row>
    <row r="418">
      <c r="A418" s="3" t="s">
        <v>7825</v>
      </c>
      <c r="B418" s="3" t="s">
        <v>7471</v>
      </c>
      <c r="C418" s="29">
        <v>46129.41666666667</v>
      </c>
      <c r="D418" s="29">
        <v>46129.4375</v>
      </c>
      <c r="E418" s="30">
        <v>0.5</v>
      </c>
      <c r="F418" s="2"/>
      <c r="G418" s="2"/>
      <c r="H418" s="3" t="s">
        <v>7146</v>
      </c>
      <c r="I418" s="3" t="s">
        <v>7161</v>
      </c>
      <c r="J418" s="3" t="s">
        <v>7156</v>
      </c>
      <c r="K418" s="3" t="s">
        <v>7149</v>
      </c>
      <c r="L418" s="19">
        <v>5.0</v>
      </c>
      <c r="M418" s="3" t="s">
        <v>7826</v>
      </c>
      <c r="N418" s="3" t="s">
        <v>7826</v>
      </c>
      <c r="O418" s="3" t="s">
        <v>7974</v>
      </c>
      <c r="P418" s="19">
        <v>2.0</v>
      </c>
      <c r="Q418" s="19">
        <v>0.0</v>
      </c>
      <c r="R418" s="19">
        <v>0.0</v>
      </c>
      <c r="S418" s="19">
        <v>3.0</v>
      </c>
      <c r="T418" s="3" t="s">
        <v>199</v>
      </c>
      <c r="U418" s="3" t="s">
        <v>272</v>
      </c>
    </row>
    <row r="419">
      <c r="A419" s="3" t="s">
        <v>7980</v>
      </c>
      <c r="B419" s="3" t="s">
        <v>7221</v>
      </c>
      <c r="C419" s="29">
        <v>46129.41666666667</v>
      </c>
      <c r="D419" s="29">
        <v>46129.4375</v>
      </c>
      <c r="E419" s="30">
        <v>0.5</v>
      </c>
      <c r="F419" s="2"/>
      <c r="G419" s="2"/>
      <c r="H419" s="3" t="s">
        <v>7146</v>
      </c>
      <c r="I419" s="3" t="s">
        <v>7161</v>
      </c>
      <c r="J419" s="3" t="s">
        <v>7156</v>
      </c>
      <c r="K419" s="3" t="s">
        <v>7149</v>
      </c>
      <c r="L419" s="19">
        <v>4.0</v>
      </c>
      <c r="M419" s="3" t="s">
        <v>7935</v>
      </c>
      <c r="N419" s="3" t="s">
        <v>7935</v>
      </c>
      <c r="O419" s="3" t="s">
        <v>7453</v>
      </c>
      <c r="P419" s="19">
        <v>3.0</v>
      </c>
      <c r="Q419" s="19">
        <v>0.0</v>
      </c>
      <c r="R419" s="19">
        <v>0.0</v>
      </c>
      <c r="S419" s="19">
        <v>1.0</v>
      </c>
      <c r="T419" s="3" t="s">
        <v>6608</v>
      </c>
      <c r="U419" s="3" t="s">
        <v>294</v>
      </c>
    </row>
    <row r="420">
      <c r="A420" s="3" t="s">
        <v>7679</v>
      </c>
      <c r="B420" s="3" t="s">
        <v>7546</v>
      </c>
      <c r="C420" s="29">
        <v>46129.47916666667</v>
      </c>
      <c r="D420" s="29">
        <v>46129.52083333333</v>
      </c>
      <c r="E420" s="30">
        <v>1.0</v>
      </c>
      <c r="G420" s="2"/>
      <c r="H420" s="3" t="s">
        <v>7146</v>
      </c>
      <c r="I420" s="3" t="s">
        <v>7338</v>
      </c>
      <c r="J420" s="3" t="s">
        <v>7288</v>
      </c>
      <c r="K420" s="3" t="s">
        <v>7149</v>
      </c>
      <c r="L420" s="19">
        <v>1.0</v>
      </c>
      <c r="M420" s="3" t="s">
        <v>7680</v>
      </c>
      <c r="N420" s="3" t="s">
        <v>7680</v>
      </c>
      <c r="O420" s="3" t="s">
        <v>7161</v>
      </c>
      <c r="P420" s="19">
        <v>1.0</v>
      </c>
      <c r="Q420" s="19">
        <v>0.0</v>
      </c>
      <c r="R420" s="19">
        <v>0.0</v>
      </c>
      <c r="S420" s="19">
        <v>0.0</v>
      </c>
      <c r="T420" s="3" t="s">
        <v>119</v>
      </c>
      <c r="U420" s="3" t="s">
        <v>251</v>
      </c>
    </row>
    <row r="421">
      <c r="A421" s="3" t="s">
        <v>7896</v>
      </c>
      <c r="B421" s="3" t="s">
        <v>7463</v>
      </c>
      <c r="C421" s="29">
        <v>46132.60416666667</v>
      </c>
      <c r="D421" s="29">
        <v>46132.625</v>
      </c>
      <c r="E421" s="30">
        <v>0.5</v>
      </c>
      <c r="F421" s="2"/>
      <c r="G421" s="3" t="s">
        <v>7541</v>
      </c>
      <c r="H421" s="3" t="s">
        <v>7146</v>
      </c>
      <c r="I421" s="3" t="s">
        <v>7338</v>
      </c>
      <c r="J421" s="3" t="s">
        <v>7288</v>
      </c>
      <c r="K421" s="3" t="s">
        <v>7149</v>
      </c>
      <c r="L421" s="19">
        <v>1.0</v>
      </c>
      <c r="M421" s="3" t="s">
        <v>7897</v>
      </c>
      <c r="N421" s="3" t="s">
        <v>7897</v>
      </c>
      <c r="O421" s="3" t="s">
        <v>7161</v>
      </c>
      <c r="P421" s="19">
        <v>1.0</v>
      </c>
      <c r="Q421" s="19">
        <v>0.0</v>
      </c>
      <c r="R421" s="19">
        <v>0.0</v>
      </c>
      <c r="S421" s="19">
        <v>0.0</v>
      </c>
      <c r="T421" s="3" t="s">
        <v>101</v>
      </c>
      <c r="U421" s="3" t="s">
        <v>511</v>
      </c>
    </row>
    <row r="422">
      <c r="A422" s="3" t="s">
        <v>7942</v>
      </c>
      <c r="B422" s="3" t="s">
        <v>7256</v>
      </c>
      <c r="C422" s="29">
        <v>46132.60416666667</v>
      </c>
      <c r="D422" s="29">
        <v>46132.625</v>
      </c>
      <c r="E422" s="30">
        <v>0.5</v>
      </c>
      <c r="F422" s="2"/>
      <c r="G422" s="2"/>
      <c r="H422" s="3" t="s">
        <v>7146</v>
      </c>
      <c r="I422" s="3" t="s">
        <v>7161</v>
      </c>
      <c r="J422" s="3" t="s">
        <v>7156</v>
      </c>
      <c r="K422" s="3" t="s">
        <v>7149</v>
      </c>
      <c r="L422" s="19">
        <v>3.0</v>
      </c>
      <c r="M422" s="3" t="s">
        <v>7943</v>
      </c>
      <c r="N422" s="3" t="s">
        <v>7943</v>
      </c>
      <c r="O422" s="3" t="s">
        <v>7258</v>
      </c>
      <c r="P422" s="19">
        <v>2.0</v>
      </c>
      <c r="Q422" s="19">
        <v>0.0</v>
      </c>
      <c r="R422" s="19">
        <v>0.0</v>
      </c>
      <c r="S422" s="19">
        <v>1.0</v>
      </c>
      <c r="T422" s="3" t="s">
        <v>202</v>
      </c>
      <c r="U422" s="3" t="s">
        <v>203</v>
      </c>
    </row>
    <row r="423">
      <c r="A423" s="3" t="s">
        <v>7904</v>
      </c>
      <c r="B423" s="3" t="s">
        <v>7183</v>
      </c>
      <c r="C423" s="29">
        <v>46133.5</v>
      </c>
      <c r="D423" s="29">
        <v>46133.52083333333</v>
      </c>
      <c r="E423" s="30">
        <v>0.5</v>
      </c>
      <c r="F423" s="2"/>
      <c r="G423" s="3" t="s">
        <v>7692</v>
      </c>
      <c r="H423" s="3" t="s">
        <v>7146</v>
      </c>
      <c r="I423" s="3" t="s">
        <v>7161</v>
      </c>
      <c r="J423" s="3" t="s">
        <v>7156</v>
      </c>
      <c r="K423" s="3" t="s">
        <v>7149</v>
      </c>
      <c r="L423" s="19">
        <v>2.0</v>
      </c>
      <c r="M423" s="3" t="s">
        <v>7905</v>
      </c>
      <c r="N423" s="3" t="s">
        <v>7906</v>
      </c>
      <c r="O423" s="3" t="s">
        <v>7944</v>
      </c>
      <c r="P423" s="19">
        <v>1.0</v>
      </c>
      <c r="Q423" s="19">
        <v>0.0</v>
      </c>
      <c r="R423" s="19">
        <v>1.0</v>
      </c>
      <c r="S423" s="19">
        <v>0.0</v>
      </c>
      <c r="T423" s="3" t="s">
        <v>184</v>
      </c>
      <c r="U423" s="3" t="s">
        <v>478</v>
      </c>
    </row>
    <row r="424">
      <c r="A424" s="3" t="s">
        <v>7912</v>
      </c>
      <c r="B424" s="3" t="s">
        <v>7696</v>
      </c>
      <c r="C424" s="29">
        <v>46134.41666666667</v>
      </c>
      <c r="D424" s="29">
        <v>46134.4375</v>
      </c>
      <c r="E424" s="30">
        <v>0.5</v>
      </c>
      <c r="F424" s="2"/>
      <c r="G424" s="2"/>
      <c r="H424" s="3" t="s">
        <v>7146</v>
      </c>
      <c r="I424" s="3" t="s">
        <v>7161</v>
      </c>
      <c r="J424" s="3" t="s">
        <v>7274</v>
      </c>
      <c r="K424" s="3" t="s">
        <v>7149</v>
      </c>
      <c r="L424" s="19">
        <v>1.0</v>
      </c>
      <c r="M424" s="3" t="s">
        <v>7288</v>
      </c>
      <c r="N424" s="3" t="s">
        <v>7288</v>
      </c>
      <c r="O424" s="3" t="s">
        <v>7161</v>
      </c>
      <c r="P424" s="19">
        <v>1.0</v>
      </c>
      <c r="Q424" s="19">
        <v>0.0</v>
      </c>
      <c r="R424" s="19">
        <v>0.0</v>
      </c>
      <c r="S424" s="19">
        <v>0.0</v>
      </c>
      <c r="T424" s="2"/>
      <c r="U424" s="2"/>
    </row>
    <row r="425">
      <c r="A425" s="3" t="s">
        <v>7979</v>
      </c>
      <c r="B425" s="3" t="s">
        <v>7249</v>
      </c>
      <c r="C425" s="29">
        <v>46134.54166666667</v>
      </c>
      <c r="D425" s="29">
        <v>46134.5625</v>
      </c>
      <c r="E425" s="30">
        <v>0.5</v>
      </c>
      <c r="F425" s="2"/>
      <c r="G425" s="2"/>
      <c r="H425" s="3" t="s">
        <v>7146</v>
      </c>
      <c r="I425" s="3" t="s">
        <v>7161</v>
      </c>
      <c r="J425" s="3" t="s">
        <v>7156</v>
      </c>
      <c r="K425" s="3" t="s">
        <v>7149</v>
      </c>
      <c r="L425" s="19">
        <v>2.0</v>
      </c>
      <c r="M425" s="3" t="s">
        <v>7921</v>
      </c>
      <c r="N425" s="3" t="s">
        <v>7921</v>
      </c>
      <c r="O425" s="3" t="s">
        <v>7218</v>
      </c>
      <c r="P425" s="19">
        <v>2.0</v>
      </c>
      <c r="Q425" s="19">
        <v>0.0</v>
      </c>
      <c r="R425" s="19">
        <v>0.0</v>
      </c>
      <c r="S425" s="19">
        <v>0.0</v>
      </c>
      <c r="T425" s="3" t="s">
        <v>187</v>
      </c>
      <c r="U425" s="3" t="s">
        <v>188</v>
      </c>
    </row>
    <row r="426">
      <c r="A426" s="3" t="s">
        <v>7948</v>
      </c>
      <c r="B426" s="3" t="s">
        <v>7949</v>
      </c>
      <c r="C426" s="29">
        <v>46135.35416666667</v>
      </c>
      <c r="D426" s="29">
        <v>46135.375</v>
      </c>
      <c r="E426" s="30">
        <v>0.5</v>
      </c>
      <c r="F426" s="2"/>
      <c r="G426" s="2"/>
      <c r="H426" s="3" t="s">
        <v>7146</v>
      </c>
      <c r="I426" s="3" t="s">
        <v>7338</v>
      </c>
      <c r="J426" s="3" t="s">
        <v>7288</v>
      </c>
      <c r="K426" s="3" t="s">
        <v>7149</v>
      </c>
      <c r="L426" s="19">
        <v>3.0</v>
      </c>
      <c r="M426" s="3" t="s">
        <v>7950</v>
      </c>
      <c r="N426" s="3" t="s">
        <v>7950</v>
      </c>
      <c r="O426" s="3" t="s">
        <v>7622</v>
      </c>
      <c r="P426" s="19">
        <v>0.0</v>
      </c>
      <c r="Q426" s="19">
        <v>0.0</v>
      </c>
      <c r="R426" s="19">
        <v>0.0</v>
      </c>
      <c r="S426" s="19">
        <v>3.0</v>
      </c>
      <c r="T426" s="3" t="s">
        <v>193</v>
      </c>
      <c r="U426" s="3" t="s">
        <v>544</v>
      </c>
    </row>
    <row r="427">
      <c r="A427" s="3" t="s">
        <v>7951</v>
      </c>
      <c r="B427" s="3" t="s">
        <v>7160</v>
      </c>
      <c r="C427" s="29">
        <v>46135.4375</v>
      </c>
      <c r="D427" s="29">
        <v>46135.45833333333</v>
      </c>
      <c r="E427" s="30">
        <v>0.5</v>
      </c>
      <c r="F427" s="2"/>
      <c r="G427" s="2"/>
      <c r="H427" s="3" t="s">
        <v>7146</v>
      </c>
      <c r="I427" s="3" t="s">
        <v>7161</v>
      </c>
      <c r="J427" s="3" t="s">
        <v>7156</v>
      </c>
      <c r="K427" s="3" t="s">
        <v>7149</v>
      </c>
      <c r="L427" s="19">
        <v>2.0</v>
      </c>
      <c r="M427" s="3" t="s">
        <v>7952</v>
      </c>
      <c r="N427" s="3" t="s">
        <v>7953</v>
      </c>
      <c r="O427" s="3" t="s">
        <v>7218</v>
      </c>
      <c r="P427" s="19">
        <v>2.0</v>
      </c>
      <c r="Q427" s="19">
        <v>0.0</v>
      </c>
      <c r="R427" s="19">
        <v>0.0</v>
      </c>
      <c r="S427" s="19">
        <v>0.0</v>
      </c>
      <c r="T427" s="3" t="s">
        <v>154</v>
      </c>
      <c r="U427" s="3" t="s">
        <v>329</v>
      </c>
    </row>
    <row r="428">
      <c r="A428" s="3" t="s">
        <v>7954</v>
      </c>
      <c r="B428" s="3" t="s">
        <v>7163</v>
      </c>
      <c r="C428" s="29">
        <v>46135.58333333333</v>
      </c>
      <c r="D428" s="29">
        <v>46135.60416666667</v>
      </c>
      <c r="E428" s="30">
        <v>0.5</v>
      </c>
      <c r="F428" s="2"/>
      <c r="G428" s="2"/>
      <c r="H428" s="3" t="s">
        <v>7146</v>
      </c>
      <c r="I428" s="3" t="s">
        <v>7161</v>
      </c>
      <c r="J428" s="3" t="s">
        <v>7156</v>
      </c>
      <c r="K428" s="3" t="s">
        <v>7149</v>
      </c>
      <c r="L428" s="19">
        <v>5.0</v>
      </c>
      <c r="M428" s="3" t="s">
        <v>7955</v>
      </c>
      <c r="N428" s="3" t="s">
        <v>7955</v>
      </c>
      <c r="O428" s="3" t="s">
        <v>7956</v>
      </c>
      <c r="P428" s="19">
        <v>0.0</v>
      </c>
      <c r="Q428" s="19">
        <v>3.0</v>
      </c>
      <c r="R428" s="19">
        <v>0.0</v>
      </c>
      <c r="S428" s="19">
        <v>2.0</v>
      </c>
      <c r="T428" s="3" t="s">
        <v>151</v>
      </c>
      <c r="U428" s="3" t="s">
        <v>370</v>
      </c>
    </row>
    <row r="429">
      <c r="A429" s="3" t="s">
        <v>7957</v>
      </c>
      <c r="B429" s="3" t="s">
        <v>7712</v>
      </c>
      <c r="C429" s="29">
        <v>46135.64583333333</v>
      </c>
      <c r="D429" s="29">
        <v>46135.66666666667</v>
      </c>
      <c r="E429" s="30">
        <v>0.5</v>
      </c>
      <c r="F429" s="2"/>
      <c r="G429" s="3" t="s">
        <v>7713</v>
      </c>
      <c r="H429" s="3" t="s">
        <v>7146</v>
      </c>
      <c r="I429" s="3" t="s">
        <v>7338</v>
      </c>
      <c r="J429" s="3" t="s">
        <v>7288</v>
      </c>
      <c r="K429" s="3" t="s">
        <v>7149</v>
      </c>
      <c r="L429" s="19">
        <v>5.0</v>
      </c>
      <c r="M429" s="3" t="s">
        <v>7958</v>
      </c>
      <c r="N429" s="3" t="s">
        <v>7958</v>
      </c>
      <c r="O429" s="3" t="s">
        <v>7959</v>
      </c>
      <c r="P429" s="19">
        <v>2.0</v>
      </c>
      <c r="Q429" s="19">
        <v>1.0</v>
      </c>
      <c r="R429" s="19">
        <v>1.0</v>
      </c>
      <c r="S429" s="19">
        <v>1.0</v>
      </c>
      <c r="T429" s="3" t="s">
        <v>122</v>
      </c>
      <c r="U429" s="3" t="s">
        <v>123</v>
      </c>
    </row>
    <row r="430">
      <c r="A430" s="3" t="s">
        <v>7679</v>
      </c>
      <c r="B430" s="3" t="s">
        <v>7546</v>
      </c>
      <c r="C430" s="29">
        <v>46136.47916666667</v>
      </c>
      <c r="D430" s="29">
        <v>46136.52083333333</v>
      </c>
      <c r="E430" s="30">
        <v>1.0</v>
      </c>
      <c r="F430" s="2"/>
      <c r="G430" s="2"/>
      <c r="H430" s="3" t="s">
        <v>7146</v>
      </c>
      <c r="I430" s="3" t="s">
        <v>7338</v>
      </c>
      <c r="J430" s="3" t="s">
        <v>7288</v>
      </c>
      <c r="K430" s="3" t="s">
        <v>7149</v>
      </c>
      <c r="L430" s="19">
        <v>1.0</v>
      </c>
      <c r="M430" s="3" t="s">
        <v>7680</v>
      </c>
      <c r="N430" s="3" t="s">
        <v>7680</v>
      </c>
      <c r="O430" s="3" t="s">
        <v>7161</v>
      </c>
      <c r="P430" s="19">
        <v>1.0</v>
      </c>
      <c r="Q430" s="19">
        <v>0.0</v>
      </c>
      <c r="R430" s="19">
        <v>0.0</v>
      </c>
      <c r="S430" s="19">
        <v>0.0</v>
      </c>
      <c r="T430" s="3" t="s">
        <v>119</v>
      </c>
      <c r="U430" s="3" t="s">
        <v>251</v>
      </c>
    </row>
    <row r="431">
      <c r="A431" s="3" t="s">
        <v>7960</v>
      </c>
      <c r="B431" s="3" t="s">
        <v>7961</v>
      </c>
      <c r="C431" s="29">
        <v>46139.54166666667</v>
      </c>
      <c r="D431" s="29">
        <v>46139.5625</v>
      </c>
      <c r="E431" s="30">
        <v>0.5</v>
      </c>
      <c r="F431" s="2"/>
      <c r="G431" s="3" t="s">
        <v>7962</v>
      </c>
      <c r="H431" s="3" t="s">
        <v>7146</v>
      </c>
      <c r="I431" s="3" t="s">
        <v>7338</v>
      </c>
      <c r="J431" s="3" t="s">
        <v>7288</v>
      </c>
      <c r="K431" s="3" t="s">
        <v>7149</v>
      </c>
      <c r="L431" s="19">
        <v>3.0</v>
      </c>
      <c r="M431" s="3" t="s">
        <v>7788</v>
      </c>
      <c r="N431" s="3" t="s">
        <v>7788</v>
      </c>
      <c r="O431" s="3" t="s">
        <v>7326</v>
      </c>
      <c r="P431" s="19">
        <v>1.0</v>
      </c>
      <c r="Q431" s="19">
        <v>0.0</v>
      </c>
      <c r="R431" s="19">
        <v>0.0</v>
      </c>
      <c r="S431" s="19">
        <v>2.0</v>
      </c>
      <c r="T431" s="3" t="s">
        <v>131</v>
      </c>
      <c r="U431" s="3" t="s">
        <v>132</v>
      </c>
    </row>
    <row r="432">
      <c r="A432" s="3" t="s">
        <v>7963</v>
      </c>
      <c r="B432" s="3" t="s">
        <v>7234</v>
      </c>
      <c r="C432" s="29">
        <v>46139.58333333333</v>
      </c>
      <c r="D432" s="29">
        <v>46139.60416666667</v>
      </c>
      <c r="E432" s="30">
        <v>0.5</v>
      </c>
      <c r="F432" s="2"/>
      <c r="G432" s="2"/>
      <c r="H432" s="3" t="s">
        <v>7146</v>
      </c>
      <c r="I432" s="3" t="s">
        <v>7147</v>
      </c>
      <c r="J432" s="3" t="s">
        <v>7156</v>
      </c>
      <c r="K432" s="3" t="s">
        <v>7149</v>
      </c>
      <c r="L432" s="19">
        <v>4.0</v>
      </c>
      <c r="M432" s="3" t="s">
        <v>7235</v>
      </c>
      <c r="N432" s="3" t="s">
        <v>7235</v>
      </c>
      <c r="O432" s="3" t="s">
        <v>7964</v>
      </c>
      <c r="P432" s="19">
        <v>0.0</v>
      </c>
      <c r="Q432" s="19">
        <v>1.0</v>
      </c>
      <c r="R432" s="19">
        <v>0.0</v>
      </c>
      <c r="S432" s="19">
        <v>3.0</v>
      </c>
      <c r="T432" s="3" t="s">
        <v>166</v>
      </c>
      <c r="U432" s="3" t="s">
        <v>167</v>
      </c>
    </row>
    <row r="433">
      <c r="A433" s="3" t="s">
        <v>7896</v>
      </c>
      <c r="B433" s="3" t="s">
        <v>7463</v>
      </c>
      <c r="C433" s="29">
        <v>46139.60416666667</v>
      </c>
      <c r="D433" s="29">
        <v>46139.625</v>
      </c>
      <c r="E433" s="30">
        <v>0.5</v>
      </c>
      <c r="F433" s="2"/>
      <c r="G433" s="3" t="s">
        <v>7541</v>
      </c>
      <c r="H433" s="3" t="s">
        <v>7146</v>
      </c>
      <c r="I433" s="3" t="s">
        <v>7338</v>
      </c>
      <c r="J433" s="3" t="s">
        <v>7288</v>
      </c>
      <c r="K433" s="3" t="s">
        <v>7149</v>
      </c>
      <c r="L433" s="19">
        <v>1.0</v>
      </c>
      <c r="M433" s="3" t="s">
        <v>7897</v>
      </c>
      <c r="N433" s="3" t="s">
        <v>7897</v>
      </c>
      <c r="O433" s="3" t="s">
        <v>7161</v>
      </c>
      <c r="P433" s="19">
        <v>1.0</v>
      </c>
      <c r="Q433" s="19">
        <v>0.0</v>
      </c>
      <c r="R433" s="19">
        <v>0.0</v>
      </c>
      <c r="S433" s="19">
        <v>0.0</v>
      </c>
      <c r="T433" s="3" t="s">
        <v>101</v>
      </c>
      <c r="U433" s="3" t="s">
        <v>511</v>
      </c>
    </row>
    <row r="434">
      <c r="A434" s="3" t="s">
        <v>7904</v>
      </c>
      <c r="B434" s="3" t="s">
        <v>7183</v>
      </c>
      <c r="C434" s="29">
        <v>46140.5</v>
      </c>
      <c r="D434" s="29">
        <v>46140.52083333333</v>
      </c>
      <c r="E434" s="30">
        <v>0.5</v>
      </c>
      <c r="F434" s="2"/>
      <c r="G434" s="3" t="s">
        <v>7692</v>
      </c>
      <c r="H434" s="3" t="s">
        <v>7146</v>
      </c>
      <c r="I434" s="3" t="s">
        <v>7161</v>
      </c>
      <c r="J434" s="3" t="s">
        <v>7156</v>
      </c>
      <c r="K434" s="3" t="s">
        <v>7149</v>
      </c>
      <c r="L434" s="19">
        <v>2.0</v>
      </c>
      <c r="M434" s="3" t="s">
        <v>7905</v>
      </c>
      <c r="N434" s="3" t="s">
        <v>7906</v>
      </c>
      <c r="O434" s="3" t="s">
        <v>7944</v>
      </c>
      <c r="P434" s="19">
        <v>1.0</v>
      </c>
      <c r="Q434" s="19">
        <v>0.0</v>
      </c>
      <c r="R434" s="19">
        <v>1.0</v>
      </c>
      <c r="S434" s="19">
        <v>0.0</v>
      </c>
      <c r="T434" s="3" t="s">
        <v>184</v>
      </c>
      <c r="U434" s="3" t="s">
        <v>478</v>
      </c>
    </row>
    <row r="435">
      <c r="A435" s="3" t="s">
        <v>7748</v>
      </c>
      <c r="B435" s="3" t="s">
        <v>7211</v>
      </c>
      <c r="C435" s="29">
        <v>46140.54166666667</v>
      </c>
      <c r="D435" s="29">
        <v>46140.5625</v>
      </c>
      <c r="E435" s="30">
        <v>0.5</v>
      </c>
      <c r="F435" s="2"/>
      <c r="G435" s="3" t="s">
        <v>7212</v>
      </c>
      <c r="H435" s="3" t="s">
        <v>7146</v>
      </c>
      <c r="I435" s="3" t="s">
        <v>7161</v>
      </c>
      <c r="J435" s="3" t="s">
        <v>7156</v>
      </c>
      <c r="K435" s="3" t="s">
        <v>7149</v>
      </c>
      <c r="L435" s="19">
        <v>4.0</v>
      </c>
      <c r="M435" s="3" t="s">
        <v>7213</v>
      </c>
      <c r="N435" s="3" t="s">
        <v>7213</v>
      </c>
      <c r="O435" s="3" t="s">
        <v>7965</v>
      </c>
      <c r="P435" s="19">
        <v>2.0</v>
      </c>
      <c r="Q435" s="19">
        <v>1.0</v>
      </c>
      <c r="R435" s="19">
        <v>0.0</v>
      </c>
      <c r="S435" s="19">
        <v>1.0</v>
      </c>
      <c r="T435" s="3" t="s">
        <v>175</v>
      </c>
      <c r="U435" s="3" t="s">
        <v>422</v>
      </c>
    </row>
    <row r="436">
      <c r="A436" s="3" t="s">
        <v>7901</v>
      </c>
      <c r="B436" s="3" t="s">
        <v>7689</v>
      </c>
      <c r="C436" s="29">
        <v>46140.5625</v>
      </c>
      <c r="D436" s="29">
        <v>46140.58333333333</v>
      </c>
      <c r="E436" s="30">
        <v>0.5</v>
      </c>
      <c r="F436" s="2"/>
      <c r="G436" s="2"/>
      <c r="H436" s="3" t="s">
        <v>7146</v>
      </c>
      <c r="I436" s="3" t="s">
        <v>7338</v>
      </c>
      <c r="J436" s="3" t="s">
        <v>7288</v>
      </c>
      <c r="K436" s="3" t="s">
        <v>7149</v>
      </c>
      <c r="L436" s="19">
        <v>1.0</v>
      </c>
      <c r="M436" s="3" t="s">
        <v>7902</v>
      </c>
      <c r="N436" s="3" t="s">
        <v>7902</v>
      </c>
      <c r="O436" s="3" t="s">
        <v>7161</v>
      </c>
      <c r="P436" s="19">
        <v>1.0</v>
      </c>
      <c r="Q436" s="19">
        <v>0.0</v>
      </c>
      <c r="R436" s="19">
        <v>0.0</v>
      </c>
      <c r="S436" s="19">
        <v>0.0</v>
      </c>
      <c r="T436" s="3" t="s">
        <v>142</v>
      </c>
      <c r="U436" s="3" t="s">
        <v>143</v>
      </c>
    </row>
    <row r="437">
      <c r="A437" s="3" t="s">
        <v>7966</v>
      </c>
      <c r="B437" s="3" t="s">
        <v>7967</v>
      </c>
      <c r="C437" s="29">
        <v>46140.64583333333</v>
      </c>
      <c r="D437" s="29">
        <v>46140.66666666667</v>
      </c>
      <c r="E437" s="30">
        <v>0.5</v>
      </c>
      <c r="F437" s="2"/>
      <c r="G437" s="3" t="s">
        <v>7968</v>
      </c>
      <c r="H437" s="3" t="s">
        <v>7146</v>
      </c>
      <c r="I437" s="3" t="s">
        <v>7338</v>
      </c>
      <c r="J437" s="3" t="s">
        <v>7288</v>
      </c>
      <c r="K437" s="3" t="s">
        <v>7149</v>
      </c>
      <c r="L437" s="19">
        <v>4.0</v>
      </c>
      <c r="M437" s="3" t="s">
        <v>7707</v>
      </c>
      <c r="N437" s="3" t="s">
        <v>7707</v>
      </c>
      <c r="O437" s="3" t="s">
        <v>7236</v>
      </c>
      <c r="P437" s="19">
        <v>1.0</v>
      </c>
      <c r="Q437" s="19">
        <v>0.0</v>
      </c>
      <c r="R437" s="19">
        <v>0.0</v>
      </c>
      <c r="S437" s="19">
        <v>3.0</v>
      </c>
      <c r="T437" s="3" t="s">
        <v>6450</v>
      </c>
      <c r="U437" s="3" t="s">
        <v>552</v>
      </c>
    </row>
    <row r="438">
      <c r="A438" s="3" t="s">
        <v>7912</v>
      </c>
      <c r="B438" s="3" t="s">
        <v>7696</v>
      </c>
      <c r="C438" s="29">
        <v>46141.41666666667</v>
      </c>
      <c r="D438" s="29">
        <v>46141.4375</v>
      </c>
      <c r="E438" s="30">
        <v>0.5</v>
      </c>
      <c r="F438" s="2"/>
      <c r="G438" s="2"/>
      <c r="H438" s="3" t="s">
        <v>7146</v>
      </c>
      <c r="I438" s="3" t="s">
        <v>7161</v>
      </c>
      <c r="J438" s="3" t="s">
        <v>7274</v>
      </c>
      <c r="K438" s="3" t="s">
        <v>7149</v>
      </c>
      <c r="L438" s="19">
        <v>1.0</v>
      </c>
      <c r="M438" s="3" t="s">
        <v>7288</v>
      </c>
      <c r="N438" s="3" t="s">
        <v>7288</v>
      </c>
      <c r="O438" s="3" t="s">
        <v>7161</v>
      </c>
      <c r="P438" s="19">
        <v>1.0</v>
      </c>
      <c r="Q438" s="19">
        <v>0.0</v>
      </c>
      <c r="R438" s="19">
        <v>0.0</v>
      </c>
      <c r="S438" s="19">
        <v>0.0</v>
      </c>
      <c r="T438" s="2"/>
      <c r="U438" s="2"/>
    </row>
    <row r="439">
      <c r="A439" s="3" t="s">
        <v>7791</v>
      </c>
      <c r="B439" s="3" t="s">
        <v>7266</v>
      </c>
      <c r="C439" s="29">
        <v>46142.375</v>
      </c>
      <c r="D439" s="29">
        <v>46142.39583333333</v>
      </c>
      <c r="E439" s="30">
        <v>0.5</v>
      </c>
      <c r="F439" s="2"/>
      <c r="G439" s="2"/>
      <c r="H439" s="3" t="s">
        <v>7146</v>
      </c>
      <c r="I439" s="3" t="s">
        <v>7161</v>
      </c>
      <c r="J439" s="3" t="s">
        <v>7156</v>
      </c>
      <c r="K439" s="3" t="s">
        <v>7149</v>
      </c>
      <c r="L439" s="19">
        <v>4.0</v>
      </c>
      <c r="M439" s="3" t="s">
        <v>7267</v>
      </c>
      <c r="N439" s="3" t="s">
        <v>7267</v>
      </c>
      <c r="O439" s="3" t="s">
        <v>7792</v>
      </c>
      <c r="P439" s="19">
        <v>1.0</v>
      </c>
      <c r="Q439" s="19">
        <v>1.0</v>
      </c>
      <c r="R439" s="19">
        <v>0.0</v>
      </c>
      <c r="S439" s="19">
        <v>2.0</v>
      </c>
      <c r="T439" s="3" t="s">
        <v>6752</v>
      </c>
      <c r="U439" s="3" t="s">
        <v>319</v>
      </c>
    </row>
    <row r="440">
      <c r="A440" s="3" t="s">
        <v>7969</v>
      </c>
      <c r="B440" s="3" t="s">
        <v>7262</v>
      </c>
      <c r="C440" s="29">
        <v>46142.47916666667</v>
      </c>
      <c r="D440" s="29">
        <v>46142.5</v>
      </c>
      <c r="E440" s="30">
        <v>0.5</v>
      </c>
      <c r="G440" s="2"/>
      <c r="H440" s="3" t="s">
        <v>7146</v>
      </c>
      <c r="I440" s="3" t="s">
        <v>7161</v>
      </c>
      <c r="J440" s="3" t="s">
        <v>7156</v>
      </c>
      <c r="K440" s="3" t="s">
        <v>7149</v>
      </c>
      <c r="L440" s="19">
        <v>2.0</v>
      </c>
      <c r="M440" s="3" t="s">
        <v>7263</v>
      </c>
      <c r="N440" s="3" t="s">
        <v>7263</v>
      </c>
      <c r="O440" s="3" t="s">
        <v>7218</v>
      </c>
      <c r="P440" s="19">
        <v>2.0</v>
      </c>
      <c r="Q440" s="19">
        <v>0.0</v>
      </c>
      <c r="R440" s="19">
        <v>0.0</v>
      </c>
      <c r="S440" s="19">
        <v>0.0</v>
      </c>
      <c r="T440" s="3" t="s">
        <v>128</v>
      </c>
      <c r="U440" s="3" t="s">
        <v>301</v>
      </c>
    </row>
    <row r="441">
      <c r="A441" s="3" t="s">
        <v>7804</v>
      </c>
      <c r="B441" s="3" t="s">
        <v>7805</v>
      </c>
      <c r="C441" s="29">
        <v>46142.5</v>
      </c>
      <c r="D441" s="29">
        <v>46142.52083333333</v>
      </c>
      <c r="E441" s="30">
        <v>0.5</v>
      </c>
      <c r="G441" s="2"/>
      <c r="H441" s="3" t="s">
        <v>7146</v>
      </c>
      <c r="I441" s="3" t="s">
        <v>7338</v>
      </c>
      <c r="J441" s="3" t="s">
        <v>7288</v>
      </c>
      <c r="K441" s="3" t="s">
        <v>7149</v>
      </c>
      <c r="L441" s="19">
        <v>1.0</v>
      </c>
      <c r="M441" s="3" t="s">
        <v>7806</v>
      </c>
      <c r="N441" s="3" t="s">
        <v>7806</v>
      </c>
      <c r="O441" s="3" t="s">
        <v>7161</v>
      </c>
      <c r="P441" s="19">
        <v>1.0</v>
      </c>
      <c r="Q441" s="19">
        <v>0.0</v>
      </c>
      <c r="R441" s="19">
        <v>0.0</v>
      </c>
      <c r="S441" s="19">
        <v>0.0</v>
      </c>
      <c r="T441" s="3" t="s">
        <v>157</v>
      </c>
      <c r="U441" s="3" t="s">
        <v>158</v>
      </c>
    </row>
    <row r="442">
      <c r="A442" s="3" t="s">
        <v>7659</v>
      </c>
      <c r="B442" s="3" t="s">
        <v>7420</v>
      </c>
      <c r="C442" s="29">
        <v>46142.52083333333</v>
      </c>
      <c r="D442" s="29">
        <v>46142.54166666667</v>
      </c>
      <c r="E442" s="30">
        <v>0.5</v>
      </c>
      <c r="F442" s="2"/>
      <c r="G442" s="2"/>
      <c r="H442" s="3" t="s">
        <v>7146</v>
      </c>
      <c r="I442" s="3" t="s">
        <v>7161</v>
      </c>
      <c r="J442" s="3" t="s">
        <v>7156</v>
      </c>
      <c r="K442" s="3" t="s">
        <v>7149</v>
      </c>
      <c r="L442" s="19">
        <v>5.0</v>
      </c>
      <c r="M442" s="3" t="s">
        <v>7571</v>
      </c>
      <c r="N442" s="3" t="s">
        <v>7571</v>
      </c>
      <c r="O442" s="3" t="s">
        <v>7970</v>
      </c>
      <c r="P442" s="19">
        <v>3.0</v>
      </c>
      <c r="Q442" s="19">
        <v>1.0</v>
      </c>
      <c r="R442" s="19">
        <v>0.0</v>
      </c>
      <c r="S442" s="19">
        <v>1.0</v>
      </c>
      <c r="T442" s="3" t="s">
        <v>125</v>
      </c>
      <c r="U442" s="3" t="s">
        <v>126</v>
      </c>
    </row>
    <row r="443">
      <c r="A443" s="3" t="s">
        <v>7812</v>
      </c>
      <c r="B443" s="3" t="s">
        <v>7813</v>
      </c>
      <c r="C443" s="29">
        <v>46142.5625</v>
      </c>
      <c r="D443" s="29">
        <v>46142.58333333333</v>
      </c>
      <c r="E443" s="30">
        <v>0.5</v>
      </c>
      <c r="F443" s="2"/>
      <c r="G443" s="3" t="s">
        <v>7814</v>
      </c>
      <c r="H443" s="3" t="s">
        <v>7146</v>
      </c>
      <c r="I443" s="3" t="s">
        <v>7338</v>
      </c>
      <c r="J443" s="3" t="s">
        <v>7288</v>
      </c>
      <c r="K443" s="3" t="s">
        <v>7149</v>
      </c>
      <c r="L443" s="19">
        <v>3.0</v>
      </c>
      <c r="M443" s="3" t="s">
        <v>7815</v>
      </c>
      <c r="N443" s="3" t="s">
        <v>7815</v>
      </c>
      <c r="O443" s="3" t="s">
        <v>7601</v>
      </c>
      <c r="P443" s="19">
        <v>1.0</v>
      </c>
      <c r="Q443" s="19">
        <v>0.0</v>
      </c>
      <c r="R443" s="19">
        <v>0.0</v>
      </c>
      <c r="S443" s="19">
        <v>2.0</v>
      </c>
      <c r="T443" s="3" t="s">
        <v>190</v>
      </c>
      <c r="U443" s="3" t="s">
        <v>191</v>
      </c>
    </row>
    <row r="444">
      <c r="A444" s="3" t="s">
        <v>7971</v>
      </c>
      <c r="B444" s="3" t="s">
        <v>7178</v>
      </c>
      <c r="C444" s="29">
        <v>46143.39583333333</v>
      </c>
      <c r="D444" s="29">
        <v>46143.41666666667</v>
      </c>
      <c r="E444" s="30">
        <v>0.5</v>
      </c>
      <c r="F444" s="2"/>
      <c r="G444" s="25" t="s">
        <v>7972</v>
      </c>
      <c r="H444" s="3" t="s">
        <v>7146</v>
      </c>
      <c r="I444" s="3" t="s">
        <v>7161</v>
      </c>
      <c r="J444" s="3" t="s">
        <v>7156</v>
      </c>
      <c r="K444" s="3" t="s">
        <v>7149</v>
      </c>
      <c r="L444" s="19">
        <v>3.0</v>
      </c>
      <c r="M444" s="3" t="s">
        <v>7973</v>
      </c>
      <c r="N444" s="3" t="s">
        <v>7973</v>
      </c>
      <c r="O444" s="3" t="s">
        <v>7231</v>
      </c>
      <c r="P444" s="19">
        <v>2.0</v>
      </c>
      <c r="Q444" s="19">
        <v>1.0</v>
      </c>
      <c r="R444" s="19">
        <v>0.0</v>
      </c>
      <c r="S444" s="19">
        <v>0.0</v>
      </c>
      <c r="T444" s="3" t="s">
        <v>169</v>
      </c>
      <c r="U444" s="3" t="s">
        <v>170</v>
      </c>
    </row>
    <row r="445">
      <c r="A445" s="3" t="s">
        <v>7825</v>
      </c>
      <c r="B445" s="3" t="s">
        <v>7471</v>
      </c>
      <c r="C445" s="29">
        <v>46143.41666666667</v>
      </c>
      <c r="D445" s="29">
        <v>46143.4375</v>
      </c>
      <c r="E445" s="30">
        <v>0.5</v>
      </c>
      <c r="F445" s="2"/>
      <c r="G445" s="2"/>
      <c r="H445" s="3" t="s">
        <v>7146</v>
      </c>
      <c r="I445" s="3" t="s">
        <v>7161</v>
      </c>
      <c r="J445" s="3" t="s">
        <v>7156</v>
      </c>
      <c r="K445" s="3" t="s">
        <v>7149</v>
      </c>
      <c r="L445" s="19">
        <v>5.0</v>
      </c>
      <c r="M445" s="3" t="s">
        <v>7826</v>
      </c>
      <c r="N445" s="3" t="s">
        <v>7826</v>
      </c>
      <c r="O445" s="3" t="s">
        <v>7974</v>
      </c>
      <c r="P445" s="19">
        <v>2.0</v>
      </c>
      <c r="Q445" s="19">
        <v>0.0</v>
      </c>
      <c r="R445" s="19">
        <v>0.0</v>
      </c>
      <c r="S445" s="19">
        <v>3.0</v>
      </c>
      <c r="T445" s="3" t="s">
        <v>199</v>
      </c>
      <c r="U445" s="3" t="s">
        <v>272</v>
      </c>
    </row>
    <row r="446">
      <c r="A446" s="3" t="s">
        <v>7679</v>
      </c>
      <c r="B446" s="3" t="s">
        <v>7546</v>
      </c>
      <c r="C446" s="29">
        <v>46143.47916666667</v>
      </c>
      <c r="D446" s="29">
        <v>46143.52083333333</v>
      </c>
      <c r="E446" s="30">
        <v>1.0</v>
      </c>
      <c r="F446" s="2"/>
      <c r="G446" s="2"/>
      <c r="H446" s="3" t="s">
        <v>7146</v>
      </c>
      <c r="I446" s="3" t="s">
        <v>7338</v>
      </c>
      <c r="J446" s="3" t="s">
        <v>7288</v>
      </c>
      <c r="K446" s="3" t="s">
        <v>7149</v>
      </c>
      <c r="L446" s="19">
        <v>1.0</v>
      </c>
      <c r="M446" s="3" t="s">
        <v>7680</v>
      </c>
      <c r="N446" s="3" t="s">
        <v>7680</v>
      </c>
      <c r="O446" s="3" t="s">
        <v>7161</v>
      </c>
      <c r="P446" s="19">
        <v>1.0</v>
      </c>
      <c r="Q446" s="19">
        <v>0.0</v>
      </c>
      <c r="R446" s="19">
        <v>0.0</v>
      </c>
      <c r="S446" s="19">
        <v>0.0</v>
      </c>
      <c r="T446" s="3" t="s">
        <v>119</v>
      </c>
      <c r="U446" s="3" t="s">
        <v>251</v>
      </c>
    </row>
    <row r="447">
      <c r="A447" s="3" t="s">
        <v>7975</v>
      </c>
      <c r="B447" s="3" t="s">
        <v>7167</v>
      </c>
      <c r="C447" s="29">
        <v>46143.54166666667</v>
      </c>
      <c r="D447" s="29">
        <v>46143.5625</v>
      </c>
      <c r="E447" s="30">
        <v>0.5</v>
      </c>
      <c r="F447" s="2"/>
      <c r="G447" s="2"/>
      <c r="H447" s="3" t="s">
        <v>7146</v>
      </c>
      <c r="I447" s="3" t="s">
        <v>7338</v>
      </c>
      <c r="J447" s="3" t="s">
        <v>7288</v>
      </c>
      <c r="K447" s="3" t="s">
        <v>7149</v>
      </c>
      <c r="L447" s="19">
        <v>4.0</v>
      </c>
      <c r="M447" s="3" t="s">
        <v>7169</v>
      </c>
      <c r="N447" s="3" t="s">
        <v>7170</v>
      </c>
      <c r="O447" s="3" t="s">
        <v>7268</v>
      </c>
      <c r="P447" s="19">
        <v>1.0</v>
      </c>
      <c r="Q447" s="19">
        <v>0.0</v>
      </c>
      <c r="R447" s="19">
        <v>0.0</v>
      </c>
      <c r="S447" s="19">
        <v>3.0</v>
      </c>
      <c r="T447" s="3" t="s">
        <v>205</v>
      </c>
      <c r="U447" s="3" t="s">
        <v>206</v>
      </c>
    </row>
    <row r="448">
      <c r="A448" s="3" t="s">
        <v>7982</v>
      </c>
      <c r="B448" s="3" t="s">
        <v>7203</v>
      </c>
      <c r="C448" s="29">
        <v>46146.5625</v>
      </c>
      <c r="D448" s="29">
        <v>46146.58333333333</v>
      </c>
      <c r="E448" s="30">
        <v>0.5</v>
      </c>
      <c r="G448" s="3" t="s">
        <v>7983</v>
      </c>
      <c r="H448" s="3" t="s">
        <v>7146</v>
      </c>
      <c r="I448" s="3" t="s">
        <v>7147</v>
      </c>
      <c r="J448" s="3" t="s">
        <v>7156</v>
      </c>
      <c r="K448" s="3" t="s">
        <v>7149</v>
      </c>
      <c r="L448" s="19">
        <v>7.0</v>
      </c>
      <c r="M448" s="3" t="s">
        <v>7204</v>
      </c>
      <c r="N448" s="3" t="s">
        <v>7204</v>
      </c>
      <c r="O448" s="3" t="s">
        <v>7984</v>
      </c>
      <c r="P448" s="19">
        <v>4.0</v>
      </c>
      <c r="Q448" s="19">
        <v>1.0</v>
      </c>
      <c r="R448" s="19">
        <v>0.0</v>
      </c>
      <c r="S448" s="19">
        <v>2.0</v>
      </c>
      <c r="T448" s="3" t="s">
        <v>6785</v>
      </c>
      <c r="U448" s="3" t="s">
        <v>601</v>
      </c>
    </row>
    <row r="449">
      <c r="A449" s="3" t="s">
        <v>7976</v>
      </c>
      <c r="B449" s="3" t="s">
        <v>7977</v>
      </c>
      <c r="C449" s="29">
        <v>46146.58333333333</v>
      </c>
      <c r="D449" s="29">
        <v>46146.60416666667</v>
      </c>
      <c r="E449" s="30">
        <v>0.5</v>
      </c>
      <c r="F449" s="2"/>
      <c r="G449" s="2"/>
      <c r="H449" s="3" t="s">
        <v>7146</v>
      </c>
      <c r="I449" s="3" t="s">
        <v>7338</v>
      </c>
      <c r="J449" s="3" t="s">
        <v>7288</v>
      </c>
      <c r="K449" s="3" t="s">
        <v>7149</v>
      </c>
      <c r="L449" s="19">
        <v>3.0</v>
      </c>
      <c r="M449" s="3" t="s">
        <v>7978</v>
      </c>
      <c r="N449" s="3" t="s">
        <v>7978</v>
      </c>
      <c r="O449" s="3" t="s">
        <v>7326</v>
      </c>
      <c r="P449" s="19">
        <v>1.0</v>
      </c>
      <c r="Q449" s="19">
        <v>0.0</v>
      </c>
      <c r="R449" s="19">
        <v>0.0</v>
      </c>
      <c r="S449" s="19">
        <v>2.0</v>
      </c>
      <c r="T449" s="3" t="s">
        <v>98</v>
      </c>
      <c r="U449" s="3" t="s">
        <v>99</v>
      </c>
    </row>
    <row r="450">
      <c r="A450" s="3" t="s">
        <v>7896</v>
      </c>
      <c r="B450" s="3" t="s">
        <v>7463</v>
      </c>
      <c r="C450" s="29">
        <v>46146.60416666667</v>
      </c>
      <c r="D450" s="29">
        <v>46146.625</v>
      </c>
      <c r="E450" s="30">
        <v>0.5</v>
      </c>
      <c r="F450" s="2"/>
      <c r="G450" s="3" t="s">
        <v>7541</v>
      </c>
      <c r="H450" s="3" t="s">
        <v>7146</v>
      </c>
      <c r="I450" s="3" t="s">
        <v>7338</v>
      </c>
      <c r="J450" s="3" t="s">
        <v>7288</v>
      </c>
      <c r="K450" s="3" t="s">
        <v>7149</v>
      </c>
      <c r="L450" s="19">
        <v>1.0</v>
      </c>
      <c r="M450" s="3" t="s">
        <v>7897</v>
      </c>
      <c r="N450" s="3" t="s">
        <v>7897</v>
      </c>
      <c r="O450" s="3" t="s">
        <v>7161</v>
      </c>
      <c r="P450" s="19">
        <v>1.0</v>
      </c>
      <c r="Q450" s="19">
        <v>0.0</v>
      </c>
      <c r="R450" s="19">
        <v>0.0</v>
      </c>
      <c r="S450" s="19">
        <v>0.0</v>
      </c>
      <c r="T450" s="3" t="s">
        <v>101</v>
      </c>
      <c r="U450" s="3" t="s">
        <v>511</v>
      </c>
    </row>
    <row r="451">
      <c r="A451" s="3" t="s">
        <v>7904</v>
      </c>
      <c r="B451" s="3" t="s">
        <v>7183</v>
      </c>
      <c r="C451" s="29">
        <v>46147.5</v>
      </c>
      <c r="D451" s="29">
        <v>46147.52083333333</v>
      </c>
      <c r="E451" s="30">
        <v>0.5</v>
      </c>
      <c r="F451" s="2"/>
      <c r="G451" s="3" t="s">
        <v>7692</v>
      </c>
      <c r="H451" s="3" t="s">
        <v>7146</v>
      </c>
      <c r="I451" s="3" t="s">
        <v>7161</v>
      </c>
      <c r="J451" s="3" t="s">
        <v>7156</v>
      </c>
      <c r="K451" s="3" t="s">
        <v>7149</v>
      </c>
      <c r="L451" s="19">
        <v>2.0</v>
      </c>
      <c r="M451" s="3" t="s">
        <v>7905</v>
      </c>
      <c r="N451" s="3" t="s">
        <v>7906</v>
      </c>
      <c r="O451" s="3" t="s">
        <v>7944</v>
      </c>
      <c r="P451" s="19">
        <v>1.0</v>
      </c>
      <c r="Q451" s="19">
        <v>0.0</v>
      </c>
      <c r="R451" s="19">
        <v>1.0</v>
      </c>
      <c r="S451" s="19">
        <v>0.0</v>
      </c>
      <c r="T451" s="3" t="s">
        <v>184</v>
      </c>
      <c r="U451" s="3" t="s">
        <v>478</v>
      </c>
    </row>
    <row r="452">
      <c r="A452" s="3" t="s">
        <v>7754</v>
      </c>
      <c r="B452" s="3" t="s">
        <v>7755</v>
      </c>
      <c r="C452" s="29">
        <v>46147.58333333333</v>
      </c>
      <c r="D452" s="29">
        <v>46147.60416666667</v>
      </c>
      <c r="E452" s="30">
        <v>0.5</v>
      </c>
      <c r="F452" s="2"/>
      <c r="G452" s="3" t="s">
        <v>7756</v>
      </c>
      <c r="H452" s="3" t="s">
        <v>7146</v>
      </c>
      <c r="I452" s="3" t="s">
        <v>7161</v>
      </c>
      <c r="J452" s="3" t="s">
        <v>7156</v>
      </c>
      <c r="K452" s="3" t="s">
        <v>7149</v>
      </c>
      <c r="L452" s="19">
        <v>7.0</v>
      </c>
      <c r="M452" s="3" t="s">
        <v>7757</v>
      </c>
      <c r="N452" s="3" t="s">
        <v>7758</v>
      </c>
      <c r="O452" s="3" t="s">
        <v>7759</v>
      </c>
      <c r="P452" s="19">
        <v>0.0</v>
      </c>
      <c r="Q452" s="19">
        <v>1.0</v>
      </c>
      <c r="R452" s="19">
        <v>1.0</v>
      </c>
      <c r="S452" s="19">
        <v>5.0</v>
      </c>
      <c r="T452" s="3" t="s">
        <v>110</v>
      </c>
      <c r="U452" s="3" t="s">
        <v>111</v>
      </c>
    </row>
    <row r="453">
      <c r="A453" s="3" t="s">
        <v>7912</v>
      </c>
      <c r="B453" s="3" t="s">
        <v>7696</v>
      </c>
      <c r="C453" s="29">
        <v>46148.41666666667</v>
      </c>
      <c r="D453" s="29">
        <v>46148.4375</v>
      </c>
      <c r="E453" s="30">
        <v>0.5</v>
      </c>
      <c r="F453" s="2"/>
      <c r="G453" s="2"/>
      <c r="H453" s="3" t="s">
        <v>7146</v>
      </c>
      <c r="I453" s="3" t="s">
        <v>7161</v>
      </c>
      <c r="J453" s="3" t="s">
        <v>7274</v>
      </c>
      <c r="K453" s="3" t="s">
        <v>7149</v>
      </c>
      <c r="L453" s="19">
        <v>1.0</v>
      </c>
      <c r="M453" s="3" t="s">
        <v>7288</v>
      </c>
      <c r="N453" s="3" t="s">
        <v>7288</v>
      </c>
      <c r="O453" s="3" t="s">
        <v>7161</v>
      </c>
      <c r="P453" s="19">
        <v>1.0</v>
      </c>
      <c r="Q453" s="19">
        <v>0.0</v>
      </c>
      <c r="R453" s="19">
        <v>0.0</v>
      </c>
      <c r="S453" s="19">
        <v>0.0</v>
      </c>
      <c r="T453" s="2"/>
      <c r="U453" s="2"/>
    </row>
    <row r="454">
      <c r="A454" s="3" t="s">
        <v>7979</v>
      </c>
      <c r="B454" s="3" t="s">
        <v>7249</v>
      </c>
      <c r="C454" s="29">
        <v>46148.54166666667</v>
      </c>
      <c r="D454" s="29">
        <v>46148.5625</v>
      </c>
      <c r="E454" s="30">
        <v>0.5</v>
      </c>
      <c r="F454" s="2"/>
      <c r="G454" s="2"/>
      <c r="H454" s="3" t="s">
        <v>7146</v>
      </c>
      <c r="I454" s="3" t="s">
        <v>7161</v>
      </c>
      <c r="J454" s="3" t="s">
        <v>7156</v>
      </c>
      <c r="K454" s="3" t="s">
        <v>7149</v>
      </c>
      <c r="L454" s="19">
        <v>2.0</v>
      </c>
      <c r="M454" s="3" t="s">
        <v>7921</v>
      </c>
      <c r="N454" s="3" t="s">
        <v>7921</v>
      </c>
      <c r="O454" s="3" t="s">
        <v>7218</v>
      </c>
      <c r="P454" s="19">
        <v>2.0</v>
      </c>
      <c r="Q454" s="19">
        <v>0.0</v>
      </c>
      <c r="R454" s="19">
        <v>0.0</v>
      </c>
      <c r="S454" s="19">
        <v>0.0</v>
      </c>
      <c r="T454" s="3" t="s">
        <v>187</v>
      </c>
      <c r="U454" s="3" t="s">
        <v>188</v>
      </c>
    </row>
    <row r="455">
      <c r="A455" s="3" t="s">
        <v>7794</v>
      </c>
      <c r="B455" s="3" t="s">
        <v>7795</v>
      </c>
      <c r="C455" s="29">
        <v>46149.39583333333</v>
      </c>
      <c r="D455" s="29">
        <v>46149.41666666667</v>
      </c>
      <c r="E455" s="30">
        <v>0.5</v>
      </c>
      <c r="F455" s="2"/>
      <c r="G455" s="2"/>
      <c r="H455" s="3" t="s">
        <v>7146</v>
      </c>
      <c r="I455" s="3" t="s">
        <v>7161</v>
      </c>
      <c r="J455" s="3" t="s">
        <v>7168</v>
      </c>
      <c r="K455" s="3" t="s">
        <v>7149</v>
      </c>
      <c r="L455" s="19">
        <v>6.0</v>
      </c>
      <c r="M455" s="3" t="s">
        <v>7196</v>
      </c>
      <c r="N455" s="3" t="s">
        <v>7196</v>
      </c>
      <c r="O455" s="3" t="s">
        <v>7197</v>
      </c>
      <c r="P455" s="19">
        <v>4.0</v>
      </c>
      <c r="Q455" s="19">
        <v>0.0</v>
      </c>
      <c r="R455" s="19">
        <v>0.0</v>
      </c>
      <c r="S455" s="19">
        <v>2.0</v>
      </c>
      <c r="T455" s="3" t="s">
        <v>178</v>
      </c>
      <c r="U455" s="3" t="s">
        <v>179</v>
      </c>
    </row>
    <row r="456">
      <c r="A456" s="3" t="s">
        <v>7951</v>
      </c>
      <c r="B456" s="3" t="s">
        <v>7160</v>
      </c>
      <c r="C456" s="29">
        <v>46149.4375</v>
      </c>
      <c r="D456" s="29">
        <v>46149.45833333333</v>
      </c>
      <c r="E456" s="30">
        <v>0.5</v>
      </c>
      <c r="F456" s="2"/>
      <c r="G456" s="2"/>
      <c r="H456" s="3" t="s">
        <v>7146</v>
      </c>
      <c r="I456" s="3" t="s">
        <v>7161</v>
      </c>
      <c r="J456" s="3" t="s">
        <v>7156</v>
      </c>
      <c r="K456" s="3" t="s">
        <v>7149</v>
      </c>
      <c r="L456" s="19">
        <v>2.0</v>
      </c>
      <c r="M456" s="3" t="s">
        <v>7952</v>
      </c>
      <c r="N456" s="3" t="s">
        <v>7953</v>
      </c>
      <c r="O456" s="3" t="s">
        <v>7218</v>
      </c>
      <c r="P456" s="19">
        <v>2.0</v>
      </c>
      <c r="Q456" s="19">
        <v>0.0</v>
      </c>
      <c r="R456" s="19">
        <v>0.0</v>
      </c>
      <c r="S456" s="19">
        <v>0.0</v>
      </c>
      <c r="T456" s="3" t="s">
        <v>154</v>
      </c>
      <c r="U456" s="3" t="s">
        <v>329</v>
      </c>
    </row>
    <row r="457">
      <c r="A457" s="3" t="s">
        <v>7954</v>
      </c>
      <c r="B457" s="3" t="s">
        <v>7163</v>
      </c>
      <c r="C457" s="29">
        <v>46149.58333333333</v>
      </c>
      <c r="D457" s="29">
        <v>46149.60416666667</v>
      </c>
      <c r="E457" s="30">
        <v>0.5</v>
      </c>
      <c r="F457" s="2"/>
      <c r="G457" s="2"/>
      <c r="H457" s="3" t="s">
        <v>7146</v>
      </c>
      <c r="I457" s="3" t="s">
        <v>7161</v>
      </c>
      <c r="J457" s="3" t="s">
        <v>7156</v>
      </c>
      <c r="K457" s="3" t="s">
        <v>7149</v>
      </c>
      <c r="L457" s="19">
        <v>5.0</v>
      </c>
      <c r="M457" s="3" t="s">
        <v>7955</v>
      </c>
      <c r="N457" s="3" t="s">
        <v>7955</v>
      </c>
      <c r="O457" s="3" t="s">
        <v>7956</v>
      </c>
      <c r="P457" s="19">
        <v>0.0</v>
      </c>
      <c r="Q457" s="19">
        <v>3.0</v>
      </c>
      <c r="R457" s="19">
        <v>0.0</v>
      </c>
      <c r="S457" s="19">
        <v>2.0</v>
      </c>
      <c r="T457" s="3" t="s">
        <v>151</v>
      </c>
      <c r="U457" s="3" t="s">
        <v>370</v>
      </c>
    </row>
    <row r="458">
      <c r="A458" s="3" t="s">
        <v>7679</v>
      </c>
      <c r="B458" s="3" t="s">
        <v>7546</v>
      </c>
      <c r="C458" s="29">
        <v>46150.47916666667</v>
      </c>
      <c r="D458" s="29">
        <v>46150.52083333333</v>
      </c>
      <c r="E458" s="30">
        <v>1.0</v>
      </c>
      <c r="F458" s="2"/>
      <c r="G458" s="2"/>
      <c r="H458" s="3" t="s">
        <v>7146</v>
      </c>
      <c r="I458" s="3" t="s">
        <v>7338</v>
      </c>
      <c r="J458" s="3" t="s">
        <v>7288</v>
      </c>
      <c r="K458" s="3" t="s">
        <v>7149</v>
      </c>
      <c r="L458" s="19">
        <v>1.0</v>
      </c>
      <c r="M458" s="3" t="s">
        <v>7680</v>
      </c>
      <c r="N458" s="3" t="s">
        <v>7680</v>
      </c>
      <c r="O458" s="3" t="s">
        <v>7161</v>
      </c>
      <c r="P458" s="19">
        <v>1.0</v>
      </c>
      <c r="Q458" s="19">
        <v>0.0</v>
      </c>
      <c r="R458" s="19">
        <v>0.0</v>
      </c>
      <c r="S458" s="19">
        <v>0.0</v>
      </c>
      <c r="T458" s="3" t="s">
        <v>119</v>
      </c>
      <c r="U458" s="3" t="s">
        <v>251</v>
      </c>
    </row>
    <row r="459">
      <c r="A459" s="3" t="s">
        <v>7960</v>
      </c>
      <c r="B459" s="3" t="s">
        <v>7961</v>
      </c>
      <c r="C459" s="29">
        <v>46153.54166666667</v>
      </c>
      <c r="D459" s="29">
        <v>46153.5625</v>
      </c>
      <c r="E459" s="30">
        <v>0.5</v>
      </c>
      <c r="F459" s="2"/>
      <c r="G459" s="3" t="s">
        <v>7962</v>
      </c>
      <c r="H459" s="3" t="s">
        <v>7146</v>
      </c>
      <c r="I459" s="3" t="s">
        <v>7338</v>
      </c>
      <c r="J459" s="3" t="s">
        <v>7288</v>
      </c>
      <c r="K459" s="3" t="s">
        <v>7149</v>
      </c>
      <c r="L459" s="19">
        <v>3.0</v>
      </c>
      <c r="M459" s="3" t="s">
        <v>7788</v>
      </c>
      <c r="N459" s="3" t="s">
        <v>7788</v>
      </c>
      <c r="O459" s="3" t="s">
        <v>7326</v>
      </c>
      <c r="P459" s="19">
        <v>1.0</v>
      </c>
      <c r="Q459" s="19">
        <v>0.0</v>
      </c>
      <c r="R459" s="19">
        <v>0.0</v>
      </c>
      <c r="S459" s="19">
        <v>2.0</v>
      </c>
      <c r="T459" s="3" t="s">
        <v>131</v>
      </c>
      <c r="U459" s="3" t="s">
        <v>132</v>
      </c>
    </row>
    <row r="460">
      <c r="A460" s="3" t="s">
        <v>7963</v>
      </c>
      <c r="B460" s="3" t="s">
        <v>7234</v>
      </c>
      <c r="C460" s="29">
        <v>46153.58333333333</v>
      </c>
      <c r="D460" s="29">
        <v>46153.60416666667</v>
      </c>
      <c r="E460" s="30">
        <v>0.5</v>
      </c>
      <c r="F460" s="2"/>
      <c r="G460" s="2"/>
      <c r="H460" s="3" t="s">
        <v>7146</v>
      </c>
      <c r="I460" s="3" t="s">
        <v>7147</v>
      </c>
      <c r="J460" s="3" t="s">
        <v>7156</v>
      </c>
      <c r="K460" s="3" t="s">
        <v>7149</v>
      </c>
      <c r="L460" s="19">
        <v>4.0</v>
      </c>
      <c r="M460" s="3" t="s">
        <v>7235</v>
      </c>
      <c r="N460" s="3" t="s">
        <v>7235</v>
      </c>
      <c r="O460" s="3" t="s">
        <v>7964</v>
      </c>
      <c r="P460" s="19">
        <v>0.0</v>
      </c>
      <c r="Q460" s="19">
        <v>1.0</v>
      </c>
      <c r="R460" s="19">
        <v>0.0</v>
      </c>
      <c r="S460" s="19">
        <v>3.0</v>
      </c>
      <c r="T460" s="3" t="s">
        <v>166</v>
      </c>
      <c r="U460" s="3" t="s">
        <v>167</v>
      </c>
    </row>
    <row r="461">
      <c r="A461" s="3" t="s">
        <v>7896</v>
      </c>
      <c r="B461" s="3" t="s">
        <v>7463</v>
      </c>
      <c r="C461" s="29">
        <v>46153.60416666667</v>
      </c>
      <c r="D461" s="29">
        <v>46153.625</v>
      </c>
      <c r="E461" s="30">
        <v>0.5</v>
      </c>
      <c r="F461" s="2"/>
      <c r="G461" s="3" t="s">
        <v>7541</v>
      </c>
      <c r="H461" s="3" t="s">
        <v>7146</v>
      </c>
      <c r="I461" s="3" t="s">
        <v>7338</v>
      </c>
      <c r="J461" s="3" t="s">
        <v>7288</v>
      </c>
      <c r="K461" s="3" t="s">
        <v>7149</v>
      </c>
      <c r="L461" s="19">
        <v>1.0</v>
      </c>
      <c r="M461" s="3" t="s">
        <v>7897</v>
      </c>
      <c r="N461" s="3" t="s">
        <v>7897</v>
      </c>
      <c r="O461" s="3" t="s">
        <v>7161</v>
      </c>
      <c r="P461" s="19">
        <v>1.0</v>
      </c>
      <c r="Q461" s="19">
        <v>0.0</v>
      </c>
      <c r="R461" s="19">
        <v>0.0</v>
      </c>
      <c r="S461" s="19">
        <v>0.0</v>
      </c>
      <c r="T461" s="3" t="s">
        <v>101</v>
      </c>
      <c r="U461" s="3" t="s">
        <v>511</v>
      </c>
    </row>
    <row r="462">
      <c r="A462" s="3" t="s">
        <v>7904</v>
      </c>
      <c r="B462" s="3" t="s">
        <v>7183</v>
      </c>
      <c r="C462" s="29">
        <v>46154.5</v>
      </c>
      <c r="D462" s="29">
        <v>46154.52083333333</v>
      </c>
      <c r="E462" s="30">
        <v>0.5</v>
      </c>
      <c r="F462" s="2"/>
      <c r="G462" s="3" t="s">
        <v>7692</v>
      </c>
      <c r="H462" s="3" t="s">
        <v>7146</v>
      </c>
      <c r="I462" s="3" t="s">
        <v>7161</v>
      </c>
      <c r="J462" s="3" t="s">
        <v>7156</v>
      </c>
      <c r="K462" s="3" t="s">
        <v>7149</v>
      </c>
      <c r="L462" s="19">
        <v>2.0</v>
      </c>
      <c r="M462" s="3" t="s">
        <v>7905</v>
      </c>
      <c r="N462" s="3" t="s">
        <v>7906</v>
      </c>
      <c r="O462" s="3" t="s">
        <v>7944</v>
      </c>
      <c r="P462" s="19">
        <v>1.0</v>
      </c>
      <c r="Q462" s="19">
        <v>0.0</v>
      </c>
      <c r="R462" s="19">
        <v>1.0</v>
      </c>
      <c r="S462" s="19">
        <v>0.0</v>
      </c>
      <c r="T462" s="3" t="s">
        <v>184</v>
      </c>
      <c r="U462" s="3" t="s">
        <v>478</v>
      </c>
    </row>
    <row r="463">
      <c r="A463" s="3" t="s">
        <v>7901</v>
      </c>
      <c r="B463" s="3" t="s">
        <v>7689</v>
      </c>
      <c r="C463" s="29">
        <v>46154.5625</v>
      </c>
      <c r="D463" s="29">
        <v>46154.58333333333</v>
      </c>
      <c r="E463" s="30">
        <v>0.5</v>
      </c>
      <c r="F463" s="2"/>
      <c r="G463" s="2"/>
      <c r="H463" s="3" t="s">
        <v>7146</v>
      </c>
      <c r="I463" s="3" t="s">
        <v>7338</v>
      </c>
      <c r="J463" s="3" t="s">
        <v>7288</v>
      </c>
      <c r="K463" s="3" t="s">
        <v>7149</v>
      </c>
      <c r="L463" s="19">
        <v>1.0</v>
      </c>
      <c r="M463" s="3" t="s">
        <v>7902</v>
      </c>
      <c r="N463" s="3" t="s">
        <v>7902</v>
      </c>
      <c r="O463" s="3" t="s">
        <v>7161</v>
      </c>
      <c r="P463" s="19">
        <v>1.0</v>
      </c>
      <c r="Q463" s="19">
        <v>0.0</v>
      </c>
      <c r="R463" s="19">
        <v>0.0</v>
      </c>
      <c r="S463" s="19">
        <v>0.0</v>
      </c>
      <c r="T463" s="3" t="s">
        <v>142</v>
      </c>
      <c r="U463" s="3" t="s">
        <v>143</v>
      </c>
    </row>
    <row r="464">
      <c r="A464" s="3" t="s">
        <v>7912</v>
      </c>
      <c r="B464" s="3" t="s">
        <v>7696</v>
      </c>
      <c r="C464" s="29">
        <v>46155.41666666667</v>
      </c>
      <c r="D464" s="29">
        <v>46155.4375</v>
      </c>
      <c r="E464" s="30">
        <v>0.5</v>
      </c>
      <c r="F464" s="2"/>
      <c r="G464" s="2"/>
      <c r="H464" s="3" t="s">
        <v>7146</v>
      </c>
      <c r="I464" s="3" t="s">
        <v>7161</v>
      </c>
      <c r="J464" s="3" t="s">
        <v>7274</v>
      </c>
      <c r="K464" s="3" t="s">
        <v>7149</v>
      </c>
      <c r="L464" s="19">
        <v>1.0</v>
      </c>
      <c r="M464" s="3" t="s">
        <v>7288</v>
      </c>
      <c r="N464" s="3" t="s">
        <v>7288</v>
      </c>
      <c r="O464" s="3" t="s">
        <v>7161</v>
      </c>
      <c r="P464" s="19">
        <v>1.0</v>
      </c>
      <c r="Q464" s="19">
        <v>0.0</v>
      </c>
      <c r="R464" s="19">
        <v>0.0</v>
      </c>
      <c r="S464" s="19">
        <v>0.0</v>
      </c>
      <c r="T464" s="2"/>
      <c r="U464" s="2"/>
    </row>
    <row r="465">
      <c r="A465" s="3" t="s">
        <v>7867</v>
      </c>
      <c r="B465" s="3" t="s">
        <v>7246</v>
      </c>
      <c r="C465" s="29">
        <v>46156.35416666667</v>
      </c>
      <c r="D465" s="29">
        <v>46156.58333333333</v>
      </c>
      <c r="E465" s="30">
        <v>5.5</v>
      </c>
      <c r="G465" s="3" t="s">
        <v>7247</v>
      </c>
      <c r="H465" s="3" t="s">
        <v>7146</v>
      </c>
      <c r="I465" s="3" t="s">
        <v>7240</v>
      </c>
      <c r="J465" s="3" t="s">
        <v>7241</v>
      </c>
      <c r="K465" s="3" t="s">
        <v>7149</v>
      </c>
      <c r="L465" s="19">
        <v>2.0</v>
      </c>
      <c r="M465" s="3" t="s">
        <v>7242</v>
      </c>
      <c r="N465" s="3" t="s">
        <v>7243</v>
      </c>
      <c r="O465" s="3" t="s">
        <v>7244</v>
      </c>
      <c r="P465" s="19">
        <v>0.0</v>
      </c>
      <c r="Q465" s="19">
        <v>0.0</v>
      </c>
      <c r="R465" s="19">
        <v>0.0</v>
      </c>
      <c r="S465" s="19">
        <v>2.0</v>
      </c>
      <c r="T465" s="2"/>
      <c r="U465" s="2"/>
    </row>
    <row r="466">
      <c r="A466" s="3" t="s">
        <v>7804</v>
      </c>
      <c r="B466" s="3" t="s">
        <v>7805</v>
      </c>
      <c r="C466" s="29">
        <v>46156.5</v>
      </c>
      <c r="D466" s="29">
        <v>46156.52083333333</v>
      </c>
      <c r="E466" s="30">
        <v>0.5</v>
      </c>
      <c r="F466" s="2"/>
      <c r="G466" s="2"/>
      <c r="H466" s="3" t="s">
        <v>7146</v>
      </c>
      <c r="I466" s="3" t="s">
        <v>7338</v>
      </c>
      <c r="J466" s="3" t="s">
        <v>7288</v>
      </c>
      <c r="K466" s="3" t="s">
        <v>7149</v>
      </c>
      <c r="L466" s="19">
        <v>1.0</v>
      </c>
      <c r="M466" s="3" t="s">
        <v>7806</v>
      </c>
      <c r="N466" s="3" t="s">
        <v>7806</v>
      </c>
      <c r="O466" s="3" t="s">
        <v>7161</v>
      </c>
      <c r="P466" s="19">
        <v>1.0</v>
      </c>
      <c r="Q466" s="19">
        <v>0.0</v>
      </c>
      <c r="R466" s="19">
        <v>0.0</v>
      </c>
      <c r="S466" s="19">
        <v>0.0</v>
      </c>
      <c r="T466" s="3" t="s">
        <v>157</v>
      </c>
      <c r="U466" s="3" t="s">
        <v>158</v>
      </c>
    </row>
    <row r="467">
      <c r="A467" s="3" t="s">
        <v>7659</v>
      </c>
      <c r="B467" s="3" t="s">
        <v>7420</v>
      </c>
      <c r="C467" s="29">
        <v>46156.52083333333</v>
      </c>
      <c r="D467" s="29">
        <v>46156.54166666667</v>
      </c>
      <c r="E467" s="30">
        <v>0.5</v>
      </c>
      <c r="F467" s="2"/>
      <c r="G467" s="2"/>
      <c r="H467" s="3" t="s">
        <v>7146</v>
      </c>
      <c r="I467" s="3" t="s">
        <v>7161</v>
      </c>
      <c r="J467" s="3" t="s">
        <v>7156</v>
      </c>
      <c r="K467" s="3" t="s">
        <v>7149</v>
      </c>
      <c r="L467" s="19">
        <v>5.0</v>
      </c>
      <c r="M467" s="3" t="s">
        <v>7571</v>
      </c>
      <c r="N467" s="3" t="s">
        <v>7571</v>
      </c>
      <c r="O467" s="3" t="s">
        <v>7970</v>
      </c>
      <c r="P467" s="19">
        <v>3.0</v>
      </c>
      <c r="Q467" s="19">
        <v>1.0</v>
      </c>
      <c r="R467" s="19">
        <v>0.0</v>
      </c>
      <c r="S467" s="19">
        <v>1.0</v>
      </c>
      <c r="T467" s="3" t="s">
        <v>125</v>
      </c>
      <c r="U467" s="3" t="s">
        <v>126</v>
      </c>
    </row>
    <row r="468">
      <c r="A468" s="3" t="s">
        <v>7825</v>
      </c>
      <c r="B468" s="3" t="s">
        <v>7471</v>
      </c>
      <c r="C468" s="29">
        <v>46157.41666666667</v>
      </c>
      <c r="D468" s="29">
        <v>46157.4375</v>
      </c>
      <c r="E468" s="30">
        <v>0.5</v>
      </c>
      <c r="F468" s="2"/>
      <c r="G468" s="2"/>
      <c r="H468" s="3" t="s">
        <v>7146</v>
      </c>
      <c r="I468" s="3" t="s">
        <v>7161</v>
      </c>
      <c r="J468" s="3" t="s">
        <v>7156</v>
      </c>
      <c r="K468" s="3" t="s">
        <v>7149</v>
      </c>
      <c r="L468" s="19">
        <v>5.0</v>
      </c>
      <c r="M468" s="3" t="s">
        <v>7826</v>
      </c>
      <c r="N468" s="3" t="s">
        <v>7826</v>
      </c>
      <c r="O468" s="3" t="s">
        <v>7974</v>
      </c>
      <c r="P468" s="19">
        <v>2.0</v>
      </c>
      <c r="Q468" s="19">
        <v>0.0</v>
      </c>
      <c r="R468" s="19">
        <v>0.0</v>
      </c>
      <c r="S468" s="19">
        <v>3.0</v>
      </c>
      <c r="T468" s="3" t="s">
        <v>199</v>
      </c>
      <c r="U468" s="3" t="s">
        <v>272</v>
      </c>
    </row>
    <row r="469">
      <c r="A469" s="3" t="s">
        <v>7980</v>
      </c>
      <c r="B469" s="3" t="s">
        <v>7221</v>
      </c>
      <c r="C469" s="29">
        <v>46157.41666666667</v>
      </c>
      <c r="D469" s="29">
        <v>46157.4375</v>
      </c>
      <c r="E469" s="30">
        <v>0.5</v>
      </c>
      <c r="F469" s="2"/>
      <c r="G469" s="2"/>
      <c r="H469" s="3" t="s">
        <v>7146</v>
      </c>
      <c r="I469" s="3" t="s">
        <v>7161</v>
      </c>
      <c r="J469" s="3" t="s">
        <v>7156</v>
      </c>
      <c r="K469" s="3" t="s">
        <v>7149</v>
      </c>
      <c r="L469" s="19">
        <v>4.0</v>
      </c>
      <c r="M469" s="3" t="s">
        <v>7935</v>
      </c>
      <c r="N469" s="3" t="s">
        <v>7935</v>
      </c>
      <c r="O469" s="3" t="s">
        <v>7453</v>
      </c>
      <c r="P469" s="19">
        <v>3.0</v>
      </c>
      <c r="Q469" s="19">
        <v>0.0</v>
      </c>
      <c r="R469" s="19">
        <v>0.0</v>
      </c>
      <c r="S469" s="19">
        <v>1.0</v>
      </c>
      <c r="T469" s="3" t="s">
        <v>6608</v>
      </c>
      <c r="U469" s="3" t="s">
        <v>294</v>
      </c>
    </row>
    <row r="470">
      <c r="A470" s="3" t="s">
        <v>7679</v>
      </c>
      <c r="B470" s="3" t="s">
        <v>7546</v>
      </c>
      <c r="C470" s="29">
        <v>46157.47916666667</v>
      </c>
      <c r="D470" s="29">
        <v>46157.52083333333</v>
      </c>
      <c r="E470" s="30">
        <v>1.0</v>
      </c>
      <c r="F470" s="2"/>
      <c r="G470" s="2"/>
      <c r="H470" s="3" t="s">
        <v>7146</v>
      </c>
      <c r="I470" s="3" t="s">
        <v>7338</v>
      </c>
      <c r="J470" s="3" t="s">
        <v>7288</v>
      </c>
      <c r="K470" s="3" t="s">
        <v>7149</v>
      </c>
      <c r="L470" s="19">
        <v>1.0</v>
      </c>
      <c r="M470" s="3" t="s">
        <v>7680</v>
      </c>
      <c r="N470" s="3" t="s">
        <v>7680</v>
      </c>
      <c r="O470" s="3" t="s">
        <v>7161</v>
      </c>
      <c r="P470" s="19">
        <v>1.0</v>
      </c>
      <c r="Q470" s="19">
        <v>0.0</v>
      </c>
      <c r="R470" s="19">
        <v>0.0</v>
      </c>
      <c r="S470" s="19">
        <v>0.0</v>
      </c>
      <c r="T470" s="3" t="s">
        <v>119</v>
      </c>
      <c r="U470" s="3" t="s">
        <v>251</v>
      </c>
    </row>
    <row r="471">
      <c r="A471" s="3" t="s">
        <v>7896</v>
      </c>
      <c r="B471" s="3" t="s">
        <v>7463</v>
      </c>
      <c r="C471" s="29">
        <v>46160.60416666667</v>
      </c>
      <c r="D471" s="29">
        <v>46160.625</v>
      </c>
      <c r="E471" s="30">
        <v>0.5</v>
      </c>
      <c r="F471" s="2"/>
      <c r="G471" s="3" t="s">
        <v>7541</v>
      </c>
      <c r="H471" s="3" t="s">
        <v>7146</v>
      </c>
      <c r="I471" s="3" t="s">
        <v>7338</v>
      </c>
      <c r="J471" s="3" t="s">
        <v>7288</v>
      </c>
      <c r="K471" s="3" t="s">
        <v>7149</v>
      </c>
      <c r="L471" s="19">
        <v>1.0</v>
      </c>
      <c r="M471" s="3" t="s">
        <v>7897</v>
      </c>
      <c r="N471" s="3" t="s">
        <v>7897</v>
      </c>
      <c r="O471" s="3" t="s">
        <v>7161</v>
      </c>
      <c r="P471" s="19">
        <v>1.0</v>
      </c>
      <c r="Q471" s="19">
        <v>0.0</v>
      </c>
      <c r="R471" s="19">
        <v>0.0</v>
      </c>
      <c r="S471" s="19">
        <v>0.0</v>
      </c>
      <c r="T471" s="3" t="s">
        <v>101</v>
      </c>
      <c r="U471" s="3" t="s">
        <v>511</v>
      </c>
    </row>
    <row r="472">
      <c r="A472" s="3" t="s">
        <v>7942</v>
      </c>
      <c r="B472" s="3" t="s">
        <v>7256</v>
      </c>
      <c r="C472" s="29">
        <v>46160.60416666667</v>
      </c>
      <c r="D472" s="29">
        <v>46160.625</v>
      </c>
      <c r="E472" s="30">
        <v>0.5</v>
      </c>
      <c r="F472" s="2"/>
      <c r="G472" s="2"/>
      <c r="H472" s="3" t="s">
        <v>7146</v>
      </c>
      <c r="I472" s="3" t="s">
        <v>7161</v>
      </c>
      <c r="J472" s="3" t="s">
        <v>7156</v>
      </c>
      <c r="K472" s="3" t="s">
        <v>7149</v>
      </c>
      <c r="L472" s="19">
        <v>3.0</v>
      </c>
      <c r="M472" s="3" t="s">
        <v>7943</v>
      </c>
      <c r="N472" s="3" t="s">
        <v>7943</v>
      </c>
      <c r="O472" s="3" t="s">
        <v>7258</v>
      </c>
      <c r="P472" s="19">
        <v>2.0</v>
      </c>
      <c r="Q472" s="19">
        <v>0.0</v>
      </c>
      <c r="R472" s="19">
        <v>0.0</v>
      </c>
      <c r="S472" s="19">
        <v>1.0</v>
      </c>
      <c r="T472" s="3" t="s">
        <v>202</v>
      </c>
      <c r="U472" s="3" t="s">
        <v>203</v>
      </c>
    </row>
    <row r="473">
      <c r="A473" s="3" t="s">
        <v>7904</v>
      </c>
      <c r="B473" s="3" t="s">
        <v>7183</v>
      </c>
      <c r="C473" s="29">
        <v>46161.5</v>
      </c>
      <c r="D473" s="29">
        <v>46161.52083333333</v>
      </c>
      <c r="E473" s="30">
        <v>0.5</v>
      </c>
      <c r="F473" s="2"/>
      <c r="G473" s="3" t="s">
        <v>7692</v>
      </c>
      <c r="H473" s="3" t="s">
        <v>7146</v>
      </c>
      <c r="I473" s="3" t="s">
        <v>7161</v>
      </c>
      <c r="J473" s="3" t="s">
        <v>7156</v>
      </c>
      <c r="K473" s="3" t="s">
        <v>7149</v>
      </c>
      <c r="L473" s="19">
        <v>2.0</v>
      </c>
      <c r="M473" s="3" t="s">
        <v>7905</v>
      </c>
      <c r="N473" s="3" t="s">
        <v>7906</v>
      </c>
      <c r="O473" s="3" t="s">
        <v>7944</v>
      </c>
      <c r="P473" s="19">
        <v>1.0</v>
      </c>
      <c r="Q473" s="19">
        <v>0.0</v>
      </c>
      <c r="R473" s="19">
        <v>1.0</v>
      </c>
      <c r="S473" s="19">
        <v>0.0</v>
      </c>
      <c r="T473" s="3" t="s">
        <v>184</v>
      </c>
      <c r="U473" s="3" t="s">
        <v>478</v>
      </c>
    </row>
    <row r="474">
      <c r="A474" s="3" t="s">
        <v>7912</v>
      </c>
      <c r="B474" s="3" t="s">
        <v>7696</v>
      </c>
      <c r="C474" s="29">
        <v>46162.41666666667</v>
      </c>
      <c r="D474" s="29">
        <v>46162.4375</v>
      </c>
      <c r="E474" s="30">
        <v>0.5</v>
      </c>
      <c r="F474" s="2"/>
      <c r="G474" s="2"/>
      <c r="H474" s="3" t="s">
        <v>7146</v>
      </c>
      <c r="I474" s="3" t="s">
        <v>7161</v>
      </c>
      <c r="J474" s="3" t="s">
        <v>7274</v>
      </c>
      <c r="K474" s="3" t="s">
        <v>7149</v>
      </c>
      <c r="L474" s="19">
        <v>1.0</v>
      </c>
      <c r="M474" s="3" t="s">
        <v>7288</v>
      </c>
      <c r="N474" s="3" t="s">
        <v>7288</v>
      </c>
      <c r="O474" s="3" t="s">
        <v>7161</v>
      </c>
      <c r="P474" s="19">
        <v>1.0</v>
      </c>
      <c r="Q474" s="19">
        <v>0.0</v>
      </c>
      <c r="R474" s="19">
        <v>0.0</v>
      </c>
      <c r="S474" s="19">
        <v>0.0</v>
      </c>
      <c r="T474" s="2"/>
      <c r="U474" s="2"/>
    </row>
    <row r="475">
      <c r="A475" s="3" t="s">
        <v>7979</v>
      </c>
      <c r="B475" s="3" t="s">
        <v>7249</v>
      </c>
      <c r="C475" s="29">
        <v>46162.54166666667</v>
      </c>
      <c r="D475" s="29">
        <v>46162.5625</v>
      </c>
      <c r="E475" s="30">
        <v>0.5</v>
      </c>
      <c r="F475" s="2"/>
      <c r="G475" s="2"/>
      <c r="H475" s="3" t="s">
        <v>7146</v>
      </c>
      <c r="I475" s="3" t="s">
        <v>7161</v>
      </c>
      <c r="J475" s="3" t="s">
        <v>7156</v>
      </c>
      <c r="K475" s="3" t="s">
        <v>7149</v>
      </c>
      <c r="L475" s="19">
        <v>2.0</v>
      </c>
      <c r="M475" s="3" t="s">
        <v>7921</v>
      </c>
      <c r="N475" s="3" t="s">
        <v>7921</v>
      </c>
      <c r="O475" s="3" t="s">
        <v>7218</v>
      </c>
      <c r="P475" s="19">
        <v>2.0</v>
      </c>
      <c r="Q475" s="19">
        <v>0.0</v>
      </c>
      <c r="R475" s="19">
        <v>0.0</v>
      </c>
      <c r="S475" s="19">
        <v>0.0</v>
      </c>
      <c r="T475" s="3" t="s">
        <v>187</v>
      </c>
      <c r="U475" s="3" t="s">
        <v>188</v>
      </c>
    </row>
    <row r="476">
      <c r="A476" s="3" t="s">
        <v>7866</v>
      </c>
      <c r="B476" s="3" t="s">
        <v>7238</v>
      </c>
      <c r="C476" s="29">
        <v>46163.3125</v>
      </c>
      <c r="D476" s="29">
        <v>46163.35416666667</v>
      </c>
      <c r="E476" s="30">
        <v>1.0</v>
      </c>
      <c r="F476" s="3" t="s">
        <v>7239</v>
      </c>
      <c r="G476" s="2"/>
      <c r="H476" s="3" t="s">
        <v>7146</v>
      </c>
      <c r="I476" s="3" t="s">
        <v>7240</v>
      </c>
      <c r="J476" s="3" t="s">
        <v>7241</v>
      </c>
      <c r="K476" s="3" t="s">
        <v>7149</v>
      </c>
      <c r="L476" s="19">
        <v>2.0</v>
      </c>
      <c r="M476" s="3" t="s">
        <v>7242</v>
      </c>
      <c r="N476" s="3" t="s">
        <v>7243</v>
      </c>
      <c r="O476" s="3" t="s">
        <v>7244</v>
      </c>
      <c r="P476" s="19">
        <v>0.0</v>
      </c>
      <c r="Q476" s="19">
        <v>0.0</v>
      </c>
      <c r="R476" s="19">
        <v>0.0</v>
      </c>
      <c r="S476" s="19">
        <v>2.0</v>
      </c>
      <c r="T476" s="2"/>
      <c r="U476" s="2"/>
    </row>
    <row r="477">
      <c r="A477" s="3" t="s">
        <v>7948</v>
      </c>
      <c r="B477" s="3" t="s">
        <v>7949</v>
      </c>
      <c r="C477" s="29">
        <v>46163.35416666667</v>
      </c>
      <c r="D477" s="29">
        <v>46163.375</v>
      </c>
      <c r="E477" s="30">
        <v>0.5</v>
      </c>
      <c r="F477" s="2"/>
      <c r="G477" s="2"/>
      <c r="H477" s="3" t="s">
        <v>7146</v>
      </c>
      <c r="I477" s="3" t="s">
        <v>7338</v>
      </c>
      <c r="J477" s="3" t="s">
        <v>7288</v>
      </c>
      <c r="K477" s="3" t="s">
        <v>7149</v>
      </c>
      <c r="L477" s="19">
        <v>3.0</v>
      </c>
      <c r="M477" s="3" t="s">
        <v>7950</v>
      </c>
      <c r="N477" s="3" t="s">
        <v>7950</v>
      </c>
      <c r="O477" s="3" t="s">
        <v>7622</v>
      </c>
      <c r="P477" s="19">
        <v>0.0</v>
      </c>
      <c r="Q477" s="19">
        <v>0.0</v>
      </c>
      <c r="R477" s="19">
        <v>0.0</v>
      </c>
      <c r="S477" s="19">
        <v>3.0</v>
      </c>
      <c r="T477" s="3" t="s">
        <v>193</v>
      </c>
      <c r="U477" s="3" t="s">
        <v>544</v>
      </c>
    </row>
    <row r="478">
      <c r="A478" s="3" t="s">
        <v>7951</v>
      </c>
      <c r="B478" s="3" t="s">
        <v>7160</v>
      </c>
      <c r="C478" s="29">
        <v>46163.4375</v>
      </c>
      <c r="D478" s="29">
        <v>46163.45833333333</v>
      </c>
      <c r="E478" s="30">
        <v>0.5</v>
      </c>
      <c r="F478" s="2"/>
      <c r="G478" s="2"/>
      <c r="H478" s="3" t="s">
        <v>7146</v>
      </c>
      <c r="I478" s="3" t="s">
        <v>7161</v>
      </c>
      <c r="J478" s="3" t="s">
        <v>7156</v>
      </c>
      <c r="K478" s="3" t="s">
        <v>7149</v>
      </c>
      <c r="L478" s="19">
        <v>2.0</v>
      </c>
      <c r="M478" s="3" t="s">
        <v>7952</v>
      </c>
      <c r="N478" s="3" t="s">
        <v>7953</v>
      </c>
      <c r="O478" s="3" t="s">
        <v>7218</v>
      </c>
      <c r="P478" s="19">
        <v>2.0</v>
      </c>
      <c r="Q478" s="19">
        <v>0.0</v>
      </c>
      <c r="R478" s="19">
        <v>0.0</v>
      </c>
      <c r="S478" s="19">
        <v>0.0</v>
      </c>
      <c r="T478" s="3" t="s">
        <v>154</v>
      </c>
      <c r="U478" s="3" t="s">
        <v>329</v>
      </c>
    </row>
    <row r="479">
      <c r="A479" s="3" t="s">
        <v>7954</v>
      </c>
      <c r="B479" s="3" t="s">
        <v>7163</v>
      </c>
      <c r="C479" s="29">
        <v>46163.58333333333</v>
      </c>
      <c r="D479" s="29">
        <v>46163.60416666667</v>
      </c>
      <c r="E479" s="30">
        <v>0.5</v>
      </c>
      <c r="F479" s="2"/>
      <c r="G479" s="2"/>
      <c r="H479" s="3" t="s">
        <v>7146</v>
      </c>
      <c r="I479" s="3" t="s">
        <v>7161</v>
      </c>
      <c r="J479" s="3" t="s">
        <v>7156</v>
      </c>
      <c r="K479" s="3" t="s">
        <v>7149</v>
      </c>
      <c r="L479" s="19">
        <v>5.0</v>
      </c>
      <c r="M479" s="3" t="s">
        <v>7955</v>
      </c>
      <c r="N479" s="3" t="s">
        <v>7955</v>
      </c>
      <c r="O479" s="3" t="s">
        <v>7956</v>
      </c>
      <c r="P479" s="19">
        <v>0.0</v>
      </c>
      <c r="Q479" s="19">
        <v>3.0</v>
      </c>
      <c r="R479" s="19">
        <v>0.0</v>
      </c>
      <c r="S479" s="19">
        <v>2.0</v>
      </c>
      <c r="T479" s="3" t="s">
        <v>151</v>
      </c>
      <c r="U479" s="3" t="s">
        <v>370</v>
      </c>
    </row>
    <row r="480">
      <c r="A480" s="3" t="s">
        <v>7957</v>
      </c>
      <c r="B480" s="3" t="s">
        <v>7712</v>
      </c>
      <c r="C480" s="29">
        <v>46163.64583333333</v>
      </c>
      <c r="D480" s="29">
        <v>46163.66666666667</v>
      </c>
      <c r="E480" s="30">
        <v>0.5</v>
      </c>
      <c r="F480" s="2"/>
      <c r="G480" s="3" t="s">
        <v>7713</v>
      </c>
      <c r="H480" s="3" t="s">
        <v>7146</v>
      </c>
      <c r="I480" s="3" t="s">
        <v>7338</v>
      </c>
      <c r="J480" s="3" t="s">
        <v>7288</v>
      </c>
      <c r="K480" s="3" t="s">
        <v>7149</v>
      </c>
      <c r="L480" s="19">
        <v>5.0</v>
      </c>
      <c r="M480" s="3" t="s">
        <v>7958</v>
      </c>
      <c r="N480" s="3" t="s">
        <v>7958</v>
      </c>
      <c r="O480" s="3" t="s">
        <v>7959</v>
      </c>
      <c r="P480" s="19">
        <v>2.0</v>
      </c>
      <c r="Q480" s="19">
        <v>1.0</v>
      </c>
      <c r="R480" s="19">
        <v>1.0</v>
      </c>
      <c r="S480" s="19">
        <v>1.0</v>
      </c>
      <c r="T480" s="3" t="s">
        <v>122</v>
      </c>
      <c r="U480" s="3" t="s">
        <v>123</v>
      </c>
    </row>
    <row r="481">
      <c r="A481" s="3" t="s">
        <v>7927</v>
      </c>
      <c r="B481" s="3" t="s">
        <v>7928</v>
      </c>
      <c r="C481" s="29">
        <v>46163.70833333333</v>
      </c>
      <c r="D481" s="29">
        <v>46163.72916666667</v>
      </c>
      <c r="E481" s="30">
        <v>0.5</v>
      </c>
      <c r="F481" s="2"/>
      <c r="G481" s="3" t="s">
        <v>7929</v>
      </c>
      <c r="H481" s="3" t="s">
        <v>7146</v>
      </c>
      <c r="I481" s="3" t="s">
        <v>7161</v>
      </c>
      <c r="J481" s="3" t="s">
        <v>7148</v>
      </c>
      <c r="K481" s="3" t="s">
        <v>7149</v>
      </c>
      <c r="L481" s="19">
        <v>10.0</v>
      </c>
      <c r="M481" s="3" t="s">
        <v>7930</v>
      </c>
      <c r="N481" s="3" t="s">
        <v>7931</v>
      </c>
      <c r="O481" s="3" t="s">
        <v>7932</v>
      </c>
      <c r="P481" s="19">
        <v>6.0</v>
      </c>
      <c r="Q481" s="19">
        <v>0.0</v>
      </c>
      <c r="R481" s="19">
        <v>1.0</v>
      </c>
      <c r="S481" s="19">
        <v>3.0</v>
      </c>
      <c r="T481" s="3" t="s">
        <v>160</v>
      </c>
      <c r="U481" s="3" t="s">
        <v>440</v>
      </c>
    </row>
    <row r="482">
      <c r="A482" s="3" t="s">
        <v>7679</v>
      </c>
      <c r="B482" s="3" t="s">
        <v>7546</v>
      </c>
      <c r="C482" s="29">
        <v>46164.47916666667</v>
      </c>
      <c r="D482" s="29">
        <v>46164.52083333333</v>
      </c>
      <c r="E482" s="30">
        <v>1.0</v>
      </c>
      <c r="F482" s="2"/>
      <c r="G482" s="2"/>
      <c r="H482" s="3" t="s">
        <v>7146</v>
      </c>
      <c r="I482" s="3" t="s">
        <v>7338</v>
      </c>
      <c r="J482" s="3" t="s">
        <v>7288</v>
      </c>
      <c r="K482" s="3" t="s">
        <v>7149</v>
      </c>
      <c r="L482" s="19">
        <v>1.0</v>
      </c>
      <c r="M482" s="3" t="s">
        <v>7680</v>
      </c>
      <c r="N482" s="3" t="s">
        <v>7680</v>
      </c>
      <c r="O482" s="3" t="s">
        <v>7161</v>
      </c>
      <c r="P482" s="19">
        <v>1.0</v>
      </c>
      <c r="Q482" s="19">
        <v>0.0</v>
      </c>
      <c r="R482" s="19">
        <v>0.0</v>
      </c>
      <c r="S482" s="19">
        <v>0.0</v>
      </c>
      <c r="T482" s="3" t="s">
        <v>119</v>
      </c>
      <c r="U482" s="3" t="s">
        <v>251</v>
      </c>
    </row>
    <row r="483">
      <c r="A483" s="3" t="s">
        <v>7960</v>
      </c>
      <c r="B483" s="3" t="s">
        <v>7961</v>
      </c>
      <c r="C483" s="29">
        <v>46167.54166666667</v>
      </c>
      <c r="D483" s="29">
        <v>46167.5625</v>
      </c>
      <c r="E483" s="30">
        <v>0.5</v>
      </c>
      <c r="G483" s="3" t="s">
        <v>7962</v>
      </c>
      <c r="H483" s="3" t="s">
        <v>7146</v>
      </c>
      <c r="I483" s="3" t="s">
        <v>7338</v>
      </c>
      <c r="J483" s="3" t="s">
        <v>7288</v>
      </c>
      <c r="K483" s="3" t="s">
        <v>7149</v>
      </c>
      <c r="L483" s="19">
        <v>3.0</v>
      </c>
      <c r="M483" s="3" t="s">
        <v>7788</v>
      </c>
      <c r="N483" s="3" t="s">
        <v>7788</v>
      </c>
      <c r="O483" s="3" t="s">
        <v>7326</v>
      </c>
      <c r="P483" s="19">
        <v>1.0</v>
      </c>
      <c r="Q483" s="19">
        <v>0.0</v>
      </c>
      <c r="R483" s="19">
        <v>0.0</v>
      </c>
      <c r="S483" s="19">
        <v>2.0</v>
      </c>
      <c r="T483" s="3" t="s">
        <v>131</v>
      </c>
      <c r="U483" s="3" t="s">
        <v>132</v>
      </c>
    </row>
    <row r="484">
      <c r="A484" s="3" t="s">
        <v>7963</v>
      </c>
      <c r="B484" s="3" t="s">
        <v>7234</v>
      </c>
      <c r="C484" s="29">
        <v>46167.58333333333</v>
      </c>
      <c r="D484" s="29">
        <v>46167.60416666667</v>
      </c>
      <c r="E484" s="30">
        <v>0.5</v>
      </c>
      <c r="F484" s="2"/>
      <c r="G484" s="2"/>
      <c r="H484" s="3" t="s">
        <v>7146</v>
      </c>
      <c r="I484" s="3" t="s">
        <v>7147</v>
      </c>
      <c r="J484" s="3" t="s">
        <v>7156</v>
      </c>
      <c r="K484" s="3" t="s">
        <v>7149</v>
      </c>
      <c r="L484" s="19">
        <v>4.0</v>
      </c>
      <c r="M484" s="3" t="s">
        <v>7235</v>
      </c>
      <c r="N484" s="3" t="s">
        <v>7235</v>
      </c>
      <c r="O484" s="3" t="s">
        <v>7964</v>
      </c>
      <c r="P484" s="19">
        <v>0.0</v>
      </c>
      <c r="Q484" s="19">
        <v>1.0</v>
      </c>
      <c r="R484" s="19">
        <v>0.0</v>
      </c>
      <c r="S484" s="19">
        <v>3.0</v>
      </c>
      <c r="T484" s="3" t="s">
        <v>166</v>
      </c>
      <c r="U484" s="3" t="s">
        <v>167</v>
      </c>
    </row>
    <row r="485">
      <c r="A485" s="3" t="s">
        <v>7896</v>
      </c>
      <c r="B485" s="3" t="s">
        <v>7463</v>
      </c>
      <c r="C485" s="29">
        <v>46167.60416666667</v>
      </c>
      <c r="D485" s="29">
        <v>46167.625</v>
      </c>
      <c r="E485" s="30">
        <v>0.5</v>
      </c>
      <c r="F485" s="2"/>
      <c r="G485" s="3" t="s">
        <v>7541</v>
      </c>
      <c r="H485" s="3" t="s">
        <v>7146</v>
      </c>
      <c r="I485" s="3" t="s">
        <v>7338</v>
      </c>
      <c r="J485" s="3" t="s">
        <v>7288</v>
      </c>
      <c r="K485" s="3" t="s">
        <v>7149</v>
      </c>
      <c r="L485" s="19">
        <v>1.0</v>
      </c>
      <c r="M485" s="3" t="s">
        <v>7897</v>
      </c>
      <c r="N485" s="3" t="s">
        <v>7897</v>
      </c>
      <c r="O485" s="3" t="s">
        <v>7161</v>
      </c>
      <c r="P485" s="19">
        <v>1.0</v>
      </c>
      <c r="Q485" s="19">
        <v>0.0</v>
      </c>
      <c r="R485" s="19">
        <v>0.0</v>
      </c>
      <c r="S485" s="19">
        <v>0.0</v>
      </c>
      <c r="T485" s="3" t="s">
        <v>101</v>
      </c>
      <c r="U485" s="3" t="s">
        <v>511</v>
      </c>
    </row>
    <row r="486">
      <c r="A486" s="3" t="s">
        <v>7904</v>
      </c>
      <c r="B486" s="3" t="s">
        <v>7183</v>
      </c>
      <c r="C486" s="29">
        <v>46168.5</v>
      </c>
      <c r="D486" s="29">
        <v>46168.52083333333</v>
      </c>
      <c r="E486" s="30">
        <v>0.5</v>
      </c>
      <c r="F486" s="2"/>
      <c r="G486" s="3" t="s">
        <v>7692</v>
      </c>
      <c r="H486" s="3" t="s">
        <v>7146</v>
      </c>
      <c r="I486" s="3" t="s">
        <v>7161</v>
      </c>
      <c r="J486" s="3" t="s">
        <v>7156</v>
      </c>
      <c r="K486" s="3" t="s">
        <v>7149</v>
      </c>
      <c r="L486" s="19">
        <v>2.0</v>
      </c>
      <c r="M486" s="3" t="s">
        <v>7905</v>
      </c>
      <c r="N486" s="3" t="s">
        <v>7906</v>
      </c>
      <c r="O486" s="3" t="s">
        <v>7944</v>
      </c>
      <c r="P486" s="19">
        <v>1.0</v>
      </c>
      <c r="Q486" s="19">
        <v>0.0</v>
      </c>
      <c r="R486" s="19">
        <v>1.0</v>
      </c>
      <c r="S486" s="19">
        <v>0.0</v>
      </c>
      <c r="T486" s="3" t="s">
        <v>184</v>
      </c>
      <c r="U486" s="3" t="s">
        <v>478</v>
      </c>
    </row>
    <row r="487">
      <c r="A487" s="3" t="s">
        <v>7748</v>
      </c>
      <c r="B487" s="3" t="s">
        <v>7211</v>
      </c>
      <c r="C487" s="29">
        <v>46168.54166666667</v>
      </c>
      <c r="D487" s="29">
        <v>46168.5625</v>
      </c>
      <c r="E487" s="30">
        <v>0.5</v>
      </c>
      <c r="F487" s="2"/>
      <c r="G487" s="3" t="s">
        <v>7212</v>
      </c>
      <c r="H487" s="3" t="s">
        <v>7146</v>
      </c>
      <c r="I487" s="3" t="s">
        <v>7161</v>
      </c>
      <c r="J487" s="3" t="s">
        <v>7156</v>
      </c>
      <c r="K487" s="3" t="s">
        <v>7149</v>
      </c>
      <c r="L487" s="19">
        <v>4.0</v>
      </c>
      <c r="M487" s="3" t="s">
        <v>7213</v>
      </c>
      <c r="N487" s="3" t="s">
        <v>7213</v>
      </c>
      <c r="O487" s="3" t="s">
        <v>7965</v>
      </c>
      <c r="P487" s="19">
        <v>2.0</v>
      </c>
      <c r="Q487" s="19">
        <v>1.0</v>
      </c>
      <c r="R487" s="19">
        <v>0.0</v>
      </c>
      <c r="S487" s="19">
        <v>1.0</v>
      </c>
      <c r="T487" s="3" t="s">
        <v>175</v>
      </c>
      <c r="U487" s="3" t="s">
        <v>422</v>
      </c>
    </row>
    <row r="488">
      <c r="A488" s="3" t="s">
        <v>7901</v>
      </c>
      <c r="B488" s="3" t="s">
        <v>7689</v>
      </c>
      <c r="C488" s="29">
        <v>46168.5625</v>
      </c>
      <c r="D488" s="29">
        <v>46168.58333333333</v>
      </c>
      <c r="E488" s="30">
        <v>0.5</v>
      </c>
      <c r="F488" s="2"/>
      <c r="G488" s="2"/>
      <c r="H488" s="3" t="s">
        <v>7146</v>
      </c>
      <c r="I488" s="3" t="s">
        <v>7338</v>
      </c>
      <c r="J488" s="3" t="s">
        <v>7288</v>
      </c>
      <c r="K488" s="3" t="s">
        <v>7149</v>
      </c>
      <c r="L488" s="19">
        <v>1.0</v>
      </c>
      <c r="M488" s="3" t="s">
        <v>7902</v>
      </c>
      <c r="N488" s="3" t="s">
        <v>7902</v>
      </c>
      <c r="O488" s="3" t="s">
        <v>7161</v>
      </c>
      <c r="P488" s="19">
        <v>1.0</v>
      </c>
      <c r="Q488" s="19">
        <v>0.0</v>
      </c>
      <c r="R488" s="19">
        <v>0.0</v>
      </c>
      <c r="S488" s="19">
        <v>0.0</v>
      </c>
      <c r="T488" s="3" t="s">
        <v>142</v>
      </c>
      <c r="U488" s="3" t="s">
        <v>143</v>
      </c>
    </row>
    <row r="489">
      <c r="A489" s="3" t="s">
        <v>7966</v>
      </c>
      <c r="B489" s="3" t="s">
        <v>7967</v>
      </c>
      <c r="C489" s="29">
        <v>46168.64583333333</v>
      </c>
      <c r="D489" s="29">
        <v>46168.66666666667</v>
      </c>
      <c r="E489" s="30">
        <v>0.5</v>
      </c>
      <c r="F489" s="2"/>
      <c r="G489" s="3" t="s">
        <v>7968</v>
      </c>
      <c r="H489" s="3" t="s">
        <v>7146</v>
      </c>
      <c r="I489" s="3" t="s">
        <v>7338</v>
      </c>
      <c r="J489" s="3" t="s">
        <v>7288</v>
      </c>
      <c r="K489" s="3" t="s">
        <v>7149</v>
      </c>
      <c r="L489" s="19">
        <v>4.0</v>
      </c>
      <c r="M489" s="3" t="s">
        <v>7707</v>
      </c>
      <c r="N489" s="3" t="s">
        <v>7707</v>
      </c>
      <c r="O489" s="3" t="s">
        <v>7236</v>
      </c>
      <c r="P489" s="19">
        <v>1.0</v>
      </c>
      <c r="Q489" s="19">
        <v>0.0</v>
      </c>
      <c r="R489" s="19">
        <v>0.0</v>
      </c>
      <c r="S489" s="19">
        <v>3.0</v>
      </c>
      <c r="T489" s="3" t="s">
        <v>6450</v>
      </c>
      <c r="U489" s="3" t="s">
        <v>552</v>
      </c>
    </row>
    <row r="490">
      <c r="A490" s="3" t="s">
        <v>7912</v>
      </c>
      <c r="B490" s="3" t="s">
        <v>7696</v>
      </c>
      <c r="C490" s="29">
        <v>46169.41666666667</v>
      </c>
      <c r="D490" s="29">
        <v>46169.4375</v>
      </c>
      <c r="E490" s="30">
        <v>0.5</v>
      </c>
      <c r="F490" s="2"/>
      <c r="G490" s="2"/>
      <c r="H490" s="3" t="s">
        <v>7146</v>
      </c>
      <c r="I490" s="3" t="s">
        <v>7161</v>
      </c>
      <c r="J490" s="3" t="s">
        <v>7274</v>
      </c>
      <c r="K490" s="3" t="s">
        <v>7149</v>
      </c>
      <c r="L490" s="19">
        <v>1.0</v>
      </c>
      <c r="M490" s="3" t="s">
        <v>7288</v>
      </c>
      <c r="N490" s="3" t="s">
        <v>7288</v>
      </c>
      <c r="O490" s="3" t="s">
        <v>7161</v>
      </c>
      <c r="P490" s="19">
        <v>1.0</v>
      </c>
      <c r="Q490" s="19">
        <v>0.0</v>
      </c>
      <c r="R490" s="19">
        <v>0.0</v>
      </c>
      <c r="S490" s="19">
        <v>0.0</v>
      </c>
      <c r="T490" s="2"/>
      <c r="U490" s="2"/>
    </row>
    <row r="491">
      <c r="A491" s="3" t="s">
        <v>7791</v>
      </c>
      <c r="B491" s="3" t="s">
        <v>7266</v>
      </c>
      <c r="C491" s="29">
        <v>46170.375</v>
      </c>
      <c r="D491" s="29">
        <v>46170.39583333333</v>
      </c>
      <c r="E491" s="30">
        <v>0.5</v>
      </c>
      <c r="F491" s="2"/>
      <c r="G491" s="2"/>
      <c r="H491" s="3" t="s">
        <v>7146</v>
      </c>
      <c r="I491" s="3" t="s">
        <v>7161</v>
      </c>
      <c r="J491" s="3" t="s">
        <v>7156</v>
      </c>
      <c r="K491" s="3" t="s">
        <v>7149</v>
      </c>
      <c r="L491" s="19">
        <v>4.0</v>
      </c>
      <c r="M491" s="3" t="s">
        <v>7267</v>
      </c>
      <c r="N491" s="3" t="s">
        <v>7267</v>
      </c>
      <c r="O491" s="3" t="s">
        <v>7792</v>
      </c>
      <c r="P491" s="19">
        <v>1.0</v>
      </c>
      <c r="Q491" s="19">
        <v>1.0</v>
      </c>
      <c r="R491" s="19">
        <v>0.0</v>
      </c>
      <c r="S491" s="19">
        <v>2.0</v>
      </c>
      <c r="T491" s="3" t="s">
        <v>6752</v>
      </c>
      <c r="U491" s="3" t="s">
        <v>319</v>
      </c>
    </row>
    <row r="492">
      <c r="A492" s="3" t="s">
        <v>7969</v>
      </c>
      <c r="B492" s="3" t="s">
        <v>7262</v>
      </c>
      <c r="C492" s="29">
        <v>46170.47916666667</v>
      </c>
      <c r="D492" s="29">
        <v>46170.5</v>
      </c>
      <c r="E492" s="30">
        <v>0.5</v>
      </c>
      <c r="F492" s="2"/>
      <c r="G492" s="2"/>
      <c r="H492" s="3" t="s">
        <v>7146</v>
      </c>
      <c r="I492" s="3" t="s">
        <v>7161</v>
      </c>
      <c r="J492" s="3" t="s">
        <v>7156</v>
      </c>
      <c r="K492" s="3" t="s">
        <v>7149</v>
      </c>
      <c r="L492" s="19">
        <v>2.0</v>
      </c>
      <c r="M492" s="3" t="s">
        <v>7263</v>
      </c>
      <c r="N492" s="3" t="s">
        <v>7263</v>
      </c>
      <c r="O492" s="3" t="s">
        <v>7218</v>
      </c>
      <c r="P492" s="19">
        <v>2.0</v>
      </c>
      <c r="Q492" s="19">
        <v>0.0</v>
      </c>
      <c r="R492" s="19">
        <v>0.0</v>
      </c>
      <c r="S492" s="19">
        <v>0.0</v>
      </c>
      <c r="T492" s="3" t="s">
        <v>128</v>
      </c>
      <c r="U492" s="3" t="s">
        <v>301</v>
      </c>
    </row>
    <row r="493">
      <c r="A493" s="3" t="s">
        <v>7804</v>
      </c>
      <c r="B493" s="3" t="s">
        <v>7805</v>
      </c>
      <c r="C493" s="29">
        <v>46170.5</v>
      </c>
      <c r="D493" s="29">
        <v>46170.52083333333</v>
      </c>
      <c r="E493" s="30">
        <v>0.5</v>
      </c>
      <c r="F493" s="2"/>
      <c r="G493" s="2"/>
      <c r="H493" s="3" t="s">
        <v>7146</v>
      </c>
      <c r="I493" s="3" t="s">
        <v>7338</v>
      </c>
      <c r="J493" s="3" t="s">
        <v>7288</v>
      </c>
      <c r="K493" s="3" t="s">
        <v>7149</v>
      </c>
      <c r="L493" s="19">
        <v>1.0</v>
      </c>
      <c r="M493" s="3" t="s">
        <v>7806</v>
      </c>
      <c r="N493" s="3" t="s">
        <v>7806</v>
      </c>
      <c r="O493" s="3" t="s">
        <v>7161</v>
      </c>
      <c r="P493" s="19">
        <v>1.0</v>
      </c>
      <c r="Q493" s="19">
        <v>0.0</v>
      </c>
      <c r="R493" s="19">
        <v>0.0</v>
      </c>
      <c r="S493" s="19">
        <v>0.0</v>
      </c>
      <c r="T493" s="3" t="s">
        <v>157</v>
      </c>
      <c r="U493" s="3" t="s">
        <v>158</v>
      </c>
    </row>
    <row r="494">
      <c r="A494" s="3" t="s">
        <v>7659</v>
      </c>
      <c r="B494" s="3" t="s">
        <v>7420</v>
      </c>
      <c r="C494" s="29">
        <v>46170.52083333333</v>
      </c>
      <c r="D494" s="29">
        <v>46170.54166666667</v>
      </c>
      <c r="E494" s="30">
        <v>0.5</v>
      </c>
      <c r="F494" s="2"/>
      <c r="G494" s="2"/>
      <c r="H494" s="3" t="s">
        <v>7146</v>
      </c>
      <c r="I494" s="3" t="s">
        <v>7161</v>
      </c>
      <c r="J494" s="3" t="s">
        <v>7156</v>
      </c>
      <c r="K494" s="3" t="s">
        <v>7149</v>
      </c>
      <c r="L494" s="19">
        <v>5.0</v>
      </c>
      <c r="M494" s="3" t="s">
        <v>7571</v>
      </c>
      <c r="N494" s="3" t="s">
        <v>7571</v>
      </c>
      <c r="O494" s="3" t="s">
        <v>7970</v>
      </c>
      <c r="P494" s="19">
        <v>3.0</v>
      </c>
      <c r="Q494" s="19">
        <v>1.0</v>
      </c>
      <c r="R494" s="19">
        <v>0.0</v>
      </c>
      <c r="S494" s="19">
        <v>1.0</v>
      </c>
      <c r="T494" s="3" t="s">
        <v>125</v>
      </c>
      <c r="U494" s="3" t="s">
        <v>126</v>
      </c>
    </row>
    <row r="495">
      <c r="A495" s="3" t="s">
        <v>7812</v>
      </c>
      <c r="B495" s="3" t="s">
        <v>7813</v>
      </c>
      <c r="C495" s="29">
        <v>46170.5625</v>
      </c>
      <c r="D495" s="29">
        <v>46170.58333333333</v>
      </c>
      <c r="E495" s="30">
        <v>0.5</v>
      </c>
      <c r="F495" s="2"/>
      <c r="G495" s="3" t="s">
        <v>7814</v>
      </c>
      <c r="H495" s="3" t="s">
        <v>7146</v>
      </c>
      <c r="I495" s="3" t="s">
        <v>7338</v>
      </c>
      <c r="J495" s="3" t="s">
        <v>7288</v>
      </c>
      <c r="K495" s="3" t="s">
        <v>7149</v>
      </c>
      <c r="L495" s="19">
        <v>3.0</v>
      </c>
      <c r="M495" s="3" t="s">
        <v>7815</v>
      </c>
      <c r="N495" s="3" t="s">
        <v>7815</v>
      </c>
      <c r="O495" s="3" t="s">
        <v>7601</v>
      </c>
      <c r="P495" s="19">
        <v>1.0</v>
      </c>
      <c r="Q495" s="19">
        <v>0.0</v>
      </c>
      <c r="R495" s="19">
        <v>0.0</v>
      </c>
      <c r="S495" s="19">
        <v>2.0</v>
      </c>
      <c r="T495" s="3" t="s">
        <v>190</v>
      </c>
      <c r="U495" s="3" t="s">
        <v>191</v>
      </c>
    </row>
    <row r="496">
      <c r="A496" s="3" t="s">
        <v>7825</v>
      </c>
      <c r="B496" s="3" t="s">
        <v>7471</v>
      </c>
      <c r="C496" s="29">
        <v>46171.41666666667</v>
      </c>
      <c r="D496" s="29">
        <v>46171.4375</v>
      </c>
      <c r="E496" s="30">
        <v>0.5</v>
      </c>
      <c r="F496" s="2"/>
      <c r="G496" s="2"/>
      <c r="H496" s="3" t="s">
        <v>7146</v>
      </c>
      <c r="I496" s="3" t="s">
        <v>7161</v>
      </c>
      <c r="J496" s="3" t="s">
        <v>7156</v>
      </c>
      <c r="K496" s="3" t="s">
        <v>7149</v>
      </c>
      <c r="L496" s="19">
        <v>5.0</v>
      </c>
      <c r="M496" s="3" t="s">
        <v>7826</v>
      </c>
      <c r="N496" s="3" t="s">
        <v>7826</v>
      </c>
      <c r="O496" s="3" t="s">
        <v>7974</v>
      </c>
      <c r="P496" s="19">
        <v>2.0</v>
      </c>
      <c r="Q496" s="19">
        <v>0.0</v>
      </c>
      <c r="R496" s="19">
        <v>0.0</v>
      </c>
      <c r="S496" s="19">
        <v>3.0</v>
      </c>
      <c r="T496" s="3" t="s">
        <v>199</v>
      </c>
      <c r="U496" s="3" t="s">
        <v>272</v>
      </c>
    </row>
    <row r="497">
      <c r="A497" s="3" t="s">
        <v>7679</v>
      </c>
      <c r="B497" s="3" t="s">
        <v>7546</v>
      </c>
      <c r="C497" s="29">
        <v>46171.47916666667</v>
      </c>
      <c r="D497" s="29">
        <v>46171.52083333333</v>
      </c>
      <c r="E497" s="30">
        <v>1.0</v>
      </c>
      <c r="F497" s="2"/>
      <c r="G497" s="2"/>
      <c r="H497" s="3" t="s">
        <v>7146</v>
      </c>
      <c r="I497" s="3" t="s">
        <v>7338</v>
      </c>
      <c r="J497" s="3" t="s">
        <v>7288</v>
      </c>
      <c r="K497" s="3" t="s">
        <v>7149</v>
      </c>
      <c r="L497" s="19">
        <v>1.0</v>
      </c>
      <c r="M497" s="3" t="s">
        <v>7680</v>
      </c>
      <c r="N497" s="3" t="s">
        <v>7680</v>
      </c>
      <c r="O497" s="3" t="s">
        <v>7161</v>
      </c>
      <c r="P497" s="19">
        <v>1.0</v>
      </c>
      <c r="Q497" s="19">
        <v>0.0</v>
      </c>
      <c r="R497" s="19">
        <v>0.0</v>
      </c>
      <c r="S497" s="19">
        <v>0.0</v>
      </c>
      <c r="T497" s="3" t="s">
        <v>119</v>
      </c>
      <c r="U497" s="3" t="s">
        <v>251</v>
      </c>
    </row>
    <row r="498">
      <c r="A498" s="3" t="s">
        <v>7976</v>
      </c>
      <c r="B498" s="3" t="s">
        <v>7977</v>
      </c>
      <c r="C498" s="29">
        <v>46174.58333333333</v>
      </c>
      <c r="D498" s="29">
        <v>46174.60416666667</v>
      </c>
      <c r="E498" s="30">
        <v>0.5</v>
      </c>
      <c r="F498" s="2"/>
      <c r="G498" s="2"/>
      <c r="H498" s="3" t="s">
        <v>7146</v>
      </c>
      <c r="I498" s="3" t="s">
        <v>7338</v>
      </c>
      <c r="J498" s="3" t="s">
        <v>7288</v>
      </c>
      <c r="K498" s="3" t="s">
        <v>7149</v>
      </c>
      <c r="L498" s="19">
        <v>3.0</v>
      </c>
      <c r="M498" s="3" t="s">
        <v>7978</v>
      </c>
      <c r="N498" s="3" t="s">
        <v>7978</v>
      </c>
      <c r="O498" s="3" t="s">
        <v>7326</v>
      </c>
      <c r="P498" s="19">
        <v>1.0</v>
      </c>
      <c r="Q498" s="19">
        <v>0.0</v>
      </c>
      <c r="R498" s="19">
        <v>0.0</v>
      </c>
      <c r="S498" s="19">
        <v>2.0</v>
      </c>
      <c r="T498" s="3" t="s">
        <v>98</v>
      </c>
      <c r="U498" s="3" t="s">
        <v>99</v>
      </c>
    </row>
    <row r="499">
      <c r="A499" s="3" t="s">
        <v>7896</v>
      </c>
      <c r="B499" s="3" t="s">
        <v>7463</v>
      </c>
      <c r="C499" s="29">
        <v>46174.60416666667</v>
      </c>
      <c r="D499" s="29">
        <v>46174.625</v>
      </c>
      <c r="E499" s="30">
        <v>0.5</v>
      </c>
      <c r="F499" s="2"/>
      <c r="G499" s="3" t="s">
        <v>7541</v>
      </c>
      <c r="H499" s="3" t="s">
        <v>7146</v>
      </c>
      <c r="I499" s="3" t="s">
        <v>7338</v>
      </c>
      <c r="J499" s="3" t="s">
        <v>7288</v>
      </c>
      <c r="K499" s="3" t="s">
        <v>7149</v>
      </c>
      <c r="L499" s="19">
        <v>1.0</v>
      </c>
      <c r="M499" s="3" t="s">
        <v>7897</v>
      </c>
      <c r="N499" s="3" t="s">
        <v>7897</v>
      </c>
      <c r="O499" s="3" t="s">
        <v>7161</v>
      </c>
      <c r="P499" s="19">
        <v>1.0</v>
      </c>
      <c r="Q499" s="19">
        <v>0.0</v>
      </c>
      <c r="R499" s="19">
        <v>0.0</v>
      </c>
      <c r="S499" s="19">
        <v>0.0</v>
      </c>
      <c r="T499" s="3" t="s">
        <v>101</v>
      </c>
      <c r="U499" s="3" t="s">
        <v>511</v>
      </c>
    </row>
    <row r="500">
      <c r="A500" s="3" t="s">
        <v>7904</v>
      </c>
      <c r="B500" s="3" t="s">
        <v>7183</v>
      </c>
      <c r="C500" s="29">
        <v>46175.5</v>
      </c>
      <c r="D500" s="29">
        <v>46175.52083333333</v>
      </c>
      <c r="E500" s="30">
        <v>0.5</v>
      </c>
      <c r="F500" s="2"/>
      <c r="G500" s="3" t="s">
        <v>7692</v>
      </c>
      <c r="H500" s="3" t="s">
        <v>7146</v>
      </c>
      <c r="I500" s="3" t="s">
        <v>7161</v>
      </c>
      <c r="J500" s="3" t="s">
        <v>7156</v>
      </c>
      <c r="K500" s="3" t="s">
        <v>7149</v>
      </c>
      <c r="L500" s="19">
        <v>2.0</v>
      </c>
      <c r="M500" s="3" t="s">
        <v>7905</v>
      </c>
      <c r="N500" s="3" t="s">
        <v>7906</v>
      </c>
      <c r="O500" s="3" t="s">
        <v>7944</v>
      </c>
      <c r="P500" s="19">
        <v>1.0</v>
      </c>
      <c r="Q500" s="19">
        <v>0.0</v>
      </c>
      <c r="R500" s="19">
        <v>1.0</v>
      </c>
      <c r="S500" s="19">
        <v>0.0</v>
      </c>
      <c r="T500" s="3" t="s">
        <v>184</v>
      </c>
      <c r="U500" s="3" t="s">
        <v>478</v>
      </c>
    </row>
    <row r="501">
      <c r="A501" s="3" t="s">
        <v>7754</v>
      </c>
      <c r="B501" s="3" t="s">
        <v>7755</v>
      </c>
      <c r="C501" s="29">
        <v>46175.58333333333</v>
      </c>
      <c r="D501" s="29">
        <v>46175.60416666667</v>
      </c>
      <c r="E501" s="30">
        <v>0.5</v>
      </c>
      <c r="F501" s="2"/>
      <c r="G501" s="3" t="s">
        <v>7756</v>
      </c>
      <c r="H501" s="3" t="s">
        <v>7146</v>
      </c>
      <c r="I501" s="3" t="s">
        <v>7161</v>
      </c>
      <c r="J501" s="3" t="s">
        <v>7156</v>
      </c>
      <c r="K501" s="3" t="s">
        <v>7149</v>
      </c>
      <c r="L501" s="19">
        <v>7.0</v>
      </c>
      <c r="M501" s="3" t="s">
        <v>7757</v>
      </c>
      <c r="N501" s="3" t="s">
        <v>7758</v>
      </c>
      <c r="O501" s="3" t="s">
        <v>7759</v>
      </c>
      <c r="P501" s="19">
        <v>0.0</v>
      </c>
      <c r="Q501" s="19">
        <v>1.0</v>
      </c>
      <c r="R501" s="19">
        <v>1.0</v>
      </c>
      <c r="S501" s="19">
        <v>5.0</v>
      </c>
      <c r="T501" s="3" t="s">
        <v>110</v>
      </c>
      <c r="U501" s="3" t="s">
        <v>111</v>
      </c>
    </row>
    <row r="502">
      <c r="A502" s="3" t="s">
        <v>7912</v>
      </c>
      <c r="B502" s="3" t="s">
        <v>7696</v>
      </c>
      <c r="C502" s="29">
        <v>46176.41666666667</v>
      </c>
      <c r="D502" s="29">
        <v>46176.4375</v>
      </c>
      <c r="E502" s="30">
        <v>0.5</v>
      </c>
      <c r="F502" s="2"/>
      <c r="G502" s="2"/>
      <c r="H502" s="3" t="s">
        <v>7146</v>
      </c>
      <c r="I502" s="3" t="s">
        <v>7161</v>
      </c>
      <c r="J502" s="3" t="s">
        <v>7274</v>
      </c>
      <c r="K502" s="3" t="s">
        <v>7149</v>
      </c>
      <c r="L502" s="19">
        <v>1.0</v>
      </c>
      <c r="M502" s="3" t="s">
        <v>7288</v>
      </c>
      <c r="N502" s="3" t="s">
        <v>7288</v>
      </c>
      <c r="O502" s="3" t="s">
        <v>7161</v>
      </c>
      <c r="P502" s="19">
        <v>1.0</v>
      </c>
      <c r="Q502" s="19">
        <v>0.0</v>
      </c>
      <c r="R502" s="19">
        <v>0.0</v>
      </c>
      <c r="S502" s="19">
        <v>0.0</v>
      </c>
      <c r="T502" s="2"/>
      <c r="U502" s="2"/>
    </row>
    <row r="503">
      <c r="A503" s="3" t="s">
        <v>7979</v>
      </c>
      <c r="B503" s="3" t="s">
        <v>7249</v>
      </c>
      <c r="C503" s="29">
        <v>46176.54166666667</v>
      </c>
      <c r="D503" s="29">
        <v>46176.5625</v>
      </c>
      <c r="E503" s="30">
        <v>0.5</v>
      </c>
      <c r="F503" s="2"/>
      <c r="G503" s="2"/>
      <c r="H503" s="3" t="s">
        <v>7146</v>
      </c>
      <c r="I503" s="3" t="s">
        <v>7161</v>
      </c>
      <c r="J503" s="3" t="s">
        <v>7156</v>
      </c>
      <c r="K503" s="3" t="s">
        <v>7149</v>
      </c>
      <c r="L503" s="19">
        <v>2.0</v>
      </c>
      <c r="M503" s="3" t="s">
        <v>7921</v>
      </c>
      <c r="N503" s="3" t="s">
        <v>7921</v>
      </c>
      <c r="O503" s="3" t="s">
        <v>7218</v>
      </c>
      <c r="P503" s="19">
        <v>2.0</v>
      </c>
      <c r="Q503" s="19">
        <v>0.0</v>
      </c>
      <c r="R503" s="19">
        <v>0.0</v>
      </c>
      <c r="S503" s="19">
        <v>0.0</v>
      </c>
      <c r="T503" s="3" t="s">
        <v>187</v>
      </c>
      <c r="U503" s="3" t="s">
        <v>188</v>
      </c>
    </row>
    <row r="504">
      <c r="A504" s="3" t="s">
        <v>7794</v>
      </c>
      <c r="B504" s="3" t="s">
        <v>7795</v>
      </c>
      <c r="C504" s="29">
        <v>46177.39583333333</v>
      </c>
      <c r="D504" s="29">
        <v>46177.41666666667</v>
      </c>
      <c r="E504" s="30">
        <v>0.5</v>
      </c>
      <c r="F504" s="2"/>
      <c r="G504" s="2"/>
      <c r="H504" s="3" t="s">
        <v>7146</v>
      </c>
      <c r="I504" s="3" t="s">
        <v>7161</v>
      </c>
      <c r="J504" s="3" t="s">
        <v>7168</v>
      </c>
      <c r="K504" s="3" t="s">
        <v>7149</v>
      </c>
      <c r="L504" s="19">
        <v>6.0</v>
      </c>
      <c r="M504" s="3" t="s">
        <v>7196</v>
      </c>
      <c r="N504" s="3" t="s">
        <v>7196</v>
      </c>
      <c r="O504" s="3" t="s">
        <v>7197</v>
      </c>
      <c r="P504" s="19">
        <v>4.0</v>
      </c>
      <c r="Q504" s="19">
        <v>0.0</v>
      </c>
      <c r="R504" s="19">
        <v>0.0</v>
      </c>
      <c r="S504" s="19">
        <v>2.0</v>
      </c>
      <c r="T504" s="3" t="s">
        <v>178</v>
      </c>
      <c r="U504" s="3" t="s">
        <v>179</v>
      </c>
    </row>
    <row r="505">
      <c r="A505" s="3" t="s">
        <v>7951</v>
      </c>
      <c r="B505" s="3" t="s">
        <v>7160</v>
      </c>
      <c r="C505" s="29">
        <v>46177.4375</v>
      </c>
      <c r="D505" s="29">
        <v>46177.45833333333</v>
      </c>
      <c r="E505" s="30">
        <v>0.5</v>
      </c>
      <c r="G505" s="2"/>
      <c r="H505" s="3" t="s">
        <v>7146</v>
      </c>
      <c r="I505" s="3" t="s">
        <v>7161</v>
      </c>
      <c r="J505" s="3" t="s">
        <v>7156</v>
      </c>
      <c r="K505" s="3" t="s">
        <v>7149</v>
      </c>
      <c r="L505" s="19">
        <v>2.0</v>
      </c>
      <c r="M505" s="3" t="s">
        <v>7952</v>
      </c>
      <c r="N505" s="3" t="s">
        <v>7953</v>
      </c>
      <c r="O505" s="3" t="s">
        <v>7218</v>
      </c>
      <c r="P505" s="19">
        <v>2.0</v>
      </c>
      <c r="Q505" s="19">
        <v>0.0</v>
      </c>
      <c r="R505" s="19">
        <v>0.0</v>
      </c>
      <c r="S505" s="19">
        <v>0.0</v>
      </c>
      <c r="T505" s="3" t="s">
        <v>154</v>
      </c>
      <c r="U505" s="3" t="s">
        <v>329</v>
      </c>
    </row>
    <row r="506">
      <c r="A506" s="3" t="s">
        <v>7954</v>
      </c>
      <c r="B506" s="3" t="s">
        <v>7163</v>
      </c>
      <c r="C506" s="29">
        <v>46177.58333333333</v>
      </c>
      <c r="D506" s="29">
        <v>46177.60416666667</v>
      </c>
      <c r="E506" s="30">
        <v>0.5</v>
      </c>
      <c r="F506" s="2"/>
      <c r="G506" s="2"/>
      <c r="H506" s="3" t="s">
        <v>7146</v>
      </c>
      <c r="I506" s="3" t="s">
        <v>7161</v>
      </c>
      <c r="J506" s="3" t="s">
        <v>7156</v>
      </c>
      <c r="K506" s="3" t="s">
        <v>7149</v>
      </c>
      <c r="L506" s="19">
        <v>5.0</v>
      </c>
      <c r="M506" s="3" t="s">
        <v>7955</v>
      </c>
      <c r="N506" s="3" t="s">
        <v>7955</v>
      </c>
      <c r="O506" s="3" t="s">
        <v>7956</v>
      </c>
      <c r="P506" s="19">
        <v>0.0</v>
      </c>
      <c r="Q506" s="19">
        <v>3.0</v>
      </c>
      <c r="R506" s="19">
        <v>0.0</v>
      </c>
      <c r="S506" s="19">
        <v>2.0</v>
      </c>
      <c r="T506" s="3" t="s">
        <v>151</v>
      </c>
      <c r="U506" s="3" t="s">
        <v>370</v>
      </c>
    </row>
    <row r="507">
      <c r="A507" s="3" t="s">
        <v>7971</v>
      </c>
      <c r="B507" s="3" t="s">
        <v>7178</v>
      </c>
      <c r="C507" s="29">
        <v>46178.39583333333</v>
      </c>
      <c r="D507" s="29">
        <v>46178.41666666667</v>
      </c>
      <c r="E507" s="30">
        <v>0.5</v>
      </c>
      <c r="F507" s="2"/>
      <c r="G507" s="25" t="s">
        <v>7972</v>
      </c>
      <c r="H507" s="3" t="s">
        <v>7146</v>
      </c>
      <c r="I507" s="3" t="s">
        <v>7161</v>
      </c>
      <c r="J507" s="3" t="s">
        <v>7156</v>
      </c>
      <c r="K507" s="3" t="s">
        <v>7149</v>
      </c>
      <c r="L507" s="19">
        <v>3.0</v>
      </c>
      <c r="M507" s="3" t="s">
        <v>7973</v>
      </c>
      <c r="N507" s="3" t="s">
        <v>7973</v>
      </c>
      <c r="O507" s="3" t="s">
        <v>7231</v>
      </c>
      <c r="P507" s="19">
        <v>2.0</v>
      </c>
      <c r="Q507" s="19">
        <v>1.0</v>
      </c>
      <c r="R507" s="19">
        <v>0.0</v>
      </c>
      <c r="S507" s="19">
        <v>0.0</v>
      </c>
      <c r="T507" s="3" t="s">
        <v>169</v>
      </c>
      <c r="U507" s="3" t="s">
        <v>170</v>
      </c>
    </row>
    <row r="508">
      <c r="A508" s="3" t="s">
        <v>7679</v>
      </c>
      <c r="B508" s="3" t="s">
        <v>7546</v>
      </c>
      <c r="C508" s="29">
        <v>46178.47916666667</v>
      </c>
      <c r="D508" s="29">
        <v>46178.52083333333</v>
      </c>
      <c r="E508" s="30">
        <v>1.0</v>
      </c>
      <c r="F508" s="2"/>
      <c r="G508" s="2"/>
      <c r="H508" s="3" t="s">
        <v>7146</v>
      </c>
      <c r="I508" s="3" t="s">
        <v>7338</v>
      </c>
      <c r="J508" s="3" t="s">
        <v>7288</v>
      </c>
      <c r="K508" s="3" t="s">
        <v>7149</v>
      </c>
      <c r="L508" s="19">
        <v>1.0</v>
      </c>
      <c r="M508" s="3" t="s">
        <v>7680</v>
      </c>
      <c r="N508" s="3" t="s">
        <v>7680</v>
      </c>
      <c r="O508" s="3" t="s">
        <v>7161</v>
      </c>
      <c r="P508" s="19">
        <v>1.0</v>
      </c>
      <c r="Q508" s="19">
        <v>0.0</v>
      </c>
      <c r="R508" s="19">
        <v>0.0</v>
      </c>
      <c r="S508" s="19">
        <v>0.0</v>
      </c>
      <c r="T508" s="3" t="s">
        <v>119</v>
      </c>
      <c r="U508" s="3" t="s">
        <v>251</v>
      </c>
    </row>
    <row r="509">
      <c r="A509" s="3" t="s">
        <v>7975</v>
      </c>
      <c r="B509" s="3" t="s">
        <v>7167</v>
      </c>
      <c r="C509" s="29">
        <v>46178.54166666667</v>
      </c>
      <c r="D509" s="29">
        <v>46178.5625</v>
      </c>
      <c r="E509" s="30">
        <v>0.5</v>
      </c>
      <c r="F509" s="2"/>
      <c r="G509" s="2"/>
      <c r="H509" s="3" t="s">
        <v>7146</v>
      </c>
      <c r="I509" s="3" t="s">
        <v>7338</v>
      </c>
      <c r="J509" s="3" t="s">
        <v>7288</v>
      </c>
      <c r="K509" s="3" t="s">
        <v>7149</v>
      </c>
      <c r="L509" s="19">
        <v>4.0</v>
      </c>
      <c r="M509" s="3" t="s">
        <v>7169</v>
      </c>
      <c r="N509" s="3" t="s">
        <v>7170</v>
      </c>
      <c r="O509" s="3" t="s">
        <v>7268</v>
      </c>
      <c r="P509" s="19">
        <v>1.0</v>
      </c>
      <c r="Q509" s="19">
        <v>0.0</v>
      </c>
      <c r="R509" s="19">
        <v>0.0</v>
      </c>
      <c r="S509" s="19">
        <v>3.0</v>
      </c>
      <c r="T509" s="3" t="s">
        <v>205</v>
      </c>
      <c r="U509" s="3" t="s">
        <v>206</v>
      </c>
    </row>
    <row r="510">
      <c r="A510" s="3" t="s">
        <v>7960</v>
      </c>
      <c r="B510" s="3" t="s">
        <v>7961</v>
      </c>
      <c r="C510" s="29">
        <v>46181.54166666667</v>
      </c>
      <c r="D510" s="29">
        <v>46181.5625</v>
      </c>
      <c r="E510" s="30">
        <v>0.5</v>
      </c>
      <c r="F510" s="2"/>
      <c r="G510" s="3" t="s">
        <v>7962</v>
      </c>
      <c r="H510" s="3" t="s">
        <v>7146</v>
      </c>
      <c r="I510" s="3" t="s">
        <v>7338</v>
      </c>
      <c r="J510" s="3" t="s">
        <v>7288</v>
      </c>
      <c r="K510" s="3" t="s">
        <v>7149</v>
      </c>
      <c r="L510" s="19">
        <v>3.0</v>
      </c>
      <c r="M510" s="3" t="s">
        <v>7788</v>
      </c>
      <c r="N510" s="3" t="s">
        <v>7788</v>
      </c>
      <c r="O510" s="3" t="s">
        <v>7326</v>
      </c>
      <c r="P510" s="19">
        <v>1.0</v>
      </c>
      <c r="Q510" s="19">
        <v>0.0</v>
      </c>
      <c r="R510" s="19">
        <v>0.0</v>
      </c>
      <c r="S510" s="19">
        <v>2.0</v>
      </c>
      <c r="T510" s="3" t="s">
        <v>131</v>
      </c>
      <c r="U510" s="3" t="s">
        <v>132</v>
      </c>
    </row>
    <row r="511">
      <c r="A511" s="3" t="s">
        <v>7963</v>
      </c>
      <c r="B511" s="3" t="s">
        <v>7234</v>
      </c>
      <c r="C511" s="29">
        <v>46181.58333333333</v>
      </c>
      <c r="D511" s="29">
        <v>46181.60416666667</v>
      </c>
      <c r="E511" s="30">
        <v>0.5</v>
      </c>
      <c r="F511" s="2"/>
      <c r="G511" s="2"/>
      <c r="H511" s="3" t="s">
        <v>7146</v>
      </c>
      <c r="I511" s="3" t="s">
        <v>7147</v>
      </c>
      <c r="J511" s="3" t="s">
        <v>7156</v>
      </c>
      <c r="K511" s="3" t="s">
        <v>7149</v>
      </c>
      <c r="L511" s="19">
        <v>4.0</v>
      </c>
      <c r="M511" s="3" t="s">
        <v>7235</v>
      </c>
      <c r="N511" s="3" t="s">
        <v>7235</v>
      </c>
      <c r="O511" s="3" t="s">
        <v>7964</v>
      </c>
      <c r="P511" s="19">
        <v>0.0</v>
      </c>
      <c r="Q511" s="19">
        <v>1.0</v>
      </c>
      <c r="R511" s="19">
        <v>0.0</v>
      </c>
      <c r="S511" s="19">
        <v>3.0</v>
      </c>
      <c r="T511" s="3" t="s">
        <v>166</v>
      </c>
      <c r="U511" s="3" t="s">
        <v>167</v>
      </c>
    </row>
    <row r="512">
      <c r="A512" s="3" t="s">
        <v>7896</v>
      </c>
      <c r="B512" s="3" t="s">
        <v>7463</v>
      </c>
      <c r="C512" s="29">
        <v>46181.60416666667</v>
      </c>
      <c r="D512" s="29">
        <v>46181.625</v>
      </c>
      <c r="E512" s="30">
        <v>0.5</v>
      </c>
      <c r="F512" s="2"/>
      <c r="G512" s="3" t="s">
        <v>7541</v>
      </c>
      <c r="H512" s="3" t="s">
        <v>7146</v>
      </c>
      <c r="I512" s="3" t="s">
        <v>7338</v>
      </c>
      <c r="J512" s="3" t="s">
        <v>7288</v>
      </c>
      <c r="K512" s="3" t="s">
        <v>7149</v>
      </c>
      <c r="L512" s="19">
        <v>1.0</v>
      </c>
      <c r="M512" s="3" t="s">
        <v>7897</v>
      </c>
      <c r="N512" s="3" t="s">
        <v>7897</v>
      </c>
      <c r="O512" s="3" t="s">
        <v>7161</v>
      </c>
      <c r="P512" s="19">
        <v>1.0</v>
      </c>
      <c r="Q512" s="19">
        <v>0.0</v>
      </c>
      <c r="R512" s="19">
        <v>0.0</v>
      </c>
      <c r="S512" s="19">
        <v>0.0</v>
      </c>
      <c r="T512" s="3" t="s">
        <v>101</v>
      </c>
      <c r="U512" s="3" t="s">
        <v>511</v>
      </c>
    </row>
    <row r="513">
      <c r="A513" s="3" t="s">
        <v>7904</v>
      </c>
      <c r="B513" s="3" t="s">
        <v>7183</v>
      </c>
      <c r="C513" s="29">
        <v>46182.5</v>
      </c>
      <c r="D513" s="29">
        <v>46182.52083333333</v>
      </c>
      <c r="E513" s="30">
        <v>0.5</v>
      </c>
      <c r="F513" s="2"/>
      <c r="G513" s="3" t="s">
        <v>7692</v>
      </c>
      <c r="H513" s="3" t="s">
        <v>7146</v>
      </c>
      <c r="I513" s="3" t="s">
        <v>7161</v>
      </c>
      <c r="J513" s="3" t="s">
        <v>7156</v>
      </c>
      <c r="K513" s="3" t="s">
        <v>7149</v>
      </c>
      <c r="L513" s="19">
        <v>2.0</v>
      </c>
      <c r="M513" s="3" t="s">
        <v>7905</v>
      </c>
      <c r="N513" s="3" t="s">
        <v>7906</v>
      </c>
      <c r="O513" s="3" t="s">
        <v>7944</v>
      </c>
      <c r="P513" s="19">
        <v>1.0</v>
      </c>
      <c r="Q513" s="19">
        <v>0.0</v>
      </c>
      <c r="R513" s="19">
        <v>1.0</v>
      </c>
      <c r="S513" s="19">
        <v>0.0</v>
      </c>
      <c r="T513" s="3" t="s">
        <v>184</v>
      </c>
      <c r="U513" s="3" t="s">
        <v>478</v>
      </c>
    </row>
    <row r="514">
      <c r="A514" s="3" t="s">
        <v>7901</v>
      </c>
      <c r="B514" s="3" t="s">
        <v>7689</v>
      </c>
      <c r="C514" s="29">
        <v>46182.5625</v>
      </c>
      <c r="D514" s="29">
        <v>46182.58333333333</v>
      </c>
      <c r="E514" s="30">
        <v>0.5</v>
      </c>
      <c r="G514" s="2"/>
      <c r="H514" s="3" t="s">
        <v>7146</v>
      </c>
      <c r="I514" s="3" t="s">
        <v>7338</v>
      </c>
      <c r="J514" s="3" t="s">
        <v>7288</v>
      </c>
      <c r="K514" s="3" t="s">
        <v>7149</v>
      </c>
      <c r="L514" s="19">
        <v>1.0</v>
      </c>
      <c r="M514" s="3" t="s">
        <v>7902</v>
      </c>
      <c r="N514" s="3" t="s">
        <v>7902</v>
      </c>
      <c r="O514" s="3" t="s">
        <v>7161</v>
      </c>
      <c r="P514" s="19">
        <v>1.0</v>
      </c>
      <c r="Q514" s="19">
        <v>0.0</v>
      </c>
      <c r="R514" s="19">
        <v>0.0</v>
      </c>
      <c r="S514" s="19">
        <v>0.0</v>
      </c>
      <c r="T514" s="3" t="s">
        <v>142</v>
      </c>
      <c r="U514" s="3" t="s">
        <v>143</v>
      </c>
    </row>
    <row r="515">
      <c r="A515" s="3" t="s">
        <v>7912</v>
      </c>
      <c r="B515" s="3" t="s">
        <v>7696</v>
      </c>
      <c r="C515" s="29">
        <v>46183.41666666667</v>
      </c>
      <c r="D515" s="29">
        <v>46183.4375</v>
      </c>
      <c r="E515" s="30">
        <v>0.5</v>
      </c>
      <c r="G515" s="2"/>
      <c r="H515" s="3" t="s">
        <v>7146</v>
      </c>
      <c r="I515" s="3" t="s">
        <v>7161</v>
      </c>
      <c r="J515" s="3" t="s">
        <v>7274</v>
      </c>
      <c r="K515" s="3" t="s">
        <v>7149</v>
      </c>
      <c r="L515" s="19">
        <v>1.0</v>
      </c>
      <c r="M515" s="3" t="s">
        <v>7288</v>
      </c>
      <c r="N515" s="3" t="s">
        <v>7288</v>
      </c>
      <c r="O515" s="3" t="s">
        <v>7161</v>
      </c>
      <c r="P515" s="19">
        <v>1.0</v>
      </c>
      <c r="Q515" s="19">
        <v>0.0</v>
      </c>
      <c r="R515" s="19">
        <v>0.0</v>
      </c>
      <c r="S515" s="19">
        <v>0.0</v>
      </c>
      <c r="T515" s="2"/>
      <c r="U515" s="2"/>
    </row>
    <row r="516">
      <c r="A516" s="3" t="s">
        <v>7804</v>
      </c>
      <c r="B516" s="3" t="s">
        <v>7805</v>
      </c>
      <c r="C516" s="29">
        <v>46184.5</v>
      </c>
      <c r="D516" s="29">
        <v>46184.52083333333</v>
      </c>
      <c r="E516" s="30">
        <v>0.5</v>
      </c>
      <c r="F516" s="2"/>
      <c r="G516" s="2"/>
      <c r="H516" s="3" t="s">
        <v>7146</v>
      </c>
      <c r="I516" s="3" t="s">
        <v>7338</v>
      </c>
      <c r="J516" s="3" t="s">
        <v>7288</v>
      </c>
      <c r="K516" s="3" t="s">
        <v>7149</v>
      </c>
      <c r="L516" s="19">
        <v>1.0</v>
      </c>
      <c r="M516" s="3" t="s">
        <v>7806</v>
      </c>
      <c r="N516" s="3" t="s">
        <v>7806</v>
      </c>
      <c r="O516" s="3" t="s">
        <v>7161</v>
      </c>
      <c r="P516" s="19">
        <v>1.0</v>
      </c>
      <c r="Q516" s="19">
        <v>0.0</v>
      </c>
      <c r="R516" s="19">
        <v>0.0</v>
      </c>
      <c r="S516" s="19">
        <v>0.0</v>
      </c>
      <c r="T516" s="3" t="s">
        <v>157</v>
      </c>
      <c r="U516" s="3" t="s">
        <v>158</v>
      </c>
    </row>
    <row r="517">
      <c r="A517" s="3" t="s">
        <v>7659</v>
      </c>
      <c r="B517" s="3" t="s">
        <v>7420</v>
      </c>
      <c r="C517" s="29">
        <v>46184.52083333333</v>
      </c>
      <c r="D517" s="29">
        <v>46184.54166666667</v>
      </c>
      <c r="E517" s="30">
        <v>0.5</v>
      </c>
      <c r="F517" s="2"/>
      <c r="G517" s="2"/>
      <c r="H517" s="3" t="s">
        <v>7146</v>
      </c>
      <c r="I517" s="3" t="s">
        <v>7161</v>
      </c>
      <c r="J517" s="3" t="s">
        <v>7156</v>
      </c>
      <c r="K517" s="3" t="s">
        <v>7149</v>
      </c>
      <c r="L517" s="19">
        <v>5.0</v>
      </c>
      <c r="M517" s="3" t="s">
        <v>7571</v>
      </c>
      <c r="N517" s="3" t="s">
        <v>7571</v>
      </c>
      <c r="O517" s="3" t="s">
        <v>7970</v>
      </c>
      <c r="P517" s="19">
        <v>3.0</v>
      </c>
      <c r="Q517" s="19">
        <v>1.0</v>
      </c>
      <c r="R517" s="19">
        <v>0.0</v>
      </c>
      <c r="S517" s="19">
        <v>1.0</v>
      </c>
      <c r="T517" s="3" t="s">
        <v>125</v>
      </c>
      <c r="U517" s="3" t="s">
        <v>126</v>
      </c>
    </row>
    <row r="518">
      <c r="A518" s="3" t="s">
        <v>7825</v>
      </c>
      <c r="B518" s="3" t="s">
        <v>7471</v>
      </c>
      <c r="C518" s="29">
        <v>46185.41666666667</v>
      </c>
      <c r="D518" s="29">
        <v>46185.4375</v>
      </c>
      <c r="E518" s="30">
        <v>0.5</v>
      </c>
      <c r="F518" s="2"/>
      <c r="G518" s="2"/>
      <c r="H518" s="3" t="s">
        <v>7146</v>
      </c>
      <c r="I518" s="3" t="s">
        <v>7161</v>
      </c>
      <c r="J518" s="3" t="s">
        <v>7156</v>
      </c>
      <c r="K518" s="3" t="s">
        <v>7149</v>
      </c>
      <c r="L518" s="19">
        <v>5.0</v>
      </c>
      <c r="M518" s="3" t="s">
        <v>7826</v>
      </c>
      <c r="N518" s="3" t="s">
        <v>7826</v>
      </c>
      <c r="O518" s="3" t="s">
        <v>7974</v>
      </c>
      <c r="P518" s="19">
        <v>2.0</v>
      </c>
      <c r="Q518" s="19">
        <v>0.0</v>
      </c>
      <c r="R518" s="19">
        <v>0.0</v>
      </c>
      <c r="S518" s="19">
        <v>3.0</v>
      </c>
      <c r="T518" s="3" t="s">
        <v>199</v>
      </c>
      <c r="U518" s="3" t="s">
        <v>272</v>
      </c>
    </row>
    <row r="519">
      <c r="A519" s="3" t="s">
        <v>7679</v>
      </c>
      <c r="B519" s="3" t="s">
        <v>7546</v>
      </c>
      <c r="C519" s="29">
        <v>46185.47916666667</v>
      </c>
      <c r="D519" s="29">
        <v>46185.52083333333</v>
      </c>
      <c r="E519" s="30">
        <v>1.0</v>
      </c>
      <c r="F519" s="2"/>
      <c r="G519" s="2"/>
      <c r="H519" s="3" t="s">
        <v>7146</v>
      </c>
      <c r="I519" s="3" t="s">
        <v>7338</v>
      </c>
      <c r="J519" s="3" t="s">
        <v>7288</v>
      </c>
      <c r="K519" s="3" t="s">
        <v>7149</v>
      </c>
      <c r="L519" s="19">
        <v>1.0</v>
      </c>
      <c r="M519" s="3" t="s">
        <v>7680</v>
      </c>
      <c r="N519" s="3" t="s">
        <v>7680</v>
      </c>
      <c r="O519" s="3" t="s">
        <v>7161</v>
      </c>
      <c r="P519" s="19">
        <v>1.0</v>
      </c>
      <c r="Q519" s="19">
        <v>0.0</v>
      </c>
      <c r="R519" s="19">
        <v>0.0</v>
      </c>
      <c r="S519" s="19">
        <v>0.0</v>
      </c>
      <c r="T519" s="3" t="s">
        <v>119</v>
      </c>
      <c r="U519" s="3" t="s">
        <v>251</v>
      </c>
    </row>
    <row r="520">
      <c r="A520" s="3" t="s">
        <v>7896</v>
      </c>
      <c r="B520" s="3" t="s">
        <v>7463</v>
      </c>
      <c r="C520" s="29">
        <v>46188.60416666667</v>
      </c>
      <c r="D520" s="29">
        <v>46188.625</v>
      </c>
      <c r="E520" s="30">
        <v>0.5</v>
      </c>
      <c r="F520" s="2"/>
      <c r="G520" s="3" t="s">
        <v>7541</v>
      </c>
      <c r="H520" s="3" t="s">
        <v>7146</v>
      </c>
      <c r="I520" s="3" t="s">
        <v>7338</v>
      </c>
      <c r="J520" s="3" t="s">
        <v>7288</v>
      </c>
      <c r="K520" s="3" t="s">
        <v>7149</v>
      </c>
      <c r="L520" s="19">
        <v>1.0</v>
      </c>
      <c r="M520" s="3" t="s">
        <v>7897</v>
      </c>
      <c r="N520" s="3" t="s">
        <v>7897</v>
      </c>
      <c r="O520" s="3" t="s">
        <v>7161</v>
      </c>
      <c r="P520" s="19">
        <v>1.0</v>
      </c>
      <c r="Q520" s="19">
        <v>0.0</v>
      </c>
      <c r="R520" s="19">
        <v>0.0</v>
      </c>
      <c r="S520" s="19">
        <v>0.0</v>
      </c>
      <c r="T520" s="3" t="s">
        <v>101</v>
      </c>
      <c r="U520" s="3" t="s">
        <v>511</v>
      </c>
    </row>
    <row r="521">
      <c r="A521" s="3" t="s">
        <v>7942</v>
      </c>
      <c r="B521" s="3" t="s">
        <v>7256</v>
      </c>
      <c r="C521" s="29">
        <v>46188.60416666667</v>
      </c>
      <c r="D521" s="29">
        <v>46188.625</v>
      </c>
      <c r="E521" s="30">
        <v>0.5</v>
      </c>
      <c r="F521" s="2"/>
      <c r="G521" s="2"/>
      <c r="H521" s="3" t="s">
        <v>7146</v>
      </c>
      <c r="I521" s="3" t="s">
        <v>7161</v>
      </c>
      <c r="J521" s="3" t="s">
        <v>7156</v>
      </c>
      <c r="K521" s="3" t="s">
        <v>7149</v>
      </c>
      <c r="L521" s="19">
        <v>3.0</v>
      </c>
      <c r="M521" s="3" t="s">
        <v>7943</v>
      </c>
      <c r="N521" s="3" t="s">
        <v>7943</v>
      </c>
      <c r="O521" s="3" t="s">
        <v>7258</v>
      </c>
      <c r="P521" s="19">
        <v>2.0</v>
      </c>
      <c r="Q521" s="19">
        <v>0.0</v>
      </c>
      <c r="R521" s="19">
        <v>0.0</v>
      </c>
      <c r="S521" s="19">
        <v>1.0</v>
      </c>
      <c r="T521" s="3" t="s">
        <v>202</v>
      </c>
      <c r="U521" s="3" t="s">
        <v>203</v>
      </c>
    </row>
    <row r="522">
      <c r="A522" s="3" t="s">
        <v>7904</v>
      </c>
      <c r="B522" s="3" t="s">
        <v>7183</v>
      </c>
      <c r="C522" s="29">
        <v>46189.5</v>
      </c>
      <c r="D522" s="29">
        <v>46189.52083333333</v>
      </c>
      <c r="E522" s="30">
        <v>0.5</v>
      </c>
      <c r="F522" s="2"/>
      <c r="G522" s="3" t="s">
        <v>7692</v>
      </c>
      <c r="H522" s="3" t="s">
        <v>7146</v>
      </c>
      <c r="I522" s="3" t="s">
        <v>7161</v>
      </c>
      <c r="J522" s="3" t="s">
        <v>7156</v>
      </c>
      <c r="K522" s="3" t="s">
        <v>7149</v>
      </c>
      <c r="L522" s="19">
        <v>2.0</v>
      </c>
      <c r="M522" s="3" t="s">
        <v>7905</v>
      </c>
      <c r="N522" s="3" t="s">
        <v>7906</v>
      </c>
      <c r="O522" s="3" t="s">
        <v>7944</v>
      </c>
      <c r="P522" s="19">
        <v>1.0</v>
      </c>
      <c r="Q522" s="19">
        <v>0.0</v>
      </c>
      <c r="R522" s="19">
        <v>1.0</v>
      </c>
      <c r="S522" s="19">
        <v>0.0</v>
      </c>
      <c r="T522" s="3" t="s">
        <v>184</v>
      </c>
      <c r="U522" s="3" t="s">
        <v>478</v>
      </c>
    </row>
    <row r="523">
      <c r="A523" s="3" t="s">
        <v>7912</v>
      </c>
      <c r="B523" s="3" t="s">
        <v>7696</v>
      </c>
      <c r="C523" s="29">
        <v>46190.41666666667</v>
      </c>
      <c r="D523" s="29">
        <v>46190.4375</v>
      </c>
      <c r="E523" s="30">
        <v>0.5</v>
      </c>
      <c r="G523" s="2"/>
      <c r="H523" s="3" t="s">
        <v>7146</v>
      </c>
      <c r="I523" s="3" t="s">
        <v>7161</v>
      </c>
      <c r="J523" s="3" t="s">
        <v>7274</v>
      </c>
      <c r="K523" s="3" t="s">
        <v>7149</v>
      </c>
      <c r="L523" s="19">
        <v>1.0</v>
      </c>
      <c r="M523" s="3" t="s">
        <v>7288</v>
      </c>
      <c r="N523" s="3" t="s">
        <v>7288</v>
      </c>
      <c r="O523" s="3" t="s">
        <v>7161</v>
      </c>
      <c r="P523" s="19">
        <v>1.0</v>
      </c>
      <c r="Q523" s="19">
        <v>0.0</v>
      </c>
      <c r="R523" s="19">
        <v>0.0</v>
      </c>
      <c r="S523" s="19">
        <v>0.0</v>
      </c>
      <c r="T523" s="2"/>
      <c r="U523" s="2"/>
    </row>
    <row r="524">
      <c r="A524" s="3" t="s">
        <v>7979</v>
      </c>
      <c r="B524" s="3" t="s">
        <v>7249</v>
      </c>
      <c r="C524" s="29">
        <v>46190.54166666667</v>
      </c>
      <c r="D524" s="29">
        <v>46190.5625</v>
      </c>
      <c r="E524" s="30">
        <v>0.5</v>
      </c>
      <c r="F524" s="2"/>
      <c r="G524" s="2"/>
      <c r="H524" s="3" t="s">
        <v>7146</v>
      </c>
      <c r="I524" s="3" t="s">
        <v>7161</v>
      </c>
      <c r="J524" s="3" t="s">
        <v>7156</v>
      </c>
      <c r="K524" s="3" t="s">
        <v>7149</v>
      </c>
      <c r="L524" s="19">
        <v>2.0</v>
      </c>
      <c r="M524" s="3" t="s">
        <v>7921</v>
      </c>
      <c r="N524" s="3" t="s">
        <v>7921</v>
      </c>
      <c r="O524" s="3" t="s">
        <v>7218</v>
      </c>
      <c r="P524" s="19">
        <v>2.0</v>
      </c>
      <c r="Q524" s="19">
        <v>0.0</v>
      </c>
      <c r="R524" s="19">
        <v>0.0</v>
      </c>
      <c r="S524" s="19">
        <v>0.0</v>
      </c>
      <c r="T524" s="3" t="s">
        <v>187</v>
      </c>
      <c r="U524" s="3" t="s">
        <v>188</v>
      </c>
    </row>
    <row r="525">
      <c r="A525" s="3" t="s">
        <v>7948</v>
      </c>
      <c r="B525" s="3" t="s">
        <v>7949</v>
      </c>
      <c r="C525" s="29">
        <v>46191.35416666667</v>
      </c>
      <c r="D525" s="29">
        <v>46191.375</v>
      </c>
      <c r="E525" s="30">
        <v>0.5</v>
      </c>
      <c r="F525" s="2"/>
      <c r="G525" s="2"/>
      <c r="H525" s="3" t="s">
        <v>7146</v>
      </c>
      <c r="I525" s="3" t="s">
        <v>7338</v>
      </c>
      <c r="J525" s="3" t="s">
        <v>7288</v>
      </c>
      <c r="K525" s="3" t="s">
        <v>7149</v>
      </c>
      <c r="L525" s="19">
        <v>3.0</v>
      </c>
      <c r="M525" s="3" t="s">
        <v>7950</v>
      </c>
      <c r="N525" s="3" t="s">
        <v>7950</v>
      </c>
      <c r="O525" s="3" t="s">
        <v>7622</v>
      </c>
      <c r="P525" s="19">
        <v>0.0</v>
      </c>
      <c r="Q525" s="19">
        <v>0.0</v>
      </c>
      <c r="R525" s="19">
        <v>0.0</v>
      </c>
      <c r="S525" s="19">
        <v>3.0</v>
      </c>
      <c r="T525" s="3" t="s">
        <v>193</v>
      </c>
      <c r="U525" s="3" t="s">
        <v>544</v>
      </c>
    </row>
    <row r="526">
      <c r="A526" s="3" t="s">
        <v>7951</v>
      </c>
      <c r="B526" s="3" t="s">
        <v>7160</v>
      </c>
      <c r="C526" s="29">
        <v>46191.4375</v>
      </c>
      <c r="D526" s="29">
        <v>46191.45833333333</v>
      </c>
      <c r="E526" s="30">
        <v>0.5</v>
      </c>
      <c r="F526" s="2"/>
      <c r="G526" s="2"/>
      <c r="H526" s="3" t="s">
        <v>7146</v>
      </c>
      <c r="I526" s="3" t="s">
        <v>7161</v>
      </c>
      <c r="J526" s="3" t="s">
        <v>7156</v>
      </c>
      <c r="K526" s="3" t="s">
        <v>7149</v>
      </c>
      <c r="L526" s="19">
        <v>2.0</v>
      </c>
      <c r="M526" s="3" t="s">
        <v>7952</v>
      </c>
      <c r="N526" s="3" t="s">
        <v>7953</v>
      </c>
      <c r="O526" s="3" t="s">
        <v>7218</v>
      </c>
      <c r="P526" s="19">
        <v>2.0</v>
      </c>
      <c r="Q526" s="19">
        <v>0.0</v>
      </c>
      <c r="R526" s="19">
        <v>0.0</v>
      </c>
      <c r="S526" s="19">
        <v>0.0</v>
      </c>
      <c r="T526" s="3" t="s">
        <v>154</v>
      </c>
      <c r="U526" s="3" t="s">
        <v>329</v>
      </c>
    </row>
    <row r="527">
      <c r="A527" s="3" t="s">
        <v>7954</v>
      </c>
      <c r="B527" s="3" t="s">
        <v>7163</v>
      </c>
      <c r="C527" s="29">
        <v>46191.58333333333</v>
      </c>
      <c r="D527" s="29">
        <v>46191.60416666667</v>
      </c>
      <c r="E527" s="30">
        <v>0.5</v>
      </c>
      <c r="F527" s="2"/>
      <c r="G527" s="2"/>
      <c r="H527" s="3" t="s">
        <v>7146</v>
      </c>
      <c r="I527" s="3" t="s">
        <v>7161</v>
      </c>
      <c r="J527" s="3" t="s">
        <v>7156</v>
      </c>
      <c r="K527" s="3" t="s">
        <v>7149</v>
      </c>
      <c r="L527" s="19">
        <v>5.0</v>
      </c>
      <c r="M527" s="3" t="s">
        <v>7955</v>
      </c>
      <c r="N527" s="3" t="s">
        <v>7955</v>
      </c>
      <c r="O527" s="3" t="s">
        <v>7956</v>
      </c>
      <c r="P527" s="19">
        <v>0.0</v>
      </c>
      <c r="Q527" s="19">
        <v>3.0</v>
      </c>
      <c r="R527" s="19">
        <v>0.0</v>
      </c>
      <c r="S527" s="19">
        <v>2.0</v>
      </c>
      <c r="T527" s="3" t="s">
        <v>151</v>
      </c>
      <c r="U527" s="3" t="s">
        <v>370</v>
      </c>
    </row>
    <row r="528">
      <c r="A528" s="3" t="s">
        <v>7957</v>
      </c>
      <c r="B528" s="3" t="s">
        <v>7712</v>
      </c>
      <c r="C528" s="29">
        <v>46191.64583333333</v>
      </c>
      <c r="D528" s="29">
        <v>46191.66666666667</v>
      </c>
      <c r="E528" s="30">
        <v>0.5</v>
      </c>
      <c r="F528" s="2"/>
      <c r="G528" s="3" t="s">
        <v>7713</v>
      </c>
      <c r="H528" s="3" t="s">
        <v>7146</v>
      </c>
      <c r="I528" s="3" t="s">
        <v>7338</v>
      </c>
      <c r="J528" s="3" t="s">
        <v>7288</v>
      </c>
      <c r="K528" s="3" t="s">
        <v>7149</v>
      </c>
      <c r="L528" s="19">
        <v>5.0</v>
      </c>
      <c r="M528" s="3" t="s">
        <v>7958</v>
      </c>
      <c r="N528" s="3" t="s">
        <v>7958</v>
      </c>
      <c r="O528" s="3" t="s">
        <v>7959</v>
      </c>
      <c r="P528" s="19">
        <v>2.0</v>
      </c>
      <c r="Q528" s="19">
        <v>1.0</v>
      </c>
      <c r="R528" s="19">
        <v>1.0</v>
      </c>
      <c r="S528" s="19">
        <v>1.0</v>
      </c>
      <c r="T528" s="3" t="s">
        <v>122</v>
      </c>
      <c r="U528" s="3" t="s">
        <v>123</v>
      </c>
    </row>
    <row r="529">
      <c r="A529" s="3" t="s">
        <v>7927</v>
      </c>
      <c r="B529" s="3" t="s">
        <v>7928</v>
      </c>
      <c r="C529" s="29">
        <v>46191.70833333333</v>
      </c>
      <c r="D529" s="29">
        <v>46191.72916666667</v>
      </c>
      <c r="E529" s="30">
        <v>0.5</v>
      </c>
      <c r="F529" s="2"/>
      <c r="G529" s="3" t="s">
        <v>7929</v>
      </c>
      <c r="H529" s="3" t="s">
        <v>7146</v>
      </c>
      <c r="I529" s="3" t="s">
        <v>7161</v>
      </c>
      <c r="J529" s="3" t="s">
        <v>7148</v>
      </c>
      <c r="K529" s="3" t="s">
        <v>7149</v>
      </c>
      <c r="L529" s="19">
        <v>10.0</v>
      </c>
      <c r="M529" s="3" t="s">
        <v>7930</v>
      </c>
      <c r="N529" s="3" t="s">
        <v>7931</v>
      </c>
      <c r="O529" s="3" t="s">
        <v>7932</v>
      </c>
      <c r="P529" s="19">
        <v>6.0</v>
      </c>
      <c r="Q529" s="19">
        <v>0.0</v>
      </c>
      <c r="R529" s="19">
        <v>1.0</v>
      </c>
      <c r="S529" s="19">
        <v>3.0</v>
      </c>
      <c r="T529" s="3" t="s">
        <v>160</v>
      </c>
      <c r="U529" s="3" t="s">
        <v>440</v>
      </c>
    </row>
    <row r="530">
      <c r="A530" s="3" t="s">
        <v>7980</v>
      </c>
      <c r="B530" s="3" t="s">
        <v>7221</v>
      </c>
      <c r="C530" s="29">
        <v>46192.41666666667</v>
      </c>
      <c r="D530" s="29">
        <v>46192.4375</v>
      </c>
      <c r="E530" s="30">
        <v>0.5</v>
      </c>
      <c r="F530" s="2"/>
      <c r="G530" s="2"/>
      <c r="H530" s="3" t="s">
        <v>7146</v>
      </c>
      <c r="I530" s="3" t="s">
        <v>7161</v>
      </c>
      <c r="J530" s="3" t="s">
        <v>7156</v>
      </c>
      <c r="K530" s="3" t="s">
        <v>7149</v>
      </c>
      <c r="L530" s="19">
        <v>4.0</v>
      </c>
      <c r="M530" s="3" t="s">
        <v>7935</v>
      </c>
      <c r="N530" s="3" t="s">
        <v>7935</v>
      </c>
      <c r="O530" s="3" t="s">
        <v>7453</v>
      </c>
      <c r="P530" s="19">
        <v>3.0</v>
      </c>
      <c r="Q530" s="19">
        <v>0.0</v>
      </c>
      <c r="R530" s="19">
        <v>0.0</v>
      </c>
      <c r="S530" s="19">
        <v>1.0</v>
      </c>
      <c r="T530" s="3" t="s">
        <v>6608</v>
      </c>
      <c r="U530" s="3" t="s">
        <v>294</v>
      </c>
    </row>
    <row r="531">
      <c r="A531" s="3" t="s">
        <v>7679</v>
      </c>
      <c r="B531" s="3" t="s">
        <v>7546</v>
      </c>
      <c r="C531" s="29">
        <v>46192.47916666667</v>
      </c>
      <c r="D531" s="29">
        <v>46192.52083333333</v>
      </c>
      <c r="E531" s="30">
        <v>1.0</v>
      </c>
      <c r="F531" s="2"/>
      <c r="G531" s="2"/>
      <c r="H531" s="3" t="s">
        <v>7146</v>
      </c>
      <c r="I531" s="3" t="s">
        <v>7338</v>
      </c>
      <c r="J531" s="3" t="s">
        <v>7288</v>
      </c>
      <c r="K531" s="3" t="s">
        <v>7149</v>
      </c>
      <c r="L531" s="19">
        <v>1.0</v>
      </c>
      <c r="M531" s="3" t="s">
        <v>7680</v>
      </c>
      <c r="N531" s="3" t="s">
        <v>7680</v>
      </c>
      <c r="O531" s="3" t="s">
        <v>7161</v>
      </c>
      <c r="P531" s="19">
        <v>1.0</v>
      </c>
      <c r="Q531" s="19">
        <v>0.0</v>
      </c>
      <c r="R531" s="19">
        <v>0.0</v>
      </c>
      <c r="S531" s="19">
        <v>0.0</v>
      </c>
      <c r="T531" s="3" t="s">
        <v>119</v>
      </c>
      <c r="U531" s="3" t="s">
        <v>251</v>
      </c>
    </row>
    <row r="532">
      <c r="A532" s="3" t="s">
        <v>7960</v>
      </c>
      <c r="B532" s="3" t="s">
        <v>7961</v>
      </c>
      <c r="C532" s="29">
        <v>46195.54166666667</v>
      </c>
      <c r="D532" s="29">
        <v>46195.5625</v>
      </c>
      <c r="E532" s="30">
        <v>0.5</v>
      </c>
      <c r="F532" s="2"/>
      <c r="G532" s="3" t="s">
        <v>7962</v>
      </c>
      <c r="H532" s="3" t="s">
        <v>7146</v>
      </c>
      <c r="I532" s="3" t="s">
        <v>7338</v>
      </c>
      <c r="J532" s="3" t="s">
        <v>7288</v>
      </c>
      <c r="K532" s="3" t="s">
        <v>7149</v>
      </c>
      <c r="L532" s="19">
        <v>3.0</v>
      </c>
      <c r="M532" s="3" t="s">
        <v>7788</v>
      </c>
      <c r="N532" s="3" t="s">
        <v>7788</v>
      </c>
      <c r="O532" s="3" t="s">
        <v>7326</v>
      </c>
      <c r="P532" s="19">
        <v>1.0</v>
      </c>
      <c r="Q532" s="19">
        <v>0.0</v>
      </c>
      <c r="R532" s="19">
        <v>0.0</v>
      </c>
      <c r="S532" s="19">
        <v>2.0</v>
      </c>
      <c r="T532" s="3" t="s">
        <v>131</v>
      </c>
      <c r="U532" s="3" t="s">
        <v>132</v>
      </c>
    </row>
    <row r="533">
      <c r="A533" s="3" t="s">
        <v>7963</v>
      </c>
      <c r="B533" s="3" t="s">
        <v>7234</v>
      </c>
      <c r="C533" s="29">
        <v>46195.58333333333</v>
      </c>
      <c r="D533" s="29">
        <v>46195.60416666667</v>
      </c>
      <c r="E533" s="30">
        <v>0.5</v>
      </c>
      <c r="F533" s="2"/>
      <c r="G533" s="2"/>
      <c r="H533" s="3" t="s">
        <v>7146</v>
      </c>
      <c r="I533" s="3" t="s">
        <v>7147</v>
      </c>
      <c r="J533" s="3" t="s">
        <v>7156</v>
      </c>
      <c r="K533" s="3" t="s">
        <v>7149</v>
      </c>
      <c r="L533" s="19">
        <v>4.0</v>
      </c>
      <c r="M533" s="3" t="s">
        <v>7235</v>
      </c>
      <c r="N533" s="3" t="s">
        <v>7235</v>
      </c>
      <c r="O533" s="3" t="s">
        <v>7964</v>
      </c>
      <c r="P533" s="19">
        <v>0.0</v>
      </c>
      <c r="Q533" s="19">
        <v>1.0</v>
      </c>
      <c r="R533" s="19">
        <v>0.0</v>
      </c>
      <c r="S533" s="19">
        <v>3.0</v>
      </c>
      <c r="T533" s="3" t="s">
        <v>166</v>
      </c>
      <c r="U533" s="3" t="s">
        <v>167</v>
      </c>
    </row>
    <row r="534">
      <c r="A534" s="3" t="s">
        <v>7896</v>
      </c>
      <c r="B534" s="3" t="s">
        <v>7463</v>
      </c>
      <c r="C534" s="29">
        <v>46195.60416666667</v>
      </c>
      <c r="D534" s="29">
        <v>46195.625</v>
      </c>
      <c r="E534" s="30">
        <v>0.5</v>
      </c>
      <c r="F534" s="2"/>
      <c r="G534" s="3" t="s">
        <v>7541</v>
      </c>
      <c r="H534" s="3" t="s">
        <v>7146</v>
      </c>
      <c r="I534" s="3" t="s">
        <v>7338</v>
      </c>
      <c r="J534" s="3" t="s">
        <v>7288</v>
      </c>
      <c r="K534" s="3" t="s">
        <v>7149</v>
      </c>
      <c r="L534" s="19">
        <v>1.0</v>
      </c>
      <c r="M534" s="3" t="s">
        <v>7897</v>
      </c>
      <c r="N534" s="3" t="s">
        <v>7897</v>
      </c>
      <c r="O534" s="3" t="s">
        <v>7161</v>
      </c>
      <c r="P534" s="19">
        <v>1.0</v>
      </c>
      <c r="Q534" s="19">
        <v>0.0</v>
      </c>
      <c r="R534" s="19">
        <v>0.0</v>
      </c>
      <c r="S534" s="19">
        <v>0.0</v>
      </c>
      <c r="T534" s="3" t="s">
        <v>101</v>
      </c>
      <c r="U534" s="3" t="s">
        <v>511</v>
      </c>
    </row>
    <row r="535">
      <c r="A535" s="3" t="s">
        <v>7904</v>
      </c>
      <c r="B535" s="3" t="s">
        <v>7183</v>
      </c>
      <c r="C535" s="29">
        <v>46196.5</v>
      </c>
      <c r="D535" s="29">
        <v>46196.52083333333</v>
      </c>
      <c r="E535" s="30">
        <v>0.5</v>
      </c>
      <c r="F535" s="2"/>
      <c r="G535" s="3" t="s">
        <v>7692</v>
      </c>
      <c r="H535" s="3" t="s">
        <v>7146</v>
      </c>
      <c r="I535" s="3" t="s">
        <v>7161</v>
      </c>
      <c r="J535" s="3" t="s">
        <v>7156</v>
      </c>
      <c r="K535" s="3" t="s">
        <v>7149</v>
      </c>
      <c r="L535" s="19">
        <v>2.0</v>
      </c>
      <c r="M535" s="3" t="s">
        <v>7905</v>
      </c>
      <c r="N535" s="3" t="s">
        <v>7906</v>
      </c>
      <c r="O535" s="3" t="s">
        <v>7944</v>
      </c>
      <c r="P535" s="19">
        <v>1.0</v>
      </c>
      <c r="Q535" s="19">
        <v>0.0</v>
      </c>
      <c r="R535" s="19">
        <v>1.0</v>
      </c>
      <c r="S535" s="19">
        <v>0.0</v>
      </c>
      <c r="T535" s="3" t="s">
        <v>184</v>
      </c>
      <c r="U535" s="3" t="s">
        <v>478</v>
      </c>
    </row>
    <row r="536">
      <c r="A536" s="3" t="s">
        <v>7748</v>
      </c>
      <c r="B536" s="3" t="s">
        <v>7211</v>
      </c>
      <c r="C536" s="29">
        <v>46196.54166666667</v>
      </c>
      <c r="D536" s="29">
        <v>46196.5625</v>
      </c>
      <c r="E536" s="30">
        <v>0.5</v>
      </c>
      <c r="F536" s="2"/>
      <c r="G536" s="3" t="s">
        <v>7212</v>
      </c>
      <c r="H536" s="3" t="s">
        <v>7146</v>
      </c>
      <c r="I536" s="3" t="s">
        <v>7161</v>
      </c>
      <c r="J536" s="3" t="s">
        <v>7156</v>
      </c>
      <c r="K536" s="3" t="s">
        <v>7149</v>
      </c>
      <c r="L536" s="19">
        <v>4.0</v>
      </c>
      <c r="M536" s="3" t="s">
        <v>7213</v>
      </c>
      <c r="N536" s="3" t="s">
        <v>7213</v>
      </c>
      <c r="O536" s="3" t="s">
        <v>7965</v>
      </c>
      <c r="P536" s="19">
        <v>2.0</v>
      </c>
      <c r="Q536" s="19">
        <v>1.0</v>
      </c>
      <c r="R536" s="19">
        <v>0.0</v>
      </c>
      <c r="S536" s="19">
        <v>1.0</v>
      </c>
      <c r="T536" s="3" t="s">
        <v>175</v>
      </c>
      <c r="U536" s="3" t="s">
        <v>422</v>
      </c>
    </row>
    <row r="537">
      <c r="A537" s="3" t="s">
        <v>7901</v>
      </c>
      <c r="B537" s="3" t="s">
        <v>7689</v>
      </c>
      <c r="C537" s="29">
        <v>46196.5625</v>
      </c>
      <c r="D537" s="29">
        <v>46196.58333333333</v>
      </c>
      <c r="E537" s="30">
        <v>0.5</v>
      </c>
      <c r="F537" s="2"/>
      <c r="G537" s="2"/>
      <c r="H537" s="3" t="s">
        <v>7146</v>
      </c>
      <c r="I537" s="3" t="s">
        <v>7338</v>
      </c>
      <c r="J537" s="3" t="s">
        <v>7288</v>
      </c>
      <c r="K537" s="3" t="s">
        <v>7149</v>
      </c>
      <c r="L537" s="19">
        <v>1.0</v>
      </c>
      <c r="M537" s="3" t="s">
        <v>7902</v>
      </c>
      <c r="N537" s="3" t="s">
        <v>7902</v>
      </c>
      <c r="O537" s="3" t="s">
        <v>7161</v>
      </c>
      <c r="P537" s="19">
        <v>1.0</v>
      </c>
      <c r="Q537" s="19">
        <v>0.0</v>
      </c>
      <c r="R537" s="19">
        <v>0.0</v>
      </c>
      <c r="S537" s="19">
        <v>0.0</v>
      </c>
      <c r="T537" s="3" t="s">
        <v>142</v>
      </c>
      <c r="U537" s="3" t="s">
        <v>143</v>
      </c>
    </row>
    <row r="538">
      <c r="A538" s="3" t="s">
        <v>7966</v>
      </c>
      <c r="B538" s="3" t="s">
        <v>7967</v>
      </c>
      <c r="C538" s="29">
        <v>46196.64583333333</v>
      </c>
      <c r="D538" s="29">
        <v>46196.66666666667</v>
      </c>
      <c r="E538" s="30">
        <v>0.5</v>
      </c>
      <c r="F538" s="2"/>
      <c r="G538" s="3" t="s">
        <v>7968</v>
      </c>
      <c r="H538" s="3" t="s">
        <v>7146</v>
      </c>
      <c r="I538" s="3" t="s">
        <v>7338</v>
      </c>
      <c r="J538" s="3" t="s">
        <v>7288</v>
      </c>
      <c r="K538" s="3" t="s">
        <v>7149</v>
      </c>
      <c r="L538" s="19">
        <v>4.0</v>
      </c>
      <c r="M538" s="3" t="s">
        <v>7707</v>
      </c>
      <c r="N538" s="3" t="s">
        <v>7707</v>
      </c>
      <c r="O538" s="3" t="s">
        <v>7236</v>
      </c>
      <c r="P538" s="19">
        <v>1.0</v>
      </c>
      <c r="Q538" s="19">
        <v>0.0</v>
      </c>
      <c r="R538" s="19">
        <v>0.0</v>
      </c>
      <c r="S538" s="19">
        <v>3.0</v>
      </c>
      <c r="T538" s="3" t="s">
        <v>6450</v>
      </c>
      <c r="U538" s="3" t="s">
        <v>552</v>
      </c>
    </row>
    <row r="539">
      <c r="A539" s="3" t="s">
        <v>7912</v>
      </c>
      <c r="B539" s="3" t="s">
        <v>7696</v>
      </c>
      <c r="C539" s="29">
        <v>46197.41666666667</v>
      </c>
      <c r="D539" s="29">
        <v>46197.4375</v>
      </c>
      <c r="E539" s="30">
        <v>0.5</v>
      </c>
      <c r="F539" s="2"/>
      <c r="G539" s="2"/>
      <c r="H539" s="3" t="s">
        <v>7146</v>
      </c>
      <c r="I539" s="3" t="s">
        <v>7161</v>
      </c>
      <c r="J539" s="3" t="s">
        <v>7274</v>
      </c>
      <c r="K539" s="3" t="s">
        <v>7149</v>
      </c>
      <c r="L539" s="19">
        <v>1.0</v>
      </c>
      <c r="M539" s="3" t="s">
        <v>7288</v>
      </c>
      <c r="N539" s="3" t="s">
        <v>7288</v>
      </c>
      <c r="O539" s="3" t="s">
        <v>7161</v>
      </c>
      <c r="P539" s="19">
        <v>1.0</v>
      </c>
      <c r="Q539" s="19">
        <v>0.0</v>
      </c>
      <c r="R539" s="19">
        <v>0.0</v>
      </c>
      <c r="S539" s="19">
        <v>0.0</v>
      </c>
      <c r="T539" s="2"/>
      <c r="U539" s="2"/>
    </row>
    <row r="540">
      <c r="A540" s="3" t="s">
        <v>7791</v>
      </c>
      <c r="B540" s="3" t="s">
        <v>7266</v>
      </c>
      <c r="C540" s="29">
        <v>46198.375</v>
      </c>
      <c r="D540" s="29">
        <v>46198.39583333333</v>
      </c>
      <c r="E540" s="30">
        <v>0.5</v>
      </c>
      <c r="F540" s="2"/>
      <c r="G540" s="2"/>
      <c r="H540" s="3" t="s">
        <v>7146</v>
      </c>
      <c r="I540" s="3" t="s">
        <v>7161</v>
      </c>
      <c r="J540" s="3" t="s">
        <v>7156</v>
      </c>
      <c r="K540" s="3" t="s">
        <v>7149</v>
      </c>
      <c r="L540" s="19">
        <v>4.0</v>
      </c>
      <c r="M540" s="3" t="s">
        <v>7267</v>
      </c>
      <c r="N540" s="3" t="s">
        <v>7267</v>
      </c>
      <c r="O540" s="3" t="s">
        <v>7792</v>
      </c>
      <c r="P540" s="19">
        <v>1.0</v>
      </c>
      <c r="Q540" s="19">
        <v>1.0</v>
      </c>
      <c r="R540" s="19">
        <v>0.0</v>
      </c>
      <c r="S540" s="19">
        <v>2.0</v>
      </c>
      <c r="T540" s="3" t="s">
        <v>6752</v>
      </c>
      <c r="U540" s="3" t="s">
        <v>319</v>
      </c>
    </row>
    <row r="541">
      <c r="A541" s="3" t="s">
        <v>7969</v>
      </c>
      <c r="B541" s="3" t="s">
        <v>7262</v>
      </c>
      <c r="C541" s="29">
        <v>46198.47916666667</v>
      </c>
      <c r="D541" s="29">
        <v>46198.5</v>
      </c>
      <c r="E541" s="30">
        <v>0.5</v>
      </c>
      <c r="F541" s="2"/>
      <c r="G541" s="2"/>
      <c r="H541" s="3" t="s">
        <v>7146</v>
      </c>
      <c r="I541" s="3" t="s">
        <v>7161</v>
      </c>
      <c r="J541" s="3" t="s">
        <v>7156</v>
      </c>
      <c r="K541" s="3" t="s">
        <v>7149</v>
      </c>
      <c r="L541" s="19">
        <v>2.0</v>
      </c>
      <c r="M541" s="3" t="s">
        <v>7263</v>
      </c>
      <c r="N541" s="3" t="s">
        <v>7263</v>
      </c>
      <c r="O541" s="3" t="s">
        <v>7218</v>
      </c>
      <c r="P541" s="19">
        <v>2.0</v>
      </c>
      <c r="Q541" s="19">
        <v>0.0</v>
      </c>
      <c r="R541" s="19">
        <v>0.0</v>
      </c>
      <c r="S541" s="19">
        <v>0.0</v>
      </c>
      <c r="T541" s="3" t="s">
        <v>128</v>
      </c>
      <c r="U541" s="3" t="s">
        <v>301</v>
      </c>
    </row>
    <row r="542">
      <c r="A542" s="3" t="s">
        <v>7804</v>
      </c>
      <c r="B542" s="3" t="s">
        <v>7805</v>
      </c>
      <c r="C542" s="29">
        <v>46198.5</v>
      </c>
      <c r="D542" s="29">
        <v>46198.52083333333</v>
      </c>
      <c r="E542" s="30">
        <v>0.5</v>
      </c>
      <c r="F542" s="2"/>
      <c r="G542" s="2"/>
      <c r="H542" s="3" t="s">
        <v>7146</v>
      </c>
      <c r="I542" s="3" t="s">
        <v>7338</v>
      </c>
      <c r="J542" s="3" t="s">
        <v>7288</v>
      </c>
      <c r="K542" s="3" t="s">
        <v>7149</v>
      </c>
      <c r="L542" s="19">
        <v>1.0</v>
      </c>
      <c r="M542" s="3" t="s">
        <v>7806</v>
      </c>
      <c r="N542" s="3" t="s">
        <v>7806</v>
      </c>
      <c r="O542" s="3" t="s">
        <v>7161</v>
      </c>
      <c r="P542" s="19">
        <v>1.0</v>
      </c>
      <c r="Q542" s="19">
        <v>0.0</v>
      </c>
      <c r="R542" s="19">
        <v>0.0</v>
      </c>
      <c r="S542" s="19">
        <v>0.0</v>
      </c>
      <c r="T542" s="3" t="s">
        <v>157</v>
      </c>
      <c r="U542" s="3" t="s">
        <v>158</v>
      </c>
    </row>
    <row r="543">
      <c r="A543" s="3" t="s">
        <v>7659</v>
      </c>
      <c r="B543" s="3" t="s">
        <v>7420</v>
      </c>
      <c r="C543" s="29">
        <v>46198.52083333333</v>
      </c>
      <c r="D543" s="29">
        <v>46198.54166666667</v>
      </c>
      <c r="E543" s="30">
        <v>0.5</v>
      </c>
      <c r="G543" s="2"/>
      <c r="H543" s="3" t="s">
        <v>7146</v>
      </c>
      <c r="I543" s="3" t="s">
        <v>7161</v>
      </c>
      <c r="J543" s="3" t="s">
        <v>7156</v>
      </c>
      <c r="K543" s="3" t="s">
        <v>7149</v>
      </c>
      <c r="L543" s="19">
        <v>5.0</v>
      </c>
      <c r="M543" s="3" t="s">
        <v>7571</v>
      </c>
      <c r="N543" s="3" t="s">
        <v>7571</v>
      </c>
      <c r="O543" s="3" t="s">
        <v>7970</v>
      </c>
      <c r="P543" s="19">
        <v>3.0</v>
      </c>
      <c r="Q543" s="19">
        <v>1.0</v>
      </c>
      <c r="R543" s="19">
        <v>0.0</v>
      </c>
      <c r="S543" s="19">
        <v>1.0</v>
      </c>
      <c r="T543" s="3" t="s">
        <v>125</v>
      </c>
      <c r="U543" s="3" t="s">
        <v>126</v>
      </c>
    </row>
    <row r="544">
      <c r="A544" s="3" t="s">
        <v>7812</v>
      </c>
      <c r="B544" s="3" t="s">
        <v>7813</v>
      </c>
      <c r="C544" s="29">
        <v>46198.5625</v>
      </c>
      <c r="D544" s="29">
        <v>46198.58333333333</v>
      </c>
      <c r="E544" s="30">
        <v>0.5</v>
      </c>
      <c r="F544" s="2"/>
      <c r="G544" s="3" t="s">
        <v>7814</v>
      </c>
      <c r="H544" s="3" t="s">
        <v>7146</v>
      </c>
      <c r="I544" s="3" t="s">
        <v>7338</v>
      </c>
      <c r="J544" s="3" t="s">
        <v>7288</v>
      </c>
      <c r="K544" s="3" t="s">
        <v>7149</v>
      </c>
      <c r="L544" s="19">
        <v>3.0</v>
      </c>
      <c r="M544" s="3" t="s">
        <v>7815</v>
      </c>
      <c r="N544" s="3" t="s">
        <v>7815</v>
      </c>
      <c r="O544" s="3" t="s">
        <v>7601</v>
      </c>
      <c r="P544" s="19">
        <v>1.0</v>
      </c>
      <c r="Q544" s="19">
        <v>0.0</v>
      </c>
      <c r="R544" s="19">
        <v>0.0</v>
      </c>
      <c r="S544" s="19">
        <v>2.0</v>
      </c>
      <c r="T544" s="3" t="s">
        <v>190</v>
      </c>
      <c r="U544" s="3" t="s">
        <v>191</v>
      </c>
    </row>
    <row r="545">
      <c r="A545" s="3" t="s">
        <v>7825</v>
      </c>
      <c r="B545" s="3" t="s">
        <v>7471</v>
      </c>
      <c r="C545" s="29">
        <v>46199.41666666667</v>
      </c>
      <c r="D545" s="29">
        <v>46199.4375</v>
      </c>
      <c r="E545" s="30">
        <v>0.5</v>
      </c>
      <c r="F545" s="2"/>
      <c r="G545" s="2"/>
      <c r="H545" s="3" t="s">
        <v>7146</v>
      </c>
      <c r="I545" s="3" t="s">
        <v>7161</v>
      </c>
      <c r="J545" s="3" t="s">
        <v>7156</v>
      </c>
      <c r="K545" s="3" t="s">
        <v>7149</v>
      </c>
      <c r="L545" s="19">
        <v>5.0</v>
      </c>
      <c r="M545" s="3" t="s">
        <v>7826</v>
      </c>
      <c r="N545" s="3" t="s">
        <v>7826</v>
      </c>
      <c r="O545" s="3" t="s">
        <v>7974</v>
      </c>
      <c r="P545" s="19">
        <v>2.0</v>
      </c>
      <c r="Q545" s="19">
        <v>0.0</v>
      </c>
      <c r="R545" s="19">
        <v>0.0</v>
      </c>
      <c r="S545" s="19">
        <v>3.0</v>
      </c>
      <c r="T545" s="3" t="s">
        <v>199</v>
      </c>
      <c r="U545" s="3" t="s">
        <v>272</v>
      </c>
    </row>
    <row r="546">
      <c r="A546" s="3" t="s">
        <v>7679</v>
      </c>
      <c r="B546" s="3" t="s">
        <v>7546</v>
      </c>
      <c r="C546" s="29">
        <v>46199.47916666667</v>
      </c>
      <c r="D546" s="29">
        <v>46199.52083333333</v>
      </c>
      <c r="E546" s="30">
        <v>1.0</v>
      </c>
      <c r="G546" s="2"/>
      <c r="H546" s="3" t="s">
        <v>7146</v>
      </c>
      <c r="I546" s="3" t="s">
        <v>7338</v>
      </c>
      <c r="J546" s="3" t="s">
        <v>7288</v>
      </c>
      <c r="K546" s="3" t="s">
        <v>7149</v>
      </c>
      <c r="L546" s="19">
        <v>1.0</v>
      </c>
      <c r="M546" s="3" t="s">
        <v>7680</v>
      </c>
      <c r="N546" s="3" t="s">
        <v>7680</v>
      </c>
      <c r="O546" s="3" t="s">
        <v>7161</v>
      </c>
      <c r="P546" s="19">
        <v>1.0</v>
      </c>
      <c r="Q546" s="19">
        <v>0.0</v>
      </c>
      <c r="R546" s="19">
        <v>0.0</v>
      </c>
      <c r="S546" s="19">
        <v>0.0</v>
      </c>
      <c r="T546" s="3" t="s">
        <v>119</v>
      </c>
      <c r="U546" s="3" t="s">
        <v>251</v>
      </c>
    </row>
    <row r="547">
      <c r="A547" s="3" t="s">
        <v>7976</v>
      </c>
      <c r="B547" s="3" t="s">
        <v>7977</v>
      </c>
      <c r="C547" s="29">
        <v>46202.58333333333</v>
      </c>
      <c r="D547" s="29">
        <v>46202.60416666667</v>
      </c>
      <c r="E547" s="30">
        <v>0.5</v>
      </c>
      <c r="F547" s="2"/>
      <c r="G547" s="2"/>
      <c r="H547" s="3" t="s">
        <v>7146</v>
      </c>
      <c r="I547" s="3" t="s">
        <v>7338</v>
      </c>
      <c r="J547" s="3" t="s">
        <v>7288</v>
      </c>
      <c r="K547" s="3" t="s">
        <v>7149</v>
      </c>
      <c r="L547" s="19">
        <v>3.0</v>
      </c>
      <c r="M547" s="3" t="s">
        <v>7978</v>
      </c>
      <c r="N547" s="3" t="s">
        <v>7978</v>
      </c>
      <c r="O547" s="3" t="s">
        <v>7326</v>
      </c>
      <c r="P547" s="19">
        <v>1.0</v>
      </c>
      <c r="Q547" s="19">
        <v>0.0</v>
      </c>
      <c r="R547" s="19">
        <v>0.0</v>
      </c>
      <c r="S547" s="19">
        <v>2.0</v>
      </c>
      <c r="T547" s="3" t="s">
        <v>98</v>
      </c>
      <c r="U547" s="3" t="s">
        <v>99</v>
      </c>
    </row>
    <row r="548">
      <c r="A548" s="3" t="s">
        <v>7896</v>
      </c>
      <c r="B548" s="3" t="s">
        <v>7463</v>
      </c>
      <c r="C548" s="29">
        <v>46202.60416666667</v>
      </c>
      <c r="D548" s="29">
        <v>46202.625</v>
      </c>
      <c r="E548" s="30">
        <v>0.5</v>
      </c>
      <c r="G548" s="3" t="s">
        <v>7541</v>
      </c>
      <c r="H548" s="3" t="s">
        <v>7146</v>
      </c>
      <c r="I548" s="3" t="s">
        <v>7338</v>
      </c>
      <c r="J548" s="3" t="s">
        <v>7288</v>
      </c>
      <c r="K548" s="3" t="s">
        <v>7149</v>
      </c>
      <c r="L548" s="19">
        <v>1.0</v>
      </c>
      <c r="M548" s="3" t="s">
        <v>7897</v>
      </c>
      <c r="N548" s="3" t="s">
        <v>7897</v>
      </c>
      <c r="O548" s="3" t="s">
        <v>7161</v>
      </c>
      <c r="P548" s="19">
        <v>1.0</v>
      </c>
      <c r="Q548" s="19">
        <v>0.0</v>
      </c>
      <c r="R548" s="19">
        <v>0.0</v>
      </c>
      <c r="S548" s="19">
        <v>0.0</v>
      </c>
      <c r="T548" s="3" t="s">
        <v>101</v>
      </c>
      <c r="U548" s="3" t="s">
        <v>511</v>
      </c>
    </row>
    <row r="549">
      <c r="A549" s="3" t="s">
        <v>7904</v>
      </c>
      <c r="B549" s="3" t="s">
        <v>7183</v>
      </c>
      <c r="C549" s="29">
        <v>46203.5</v>
      </c>
      <c r="D549" s="29">
        <v>46203.52083333333</v>
      </c>
      <c r="E549" s="30">
        <v>0.5</v>
      </c>
      <c r="F549" s="2"/>
      <c r="G549" s="3" t="s">
        <v>7692</v>
      </c>
      <c r="H549" s="3" t="s">
        <v>7146</v>
      </c>
      <c r="I549" s="3" t="s">
        <v>7161</v>
      </c>
      <c r="J549" s="3" t="s">
        <v>7156</v>
      </c>
      <c r="K549" s="3" t="s">
        <v>7149</v>
      </c>
      <c r="L549" s="19">
        <v>2.0</v>
      </c>
      <c r="M549" s="3" t="s">
        <v>7905</v>
      </c>
      <c r="N549" s="3" t="s">
        <v>7906</v>
      </c>
      <c r="O549" s="3" t="s">
        <v>7944</v>
      </c>
      <c r="P549" s="19">
        <v>1.0</v>
      </c>
      <c r="Q549" s="19">
        <v>0.0</v>
      </c>
      <c r="R549" s="19">
        <v>1.0</v>
      </c>
      <c r="S549" s="19">
        <v>0.0</v>
      </c>
      <c r="T549" s="3" t="s">
        <v>184</v>
      </c>
      <c r="U549" s="3" t="s">
        <v>478</v>
      </c>
    </row>
    <row r="550">
      <c r="A550" s="3" t="s">
        <v>7912</v>
      </c>
      <c r="B550" s="3" t="s">
        <v>7696</v>
      </c>
      <c r="C550" s="29">
        <v>46204.41666666667</v>
      </c>
      <c r="D550" s="29">
        <v>46204.4375</v>
      </c>
      <c r="E550" s="30">
        <v>0.5</v>
      </c>
      <c r="F550" s="2"/>
      <c r="G550" s="2"/>
      <c r="H550" s="3" t="s">
        <v>7146</v>
      </c>
      <c r="I550" s="3" t="s">
        <v>7161</v>
      </c>
      <c r="J550" s="3" t="s">
        <v>7274</v>
      </c>
      <c r="K550" s="3" t="s">
        <v>7149</v>
      </c>
      <c r="L550" s="19">
        <v>1.0</v>
      </c>
      <c r="M550" s="3" t="s">
        <v>7288</v>
      </c>
      <c r="N550" s="3" t="s">
        <v>7288</v>
      </c>
      <c r="O550" s="3" t="s">
        <v>7161</v>
      </c>
      <c r="P550" s="19">
        <v>1.0</v>
      </c>
      <c r="Q550" s="19">
        <v>0.0</v>
      </c>
      <c r="R550" s="19">
        <v>0.0</v>
      </c>
      <c r="S550" s="19">
        <v>0.0</v>
      </c>
      <c r="T550" s="2"/>
      <c r="U550" s="2"/>
    </row>
    <row r="551">
      <c r="A551" s="3" t="s">
        <v>7979</v>
      </c>
      <c r="B551" s="3" t="s">
        <v>7249</v>
      </c>
      <c r="C551" s="29">
        <v>46204.54166666667</v>
      </c>
      <c r="D551" s="29">
        <v>46204.5625</v>
      </c>
      <c r="E551" s="30">
        <v>0.5</v>
      </c>
      <c r="F551" s="2"/>
      <c r="G551" s="2"/>
      <c r="H551" s="3" t="s">
        <v>7146</v>
      </c>
      <c r="I551" s="3" t="s">
        <v>7161</v>
      </c>
      <c r="J551" s="3" t="s">
        <v>7156</v>
      </c>
      <c r="K551" s="3" t="s">
        <v>7149</v>
      </c>
      <c r="L551" s="19">
        <v>2.0</v>
      </c>
      <c r="M551" s="3" t="s">
        <v>7921</v>
      </c>
      <c r="N551" s="3" t="s">
        <v>7921</v>
      </c>
      <c r="O551" s="3" t="s">
        <v>7218</v>
      </c>
      <c r="P551" s="19">
        <v>2.0</v>
      </c>
      <c r="Q551" s="19">
        <v>0.0</v>
      </c>
      <c r="R551" s="19">
        <v>0.0</v>
      </c>
      <c r="S551" s="19">
        <v>0.0</v>
      </c>
      <c r="T551" s="3" t="s">
        <v>187</v>
      </c>
      <c r="U551" s="3" t="s">
        <v>188</v>
      </c>
    </row>
    <row r="552">
      <c r="A552" s="3" t="s">
        <v>7794</v>
      </c>
      <c r="B552" s="3" t="s">
        <v>7795</v>
      </c>
      <c r="C552" s="29">
        <v>46205.39583333333</v>
      </c>
      <c r="D552" s="29">
        <v>46205.41666666667</v>
      </c>
      <c r="E552" s="30">
        <v>0.5</v>
      </c>
      <c r="F552" s="2"/>
      <c r="G552" s="2"/>
      <c r="H552" s="3" t="s">
        <v>7146</v>
      </c>
      <c r="I552" s="3" t="s">
        <v>7161</v>
      </c>
      <c r="J552" s="3" t="s">
        <v>7168</v>
      </c>
      <c r="K552" s="3" t="s">
        <v>7149</v>
      </c>
      <c r="L552" s="19">
        <v>6.0</v>
      </c>
      <c r="M552" s="3" t="s">
        <v>7196</v>
      </c>
      <c r="N552" s="3" t="s">
        <v>7196</v>
      </c>
      <c r="O552" s="3" t="s">
        <v>7197</v>
      </c>
      <c r="P552" s="19">
        <v>4.0</v>
      </c>
      <c r="Q552" s="19">
        <v>0.0</v>
      </c>
      <c r="R552" s="19">
        <v>0.0</v>
      </c>
      <c r="S552" s="19">
        <v>2.0</v>
      </c>
      <c r="T552" s="3" t="s">
        <v>178</v>
      </c>
      <c r="U552" s="3" t="s">
        <v>179</v>
      </c>
    </row>
    <row r="553">
      <c r="A553" s="3" t="s">
        <v>7951</v>
      </c>
      <c r="B553" s="3" t="s">
        <v>7160</v>
      </c>
      <c r="C553" s="29">
        <v>46205.4375</v>
      </c>
      <c r="D553" s="29">
        <v>46205.45833333333</v>
      </c>
      <c r="E553" s="30">
        <v>0.5</v>
      </c>
      <c r="F553" s="2"/>
      <c r="G553" s="2"/>
      <c r="H553" s="3" t="s">
        <v>7146</v>
      </c>
      <c r="I553" s="3" t="s">
        <v>7161</v>
      </c>
      <c r="J553" s="3" t="s">
        <v>7156</v>
      </c>
      <c r="K553" s="3" t="s">
        <v>7149</v>
      </c>
      <c r="L553" s="19">
        <v>2.0</v>
      </c>
      <c r="M553" s="3" t="s">
        <v>7952</v>
      </c>
      <c r="N553" s="3" t="s">
        <v>7953</v>
      </c>
      <c r="O553" s="3" t="s">
        <v>7218</v>
      </c>
      <c r="P553" s="19">
        <v>2.0</v>
      </c>
      <c r="Q553" s="19">
        <v>0.0</v>
      </c>
      <c r="R553" s="19">
        <v>0.0</v>
      </c>
      <c r="S553" s="19">
        <v>0.0</v>
      </c>
      <c r="T553" s="3" t="s">
        <v>154</v>
      </c>
      <c r="U553" s="3" t="s">
        <v>329</v>
      </c>
    </row>
    <row r="554">
      <c r="A554" s="3" t="s">
        <v>7954</v>
      </c>
      <c r="B554" s="3" t="s">
        <v>7163</v>
      </c>
      <c r="C554" s="29">
        <v>46205.58333333333</v>
      </c>
      <c r="D554" s="29">
        <v>46205.60416666667</v>
      </c>
      <c r="E554" s="30">
        <v>0.5</v>
      </c>
      <c r="F554" s="2"/>
      <c r="G554" s="2"/>
      <c r="H554" s="3" t="s">
        <v>7146</v>
      </c>
      <c r="I554" s="3" t="s">
        <v>7161</v>
      </c>
      <c r="J554" s="3" t="s">
        <v>7156</v>
      </c>
      <c r="K554" s="3" t="s">
        <v>7149</v>
      </c>
      <c r="L554" s="19">
        <v>5.0</v>
      </c>
      <c r="M554" s="3" t="s">
        <v>7955</v>
      </c>
      <c r="N554" s="3" t="s">
        <v>7955</v>
      </c>
      <c r="O554" s="3" t="s">
        <v>7956</v>
      </c>
      <c r="P554" s="19">
        <v>0.0</v>
      </c>
      <c r="Q554" s="19">
        <v>3.0</v>
      </c>
      <c r="R554" s="19">
        <v>0.0</v>
      </c>
      <c r="S554" s="19">
        <v>2.0</v>
      </c>
      <c r="T554" s="3" t="s">
        <v>151</v>
      </c>
      <c r="U554" s="3" t="s">
        <v>370</v>
      </c>
    </row>
    <row r="555">
      <c r="A555" s="3" t="s">
        <v>7971</v>
      </c>
      <c r="B555" s="3" t="s">
        <v>7178</v>
      </c>
      <c r="C555" s="29">
        <v>46206.39583333333</v>
      </c>
      <c r="D555" s="29">
        <v>46206.41666666667</v>
      </c>
      <c r="E555" s="30">
        <v>0.5</v>
      </c>
      <c r="G555" s="25" t="s">
        <v>7972</v>
      </c>
      <c r="H555" s="3" t="s">
        <v>7146</v>
      </c>
      <c r="I555" s="3" t="s">
        <v>7161</v>
      </c>
      <c r="J555" s="3" t="s">
        <v>7156</v>
      </c>
      <c r="K555" s="3" t="s">
        <v>7149</v>
      </c>
      <c r="L555" s="19">
        <v>3.0</v>
      </c>
      <c r="M555" s="3" t="s">
        <v>7973</v>
      </c>
      <c r="N555" s="3" t="s">
        <v>7973</v>
      </c>
      <c r="O555" s="3" t="s">
        <v>7231</v>
      </c>
      <c r="P555" s="19">
        <v>2.0</v>
      </c>
      <c r="Q555" s="19">
        <v>1.0</v>
      </c>
      <c r="R555" s="19">
        <v>0.0</v>
      </c>
      <c r="S555" s="19">
        <v>0.0</v>
      </c>
      <c r="T555" s="3" t="s">
        <v>169</v>
      </c>
      <c r="U555" s="3" t="s">
        <v>170</v>
      </c>
    </row>
    <row r="556">
      <c r="A556" s="3" t="s">
        <v>7679</v>
      </c>
      <c r="B556" s="3" t="s">
        <v>7546</v>
      </c>
      <c r="C556" s="29">
        <v>46206.47916666667</v>
      </c>
      <c r="D556" s="29">
        <v>46206.52083333333</v>
      </c>
      <c r="E556" s="30">
        <v>1.0</v>
      </c>
      <c r="F556" s="2"/>
      <c r="G556" s="2"/>
      <c r="H556" s="3" t="s">
        <v>7146</v>
      </c>
      <c r="I556" s="3" t="s">
        <v>7338</v>
      </c>
      <c r="J556" s="3" t="s">
        <v>7288</v>
      </c>
      <c r="K556" s="3" t="s">
        <v>7149</v>
      </c>
      <c r="L556" s="19">
        <v>1.0</v>
      </c>
      <c r="M556" s="3" t="s">
        <v>7680</v>
      </c>
      <c r="N556" s="3" t="s">
        <v>7680</v>
      </c>
      <c r="O556" s="3" t="s">
        <v>7161</v>
      </c>
      <c r="P556" s="19">
        <v>1.0</v>
      </c>
      <c r="Q556" s="19">
        <v>0.0</v>
      </c>
      <c r="R556" s="19">
        <v>0.0</v>
      </c>
      <c r="S556" s="19">
        <v>0.0</v>
      </c>
      <c r="T556" s="3" t="s">
        <v>119</v>
      </c>
      <c r="U556" s="3" t="s">
        <v>251</v>
      </c>
    </row>
    <row r="557">
      <c r="A557" s="3" t="s">
        <v>7975</v>
      </c>
      <c r="B557" s="3" t="s">
        <v>7167</v>
      </c>
      <c r="C557" s="29">
        <v>46206.54166666667</v>
      </c>
      <c r="D557" s="29">
        <v>46206.5625</v>
      </c>
      <c r="E557" s="30">
        <v>0.5</v>
      </c>
      <c r="F557" s="2"/>
      <c r="G557" s="2"/>
      <c r="H557" s="3" t="s">
        <v>7146</v>
      </c>
      <c r="I557" s="3" t="s">
        <v>7338</v>
      </c>
      <c r="J557" s="3" t="s">
        <v>7288</v>
      </c>
      <c r="K557" s="3" t="s">
        <v>7149</v>
      </c>
      <c r="L557" s="19">
        <v>4.0</v>
      </c>
      <c r="M557" s="3" t="s">
        <v>7169</v>
      </c>
      <c r="N557" s="3" t="s">
        <v>7170</v>
      </c>
      <c r="O557" s="3" t="s">
        <v>7268</v>
      </c>
      <c r="P557" s="19">
        <v>1.0</v>
      </c>
      <c r="Q557" s="19">
        <v>0.0</v>
      </c>
      <c r="R557" s="19">
        <v>0.0</v>
      </c>
      <c r="S557" s="19">
        <v>3.0</v>
      </c>
      <c r="T557" s="3" t="s">
        <v>205</v>
      </c>
      <c r="U557" s="3" t="s">
        <v>206</v>
      </c>
    </row>
    <row r="558">
      <c r="A558" s="3" t="s">
        <v>7960</v>
      </c>
      <c r="B558" s="3" t="s">
        <v>7961</v>
      </c>
      <c r="C558" s="29">
        <v>46209.54166666667</v>
      </c>
      <c r="D558" s="29">
        <v>46209.5625</v>
      </c>
      <c r="E558" s="30">
        <v>0.5</v>
      </c>
      <c r="F558" s="2"/>
      <c r="G558" s="3" t="s">
        <v>7962</v>
      </c>
      <c r="H558" s="3" t="s">
        <v>7146</v>
      </c>
      <c r="I558" s="3" t="s">
        <v>7338</v>
      </c>
      <c r="J558" s="3" t="s">
        <v>7288</v>
      </c>
      <c r="K558" s="3" t="s">
        <v>7149</v>
      </c>
      <c r="L558" s="19">
        <v>3.0</v>
      </c>
      <c r="M558" s="3" t="s">
        <v>7788</v>
      </c>
      <c r="N558" s="3" t="s">
        <v>7788</v>
      </c>
      <c r="O558" s="3" t="s">
        <v>7326</v>
      </c>
      <c r="P558" s="19">
        <v>1.0</v>
      </c>
      <c r="Q558" s="19">
        <v>0.0</v>
      </c>
      <c r="R558" s="19">
        <v>0.0</v>
      </c>
      <c r="S558" s="19">
        <v>2.0</v>
      </c>
      <c r="T558" s="3" t="s">
        <v>131</v>
      </c>
      <c r="U558" s="3" t="s">
        <v>132</v>
      </c>
    </row>
    <row r="559">
      <c r="A559" s="3" t="s">
        <v>7963</v>
      </c>
      <c r="B559" s="3" t="s">
        <v>7234</v>
      </c>
      <c r="C559" s="29">
        <v>46209.58333333333</v>
      </c>
      <c r="D559" s="29">
        <v>46209.60416666667</v>
      </c>
      <c r="E559" s="30">
        <v>0.5</v>
      </c>
      <c r="F559" s="2"/>
      <c r="G559" s="2"/>
      <c r="H559" s="3" t="s">
        <v>7146</v>
      </c>
      <c r="I559" s="3" t="s">
        <v>7147</v>
      </c>
      <c r="J559" s="3" t="s">
        <v>7156</v>
      </c>
      <c r="K559" s="3" t="s">
        <v>7149</v>
      </c>
      <c r="L559" s="19">
        <v>4.0</v>
      </c>
      <c r="M559" s="3" t="s">
        <v>7235</v>
      </c>
      <c r="N559" s="3" t="s">
        <v>7235</v>
      </c>
      <c r="O559" s="3" t="s">
        <v>7964</v>
      </c>
      <c r="P559" s="19">
        <v>0.0</v>
      </c>
      <c r="Q559" s="19">
        <v>1.0</v>
      </c>
      <c r="R559" s="19">
        <v>0.0</v>
      </c>
      <c r="S559" s="19">
        <v>3.0</v>
      </c>
      <c r="T559" s="3" t="s">
        <v>166</v>
      </c>
      <c r="U559" s="3" t="s">
        <v>167</v>
      </c>
    </row>
    <row r="560">
      <c r="A560" s="3" t="s">
        <v>7896</v>
      </c>
      <c r="B560" s="3" t="s">
        <v>7463</v>
      </c>
      <c r="C560" s="29">
        <v>46209.60416666667</v>
      </c>
      <c r="D560" s="29">
        <v>46209.625</v>
      </c>
      <c r="E560" s="30">
        <v>0.5</v>
      </c>
      <c r="F560" s="2"/>
      <c r="G560" s="3" t="s">
        <v>7541</v>
      </c>
      <c r="H560" s="3" t="s">
        <v>7146</v>
      </c>
      <c r="I560" s="3" t="s">
        <v>7338</v>
      </c>
      <c r="J560" s="3" t="s">
        <v>7288</v>
      </c>
      <c r="K560" s="3" t="s">
        <v>7149</v>
      </c>
      <c r="L560" s="19">
        <v>1.0</v>
      </c>
      <c r="M560" s="3" t="s">
        <v>7897</v>
      </c>
      <c r="N560" s="3" t="s">
        <v>7897</v>
      </c>
      <c r="O560" s="3" t="s">
        <v>7161</v>
      </c>
      <c r="P560" s="19">
        <v>1.0</v>
      </c>
      <c r="Q560" s="19">
        <v>0.0</v>
      </c>
      <c r="R560" s="19">
        <v>0.0</v>
      </c>
      <c r="S560" s="19">
        <v>0.0</v>
      </c>
      <c r="T560" s="3" t="s">
        <v>101</v>
      </c>
      <c r="U560" s="3" t="s">
        <v>511</v>
      </c>
    </row>
    <row r="561">
      <c r="A561" s="3" t="s">
        <v>7904</v>
      </c>
      <c r="B561" s="3" t="s">
        <v>7183</v>
      </c>
      <c r="C561" s="29">
        <v>46210.5</v>
      </c>
      <c r="D561" s="29">
        <v>46210.52083333333</v>
      </c>
      <c r="E561" s="30">
        <v>0.5</v>
      </c>
      <c r="F561" s="2"/>
      <c r="G561" s="3" t="s">
        <v>7692</v>
      </c>
      <c r="H561" s="3" t="s">
        <v>7146</v>
      </c>
      <c r="I561" s="3" t="s">
        <v>7161</v>
      </c>
      <c r="J561" s="3" t="s">
        <v>7156</v>
      </c>
      <c r="K561" s="3" t="s">
        <v>7149</v>
      </c>
      <c r="L561" s="19">
        <v>2.0</v>
      </c>
      <c r="M561" s="3" t="s">
        <v>7905</v>
      </c>
      <c r="N561" s="3" t="s">
        <v>7906</v>
      </c>
      <c r="O561" s="3" t="s">
        <v>7944</v>
      </c>
      <c r="P561" s="19">
        <v>1.0</v>
      </c>
      <c r="Q561" s="19">
        <v>0.0</v>
      </c>
      <c r="R561" s="19">
        <v>1.0</v>
      </c>
      <c r="S561" s="19">
        <v>0.0</v>
      </c>
      <c r="T561" s="3" t="s">
        <v>184</v>
      </c>
      <c r="U561" s="3" t="s">
        <v>478</v>
      </c>
    </row>
    <row r="562">
      <c r="A562" s="3" t="s">
        <v>7901</v>
      </c>
      <c r="B562" s="3" t="s">
        <v>7689</v>
      </c>
      <c r="C562" s="29">
        <v>46210.5625</v>
      </c>
      <c r="D562" s="29">
        <v>46210.58333333333</v>
      </c>
      <c r="E562" s="30">
        <v>0.5</v>
      </c>
      <c r="G562" s="2"/>
      <c r="H562" s="3" t="s">
        <v>7146</v>
      </c>
      <c r="I562" s="3" t="s">
        <v>7338</v>
      </c>
      <c r="J562" s="3" t="s">
        <v>7288</v>
      </c>
      <c r="K562" s="3" t="s">
        <v>7149</v>
      </c>
      <c r="L562" s="19">
        <v>1.0</v>
      </c>
      <c r="M562" s="3" t="s">
        <v>7902</v>
      </c>
      <c r="N562" s="3" t="s">
        <v>7902</v>
      </c>
      <c r="O562" s="3" t="s">
        <v>7161</v>
      </c>
      <c r="P562" s="19">
        <v>1.0</v>
      </c>
      <c r="Q562" s="19">
        <v>0.0</v>
      </c>
      <c r="R562" s="19">
        <v>0.0</v>
      </c>
      <c r="S562" s="19">
        <v>0.0</v>
      </c>
      <c r="T562" s="3" t="s">
        <v>142</v>
      </c>
      <c r="U562" s="3" t="s">
        <v>143</v>
      </c>
    </row>
    <row r="563">
      <c r="A563" s="3" t="s">
        <v>7754</v>
      </c>
      <c r="B563" s="3" t="s">
        <v>7755</v>
      </c>
      <c r="C563" s="29">
        <v>46210.58333333333</v>
      </c>
      <c r="D563" s="29">
        <v>46210.60416666667</v>
      </c>
      <c r="E563" s="30">
        <v>0.5</v>
      </c>
      <c r="F563" s="2"/>
      <c r="G563" s="3" t="s">
        <v>7756</v>
      </c>
      <c r="H563" s="3" t="s">
        <v>7146</v>
      </c>
      <c r="I563" s="3" t="s">
        <v>7161</v>
      </c>
      <c r="J563" s="3" t="s">
        <v>7156</v>
      </c>
      <c r="K563" s="3" t="s">
        <v>7149</v>
      </c>
      <c r="L563" s="19">
        <v>7.0</v>
      </c>
      <c r="M563" s="3" t="s">
        <v>7757</v>
      </c>
      <c r="N563" s="3" t="s">
        <v>7758</v>
      </c>
      <c r="O563" s="3" t="s">
        <v>7759</v>
      </c>
      <c r="P563" s="19">
        <v>0.0</v>
      </c>
      <c r="Q563" s="19">
        <v>1.0</v>
      </c>
      <c r="R563" s="19">
        <v>1.0</v>
      </c>
      <c r="S563" s="19">
        <v>5.0</v>
      </c>
      <c r="T563" s="3" t="s">
        <v>110</v>
      </c>
      <c r="U563" s="3" t="s">
        <v>111</v>
      </c>
    </row>
    <row r="564">
      <c r="A564" s="3" t="s">
        <v>7912</v>
      </c>
      <c r="B564" s="3" t="s">
        <v>7696</v>
      </c>
      <c r="C564" s="29">
        <v>46211.41666666667</v>
      </c>
      <c r="D564" s="29">
        <v>46211.4375</v>
      </c>
      <c r="E564" s="30">
        <v>0.5</v>
      </c>
      <c r="F564" s="2"/>
      <c r="G564" s="2"/>
      <c r="H564" s="3" t="s">
        <v>7146</v>
      </c>
      <c r="I564" s="3" t="s">
        <v>7161</v>
      </c>
      <c r="J564" s="3" t="s">
        <v>7274</v>
      </c>
      <c r="K564" s="3" t="s">
        <v>7149</v>
      </c>
      <c r="L564" s="19">
        <v>1.0</v>
      </c>
      <c r="M564" s="3" t="s">
        <v>7288</v>
      </c>
      <c r="N564" s="3" t="s">
        <v>7288</v>
      </c>
      <c r="O564" s="3" t="s">
        <v>7161</v>
      </c>
      <c r="P564" s="19">
        <v>1.0</v>
      </c>
      <c r="Q564" s="19">
        <v>0.0</v>
      </c>
      <c r="R564" s="19">
        <v>0.0</v>
      </c>
      <c r="S564" s="19">
        <v>0.0</v>
      </c>
      <c r="T564" s="2"/>
      <c r="U564" s="2"/>
    </row>
    <row r="565">
      <c r="A565" s="3" t="s">
        <v>7804</v>
      </c>
      <c r="B565" s="3" t="s">
        <v>7805</v>
      </c>
      <c r="C565" s="29">
        <v>46212.5</v>
      </c>
      <c r="D565" s="29">
        <v>46212.52083333333</v>
      </c>
      <c r="E565" s="30">
        <v>0.5</v>
      </c>
      <c r="F565" s="2"/>
      <c r="G565" s="2"/>
      <c r="H565" s="3" t="s">
        <v>7146</v>
      </c>
      <c r="I565" s="3" t="s">
        <v>7338</v>
      </c>
      <c r="J565" s="3" t="s">
        <v>7288</v>
      </c>
      <c r="K565" s="3" t="s">
        <v>7149</v>
      </c>
      <c r="L565" s="19">
        <v>1.0</v>
      </c>
      <c r="M565" s="3" t="s">
        <v>7806</v>
      </c>
      <c r="N565" s="3" t="s">
        <v>7806</v>
      </c>
      <c r="O565" s="3" t="s">
        <v>7161</v>
      </c>
      <c r="P565" s="19">
        <v>1.0</v>
      </c>
      <c r="Q565" s="19">
        <v>0.0</v>
      </c>
      <c r="R565" s="19">
        <v>0.0</v>
      </c>
      <c r="S565" s="19">
        <v>0.0</v>
      </c>
      <c r="T565" s="3" t="s">
        <v>157</v>
      </c>
      <c r="U565" s="3" t="s">
        <v>158</v>
      </c>
    </row>
    <row r="566">
      <c r="A566" s="3" t="s">
        <v>7659</v>
      </c>
      <c r="B566" s="3" t="s">
        <v>7420</v>
      </c>
      <c r="C566" s="29">
        <v>46212.52083333333</v>
      </c>
      <c r="D566" s="29">
        <v>46212.54166666667</v>
      </c>
      <c r="E566" s="30">
        <v>0.5</v>
      </c>
      <c r="G566" s="2"/>
      <c r="H566" s="3" t="s">
        <v>7146</v>
      </c>
      <c r="I566" s="3" t="s">
        <v>7161</v>
      </c>
      <c r="J566" s="3" t="s">
        <v>7156</v>
      </c>
      <c r="K566" s="3" t="s">
        <v>7149</v>
      </c>
      <c r="L566" s="19">
        <v>5.0</v>
      </c>
      <c r="M566" s="3" t="s">
        <v>7571</v>
      </c>
      <c r="N566" s="3" t="s">
        <v>7571</v>
      </c>
      <c r="O566" s="3" t="s">
        <v>7970</v>
      </c>
      <c r="P566" s="19">
        <v>3.0</v>
      </c>
      <c r="Q566" s="19">
        <v>1.0</v>
      </c>
      <c r="R566" s="19">
        <v>0.0</v>
      </c>
      <c r="S566" s="19">
        <v>1.0</v>
      </c>
      <c r="T566" s="3" t="s">
        <v>125</v>
      </c>
      <c r="U566" s="3" t="s">
        <v>126</v>
      </c>
    </row>
    <row r="567">
      <c r="A567" s="3" t="s">
        <v>7825</v>
      </c>
      <c r="B567" s="3" t="s">
        <v>7471</v>
      </c>
      <c r="C567" s="29">
        <v>46213.41666666667</v>
      </c>
      <c r="D567" s="29">
        <v>46213.4375</v>
      </c>
      <c r="E567" s="30">
        <v>0.5</v>
      </c>
      <c r="G567" s="2"/>
      <c r="H567" s="3" t="s">
        <v>7146</v>
      </c>
      <c r="I567" s="3" t="s">
        <v>7161</v>
      </c>
      <c r="J567" s="3" t="s">
        <v>7156</v>
      </c>
      <c r="K567" s="3" t="s">
        <v>7149</v>
      </c>
      <c r="L567" s="19">
        <v>5.0</v>
      </c>
      <c r="M567" s="3" t="s">
        <v>7826</v>
      </c>
      <c r="N567" s="3" t="s">
        <v>7826</v>
      </c>
      <c r="O567" s="3" t="s">
        <v>7974</v>
      </c>
      <c r="P567" s="19">
        <v>2.0</v>
      </c>
      <c r="Q567" s="19">
        <v>0.0</v>
      </c>
      <c r="R567" s="19">
        <v>0.0</v>
      </c>
      <c r="S567" s="19">
        <v>3.0</v>
      </c>
      <c r="T567" s="3" t="s">
        <v>199</v>
      </c>
      <c r="U567" s="3" t="s">
        <v>272</v>
      </c>
    </row>
    <row r="568">
      <c r="A568" s="3" t="s">
        <v>7679</v>
      </c>
      <c r="B568" s="3" t="s">
        <v>7546</v>
      </c>
      <c r="C568" s="29">
        <v>46213.47916666667</v>
      </c>
      <c r="D568" s="29">
        <v>46213.52083333333</v>
      </c>
      <c r="E568" s="30">
        <v>1.0</v>
      </c>
      <c r="G568" s="2"/>
      <c r="H568" s="3" t="s">
        <v>7146</v>
      </c>
      <c r="I568" s="3" t="s">
        <v>7338</v>
      </c>
      <c r="J568" s="3" t="s">
        <v>7288</v>
      </c>
      <c r="K568" s="3" t="s">
        <v>7149</v>
      </c>
      <c r="L568" s="19">
        <v>1.0</v>
      </c>
      <c r="M568" s="3" t="s">
        <v>7680</v>
      </c>
      <c r="N568" s="3" t="s">
        <v>7680</v>
      </c>
      <c r="O568" s="3" t="s">
        <v>7161</v>
      </c>
      <c r="P568" s="19">
        <v>1.0</v>
      </c>
      <c r="Q568" s="19">
        <v>0.0</v>
      </c>
      <c r="R568" s="19">
        <v>0.0</v>
      </c>
      <c r="S568" s="19">
        <v>0.0</v>
      </c>
      <c r="T568" s="3" t="s">
        <v>119</v>
      </c>
      <c r="U568" s="3" t="s">
        <v>251</v>
      </c>
    </row>
    <row r="569">
      <c r="A569" s="3" t="s">
        <v>7896</v>
      </c>
      <c r="B569" s="3" t="s">
        <v>7463</v>
      </c>
      <c r="C569" s="29">
        <v>46216.60416666667</v>
      </c>
      <c r="D569" s="29">
        <v>46216.625</v>
      </c>
      <c r="E569" s="30">
        <v>0.5</v>
      </c>
      <c r="F569" s="2"/>
      <c r="G569" s="3" t="s">
        <v>7541</v>
      </c>
      <c r="H569" s="3" t="s">
        <v>7146</v>
      </c>
      <c r="I569" s="3" t="s">
        <v>7338</v>
      </c>
      <c r="J569" s="3" t="s">
        <v>7288</v>
      </c>
      <c r="K569" s="3" t="s">
        <v>7149</v>
      </c>
      <c r="L569" s="19">
        <v>1.0</v>
      </c>
      <c r="M569" s="3" t="s">
        <v>7897</v>
      </c>
      <c r="N569" s="3" t="s">
        <v>7897</v>
      </c>
      <c r="O569" s="3" t="s">
        <v>7161</v>
      </c>
      <c r="P569" s="19">
        <v>1.0</v>
      </c>
      <c r="Q569" s="19">
        <v>0.0</v>
      </c>
      <c r="R569" s="19">
        <v>0.0</v>
      </c>
      <c r="S569" s="19">
        <v>0.0</v>
      </c>
      <c r="T569" s="3" t="s">
        <v>101</v>
      </c>
      <c r="U569" s="3" t="s">
        <v>511</v>
      </c>
    </row>
    <row r="570">
      <c r="A570" s="3" t="s">
        <v>7942</v>
      </c>
      <c r="B570" s="3" t="s">
        <v>7256</v>
      </c>
      <c r="C570" s="29">
        <v>46216.60416666667</v>
      </c>
      <c r="D570" s="29">
        <v>46216.625</v>
      </c>
      <c r="E570" s="30">
        <v>0.5</v>
      </c>
      <c r="F570" s="2"/>
      <c r="G570" s="2"/>
      <c r="H570" s="3" t="s">
        <v>7146</v>
      </c>
      <c r="I570" s="3" t="s">
        <v>7161</v>
      </c>
      <c r="J570" s="3" t="s">
        <v>7156</v>
      </c>
      <c r="K570" s="3" t="s">
        <v>7149</v>
      </c>
      <c r="L570" s="19">
        <v>3.0</v>
      </c>
      <c r="M570" s="3" t="s">
        <v>7943</v>
      </c>
      <c r="N570" s="3" t="s">
        <v>7943</v>
      </c>
      <c r="O570" s="3" t="s">
        <v>7258</v>
      </c>
      <c r="P570" s="19">
        <v>2.0</v>
      </c>
      <c r="Q570" s="19">
        <v>0.0</v>
      </c>
      <c r="R570" s="19">
        <v>0.0</v>
      </c>
      <c r="S570" s="19">
        <v>1.0</v>
      </c>
      <c r="T570" s="3" t="s">
        <v>202</v>
      </c>
      <c r="U570" s="3" t="s">
        <v>203</v>
      </c>
    </row>
    <row r="571">
      <c r="A571" s="3" t="s">
        <v>7904</v>
      </c>
      <c r="B571" s="3" t="s">
        <v>7183</v>
      </c>
      <c r="C571" s="29">
        <v>46217.5</v>
      </c>
      <c r="D571" s="29">
        <v>46217.52083333333</v>
      </c>
      <c r="E571" s="30">
        <v>0.5</v>
      </c>
      <c r="F571" s="2"/>
      <c r="G571" s="3" t="s">
        <v>7692</v>
      </c>
      <c r="H571" s="3" t="s">
        <v>7146</v>
      </c>
      <c r="I571" s="3" t="s">
        <v>7161</v>
      </c>
      <c r="J571" s="3" t="s">
        <v>7156</v>
      </c>
      <c r="K571" s="3" t="s">
        <v>7149</v>
      </c>
      <c r="L571" s="19">
        <v>2.0</v>
      </c>
      <c r="M571" s="3" t="s">
        <v>7905</v>
      </c>
      <c r="N571" s="3" t="s">
        <v>7906</v>
      </c>
      <c r="O571" s="3" t="s">
        <v>7944</v>
      </c>
      <c r="P571" s="19">
        <v>1.0</v>
      </c>
      <c r="Q571" s="19">
        <v>0.0</v>
      </c>
      <c r="R571" s="19">
        <v>1.0</v>
      </c>
      <c r="S571" s="19">
        <v>0.0</v>
      </c>
      <c r="T571" s="3" t="s">
        <v>184</v>
      </c>
      <c r="U571" s="3" t="s">
        <v>478</v>
      </c>
    </row>
    <row r="572">
      <c r="A572" s="3" t="s">
        <v>7912</v>
      </c>
      <c r="B572" s="3" t="s">
        <v>7696</v>
      </c>
      <c r="C572" s="29">
        <v>46218.41666666667</v>
      </c>
      <c r="D572" s="29">
        <v>46218.4375</v>
      </c>
      <c r="E572" s="30">
        <v>0.5</v>
      </c>
      <c r="F572" s="2"/>
      <c r="G572" s="2"/>
      <c r="H572" s="3" t="s">
        <v>7146</v>
      </c>
      <c r="I572" s="3" t="s">
        <v>7161</v>
      </c>
      <c r="J572" s="3" t="s">
        <v>7274</v>
      </c>
      <c r="K572" s="3" t="s">
        <v>7149</v>
      </c>
      <c r="L572" s="19">
        <v>1.0</v>
      </c>
      <c r="M572" s="3" t="s">
        <v>7288</v>
      </c>
      <c r="N572" s="3" t="s">
        <v>7288</v>
      </c>
      <c r="O572" s="3" t="s">
        <v>7161</v>
      </c>
      <c r="P572" s="19">
        <v>1.0</v>
      </c>
      <c r="Q572" s="19">
        <v>0.0</v>
      </c>
      <c r="R572" s="19">
        <v>0.0</v>
      </c>
      <c r="S572" s="19">
        <v>0.0</v>
      </c>
      <c r="T572" s="2"/>
      <c r="U572" s="2"/>
    </row>
    <row r="573">
      <c r="A573" s="3" t="s">
        <v>7979</v>
      </c>
      <c r="B573" s="3" t="s">
        <v>7249</v>
      </c>
      <c r="C573" s="29">
        <v>46218.54166666667</v>
      </c>
      <c r="D573" s="29">
        <v>46218.5625</v>
      </c>
      <c r="E573" s="30">
        <v>0.5</v>
      </c>
      <c r="F573" s="2"/>
      <c r="G573" s="2"/>
      <c r="H573" s="3" t="s">
        <v>7146</v>
      </c>
      <c r="I573" s="3" t="s">
        <v>7161</v>
      </c>
      <c r="J573" s="3" t="s">
        <v>7156</v>
      </c>
      <c r="K573" s="3" t="s">
        <v>7149</v>
      </c>
      <c r="L573" s="19">
        <v>2.0</v>
      </c>
      <c r="M573" s="3" t="s">
        <v>7921</v>
      </c>
      <c r="N573" s="3" t="s">
        <v>7921</v>
      </c>
      <c r="O573" s="3" t="s">
        <v>7218</v>
      </c>
      <c r="P573" s="19">
        <v>2.0</v>
      </c>
      <c r="Q573" s="19">
        <v>0.0</v>
      </c>
      <c r="R573" s="19">
        <v>0.0</v>
      </c>
      <c r="S573" s="19">
        <v>0.0</v>
      </c>
      <c r="T573" s="3" t="s">
        <v>187</v>
      </c>
      <c r="U573" s="3" t="s">
        <v>188</v>
      </c>
    </row>
    <row r="574">
      <c r="A574" s="3" t="s">
        <v>7948</v>
      </c>
      <c r="B574" s="3" t="s">
        <v>7949</v>
      </c>
      <c r="C574" s="29">
        <v>46219.35416666667</v>
      </c>
      <c r="D574" s="29">
        <v>46219.375</v>
      </c>
      <c r="E574" s="30">
        <v>0.5</v>
      </c>
      <c r="G574" s="2"/>
      <c r="H574" s="3" t="s">
        <v>7146</v>
      </c>
      <c r="I574" s="3" t="s">
        <v>7338</v>
      </c>
      <c r="J574" s="3" t="s">
        <v>7288</v>
      </c>
      <c r="K574" s="3" t="s">
        <v>7149</v>
      </c>
      <c r="L574" s="19">
        <v>3.0</v>
      </c>
      <c r="M574" s="3" t="s">
        <v>7950</v>
      </c>
      <c r="N574" s="3" t="s">
        <v>7950</v>
      </c>
      <c r="O574" s="3" t="s">
        <v>7622</v>
      </c>
      <c r="P574" s="19">
        <v>0.0</v>
      </c>
      <c r="Q574" s="19">
        <v>0.0</v>
      </c>
      <c r="R574" s="19">
        <v>0.0</v>
      </c>
      <c r="S574" s="19">
        <v>3.0</v>
      </c>
      <c r="T574" s="3" t="s">
        <v>193</v>
      </c>
      <c r="U574" s="3" t="s">
        <v>544</v>
      </c>
    </row>
    <row r="575">
      <c r="A575" s="3" t="s">
        <v>7951</v>
      </c>
      <c r="B575" s="3" t="s">
        <v>7160</v>
      </c>
      <c r="C575" s="29">
        <v>46219.4375</v>
      </c>
      <c r="D575" s="29">
        <v>46219.45833333333</v>
      </c>
      <c r="E575" s="30">
        <v>0.5</v>
      </c>
      <c r="G575" s="2"/>
      <c r="H575" s="3" t="s">
        <v>7146</v>
      </c>
      <c r="I575" s="3" t="s">
        <v>7161</v>
      </c>
      <c r="J575" s="3" t="s">
        <v>7156</v>
      </c>
      <c r="K575" s="3" t="s">
        <v>7149</v>
      </c>
      <c r="L575" s="19">
        <v>2.0</v>
      </c>
      <c r="M575" s="3" t="s">
        <v>7952</v>
      </c>
      <c r="N575" s="3" t="s">
        <v>7953</v>
      </c>
      <c r="O575" s="3" t="s">
        <v>7218</v>
      </c>
      <c r="P575" s="19">
        <v>2.0</v>
      </c>
      <c r="Q575" s="19">
        <v>0.0</v>
      </c>
      <c r="R575" s="19">
        <v>0.0</v>
      </c>
      <c r="S575" s="19">
        <v>0.0</v>
      </c>
      <c r="T575" s="3" t="s">
        <v>154</v>
      </c>
      <c r="U575" s="3" t="s">
        <v>329</v>
      </c>
    </row>
    <row r="576">
      <c r="A576" s="3" t="s">
        <v>7954</v>
      </c>
      <c r="B576" s="3" t="s">
        <v>7163</v>
      </c>
      <c r="C576" s="29">
        <v>46219.58333333333</v>
      </c>
      <c r="D576" s="29">
        <v>46219.60416666667</v>
      </c>
      <c r="E576" s="30">
        <v>0.5</v>
      </c>
      <c r="F576" s="2"/>
      <c r="G576" s="2"/>
      <c r="H576" s="3" t="s">
        <v>7146</v>
      </c>
      <c r="I576" s="3" t="s">
        <v>7161</v>
      </c>
      <c r="J576" s="3" t="s">
        <v>7156</v>
      </c>
      <c r="K576" s="3" t="s">
        <v>7149</v>
      </c>
      <c r="L576" s="19">
        <v>5.0</v>
      </c>
      <c r="M576" s="3" t="s">
        <v>7955</v>
      </c>
      <c r="N576" s="3" t="s">
        <v>7955</v>
      </c>
      <c r="O576" s="3" t="s">
        <v>7956</v>
      </c>
      <c r="P576" s="19">
        <v>0.0</v>
      </c>
      <c r="Q576" s="19">
        <v>3.0</v>
      </c>
      <c r="R576" s="19">
        <v>0.0</v>
      </c>
      <c r="S576" s="19">
        <v>2.0</v>
      </c>
      <c r="T576" s="3" t="s">
        <v>151</v>
      </c>
      <c r="U576" s="3" t="s">
        <v>370</v>
      </c>
    </row>
    <row r="577">
      <c r="A577" s="3" t="s">
        <v>7957</v>
      </c>
      <c r="B577" s="3" t="s">
        <v>7712</v>
      </c>
      <c r="C577" s="29">
        <v>46219.64583333333</v>
      </c>
      <c r="D577" s="29">
        <v>46219.66666666667</v>
      </c>
      <c r="E577" s="30">
        <v>0.5</v>
      </c>
      <c r="F577" s="2"/>
      <c r="G577" s="3" t="s">
        <v>7713</v>
      </c>
      <c r="H577" s="3" t="s">
        <v>7146</v>
      </c>
      <c r="I577" s="3" t="s">
        <v>7338</v>
      </c>
      <c r="J577" s="3" t="s">
        <v>7288</v>
      </c>
      <c r="K577" s="3" t="s">
        <v>7149</v>
      </c>
      <c r="L577" s="19">
        <v>5.0</v>
      </c>
      <c r="M577" s="3" t="s">
        <v>7958</v>
      </c>
      <c r="N577" s="3" t="s">
        <v>7958</v>
      </c>
      <c r="O577" s="3" t="s">
        <v>7959</v>
      </c>
      <c r="P577" s="19">
        <v>2.0</v>
      </c>
      <c r="Q577" s="19">
        <v>1.0</v>
      </c>
      <c r="R577" s="19">
        <v>1.0</v>
      </c>
      <c r="S577" s="19">
        <v>1.0</v>
      </c>
      <c r="T577" s="3" t="s">
        <v>122</v>
      </c>
      <c r="U577" s="3" t="s">
        <v>123</v>
      </c>
    </row>
    <row r="578">
      <c r="A578" s="3" t="s">
        <v>7927</v>
      </c>
      <c r="B578" s="3" t="s">
        <v>7928</v>
      </c>
      <c r="C578" s="29">
        <v>46219.70833333333</v>
      </c>
      <c r="D578" s="29">
        <v>46219.72916666667</v>
      </c>
      <c r="E578" s="30">
        <v>0.5</v>
      </c>
      <c r="F578" s="2"/>
      <c r="G578" s="3" t="s">
        <v>7929</v>
      </c>
      <c r="H578" s="3" t="s">
        <v>7146</v>
      </c>
      <c r="I578" s="3" t="s">
        <v>7161</v>
      </c>
      <c r="J578" s="3" t="s">
        <v>7148</v>
      </c>
      <c r="K578" s="3" t="s">
        <v>7149</v>
      </c>
      <c r="L578" s="19">
        <v>10.0</v>
      </c>
      <c r="M578" s="3" t="s">
        <v>7930</v>
      </c>
      <c r="N578" s="3" t="s">
        <v>7931</v>
      </c>
      <c r="O578" s="3" t="s">
        <v>7932</v>
      </c>
      <c r="P578" s="19">
        <v>6.0</v>
      </c>
      <c r="Q578" s="19">
        <v>0.0</v>
      </c>
      <c r="R578" s="19">
        <v>1.0</v>
      </c>
      <c r="S578" s="19">
        <v>3.0</v>
      </c>
      <c r="T578" s="3" t="s">
        <v>160</v>
      </c>
      <c r="U578" s="3" t="s">
        <v>440</v>
      </c>
    </row>
    <row r="579">
      <c r="A579" s="3" t="s">
        <v>7980</v>
      </c>
      <c r="B579" s="3" t="s">
        <v>7221</v>
      </c>
      <c r="C579" s="29">
        <v>46220.41666666667</v>
      </c>
      <c r="D579" s="29">
        <v>46220.4375</v>
      </c>
      <c r="E579" s="30">
        <v>0.5</v>
      </c>
      <c r="F579" s="2"/>
      <c r="G579" s="2"/>
      <c r="H579" s="3" t="s">
        <v>7146</v>
      </c>
      <c r="I579" s="3" t="s">
        <v>7161</v>
      </c>
      <c r="J579" s="3" t="s">
        <v>7156</v>
      </c>
      <c r="K579" s="3" t="s">
        <v>7149</v>
      </c>
      <c r="L579" s="19">
        <v>4.0</v>
      </c>
      <c r="M579" s="3" t="s">
        <v>7935</v>
      </c>
      <c r="N579" s="3" t="s">
        <v>7935</v>
      </c>
      <c r="O579" s="3" t="s">
        <v>7453</v>
      </c>
      <c r="P579" s="19">
        <v>3.0</v>
      </c>
      <c r="Q579" s="19">
        <v>0.0</v>
      </c>
      <c r="R579" s="19">
        <v>0.0</v>
      </c>
      <c r="S579" s="19">
        <v>1.0</v>
      </c>
      <c r="T579" s="3" t="s">
        <v>6608</v>
      </c>
      <c r="U579" s="3" t="s">
        <v>294</v>
      </c>
    </row>
    <row r="580">
      <c r="A580" s="3" t="s">
        <v>7679</v>
      </c>
      <c r="B580" s="3" t="s">
        <v>7546</v>
      </c>
      <c r="C580" s="29">
        <v>46220.47916666667</v>
      </c>
      <c r="D580" s="29">
        <v>46220.52083333333</v>
      </c>
      <c r="E580" s="30">
        <v>1.0</v>
      </c>
      <c r="F580" s="2"/>
      <c r="G580" s="2"/>
      <c r="H580" s="3" t="s">
        <v>7146</v>
      </c>
      <c r="I580" s="3" t="s">
        <v>7338</v>
      </c>
      <c r="J580" s="3" t="s">
        <v>7288</v>
      </c>
      <c r="K580" s="3" t="s">
        <v>7149</v>
      </c>
      <c r="L580" s="19">
        <v>1.0</v>
      </c>
      <c r="M580" s="3" t="s">
        <v>7680</v>
      </c>
      <c r="N580" s="3" t="s">
        <v>7680</v>
      </c>
      <c r="O580" s="3" t="s">
        <v>7161</v>
      </c>
      <c r="P580" s="19">
        <v>1.0</v>
      </c>
      <c r="Q580" s="19">
        <v>0.0</v>
      </c>
      <c r="R580" s="19">
        <v>0.0</v>
      </c>
      <c r="S580" s="19">
        <v>0.0</v>
      </c>
      <c r="T580" s="3" t="s">
        <v>119</v>
      </c>
      <c r="U580" s="3" t="s">
        <v>251</v>
      </c>
    </row>
    <row r="581">
      <c r="A581" s="3" t="s">
        <v>7960</v>
      </c>
      <c r="B581" s="3" t="s">
        <v>7961</v>
      </c>
      <c r="C581" s="29">
        <v>46223.54166666667</v>
      </c>
      <c r="D581" s="29">
        <v>46223.5625</v>
      </c>
      <c r="E581" s="30">
        <v>0.5</v>
      </c>
      <c r="F581" s="2"/>
      <c r="G581" s="3" t="s">
        <v>7962</v>
      </c>
      <c r="H581" s="3" t="s">
        <v>7146</v>
      </c>
      <c r="I581" s="3" t="s">
        <v>7338</v>
      </c>
      <c r="J581" s="3" t="s">
        <v>7288</v>
      </c>
      <c r="K581" s="3" t="s">
        <v>7149</v>
      </c>
      <c r="L581" s="19">
        <v>3.0</v>
      </c>
      <c r="M581" s="3" t="s">
        <v>7788</v>
      </c>
      <c r="N581" s="3" t="s">
        <v>7788</v>
      </c>
      <c r="O581" s="3" t="s">
        <v>7326</v>
      </c>
      <c r="P581" s="19">
        <v>1.0</v>
      </c>
      <c r="Q581" s="19">
        <v>0.0</v>
      </c>
      <c r="R581" s="19">
        <v>0.0</v>
      </c>
      <c r="S581" s="19">
        <v>2.0</v>
      </c>
      <c r="T581" s="3" t="s">
        <v>131</v>
      </c>
      <c r="U581" s="3" t="s">
        <v>132</v>
      </c>
    </row>
    <row r="582">
      <c r="A582" s="3" t="s">
        <v>7963</v>
      </c>
      <c r="B582" s="3" t="s">
        <v>7234</v>
      </c>
      <c r="C582" s="29">
        <v>46223.58333333333</v>
      </c>
      <c r="D582" s="29">
        <v>46223.60416666667</v>
      </c>
      <c r="E582" s="30">
        <v>0.5</v>
      </c>
      <c r="G582" s="2"/>
      <c r="H582" s="3" t="s">
        <v>7146</v>
      </c>
      <c r="I582" s="3" t="s">
        <v>7147</v>
      </c>
      <c r="J582" s="3" t="s">
        <v>7156</v>
      </c>
      <c r="K582" s="3" t="s">
        <v>7149</v>
      </c>
      <c r="L582" s="19">
        <v>4.0</v>
      </c>
      <c r="M582" s="3" t="s">
        <v>7235</v>
      </c>
      <c r="N582" s="3" t="s">
        <v>7235</v>
      </c>
      <c r="O582" s="3" t="s">
        <v>7964</v>
      </c>
      <c r="P582" s="19">
        <v>0.0</v>
      </c>
      <c r="Q582" s="19">
        <v>1.0</v>
      </c>
      <c r="R582" s="19">
        <v>0.0</v>
      </c>
      <c r="S582" s="19">
        <v>3.0</v>
      </c>
      <c r="T582" s="3" t="s">
        <v>166</v>
      </c>
      <c r="U582" s="3" t="s">
        <v>167</v>
      </c>
    </row>
    <row r="583">
      <c r="A583" s="3" t="s">
        <v>7896</v>
      </c>
      <c r="B583" s="3" t="s">
        <v>7463</v>
      </c>
      <c r="C583" s="29">
        <v>46223.60416666667</v>
      </c>
      <c r="D583" s="29">
        <v>46223.625</v>
      </c>
      <c r="E583" s="30">
        <v>0.5</v>
      </c>
      <c r="F583" s="2"/>
      <c r="G583" s="3" t="s">
        <v>7541</v>
      </c>
      <c r="H583" s="3" t="s">
        <v>7146</v>
      </c>
      <c r="I583" s="3" t="s">
        <v>7338</v>
      </c>
      <c r="J583" s="3" t="s">
        <v>7288</v>
      </c>
      <c r="K583" s="3" t="s">
        <v>7149</v>
      </c>
      <c r="L583" s="19">
        <v>1.0</v>
      </c>
      <c r="M583" s="3" t="s">
        <v>7897</v>
      </c>
      <c r="N583" s="3" t="s">
        <v>7897</v>
      </c>
      <c r="O583" s="3" t="s">
        <v>7161</v>
      </c>
      <c r="P583" s="19">
        <v>1.0</v>
      </c>
      <c r="Q583" s="19">
        <v>0.0</v>
      </c>
      <c r="R583" s="19">
        <v>0.0</v>
      </c>
      <c r="S583" s="19">
        <v>0.0</v>
      </c>
      <c r="T583" s="3" t="s">
        <v>101</v>
      </c>
      <c r="U583" s="3" t="s">
        <v>511</v>
      </c>
    </row>
    <row r="584">
      <c r="A584" s="3" t="s">
        <v>7904</v>
      </c>
      <c r="B584" s="3" t="s">
        <v>7183</v>
      </c>
      <c r="C584" s="29">
        <v>46224.5</v>
      </c>
      <c r="D584" s="29">
        <v>46224.52083333333</v>
      </c>
      <c r="E584" s="30">
        <v>0.5</v>
      </c>
      <c r="F584" s="2"/>
      <c r="G584" s="3" t="s">
        <v>7692</v>
      </c>
      <c r="H584" s="3" t="s">
        <v>7146</v>
      </c>
      <c r="I584" s="3" t="s">
        <v>7161</v>
      </c>
      <c r="J584" s="3" t="s">
        <v>7156</v>
      </c>
      <c r="K584" s="3" t="s">
        <v>7149</v>
      </c>
      <c r="L584" s="19">
        <v>2.0</v>
      </c>
      <c r="M584" s="3" t="s">
        <v>7905</v>
      </c>
      <c r="N584" s="3" t="s">
        <v>7906</v>
      </c>
      <c r="O584" s="3" t="s">
        <v>7944</v>
      </c>
      <c r="P584" s="19">
        <v>1.0</v>
      </c>
      <c r="Q584" s="19">
        <v>0.0</v>
      </c>
      <c r="R584" s="19">
        <v>1.0</v>
      </c>
      <c r="S584" s="19">
        <v>0.0</v>
      </c>
      <c r="T584" s="3" t="s">
        <v>184</v>
      </c>
      <c r="U584" s="3" t="s">
        <v>478</v>
      </c>
    </row>
    <row r="585">
      <c r="A585" s="3" t="s">
        <v>7748</v>
      </c>
      <c r="B585" s="3" t="s">
        <v>7211</v>
      </c>
      <c r="C585" s="29">
        <v>46224.54166666667</v>
      </c>
      <c r="D585" s="29">
        <v>46224.5625</v>
      </c>
      <c r="E585" s="30">
        <v>0.5</v>
      </c>
      <c r="F585" s="2"/>
      <c r="G585" s="3" t="s">
        <v>7212</v>
      </c>
      <c r="H585" s="3" t="s">
        <v>7146</v>
      </c>
      <c r="I585" s="3" t="s">
        <v>7161</v>
      </c>
      <c r="J585" s="3" t="s">
        <v>7156</v>
      </c>
      <c r="K585" s="3" t="s">
        <v>7149</v>
      </c>
      <c r="L585" s="19">
        <v>4.0</v>
      </c>
      <c r="M585" s="3" t="s">
        <v>7213</v>
      </c>
      <c r="N585" s="3" t="s">
        <v>7213</v>
      </c>
      <c r="O585" s="3" t="s">
        <v>7965</v>
      </c>
      <c r="P585" s="19">
        <v>2.0</v>
      </c>
      <c r="Q585" s="19">
        <v>1.0</v>
      </c>
      <c r="R585" s="19">
        <v>0.0</v>
      </c>
      <c r="S585" s="19">
        <v>1.0</v>
      </c>
      <c r="T585" s="3" t="s">
        <v>175</v>
      </c>
      <c r="U585" s="3" t="s">
        <v>422</v>
      </c>
    </row>
    <row r="586">
      <c r="A586" s="3" t="s">
        <v>7901</v>
      </c>
      <c r="B586" s="3" t="s">
        <v>7689</v>
      </c>
      <c r="C586" s="29">
        <v>46224.5625</v>
      </c>
      <c r="D586" s="29">
        <v>46224.58333333333</v>
      </c>
      <c r="E586" s="30">
        <v>0.5</v>
      </c>
      <c r="F586" s="2"/>
      <c r="G586" s="2"/>
      <c r="H586" s="3" t="s">
        <v>7146</v>
      </c>
      <c r="I586" s="3" t="s">
        <v>7338</v>
      </c>
      <c r="J586" s="3" t="s">
        <v>7288</v>
      </c>
      <c r="K586" s="3" t="s">
        <v>7149</v>
      </c>
      <c r="L586" s="19">
        <v>1.0</v>
      </c>
      <c r="M586" s="3" t="s">
        <v>7902</v>
      </c>
      <c r="N586" s="3" t="s">
        <v>7902</v>
      </c>
      <c r="O586" s="3" t="s">
        <v>7161</v>
      </c>
      <c r="P586" s="19">
        <v>1.0</v>
      </c>
      <c r="Q586" s="19">
        <v>0.0</v>
      </c>
      <c r="R586" s="19">
        <v>0.0</v>
      </c>
      <c r="S586" s="19">
        <v>0.0</v>
      </c>
      <c r="T586" s="3" t="s">
        <v>142</v>
      </c>
      <c r="U586" s="3" t="s">
        <v>143</v>
      </c>
    </row>
    <row r="587">
      <c r="A587" s="3" t="s">
        <v>7966</v>
      </c>
      <c r="B587" s="3" t="s">
        <v>7967</v>
      </c>
      <c r="C587" s="29">
        <v>46224.64583333333</v>
      </c>
      <c r="D587" s="29">
        <v>46224.66666666667</v>
      </c>
      <c r="E587" s="30">
        <v>0.5</v>
      </c>
      <c r="G587" s="3" t="s">
        <v>7968</v>
      </c>
      <c r="H587" s="3" t="s">
        <v>7146</v>
      </c>
      <c r="I587" s="3" t="s">
        <v>7338</v>
      </c>
      <c r="J587" s="3" t="s">
        <v>7288</v>
      </c>
      <c r="K587" s="3" t="s">
        <v>7149</v>
      </c>
      <c r="L587" s="19">
        <v>4.0</v>
      </c>
      <c r="M587" s="3" t="s">
        <v>7707</v>
      </c>
      <c r="N587" s="3" t="s">
        <v>7707</v>
      </c>
      <c r="O587" s="3" t="s">
        <v>7236</v>
      </c>
      <c r="P587" s="19">
        <v>1.0</v>
      </c>
      <c r="Q587" s="19">
        <v>0.0</v>
      </c>
      <c r="R587" s="19">
        <v>0.0</v>
      </c>
      <c r="S587" s="19">
        <v>3.0</v>
      </c>
      <c r="T587" s="3" t="s">
        <v>6450</v>
      </c>
      <c r="U587" s="3" t="s">
        <v>552</v>
      </c>
    </row>
    <row r="588">
      <c r="A588" s="3" t="s">
        <v>7912</v>
      </c>
      <c r="B588" s="3" t="s">
        <v>7696</v>
      </c>
      <c r="C588" s="29">
        <v>46225.41666666667</v>
      </c>
      <c r="D588" s="29">
        <v>46225.4375</v>
      </c>
      <c r="E588" s="30">
        <v>0.5</v>
      </c>
      <c r="F588" s="2"/>
      <c r="G588" s="2"/>
      <c r="H588" s="3" t="s">
        <v>7146</v>
      </c>
      <c r="I588" s="3" t="s">
        <v>7161</v>
      </c>
      <c r="J588" s="3" t="s">
        <v>7274</v>
      </c>
      <c r="K588" s="3" t="s">
        <v>7149</v>
      </c>
      <c r="L588" s="19">
        <v>1.0</v>
      </c>
      <c r="M588" s="3" t="s">
        <v>7288</v>
      </c>
      <c r="N588" s="3" t="s">
        <v>7288</v>
      </c>
      <c r="O588" s="3" t="s">
        <v>7161</v>
      </c>
      <c r="P588" s="19">
        <v>1.0</v>
      </c>
      <c r="Q588" s="19">
        <v>0.0</v>
      </c>
      <c r="R588" s="19">
        <v>0.0</v>
      </c>
      <c r="S588" s="19">
        <v>0.0</v>
      </c>
      <c r="T588" s="2"/>
      <c r="U588" s="2"/>
    </row>
    <row r="589">
      <c r="A589" s="3" t="s">
        <v>7791</v>
      </c>
      <c r="B589" s="3" t="s">
        <v>7266</v>
      </c>
      <c r="C589" s="29">
        <v>46226.375</v>
      </c>
      <c r="D589" s="29">
        <v>46226.39583333333</v>
      </c>
      <c r="E589" s="30">
        <v>0.5</v>
      </c>
      <c r="F589" s="2"/>
      <c r="G589" s="2"/>
      <c r="H589" s="3" t="s">
        <v>7146</v>
      </c>
      <c r="I589" s="3" t="s">
        <v>7161</v>
      </c>
      <c r="J589" s="3" t="s">
        <v>7156</v>
      </c>
      <c r="K589" s="3" t="s">
        <v>7149</v>
      </c>
      <c r="L589" s="19">
        <v>4.0</v>
      </c>
      <c r="M589" s="3" t="s">
        <v>7267</v>
      </c>
      <c r="N589" s="3" t="s">
        <v>7267</v>
      </c>
      <c r="O589" s="3" t="s">
        <v>7792</v>
      </c>
      <c r="P589" s="19">
        <v>1.0</v>
      </c>
      <c r="Q589" s="19">
        <v>1.0</v>
      </c>
      <c r="R589" s="19">
        <v>0.0</v>
      </c>
      <c r="S589" s="19">
        <v>2.0</v>
      </c>
      <c r="T589" s="3" t="s">
        <v>6752</v>
      </c>
      <c r="U589" s="3" t="s">
        <v>319</v>
      </c>
    </row>
    <row r="590">
      <c r="A590" s="3" t="s">
        <v>7969</v>
      </c>
      <c r="B590" s="3" t="s">
        <v>7262</v>
      </c>
      <c r="C590" s="29">
        <v>46226.47916666667</v>
      </c>
      <c r="D590" s="29">
        <v>46226.5</v>
      </c>
      <c r="E590" s="30">
        <v>0.5</v>
      </c>
      <c r="F590" s="2"/>
      <c r="G590" s="2"/>
      <c r="H590" s="3" t="s">
        <v>7146</v>
      </c>
      <c r="I590" s="3" t="s">
        <v>7161</v>
      </c>
      <c r="J590" s="3" t="s">
        <v>7156</v>
      </c>
      <c r="K590" s="3" t="s">
        <v>7149</v>
      </c>
      <c r="L590" s="19">
        <v>2.0</v>
      </c>
      <c r="M590" s="3" t="s">
        <v>7263</v>
      </c>
      <c r="N590" s="3" t="s">
        <v>7263</v>
      </c>
      <c r="O590" s="3" t="s">
        <v>7218</v>
      </c>
      <c r="P590" s="19">
        <v>2.0</v>
      </c>
      <c r="Q590" s="19">
        <v>0.0</v>
      </c>
      <c r="R590" s="19">
        <v>0.0</v>
      </c>
      <c r="S590" s="19">
        <v>0.0</v>
      </c>
      <c r="T590" s="3" t="s">
        <v>128</v>
      </c>
      <c r="U590" s="3" t="s">
        <v>301</v>
      </c>
    </row>
    <row r="591">
      <c r="A591" s="3" t="s">
        <v>7804</v>
      </c>
      <c r="B591" s="3" t="s">
        <v>7805</v>
      </c>
      <c r="C591" s="29">
        <v>46226.5</v>
      </c>
      <c r="D591" s="29">
        <v>46226.52083333333</v>
      </c>
      <c r="E591" s="30">
        <v>0.5</v>
      </c>
      <c r="F591" s="2"/>
      <c r="G591" s="2"/>
      <c r="H591" s="3" t="s">
        <v>7146</v>
      </c>
      <c r="I591" s="3" t="s">
        <v>7338</v>
      </c>
      <c r="J591" s="3" t="s">
        <v>7288</v>
      </c>
      <c r="K591" s="3" t="s">
        <v>7149</v>
      </c>
      <c r="L591" s="19">
        <v>1.0</v>
      </c>
      <c r="M591" s="3" t="s">
        <v>7806</v>
      </c>
      <c r="N591" s="3" t="s">
        <v>7806</v>
      </c>
      <c r="O591" s="3" t="s">
        <v>7161</v>
      </c>
      <c r="P591" s="19">
        <v>1.0</v>
      </c>
      <c r="Q591" s="19">
        <v>0.0</v>
      </c>
      <c r="R591" s="19">
        <v>0.0</v>
      </c>
      <c r="S591" s="19">
        <v>0.0</v>
      </c>
      <c r="T591" s="3" t="s">
        <v>157</v>
      </c>
      <c r="U591" s="3" t="s">
        <v>158</v>
      </c>
    </row>
    <row r="592">
      <c r="A592" s="3" t="s">
        <v>7659</v>
      </c>
      <c r="B592" s="3" t="s">
        <v>7420</v>
      </c>
      <c r="C592" s="29">
        <v>46226.52083333333</v>
      </c>
      <c r="D592" s="29">
        <v>46226.54166666667</v>
      </c>
      <c r="E592" s="30">
        <v>0.5</v>
      </c>
      <c r="F592" s="2"/>
      <c r="G592" s="2"/>
      <c r="H592" s="3" t="s">
        <v>7146</v>
      </c>
      <c r="I592" s="3" t="s">
        <v>7161</v>
      </c>
      <c r="J592" s="3" t="s">
        <v>7156</v>
      </c>
      <c r="K592" s="3" t="s">
        <v>7149</v>
      </c>
      <c r="L592" s="19">
        <v>5.0</v>
      </c>
      <c r="M592" s="3" t="s">
        <v>7571</v>
      </c>
      <c r="N592" s="3" t="s">
        <v>7571</v>
      </c>
      <c r="O592" s="3" t="s">
        <v>7970</v>
      </c>
      <c r="P592" s="19">
        <v>3.0</v>
      </c>
      <c r="Q592" s="19">
        <v>1.0</v>
      </c>
      <c r="R592" s="19">
        <v>0.0</v>
      </c>
      <c r="S592" s="19">
        <v>1.0</v>
      </c>
      <c r="T592" s="3" t="s">
        <v>125</v>
      </c>
      <c r="U592" s="3" t="s">
        <v>126</v>
      </c>
    </row>
    <row r="593">
      <c r="A593" s="3" t="s">
        <v>7812</v>
      </c>
      <c r="B593" s="3" t="s">
        <v>7813</v>
      </c>
      <c r="C593" s="29">
        <v>46226.5625</v>
      </c>
      <c r="D593" s="29">
        <v>46226.58333333333</v>
      </c>
      <c r="E593" s="30">
        <v>0.5</v>
      </c>
      <c r="F593" s="2"/>
      <c r="G593" s="3" t="s">
        <v>7814</v>
      </c>
      <c r="H593" s="3" t="s">
        <v>7146</v>
      </c>
      <c r="I593" s="3" t="s">
        <v>7338</v>
      </c>
      <c r="J593" s="3" t="s">
        <v>7288</v>
      </c>
      <c r="K593" s="3" t="s">
        <v>7149</v>
      </c>
      <c r="L593" s="19">
        <v>3.0</v>
      </c>
      <c r="M593" s="3" t="s">
        <v>7815</v>
      </c>
      <c r="N593" s="3" t="s">
        <v>7815</v>
      </c>
      <c r="O593" s="3" t="s">
        <v>7601</v>
      </c>
      <c r="P593" s="19">
        <v>1.0</v>
      </c>
      <c r="Q593" s="19">
        <v>0.0</v>
      </c>
      <c r="R593" s="19">
        <v>0.0</v>
      </c>
      <c r="S593" s="19">
        <v>2.0</v>
      </c>
      <c r="T593" s="3" t="s">
        <v>190</v>
      </c>
      <c r="U593" s="3" t="s">
        <v>191</v>
      </c>
    </row>
    <row r="594">
      <c r="A594" s="3" t="s">
        <v>7825</v>
      </c>
      <c r="B594" s="3" t="s">
        <v>7471</v>
      </c>
      <c r="C594" s="29">
        <v>46227.41666666667</v>
      </c>
      <c r="D594" s="29">
        <v>46227.4375</v>
      </c>
      <c r="E594" s="30">
        <v>0.5</v>
      </c>
      <c r="F594" s="2"/>
      <c r="G594" s="2"/>
      <c r="H594" s="3" t="s">
        <v>7146</v>
      </c>
      <c r="I594" s="3" t="s">
        <v>7161</v>
      </c>
      <c r="J594" s="3" t="s">
        <v>7156</v>
      </c>
      <c r="K594" s="3" t="s">
        <v>7149</v>
      </c>
      <c r="L594" s="19">
        <v>5.0</v>
      </c>
      <c r="M594" s="3" t="s">
        <v>7826</v>
      </c>
      <c r="N594" s="3" t="s">
        <v>7826</v>
      </c>
      <c r="O594" s="3" t="s">
        <v>7933</v>
      </c>
      <c r="P594" s="19">
        <v>2.0</v>
      </c>
      <c r="Q594" s="19">
        <v>1.0</v>
      </c>
      <c r="R594" s="19">
        <v>0.0</v>
      </c>
      <c r="S594" s="19">
        <v>2.0</v>
      </c>
      <c r="T594" s="3" t="s">
        <v>199</v>
      </c>
      <c r="U594" s="3" t="s">
        <v>272</v>
      </c>
    </row>
    <row r="595">
      <c r="A595" s="3" t="s">
        <v>7679</v>
      </c>
      <c r="B595" s="3" t="s">
        <v>7546</v>
      </c>
      <c r="C595" s="29">
        <v>46227.47916666667</v>
      </c>
      <c r="D595" s="29">
        <v>46227.52083333333</v>
      </c>
      <c r="E595" s="30">
        <v>1.0</v>
      </c>
      <c r="F595" s="2"/>
      <c r="G595" s="2"/>
      <c r="H595" s="3" t="s">
        <v>7146</v>
      </c>
      <c r="I595" s="3" t="s">
        <v>7338</v>
      </c>
      <c r="J595" s="3" t="s">
        <v>7288</v>
      </c>
      <c r="K595" s="3" t="s">
        <v>7149</v>
      </c>
      <c r="L595" s="19">
        <v>1.0</v>
      </c>
      <c r="M595" s="3" t="s">
        <v>7680</v>
      </c>
      <c r="N595" s="3" t="s">
        <v>7680</v>
      </c>
      <c r="O595" s="3" t="s">
        <v>7161</v>
      </c>
      <c r="P595" s="19">
        <v>1.0</v>
      </c>
      <c r="Q595" s="19">
        <v>0.0</v>
      </c>
      <c r="R595" s="19">
        <v>0.0</v>
      </c>
      <c r="S595" s="19">
        <v>0.0</v>
      </c>
      <c r="T595" s="3" t="s">
        <v>119</v>
      </c>
      <c r="U595" s="3" t="s">
        <v>251</v>
      </c>
    </row>
    <row r="596">
      <c r="A596" s="3" t="s">
        <v>7976</v>
      </c>
      <c r="B596" s="3" t="s">
        <v>7977</v>
      </c>
      <c r="C596" s="29">
        <v>46230.58333333333</v>
      </c>
      <c r="D596" s="29">
        <v>46230.60416666667</v>
      </c>
      <c r="E596" s="30">
        <v>0.5</v>
      </c>
      <c r="F596" s="2"/>
      <c r="G596" s="2"/>
      <c r="H596" s="3" t="s">
        <v>7146</v>
      </c>
      <c r="I596" s="3" t="s">
        <v>7338</v>
      </c>
      <c r="J596" s="3" t="s">
        <v>7288</v>
      </c>
      <c r="K596" s="3" t="s">
        <v>7149</v>
      </c>
      <c r="L596" s="19">
        <v>3.0</v>
      </c>
      <c r="M596" s="3" t="s">
        <v>7978</v>
      </c>
      <c r="N596" s="3" t="s">
        <v>7978</v>
      </c>
      <c r="O596" s="3" t="s">
        <v>7326</v>
      </c>
      <c r="P596" s="19">
        <v>1.0</v>
      </c>
      <c r="Q596" s="19">
        <v>0.0</v>
      </c>
      <c r="R596" s="19">
        <v>0.0</v>
      </c>
      <c r="S596" s="19">
        <v>2.0</v>
      </c>
      <c r="T596" s="3" t="s">
        <v>98</v>
      </c>
      <c r="U596" s="3" t="s">
        <v>99</v>
      </c>
    </row>
    <row r="597">
      <c r="A597" s="3" t="s">
        <v>7896</v>
      </c>
      <c r="B597" s="3" t="s">
        <v>7463</v>
      </c>
      <c r="C597" s="29">
        <v>46230.60416666667</v>
      </c>
      <c r="D597" s="29">
        <v>46230.625</v>
      </c>
      <c r="E597" s="30">
        <v>0.5</v>
      </c>
      <c r="F597" s="2"/>
      <c r="G597" s="3" t="s">
        <v>7541</v>
      </c>
      <c r="H597" s="3" t="s">
        <v>7146</v>
      </c>
      <c r="I597" s="3" t="s">
        <v>7338</v>
      </c>
      <c r="J597" s="3" t="s">
        <v>7288</v>
      </c>
      <c r="K597" s="3" t="s">
        <v>7149</v>
      </c>
      <c r="L597" s="19">
        <v>1.0</v>
      </c>
      <c r="M597" s="3" t="s">
        <v>7897</v>
      </c>
      <c r="N597" s="3" t="s">
        <v>7897</v>
      </c>
      <c r="O597" s="3" t="s">
        <v>7161</v>
      </c>
      <c r="P597" s="19">
        <v>1.0</v>
      </c>
      <c r="Q597" s="19">
        <v>0.0</v>
      </c>
      <c r="R597" s="19">
        <v>0.0</v>
      </c>
      <c r="S597" s="19">
        <v>0.0</v>
      </c>
      <c r="T597" s="3" t="s">
        <v>101</v>
      </c>
      <c r="U597" s="3" t="s">
        <v>511</v>
      </c>
    </row>
    <row r="598">
      <c r="A598" s="3" t="s">
        <v>7904</v>
      </c>
      <c r="B598" s="3" t="s">
        <v>7183</v>
      </c>
      <c r="C598" s="29">
        <v>46231.5</v>
      </c>
      <c r="D598" s="29">
        <v>46231.52083333333</v>
      </c>
      <c r="E598" s="30">
        <v>0.5</v>
      </c>
      <c r="G598" s="3" t="s">
        <v>7692</v>
      </c>
      <c r="H598" s="3" t="s">
        <v>7146</v>
      </c>
      <c r="I598" s="3" t="s">
        <v>7161</v>
      </c>
      <c r="J598" s="3" t="s">
        <v>7156</v>
      </c>
      <c r="K598" s="3" t="s">
        <v>7149</v>
      </c>
      <c r="L598" s="19">
        <v>2.0</v>
      </c>
      <c r="M598" s="3" t="s">
        <v>7905</v>
      </c>
      <c r="N598" s="3" t="s">
        <v>7906</v>
      </c>
      <c r="O598" s="3" t="s">
        <v>7944</v>
      </c>
      <c r="P598" s="19">
        <v>1.0</v>
      </c>
      <c r="Q598" s="19">
        <v>0.0</v>
      </c>
      <c r="R598" s="19">
        <v>1.0</v>
      </c>
      <c r="S598" s="19">
        <v>0.0</v>
      </c>
      <c r="T598" s="3" t="s">
        <v>184</v>
      </c>
      <c r="U598" s="3" t="s">
        <v>478</v>
      </c>
    </row>
    <row r="599">
      <c r="A599" s="3" t="s">
        <v>7912</v>
      </c>
      <c r="B599" s="3" t="s">
        <v>7696</v>
      </c>
      <c r="C599" s="29">
        <v>46232.41666666667</v>
      </c>
      <c r="D599" s="29">
        <v>46232.4375</v>
      </c>
      <c r="E599" s="30">
        <v>0.5</v>
      </c>
      <c r="F599" s="2"/>
      <c r="G599" s="2"/>
      <c r="H599" s="3" t="s">
        <v>7146</v>
      </c>
      <c r="I599" s="3" t="s">
        <v>7161</v>
      </c>
      <c r="J599" s="3" t="s">
        <v>7274</v>
      </c>
      <c r="K599" s="3" t="s">
        <v>7149</v>
      </c>
      <c r="L599" s="19">
        <v>1.0</v>
      </c>
      <c r="M599" s="3" t="s">
        <v>7288</v>
      </c>
      <c r="N599" s="3" t="s">
        <v>7288</v>
      </c>
      <c r="O599" s="3" t="s">
        <v>7161</v>
      </c>
      <c r="P599" s="19">
        <v>1.0</v>
      </c>
      <c r="Q599" s="19">
        <v>0.0</v>
      </c>
      <c r="R599" s="19">
        <v>0.0</v>
      </c>
      <c r="S599" s="19">
        <v>0.0</v>
      </c>
      <c r="T599" s="2"/>
      <c r="U599" s="2"/>
    </row>
    <row r="600">
      <c r="A600" s="3" t="s">
        <v>7979</v>
      </c>
      <c r="B600" s="3" t="s">
        <v>7249</v>
      </c>
      <c r="C600" s="29">
        <v>46232.54166666667</v>
      </c>
      <c r="D600" s="29">
        <v>46232.5625</v>
      </c>
      <c r="E600" s="30">
        <v>0.5</v>
      </c>
      <c r="F600" s="2"/>
      <c r="G600" s="2"/>
      <c r="H600" s="3" t="s">
        <v>7146</v>
      </c>
      <c r="I600" s="3" t="s">
        <v>7161</v>
      </c>
      <c r="J600" s="3" t="s">
        <v>7156</v>
      </c>
      <c r="K600" s="3" t="s">
        <v>7149</v>
      </c>
      <c r="L600" s="19">
        <v>2.0</v>
      </c>
      <c r="M600" s="3" t="s">
        <v>7921</v>
      </c>
      <c r="N600" s="3" t="s">
        <v>7921</v>
      </c>
      <c r="O600" s="3" t="s">
        <v>7218</v>
      </c>
      <c r="P600" s="19">
        <v>2.0</v>
      </c>
      <c r="Q600" s="19">
        <v>0.0</v>
      </c>
      <c r="R600" s="19">
        <v>0.0</v>
      </c>
      <c r="S600" s="19">
        <v>0.0</v>
      </c>
      <c r="T600" s="3" t="s">
        <v>187</v>
      </c>
      <c r="U600" s="3" t="s">
        <v>188</v>
      </c>
    </row>
    <row r="601">
      <c r="A601" s="3" t="s">
        <v>7951</v>
      </c>
      <c r="B601" s="3" t="s">
        <v>7160</v>
      </c>
      <c r="C601" s="29">
        <v>46233.4375</v>
      </c>
      <c r="D601" s="29">
        <v>46233.45833333333</v>
      </c>
      <c r="E601" s="30">
        <v>0.5</v>
      </c>
      <c r="F601" s="2"/>
      <c r="G601" s="2"/>
      <c r="H601" s="3" t="s">
        <v>7146</v>
      </c>
      <c r="I601" s="3" t="s">
        <v>7161</v>
      </c>
      <c r="J601" s="3" t="s">
        <v>7156</v>
      </c>
      <c r="K601" s="3" t="s">
        <v>7149</v>
      </c>
      <c r="L601" s="19">
        <v>2.0</v>
      </c>
      <c r="M601" s="3" t="s">
        <v>7952</v>
      </c>
      <c r="N601" s="3" t="s">
        <v>7953</v>
      </c>
      <c r="O601" s="3" t="s">
        <v>7218</v>
      </c>
      <c r="P601" s="19">
        <v>2.0</v>
      </c>
      <c r="Q601" s="19">
        <v>0.0</v>
      </c>
      <c r="R601" s="19">
        <v>0.0</v>
      </c>
      <c r="S601" s="19">
        <v>0.0</v>
      </c>
      <c r="T601" s="3" t="s">
        <v>154</v>
      </c>
      <c r="U601" s="3" t="s">
        <v>329</v>
      </c>
    </row>
    <row r="602">
      <c r="A602" s="3" t="s">
        <v>7954</v>
      </c>
      <c r="B602" s="3" t="s">
        <v>7163</v>
      </c>
      <c r="C602" s="29">
        <v>46233.58333333333</v>
      </c>
      <c r="D602" s="29">
        <v>46233.60416666667</v>
      </c>
      <c r="E602" s="30">
        <v>0.5</v>
      </c>
      <c r="F602" s="2"/>
      <c r="G602" s="2"/>
      <c r="H602" s="3" t="s">
        <v>7146</v>
      </c>
      <c r="I602" s="3" t="s">
        <v>7161</v>
      </c>
      <c r="J602" s="3" t="s">
        <v>7156</v>
      </c>
      <c r="K602" s="3" t="s">
        <v>7149</v>
      </c>
      <c r="L602" s="19">
        <v>5.0</v>
      </c>
      <c r="M602" s="3" t="s">
        <v>7955</v>
      </c>
      <c r="N602" s="3" t="s">
        <v>7955</v>
      </c>
      <c r="O602" s="3" t="s">
        <v>7956</v>
      </c>
      <c r="P602" s="19">
        <v>0.0</v>
      </c>
      <c r="Q602" s="19">
        <v>3.0</v>
      </c>
      <c r="R602" s="19">
        <v>0.0</v>
      </c>
      <c r="S602" s="19">
        <v>2.0</v>
      </c>
      <c r="T602" s="3" t="s">
        <v>151</v>
      </c>
      <c r="U602" s="3" t="s">
        <v>370</v>
      </c>
    </row>
    <row r="603">
      <c r="A603" s="3" t="s">
        <v>7679</v>
      </c>
      <c r="B603" s="3" t="s">
        <v>7546</v>
      </c>
      <c r="C603" s="29">
        <v>46234.47916666667</v>
      </c>
      <c r="D603" s="29">
        <v>46234.52083333333</v>
      </c>
      <c r="E603" s="30">
        <v>1.0</v>
      </c>
      <c r="F603" s="2"/>
      <c r="G603" s="2"/>
      <c r="H603" s="3" t="s">
        <v>7146</v>
      </c>
      <c r="I603" s="3" t="s">
        <v>7338</v>
      </c>
      <c r="J603" s="3" t="s">
        <v>7288</v>
      </c>
      <c r="K603" s="3" t="s">
        <v>7149</v>
      </c>
      <c r="L603" s="19">
        <v>1.0</v>
      </c>
      <c r="M603" s="3" t="s">
        <v>7680</v>
      </c>
      <c r="N603" s="3" t="s">
        <v>7680</v>
      </c>
      <c r="O603" s="3" t="s">
        <v>7161</v>
      </c>
      <c r="P603" s="19">
        <v>1.0</v>
      </c>
      <c r="Q603" s="19">
        <v>0.0</v>
      </c>
      <c r="R603" s="19">
        <v>0.0</v>
      </c>
      <c r="S603" s="19">
        <v>0.0</v>
      </c>
      <c r="T603" s="3" t="s">
        <v>119</v>
      </c>
      <c r="U603" s="3" t="s">
        <v>251</v>
      </c>
    </row>
    <row r="604">
      <c r="A604" s="3" t="s">
        <v>7960</v>
      </c>
      <c r="B604" s="3" t="s">
        <v>7961</v>
      </c>
      <c r="C604" s="29">
        <v>46237.54166666667</v>
      </c>
      <c r="D604" s="29">
        <v>46237.5625</v>
      </c>
      <c r="E604" s="30">
        <v>0.5</v>
      </c>
      <c r="F604" s="2"/>
      <c r="G604" s="3" t="s">
        <v>7962</v>
      </c>
      <c r="H604" s="3" t="s">
        <v>7146</v>
      </c>
      <c r="I604" s="3" t="s">
        <v>7338</v>
      </c>
      <c r="J604" s="3" t="s">
        <v>7288</v>
      </c>
      <c r="K604" s="3" t="s">
        <v>7149</v>
      </c>
      <c r="L604" s="19">
        <v>3.0</v>
      </c>
      <c r="M604" s="3" t="s">
        <v>7788</v>
      </c>
      <c r="N604" s="3" t="s">
        <v>7788</v>
      </c>
      <c r="O604" s="3" t="s">
        <v>7326</v>
      </c>
      <c r="P604" s="19">
        <v>1.0</v>
      </c>
      <c r="Q604" s="19">
        <v>0.0</v>
      </c>
      <c r="R604" s="19">
        <v>0.0</v>
      </c>
      <c r="S604" s="19">
        <v>2.0</v>
      </c>
      <c r="T604" s="3" t="s">
        <v>131</v>
      </c>
      <c r="U604" s="3" t="s">
        <v>132</v>
      </c>
    </row>
    <row r="605">
      <c r="A605" s="3" t="s">
        <v>7982</v>
      </c>
      <c r="B605" s="3" t="s">
        <v>7203</v>
      </c>
      <c r="C605" s="29">
        <v>46237.5625</v>
      </c>
      <c r="D605" s="29">
        <v>46237.58333333333</v>
      </c>
      <c r="E605" s="30">
        <v>0.5</v>
      </c>
      <c r="F605" s="2"/>
      <c r="G605" s="3" t="s">
        <v>7983</v>
      </c>
      <c r="H605" s="3" t="s">
        <v>7146</v>
      </c>
      <c r="I605" s="3" t="s">
        <v>7147</v>
      </c>
      <c r="J605" s="3" t="s">
        <v>7156</v>
      </c>
      <c r="K605" s="3" t="s">
        <v>7149</v>
      </c>
      <c r="L605" s="19">
        <v>7.0</v>
      </c>
      <c r="M605" s="3" t="s">
        <v>7204</v>
      </c>
      <c r="N605" s="3" t="s">
        <v>7204</v>
      </c>
      <c r="O605" s="3" t="s">
        <v>7984</v>
      </c>
      <c r="P605" s="19">
        <v>4.0</v>
      </c>
      <c r="Q605" s="19">
        <v>1.0</v>
      </c>
      <c r="R605" s="19">
        <v>0.0</v>
      </c>
      <c r="S605" s="19">
        <v>2.0</v>
      </c>
      <c r="T605" s="3" t="s">
        <v>6785</v>
      </c>
      <c r="U605" s="3" t="s">
        <v>601</v>
      </c>
    </row>
    <row r="606">
      <c r="A606" s="3" t="s">
        <v>7963</v>
      </c>
      <c r="B606" s="3" t="s">
        <v>7234</v>
      </c>
      <c r="C606" s="29">
        <v>46237.58333333333</v>
      </c>
      <c r="D606" s="29">
        <v>46237.60416666667</v>
      </c>
      <c r="E606" s="30">
        <v>0.5</v>
      </c>
      <c r="F606" s="2"/>
      <c r="G606" s="2"/>
      <c r="H606" s="3" t="s">
        <v>7146</v>
      </c>
      <c r="I606" s="3" t="s">
        <v>7147</v>
      </c>
      <c r="J606" s="3" t="s">
        <v>7156</v>
      </c>
      <c r="K606" s="3" t="s">
        <v>7149</v>
      </c>
      <c r="L606" s="19">
        <v>4.0</v>
      </c>
      <c r="M606" s="3" t="s">
        <v>7235</v>
      </c>
      <c r="N606" s="3" t="s">
        <v>7235</v>
      </c>
      <c r="O606" s="3" t="s">
        <v>7964</v>
      </c>
      <c r="P606" s="19">
        <v>0.0</v>
      </c>
      <c r="Q606" s="19">
        <v>1.0</v>
      </c>
      <c r="R606" s="19">
        <v>0.0</v>
      </c>
      <c r="S606" s="19">
        <v>3.0</v>
      </c>
      <c r="T606" s="3" t="s">
        <v>166</v>
      </c>
      <c r="U606" s="3" t="s">
        <v>167</v>
      </c>
    </row>
    <row r="607">
      <c r="A607" s="3" t="s">
        <v>7896</v>
      </c>
      <c r="B607" s="3" t="s">
        <v>7463</v>
      </c>
      <c r="C607" s="29">
        <v>46237.60416666667</v>
      </c>
      <c r="D607" s="29">
        <v>46237.625</v>
      </c>
      <c r="E607" s="30">
        <v>0.5</v>
      </c>
      <c r="F607" s="2"/>
      <c r="G607" s="3" t="s">
        <v>7541</v>
      </c>
      <c r="H607" s="3" t="s">
        <v>7146</v>
      </c>
      <c r="I607" s="3" t="s">
        <v>7338</v>
      </c>
      <c r="J607" s="3" t="s">
        <v>7288</v>
      </c>
      <c r="K607" s="3" t="s">
        <v>7149</v>
      </c>
      <c r="L607" s="19">
        <v>1.0</v>
      </c>
      <c r="M607" s="3" t="s">
        <v>7897</v>
      </c>
      <c r="N607" s="3" t="s">
        <v>7897</v>
      </c>
      <c r="O607" s="3" t="s">
        <v>7161</v>
      </c>
      <c r="P607" s="19">
        <v>1.0</v>
      </c>
      <c r="Q607" s="19">
        <v>0.0</v>
      </c>
      <c r="R607" s="19">
        <v>0.0</v>
      </c>
      <c r="S607" s="19">
        <v>0.0</v>
      </c>
      <c r="T607" s="3" t="s">
        <v>101</v>
      </c>
      <c r="U607" s="3" t="s">
        <v>511</v>
      </c>
    </row>
    <row r="608">
      <c r="A608" s="3" t="s">
        <v>7904</v>
      </c>
      <c r="B608" s="3" t="s">
        <v>7183</v>
      </c>
      <c r="C608" s="29">
        <v>46238.5</v>
      </c>
      <c r="D608" s="29">
        <v>46238.52083333333</v>
      </c>
      <c r="E608" s="30">
        <v>0.5</v>
      </c>
      <c r="F608" s="2"/>
      <c r="G608" s="3" t="s">
        <v>7692</v>
      </c>
      <c r="H608" s="3" t="s">
        <v>7146</v>
      </c>
      <c r="I608" s="3" t="s">
        <v>7161</v>
      </c>
      <c r="J608" s="3" t="s">
        <v>7156</v>
      </c>
      <c r="K608" s="3" t="s">
        <v>7149</v>
      </c>
      <c r="L608" s="19">
        <v>2.0</v>
      </c>
      <c r="M608" s="3" t="s">
        <v>7905</v>
      </c>
      <c r="N608" s="3" t="s">
        <v>7906</v>
      </c>
      <c r="O608" s="3" t="s">
        <v>7944</v>
      </c>
      <c r="P608" s="19">
        <v>1.0</v>
      </c>
      <c r="Q608" s="19">
        <v>0.0</v>
      </c>
      <c r="R608" s="19">
        <v>1.0</v>
      </c>
      <c r="S608" s="19">
        <v>0.0</v>
      </c>
      <c r="T608" s="3" t="s">
        <v>184</v>
      </c>
      <c r="U608" s="3" t="s">
        <v>478</v>
      </c>
    </row>
    <row r="609">
      <c r="A609" s="3" t="s">
        <v>7901</v>
      </c>
      <c r="B609" s="3" t="s">
        <v>7689</v>
      </c>
      <c r="C609" s="29">
        <v>46238.5625</v>
      </c>
      <c r="D609" s="29">
        <v>46238.58333333333</v>
      </c>
      <c r="E609" s="30">
        <v>0.5</v>
      </c>
      <c r="F609" s="2"/>
      <c r="G609" s="2"/>
      <c r="H609" s="3" t="s">
        <v>7146</v>
      </c>
      <c r="I609" s="3" t="s">
        <v>7338</v>
      </c>
      <c r="J609" s="3" t="s">
        <v>7288</v>
      </c>
      <c r="K609" s="3" t="s">
        <v>7149</v>
      </c>
      <c r="L609" s="19">
        <v>1.0</v>
      </c>
      <c r="M609" s="3" t="s">
        <v>7902</v>
      </c>
      <c r="N609" s="3" t="s">
        <v>7902</v>
      </c>
      <c r="O609" s="3" t="s">
        <v>7161</v>
      </c>
      <c r="P609" s="19">
        <v>1.0</v>
      </c>
      <c r="Q609" s="19">
        <v>0.0</v>
      </c>
      <c r="R609" s="19">
        <v>0.0</v>
      </c>
      <c r="S609" s="19">
        <v>0.0</v>
      </c>
      <c r="T609" s="3" t="s">
        <v>142</v>
      </c>
      <c r="U609" s="3" t="s">
        <v>143</v>
      </c>
    </row>
    <row r="610">
      <c r="A610" s="3" t="s">
        <v>7754</v>
      </c>
      <c r="B610" s="3" t="s">
        <v>7755</v>
      </c>
      <c r="C610" s="29">
        <v>46238.58333333333</v>
      </c>
      <c r="D610" s="29">
        <v>46238.60416666667</v>
      </c>
      <c r="E610" s="30">
        <v>0.5</v>
      </c>
      <c r="G610" s="3" t="s">
        <v>7756</v>
      </c>
      <c r="H610" s="3" t="s">
        <v>7146</v>
      </c>
      <c r="I610" s="3" t="s">
        <v>7161</v>
      </c>
      <c r="J610" s="3" t="s">
        <v>7156</v>
      </c>
      <c r="K610" s="3" t="s">
        <v>7149</v>
      </c>
      <c r="L610" s="19">
        <v>7.0</v>
      </c>
      <c r="M610" s="3" t="s">
        <v>7757</v>
      </c>
      <c r="N610" s="3" t="s">
        <v>7758</v>
      </c>
      <c r="O610" s="3" t="s">
        <v>7759</v>
      </c>
      <c r="P610" s="19">
        <v>0.0</v>
      </c>
      <c r="Q610" s="19">
        <v>1.0</v>
      </c>
      <c r="R610" s="19">
        <v>1.0</v>
      </c>
      <c r="S610" s="19">
        <v>5.0</v>
      </c>
      <c r="T610" s="3" t="s">
        <v>110</v>
      </c>
      <c r="U610" s="3" t="s">
        <v>111</v>
      </c>
    </row>
    <row r="611">
      <c r="A611" s="3" t="s">
        <v>7912</v>
      </c>
      <c r="B611" s="3" t="s">
        <v>7696</v>
      </c>
      <c r="C611" s="29">
        <v>46239.41666666667</v>
      </c>
      <c r="D611" s="29">
        <v>46239.4375</v>
      </c>
      <c r="E611" s="30">
        <v>0.5</v>
      </c>
      <c r="F611" s="2"/>
      <c r="G611" s="2"/>
      <c r="H611" s="3" t="s">
        <v>7146</v>
      </c>
      <c r="I611" s="3" t="s">
        <v>7161</v>
      </c>
      <c r="J611" s="3" t="s">
        <v>7274</v>
      </c>
      <c r="K611" s="3" t="s">
        <v>7149</v>
      </c>
      <c r="L611" s="19">
        <v>1.0</v>
      </c>
      <c r="M611" s="3" t="s">
        <v>7288</v>
      </c>
      <c r="N611" s="3" t="s">
        <v>7288</v>
      </c>
      <c r="O611" s="3" t="s">
        <v>7161</v>
      </c>
      <c r="P611" s="19">
        <v>1.0</v>
      </c>
      <c r="Q611" s="19">
        <v>0.0</v>
      </c>
      <c r="R611" s="19">
        <v>0.0</v>
      </c>
      <c r="S611" s="19">
        <v>0.0</v>
      </c>
      <c r="T611" s="2"/>
      <c r="U611" s="2"/>
    </row>
    <row r="612">
      <c r="A612" s="3" t="s">
        <v>7794</v>
      </c>
      <c r="B612" s="3" t="s">
        <v>7795</v>
      </c>
      <c r="C612" s="29">
        <v>46240.39583333333</v>
      </c>
      <c r="D612" s="29">
        <v>46240.41666666667</v>
      </c>
      <c r="E612" s="30">
        <v>0.5</v>
      </c>
      <c r="F612" s="2"/>
      <c r="G612" s="2"/>
      <c r="H612" s="3" t="s">
        <v>7146</v>
      </c>
      <c r="I612" s="3" t="s">
        <v>7161</v>
      </c>
      <c r="J612" s="3" t="s">
        <v>7168</v>
      </c>
      <c r="K612" s="3" t="s">
        <v>7149</v>
      </c>
      <c r="L612" s="19">
        <v>6.0</v>
      </c>
      <c r="M612" s="3" t="s">
        <v>7196</v>
      </c>
      <c r="N612" s="3" t="s">
        <v>7196</v>
      </c>
      <c r="O612" s="3" t="s">
        <v>7197</v>
      </c>
      <c r="P612" s="19">
        <v>4.0</v>
      </c>
      <c r="Q612" s="19">
        <v>0.0</v>
      </c>
      <c r="R612" s="19">
        <v>0.0</v>
      </c>
      <c r="S612" s="19">
        <v>2.0</v>
      </c>
      <c r="T612" s="3" t="s">
        <v>178</v>
      </c>
      <c r="U612" s="3" t="s">
        <v>179</v>
      </c>
    </row>
    <row r="613">
      <c r="A613" s="3" t="s">
        <v>7804</v>
      </c>
      <c r="B613" s="3" t="s">
        <v>7805</v>
      </c>
      <c r="C613" s="29">
        <v>46240.5</v>
      </c>
      <c r="D613" s="29">
        <v>46240.52083333333</v>
      </c>
      <c r="E613" s="30">
        <v>0.5</v>
      </c>
      <c r="F613" s="2"/>
      <c r="G613" s="2"/>
      <c r="H613" s="3" t="s">
        <v>7146</v>
      </c>
      <c r="I613" s="3" t="s">
        <v>7338</v>
      </c>
      <c r="J613" s="3" t="s">
        <v>7288</v>
      </c>
      <c r="K613" s="3" t="s">
        <v>7149</v>
      </c>
      <c r="L613" s="19">
        <v>1.0</v>
      </c>
      <c r="M613" s="3" t="s">
        <v>7806</v>
      </c>
      <c r="N613" s="3" t="s">
        <v>7806</v>
      </c>
      <c r="O613" s="3" t="s">
        <v>7161</v>
      </c>
      <c r="P613" s="19">
        <v>1.0</v>
      </c>
      <c r="Q613" s="19">
        <v>0.0</v>
      </c>
      <c r="R613" s="19">
        <v>0.0</v>
      </c>
      <c r="S613" s="19">
        <v>0.0</v>
      </c>
      <c r="T613" s="3" t="s">
        <v>157</v>
      </c>
      <c r="U613" s="3" t="s">
        <v>158</v>
      </c>
    </row>
    <row r="614">
      <c r="A614" s="3" t="s">
        <v>7659</v>
      </c>
      <c r="B614" s="3" t="s">
        <v>7420</v>
      </c>
      <c r="C614" s="29">
        <v>46240.52083333333</v>
      </c>
      <c r="D614" s="29">
        <v>46240.54166666667</v>
      </c>
      <c r="E614" s="30">
        <v>0.5</v>
      </c>
      <c r="F614" s="2"/>
      <c r="G614" s="2"/>
      <c r="H614" s="3" t="s">
        <v>7146</v>
      </c>
      <c r="I614" s="3" t="s">
        <v>7161</v>
      </c>
      <c r="J614" s="3" t="s">
        <v>7156</v>
      </c>
      <c r="K614" s="3" t="s">
        <v>7149</v>
      </c>
      <c r="L614" s="19">
        <v>5.0</v>
      </c>
      <c r="M614" s="3" t="s">
        <v>7571</v>
      </c>
      <c r="N614" s="3" t="s">
        <v>7571</v>
      </c>
      <c r="O614" s="3" t="s">
        <v>7970</v>
      </c>
      <c r="P614" s="19">
        <v>3.0</v>
      </c>
      <c r="Q614" s="19">
        <v>1.0</v>
      </c>
      <c r="R614" s="19">
        <v>0.0</v>
      </c>
      <c r="S614" s="19">
        <v>1.0</v>
      </c>
      <c r="T614" s="3" t="s">
        <v>125</v>
      </c>
      <c r="U614" s="3" t="s">
        <v>126</v>
      </c>
    </row>
    <row r="615">
      <c r="A615" s="3" t="s">
        <v>7971</v>
      </c>
      <c r="B615" s="3" t="s">
        <v>7178</v>
      </c>
      <c r="C615" s="29">
        <v>46241.39583333333</v>
      </c>
      <c r="D615" s="29">
        <v>46241.41666666667</v>
      </c>
      <c r="E615" s="30">
        <v>0.5</v>
      </c>
      <c r="F615" s="2"/>
      <c r="G615" s="25" t="s">
        <v>7972</v>
      </c>
      <c r="H615" s="3" t="s">
        <v>7146</v>
      </c>
      <c r="I615" s="3" t="s">
        <v>7161</v>
      </c>
      <c r="J615" s="3" t="s">
        <v>7156</v>
      </c>
      <c r="K615" s="3" t="s">
        <v>7149</v>
      </c>
      <c r="L615" s="19">
        <v>3.0</v>
      </c>
      <c r="M615" s="3" t="s">
        <v>7973</v>
      </c>
      <c r="N615" s="3" t="s">
        <v>7973</v>
      </c>
      <c r="O615" s="3" t="s">
        <v>7231</v>
      </c>
      <c r="P615" s="19">
        <v>2.0</v>
      </c>
      <c r="Q615" s="19">
        <v>1.0</v>
      </c>
      <c r="R615" s="19">
        <v>0.0</v>
      </c>
      <c r="S615" s="19">
        <v>0.0</v>
      </c>
      <c r="T615" s="3" t="s">
        <v>169</v>
      </c>
      <c r="U615" s="3" t="s">
        <v>170</v>
      </c>
    </row>
    <row r="616">
      <c r="A616" s="3" t="s">
        <v>7825</v>
      </c>
      <c r="B616" s="3" t="s">
        <v>7471</v>
      </c>
      <c r="C616" s="29">
        <v>46241.41666666667</v>
      </c>
      <c r="D616" s="29">
        <v>46241.4375</v>
      </c>
      <c r="E616" s="30">
        <v>0.5</v>
      </c>
      <c r="F616" s="2"/>
      <c r="G616" s="2"/>
      <c r="H616" s="3" t="s">
        <v>7146</v>
      </c>
      <c r="I616" s="3" t="s">
        <v>7161</v>
      </c>
      <c r="J616" s="3" t="s">
        <v>7156</v>
      </c>
      <c r="K616" s="3" t="s">
        <v>7149</v>
      </c>
      <c r="L616" s="19">
        <v>5.0</v>
      </c>
      <c r="M616" s="3" t="s">
        <v>7826</v>
      </c>
      <c r="N616" s="3" t="s">
        <v>7826</v>
      </c>
      <c r="O616" s="3" t="s">
        <v>7974</v>
      </c>
      <c r="P616" s="19">
        <v>2.0</v>
      </c>
      <c r="Q616" s="19">
        <v>0.0</v>
      </c>
      <c r="R616" s="19">
        <v>0.0</v>
      </c>
      <c r="S616" s="19">
        <v>3.0</v>
      </c>
      <c r="T616" s="3" t="s">
        <v>199</v>
      </c>
      <c r="U616" s="3" t="s">
        <v>272</v>
      </c>
    </row>
    <row r="617">
      <c r="A617" s="3" t="s">
        <v>7679</v>
      </c>
      <c r="B617" s="3" t="s">
        <v>7546</v>
      </c>
      <c r="C617" s="29">
        <v>46241.47916666667</v>
      </c>
      <c r="D617" s="29">
        <v>46241.52083333333</v>
      </c>
      <c r="E617" s="30">
        <v>1.0</v>
      </c>
      <c r="F617" s="2"/>
      <c r="G617" s="2"/>
      <c r="H617" s="3" t="s">
        <v>7146</v>
      </c>
      <c r="I617" s="3" t="s">
        <v>7338</v>
      </c>
      <c r="J617" s="3" t="s">
        <v>7288</v>
      </c>
      <c r="K617" s="3" t="s">
        <v>7149</v>
      </c>
      <c r="L617" s="19">
        <v>1.0</v>
      </c>
      <c r="M617" s="3" t="s">
        <v>7680</v>
      </c>
      <c r="N617" s="3" t="s">
        <v>7680</v>
      </c>
      <c r="O617" s="3" t="s">
        <v>7161</v>
      </c>
      <c r="P617" s="19">
        <v>1.0</v>
      </c>
      <c r="Q617" s="19">
        <v>0.0</v>
      </c>
      <c r="R617" s="19">
        <v>0.0</v>
      </c>
      <c r="S617" s="19">
        <v>0.0</v>
      </c>
      <c r="T617" s="3" t="s">
        <v>119</v>
      </c>
      <c r="U617" s="3" t="s">
        <v>251</v>
      </c>
    </row>
    <row r="618">
      <c r="A618" s="3" t="s">
        <v>7975</v>
      </c>
      <c r="B618" s="3" t="s">
        <v>7167</v>
      </c>
      <c r="C618" s="29">
        <v>46241.54166666667</v>
      </c>
      <c r="D618" s="29">
        <v>46241.5625</v>
      </c>
      <c r="E618" s="30">
        <v>0.5</v>
      </c>
      <c r="F618" s="2"/>
      <c r="G618" s="2"/>
      <c r="H618" s="3" t="s">
        <v>7146</v>
      </c>
      <c r="I618" s="3" t="s">
        <v>7338</v>
      </c>
      <c r="J618" s="3" t="s">
        <v>7288</v>
      </c>
      <c r="K618" s="3" t="s">
        <v>7149</v>
      </c>
      <c r="L618" s="19">
        <v>4.0</v>
      </c>
      <c r="M618" s="3" t="s">
        <v>7169</v>
      </c>
      <c r="N618" s="3" t="s">
        <v>7170</v>
      </c>
      <c r="O618" s="3" t="s">
        <v>7268</v>
      </c>
      <c r="P618" s="19">
        <v>1.0</v>
      </c>
      <c r="Q618" s="19">
        <v>0.0</v>
      </c>
      <c r="R618" s="19">
        <v>0.0</v>
      </c>
      <c r="S618" s="19">
        <v>3.0</v>
      </c>
      <c r="T618" s="3" t="s">
        <v>205</v>
      </c>
      <c r="U618" s="3" t="s">
        <v>206</v>
      </c>
    </row>
    <row r="619">
      <c r="A619" s="3" t="s">
        <v>7896</v>
      </c>
      <c r="B619" s="3" t="s">
        <v>7463</v>
      </c>
      <c r="C619" s="29">
        <v>46244.60416666667</v>
      </c>
      <c r="D619" s="29">
        <v>46244.625</v>
      </c>
      <c r="E619" s="30">
        <v>0.5</v>
      </c>
      <c r="G619" s="3" t="s">
        <v>7541</v>
      </c>
      <c r="H619" s="3" t="s">
        <v>7146</v>
      </c>
      <c r="I619" s="3" t="s">
        <v>7338</v>
      </c>
      <c r="J619" s="3" t="s">
        <v>7288</v>
      </c>
      <c r="K619" s="3" t="s">
        <v>7149</v>
      </c>
      <c r="L619" s="19">
        <v>1.0</v>
      </c>
      <c r="M619" s="3" t="s">
        <v>7897</v>
      </c>
      <c r="N619" s="3" t="s">
        <v>7897</v>
      </c>
      <c r="O619" s="3" t="s">
        <v>7161</v>
      </c>
      <c r="P619" s="19">
        <v>1.0</v>
      </c>
      <c r="Q619" s="19">
        <v>0.0</v>
      </c>
      <c r="R619" s="19">
        <v>0.0</v>
      </c>
      <c r="S619" s="19">
        <v>0.0</v>
      </c>
      <c r="T619" s="3" t="s">
        <v>101</v>
      </c>
      <c r="U619" s="3" t="s">
        <v>511</v>
      </c>
    </row>
    <row r="620">
      <c r="A620" s="3" t="s">
        <v>7942</v>
      </c>
      <c r="B620" s="3" t="s">
        <v>7256</v>
      </c>
      <c r="C620" s="29">
        <v>46244.60416666667</v>
      </c>
      <c r="D620" s="29">
        <v>46244.625</v>
      </c>
      <c r="E620" s="30">
        <v>0.5</v>
      </c>
      <c r="F620" s="2"/>
      <c r="G620" s="2"/>
      <c r="H620" s="3" t="s">
        <v>7146</v>
      </c>
      <c r="I620" s="3" t="s">
        <v>7161</v>
      </c>
      <c r="J620" s="3" t="s">
        <v>7156</v>
      </c>
      <c r="K620" s="3" t="s">
        <v>7149</v>
      </c>
      <c r="L620" s="19">
        <v>3.0</v>
      </c>
      <c r="M620" s="3" t="s">
        <v>7943</v>
      </c>
      <c r="N620" s="3" t="s">
        <v>7943</v>
      </c>
      <c r="O620" s="3" t="s">
        <v>7258</v>
      </c>
      <c r="P620" s="19">
        <v>2.0</v>
      </c>
      <c r="Q620" s="19">
        <v>0.0</v>
      </c>
      <c r="R620" s="19">
        <v>0.0</v>
      </c>
      <c r="S620" s="19">
        <v>1.0</v>
      </c>
      <c r="T620" s="3" t="s">
        <v>202</v>
      </c>
      <c r="U620" s="3" t="s">
        <v>203</v>
      </c>
    </row>
    <row r="621">
      <c r="A621" s="3" t="s">
        <v>7904</v>
      </c>
      <c r="B621" s="3" t="s">
        <v>7183</v>
      </c>
      <c r="C621" s="29">
        <v>46245.5</v>
      </c>
      <c r="D621" s="29">
        <v>46245.52083333333</v>
      </c>
      <c r="E621" s="30">
        <v>0.5</v>
      </c>
      <c r="F621" s="2"/>
      <c r="G621" s="3" t="s">
        <v>7692</v>
      </c>
      <c r="H621" s="3" t="s">
        <v>7146</v>
      </c>
      <c r="I621" s="3" t="s">
        <v>7161</v>
      </c>
      <c r="J621" s="3" t="s">
        <v>7156</v>
      </c>
      <c r="K621" s="3" t="s">
        <v>7149</v>
      </c>
      <c r="L621" s="19">
        <v>2.0</v>
      </c>
      <c r="M621" s="3" t="s">
        <v>7905</v>
      </c>
      <c r="N621" s="3" t="s">
        <v>7906</v>
      </c>
      <c r="O621" s="3" t="s">
        <v>7944</v>
      </c>
      <c r="P621" s="19">
        <v>1.0</v>
      </c>
      <c r="Q621" s="19">
        <v>0.0</v>
      </c>
      <c r="R621" s="19">
        <v>1.0</v>
      </c>
      <c r="S621" s="19">
        <v>0.0</v>
      </c>
      <c r="T621" s="3" t="s">
        <v>184</v>
      </c>
      <c r="U621" s="3" t="s">
        <v>478</v>
      </c>
    </row>
    <row r="622">
      <c r="A622" s="3" t="s">
        <v>7912</v>
      </c>
      <c r="B622" s="3" t="s">
        <v>7696</v>
      </c>
      <c r="C622" s="29">
        <v>46246.41666666667</v>
      </c>
      <c r="D622" s="29">
        <v>46246.4375</v>
      </c>
      <c r="E622" s="30">
        <v>0.5</v>
      </c>
      <c r="F622" s="2"/>
      <c r="G622" s="2"/>
      <c r="H622" s="3" t="s">
        <v>7146</v>
      </c>
      <c r="I622" s="3" t="s">
        <v>7161</v>
      </c>
      <c r="J622" s="3" t="s">
        <v>7274</v>
      </c>
      <c r="K622" s="3" t="s">
        <v>7149</v>
      </c>
      <c r="L622" s="19">
        <v>1.0</v>
      </c>
      <c r="M622" s="3" t="s">
        <v>7288</v>
      </c>
      <c r="N622" s="3" t="s">
        <v>7288</v>
      </c>
      <c r="O622" s="3" t="s">
        <v>7161</v>
      </c>
      <c r="P622" s="19">
        <v>1.0</v>
      </c>
      <c r="Q622" s="19">
        <v>0.0</v>
      </c>
      <c r="R622" s="19">
        <v>0.0</v>
      </c>
      <c r="S622" s="19">
        <v>0.0</v>
      </c>
      <c r="T622" s="2"/>
      <c r="U622" s="2"/>
    </row>
    <row r="623">
      <c r="A623" s="3" t="s">
        <v>7979</v>
      </c>
      <c r="B623" s="3" t="s">
        <v>7249</v>
      </c>
      <c r="C623" s="29">
        <v>46246.54166666667</v>
      </c>
      <c r="D623" s="29">
        <v>46246.5625</v>
      </c>
      <c r="E623" s="30">
        <v>0.5</v>
      </c>
      <c r="F623" s="2"/>
      <c r="G623" s="2"/>
      <c r="H623" s="3" t="s">
        <v>7146</v>
      </c>
      <c r="I623" s="3" t="s">
        <v>7161</v>
      </c>
      <c r="J623" s="3" t="s">
        <v>7156</v>
      </c>
      <c r="K623" s="3" t="s">
        <v>7149</v>
      </c>
      <c r="L623" s="19">
        <v>2.0</v>
      </c>
      <c r="M623" s="3" t="s">
        <v>7921</v>
      </c>
      <c r="N623" s="3" t="s">
        <v>7921</v>
      </c>
      <c r="O623" s="3" t="s">
        <v>7218</v>
      </c>
      <c r="P623" s="19">
        <v>2.0</v>
      </c>
      <c r="Q623" s="19">
        <v>0.0</v>
      </c>
      <c r="R623" s="19">
        <v>0.0</v>
      </c>
      <c r="S623" s="19">
        <v>0.0</v>
      </c>
      <c r="T623" s="3" t="s">
        <v>187</v>
      </c>
      <c r="U623" s="3" t="s">
        <v>188</v>
      </c>
    </row>
    <row r="624">
      <c r="A624" s="3" t="s">
        <v>7867</v>
      </c>
      <c r="B624" s="3" t="s">
        <v>7246</v>
      </c>
      <c r="C624" s="29">
        <v>46247.35416666667</v>
      </c>
      <c r="D624" s="29">
        <v>46247.58333333333</v>
      </c>
      <c r="E624" s="30">
        <v>5.5</v>
      </c>
      <c r="F624" s="2"/>
      <c r="G624" s="3" t="s">
        <v>7247</v>
      </c>
      <c r="H624" s="3" t="s">
        <v>7146</v>
      </c>
      <c r="I624" s="3" t="s">
        <v>7240</v>
      </c>
      <c r="J624" s="3" t="s">
        <v>7241</v>
      </c>
      <c r="K624" s="3" t="s">
        <v>7149</v>
      </c>
      <c r="L624" s="19">
        <v>2.0</v>
      </c>
      <c r="M624" s="3" t="s">
        <v>7242</v>
      </c>
      <c r="N624" s="3" t="s">
        <v>7243</v>
      </c>
      <c r="O624" s="3" t="s">
        <v>7244</v>
      </c>
      <c r="P624" s="19">
        <v>0.0</v>
      </c>
      <c r="Q624" s="19">
        <v>0.0</v>
      </c>
      <c r="R624" s="19">
        <v>0.0</v>
      </c>
      <c r="S624" s="19">
        <v>2.0</v>
      </c>
      <c r="T624" s="2"/>
      <c r="U624" s="2"/>
    </row>
    <row r="625">
      <c r="A625" s="3" t="s">
        <v>7948</v>
      </c>
      <c r="B625" s="3" t="s">
        <v>7949</v>
      </c>
      <c r="C625" s="29">
        <v>46247.35416666667</v>
      </c>
      <c r="D625" s="29">
        <v>46247.375</v>
      </c>
      <c r="E625" s="30">
        <v>0.5</v>
      </c>
      <c r="F625" s="2"/>
      <c r="G625" s="2"/>
      <c r="H625" s="3" t="s">
        <v>7146</v>
      </c>
      <c r="I625" s="3" t="s">
        <v>7338</v>
      </c>
      <c r="J625" s="3" t="s">
        <v>7288</v>
      </c>
      <c r="K625" s="3" t="s">
        <v>7149</v>
      </c>
      <c r="L625" s="19">
        <v>3.0</v>
      </c>
      <c r="M625" s="3" t="s">
        <v>7950</v>
      </c>
      <c r="N625" s="3" t="s">
        <v>7950</v>
      </c>
      <c r="O625" s="3" t="s">
        <v>7622</v>
      </c>
      <c r="P625" s="19">
        <v>0.0</v>
      </c>
      <c r="Q625" s="19">
        <v>0.0</v>
      </c>
      <c r="R625" s="19">
        <v>0.0</v>
      </c>
      <c r="S625" s="19">
        <v>3.0</v>
      </c>
      <c r="T625" s="3" t="s">
        <v>193</v>
      </c>
      <c r="U625" s="3" t="s">
        <v>544</v>
      </c>
    </row>
    <row r="626">
      <c r="A626" s="3" t="s">
        <v>7951</v>
      </c>
      <c r="B626" s="3" t="s">
        <v>7160</v>
      </c>
      <c r="C626" s="29">
        <v>46247.4375</v>
      </c>
      <c r="D626" s="29">
        <v>46247.45833333333</v>
      </c>
      <c r="E626" s="30">
        <v>0.5</v>
      </c>
      <c r="F626" s="2"/>
      <c r="G626" s="2"/>
      <c r="H626" s="3" t="s">
        <v>7146</v>
      </c>
      <c r="I626" s="3" t="s">
        <v>7161</v>
      </c>
      <c r="J626" s="3" t="s">
        <v>7156</v>
      </c>
      <c r="K626" s="3" t="s">
        <v>7149</v>
      </c>
      <c r="L626" s="19">
        <v>2.0</v>
      </c>
      <c r="M626" s="3" t="s">
        <v>7952</v>
      </c>
      <c r="N626" s="3" t="s">
        <v>7953</v>
      </c>
      <c r="O626" s="3" t="s">
        <v>7218</v>
      </c>
      <c r="P626" s="19">
        <v>2.0</v>
      </c>
      <c r="Q626" s="19">
        <v>0.0</v>
      </c>
      <c r="R626" s="19">
        <v>0.0</v>
      </c>
      <c r="S626" s="19">
        <v>0.0</v>
      </c>
      <c r="T626" s="3" t="s">
        <v>154</v>
      </c>
      <c r="U626" s="3" t="s">
        <v>329</v>
      </c>
    </row>
    <row r="627">
      <c r="A627" s="3" t="s">
        <v>7954</v>
      </c>
      <c r="B627" s="3" t="s">
        <v>7163</v>
      </c>
      <c r="C627" s="29">
        <v>46247.58333333333</v>
      </c>
      <c r="D627" s="29">
        <v>46247.60416666667</v>
      </c>
      <c r="E627" s="30">
        <v>0.5</v>
      </c>
      <c r="G627" s="2"/>
      <c r="H627" s="3" t="s">
        <v>7146</v>
      </c>
      <c r="I627" s="3" t="s">
        <v>7161</v>
      </c>
      <c r="J627" s="3" t="s">
        <v>7156</v>
      </c>
      <c r="K627" s="3" t="s">
        <v>7149</v>
      </c>
      <c r="L627" s="19">
        <v>5.0</v>
      </c>
      <c r="M627" s="3" t="s">
        <v>7955</v>
      </c>
      <c r="N627" s="3" t="s">
        <v>7955</v>
      </c>
      <c r="O627" s="3" t="s">
        <v>7956</v>
      </c>
      <c r="P627" s="19">
        <v>0.0</v>
      </c>
      <c r="Q627" s="19">
        <v>3.0</v>
      </c>
      <c r="R627" s="19">
        <v>0.0</v>
      </c>
      <c r="S627" s="19">
        <v>2.0</v>
      </c>
      <c r="T627" s="3" t="s">
        <v>151</v>
      </c>
      <c r="U627" s="3" t="s">
        <v>370</v>
      </c>
    </row>
    <row r="628">
      <c r="A628" s="3" t="s">
        <v>7957</v>
      </c>
      <c r="B628" s="3" t="s">
        <v>7712</v>
      </c>
      <c r="C628" s="29">
        <v>46247.64583333333</v>
      </c>
      <c r="D628" s="29">
        <v>46247.66666666667</v>
      </c>
      <c r="E628" s="30">
        <v>0.5</v>
      </c>
      <c r="F628" s="2"/>
      <c r="G628" s="3" t="s">
        <v>7713</v>
      </c>
      <c r="H628" s="3" t="s">
        <v>7146</v>
      </c>
      <c r="I628" s="3" t="s">
        <v>7338</v>
      </c>
      <c r="J628" s="3" t="s">
        <v>7288</v>
      </c>
      <c r="K628" s="3" t="s">
        <v>7149</v>
      </c>
      <c r="L628" s="19">
        <v>5.0</v>
      </c>
      <c r="M628" s="3" t="s">
        <v>7958</v>
      </c>
      <c r="N628" s="3" t="s">
        <v>7958</v>
      </c>
      <c r="O628" s="3" t="s">
        <v>7959</v>
      </c>
      <c r="P628" s="19">
        <v>2.0</v>
      </c>
      <c r="Q628" s="19">
        <v>1.0</v>
      </c>
      <c r="R628" s="19">
        <v>1.0</v>
      </c>
      <c r="S628" s="19">
        <v>1.0</v>
      </c>
      <c r="T628" s="3" t="s">
        <v>122</v>
      </c>
      <c r="U628" s="3" t="s">
        <v>123</v>
      </c>
    </row>
    <row r="629">
      <c r="A629" s="3" t="s">
        <v>7679</v>
      </c>
      <c r="B629" s="3" t="s">
        <v>7546</v>
      </c>
      <c r="C629" s="29">
        <v>46248.47916666667</v>
      </c>
      <c r="D629" s="29">
        <v>46248.52083333333</v>
      </c>
      <c r="E629" s="30">
        <v>1.0</v>
      </c>
      <c r="F629" s="2"/>
      <c r="G629" s="2"/>
      <c r="H629" s="3" t="s">
        <v>7146</v>
      </c>
      <c r="I629" s="3" t="s">
        <v>7338</v>
      </c>
      <c r="J629" s="3" t="s">
        <v>7288</v>
      </c>
      <c r="K629" s="3" t="s">
        <v>7149</v>
      </c>
      <c r="L629" s="19">
        <v>1.0</v>
      </c>
      <c r="M629" s="3" t="s">
        <v>7680</v>
      </c>
      <c r="N629" s="3" t="s">
        <v>7680</v>
      </c>
      <c r="O629" s="3" t="s">
        <v>7161</v>
      </c>
      <c r="P629" s="19">
        <v>1.0</v>
      </c>
      <c r="Q629" s="19">
        <v>0.0</v>
      </c>
      <c r="R629" s="19">
        <v>0.0</v>
      </c>
      <c r="S629" s="19">
        <v>0.0</v>
      </c>
      <c r="T629" s="3" t="s">
        <v>119</v>
      </c>
      <c r="U629" s="3" t="s">
        <v>251</v>
      </c>
    </row>
    <row r="630">
      <c r="A630" s="3" t="s">
        <v>7960</v>
      </c>
      <c r="B630" s="3" t="s">
        <v>7961</v>
      </c>
      <c r="C630" s="29">
        <v>46251.54166666667</v>
      </c>
      <c r="D630" s="29">
        <v>46251.5625</v>
      </c>
      <c r="E630" s="30">
        <v>0.5</v>
      </c>
      <c r="F630" s="2"/>
      <c r="G630" s="3" t="s">
        <v>7962</v>
      </c>
      <c r="H630" s="3" t="s">
        <v>7146</v>
      </c>
      <c r="I630" s="3" t="s">
        <v>7338</v>
      </c>
      <c r="J630" s="3" t="s">
        <v>7288</v>
      </c>
      <c r="K630" s="3" t="s">
        <v>7149</v>
      </c>
      <c r="L630" s="19">
        <v>3.0</v>
      </c>
      <c r="M630" s="3" t="s">
        <v>7788</v>
      </c>
      <c r="N630" s="3" t="s">
        <v>7788</v>
      </c>
      <c r="O630" s="3" t="s">
        <v>7326</v>
      </c>
      <c r="P630" s="19">
        <v>1.0</v>
      </c>
      <c r="Q630" s="19">
        <v>0.0</v>
      </c>
      <c r="R630" s="19">
        <v>0.0</v>
      </c>
      <c r="S630" s="19">
        <v>2.0</v>
      </c>
      <c r="T630" s="3" t="s">
        <v>131</v>
      </c>
      <c r="U630" s="3" t="s">
        <v>132</v>
      </c>
    </row>
    <row r="631">
      <c r="A631" s="3" t="s">
        <v>7963</v>
      </c>
      <c r="B631" s="3" t="s">
        <v>7234</v>
      </c>
      <c r="C631" s="29">
        <v>46251.58333333333</v>
      </c>
      <c r="D631" s="29">
        <v>46251.60416666667</v>
      </c>
      <c r="E631" s="30">
        <v>0.5</v>
      </c>
      <c r="F631" s="2"/>
      <c r="G631" s="2"/>
      <c r="H631" s="3" t="s">
        <v>7146</v>
      </c>
      <c r="I631" s="3" t="s">
        <v>7147</v>
      </c>
      <c r="J631" s="3" t="s">
        <v>7156</v>
      </c>
      <c r="K631" s="3" t="s">
        <v>7149</v>
      </c>
      <c r="L631" s="19">
        <v>4.0</v>
      </c>
      <c r="M631" s="3" t="s">
        <v>7235</v>
      </c>
      <c r="N631" s="3" t="s">
        <v>7235</v>
      </c>
      <c r="O631" s="3" t="s">
        <v>7964</v>
      </c>
      <c r="P631" s="19">
        <v>0.0</v>
      </c>
      <c r="Q631" s="19">
        <v>1.0</v>
      </c>
      <c r="R631" s="19">
        <v>0.0</v>
      </c>
      <c r="S631" s="19">
        <v>3.0</v>
      </c>
      <c r="T631" s="3" t="s">
        <v>166</v>
      </c>
      <c r="U631" s="3" t="s">
        <v>167</v>
      </c>
    </row>
    <row r="632">
      <c r="A632" s="3" t="s">
        <v>7896</v>
      </c>
      <c r="B632" s="3" t="s">
        <v>7463</v>
      </c>
      <c r="C632" s="29">
        <v>46251.60416666667</v>
      </c>
      <c r="D632" s="29">
        <v>46251.625</v>
      </c>
      <c r="E632" s="30">
        <v>0.5</v>
      </c>
      <c r="G632" s="3" t="s">
        <v>7541</v>
      </c>
      <c r="H632" s="3" t="s">
        <v>7146</v>
      </c>
      <c r="I632" s="3" t="s">
        <v>7338</v>
      </c>
      <c r="J632" s="3" t="s">
        <v>7288</v>
      </c>
      <c r="K632" s="3" t="s">
        <v>7149</v>
      </c>
      <c r="L632" s="19">
        <v>1.0</v>
      </c>
      <c r="M632" s="3" t="s">
        <v>7897</v>
      </c>
      <c r="N632" s="3" t="s">
        <v>7897</v>
      </c>
      <c r="O632" s="3" t="s">
        <v>7161</v>
      </c>
      <c r="P632" s="19">
        <v>1.0</v>
      </c>
      <c r="Q632" s="19">
        <v>0.0</v>
      </c>
      <c r="R632" s="19">
        <v>0.0</v>
      </c>
      <c r="S632" s="19">
        <v>0.0</v>
      </c>
      <c r="T632" s="3" t="s">
        <v>101</v>
      </c>
      <c r="U632" s="3" t="s">
        <v>511</v>
      </c>
    </row>
    <row r="633">
      <c r="A633" s="3" t="s">
        <v>7904</v>
      </c>
      <c r="B633" s="3" t="s">
        <v>7183</v>
      </c>
      <c r="C633" s="29">
        <v>46252.5</v>
      </c>
      <c r="D633" s="29">
        <v>46252.52083333333</v>
      </c>
      <c r="E633" s="30">
        <v>0.5</v>
      </c>
      <c r="F633" s="2"/>
      <c r="G633" s="3" t="s">
        <v>7692</v>
      </c>
      <c r="H633" s="3" t="s">
        <v>7146</v>
      </c>
      <c r="I633" s="3" t="s">
        <v>7161</v>
      </c>
      <c r="J633" s="3" t="s">
        <v>7156</v>
      </c>
      <c r="K633" s="3" t="s">
        <v>7149</v>
      </c>
      <c r="L633" s="19">
        <v>2.0</v>
      </c>
      <c r="M633" s="3" t="s">
        <v>7905</v>
      </c>
      <c r="N633" s="3" t="s">
        <v>7906</v>
      </c>
      <c r="O633" s="3" t="s">
        <v>7944</v>
      </c>
      <c r="P633" s="19">
        <v>1.0</v>
      </c>
      <c r="Q633" s="19">
        <v>0.0</v>
      </c>
      <c r="R633" s="19">
        <v>1.0</v>
      </c>
      <c r="S633" s="19">
        <v>0.0</v>
      </c>
      <c r="T633" s="3" t="s">
        <v>184</v>
      </c>
      <c r="U633" s="3" t="s">
        <v>478</v>
      </c>
    </row>
    <row r="634">
      <c r="A634" s="3" t="s">
        <v>7748</v>
      </c>
      <c r="B634" s="3" t="s">
        <v>7211</v>
      </c>
      <c r="C634" s="29">
        <v>46252.54166666667</v>
      </c>
      <c r="D634" s="29">
        <v>46252.5625</v>
      </c>
      <c r="E634" s="30">
        <v>0.5</v>
      </c>
      <c r="F634" s="2"/>
      <c r="G634" s="3" t="s">
        <v>7212</v>
      </c>
      <c r="H634" s="3" t="s">
        <v>7146</v>
      </c>
      <c r="I634" s="3" t="s">
        <v>7161</v>
      </c>
      <c r="J634" s="3" t="s">
        <v>7156</v>
      </c>
      <c r="K634" s="3" t="s">
        <v>7149</v>
      </c>
      <c r="L634" s="19">
        <v>4.0</v>
      </c>
      <c r="M634" s="3" t="s">
        <v>7213</v>
      </c>
      <c r="N634" s="3" t="s">
        <v>7213</v>
      </c>
      <c r="O634" s="3" t="s">
        <v>7965</v>
      </c>
      <c r="P634" s="19">
        <v>2.0</v>
      </c>
      <c r="Q634" s="19">
        <v>1.0</v>
      </c>
      <c r="R634" s="19">
        <v>0.0</v>
      </c>
      <c r="S634" s="19">
        <v>1.0</v>
      </c>
      <c r="T634" s="3" t="s">
        <v>175</v>
      </c>
      <c r="U634" s="3" t="s">
        <v>422</v>
      </c>
    </row>
    <row r="635">
      <c r="A635" s="3" t="s">
        <v>7901</v>
      </c>
      <c r="B635" s="3" t="s">
        <v>7689</v>
      </c>
      <c r="C635" s="29">
        <v>46252.5625</v>
      </c>
      <c r="D635" s="29">
        <v>46252.58333333333</v>
      </c>
      <c r="E635" s="30">
        <v>0.5</v>
      </c>
      <c r="F635" s="2"/>
      <c r="G635" s="2"/>
      <c r="H635" s="3" t="s">
        <v>7146</v>
      </c>
      <c r="I635" s="3" t="s">
        <v>7338</v>
      </c>
      <c r="J635" s="3" t="s">
        <v>7288</v>
      </c>
      <c r="K635" s="3" t="s">
        <v>7149</v>
      </c>
      <c r="L635" s="19">
        <v>1.0</v>
      </c>
      <c r="M635" s="3" t="s">
        <v>7902</v>
      </c>
      <c r="N635" s="3" t="s">
        <v>7902</v>
      </c>
      <c r="O635" s="3" t="s">
        <v>7161</v>
      </c>
      <c r="P635" s="19">
        <v>1.0</v>
      </c>
      <c r="Q635" s="19">
        <v>0.0</v>
      </c>
      <c r="R635" s="19">
        <v>0.0</v>
      </c>
      <c r="S635" s="19">
        <v>0.0</v>
      </c>
      <c r="T635" s="3" t="s">
        <v>142</v>
      </c>
      <c r="U635" s="3" t="s">
        <v>143</v>
      </c>
    </row>
    <row r="636">
      <c r="A636" s="3" t="s">
        <v>7966</v>
      </c>
      <c r="B636" s="3" t="s">
        <v>7967</v>
      </c>
      <c r="C636" s="29">
        <v>46252.64583333333</v>
      </c>
      <c r="D636" s="29">
        <v>46252.66666666667</v>
      </c>
      <c r="E636" s="30">
        <v>0.5</v>
      </c>
      <c r="F636" s="2"/>
      <c r="G636" s="3" t="s">
        <v>7968</v>
      </c>
      <c r="H636" s="3" t="s">
        <v>7146</v>
      </c>
      <c r="I636" s="3" t="s">
        <v>7338</v>
      </c>
      <c r="J636" s="3" t="s">
        <v>7288</v>
      </c>
      <c r="K636" s="3" t="s">
        <v>7149</v>
      </c>
      <c r="L636" s="19">
        <v>4.0</v>
      </c>
      <c r="M636" s="3" t="s">
        <v>7707</v>
      </c>
      <c r="N636" s="3" t="s">
        <v>7707</v>
      </c>
      <c r="O636" s="3" t="s">
        <v>7236</v>
      </c>
      <c r="P636" s="19">
        <v>1.0</v>
      </c>
      <c r="Q636" s="19">
        <v>0.0</v>
      </c>
      <c r="R636" s="19">
        <v>0.0</v>
      </c>
      <c r="S636" s="19">
        <v>3.0</v>
      </c>
      <c r="T636" s="3" t="s">
        <v>6450</v>
      </c>
      <c r="U636" s="3" t="s">
        <v>552</v>
      </c>
    </row>
    <row r="637">
      <c r="A637" s="3" t="s">
        <v>7912</v>
      </c>
      <c r="B637" s="3" t="s">
        <v>7696</v>
      </c>
      <c r="C637" s="29">
        <v>46253.41666666667</v>
      </c>
      <c r="D637" s="29">
        <v>46253.4375</v>
      </c>
      <c r="E637" s="30">
        <v>0.5</v>
      </c>
      <c r="F637" s="2"/>
      <c r="G637" s="2"/>
      <c r="H637" s="3" t="s">
        <v>7146</v>
      </c>
      <c r="I637" s="3" t="s">
        <v>7161</v>
      </c>
      <c r="J637" s="3" t="s">
        <v>7274</v>
      </c>
      <c r="K637" s="3" t="s">
        <v>7149</v>
      </c>
      <c r="L637" s="19">
        <v>1.0</v>
      </c>
      <c r="M637" s="3" t="s">
        <v>7288</v>
      </c>
      <c r="N637" s="3" t="s">
        <v>7288</v>
      </c>
      <c r="O637" s="3" t="s">
        <v>7161</v>
      </c>
      <c r="P637" s="19">
        <v>1.0</v>
      </c>
      <c r="Q637" s="19">
        <v>0.0</v>
      </c>
      <c r="R637" s="19">
        <v>0.0</v>
      </c>
      <c r="S637" s="19">
        <v>0.0</v>
      </c>
      <c r="T637" s="2"/>
      <c r="U637" s="2"/>
    </row>
    <row r="638">
      <c r="A638" s="3" t="s">
        <v>7866</v>
      </c>
      <c r="B638" s="3" t="s">
        <v>7238</v>
      </c>
      <c r="C638" s="29">
        <v>46254.3125</v>
      </c>
      <c r="D638" s="29">
        <v>46254.35416666667</v>
      </c>
      <c r="E638" s="30">
        <v>1.0</v>
      </c>
      <c r="F638" s="3" t="s">
        <v>7239</v>
      </c>
      <c r="G638" s="2"/>
      <c r="H638" s="3" t="s">
        <v>7146</v>
      </c>
      <c r="I638" s="3" t="s">
        <v>7240</v>
      </c>
      <c r="J638" s="3" t="s">
        <v>7241</v>
      </c>
      <c r="K638" s="3" t="s">
        <v>7149</v>
      </c>
      <c r="L638" s="19">
        <v>2.0</v>
      </c>
      <c r="M638" s="3" t="s">
        <v>7242</v>
      </c>
      <c r="N638" s="3" t="s">
        <v>7243</v>
      </c>
      <c r="O638" s="3" t="s">
        <v>7244</v>
      </c>
      <c r="P638" s="19">
        <v>0.0</v>
      </c>
      <c r="Q638" s="19">
        <v>0.0</v>
      </c>
      <c r="R638" s="19">
        <v>0.0</v>
      </c>
      <c r="S638" s="19">
        <v>2.0</v>
      </c>
      <c r="T638" s="2"/>
      <c r="U638" s="2"/>
    </row>
    <row r="639">
      <c r="A639" s="3" t="s">
        <v>7791</v>
      </c>
      <c r="B639" s="3" t="s">
        <v>7266</v>
      </c>
      <c r="C639" s="29">
        <v>46254.375</v>
      </c>
      <c r="D639" s="29">
        <v>46254.39583333333</v>
      </c>
      <c r="E639" s="30">
        <v>0.5</v>
      </c>
      <c r="F639" s="2"/>
      <c r="G639" s="2"/>
      <c r="H639" s="3" t="s">
        <v>7146</v>
      </c>
      <c r="I639" s="3" t="s">
        <v>7161</v>
      </c>
      <c r="J639" s="3" t="s">
        <v>7156</v>
      </c>
      <c r="K639" s="3" t="s">
        <v>7149</v>
      </c>
      <c r="L639" s="19">
        <v>4.0</v>
      </c>
      <c r="M639" s="3" t="s">
        <v>7267</v>
      </c>
      <c r="N639" s="3" t="s">
        <v>7267</v>
      </c>
      <c r="O639" s="3" t="s">
        <v>7792</v>
      </c>
      <c r="P639" s="19">
        <v>1.0</v>
      </c>
      <c r="Q639" s="19">
        <v>1.0</v>
      </c>
      <c r="R639" s="19">
        <v>0.0</v>
      </c>
      <c r="S639" s="19">
        <v>2.0</v>
      </c>
      <c r="T639" s="3" t="s">
        <v>6752</v>
      </c>
      <c r="U639" s="3" t="s">
        <v>319</v>
      </c>
    </row>
    <row r="640">
      <c r="A640" s="3" t="s">
        <v>7969</v>
      </c>
      <c r="B640" s="3" t="s">
        <v>7262</v>
      </c>
      <c r="C640" s="29">
        <v>46254.47916666667</v>
      </c>
      <c r="D640" s="29">
        <v>46254.5</v>
      </c>
      <c r="E640" s="30">
        <v>0.5</v>
      </c>
      <c r="F640" s="2"/>
      <c r="G640" s="2"/>
      <c r="H640" s="3" t="s">
        <v>7146</v>
      </c>
      <c r="I640" s="3" t="s">
        <v>7161</v>
      </c>
      <c r="J640" s="3" t="s">
        <v>7156</v>
      </c>
      <c r="K640" s="3" t="s">
        <v>7149</v>
      </c>
      <c r="L640" s="19">
        <v>2.0</v>
      </c>
      <c r="M640" s="3" t="s">
        <v>7263</v>
      </c>
      <c r="N640" s="3" t="s">
        <v>7263</v>
      </c>
      <c r="O640" s="3" t="s">
        <v>7218</v>
      </c>
      <c r="P640" s="19">
        <v>2.0</v>
      </c>
      <c r="Q640" s="19">
        <v>0.0</v>
      </c>
      <c r="R640" s="19">
        <v>0.0</v>
      </c>
      <c r="S640" s="19">
        <v>0.0</v>
      </c>
      <c r="T640" s="3" t="s">
        <v>128</v>
      </c>
      <c r="U640" s="3" t="s">
        <v>301</v>
      </c>
    </row>
    <row r="641">
      <c r="A641" s="3" t="s">
        <v>7804</v>
      </c>
      <c r="B641" s="3" t="s">
        <v>7805</v>
      </c>
      <c r="C641" s="29">
        <v>46254.5</v>
      </c>
      <c r="D641" s="29">
        <v>46254.52083333333</v>
      </c>
      <c r="E641" s="30">
        <v>0.5</v>
      </c>
      <c r="F641" s="2"/>
      <c r="G641" s="2"/>
      <c r="H641" s="3" t="s">
        <v>7146</v>
      </c>
      <c r="I641" s="3" t="s">
        <v>7338</v>
      </c>
      <c r="J641" s="3" t="s">
        <v>7288</v>
      </c>
      <c r="K641" s="3" t="s">
        <v>7149</v>
      </c>
      <c r="L641" s="19">
        <v>1.0</v>
      </c>
      <c r="M641" s="3" t="s">
        <v>7806</v>
      </c>
      <c r="N641" s="3" t="s">
        <v>7806</v>
      </c>
      <c r="O641" s="3" t="s">
        <v>7161</v>
      </c>
      <c r="P641" s="19">
        <v>1.0</v>
      </c>
      <c r="Q641" s="19">
        <v>0.0</v>
      </c>
      <c r="R641" s="19">
        <v>0.0</v>
      </c>
      <c r="S641" s="19">
        <v>0.0</v>
      </c>
      <c r="T641" s="3" t="s">
        <v>157</v>
      </c>
      <c r="U641" s="3" t="s">
        <v>158</v>
      </c>
    </row>
    <row r="642">
      <c r="A642" s="3" t="s">
        <v>7659</v>
      </c>
      <c r="B642" s="3" t="s">
        <v>7420</v>
      </c>
      <c r="C642" s="29">
        <v>46254.52083333333</v>
      </c>
      <c r="D642" s="29">
        <v>46254.54166666667</v>
      </c>
      <c r="E642" s="30">
        <v>0.5</v>
      </c>
      <c r="F642" s="2"/>
      <c r="G642" s="2"/>
      <c r="H642" s="3" t="s">
        <v>7146</v>
      </c>
      <c r="I642" s="3" t="s">
        <v>7161</v>
      </c>
      <c r="J642" s="3" t="s">
        <v>7156</v>
      </c>
      <c r="K642" s="3" t="s">
        <v>7149</v>
      </c>
      <c r="L642" s="19">
        <v>5.0</v>
      </c>
      <c r="M642" s="3" t="s">
        <v>7571</v>
      </c>
      <c r="N642" s="3" t="s">
        <v>7571</v>
      </c>
      <c r="O642" s="3" t="s">
        <v>7970</v>
      </c>
      <c r="P642" s="19">
        <v>3.0</v>
      </c>
      <c r="Q642" s="19">
        <v>1.0</v>
      </c>
      <c r="R642" s="19">
        <v>0.0</v>
      </c>
      <c r="S642" s="19">
        <v>1.0</v>
      </c>
      <c r="T642" s="3" t="s">
        <v>125</v>
      </c>
      <c r="U642" s="3" t="s">
        <v>126</v>
      </c>
    </row>
    <row r="643">
      <c r="A643" s="3" t="s">
        <v>7812</v>
      </c>
      <c r="B643" s="3" t="s">
        <v>7813</v>
      </c>
      <c r="C643" s="29">
        <v>46254.5625</v>
      </c>
      <c r="D643" s="29">
        <v>46254.58333333333</v>
      </c>
      <c r="E643" s="30">
        <v>0.5</v>
      </c>
      <c r="F643" s="2"/>
      <c r="G643" s="3" t="s">
        <v>7814</v>
      </c>
      <c r="H643" s="3" t="s">
        <v>7146</v>
      </c>
      <c r="I643" s="3" t="s">
        <v>7338</v>
      </c>
      <c r="J643" s="3" t="s">
        <v>7288</v>
      </c>
      <c r="K643" s="3" t="s">
        <v>7149</v>
      </c>
      <c r="L643" s="19">
        <v>3.0</v>
      </c>
      <c r="M643" s="3" t="s">
        <v>7815</v>
      </c>
      <c r="N643" s="3" t="s">
        <v>7815</v>
      </c>
      <c r="O643" s="3" t="s">
        <v>7601</v>
      </c>
      <c r="P643" s="19">
        <v>1.0</v>
      </c>
      <c r="Q643" s="19">
        <v>0.0</v>
      </c>
      <c r="R643" s="19">
        <v>0.0</v>
      </c>
      <c r="S643" s="19">
        <v>2.0</v>
      </c>
      <c r="T643" s="3" t="s">
        <v>190</v>
      </c>
      <c r="U643" s="3" t="s">
        <v>191</v>
      </c>
    </row>
    <row r="644">
      <c r="A644" s="3" t="s">
        <v>7927</v>
      </c>
      <c r="B644" s="3" t="s">
        <v>7928</v>
      </c>
      <c r="C644" s="29">
        <v>46254.70833333333</v>
      </c>
      <c r="D644" s="29">
        <v>46254.72916666667</v>
      </c>
      <c r="E644" s="30">
        <v>0.5</v>
      </c>
      <c r="F644" s="2"/>
      <c r="G644" s="3" t="s">
        <v>7929</v>
      </c>
      <c r="H644" s="3" t="s">
        <v>7146</v>
      </c>
      <c r="I644" s="3" t="s">
        <v>7161</v>
      </c>
      <c r="J644" s="3" t="s">
        <v>7148</v>
      </c>
      <c r="K644" s="3" t="s">
        <v>7149</v>
      </c>
      <c r="L644" s="19">
        <v>10.0</v>
      </c>
      <c r="M644" s="3" t="s">
        <v>7930</v>
      </c>
      <c r="N644" s="3" t="s">
        <v>7931</v>
      </c>
      <c r="O644" s="3" t="s">
        <v>7932</v>
      </c>
      <c r="P644" s="19">
        <v>6.0</v>
      </c>
      <c r="Q644" s="19">
        <v>0.0</v>
      </c>
      <c r="R644" s="19">
        <v>1.0</v>
      </c>
      <c r="S644" s="19">
        <v>3.0</v>
      </c>
      <c r="T644" s="3" t="s">
        <v>160</v>
      </c>
      <c r="U644" s="3" t="s">
        <v>440</v>
      </c>
    </row>
    <row r="645">
      <c r="A645" s="3" t="s">
        <v>7825</v>
      </c>
      <c r="B645" s="3" t="s">
        <v>7471</v>
      </c>
      <c r="C645" s="29">
        <v>46255.41666666667</v>
      </c>
      <c r="D645" s="29">
        <v>46255.4375</v>
      </c>
      <c r="E645" s="30">
        <v>0.5</v>
      </c>
      <c r="F645" s="2"/>
      <c r="G645" s="2"/>
      <c r="H645" s="3" t="s">
        <v>7146</v>
      </c>
      <c r="I645" s="3" t="s">
        <v>7161</v>
      </c>
      <c r="J645" s="3" t="s">
        <v>7156</v>
      </c>
      <c r="K645" s="3" t="s">
        <v>7149</v>
      </c>
      <c r="L645" s="19">
        <v>5.0</v>
      </c>
      <c r="M645" s="3" t="s">
        <v>7826</v>
      </c>
      <c r="N645" s="3" t="s">
        <v>7826</v>
      </c>
      <c r="O645" s="3" t="s">
        <v>7974</v>
      </c>
      <c r="P645" s="19">
        <v>2.0</v>
      </c>
      <c r="Q645" s="19">
        <v>0.0</v>
      </c>
      <c r="R645" s="19">
        <v>0.0</v>
      </c>
      <c r="S645" s="19">
        <v>3.0</v>
      </c>
      <c r="T645" s="3" t="s">
        <v>199</v>
      </c>
      <c r="U645" s="3" t="s">
        <v>272</v>
      </c>
    </row>
    <row r="646">
      <c r="A646" s="3" t="s">
        <v>7980</v>
      </c>
      <c r="B646" s="3" t="s">
        <v>7221</v>
      </c>
      <c r="C646" s="29">
        <v>46255.41666666667</v>
      </c>
      <c r="D646" s="29">
        <v>46255.4375</v>
      </c>
      <c r="E646" s="30">
        <v>0.5</v>
      </c>
      <c r="F646" s="2"/>
      <c r="G646" s="2"/>
      <c r="H646" s="3" t="s">
        <v>7146</v>
      </c>
      <c r="I646" s="3" t="s">
        <v>7161</v>
      </c>
      <c r="J646" s="3" t="s">
        <v>7156</v>
      </c>
      <c r="K646" s="3" t="s">
        <v>7149</v>
      </c>
      <c r="L646" s="19">
        <v>4.0</v>
      </c>
      <c r="M646" s="3" t="s">
        <v>7935</v>
      </c>
      <c r="N646" s="3" t="s">
        <v>7935</v>
      </c>
      <c r="O646" s="3" t="s">
        <v>7453</v>
      </c>
      <c r="P646" s="19">
        <v>3.0</v>
      </c>
      <c r="Q646" s="19">
        <v>0.0</v>
      </c>
      <c r="R646" s="19">
        <v>0.0</v>
      </c>
      <c r="S646" s="19">
        <v>1.0</v>
      </c>
      <c r="T646" s="3" t="s">
        <v>6608</v>
      </c>
      <c r="U646" s="3" t="s">
        <v>294</v>
      </c>
    </row>
    <row r="647">
      <c r="A647" s="3" t="s">
        <v>7679</v>
      </c>
      <c r="B647" s="3" t="s">
        <v>7546</v>
      </c>
      <c r="C647" s="29">
        <v>46255.47916666667</v>
      </c>
      <c r="D647" s="29">
        <v>46255.52083333333</v>
      </c>
      <c r="E647" s="30">
        <v>1.0</v>
      </c>
      <c r="F647" s="2"/>
      <c r="G647" s="2"/>
      <c r="H647" s="3" t="s">
        <v>7146</v>
      </c>
      <c r="I647" s="3" t="s">
        <v>7338</v>
      </c>
      <c r="J647" s="3" t="s">
        <v>7288</v>
      </c>
      <c r="K647" s="3" t="s">
        <v>7149</v>
      </c>
      <c r="L647" s="19">
        <v>1.0</v>
      </c>
      <c r="M647" s="3" t="s">
        <v>7680</v>
      </c>
      <c r="N647" s="3" t="s">
        <v>7680</v>
      </c>
      <c r="O647" s="3" t="s">
        <v>7161</v>
      </c>
      <c r="P647" s="19">
        <v>1.0</v>
      </c>
      <c r="Q647" s="19">
        <v>0.0</v>
      </c>
      <c r="R647" s="19">
        <v>0.0</v>
      </c>
      <c r="S647" s="19">
        <v>0.0</v>
      </c>
      <c r="T647" s="3" t="s">
        <v>119</v>
      </c>
      <c r="U647" s="3" t="s">
        <v>251</v>
      </c>
    </row>
    <row r="648">
      <c r="A648" s="3" t="s">
        <v>7976</v>
      </c>
      <c r="B648" s="3" t="s">
        <v>7977</v>
      </c>
      <c r="C648" s="29">
        <v>46258.58333333333</v>
      </c>
      <c r="D648" s="29">
        <v>46258.60416666667</v>
      </c>
      <c r="E648" s="30">
        <v>0.5</v>
      </c>
      <c r="G648" s="2"/>
      <c r="H648" s="3" t="s">
        <v>7146</v>
      </c>
      <c r="I648" s="3" t="s">
        <v>7338</v>
      </c>
      <c r="J648" s="3" t="s">
        <v>7288</v>
      </c>
      <c r="K648" s="3" t="s">
        <v>7149</v>
      </c>
      <c r="L648" s="19">
        <v>3.0</v>
      </c>
      <c r="M648" s="3" t="s">
        <v>7978</v>
      </c>
      <c r="N648" s="3" t="s">
        <v>7978</v>
      </c>
      <c r="O648" s="3" t="s">
        <v>7326</v>
      </c>
      <c r="P648" s="19">
        <v>1.0</v>
      </c>
      <c r="Q648" s="19">
        <v>0.0</v>
      </c>
      <c r="R648" s="19">
        <v>0.0</v>
      </c>
      <c r="S648" s="19">
        <v>2.0</v>
      </c>
      <c r="T648" s="3" t="s">
        <v>98</v>
      </c>
      <c r="U648" s="3" t="s">
        <v>99</v>
      </c>
    </row>
    <row r="649">
      <c r="A649" s="3" t="s">
        <v>7896</v>
      </c>
      <c r="B649" s="3" t="s">
        <v>7463</v>
      </c>
      <c r="C649" s="29">
        <v>46258.60416666667</v>
      </c>
      <c r="D649" s="29">
        <v>46258.625</v>
      </c>
      <c r="E649" s="30">
        <v>0.5</v>
      </c>
      <c r="G649" s="3" t="s">
        <v>7541</v>
      </c>
      <c r="H649" s="3" t="s">
        <v>7146</v>
      </c>
      <c r="I649" s="3" t="s">
        <v>7338</v>
      </c>
      <c r="J649" s="3" t="s">
        <v>7288</v>
      </c>
      <c r="K649" s="3" t="s">
        <v>7149</v>
      </c>
      <c r="L649" s="19">
        <v>1.0</v>
      </c>
      <c r="M649" s="3" t="s">
        <v>7897</v>
      </c>
      <c r="N649" s="3" t="s">
        <v>7897</v>
      </c>
      <c r="O649" s="3" t="s">
        <v>7161</v>
      </c>
      <c r="P649" s="19">
        <v>1.0</v>
      </c>
      <c r="Q649" s="19">
        <v>0.0</v>
      </c>
      <c r="R649" s="19">
        <v>0.0</v>
      </c>
      <c r="S649" s="19">
        <v>0.0</v>
      </c>
      <c r="T649" s="3" t="s">
        <v>101</v>
      </c>
      <c r="U649" s="3" t="s">
        <v>511</v>
      </c>
    </row>
    <row r="650">
      <c r="A650" s="3" t="s">
        <v>7904</v>
      </c>
      <c r="B650" s="3" t="s">
        <v>7183</v>
      </c>
      <c r="C650" s="29">
        <v>46259.5</v>
      </c>
      <c r="D650" s="29">
        <v>46259.52083333333</v>
      </c>
      <c r="E650" s="30">
        <v>0.5</v>
      </c>
      <c r="F650" s="2"/>
      <c r="G650" s="3" t="s">
        <v>7692</v>
      </c>
      <c r="H650" s="3" t="s">
        <v>7146</v>
      </c>
      <c r="I650" s="3" t="s">
        <v>7161</v>
      </c>
      <c r="J650" s="3" t="s">
        <v>7156</v>
      </c>
      <c r="K650" s="3" t="s">
        <v>7149</v>
      </c>
      <c r="L650" s="19">
        <v>2.0</v>
      </c>
      <c r="M650" s="3" t="s">
        <v>7905</v>
      </c>
      <c r="N650" s="3" t="s">
        <v>7906</v>
      </c>
      <c r="O650" s="3" t="s">
        <v>7944</v>
      </c>
      <c r="P650" s="19">
        <v>1.0</v>
      </c>
      <c r="Q650" s="19">
        <v>0.0</v>
      </c>
      <c r="R650" s="19">
        <v>1.0</v>
      </c>
      <c r="S650" s="19">
        <v>0.0</v>
      </c>
      <c r="T650" s="3" t="s">
        <v>184</v>
      </c>
      <c r="U650" s="3" t="s">
        <v>478</v>
      </c>
    </row>
    <row r="651">
      <c r="A651" s="3" t="s">
        <v>7912</v>
      </c>
      <c r="B651" s="3" t="s">
        <v>7696</v>
      </c>
      <c r="C651" s="29">
        <v>46260.41666666667</v>
      </c>
      <c r="D651" s="29">
        <v>46260.4375</v>
      </c>
      <c r="E651" s="30">
        <v>0.5</v>
      </c>
      <c r="F651" s="2"/>
      <c r="G651" s="2"/>
      <c r="H651" s="3" t="s">
        <v>7146</v>
      </c>
      <c r="I651" s="3" t="s">
        <v>7161</v>
      </c>
      <c r="J651" s="3" t="s">
        <v>7274</v>
      </c>
      <c r="K651" s="3" t="s">
        <v>7149</v>
      </c>
      <c r="L651" s="19">
        <v>1.0</v>
      </c>
      <c r="M651" s="3" t="s">
        <v>7288</v>
      </c>
      <c r="N651" s="3" t="s">
        <v>7288</v>
      </c>
      <c r="O651" s="3" t="s">
        <v>7161</v>
      </c>
      <c r="P651" s="19">
        <v>1.0</v>
      </c>
      <c r="Q651" s="19">
        <v>0.0</v>
      </c>
      <c r="R651" s="19">
        <v>0.0</v>
      </c>
      <c r="S651" s="19">
        <v>0.0</v>
      </c>
      <c r="T651" s="2"/>
      <c r="U651" s="2"/>
    </row>
    <row r="652">
      <c r="A652" s="3" t="s">
        <v>7979</v>
      </c>
      <c r="B652" s="3" t="s">
        <v>7249</v>
      </c>
      <c r="C652" s="29">
        <v>46260.54166666667</v>
      </c>
      <c r="D652" s="29">
        <v>46260.5625</v>
      </c>
      <c r="E652" s="30">
        <v>0.5</v>
      </c>
      <c r="F652" s="2"/>
      <c r="G652" s="2"/>
      <c r="H652" s="3" t="s">
        <v>7146</v>
      </c>
      <c r="I652" s="3" t="s">
        <v>7161</v>
      </c>
      <c r="J652" s="3" t="s">
        <v>7156</v>
      </c>
      <c r="K652" s="3" t="s">
        <v>7149</v>
      </c>
      <c r="L652" s="19">
        <v>2.0</v>
      </c>
      <c r="M652" s="3" t="s">
        <v>7921</v>
      </c>
      <c r="N652" s="3" t="s">
        <v>7921</v>
      </c>
      <c r="O652" s="3" t="s">
        <v>7218</v>
      </c>
      <c r="P652" s="19">
        <v>2.0</v>
      </c>
      <c r="Q652" s="19">
        <v>0.0</v>
      </c>
      <c r="R652" s="19">
        <v>0.0</v>
      </c>
      <c r="S652" s="19">
        <v>0.0</v>
      </c>
      <c r="T652" s="3" t="s">
        <v>187</v>
      </c>
      <c r="U652" s="3" t="s">
        <v>188</v>
      </c>
    </row>
    <row r="653">
      <c r="A653" s="3" t="s">
        <v>7951</v>
      </c>
      <c r="B653" s="3" t="s">
        <v>7160</v>
      </c>
      <c r="C653" s="29">
        <v>46261.4375</v>
      </c>
      <c r="D653" s="29">
        <v>46261.45833333333</v>
      </c>
      <c r="E653" s="30">
        <v>0.5</v>
      </c>
      <c r="F653" s="2"/>
      <c r="G653" s="2"/>
      <c r="H653" s="3" t="s">
        <v>7146</v>
      </c>
      <c r="I653" s="3" t="s">
        <v>7161</v>
      </c>
      <c r="J653" s="3" t="s">
        <v>7156</v>
      </c>
      <c r="K653" s="3" t="s">
        <v>7149</v>
      </c>
      <c r="L653" s="19">
        <v>2.0</v>
      </c>
      <c r="M653" s="3" t="s">
        <v>7952</v>
      </c>
      <c r="N653" s="3" t="s">
        <v>7953</v>
      </c>
      <c r="O653" s="3" t="s">
        <v>7218</v>
      </c>
      <c r="P653" s="19">
        <v>2.0</v>
      </c>
      <c r="Q653" s="19">
        <v>0.0</v>
      </c>
      <c r="R653" s="19">
        <v>0.0</v>
      </c>
      <c r="S653" s="19">
        <v>0.0</v>
      </c>
      <c r="T653" s="3" t="s">
        <v>154</v>
      </c>
      <c r="U653" s="3" t="s">
        <v>329</v>
      </c>
    </row>
    <row r="654">
      <c r="A654" s="3" t="s">
        <v>7954</v>
      </c>
      <c r="B654" s="3" t="s">
        <v>7163</v>
      </c>
      <c r="C654" s="29">
        <v>46261.58333333333</v>
      </c>
      <c r="D654" s="29">
        <v>46261.60416666667</v>
      </c>
      <c r="E654" s="30">
        <v>0.5</v>
      </c>
      <c r="F654" s="2"/>
      <c r="G654" s="2"/>
      <c r="H654" s="3" t="s">
        <v>7146</v>
      </c>
      <c r="I654" s="3" t="s">
        <v>7161</v>
      </c>
      <c r="J654" s="3" t="s">
        <v>7156</v>
      </c>
      <c r="K654" s="3" t="s">
        <v>7149</v>
      </c>
      <c r="L654" s="19">
        <v>5.0</v>
      </c>
      <c r="M654" s="3" t="s">
        <v>7955</v>
      </c>
      <c r="N654" s="3" t="s">
        <v>7955</v>
      </c>
      <c r="O654" s="3" t="s">
        <v>7956</v>
      </c>
      <c r="P654" s="19">
        <v>0.0</v>
      </c>
      <c r="Q654" s="19">
        <v>3.0</v>
      </c>
      <c r="R654" s="19">
        <v>0.0</v>
      </c>
      <c r="S654" s="19">
        <v>2.0</v>
      </c>
      <c r="T654" s="3" t="s">
        <v>151</v>
      </c>
      <c r="U654" s="3" t="s">
        <v>370</v>
      </c>
    </row>
    <row r="655">
      <c r="A655" s="3" t="s">
        <v>7679</v>
      </c>
      <c r="B655" s="3" t="s">
        <v>7546</v>
      </c>
      <c r="C655" s="29">
        <v>46262.47916666667</v>
      </c>
      <c r="D655" s="29">
        <v>46262.52083333333</v>
      </c>
      <c r="E655" s="30">
        <v>1.0</v>
      </c>
      <c r="G655" s="2"/>
      <c r="H655" s="3" t="s">
        <v>7146</v>
      </c>
      <c r="I655" s="3" t="s">
        <v>7338</v>
      </c>
      <c r="J655" s="3" t="s">
        <v>7288</v>
      </c>
      <c r="K655" s="3" t="s">
        <v>7149</v>
      </c>
      <c r="L655" s="19">
        <v>1.0</v>
      </c>
      <c r="M655" s="3" t="s">
        <v>7680</v>
      </c>
      <c r="N655" s="3" t="s">
        <v>7680</v>
      </c>
      <c r="O655" s="3" t="s">
        <v>7161</v>
      </c>
      <c r="P655" s="19">
        <v>1.0</v>
      </c>
      <c r="Q655" s="19">
        <v>0.0</v>
      </c>
      <c r="R655" s="19">
        <v>0.0</v>
      </c>
      <c r="S655" s="19">
        <v>0.0</v>
      </c>
      <c r="T655" s="3" t="s">
        <v>119</v>
      </c>
      <c r="U655" s="3" t="s">
        <v>251</v>
      </c>
    </row>
    <row r="656">
      <c r="A656" s="3" t="s">
        <v>7960</v>
      </c>
      <c r="B656" s="3" t="s">
        <v>7961</v>
      </c>
      <c r="C656" s="29">
        <v>46265.54166666667</v>
      </c>
      <c r="D656" s="29">
        <v>46265.5625</v>
      </c>
      <c r="E656" s="30">
        <v>0.5</v>
      </c>
      <c r="F656" s="2"/>
      <c r="G656" s="3" t="s">
        <v>7962</v>
      </c>
      <c r="H656" s="3" t="s">
        <v>7146</v>
      </c>
      <c r="I656" s="3" t="s">
        <v>7338</v>
      </c>
      <c r="J656" s="3" t="s">
        <v>7288</v>
      </c>
      <c r="K656" s="3" t="s">
        <v>7149</v>
      </c>
      <c r="L656" s="19">
        <v>3.0</v>
      </c>
      <c r="M656" s="3" t="s">
        <v>7788</v>
      </c>
      <c r="N656" s="3" t="s">
        <v>7788</v>
      </c>
      <c r="O656" s="3" t="s">
        <v>7326</v>
      </c>
      <c r="P656" s="19">
        <v>1.0</v>
      </c>
      <c r="Q656" s="19">
        <v>0.0</v>
      </c>
      <c r="R656" s="19">
        <v>0.0</v>
      </c>
      <c r="S656" s="19">
        <v>2.0</v>
      </c>
      <c r="T656" s="3" t="s">
        <v>131</v>
      </c>
      <c r="U656" s="3" t="s">
        <v>132</v>
      </c>
    </row>
    <row r="657">
      <c r="A657" s="3" t="s">
        <v>7963</v>
      </c>
      <c r="B657" s="3" t="s">
        <v>7234</v>
      </c>
      <c r="C657" s="29">
        <v>46265.58333333333</v>
      </c>
      <c r="D657" s="29">
        <v>46265.60416666667</v>
      </c>
      <c r="E657" s="30">
        <v>0.5</v>
      </c>
      <c r="F657" s="2"/>
      <c r="G657" s="2"/>
      <c r="H657" s="3" t="s">
        <v>7146</v>
      </c>
      <c r="I657" s="3" t="s">
        <v>7147</v>
      </c>
      <c r="J657" s="3" t="s">
        <v>7156</v>
      </c>
      <c r="K657" s="3" t="s">
        <v>7149</v>
      </c>
      <c r="L657" s="19">
        <v>4.0</v>
      </c>
      <c r="M657" s="3" t="s">
        <v>7235</v>
      </c>
      <c r="N657" s="3" t="s">
        <v>7235</v>
      </c>
      <c r="O657" s="3" t="s">
        <v>7964</v>
      </c>
      <c r="P657" s="19">
        <v>0.0</v>
      </c>
      <c r="Q657" s="19">
        <v>1.0</v>
      </c>
      <c r="R657" s="19">
        <v>0.0</v>
      </c>
      <c r="S657" s="19">
        <v>3.0</v>
      </c>
      <c r="T657" s="3" t="s">
        <v>166</v>
      </c>
      <c r="U657" s="3" t="s">
        <v>167</v>
      </c>
    </row>
    <row r="658">
      <c r="A658" s="3" t="s">
        <v>7896</v>
      </c>
      <c r="B658" s="3" t="s">
        <v>7463</v>
      </c>
      <c r="C658" s="29">
        <v>46265.60416666667</v>
      </c>
      <c r="D658" s="29">
        <v>46265.625</v>
      </c>
      <c r="E658" s="30">
        <v>0.5</v>
      </c>
      <c r="F658" s="2"/>
      <c r="G658" s="3" t="s">
        <v>7541</v>
      </c>
      <c r="H658" s="3" t="s">
        <v>7146</v>
      </c>
      <c r="I658" s="3" t="s">
        <v>7338</v>
      </c>
      <c r="J658" s="3" t="s">
        <v>7288</v>
      </c>
      <c r="K658" s="3" t="s">
        <v>7149</v>
      </c>
      <c r="L658" s="19">
        <v>1.0</v>
      </c>
      <c r="M658" s="3" t="s">
        <v>7897</v>
      </c>
      <c r="N658" s="3" t="s">
        <v>7897</v>
      </c>
      <c r="O658" s="3" t="s">
        <v>7161</v>
      </c>
      <c r="P658" s="19">
        <v>1.0</v>
      </c>
      <c r="Q658" s="19">
        <v>0.0</v>
      </c>
      <c r="R658" s="19">
        <v>0.0</v>
      </c>
      <c r="S658" s="19">
        <v>0.0</v>
      </c>
      <c r="T658" s="3" t="s">
        <v>101</v>
      </c>
      <c r="U658" s="3" t="s">
        <v>511</v>
      </c>
    </row>
    <row r="659">
      <c r="A659" s="3" t="s">
        <v>7904</v>
      </c>
      <c r="B659" s="3" t="s">
        <v>7183</v>
      </c>
      <c r="C659" s="29">
        <v>46266.5</v>
      </c>
      <c r="D659" s="29">
        <v>46266.52083333333</v>
      </c>
      <c r="E659" s="30">
        <v>0.5</v>
      </c>
      <c r="F659" s="2"/>
      <c r="G659" s="3" t="s">
        <v>7692</v>
      </c>
      <c r="H659" s="3" t="s">
        <v>7146</v>
      </c>
      <c r="I659" s="3" t="s">
        <v>7161</v>
      </c>
      <c r="J659" s="3" t="s">
        <v>7156</v>
      </c>
      <c r="K659" s="3" t="s">
        <v>7149</v>
      </c>
      <c r="L659" s="19">
        <v>2.0</v>
      </c>
      <c r="M659" s="3" t="s">
        <v>7905</v>
      </c>
      <c r="N659" s="3" t="s">
        <v>7906</v>
      </c>
      <c r="O659" s="3" t="s">
        <v>7944</v>
      </c>
      <c r="P659" s="19">
        <v>1.0</v>
      </c>
      <c r="Q659" s="19">
        <v>0.0</v>
      </c>
      <c r="R659" s="19">
        <v>1.0</v>
      </c>
      <c r="S659" s="19">
        <v>0.0</v>
      </c>
      <c r="T659" s="3" t="s">
        <v>184</v>
      </c>
      <c r="U659" s="3" t="s">
        <v>478</v>
      </c>
    </row>
    <row r="660">
      <c r="A660" s="3" t="s">
        <v>7901</v>
      </c>
      <c r="B660" s="3" t="s">
        <v>7689</v>
      </c>
      <c r="C660" s="29">
        <v>46266.5625</v>
      </c>
      <c r="D660" s="29">
        <v>46266.58333333333</v>
      </c>
      <c r="E660" s="30">
        <v>0.5</v>
      </c>
      <c r="G660" s="2"/>
      <c r="H660" s="3" t="s">
        <v>7146</v>
      </c>
      <c r="I660" s="3" t="s">
        <v>7338</v>
      </c>
      <c r="J660" s="3" t="s">
        <v>7288</v>
      </c>
      <c r="K660" s="3" t="s">
        <v>7149</v>
      </c>
      <c r="L660" s="19">
        <v>1.0</v>
      </c>
      <c r="M660" s="3" t="s">
        <v>7902</v>
      </c>
      <c r="N660" s="3" t="s">
        <v>7902</v>
      </c>
      <c r="O660" s="3" t="s">
        <v>7161</v>
      </c>
      <c r="P660" s="19">
        <v>1.0</v>
      </c>
      <c r="Q660" s="19">
        <v>0.0</v>
      </c>
      <c r="R660" s="19">
        <v>0.0</v>
      </c>
      <c r="S660" s="19">
        <v>0.0</v>
      </c>
      <c r="T660" s="3" t="s">
        <v>142</v>
      </c>
      <c r="U660" s="3" t="s">
        <v>143</v>
      </c>
    </row>
    <row r="661">
      <c r="A661" s="3" t="s">
        <v>7754</v>
      </c>
      <c r="B661" s="3" t="s">
        <v>7755</v>
      </c>
      <c r="C661" s="29">
        <v>46266.58333333333</v>
      </c>
      <c r="D661" s="29">
        <v>46266.60416666667</v>
      </c>
      <c r="E661" s="30">
        <v>0.5</v>
      </c>
      <c r="F661" s="2"/>
      <c r="G661" s="3" t="s">
        <v>7756</v>
      </c>
      <c r="H661" s="3" t="s">
        <v>7146</v>
      </c>
      <c r="I661" s="3" t="s">
        <v>7161</v>
      </c>
      <c r="J661" s="3" t="s">
        <v>7156</v>
      </c>
      <c r="K661" s="3" t="s">
        <v>7149</v>
      </c>
      <c r="L661" s="19">
        <v>7.0</v>
      </c>
      <c r="M661" s="3" t="s">
        <v>7757</v>
      </c>
      <c r="N661" s="3" t="s">
        <v>7758</v>
      </c>
      <c r="O661" s="3" t="s">
        <v>7759</v>
      </c>
      <c r="P661" s="19">
        <v>0.0</v>
      </c>
      <c r="Q661" s="19">
        <v>1.0</v>
      </c>
      <c r="R661" s="19">
        <v>1.0</v>
      </c>
      <c r="S661" s="19">
        <v>5.0</v>
      </c>
      <c r="T661" s="3" t="s">
        <v>110</v>
      </c>
      <c r="U661" s="3" t="s">
        <v>111</v>
      </c>
    </row>
    <row r="662">
      <c r="A662" s="3" t="s">
        <v>7912</v>
      </c>
      <c r="B662" s="3" t="s">
        <v>7696</v>
      </c>
      <c r="C662" s="29">
        <v>46267.41666666667</v>
      </c>
      <c r="D662" s="29">
        <v>46267.4375</v>
      </c>
      <c r="E662" s="30">
        <v>0.5</v>
      </c>
      <c r="F662" s="2"/>
      <c r="G662" s="2"/>
      <c r="H662" s="3" t="s">
        <v>7146</v>
      </c>
      <c r="I662" s="3" t="s">
        <v>7161</v>
      </c>
      <c r="J662" s="3" t="s">
        <v>7274</v>
      </c>
      <c r="K662" s="3" t="s">
        <v>7149</v>
      </c>
      <c r="L662" s="19">
        <v>1.0</v>
      </c>
      <c r="M662" s="3" t="s">
        <v>7288</v>
      </c>
      <c r="N662" s="3" t="s">
        <v>7288</v>
      </c>
      <c r="O662" s="3" t="s">
        <v>7161</v>
      </c>
      <c r="P662" s="19">
        <v>1.0</v>
      </c>
      <c r="Q662" s="19">
        <v>0.0</v>
      </c>
      <c r="R662" s="19">
        <v>0.0</v>
      </c>
      <c r="S662" s="19">
        <v>0.0</v>
      </c>
      <c r="T662" s="2"/>
      <c r="U662" s="2"/>
    </row>
    <row r="663">
      <c r="A663" s="3" t="s">
        <v>7794</v>
      </c>
      <c r="B663" s="3" t="s">
        <v>7795</v>
      </c>
      <c r="C663" s="29">
        <v>46268.39583333333</v>
      </c>
      <c r="D663" s="29">
        <v>46268.41666666667</v>
      </c>
      <c r="E663" s="30">
        <v>0.5</v>
      </c>
      <c r="F663" s="2"/>
      <c r="G663" s="2"/>
      <c r="H663" s="3" t="s">
        <v>7146</v>
      </c>
      <c r="I663" s="3" t="s">
        <v>7161</v>
      </c>
      <c r="J663" s="3" t="s">
        <v>7168</v>
      </c>
      <c r="K663" s="3" t="s">
        <v>7149</v>
      </c>
      <c r="L663" s="19">
        <v>6.0</v>
      </c>
      <c r="M663" s="3" t="s">
        <v>7196</v>
      </c>
      <c r="N663" s="3" t="s">
        <v>7196</v>
      </c>
      <c r="O663" s="3" t="s">
        <v>7197</v>
      </c>
      <c r="P663" s="19">
        <v>4.0</v>
      </c>
      <c r="Q663" s="19">
        <v>0.0</v>
      </c>
      <c r="R663" s="19">
        <v>0.0</v>
      </c>
      <c r="S663" s="19">
        <v>2.0</v>
      </c>
      <c r="T663" s="3" t="s">
        <v>178</v>
      </c>
      <c r="U663" s="3" t="s">
        <v>179</v>
      </c>
    </row>
    <row r="664">
      <c r="A664" s="3" t="s">
        <v>7804</v>
      </c>
      <c r="B664" s="3" t="s">
        <v>7805</v>
      </c>
      <c r="C664" s="29">
        <v>46268.5</v>
      </c>
      <c r="D664" s="29">
        <v>46268.52083333333</v>
      </c>
      <c r="E664" s="30">
        <v>0.5</v>
      </c>
      <c r="F664" s="2"/>
      <c r="G664" s="2"/>
      <c r="H664" s="3" t="s">
        <v>7146</v>
      </c>
      <c r="I664" s="3" t="s">
        <v>7338</v>
      </c>
      <c r="J664" s="3" t="s">
        <v>7288</v>
      </c>
      <c r="K664" s="3" t="s">
        <v>7149</v>
      </c>
      <c r="L664" s="19">
        <v>1.0</v>
      </c>
      <c r="M664" s="3" t="s">
        <v>7806</v>
      </c>
      <c r="N664" s="3" t="s">
        <v>7806</v>
      </c>
      <c r="O664" s="3" t="s">
        <v>7161</v>
      </c>
      <c r="P664" s="19">
        <v>1.0</v>
      </c>
      <c r="Q664" s="19">
        <v>0.0</v>
      </c>
      <c r="R664" s="19">
        <v>0.0</v>
      </c>
      <c r="S664" s="19">
        <v>0.0</v>
      </c>
      <c r="T664" s="3" t="s">
        <v>157</v>
      </c>
      <c r="U664" s="3" t="s">
        <v>158</v>
      </c>
    </row>
    <row r="665">
      <c r="A665" s="3" t="s">
        <v>7659</v>
      </c>
      <c r="B665" s="3" t="s">
        <v>7420</v>
      </c>
      <c r="C665" s="29">
        <v>46268.52083333333</v>
      </c>
      <c r="D665" s="29">
        <v>46268.54166666667</v>
      </c>
      <c r="E665" s="30">
        <v>0.5</v>
      </c>
      <c r="F665" s="2"/>
      <c r="G665" s="2"/>
      <c r="H665" s="3" t="s">
        <v>7146</v>
      </c>
      <c r="I665" s="3" t="s">
        <v>7161</v>
      </c>
      <c r="J665" s="3" t="s">
        <v>7156</v>
      </c>
      <c r="K665" s="3" t="s">
        <v>7149</v>
      </c>
      <c r="L665" s="19">
        <v>5.0</v>
      </c>
      <c r="M665" s="3" t="s">
        <v>7571</v>
      </c>
      <c r="N665" s="3" t="s">
        <v>7571</v>
      </c>
      <c r="O665" s="3" t="s">
        <v>7970</v>
      </c>
      <c r="P665" s="19">
        <v>3.0</v>
      </c>
      <c r="Q665" s="19">
        <v>1.0</v>
      </c>
      <c r="R665" s="19">
        <v>0.0</v>
      </c>
      <c r="S665" s="19">
        <v>1.0</v>
      </c>
      <c r="T665" s="3" t="s">
        <v>125</v>
      </c>
      <c r="U665" s="3" t="s">
        <v>126</v>
      </c>
    </row>
    <row r="666">
      <c r="A666" s="3" t="s">
        <v>7971</v>
      </c>
      <c r="B666" s="3" t="s">
        <v>7178</v>
      </c>
      <c r="C666" s="29">
        <v>46269.39583333333</v>
      </c>
      <c r="D666" s="29">
        <v>46269.41666666667</v>
      </c>
      <c r="E666" s="30">
        <v>0.5</v>
      </c>
      <c r="F666" s="2"/>
      <c r="G666" s="25" t="s">
        <v>7972</v>
      </c>
      <c r="H666" s="3" t="s">
        <v>7146</v>
      </c>
      <c r="I666" s="3" t="s">
        <v>7161</v>
      </c>
      <c r="J666" s="3" t="s">
        <v>7156</v>
      </c>
      <c r="K666" s="3" t="s">
        <v>7149</v>
      </c>
      <c r="L666" s="19">
        <v>3.0</v>
      </c>
      <c r="M666" s="3" t="s">
        <v>7973</v>
      </c>
      <c r="N666" s="3" t="s">
        <v>7973</v>
      </c>
      <c r="O666" s="3" t="s">
        <v>7231</v>
      </c>
      <c r="P666" s="19">
        <v>2.0</v>
      </c>
      <c r="Q666" s="19">
        <v>1.0</v>
      </c>
      <c r="R666" s="19">
        <v>0.0</v>
      </c>
      <c r="S666" s="19">
        <v>0.0</v>
      </c>
      <c r="T666" s="3" t="s">
        <v>169</v>
      </c>
      <c r="U666" s="3" t="s">
        <v>170</v>
      </c>
    </row>
    <row r="667">
      <c r="A667" s="3" t="s">
        <v>7825</v>
      </c>
      <c r="B667" s="3" t="s">
        <v>7471</v>
      </c>
      <c r="C667" s="29">
        <v>46269.41666666667</v>
      </c>
      <c r="D667" s="29">
        <v>46269.4375</v>
      </c>
      <c r="E667" s="30">
        <v>0.5</v>
      </c>
      <c r="F667" s="2"/>
      <c r="G667" s="2"/>
      <c r="H667" s="3" t="s">
        <v>7146</v>
      </c>
      <c r="I667" s="3" t="s">
        <v>7161</v>
      </c>
      <c r="J667" s="3" t="s">
        <v>7156</v>
      </c>
      <c r="K667" s="3" t="s">
        <v>7149</v>
      </c>
      <c r="L667" s="19">
        <v>5.0</v>
      </c>
      <c r="M667" s="3" t="s">
        <v>7826</v>
      </c>
      <c r="N667" s="3" t="s">
        <v>7826</v>
      </c>
      <c r="O667" s="3" t="s">
        <v>7974</v>
      </c>
      <c r="P667" s="19">
        <v>2.0</v>
      </c>
      <c r="Q667" s="19">
        <v>0.0</v>
      </c>
      <c r="R667" s="19">
        <v>0.0</v>
      </c>
      <c r="S667" s="19">
        <v>3.0</v>
      </c>
      <c r="T667" s="3" t="s">
        <v>199</v>
      </c>
      <c r="U667" s="3" t="s">
        <v>272</v>
      </c>
    </row>
    <row r="668">
      <c r="A668" s="3" t="s">
        <v>7679</v>
      </c>
      <c r="B668" s="3" t="s">
        <v>7546</v>
      </c>
      <c r="C668" s="29">
        <v>46269.47916666667</v>
      </c>
      <c r="D668" s="29">
        <v>46269.52083333333</v>
      </c>
      <c r="E668" s="30">
        <v>1.0</v>
      </c>
      <c r="F668" s="2"/>
      <c r="G668" s="2"/>
      <c r="H668" s="3" t="s">
        <v>7146</v>
      </c>
      <c r="I668" s="3" t="s">
        <v>7338</v>
      </c>
      <c r="J668" s="3" t="s">
        <v>7288</v>
      </c>
      <c r="K668" s="3" t="s">
        <v>7149</v>
      </c>
      <c r="L668" s="19">
        <v>1.0</v>
      </c>
      <c r="M668" s="3" t="s">
        <v>7680</v>
      </c>
      <c r="N668" s="3" t="s">
        <v>7680</v>
      </c>
      <c r="O668" s="3" t="s">
        <v>7161</v>
      </c>
      <c r="P668" s="19">
        <v>1.0</v>
      </c>
      <c r="Q668" s="19">
        <v>0.0</v>
      </c>
      <c r="R668" s="19">
        <v>0.0</v>
      </c>
      <c r="S668" s="19">
        <v>0.0</v>
      </c>
      <c r="T668" s="3" t="s">
        <v>119</v>
      </c>
      <c r="U668" s="3" t="s">
        <v>251</v>
      </c>
    </row>
    <row r="669">
      <c r="A669" s="3" t="s">
        <v>7975</v>
      </c>
      <c r="B669" s="3" t="s">
        <v>7167</v>
      </c>
      <c r="C669" s="29">
        <v>46269.54166666667</v>
      </c>
      <c r="D669" s="29">
        <v>46269.5625</v>
      </c>
      <c r="E669" s="30">
        <v>0.5</v>
      </c>
      <c r="F669" s="2"/>
      <c r="G669" s="2"/>
      <c r="H669" s="3" t="s">
        <v>7146</v>
      </c>
      <c r="I669" s="3" t="s">
        <v>7338</v>
      </c>
      <c r="J669" s="3" t="s">
        <v>7288</v>
      </c>
      <c r="K669" s="3" t="s">
        <v>7149</v>
      </c>
      <c r="L669" s="19">
        <v>4.0</v>
      </c>
      <c r="M669" s="3" t="s">
        <v>7169</v>
      </c>
      <c r="N669" s="3" t="s">
        <v>7170</v>
      </c>
      <c r="O669" s="3" t="s">
        <v>7268</v>
      </c>
      <c r="P669" s="19">
        <v>1.0</v>
      </c>
      <c r="Q669" s="19">
        <v>0.0</v>
      </c>
      <c r="R669" s="19">
        <v>0.0</v>
      </c>
      <c r="S669" s="19">
        <v>3.0</v>
      </c>
      <c r="T669" s="3" t="s">
        <v>205</v>
      </c>
      <c r="U669" s="3" t="s">
        <v>206</v>
      </c>
    </row>
    <row r="670">
      <c r="A670" s="3" t="s">
        <v>7896</v>
      </c>
      <c r="B670" s="3" t="s">
        <v>7463</v>
      </c>
      <c r="C670" s="29">
        <v>46272.60416666667</v>
      </c>
      <c r="D670" s="29">
        <v>46272.625</v>
      </c>
      <c r="E670" s="30">
        <v>0.5</v>
      </c>
      <c r="F670" s="2"/>
      <c r="G670" s="3" t="s">
        <v>7541</v>
      </c>
      <c r="H670" s="3" t="s">
        <v>7146</v>
      </c>
      <c r="I670" s="3" t="s">
        <v>7338</v>
      </c>
      <c r="J670" s="3" t="s">
        <v>7288</v>
      </c>
      <c r="K670" s="3" t="s">
        <v>7149</v>
      </c>
      <c r="L670" s="19">
        <v>1.0</v>
      </c>
      <c r="M670" s="3" t="s">
        <v>7897</v>
      </c>
      <c r="N670" s="3" t="s">
        <v>7897</v>
      </c>
      <c r="O670" s="3" t="s">
        <v>7161</v>
      </c>
      <c r="P670" s="19">
        <v>1.0</v>
      </c>
      <c r="Q670" s="19">
        <v>0.0</v>
      </c>
      <c r="R670" s="19">
        <v>0.0</v>
      </c>
      <c r="S670" s="19">
        <v>0.0</v>
      </c>
      <c r="T670" s="3" t="s">
        <v>101</v>
      </c>
      <c r="U670" s="3" t="s">
        <v>511</v>
      </c>
    </row>
    <row r="671">
      <c r="A671" s="3" t="s">
        <v>7942</v>
      </c>
      <c r="B671" s="3" t="s">
        <v>7256</v>
      </c>
      <c r="C671" s="29">
        <v>46272.60416666667</v>
      </c>
      <c r="D671" s="29">
        <v>46272.625</v>
      </c>
      <c r="E671" s="30">
        <v>0.5</v>
      </c>
      <c r="F671" s="2"/>
      <c r="G671" s="2"/>
      <c r="H671" s="3" t="s">
        <v>7146</v>
      </c>
      <c r="I671" s="3" t="s">
        <v>7161</v>
      </c>
      <c r="J671" s="3" t="s">
        <v>7156</v>
      </c>
      <c r="K671" s="3" t="s">
        <v>7149</v>
      </c>
      <c r="L671" s="19">
        <v>3.0</v>
      </c>
      <c r="M671" s="3" t="s">
        <v>7943</v>
      </c>
      <c r="N671" s="3" t="s">
        <v>7943</v>
      </c>
      <c r="O671" s="3" t="s">
        <v>7258</v>
      </c>
      <c r="P671" s="19">
        <v>2.0</v>
      </c>
      <c r="Q671" s="19">
        <v>0.0</v>
      </c>
      <c r="R671" s="19">
        <v>0.0</v>
      </c>
      <c r="S671" s="19">
        <v>1.0</v>
      </c>
      <c r="T671" s="3" t="s">
        <v>202</v>
      </c>
      <c r="U671" s="3" t="s">
        <v>203</v>
      </c>
    </row>
    <row r="672">
      <c r="A672" s="3" t="s">
        <v>7904</v>
      </c>
      <c r="B672" s="3" t="s">
        <v>7183</v>
      </c>
      <c r="C672" s="29">
        <v>46273.5</v>
      </c>
      <c r="D672" s="29">
        <v>46273.52083333333</v>
      </c>
      <c r="E672" s="30">
        <v>0.5</v>
      </c>
      <c r="F672" s="2"/>
      <c r="G672" s="3" t="s">
        <v>7692</v>
      </c>
      <c r="H672" s="3" t="s">
        <v>7146</v>
      </c>
      <c r="I672" s="3" t="s">
        <v>7161</v>
      </c>
      <c r="J672" s="3" t="s">
        <v>7156</v>
      </c>
      <c r="K672" s="3" t="s">
        <v>7149</v>
      </c>
      <c r="L672" s="19">
        <v>2.0</v>
      </c>
      <c r="M672" s="3" t="s">
        <v>7905</v>
      </c>
      <c r="N672" s="3" t="s">
        <v>7906</v>
      </c>
      <c r="O672" s="3" t="s">
        <v>7944</v>
      </c>
      <c r="P672" s="19">
        <v>1.0</v>
      </c>
      <c r="Q672" s="19">
        <v>0.0</v>
      </c>
      <c r="R672" s="19">
        <v>1.0</v>
      </c>
      <c r="S672" s="19">
        <v>0.0</v>
      </c>
      <c r="T672" s="3" t="s">
        <v>184</v>
      </c>
      <c r="U672" s="3" t="s">
        <v>478</v>
      </c>
    </row>
    <row r="673">
      <c r="A673" s="3" t="s">
        <v>7912</v>
      </c>
      <c r="B673" s="3" t="s">
        <v>7696</v>
      </c>
      <c r="C673" s="29">
        <v>46274.41666666667</v>
      </c>
      <c r="D673" s="29">
        <v>46274.4375</v>
      </c>
      <c r="E673" s="30">
        <v>0.5</v>
      </c>
      <c r="F673" s="2"/>
      <c r="G673" s="2"/>
      <c r="H673" s="3" t="s">
        <v>7146</v>
      </c>
      <c r="I673" s="3" t="s">
        <v>7161</v>
      </c>
      <c r="J673" s="3" t="s">
        <v>7274</v>
      </c>
      <c r="K673" s="3" t="s">
        <v>7149</v>
      </c>
      <c r="L673" s="19">
        <v>1.0</v>
      </c>
      <c r="M673" s="3" t="s">
        <v>7288</v>
      </c>
      <c r="N673" s="3" t="s">
        <v>7288</v>
      </c>
      <c r="O673" s="3" t="s">
        <v>7161</v>
      </c>
      <c r="P673" s="19">
        <v>1.0</v>
      </c>
      <c r="Q673" s="19">
        <v>0.0</v>
      </c>
      <c r="R673" s="19">
        <v>0.0</v>
      </c>
      <c r="S673" s="19">
        <v>0.0</v>
      </c>
      <c r="T673" s="2"/>
      <c r="U673" s="2"/>
    </row>
    <row r="674">
      <c r="A674" s="3" t="s">
        <v>7979</v>
      </c>
      <c r="B674" s="3" t="s">
        <v>7249</v>
      </c>
      <c r="C674" s="29">
        <v>46274.54166666667</v>
      </c>
      <c r="D674" s="29">
        <v>46274.5625</v>
      </c>
      <c r="E674" s="30">
        <v>0.5</v>
      </c>
      <c r="F674" s="2"/>
      <c r="G674" s="2"/>
      <c r="H674" s="3" t="s">
        <v>7146</v>
      </c>
      <c r="I674" s="3" t="s">
        <v>7161</v>
      </c>
      <c r="J674" s="3" t="s">
        <v>7156</v>
      </c>
      <c r="K674" s="3" t="s">
        <v>7149</v>
      </c>
      <c r="L674" s="19">
        <v>2.0</v>
      </c>
      <c r="M674" s="3" t="s">
        <v>7921</v>
      </c>
      <c r="N674" s="3" t="s">
        <v>7921</v>
      </c>
      <c r="O674" s="3" t="s">
        <v>7218</v>
      </c>
      <c r="P674" s="19">
        <v>2.0</v>
      </c>
      <c r="Q674" s="19">
        <v>0.0</v>
      </c>
      <c r="R674" s="19">
        <v>0.0</v>
      </c>
      <c r="S674" s="19">
        <v>0.0</v>
      </c>
      <c r="T674" s="3" t="s">
        <v>187</v>
      </c>
      <c r="U674" s="3" t="s">
        <v>188</v>
      </c>
    </row>
    <row r="675">
      <c r="A675" s="3" t="s">
        <v>7948</v>
      </c>
      <c r="B675" s="3" t="s">
        <v>7949</v>
      </c>
      <c r="C675" s="29">
        <v>46275.35416666667</v>
      </c>
      <c r="D675" s="29">
        <v>46275.375</v>
      </c>
      <c r="E675" s="30">
        <v>0.5</v>
      </c>
      <c r="F675" s="2"/>
      <c r="G675" s="2"/>
      <c r="H675" s="3" t="s">
        <v>7146</v>
      </c>
      <c r="I675" s="3" t="s">
        <v>7338</v>
      </c>
      <c r="J675" s="3" t="s">
        <v>7288</v>
      </c>
      <c r="K675" s="3" t="s">
        <v>7149</v>
      </c>
      <c r="L675" s="19">
        <v>3.0</v>
      </c>
      <c r="M675" s="3" t="s">
        <v>7950</v>
      </c>
      <c r="N675" s="3" t="s">
        <v>7950</v>
      </c>
      <c r="O675" s="3" t="s">
        <v>7622</v>
      </c>
      <c r="P675" s="19">
        <v>0.0</v>
      </c>
      <c r="Q675" s="19">
        <v>0.0</v>
      </c>
      <c r="R675" s="19">
        <v>0.0</v>
      </c>
      <c r="S675" s="19">
        <v>3.0</v>
      </c>
      <c r="T675" s="3" t="s">
        <v>193</v>
      </c>
      <c r="U675" s="3" t="s">
        <v>544</v>
      </c>
    </row>
    <row r="676">
      <c r="A676" s="3" t="s">
        <v>7951</v>
      </c>
      <c r="B676" s="3" t="s">
        <v>7160</v>
      </c>
      <c r="C676" s="29">
        <v>46275.4375</v>
      </c>
      <c r="D676" s="29">
        <v>46275.45833333333</v>
      </c>
      <c r="E676" s="30">
        <v>0.5</v>
      </c>
      <c r="F676" s="2"/>
      <c r="G676" s="2"/>
      <c r="H676" s="3" t="s">
        <v>7146</v>
      </c>
      <c r="I676" s="3" t="s">
        <v>7161</v>
      </c>
      <c r="J676" s="3" t="s">
        <v>7156</v>
      </c>
      <c r="K676" s="3" t="s">
        <v>7149</v>
      </c>
      <c r="L676" s="19">
        <v>2.0</v>
      </c>
      <c r="M676" s="3" t="s">
        <v>7952</v>
      </c>
      <c r="N676" s="3" t="s">
        <v>7953</v>
      </c>
      <c r="O676" s="3" t="s">
        <v>7218</v>
      </c>
      <c r="P676" s="19">
        <v>2.0</v>
      </c>
      <c r="Q676" s="19">
        <v>0.0</v>
      </c>
      <c r="R676" s="19">
        <v>0.0</v>
      </c>
      <c r="S676" s="19">
        <v>0.0</v>
      </c>
      <c r="T676" s="3" t="s">
        <v>154</v>
      </c>
      <c r="U676" s="3" t="s">
        <v>329</v>
      </c>
    </row>
    <row r="677">
      <c r="A677" s="3" t="s">
        <v>7954</v>
      </c>
      <c r="B677" s="3" t="s">
        <v>7163</v>
      </c>
      <c r="C677" s="29">
        <v>46275.58333333333</v>
      </c>
      <c r="D677" s="29">
        <v>46275.60416666667</v>
      </c>
      <c r="E677" s="30">
        <v>0.5</v>
      </c>
      <c r="F677" s="2"/>
      <c r="G677" s="2"/>
      <c r="H677" s="3" t="s">
        <v>7146</v>
      </c>
      <c r="I677" s="3" t="s">
        <v>7161</v>
      </c>
      <c r="J677" s="3" t="s">
        <v>7156</v>
      </c>
      <c r="K677" s="3" t="s">
        <v>7149</v>
      </c>
      <c r="L677" s="19">
        <v>5.0</v>
      </c>
      <c r="M677" s="3" t="s">
        <v>7955</v>
      </c>
      <c r="N677" s="3" t="s">
        <v>7955</v>
      </c>
      <c r="O677" s="3" t="s">
        <v>7956</v>
      </c>
      <c r="P677" s="19">
        <v>0.0</v>
      </c>
      <c r="Q677" s="19">
        <v>3.0</v>
      </c>
      <c r="R677" s="19">
        <v>0.0</v>
      </c>
      <c r="S677" s="19">
        <v>2.0</v>
      </c>
      <c r="T677" s="3" t="s">
        <v>151</v>
      </c>
      <c r="U677" s="3" t="s">
        <v>370</v>
      </c>
    </row>
    <row r="678">
      <c r="A678" s="3" t="s">
        <v>7957</v>
      </c>
      <c r="B678" s="3" t="s">
        <v>7712</v>
      </c>
      <c r="C678" s="29">
        <v>46275.64583333333</v>
      </c>
      <c r="D678" s="29">
        <v>46275.66666666667</v>
      </c>
      <c r="E678" s="30">
        <v>0.5</v>
      </c>
      <c r="F678" s="2"/>
      <c r="G678" s="3" t="s">
        <v>7713</v>
      </c>
      <c r="H678" s="3" t="s">
        <v>7146</v>
      </c>
      <c r="I678" s="3" t="s">
        <v>7338</v>
      </c>
      <c r="J678" s="3" t="s">
        <v>7288</v>
      </c>
      <c r="K678" s="3" t="s">
        <v>7149</v>
      </c>
      <c r="L678" s="19">
        <v>5.0</v>
      </c>
      <c r="M678" s="3" t="s">
        <v>7958</v>
      </c>
      <c r="N678" s="3" t="s">
        <v>7958</v>
      </c>
      <c r="O678" s="3" t="s">
        <v>7959</v>
      </c>
      <c r="P678" s="19">
        <v>2.0</v>
      </c>
      <c r="Q678" s="19">
        <v>1.0</v>
      </c>
      <c r="R678" s="19">
        <v>1.0</v>
      </c>
      <c r="S678" s="19">
        <v>1.0</v>
      </c>
      <c r="T678" s="3" t="s">
        <v>122</v>
      </c>
      <c r="U678" s="3" t="s">
        <v>123</v>
      </c>
    </row>
    <row r="679">
      <c r="A679" s="3" t="s">
        <v>7679</v>
      </c>
      <c r="B679" s="3" t="s">
        <v>7546</v>
      </c>
      <c r="C679" s="29">
        <v>46276.47916666667</v>
      </c>
      <c r="D679" s="29">
        <v>46276.52083333333</v>
      </c>
      <c r="E679" s="30">
        <v>1.0</v>
      </c>
      <c r="F679" s="2"/>
      <c r="G679" s="2"/>
      <c r="H679" s="3" t="s">
        <v>7146</v>
      </c>
      <c r="I679" s="3" t="s">
        <v>7338</v>
      </c>
      <c r="J679" s="3" t="s">
        <v>7288</v>
      </c>
      <c r="K679" s="3" t="s">
        <v>7149</v>
      </c>
      <c r="L679" s="19">
        <v>1.0</v>
      </c>
      <c r="M679" s="3" t="s">
        <v>7680</v>
      </c>
      <c r="N679" s="3" t="s">
        <v>7680</v>
      </c>
      <c r="O679" s="3" t="s">
        <v>7161</v>
      </c>
      <c r="P679" s="19">
        <v>1.0</v>
      </c>
      <c r="Q679" s="19">
        <v>0.0</v>
      </c>
      <c r="R679" s="19">
        <v>0.0</v>
      </c>
      <c r="S679" s="19">
        <v>0.0</v>
      </c>
      <c r="T679" s="3" t="s">
        <v>119</v>
      </c>
      <c r="U679" s="3" t="s">
        <v>251</v>
      </c>
    </row>
    <row r="680">
      <c r="A680" s="3" t="s">
        <v>7960</v>
      </c>
      <c r="B680" s="3" t="s">
        <v>7961</v>
      </c>
      <c r="C680" s="29">
        <v>46279.54166666667</v>
      </c>
      <c r="D680" s="29">
        <v>46279.5625</v>
      </c>
      <c r="E680" s="30">
        <v>0.5</v>
      </c>
      <c r="F680" s="2"/>
      <c r="G680" s="3" t="s">
        <v>7962</v>
      </c>
      <c r="H680" s="3" t="s">
        <v>7146</v>
      </c>
      <c r="I680" s="3" t="s">
        <v>7338</v>
      </c>
      <c r="J680" s="3" t="s">
        <v>7288</v>
      </c>
      <c r="K680" s="3" t="s">
        <v>7149</v>
      </c>
      <c r="L680" s="19">
        <v>3.0</v>
      </c>
      <c r="M680" s="3" t="s">
        <v>7788</v>
      </c>
      <c r="N680" s="3" t="s">
        <v>7788</v>
      </c>
      <c r="O680" s="3" t="s">
        <v>7326</v>
      </c>
      <c r="P680" s="19">
        <v>1.0</v>
      </c>
      <c r="Q680" s="19">
        <v>0.0</v>
      </c>
      <c r="R680" s="19">
        <v>0.0</v>
      </c>
      <c r="S680" s="19">
        <v>2.0</v>
      </c>
      <c r="T680" s="3" t="s">
        <v>131</v>
      </c>
      <c r="U680" s="3" t="s">
        <v>132</v>
      </c>
    </row>
    <row r="681">
      <c r="A681" s="3" t="s">
        <v>7963</v>
      </c>
      <c r="B681" s="3" t="s">
        <v>7234</v>
      </c>
      <c r="C681" s="29">
        <v>46279.58333333333</v>
      </c>
      <c r="D681" s="29">
        <v>46279.60416666667</v>
      </c>
      <c r="E681" s="30">
        <v>0.5</v>
      </c>
      <c r="F681" s="2"/>
      <c r="G681" s="2"/>
      <c r="H681" s="3" t="s">
        <v>7146</v>
      </c>
      <c r="I681" s="3" t="s">
        <v>7147</v>
      </c>
      <c r="J681" s="3" t="s">
        <v>7156</v>
      </c>
      <c r="K681" s="3" t="s">
        <v>7149</v>
      </c>
      <c r="L681" s="19">
        <v>4.0</v>
      </c>
      <c r="M681" s="3" t="s">
        <v>7235</v>
      </c>
      <c r="N681" s="3" t="s">
        <v>7235</v>
      </c>
      <c r="O681" s="3" t="s">
        <v>7964</v>
      </c>
      <c r="P681" s="19">
        <v>0.0</v>
      </c>
      <c r="Q681" s="19">
        <v>1.0</v>
      </c>
      <c r="R681" s="19">
        <v>0.0</v>
      </c>
      <c r="S681" s="19">
        <v>3.0</v>
      </c>
      <c r="T681" s="3" t="s">
        <v>166</v>
      </c>
      <c r="U681" s="3" t="s">
        <v>167</v>
      </c>
    </row>
    <row r="682">
      <c r="A682" s="3" t="s">
        <v>7896</v>
      </c>
      <c r="B682" s="3" t="s">
        <v>7463</v>
      </c>
      <c r="C682" s="29">
        <v>46279.60416666667</v>
      </c>
      <c r="D682" s="29">
        <v>46279.625</v>
      </c>
      <c r="E682" s="30">
        <v>0.5</v>
      </c>
      <c r="F682" s="2"/>
      <c r="G682" s="3" t="s">
        <v>7541</v>
      </c>
      <c r="H682" s="3" t="s">
        <v>7146</v>
      </c>
      <c r="I682" s="3" t="s">
        <v>7338</v>
      </c>
      <c r="J682" s="3" t="s">
        <v>7288</v>
      </c>
      <c r="K682" s="3" t="s">
        <v>7149</v>
      </c>
      <c r="L682" s="19">
        <v>1.0</v>
      </c>
      <c r="M682" s="3" t="s">
        <v>7897</v>
      </c>
      <c r="N682" s="3" t="s">
        <v>7897</v>
      </c>
      <c r="O682" s="3" t="s">
        <v>7161</v>
      </c>
      <c r="P682" s="19">
        <v>1.0</v>
      </c>
      <c r="Q682" s="19">
        <v>0.0</v>
      </c>
      <c r="R682" s="19">
        <v>0.0</v>
      </c>
      <c r="S682" s="19">
        <v>0.0</v>
      </c>
      <c r="T682" s="3" t="s">
        <v>101</v>
      </c>
      <c r="U682" s="3" t="s">
        <v>511</v>
      </c>
    </row>
    <row r="683">
      <c r="A683" s="3" t="s">
        <v>7904</v>
      </c>
      <c r="B683" s="3" t="s">
        <v>7183</v>
      </c>
      <c r="C683" s="29">
        <v>46280.5</v>
      </c>
      <c r="D683" s="29">
        <v>46280.52083333333</v>
      </c>
      <c r="E683" s="30">
        <v>0.5</v>
      </c>
      <c r="F683" s="2"/>
      <c r="G683" s="3" t="s">
        <v>7692</v>
      </c>
      <c r="H683" s="3" t="s">
        <v>7146</v>
      </c>
      <c r="I683" s="3" t="s">
        <v>7161</v>
      </c>
      <c r="J683" s="3" t="s">
        <v>7156</v>
      </c>
      <c r="K683" s="3" t="s">
        <v>7149</v>
      </c>
      <c r="L683" s="19">
        <v>2.0</v>
      </c>
      <c r="M683" s="3" t="s">
        <v>7905</v>
      </c>
      <c r="N683" s="3" t="s">
        <v>7906</v>
      </c>
      <c r="O683" s="3" t="s">
        <v>7944</v>
      </c>
      <c r="P683" s="19">
        <v>1.0</v>
      </c>
      <c r="Q683" s="19">
        <v>0.0</v>
      </c>
      <c r="R683" s="19">
        <v>1.0</v>
      </c>
      <c r="S683" s="19">
        <v>0.0</v>
      </c>
      <c r="T683" s="3" t="s">
        <v>184</v>
      </c>
      <c r="U683" s="3" t="s">
        <v>478</v>
      </c>
    </row>
    <row r="684">
      <c r="A684" s="3" t="s">
        <v>7748</v>
      </c>
      <c r="B684" s="3" t="s">
        <v>7211</v>
      </c>
      <c r="C684" s="29">
        <v>46280.54166666667</v>
      </c>
      <c r="D684" s="29">
        <v>46280.5625</v>
      </c>
      <c r="E684" s="30">
        <v>0.5</v>
      </c>
      <c r="F684" s="2"/>
      <c r="G684" s="3" t="s">
        <v>7212</v>
      </c>
      <c r="H684" s="3" t="s">
        <v>7146</v>
      </c>
      <c r="I684" s="3" t="s">
        <v>7161</v>
      </c>
      <c r="J684" s="3" t="s">
        <v>7156</v>
      </c>
      <c r="K684" s="3" t="s">
        <v>7149</v>
      </c>
      <c r="L684" s="19">
        <v>4.0</v>
      </c>
      <c r="M684" s="3" t="s">
        <v>7213</v>
      </c>
      <c r="N684" s="3" t="s">
        <v>7213</v>
      </c>
      <c r="O684" s="3" t="s">
        <v>7965</v>
      </c>
      <c r="P684" s="19">
        <v>2.0</v>
      </c>
      <c r="Q684" s="19">
        <v>1.0</v>
      </c>
      <c r="R684" s="19">
        <v>0.0</v>
      </c>
      <c r="S684" s="19">
        <v>1.0</v>
      </c>
      <c r="T684" s="3" t="s">
        <v>175</v>
      </c>
      <c r="U684" s="3" t="s">
        <v>422</v>
      </c>
    </row>
    <row r="685">
      <c r="A685" s="3" t="s">
        <v>7901</v>
      </c>
      <c r="B685" s="3" t="s">
        <v>7689</v>
      </c>
      <c r="C685" s="29">
        <v>46280.5625</v>
      </c>
      <c r="D685" s="29">
        <v>46280.58333333333</v>
      </c>
      <c r="E685" s="30">
        <v>0.5</v>
      </c>
      <c r="F685" s="2"/>
      <c r="G685" s="2"/>
      <c r="H685" s="3" t="s">
        <v>7146</v>
      </c>
      <c r="I685" s="3" t="s">
        <v>7338</v>
      </c>
      <c r="J685" s="3" t="s">
        <v>7288</v>
      </c>
      <c r="K685" s="3" t="s">
        <v>7149</v>
      </c>
      <c r="L685" s="19">
        <v>1.0</v>
      </c>
      <c r="M685" s="3" t="s">
        <v>7902</v>
      </c>
      <c r="N685" s="3" t="s">
        <v>7902</v>
      </c>
      <c r="O685" s="3" t="s">
        <v>7161</v>
      </c>
      <c r="P685" s="19">
        <v>1.0</v>
      </c>
      <c r="Q685" s="19">
        <v>0.0</v>
      </c>
      <c r="R685" s="19">
        <v>0.0</v>
      </c>
      <c r="S685" s="19">
        <v>0.0</v>
      </c>
      <c r="T685" s="3" t="s">
        <v>142</v>
      </c>
      <c r="U685" s="3" t="s">
        <v>143</v>
      </c>
    </row>
    <row r="686">
      <c r="A686" s="3" t="s">
        <v>7966</v>
      </c>
      <c r="B686" s="3" t="s">
        <v>7967</v>
      </c>
      <c r="C686" s="29">
        <v>46280.64583333333</v>
      </c>
      <c r="D686" s="29">
        <v>46280.66666666667</v>
      </c>
      <c r="E686" s="30">
        <v>0.5</v>
      </c>
      <c r="F686" s="2"/>
      <c r="G686" s="3" t="s">
        <v>7968</v>
      </c>
      <c r="H686" s="3" t="s">
        <v>7146</v>
      </c>
      <c r="I686" s="3" t="s">
        <v>7338</v>
      </c>
      <c r="J686" s="3" t="s">
        <v>7288</v>
      </c>
      <c r="K686" s="3" t="s">
        <v>7149</v>
      </c>
      <c r="L686" s="19">
        <v>4.0</v>
      </c>
      <c r="M686" s="3" t="s">
        <v>7707</v>
      </c>
      <c r="N686" s="3" t="s">
        <v>7707</v>
      </c>
      <c r="O686" s="3" t="s">
        <v>7236</v>
      </c>
      <c r="P686" s="19">
        <v>1.0</v>
      </c>
      <c r="Q686" s="19">
        <v>0.0</v>
      </c>
      <c r="R686" s="19">
        <v>0.0</v>
      </c>
      <c r="S686" s="19">
        <v>3.0</v>
      </c>
      <c r="T686" s="3" t="s">
        <v>6450</v>
      </c>
      <c r="U686" s="3" t="s">
        <v>552</v>
      </c>
    </row>
    <row r="687">
      <c r="A687" s="3" t="s">
        <v>7912</v>
      </c>
      <c r="B687" s="3" t="s">
        <v>7696</v>
      </c>
      <c r="C687" s="29">
        <v>46281.41666666667</v>
      </c>
      <c r="D687" s="29">
        <v>46281.4375</v>
      </c>
      <c r="E687" s="30">
        <v>0.5</v>
      </c>
      <c r="F687" s="2"/>
      <c r="G687" s="2"/>
      <c r="H687" s="3" t="s">
        <v>7146</v>
      </c>
      <c r="I687" s="3" t="s">
        <v>7161</v>
      </c>
      <c r="J687" s="3" t="s">
        <v>7274</v>
      </c>
      <c r="K687" s="3" t="s">
        <v>7149</v>
      </c>
      <c r="L687" s="19">
        <v>1.0</v>
      </c>
      <c r="M687" s="3" t="s">
        <v>7288</v>
      </c>
      <c r="N687" s="3" t="s">
        <v>7288</v>
      </c>
      <c r="O687" s="3" t="s">
        <v>7161</v>
      </c>
      <c r="P687" s="19">
        <v>1.0</v>
      </c>
      <c r="Q687" s="19">
        <v>0.0</v>
      </c>
      <c r="R687" s="19">
        <v>0.0</v>
      </c>
      <c r="S687" s="19">
        <v>0.0</v>
      </c>
      <c r="T687" s="2"/>
      <c r="U687" s="2"/>
    </row>
    <row r="688">
      <c r="A688" s="3" t="s">
        <v>7791</v>
      </c>
      <c r="B688" s="3" t="s">
        <v>7266</v>
      </c>
      <c r="C688" s="29">
        <v>46282.375</v>
      </c>
      <c r="D688" s="29">
        <v>46282.39583333333</v>
      </c>
      <c r="E688" s="30">
        <v>0.5</v>
      </c>
      <c r="F688" s="2"/>
      <c r="G688" s="2"/>
      <c r="H688" s="3" t="s">
        <v>7146</v>
      </c>
      <c r="I688" s="3" t="s">
        <v>7161</v>
      </c>
      <c r="J688" s="3" t="s">
        <v>7156</v>
      </c>
      <c r="K688" s="3" t="s">
        <v>7149</v>
      </c>
      <c r="L688" s="19">
        <v>4.0</v>
      </c>
      <c r="M688" s="3" t="s">
        <v>7267</v>
      </c>
      <c r="N688" s="3" t="s">
        <v>7267</v>
      </c>
      <c r="O688" s="3" t="s">
        <v>7792</v>
      </c>
      <c r="P688" s="19">
        <v>1.0</v>
      </c>
      <c r="Q688" s="19">
        <v>1.0</v>
      </c>
      <c r="R688" s="19">
        <v>0.0</v>
      </c>
      <c r="S688" s="19">
        <v>2.0</v>
      </c>
      <c r="T688" s="3" t="s">
        <v>6752</v>
      </c>
      <c r="U688" s="3" t="s">
        <v>319</v>
      </c>
    </row>
    <row r="689">
      <c r="A689" s="3" t="s">
        <v>7969</v>
      </c>
      <c r="B689" s="3" t="s">
        <v>7262</v>
      </c>
      <c r="C689" s="29">
        <v>46282.47916666667</v>
      </c>
      <c r="D689" s="29">
        <v>46282.5</v>
      </c>
      <c r="E689" s="30">
        <v>0.5</v>
      </c>
      <c r="F689" s="2"/>
      <c r="G689" s="2"/>
      <c r="H689" s="3" t="s">
        <v>7146</v>
      </c>
      <c r="I689" s="3" t="s">
        <v>7161</v>
      </c>
      <c r="J689" s="3" t="s">
        <v>7156</v>
      </c>
      <c r="K689" s="3" t="s">
        <v>7149</v>
      </c>
      <c r="L689" s="19">
        <v>2.0</v>
      </c>
      <c r="M689" s="3" t="s">
        <v>7263</v>
      </c>
      <c r="N689" s="3" t="s">
        <v>7263</v>
      </c>
      <c r="O689" s="3" t="s">
        <v>7218</v>
      </c>
      <c r="P689" s="19">
        <v>2.0</v>
      </c>
      <c r="Q689" s="19">
        <v>0.0</v>
      </c>
      <c r="R689" s="19">
        <v>0.0</v>
      </c>
      <c r="S689" s="19">
        <v>0.0</v>
      </c>
      <c r="T689" s="3" t="s">
        <v>128</v>
      </c>
      <c r="U689" s="3" t="s">
        <v>301</v>
      </c>
    </row>
    <row r="690">
      <c r="A690" s="3" t="s">
        <v>7804</v>
      </c>
      <c r="B690" s="3" t="s">
        <v>7805</v>
      </c>
      <c r="C690" s="29">
        <v>46282.5</v>
      </c>
      <c r="D690" s="29">
        <v>46282.52083333333</v>
      </c>
      <c r="E690" s="30">
        <v>0.5</v>
      </c>
      <c r="F690" s="2"/>
      <c r="G690" s="2"/>
      <c r="H690" s="3" t="s">
        <v>7146</v>
      </c>
      <c r="I690" s="3" t="s">
        <v>7338</v>
      </c>
      <c r="J690" s="3" t="s">
        <v>7288</v>
      </c>
      <c r="K690" s="3" t="s">
        <v>7149</v>
      </c>
      <c r="L690" s="19">
        <v>1.0</v>
      </c>
      <c r="M690" s="3" t="s">
        <v>7806</v>
      </c>
      <c r="N690" s="3" t="s">
        <v>7806</v>
      </c>
      <c r="O690" s="3" t="s">
        <v>7161</v>
      </c>
      <c r="P690" s="19">
        <v>1.0</v>
      </c>
      <c r="Q690" s="19">
        <v>0.0</v>
      </c>
      <c r="R690" s="19">
        <v>0.0</v>
      </c>
      <c r="S690" s="19">
        <v>0.0</v>
      </c>
      <c r="T690" s="3" t="s">
        <v>157</v>
      </c>
      <c r="U690" s="3" t="s">
        <v>158</v>
      </c>
    </row>
    <row r="691">
      <c r="A691" s="3" t="s">
        <v>7659</v>
      </c>
      <c r="B691" s="3" t="s">
        <v>7420</v>
      </c>
      <c r="C691" s="29">
        <v>46282.52083333333</v>
      </c>
      <c r="D691" s="29">
        <v>46282.54166666667</v>
      </c>
      <c r="E691" s="30">
        <v>0.5</v>
      </c>
      <c r="F691" s="2"/>
      <c r="G691" s="2"/>
      <c r="H691" s="3" t="s">
        <v>7146</v>
      </c>
      <c r="I691" s="3" t="s">
        <v>7161</v>
      </c>
      <c r="J691" s="3" t="s">
        <v>7156</v>
      </c>
      <c r="K691" s="3" t="s">
        <v>7149</v>
      </c>
      <c r="L691" s="19">
        <v>5.0</v>
      </c>
      <c r="M691" s="3" t="s">
        <v>7571</v>
      </c>
      <c r="N691" s="3" t="s">
        <v>7571</v>
      </c>
      <c r="O691" s="3" t="s">
        <v>7970</v>
      </c>
      <c r="P691" s="19">
        <v>3.0</v>
      </c>
      <c r="Q691" s="19">
        <v>1.0</v>
      </c>
      <c r="R691" s="19">
        <v>0.0</v>
      </c>
      <c r="S691" s="19">
        <v>1.0</v>
      </c>
      <c r="T691" s="3" t="s">
        <v>125</v>
      </c>
      <c r="U691" s="3" t="s">
        <v>126</v>
      </c>
    </row>
    <row r="692">
      <c r="A692" s="3" t="s">
        <v>7812</v>
      </c>
      <c r="B692" s="3" t="s">
        <v>7813</v>
      </c>
      <c r="C692" s="29">
        <v>46282.5625</v>
      </c>
      <c r="D692" s="29">
        <v>46282.58333333333</v>
      </c>
      <c r="E692" s="30">
        <v>0.5</v>
      </c>
      <c r="F692" s="2"/>
      <c r="G692" s="3" t="s">
        <v>7814</v>
      </c>
      <c r="H692" s="3" t="s">
        <v>7146</v>
      </c>
      <c r="I692" s="3" t="s">
        <v>7338</v>
      </c>
      <c r="J692" s="3" t="s">
        <v>7288</v>
      </c>
      <c r="K692" s="3" t="s">
        <v>7149</v>
      </c>
      <c r="L692" s="19">
        <v>3.0</v>
      </c>
      <c r="M692" s="3" t="s">
        <v>7815</v>
      </c>
      <c r="N692" s="3" t="s">
        <v>7815</v>
      </c>
      <c r="O692" s="3" t="s">
        <v>7601</v>
      </c>
      <c r="P692" s="19">
        <v>1.0</v>
      </c>
      <c r="Q692" s="19">
        <v>0.0</v>
      </c>
      <c r="R692" s="19">
        <v>0.0</v>
      </c>
      <c r="S692" s="19">
        <v>2.0</v>
      </c>
      <c r="T692" s="3" t="s">
        <v>190</v>
      </c>
      <c r="U692" s="3" t="s">
        <v>191</v>
      </c>
    </row>
    <row r="693">
      <c r="A693" s="3" t="s">
        <v>7927</v>
      </c>
      <c r="B693" s="3" t="s">
        <v>7928</v>
      </c>
      <c r="C693" s="29">
        <v>46282.70833333333</v>
      </c>
      <c r="D693" s="29">
        <v>46282.72916666667</v>
      </c>
      <c r="E693" s="30">
        <v>0.5</v>
      </c>
      <c r="F693" s="2"/>
      <c r="G693" s="3" t="s">
        <v>7929</v>
      </c>
      <c r="H693" s="3" t="s">
        <v>7146</v>
      </c>
      <c r="I693" s="3" t="s">
        <v>7161</v>
      </c>
      <c r="J693" s="3" t="s">
        <v>7148</v>
      </c>
      <c r="K693" s="3" t="s">
        <v>7149</v>
      </c>
      <c r="L693" s="19">
        <v>10.0</v>
      </c>
      <c r="M693" s="3" t="s">
        <v>7930</v>
      </c>
      <c r="N693" s="3" t="s">
        <v>7931</v>
      </c>
      <c r="O693" s="3" t="s">
        <v>7932</v>
      </c>
      <c r="P693" s="19">
        <v>6.0</v>
      </c>
      <c r="Q693" s="19">
        <v>0.0</v>
      </c>
      <c r="R693" s="19">
        <v>1.0</v>
      </c>
      <c r="S693" s="19">
        <v>3.0</v>
      </c>
      <c r="T693" s="3" t="s">
        <v>160</v>
      </c>
      <c r="U693" s="3" t="s">
        <v>440</v>
      </c>
    </row>
    <row r="694">
      <c r="A694" s="3" t="s">
        <v>7825</v>
      </c>
      <c r="B694" s="3" t="s">
        <v>7471</v>
      </c>
      <c r="C694" s="29">
        <v>46283.41666666667</v>
      </c>
      <c r="D694" s="29">
        <v>46283.4375</v>
      </c>
      <c r="E694" s="30">
        <v>0.5</v>
      </c>
      <c r="F694" s="2"/>
      <c r="G694" s="2"/>
      <c r="H694" s="3" t="s">
        <v>7146</v>
      </c>
      <c r="I694" s="3" t="s">
        <v>7161</v>
      </c>
      <c r="J694" s="3" t="s">
        <v>7156</v>
      </c>
      <c r="K694" s="3" t="s">
        <v>7149</v>
      </c>
      <c r="L694" s="19">
        <v>5.0</v>
      </c>
      <c r="M694" s="3" t="s">
        <v>7826</v>
      </c>
      <c r="N694" s="3" t="s">
        <v>7826</v>
      </c>
      <c r="O694" s="3" t="s">
        <v>7974</v>
      </c>
      <c r="P694" s="19">
        <v>2.0</v>
      </c>
      <c r="Q694" s="19">
        <v>0.0</v>
      </c>
      <c r="R694" s="19">
        <v>0.0</v>
      </c>
      <c r="S694" s="19">
        <v>3.0</v>
      </c>
      <c r="T694" s="3" t="s">
        <v>199</v>
      </c>
      <c r="U694" s="3" t="s">
        <v>272</v>
      </c>
    </row>
    <row r="695">
      <c r="A695" s="3" t="s">
        <v>7980</v>
      </c>
      <c r="B695" s="3" t="s">
        <v>7221</v>
      </c>
      <c r="C695" s="29">
        <v>46283.41666666667</v>
      </c>
      <c r="D695" s="29">
        <v>46283.4375</v>
      </c>
      <c r="E695" s="30">
        <v>0.5</v>
      </c>
      <c r="G695" s="2"/>
      <c r="H695" s="3" t="s">
        <v>7146</v>
      </c>
      <c r="I695" s="3" t="s">
        <v>7161</v>
      </c>
      <c r="J695" s="3" t="s">
        <v>7156</v>
      </c>
      <c r="K695" s="3" t="s">
        <v>7149</v>
      </c>
      <c r="L695" s="19">
        <v>4.0</v>
      </c>
      <c r="M695" s="3" t="s">
        <v>7935</v>
      </c>
      <c r="N695" s="3" t="s">
        <v>7935</v>
      </c>
      <c r="O695" s="3" t="s">
        <v>7453</v>
      </c>
      <c r="P695" s="19">
        <v>3.0</v>
      </c>
      <c r="Q695" s="19">
        <v>0.0</v>
      </c>
      <c r="R695" s="19">
        <v>0.0</v>
      </c>
      <c r="S695" s="19">
        <v>1.0</v>
      </c>
      <c r="T695" s="3" t="s">
        <v>6608</v>
      </c>
      <c r="U695" s="3" t="s">
        <v>294</v>
      </c>
    </row>
    <row r="696">
      <c r="A696" s="3" t="s">
        <v>7679</v>
      </c>
      <c r="B696" s="3" t="s">
        <v>7546</v>
      </c>
      <c r="C696" s="29">
        <v>46283.47916666667</v>
      </c>
      <c r="D696" s="29">
        <v>46283.52083333333</v>
      </c>
      <c r="E696" s="30">
        <v>1.0</v>
      </c>
      <c r="F696" s="2"/>
      <c r="G696" s="2"/>
      <c r="H696" s="3" t="s">
        <v>7146</v>
      </c>
      <c r="I696" s="3" t="s">
        <v>7338</v>
      </c>
      <c r="J696" s="3" t="s">
        <v>7288</v>
      </c>
      <c r="K696" s="3" t="s">
        <v>7149</v>
      </c>
      <c r="L696" s="19">
        <v>1.0</v>
      </c>
      <c r="M696" s="3" t="s">
        <v>7680</v>
      </c>
      <c r="N696" s="3" t="s">
        <v>7680</v>
      </c>
      <c r="O696" s="3" t="s">
        <v>7161</v>
      </c>
      <c r="P696" s="19">
        <v>1.0</v>
      </c>
      <c r="Q696" s="19">
        <v>0.0</v>
      </c>
      <c r="R696" s="19">
        <v>0.0</v>
      </c>
      <c r="S696" s="19">
        <v>0.0</v>
      </c>
      <c r="T696" s="3" t="s">
        <v>119</v>
      </c>
      <c r="U696" s="3" t="s">
        <v>251</v>
      </c>
    </row>
    <row r="697">
      <c r="A697" s="3" t="s">
        <v>7976</v>
      </c>
      <c r="B697" s="3" t="s">
        <v>7977</v>
      </c>
      <c r="C697" s="29">
        <v>46286.58333333333</v>
      </c>
      <c r="D697" s="29">
        <v>46286.60416666667</v>
      </c>
      <c r="E697" s="30">
        <v>0.5</v>
      </c>
      <c r="F697" s="2"/>
      <c r="G697" s="2"/>
      <c r="H697" s="3" t="s">
        <v>7146</v>
      </c>
      <c r="I697" s="3" t="s">
        <v>7338</v>
      </c>
      <c r="J697" s="3" t="s">
        <v>7288</v>
      </c>
      <c r="K697" s="3" t="s">
        <v>7149</v>
      </c>
      <c r="L697" s="19">
        <v>3.0</v>
      </c>
      <c r="M697" s="3" t="s">
        <v>7978</v>
      </c>
      <c r="N697" s="3" t="s">
        <v>7978</v>
      </c>
      <c r="O697" s="3" t="s">
        <v>7326</v>
      </c>
      <c r="P697" s="19">
        <v>1.0</v>
      </c>
      <c r="Q697" s="19">
        <v>0.0</v>
      </c>
      <c r="R697" s="19">
        <v>0.0</v>
      </c>
      <c r="S697" s="19">
        <v>2.0</v>
      </c>
      <c r="T697" s="3" t="s">
        <v>98</v>
      </c>
      <c r="U697" s="3" t="s">
        <v>99</v>
      </c>
    </row>
    <row r="698">
      <c r="A698" s="3" t="s">
        <v>7896</v>
      </c>
      <c r="B698" s="3" t="s">
        <v>7463</v>
      </c>
      <c r="C698" s="29">
        <v>46286.60416666667</v>
      </c>
      <c r="D698" s="29">
        <v>46286.625</v>
      </c>
      <c r="E698" s="30">
        <v>0.5</v>
      </c>
      <c r="F698" s="2"/>
      <c r="G698" s="3" t="s">
        <v>7541</v>
      </c>
      <c r="H698" s="3" t="s">
        <v>7146</v>
      </c>
      <c r="I698" s="3" t="s">
        <v>7338</v>
      </c>
      <c r="J698" s="3" t="s">
        <v>7288</v>
      </c>
      <c r="K698" s="3" t="s">
        <v>7149</v>
      </c>
      <c r="L698" s="19">
        <v>1.0</v>
      </c>
      <c r="M698" s="3" t="s">
        <v>7897</v>
      </c>
      <c r="N698" s="3" t="s">
        <v>7897</v>
      </c>
      <c r="O698" s="3" t="s">
        <v>7161</v>
      </c>
      <c r="P698" s="19">
        <v>1.0</v>
      </c>
      <c r="Q698" s="19">
        <v>0.0</v>
      </c>
      <c r="R698" s="19">
        <v>0.0</v>
      </c>
      <c r="S698" s="19">
        <v>0.0</v>
      </c>
      <c r="T698" s="3" t="s">
        <v>101</v>
      </c>
      <c r="U698" s="3" t="s">
        <v>511</v>
      </c>
    </row>
    <row r="699">
      <c r="A699" s="3" t="s">
        <v>7904</v>
      </c>
      <c r="B699" s="3" t="s">
        <v>7183</v>
      </c>
      <c r="C699" s="29">
        <v>46287.5</v>
      </c>
      <c r="D699" s="29">
        <v>46287.52083333333</v>
      </c>
      <c r="E699" s="30">
        <v>0.5</v>
      </c>
      <c r="F699" s="2"/>
      <c r="G699" s="3" t="s">
        <v>7692</v>
      </c>
      <c r="H699" s="3" t="s">
        <v>7146</v>
      </c>
      <c r="I699" s="3" t="s">
        <v>7161</v>
      </c>
      <c r="J699" s="3" t="s">
        <v>7156</v>
      </c>
      <c r="K699" s="3" t="s">
        <v>7149</v>
      </c>
      <c r="L699" s="19">
        <v>2.0</v>
      </c>
      <c r="M699" s="3" t="s">
        <v>7905</v>
      </c>
      <c r="N699" s="3" t="s">
        <v>7906</v>
      </c>
      <c r="O699" s="3" t="s">
        <v>7944</v>
      </c>
      <c r="P699" s="19">
        <v>1.0</v>
      </c>
      <c r="Q699" s="19">
        <v>0.0</v>
      </c>
      <c r="R699" s="19">
        <v>1.0</v>
      </c>
      <c r="S699" s="19">
        <v>0.0</v>
      </c>
      <c r="T699" s="3" t="s">
        <v>184</v>
      </c>
      <c r="U699" s="3" t="s">
        <v>478</v>
      </c>
    </row>
    <row r="700">
      <c r="A700" s="3" t="s">
        <v>7912</v>
      </c>
      <c r="B700" s="3" t="s">
        <v>7696</v>
      </c>
      <c r="C700" s="29">
        <v>46288.41666666667</v>
      </c>
      <c r="D700" s="29">
        <v>46288.4375</v>
      </c>
      <c r="E700" s="30">
        <v>0.5</v>
      </c>
      <c r="F700" s="2"/>
      <c r="G700" s="2"/>
      <c r="H700" s="3" t="s">
        <v>7146</v>
      </c>
      <c r="I700" s="3" t="s">
        <v>7161</v>
      </c>
      <c r="J700" s="3" t="s">
        <v>7274</v>
      </c>
      <c r="K700" s="3" t="s">
        <v>7149</v>
      </c>
      <c r="L700" s="19">
        <v>1.0</v>
      </c>
      <c r="M700" s="3" t="s">
        <v>7288</v>
      </c>
      <c r="N700" s="3" t="s">
        <v>7288</v>
      </c>
      <c r="O700" s="3" t="s">
        <v>7161</v>
      </c>
      <c r="P700" s="19">
        <v>1.0</v>
      </c>
      <c r="Q700" s="19">
        <v>0.0</v>
      </c>
      <c r="R700" s="19">
        <v>0.0</v>
      </c>
      <c r="S700" s="19">
        <v>0.0</v>
      </c>
      <c r="T700" s="2"/>
      <c r="U700" s="2"/>
    </row>
    <row r="701">
      <c r="A701" s="3" t="s">
        <v>7979</v>
      </c>
      <c r="B701" s="3" t="s">
        <v>7249</v>
      </c>
      <c r="C701" s="29">
        <v>46288.54166666667</v>
      </c>
      <c r="D701" s="29">
        <v>46288.5625</v>
      </c>
      <c r="E701" s="30">
        <v>0.5</v>
      </c>
      <c r="G701" s="2"/>
      <c r="H701" s="3" t="s">
        <v>7146</v>
      </c>
      <c r="I701" s="3" t="s">
        <v>7161</v>
      </c>
      <c r="J701" s="3" t="s">
        <v>7156</v>
      </c>
      <c r="K701" s="3" t="s">
        <v>7149</v>
      </c>
      <c r="L701" s="19">
        <v>2.0</v>
      </c>
      <c r="M701" s="3" t="s">
        <v>7921</v>
      </c>
      <c r="N701" s="3" t="s">
        <v>7921</v>
      </c>
      <c r="O701" s="3" t="s">
        <v>7218</v>
      </c>
      <c r="P701" s="19">
        <v>2.0</v>
      </c>
      <c r="Q701" s="19">
        <v>0.0</v>
      </c>
      <c r="R701" s="19">
        <v>0.0</v>
      </c>
      <c r="S701" s="19">
        <v>0.0</v>
      </c>
      <c r="T701" s="3" t="s">
        <v>187</v>
      </c>
      <c r="U701" s="3" t="s">
        <v>188</v>
      </c>
    </row>
    <row r="702">
      <c r="A702" s="3" t="s">
        <v>7951</v>
      </c>
      <c r="B702" s="3" t="s">
        <v>7160</v>
      </c>
      <c r="C702" s="29">
        <v>46289.4375</v>
      </c>
      <c r="D702" s="29">
        <v>46289.45833333333</v>
      </c>
      <c r="E702" s="30">
        <v>0.5</v>
      </c>
      <c r="G702" s="2"/>
      <c r="H702" s="3" t="s">
        <v>7146</v>
      </c>
      <c r="I702" s="3" t="s">
        <v>7161</v>
      </c>
      <c r="J702" s="3" t="s">
        <v>7156</v>
      </c>
      <c r="K702" s="3" t="s">
        <v>7149</v>
      </c>
      <c r="L702" s="19">
        <v>2.0</v>
      </c>
      <c r="M702" s="3" t="s">
        <v>7952</v>
      </c>
      <c r="N702" s="3" t="s">
        <v>7953</v>
      </c>
      <c r="O702" s="3" t="s">
        <v>7218</v>
      </c>
      <c r="P702" s="19">
        <v>2.0</v>
      </c>
      <c r="Q702" s="19">
        <v>0.0</v>
      </c>
      <c r="R702" s="19">
        <v>0.0</v>
      </c>
      <c r="S702" s="19">
        <v>0.0</v>
      </c>
      <c r="T702" s="3" t="s">
        <v>154</v>
      </c>
      <c r="U702" s="3" t="s">
        <v>329</v>
      </c>
    </row>
    <row r="703">
      <c r="A703" s="3" t="s">
        <v>7954</v>
      </c>
      <c r="B703" s="3" t="s">
        <v>7163</v>
      </c>
      <c r="C703" s="29">
        <v>46289.58333333333</v>
      </c>
      <c r="D703" s="29">
        <v>46289.60416666667</v>
      </c>
      <c r="E703" s="30">
        <v>0.5</v>
      </c>
      <c r="G703" s="2"/>
      <c r="H703" s="3" t="s">
        <v>7146</v>
      </c>
      <c r="I703" s="3" t="s">
        <v>7161</v>
      </c>
      <c r="J703" s="3" t="s">
        <v>7156</v>
      </c>
      <c r="K703" s="3" t="s">
        <v>7149</v>
      </c>
      <c r="L703" s="19">
        <v>5.0</v>
      </c>
      <c r="M703" s="3" t="s">
        <v>7955</v>
      </c>
      <c r="N703" s="3" t="s">
        <v>7955</v>
      </c>
      <c r="O703" s="3" t="s">
        <v>7956</v>
      </c>
      <c r="P703" s="19">
        <v>0.0</v>
      </c>
      <c r="Q703" s="19">
        <v>3.0</v>
      </c>
      <c r="R703" s="19">
        <v>0.0</v>
      </c>
      <c r="S703" s="19">
        <v>2.0</v>
      </c>
      <c r="T703" s="3" t="s">
        <v>151</v>
      </c>
      <c r="U703" s="3" t="s">
        <v>370</v>
      </c>
    </row>
    <row r="704">
      <c r="A704" s="3" t="s">
        <v>7679</v>
      </c>
      <c r="B704" s="3" t="s">
        <v>7546</v>
      </c>
      <c r="C704" s="29">
        <v>46290.47916666667</v>
      </c>
      <c r="D704" s="29">
        <v>46290.52083333333</v>
      </c>
      <c r="E704" s="30">
        <v>1.0</v>
      </c>
      <c r="F704" s="2"/>
      <c r="G704" s="2"/>
      <c r="H704" s="3" t="s">
        <v>7146</v>
      </c>
      <c r="I704" s="3" t="s">
        <v>7338</v>
      </c>
      <c r="J704" s="3" t="s">
        <v>7288</v>
      </c>
      <c r="K704" s="3" t="s">
        <v>7149</v>
      </c>
      <c r="L704" s="19">
        <v>1.0</v>
      </c>
      <c r="M704" s="3" t="s">
        <v>7680</v>
      </c>
      <c r="N704" s="3" t="s">
        <v>7680</v>
      </c>
      <c r="O704" s="3" t="s">
        <v>7161</v>
      </c>
      <c r="P704" s="19">
        <v>1.0</v>
      </c>
      <c r="Q704" s="19">
        <v>0.0</v>
      </c>
      <c r="R704" s="19">
        <v>0.0</v>
      </c>
      <c r="S704" s="19">
        <v>0.0</v>
      </c>
      <c r="T704" s="3" t="s">
        <v>119</v>
      </c>
      <c r="U704" s="3" t="s">
        <v>251</v>
      </c>
    </row>
    <row r="705">
      <c r="A705" s="3" t="s">
        <v>7960</v>
      </c>
      <c r="B705" s="3" t="s">
        <v>7961</v>
      </c>
      <c r="C705" s="29">
        <v>46293.54166666667</v>
      </c>
      <c r="D705" s="29">
        <v>46293.5625</v>
      </c>
      <c r="E705" s="30">
        <v>0.5</v>
      </c>
      <c r="G705" s="3" t="s">
        <v>7962</v>
      </c>
      <c r="H705" s="3" t="s">
        <v>7146</v>
      </c>
      <c r="I705" s="3" t="s">
        <v>7338</v>
      </c>
      <c r="J705" s="3" t="s">
        <v>7288</v>
      </c>
      <c r="K705" s="3" t="s">
        <v>7149</v>
      </c>
      <c r="L705" s="19">
        <v>3.0</v>
      </c>
      <c r="M705" s="3" t="s">
        <v>7788</v>
      </c>
      <c r="N705" s="3" t="s">
        <v>7788</v>
      </c>
      <c r="O705" s="3" t="s">
        <v>7326</v>
      </c>
      <c r="P705" s="19">
        <v>1.0</v>
      </c>
      <c r="Q705" s="19">
        <v>0.0</v>
      </c>
      <c r="R705" s="19">
        <v>0.0</v>
      </c>
      <c r="S705" s="19">
        <v>2.0</v>
      </c>
      <c r="T705" s="3" t="s">
        <v>131</v>
      </c>
      <c r="U705" s="3" t="s">
        <v>132</v>
      </c>
    </row>
    <row r="706">
      <c r="A706" s="3" t="s">
        <v>7963</v>
      </c>
      <c r="B706" s="3" t="s">
        <v>7234</v>
      </c>
      <c r="C706" s="29">
        <v>46293.58333333333</v>
      </c>
      <c r="D706" s="29">
        <v>46293.60416666667</v>
      </c>
      <c r="E706" s="30">
        <v>0.5</v>
      </c>
      <c r="G706" s="2"/>
      <c r="H706" s="3" t="s">
        <v>7146</v>
      </c>
      <c r="I706" s="3" t="s">
        <v>7147</v>
      </c>
      <c r="J706" s="3" t="s">
        <v>7156</v>
      </c>
      <c r="K706" s="3" t="s">
        <v>7149</v>
      </c>
      <c r="L706" s="19">
        <v>4.0</v>
      </c>
      <c r="M706" s="3" t="s">
        <v>7235</v>
      </c>
      <c r="N706" s="3" t="s">
        <v>7235</v>
      </c>
      <c r="O706" s="3" t="s">
        <v>7964</v>
      </c>
      <c r="P706" s="19">
        <v>0.0</v>
      </c>
      <c r="Q706" s="19">
        <v>1.0</v>
      </c>
      <c r="R706" s="19">
        <v>0.0</v>
      </c>
      <c r="S706" s="19">
        <v>3.0</v>
      </c>
      <c r="T706" s="3" t="s">
        <v>166</v>
      </c>
      <c r="U706" s="3" t="s">
        <v>167</v>
      </c>
    </row>
    <row r="707">
      <c r="A707" s="3" t="s">
        <v>7896</v>
      </c>
      <c r="B707" s="3" t="s">
        <v>7463</v>
      </c>
      <c r="C707" s="29">
        <v>46293.60416666667</v>
      </c>
      <c r="D707" s="29">
        <v>46293.625</v>
      </c>
      <c r="E707" s="30">
        <v>0.5</v>
      </c>
      <c r="F707" s="2"/>
      <c r="G707" s="3" t="s">
        <v>7541</v>
      </c>
      <c r="H707" s="3" t="s">
        <v>7146</v>
      </c>
      <c r="I707" s="3" t="s">
        <v>7338</v>
      </c>
      <c r="J707" s="3" t="s">
        <v>7288</v>
      </c>
      <c r="K707" s="3" t="s">
        <v>7149</v>
      </c>
      <c r="L707" s="19">
        <v>1.0</v>
      </c>
      <c r="M707" s="3" t="s">
        <v>7897</v>
      </c>
      <c r="N707" s="3" t="s">
        <v>7897</v>
      </c>
      <c r="O707" s="3" t="s">
        <v>7161</v>
      </c>
      <c r="P707" s="19">
        <v>1.0</v>
      </c>
      <c r="Q707" s="19">
        <v>0.0</v>
      </c>
      <c r="R707" s="19">
        <v>0.0</v>
      </c>
      <c r="S707" s="19">
        <v>0.0</v>
      </c>
      <c r="T707" s="3" t="s">
        <v>101</v>
      </c>
      <c r="U707" s="3" t="s">
        <v>511</v>
      </c>
    </row>
    <row r="708">
      <c r="A708" s="3" t="s">
        <v>7904</v>
      </c>
      <c r="B708" s="3" t="s">
        <v>7183</v>
      </c>
      <c r="C708" s="29">
        <v>46294.5</v>
      </c>
      <c r="D708" s="29">
        <v>46294.52083333333</v>
      </c>
      <c r="E708" s="30">
        <v>0.5</v>
      </c>
      <c r="F708" s="2"/>
      <c r="G708" s="3" t="s">
        <v>7692</v>
      </c>
      <c r="H708" s="3" t="s">
        <v>7146</v>
      </c>
      <c r="I708" s="3" t="s">
        <v>7161</v>
      </c>
      <c r="J708" s="3" t="s">
        <v>7156</v>
      </c>
      <c r="K708" s="3" t="s">
        <v>7149</v>
      </c>
      <c r="L708" s="19">
        <v>2.0</v>
      </c>
      <c r="M708" s="3" t="s">
        <v>7905</v>
      </c>
      <c r="N708" s="3" t="s">
        <v>7906</v>
      </c>
      <c r="O708" s="3" t="s">
        <v>7944</v>
      </c>
      <c r="P708" s="19">
        <v>1.0</v>
      </c>
      <c r="Q708" s="19">
        <v>0.0</v>
      </c>
      <c r="R708" s="19">
        <v>1.0</v>
      </c>
      <c r="S708" s="19">
        <v>0.0</v>
      </c>
      <c r="T708" s="3" t="s">
        <v>184</v>
      </c>
      <c r="U708" s="3" t="s">
        <v>478</v>
      </c>
    </row>
    <row r="709">
      <c r="A709" s="3" t="s">
        <v>7901</v>
      </c>
      <c r="B709" s="3" t="s">
        <v>7689</v>
      </c>
      <c r="C709" s="29">
        <v>46294.5625</v>
      </c>
      <c r="D709" s="29">
        <v>46294.58333333333</v>
      </c>
      <c r="E709" s="30">
        <v>0.5</v>
      </c>
      <c r="F709" s="2"/>
      <c r="G709" s="2"/>
      <c r="H709" s="3" t="s">
        <v>7146</v>
      </c>
      <c r="I709" s="3" t="s">
        <v>7338</v>
      </c>
      <c r="J709" s="3" t="s">
        <v>7288</v>
      </c>
      <c r="K709" s="3" t="s">
        <v>7149</v>
      </c>
      <c r="L709" s="19">
        <v>1.0</v>
      </c>
      <c r="M709" s="3" t="s">
        <v>7902</v>
      </c>
      <c r="N709" s="3" t="s">
        <v>7902</v>
      </c>
      <c r="O709" s="3" t="s">
        <v>7161</v>
      </c>
      <c r="P709" s="19">
        <v>1.0</v>
      </c>
      <c r="Q709" s="19">
        <v>0.0</v>
      </c>
      <c r="R709" s="19">
        <v>0.0</v>
      </c>
      <c r="S709" s="19">
        <v>0.0</v>
      </c>
      <c r="T709" s="3" t="s">
        <v>142</v>
      </c>
      <c r="U709" s="3" t="s">
        <v>143</v>
      </c>
    </row>
    <row r="710">
      <c r="A710" s="3" t="s">
        <v>7912</v>
      </c>
      <c r="B710" s="3" t="s">
        <v>7696</v>
      </c>
      <c r="C710" s="29">
        <v>46295.41666666667</v>
      </c>
      <c r="D710" s="29">
        <v>46295.4375</v>
      </c>
      <c r="E710" s="30">
        <v>0.5</v>
      </c>
      <c r="F710" s="2"/>
      <c r="G710" s="2"/>
      <c r="H710" s="3" t="s">
        <v>7146</v>
      </c>
      <c r="I710" s="3" t="s">
        <v>7161</v>
      </c>
      <c r="J710" s="3" t="s">
        <v>7274</v>
      </c>
      <c r="K710" s="3" t="s">
        <v>7149</v>
      </c>
      <c r="L710" s="19">
        <v>1.0</v>
      </c>
      <c r="M710" s="3" t="s">
        <v>7288</v>
      </c>
      <c r="N710" s="3" t="s">
        <v>7288</v>
      </c>
      <c r="O710" s="3" t="s">
        <v>7161</v>
      </c>
      <c r="P710" s="19">
        <v>1.0</v>
      </c>
      <c r="Q710" s="19">
        <v>0.0</v>
      </c>
      <c r="R710" s="19">
        <v>0.0</v>
      </c>
      <c r="S710" s="19">
        <v>0.0</v>
      </c>
      <c r="T710" s="2"/>
      <c r="U710" s="2"/>
    </row>
    <row r="711">
      <c r="A711" s="3" t="s">
        <v>7794</v>
      </c>
      <c r="B711" s="3" t="s">
        <v>7795</v>
      </c>
      <c r="C711" s="29">
        <v>46296.39583333333</v>
      </c>
      <c r="D711" s="29">
        <v>46296.41666666667</v>
      </c>
      <c r="E711" s="30">
        <v>0.5</v>
      </c>
      <c r="F711" s="2"/>
      <c r="G711" s="2"/>
      <c r="H711" s="3" t="s">
        <v>7146</v>
      </c>
      <c r="I711" s="3" t="s">
        <v>7161</v>
      </c>
      <c r="J711" s="3" t="s">
        <v>7168</v>
      </c>
      <c r="K711" s="3" t="s">
        <v>7149</v>
      </c>
      <c r="L711" s="19">
        <v>6.0</v>
      </c>
      <c r="M711" s="3" t="s">
        <v>7196</v>
      </c>
      <c r="N711" s="3" t="s">
        <v>7196</v>
      </c>
      <c r="O711" s="3" t="s">
        <v>7197</v>
      </c>
      <c r="P711" s="19">
        <v>4.0</v>
      </c>
      <c r="Q711" s="19">
        <v>0.0</v>
      </c>
      <c r="R711" s="19">
        <v>0.0</v>
      </c>
      <c r="S711" s="19">
        <v>2.0</v>
      </c>
      <c r="T711" s="3" t="s">
        <v>178</v>
      </c>
      <c r="U711" s="3" t="s">
        <v>179</v>
      </c>
    </row>
    <row r="712">
      <c r="A712" s="3" t="s">
        <v>7804</v>
      </c>
      <c r="B712" s="3" t="s">
        <v>7805</v>
      </c>
      <c r="C712" s="29">
        <v>46296.5</v>
      </c>
      <c r="D712" s="29">
        <v>46296.52083333333</v>
      </c>
      <c r="E712" s="30">
        <v>0.5</v>
      </c>
      <c r="F712" s="2"/>
      <c r="G712" s="2"/>
      <c r="H712" s="3" t="s">
        <v>7146</v>
      </c>
      <c r="I712" s="3" t="s">
        <v>7338</v>
      </c>
      <c r="J712" s="3" t="s">
        <v>7288</v>
      </c>
      <c r="K712" s="3" t="s">
        <v>7149</v>
      </c>
      <c r="L712" s="19">
        <v>1.0</v>
      </c>
      <c r="M712" s="3" t="s">
        <v>7806</v>
      </c>
      <c r="N712" s="3" t="s">
        <v>7806</v>
      </c>
      <c r="O712" s="3" t="s">
        <v>7161</v>
      </c>
      <c r="P712" s="19">
        <v>1.0</v>
      </c>
      <c r="Q712" s="19">
        <v>0.0</v>
      </c>
      <c r="R712" s="19">
        <v>0.0</v>
      </c>
      <c r="S712" s="19">
        <v>0.0</v>
      </c>
      <c r="T712" s="3" t="s">
        <v>157</v>
      </c>
      <c r="U712" s="3" t="s">
        <v>158</v>
      </c>
    </row>
    <row r="713">
      <c r="A713" s="3" t="s">
        <v>7659</v>
      </c>
      <c r="B713" s="3" t="s">
        <v>7420</v>
      </c>
      <c r="C713" s="29">
        <v>46296.52083333333</v>
      </c>
      <c r="D713" s="29">
        <v>46296.54166666667</v>
      </c>
      <c r="E713" s="30">
        <v>0.5</v>
      </c>
      <c r="F713" s="2"/>
      <c r="G713" s="2"/>
      <c r="H713" s="3" t="s">
        <v>7146</v>
      </c>
      <c r="I713" s="3" t="s">
        <v>7161</v>
      </c>
      <c r="J713" s="3" t="s">
        <v>7156</v>
      </c>
      <c r="K713" s="3" t="s">
        <v>7149</v>
      </c>
      <c r="L713" s="19">
        <v>5.0</v>
      </c>
      <c r="M713" s="3" t="s">
        <v>7571</v>
      </c>
      <c r="N713" s="3" t="s">
        <v>7571</v>
      </c>
      <c r="O713" s="3" t="s">
        <v>7970</v>
      </c>
      <c r="P713" s="19">
        <v>3.0</v>
      </c>
      <c r="Q713" s="19">
        <v>1.0</v>
      </c>
      <c r="R713" s="19">
        <v>0.0</v>
      </c>
      <c r="S713" s="19">
        <v>1.0</v>
      </c>
      <c r="T713" s="3" t="s">
        <v>125</v>
      </c>
      <c r="U713" s="3" t="s">
        <v>126</v>
      </c>
    </row>
    <row r="714">
      <c r="A714" s="3" t="s">
        <v>7971</v>
      </c>
      <c r="B714" s="3" t="s">
        <v>7178</v>
      </c>
      <c r="C714" s="29">
        <v>46297.39583333333</v>
      </c>
      <c r="D714" s="29">
        <v>46297.41666666667</v>
      </c>
      <c r="E714" s="30">
        <v>0.5</v>
      </c>
      <c r="F714" s="2"/>
      <c r="G714" s="25" t="s">
        <v>7972</v>
      </c>
      <c r="H714" s="3" t="s">
        <v>7146</v>
      </c>
      <c r="I714" s="3" t="s">
        <v>7161</v>
      </c>
      <c r="J714" s="3" t="s">
        <v>7156</v>
      </c>
      <c r="K714" s="3" t="s">
        <v>7149</v>
      </c>
      <c r="L714" s="19">
        <v>3.0</v>
      </c>
      <c r="M714" s="3" t="s">
        <v>7973</v>
      </c>
      <c r="N714" s="3" t="s">
        <v>7973</v>
      </c>
      <c r="O714" s="3" t="s">
        <v>7231</v>
      </c>
      <c r="P714" s="19">
        <v>2.0</v>
      </c>
      <c r="Q714" s="19">
        <v>1.0</v>
      </c>
      <c r="R714" s="19">
        <v>0.0</v>
      </c>
      <c r="S714" s="19">
        <v>0.0</v>
      </c>
      <c r="T714" s="3" t="s">
        <v>169</v>
      </c>
      <c r="U714" s="3" t="s">
        <v>170</v>
      </c>
    </row>
    <row r="715">
      <c r="A715" s="3" t="s">
        <v>7825</v>
      </c>
      <c r="B715" s="3" t="s">
        <v>7471</v>
      </c>
      <c r="C715" s="29">
        <v>46297.41666666667</v>
      </c>
      <c r="D715" s="29">
        <v>46297.4375</v>
      </c>
      <c r="E715" s="30">
        <v>0.5</v>
      </c>
      <c r="F715" s="2"/>
      <c r="G715" s="2"/>
      <c r="H715" s="3" t="s">
        <v>7146</v>
      </c>
      <c r="I715" s="3" t="s">
        <v>7161</v>
      </c>
      <c r="J715" s="3" t="s">
        <v>7156</v>
      </c>
      <c r="K715" s="3" t="s">
        <v>7149</v>
      </c>
      <c r="L715" s="19">
        <v>5.0</v>
      </c>
      <c r="M715" s="3" t="s">
        <v>7826</v>
      </c>
      <c r="N715" s="3" t="s">
        <v>7826</v>
      </c>
      <c r="O715" s="3" t="s">
        <v>7974</v>
      </c>
      <c r="P715" s="19">
        <v>2.0</v>
      </c>
      <c r="Q715" s="19">
        <v>0.0</v>
      </c>
      <c r="R715" s="19">
        <v>0.0</v>
      </c>
      <c r="S715" s="19">
        <v>3.0</v>
      </c>
      <c r="T715" s="3" t="s">
        <v>199</v>
      </c>
      <c r="U715" s="3" t="s">
        <v>272</v>
      </c>
    </row>
    <row r="716">
      <c r="A716" s="3" t="s">
        <v>7679</v>
      </c>
      <c r="B716" s="3" t="s">
        <v>7546</v>
      </c>
      <c r="C716" s="29">
        <v>46297.47916666667</v>
      </c>
      <c r="D716" s="29">
        <v>46297.52083333333</v>
      </c>
      <c r="E716" s="30">
        <v>1.0</v>
      </c>
      <c r="G716" s="2"/>
      <c r="H716" s="3" t="s">
        <v>7146</v>
      </c>
      <c r="I716" s="3" t="s">
        <v>7338</v>
      </c>
      <c r="J716" s="3" t="s">
        <v>7288</v>
      </c>
      <c r="K716" s="3" t="s">
        <v>7149</v>
      </c>
      <c r="L716" s="19">
        <v>1.0</v>
      </c>
      <c r="M716" s="3" t="s">
        <v>7680</v>
      </c>
      <c r="N716" s="3" t="s">
        <v>7680</v>
      </c>
      <c r="O716" s="3" t="s">
        <v>7161</v>
      </c>
      <c r="P716" s="19">
        <v>1.0</v>
      </c>
      <c r="Q716" s="19">
        <v>0.0</v>
      </c>
      <c r="R716" s="19">
        <v>0.0</v>
      </c>
      <c r="S716" s="19">
        <v>0.0</v>
      </c>
      <c r="T716" s="3" t="s">
        <v>119</v>
      </c>
      <c r="U716" s="3" t="s">
        <v>251</v>
      </c>
    </row>
    <row r="717">
      <c r="A717" s="3" t="s">
        <v>7975</v>
      </c>
      <c r="B717" s="3" t="s">
        <v>7167</v>
      </c>
      <c r="C717" s="29">
        <v>46297.54166666667</v>
      </c>
      <c r="D717" s="29">
        <v>46297.5625</v>
      </c>
      <c r="E717" s="30">
        <v>0.5</v>
      </c>
      <c r="F717" s="2"/>
      <c r="G717" s="2"/>
      <c r="H717" s="3" t="s">
        <v>7146</v>
      </c>
      <c r="I717" s="3" t="s">
        <v>7338</v>
      </c>
      <c r="J717" s="3" t="s">
        <v>7288</v>
      </c>
      <c r="K717" s="3" t="s">
        <v>7149</v>
      </c>
      <c r="L717" s="19">
        <v>4.0</v>
      </c>
      <c r="M717" s="3" t="s">
        <v>7169</v>
      </c>
      <c r="N717" s="3" t="s">
        <v>7170</v>
      </c>
      <c r="O717" s="3" t="s">
        <v>7268</v>
      </c>
      <c r="P717" s="19">
        <v>1.0</v>
      </c>
      <c r="Q717" s="19">
        <v>0.0</v>
      </c>
      <c r="R717" s="19">
        <v>0.0</v>
      </c>
      <c r="S717" s="19">
        <v>3.0</v>
      </c>
      <c r="T717" s="3" t="s">
        <v>205</v>
      </c>
      <c r="U717" s="3" t="s">
        <v>206</v>
      </c>
    </row>
    <row r="718">
      <c r="A718" s="3" t="s">
        <v>7896</v>
      </c>
      <c r="B718" s="3" t="s">
        <v>7463</v>
      </c>
      <c r="C718" s="29">
        <v>46300.60416666667</v>
      </c>
      <c r="D718" s="29">
        <v>46300.625</v>
      </c>
      <c r="E718" s="30">
        <v>0.5</v>
      </c>
      <c r="G718" s="3" t="s">
        <v>7541</v>
      </c>
      <c r="H718" s="3" t="s">
        <v>7146</v>
      </c>
      <c r="I718" s="3" t="s">
        <v>7338</v>
      </c>
      <c r="J718" s="3" t="s">
        <v>7288</v>
      </c>
      <c r="K718" s="3" t="s">
        <v>7149</v>
      </c>
      <c r="L718" s="19">
        <v>1.0</v>
      </c>
      <c r="M718" s="3" t="s">
        <v>7897</v>
      </c>
      <c r="N718" s="3" t="s">
        <v>7897</v>
      </c>
      <c r="O718" s="3" t="s">
        <v>7161</v>
      </c>
      <c r="P718" s="19">
        <v>1.0</v>
      </c>
      <c r="Q718" s="19">
        <v>0.0</v>
      </c>
      <c r="R718" s="19">
        <v>0.0</v>
      </c>
      <c r="S718" s="19">
        <v>0.0</v>
      </c>
      <c r="T718" s="3" t="s">
        <v>101</v>
      </c>
      <c r="U718" s="3" t="s">
        <v>511</v>
      </c>
    </row>
    <row r="719">
      <c r="A719" s="3" t="s">
        <v>7942</v>
      </c>
      <c r="B719" s="3" t="s">
        <v>7256</v>
      </c>
      <c r="C719" s="29">
        <v>46300.60416666667</v>
      </c>
      <c r="D719" s="29">
        <v>46300.625</v>
      </c>
      <c r="E719" s="30">
        <v>0.5</v>
      </c>
      <c r="F719" s="2"/>
      <c r="G719" s="2"/>
      <c r="H719" s="3" t="s">
        <v>7146</v>
      </c>
      <c r="I719" s="3" t="s">
        <v>7161</v>
      </c>
      <c r="J719" s="3" t="s">
        <v>7156</v>
      </c>
      <c r="K719" s="3" t="s">
        <v>7149</v>
      </c>
      <c r="L719" s="19">
        <v>3.0</v>
      </c>
      <c r="M719" s="3" t="s">
        <v>7943</v>
      </c>
      <c r="N719" s="3" t="s">
        <v>7943</v>
      </c>
      <c r="O719" s="3" t="s">
        <v>7258</v>
      </c>
      <c r="P719" s="19">
        <v>2.0</v>
      </c>
      <c r="Q719" s="19">
        <v>0.0</v>
      </c>
      <c r="R719" s="19">
        <v>0.0</v>
      </c>
      <c r="S719" s="19">
        <v>1.0</v>
      </c>
      <c r="T719" s="3" t="s">
        <v>202</v>
      </c>
      <c r="U719" s="3" t="s">
        <v>203</v>
      </c>
    </row>
    <row r="720">
      <c r="A720" s="3" t="s">
        <v>7904</v>
      </c>
      <c r="B720" s="3" t="s">
        <v>7183</v>
      </c>
      <c r="C720" s="29">
        <v>46301.5</v>
      </c>
      <c r="D720" s="29">
        <v>46301.52083333333</v>
      </c>
      <c r="E720" s="30">
        <v>0.5</v>
      </c>
      <c r="F720" s="2"/>
      <c r="G720" s="3" t="s">
        <v>7692</v>
      </c>
      <c r="H720" s="3" t="s">
        <v>7146</v>
      </c>
      <c r="I720" s="3" t="s">
        <v>7161</v>
      </c>
      <c r="J720" s="3" t="s">
        <v>7156</v>
      </c>
      <c r="K720" s="3" t="s">
        <v>7149</v>
      </c>
      <c r="L720" s="19">
        <v>2.0</v>
      </c>
      <c r="M720" s="3" t="s">
        <v>7905</v>
      </c>
      <c r="N720" s="3" t="s">
        <v>7906</v>
      </c>
      <c r="O720" s="3" t="s">
        <v>7944</v>
      </c>
      <c r="P720" s="19">
        <v>1.0</v>
      </c>
      <c r="Q720" s="19">
        <v>0.0</v>
      </c>
      <c r="R720" s="19">
        <v>1.0</v>
      </c>
      <c r="S720" s="19">
        <v>0.0</v>
      </c>
      <c r="T720" s="3" t="s">
        <v>184</v>
      </c>
      <c r="U720" s="3" t="s">
        <v>478</v>
      </c>
    </row>
    <row r="721">
      <c r="A721" s="3" t="s">
        <v>7754</v>
      </c>
      <c r="B721" s="3" t="s">
        <v>7755</v>
      </c>
      <c r="C721" s="29">
        <v>46301.58333333333</v>
      </c>
      <c r="D721" s="29">
        <v>46301.60416666667</v>
      </c>
      <c r="E721" s="30">
        <v>0.5</v>
      </c>
      <c r="F721" s="2"/>
      <c r="G721" s="3" t="s">
        <v>7756</v>
      </c>
      <c r="H721" s="3" t="s">
        <v>7146</v>
      </c>
      <c r="I721" s="3" t="s">
        <v>7161</v>
      </c>
      <c r="J721" s="3" t="s">
        <v>7156</v>
      </c>
      <c r="K721" s="3" t="s">
        <v>7149</v>
      </c>
      <c r="L721" s="19">
        <v>7.0</v>
      </c>
      <c r="M721" s="3" t="s">
        <v>7757</v>
      </c>
      <c r="N721" s="3" t="s">
        <v>7758</v>
      </c>
      <c r="O721" s="3" t="s">
        <v>7759</v>
      </c>
      <c r="P721" s="19">
        <v>0.0</v>
      </c>
      <c r="Q721" s="19">
        <v>1.0</v>
      </c>
      <c r="R721" s="19">
        <v>1.0</v>
      </c>
      <c r="S721" s="19">
        <v>5.0</v>
      </c>
      <c r="T721" s="3" t="s">
        <v>110</v>
      </c>
      <c r="U721" s="3" t="s">
        <v>111</v>
      </c>
    </row>
    <row r="722">
      <c r="A722" s="3" t="s">
        <v>7912</v>
      </c>
      <c r="B722" s="3" t="s">
        <v>7696</v>
      </c>
      <c r="C722" s="29">
        <v>46302.41666666667</v>
      </c>
      <c r="D722" s="29">
        <v>46302.4375</v>
      </c>
      <c r="E722" s="30">
        <v>0.5</v>
      </c>
      <c r="F722" s="2"/>
      <c r="G722" s="2"/>
      <c r="H722" s="3" t="s">
        <v>7146</v>
      </c>
      <c r="I722" s="3" t="s">
        <v>7161</v>
      </c>
      <c r="J722" s="3" t="s">
        <v>7274</v>
      </c>
      <c r="K722" s="3" t="s">
        <v>7149</v>
      </c>
      <c r="L722" s="19">
        <v>1.0</v>
      </c>
      <c r="M722" s="3" t="s">
        <v>7288</v>
      </c>
      <c r="N722" s="3" t="s">
        <v>7288</v>
      </c>
      <c r="O722" s="3" t="s">
        <v>7161</v>
      </c>
      <c r="P722" s="19">
        <v>1.0</v>
      </c>
      <c r="Q722" s="19">
        <v>0.0</v>
      </c>
      <c r="R722" s="19">
        <v>0.0</v>
      </c>
      <c r="S722" s="19">
        <v>0.0</v>
      </c>
      <c r="T722" s="2"/>
      <c r="U722" s="2"/>
    </row>
    <row r="723">
      <c r="A723" s="3" t="s">
        <v>7979</v>
      </c>
      <c r="B723" s="3" t="s">
        <v>7249</v>
      </c>
      <c r="C723" s="29">
        <v>46302.54166666667</v>
      </c>
      <c r="D723" s="29">
        <v>46302.5625</v>
      </c>
      <c r="E723" s="30">
        <v>0.5</v>
      </c>
      <c r="G723" s="2"/>
      <c r="H723" s="3" t="s">
        <v>7146</v>
      </c>
      <c r="I723" s="3" t="s">
        <v>7161</v>
      </c>
      <c r="J723" s="3" t="s">
        <v>7156</v>
      </c>
      <c r="K723" s="3" t="s">
        <v>7149</v>
      </c>
      <c r="L723" s="19">
        <v>2.0</v>
      </c>
      <c r="M723" s="3" t="s">
        <v>7921</v>
      </c>
      <c r="N723" s="3" t="s">
        <v>7921</v>
      </c>
      <c r="O723" s="3" t="s">
        <v>7218</v>
      </c>
      <c r="P723" s="19">
        <v>2.0</v>
      </c>
      <c r="Q723" s="19">
        <v>0.0</v>
      </c>
      <c r="R723" s="19">
        <v>0.0</v>
      </c>
      <c r="S723" s="19">
        <v>0.0</v>
      </c>
      <c r="T723" s="3" t="s">
        <v>187</v>
      </c>
      <c r="U723" s="3" t="s">
        <v>188</v>
      </c>
    </row>
    <row r="724">
      <c r="A724" s="3" t="s">
        <v>7948</v>
      </c>
      <c r="B724" s="3" t="s">
        <v>7949</v>
      </c>
      <c r="C724" s="29">
        <v>46303.35416666667</v>
      </c>
      <c r="D724" s="29">
        <v>46303.375</v>
      </c>
      <c r="E724" s="30">
        <v>0.5</v>
      </c>
      <c r="G724" s="2"/>
      <c r="H724" s="3" t="s">
        <v>7146</v>
      </c>
      <c r="I724" s="3" t="s">
        <v>7338</v>
      </c>
      <c r="J724" s="3" t="s">
        <v>7288</v>
      </c>
      <c r="K724" s="3" t="s">
        <v>7149</v>
      </c>
      <c r="L724" s="19">
        <v>3.0</v>
      </c>
      <c r="M724" s="3" t="s">
        <v>7950</v>
      </c>
      <c r="N724" s="3" t="s">
        <v>7950</v>
      </c>
      <c r="O724" s="3" t="s">
        <v>7622</v>
      </c>
      <c r="P724" s="19">
        <v>0.0</v>
      </c>
      <c r="Q724" s="19">
        <v>0.0</v>
      </c>
      <c r="R724" s="19">
        <v>0.0</v>
      </c>
      <c r="S724" s="19">
        <v>3.0</v>
      </c>
      <c r="T724" s="3" t="s">
        <v>193</v>
      </c>
      <c r="U724" s="3" t="s">
        <v>544</v>
      </c>
    </row>
    <row r="725">
      <c r="A725" s="3" t="s">
        <v>7951</v>
      </c>
      <c r="B725" s="3" t="s">
        <v>7160</v>
      </c>
      <c r="C725" s="29">
        <v>46303.4375</v>
      </c>
      <c r="D725" s="29">
        <v>46303.45833333333</v>
      </c>
      <c r="E725" s="30">
        <v>0.5</v>
      </c>
      <c r="F725" s="2"/>
      <c r="G725" s="2"/>
      <c r="H725" s="3" t="s">
        <v>7146</v>
      </c>
      <c r="I725" s="3" t="s">
        <v>7161</v>
      </c>
      <c r="J725" s="3" t="s">
        <v>7156</v>
      </c>
      <c r="K725" s="3" t="s">
        <v>7149</v>
      </c>
      <c r="L725" s="19">
        <v>2.0</v>
      </c>
      <c r="M725" s="3" t="s">
        <v>7952</v>
      </c>
      <c r="N725" s="3" t="s">
        <v>7953</v>
      </c>
      <c r="O725" s="3" t="s">
        <v>7218</v>
      </c>
      <c r="P725" s="19">
        <v>2.0</v>
      </c>
      <c r="Q725" s="19">
        <v>0.0</v>
      </c>
      <c r="R725" s="19">
        <v>0.0</v>
      </c>
      <c r="S725" s="19">
        <v>0.0</v>
      </c>
      <c r="T725" s="3" t="s">
        <v>154</v>
      </c>
      <c r="U725" s="3" t="s">
        <v>329</v>
      </c>
    </row>
    <row r="726">
      <c r="A726" s="3" t="s">
        <v>7954</v>
      </c>
      <c r="B726" s="3" t="s">
        <v>7163</v>
      </c>
      <c r="C726" s="29">
        <v>46303.58333333333</v>
      </c>
      <c r="D726" s="29">
        <v>46303.60416666667</v>
      </c>
      <c r="E726" s="30">
        <v>0.5</v>
      </c>
      <c r="F726" s="2"/>
      <c r="G726" s="2"/>
      <c r="H726" s="3" t="s">
        <v>7146</v>
      </c>
      <c r="I726" s="3" t="s">
        <v>7161</v>
      </c>
      <c r="J726" s="3" t="s">
        <v>7156</v>
      </c>
      <c r="K726" s="3" t="s">
        <v>7149</v>
      </c>
      <c r="L726" s="19">
        <v>5.0</v>
      </c>
      <c r="M726" s="3" t="s">
        <v>7955</v>
      </c>
      <c r="N726" s="3" t="s">
        <v>7955</v>
      </c>
      <c r="O726" s="3" t="s">
        <v>7956</v>
      </c>
      <c r="P726" s="19">
        <v>0.0</v>
      </c>
      <c r="Q726" s="19">
        <v>3.0</v>
      </c>
      <c r="R726" s="19">
        <v>0.0</v>
      </c>
      <c r="S726" s="19">
        <v>2.0</v>
      </c>
      <c r="T726" s="3" t="s">
        <v>151</v>
      </c>
      <c r="U726" s="3" t="s">
        <v>370</v>
      </c>
    </row>
    <row r="727">
      <c r="A727" s="3" t="s">
        <v>7957</v>
      </c>
      <c r="B727" s="3" t="s">
        <v>7712</v>
      </c>
      <c r="C727" s="29">
        <v>46303.64583333333</v>
      </c>
      <c r="D727" s="29">
        <v>46303.66666666667</v>
      </c>
      <c r="E727" s="30">
        <v>0.5</v>
      </c>
      <c r="G727" s="3" t="s">
        <v>7713</v>
      </c>
      <c r="H727" s="3" t="s">
        <v>7146</v>
      </c>
      <c r="I727" s="3" t="s">
        <v>7338</v>
      </c>
      <c r="J727" s="3" t="s">
        <v>7288</v>
      </c>
      <c r="K727" s="3" t="s">
        <v>7149</v>
      </c>
      <c r="L727" s="19">
        <v>5.0</v>
      </c>
      <c r="M727" s="3" t="s">
        <v>7958</v>
      </c>
      <c r="N727" s="3" t="s">
        <v>7958</v>
      </c>
      <c r="O727" s="3" t="s">
        <v>7959</v>
      </c>
      <c r="P727" s="19">
        <v>2.0</v>
      </c>
      <c r="Q727" s="19">
        <v>1.0</v>
      </c>
      <c r="R727" s="19">
        <v>1.0</v>
      </c>
      <c r="S727" s="19">
        <v>1.0</v>
      </c>
      <c r="T727" s="3" t="s">
        <v>122</v>
      </c>
      <c r="U727" s="3" t="s">
        <v>123</v>
      </c>
    </row>
    <row r="728">
      <c r="A728" s="3" t="s">
        <v>7679</v>
      </c>
      <c r="B728" s="3" t="s">
        <v>7546</v>
      </c>
      <c r="C728" s="29">
        <v>46304.47916666667</v>
      </c>
      <c r="D728" s="29">
        <v>46304.52083333333</v>
      </c>
      <c r="E728" s="30">
        <v>1.0</v>
      </c>
      <c r="G728" s="2"/>
      <c r="H728" s="3" t="s">
        <v>7146</v>
      </c>
      <c r="I728" s="3" t="s">
        <v>7338</v>
      </c>
      <c r="J728" s="3" t="s">
        <v>7288</v>
      </c>
      <c r="K728" s="3" t="s">
        <v>7149</v>
      </c>
      <c r="L728" s="19">
        <v>1.0</v>
      </c>
      <c r="M728" s="3" t="s">
        <v>7680</v>
      </c>
      <c r="N728" s="3" t="s">
        <v>7680</v>
      </c>
      <c r="O728" s="3" t="s">
        <v>7161</v>
      </c>
      <c r="P728" s="19">
        <v>1.0</v>
      </c>
      <c r="Q728" s="19">
        <v>0.0</v>
      </c>
      <c r="R728" s="19">
        <v>0.0</v>
      </c>
      <c r="S728" s="19">
        <v>0.0</v>
      </c>
      <c r="T728" s="3" t="s">
        <v>119</v>
      </c>
      <c r="U728" s="3" t="s">
        <v>251</v>
      </c>
    </row>
    <row r="729">
      <c r="A729" s="3" t="s">
        <v>7960</v>
      </c>
      <c r="B729" s="3" t="s">
        <v>7961</v>
      </c>
      <c r="C729" s="29">
        <v>46307.54166666667</v>
      </c>
      <c r="D729" s="29">
        <v>46307.5625</v>
      </c>
      <c r="E729" s="30">
        <v>0.5</v>
      </c>
      <c r="F729" s="2"/>
      <c r="G729" s="3" t="s">
        <v>7962</v>
      </c>
      <c r="H729" s="3" t="s">
        <v>7146</v>
      </c>
      <c r="I729" s="3" t="s">
        <v>7338</v>
      </c>
      <c r="J729" s="3" t="s">
        <v>7288</v>
      </c>
      <c r="K729" s="3" t="s">
        <v>7149</v>
      </c>
      <c r="L729" s="19">
        <v>3.0</v>
      </c>
      <c r="M729" s="3" t="s">
        <v>7788</v>
      </c>
      <c r="N729" s="3" t="s">
        <v>7788</v>
      </c>
      <c r="O729" s="3" t="s">
        <v>7326</v>
      </c>
      <c r="P729" s="19">
        <v>1.0</v>
      </c>
      <c r="Q729" s="19">
        <v>0.0</v>
      </c>
      <c r="R729" s="19">
        <v>0.0</v>
      </c>
      <c r="S729" s="19">
        <v>2.0</v>
      </c>
      <c r="T729" s="3" t="s">
        <v>131</v>
      </c>
      <c r="U729" s="3" t="s">
        <v>132</v>
      </c>
    </row>
    <row r="730">
      <c r="A730" s="3" t="s">
        <v>7963</v>
      </c>
      <c r="B730" s="3" t="s">
        <v>7234</v>
      </c>
      <c r="C730" s="29">
        <v>46307.58333333333</v>
      </c>
      <c r="D730" s="29">
        <v>46307.60416666667</v>
      </c>
      <c r="E730" s="30">
        <v>0.5</v>
      </c>
      <c r="F730" s="2"/>
      <c r="G730" s="2"/>
      <c r="H730" s="3" t="s">
        <v>7146</v>
      </c>
      <c r="I730" s="3" t="s">
        <v>7147</v>
      </c>
      <c r="J730" s="3" t="s">
        <v>7156</v>
      </c>
      <c r="K730" s="3" t="s">
        <v>7149</v>
      </c>
      <c r="L730" s="19">
        <v>4.0</v>
      </c>
      <c r="M730" s="3" t="s">
        <v>7235</v>
      </c>
      <c r="N730" s="3" t="s">
        <v>7235</v>
      </c>
      <c r="O730" s="3" t="s">
        <v>7964</v>
      </c>
      <c r="P730" s="19">
        <v>0.0</v>
      </c>
      <c r="Q730" s="19">
        <v>1.0</v>
      </c>
      <c r="R730" s="19">
        <v>0.0</v>
      </c>
      <c r="S730" s="19">
        <v>3.0</v>
      </c>
      <c r="T730" s="3" t="s">
        <v>166</v>
      </c>
      <c r="U730" s="3" t="s">
        <v>167</v>
      </c>
    </row>
    <row r="731">
      <c r="A731" s="3" t="s">
        <v>7896</v>
      </c>
      <c r="B731" s="3" t="s">
        <v>7463</v>
      </c>
      <c r="C731" s="29">
        <v>46307.60416666667</v>
      </c>
      <c r="D731" s="29">
        <v>46307.625</v>
      </c>
      <c r="E731" s="30">
        <v>0.5</v>
      </c>
      <c r="F731" s="2"/>
      <c r="G731" s="3" t="s">
        <v>7541</v>
      </c>
      <c r="H731" s="3" t="s">
        <v>7146</v>
      </c>
      <c r="I731" s="3" t="s">
        <v>7338</v>
      </c>
      <c r="J731" s="3" t="s">
        <v>7288</v>
      </c>
      <c r="K731" s="3" t="s">
        <v>7149</v>
      </c>
      <c r="L731" s="19">
        <v>1.0</v>
      </c>
      <c r="M731" s="3" t="s">
        <v>7897</v>
      </c>
      <c r="N731" s="3" t="s">
        <v>7897</v>
      </c>
      <c r="O731" s="3" t="s">
        <v>7161</v>
      </c>
      <c r="P731" s="19">
        <v>1.0</v>
      </c>
      <c r="Q731" s="19">
        <v>0.0</v>
      </c>
      <c r="R731" s="19">
        <v>0.0</v>
      </c>
      <c r="S731" s="19">
        <v>0.0</v>
      </c>
      <c r="T731" s="3" t="s">
        <v>101</v>
      </c>
      <c r="U731" s="3" t="s">
        <v>511</v>
      </c>
    </row>
    <row r="732">
      <c r="A732" s="3" t="s">
        <v>7904</v>
      </c>
      <c r="B732" s="3" t="s">
        <v>7183</v>
      </c>
      <c r="C732" s="29">
        <v>46308.5</v>
      </c>
      <c r="D732" s="29">
        <v>46308.52083333333</v>
      </c>
      <c r="E732" s="30">
        <v>0.5</v>
      </c>
      <c r="F732" s="2"/>
      <c r="G732" s="3" t="s">
        <v>7692</v>
      </c>
      <c r="H732" s="3" t="s">
        <v>7146</v>
      </c>
      <c r="I732" s="3" t="s">
        <v>7161</v>
      </c>
      <c r="J732" s="3" t="s">
        <v>7156</v>
      </c>
      <c r="K732" s="3" t="s">
        <v>7149</v>
      </c>
      <c r="L732" s="19">
        <v>2.0</v>
      </c>
      <c r="M732" s="3" t="s">
        <v>7905</v>
      </c>
      <c r="N732" s="3" t="s">
        <v>7906</v>
      </c>
      <c r="O732" s="3" t="s">
        <v>7944</v>
      </c>
      <c r="P732" s="19">
        <v>1.0</v>
      </c>
      <c r="Q732" s="19">
        <v>0.0</v>
      </c>
      <c r="R732" s="19">
        <v>1.0</v>
      </c>
      <c r="S732" s="19">
        <v>0.0</v>
      </c>
      <c r="T732" s="3" t="s">
        <v>184</v>
      </c>
      <c r="U732" s="3" t="s">
        <v>478</v>
      </c>
    </row>
    <row r="733">
      <c r="A733" s="3" t="s">
        <v>7748</v>
      </c>
      <c r="B733" s="3" t="s">
        <v>7211</v>
      </c>
      <c r="C733" s="29">
        <v>46308.54166666667</v>
      </c>
      <c r="D733" s="29">
        <v>46308.5625</v>
      </c>
      <c r="E733" s="30">
        <v>0.5</v>
      </c>
      <c r="F733" s="2"/>
      <c r="G733" s="3" t="s">
        <v>7212</v>
      </c>
      <c r="H733" s="3" t="s">
        <v>7146</v>
      </c>
      <c r="I733" s="3" t="s">
        <v>7161</v>
      </c>
      <c r="J733" s="3" t="s">
        <v>7156</v>
      </c>
      <c r="K733" s="3" t="s">
        <v>7149</v>
      </c>
      <c r="L733" s="19">
        <v>4.0</v>
      </c>
      <c r="M733" s="3" t="s">
        <v>7213</v>
      </c>
      <c r="N733" s="3" t="s">
        <v>7213</v>
      </c>
      <c r="O733" s="3" t="s">
        <v>7965</v>
      </c>
      <c r="P733" s="19">
        <v>2.0</v>
      </c>
      <c r="Q733" s="19">
        <v>1.0</v>
      </c>
      <c r="R733" s="19">
        <v>0.0</v>
      </c>
      <c r="S733" s="19">
        <v>1.0</v>
      </c>
      <c r="T733" s="3" t="s">
        <v>175</v>
      </c>
      <c r="U733" s="3" t="s">
        <v>422</v>
      </c>
    </row>
    <row r="734">
      <c r="A734" s="3" t="s">
        <v>7901</v>
      </c>
      <c r="B734" s="3" t="s">
        <v>7689</v>
      </c>
      <c r="C734" s="29">
        <v>46308.5625</v>
      </c>
      <c r="D734" s="29">
        <v>46308.58333333333</v>
      </c>
      <c r="E734" s="30">
        <v>0.5</v>
      </c>
      <c r="F734" s="2"/>
      <c r="G734" s="2"/>
      <c r="H734" s="3" t="s">
        <v>7146</v>
      </c>
      <c r="I734" s="3" t="s">
        <v>7338</v>
      </c>
      <c r="J734" s="3" t="s">
        <v>7288</v>
      </c>
      <c r="K734" s="3" t="s">
        <v>7149</v>
      </c>
      <c r="L734" s="19">
        <v>1.0</v>
      </c>
      <c r="M734" s="3" t="s">
        <v>7902</v>
      </c>
      <c r="N734" s="3" t="s">
        <v>7902</v>
      </c>
      <c r="O734" s="3" t="s">
        <v>7161</v>
      </c>
      <c r="P734" s="19">
        <v>1.0</v>
      </c>
      <c r="Q734" s="19">
        <v>0.0</v>
      </c>
      <c r="R734" s="19">
        <v>0.0</v>
      </c>
      <c r="S734" s="19">
        <v>0.0</v>
      </c>
      <c r="T734" s="3" t="s">
        <v>142</v>
      </c>
      <c r="U734" s="3" t="s">
        <v>143</v>
      </c>
    </row>
    <row r="735">
      <c r="A735" s="3" t="s">
        <v>7966</v>
      </c>
      <c r="B735" s="3" t="s">
        <v>7967</v>
      </c>
      <c r="C735" s="29">
        <v>46308.64583333333</v>
      </c>
      <c r="D735" s="29">
        <v>46308.66666666667</v>
      </c>
      <c r="E735" s="30">
        <v>0.5</v>
      </c>
      <c r="F735" s="2"/>
      <c r="G735" s="3" t="s">
        <v>7968</v>
      </c>
      <c r="H735" s="3" t="s">
        <v>7146</v>
      </c>
      <c r="I735" s="3" t="s">
        <v>7338</v>
      </c>
      <c r="J735" s="3" t="s">
        <v>7288</v>
      </c>
      <c r="K735" s="3" t="s">
        <v>7149</v>
      </c>
      <c r="L735" s="19">
        <v>4.0</v>
      </c>
      <c r="M735" s="3" t="s">
        <v>7707</v>
      </c>
      <c r="N735" s="3" t="s">
        <v>7707</v>
      </c>
      <c r="O735" s="3" t="s">
        <v>7236</v>
      </c>
      <c r="P735" s="19">
        <v>1.0</v>
      </c>
      <c r="Q735" s="19">
        <v>0.0</v>
      </c>
      <c r="R735" s="19">
        <v>0.0</v>
      </c>
      <c r="S735" s="19">
        <v>3.0</v>
      </c>
      <c r="T735" s="3" t="s">
        <v>6450</v>
      </c>
      <c r="U735" s="3" t="s">
        <v>552</v>
      </c>
    </row>
    <row r="736">
      <c r="A736" s="3" t="s">
        <v>7912</v>
      </c>
      <c r="B736" s="3" t="s">
        <v>7696</v>
      </c>
      <c r="C736" s="29">
        <v>46309.41666666667</v>
      </c>
      <c r="D736" s="29">
        <v>46309.4375</v>
      </c>
      <c r="E736" s="30">
        <v>0.5</v>
      </c>
      <c r="F736" s="2"/>
      <c r="G736" s="2"/>
      <c r="H736" s="3" t="s">
        <v>7146</v>
      </c>
      <c r="I736" s="3" t="s">
        <v>7161</v>
      </c>
      <c r="J736" s="3" t="s">
        <v>7274</v>
      </c>
      <c r="K736" s="3" t="s">
        <v>7149</v>
      </c>
      <c r="L736" s="19">
        <v>1.0</v>
      </c>
      <c r="M736" s="3" t="s">
        <v>7288</v>
      </c>
      <c r="N736" s="3" t="s">
        <v>7288</v>
      </c>
      <c r="O736" s="3" t="s">
        <v>7161</v>
      </c>
      <c r="P736" s="19">
        <v>1.0</v>
      </c>
      <c r="Q736" s="19">
        <v>0.0</v>
      </c>
      <c r="R736" s="19">
        <v>0.0</v>
      </c>
      <c r="S736" s="19">
        <v>0.0</v>
      </c>
      <c r="T736" s="2"/>
      <c r="U736" s="2"/>
    </row>
    <row r="737">
      <c r="A737" s="3" t="s">
        <v>7791</v>
      </c>
      <c r="B737" s="3" t="s">
        <v>7266</v>
      </c>
      <c r="C737" s="29">
        <v>46310.375</v>
      </c>
      <c r="D737" s="29">
        <v>46310.39583333333</v>
      </c>
      <c r="E737" s="30">
        <v>0.5</v>
      </c>
      <c r="G737" s="2"/>
      <c r="H737" s="3" t="s">
        <v>7146</v>
      </c>
      <c r="I737" s="3" t="s">
        <v>7161</v>
      </c>
      <c r="J737" s="3" t="s">
        <v>7156</v>
      </c>
      <c r="K737" s="3" t="s">
        <v>7149</v>
      </c>
      <c r="L737" s="19">
        <v>4.0</v>
      </c>
      <c r="M737" s="3" t="s">
        <v>7267</v>
      </c>
      <c r="N737" s="3" t="s">
        <v>7267</v>
      </c>
      <c r="O737" s="3" t="s">
        <v>7792</v>
      </c>
      <c r="P737" s="19">
        <v>1.0</v>
      </c>
      <c r="Q737" s="19">
        <v>1.0</v>
      </c>
      <c r="R737" s="19">
        <v>0.0</v>
      </c>
      <c r="S737" s="19">
        <v>2.0</v>
      </c>
      <c r="T737" s="3" t="s">
        <v>6752</v>
      </c>
      <c r="U737" s="3" t="s">
        <v>319</v>
      </c>
    </row>
    <row r="738">
      <c r="A738" s="3" t="s">
        <v>7969</v>
      </c>
      <c r="B738" s="3" t="s">
        <v>7262</v>
      </c>
      <c r="C738" s="29">
        <v>46310.47916666667</v>
      </c>
      <c r="D738" s="29">
        <v>46310.5</v>
      </c>
      <c r="E738" s="30">
        <v>0.5</v>
      </c>
      <c r="G738" s="2"/>
      <c r="H738" s="3" t="s">
        <v>7146</v>
      </c>
      <c r="I738" s="3" t="s">
        <v>7161</v>
      </c>
      <c r="J738" s="3" t="s">
        <v>7156</v>
      </c>
      <c r="K738" s="3" t="s">
        <v>7149</v>
      </c>
      <c r="L738" s="19">
        <v>2.0</v>
      </c>
      <c r="M738" s="3" t="s">
        <v>7263</v>
      </c>
      <c r="N738" s="3" t="s">
        <v>7263</v>
      </c>
      <c r="O738" s="3" t="s">
        <v>7218</v>
      </c>
      <c r="P738" s="19">
        <v>2.0</v>
      </c>
      <c r="Q738" s="19">
        <v>0.0</v>
      </c>
      <c r="R738" s="19">
        <v>0.0</v>
      </c>
      <c r="S738" s="19">
        <v>0.0</v>
      </c>
      <c r="T738" s="3" t="s">
        <v>128</v>
      </c>
      <c r="U738" s="3" t="s">
        <v>301</v>
      </c>
    </row>
    <row r="739">
      <c r="A739" s="3" t="s">
        <v>7804</v>
      </c>
      <c r="B739" s="3" t="s">
        <v>7805</v>
      </c>
      <c r="C739" s="29">
        <v>46310.5</v>
      </c>
      <c r="D739" s="29">
        <v>46310.52083333333</v>
      </c>
      <c r="E739" s="30">
        <v>0.5</v>
      </c>
      <c r="F739" s="2"/>
      <c r="G739" s="2"/>
      <c r="H739" s="3" t="s">
        <v>7146</v>
      </c>
      <c r="I739" s="3" t="s">
        <v>7338</v>
      </c>
      <c r="J739" s="3" t="s">
        <v>7288</v>
      </c>
      <c r="K739" s="3" t="s">
        <v>7149</v>
      </c>
      <c r="L739" s="19">
        <v>1.0</v>
      </c>
      <c r="M739" s="3" t="s">
        <v>7806</v>
      </c>
      <c r="N739" s="3" t="s">
        <v>7806</v>
      </c>
      <c r="O739" s="3" t="s">
        <v>7161</v>
      </c>
      <c r="P739" s="19">
        <v>1.0</v>
      </c>
      <c r="Q739" s="19">
        <v>0.0</v>
      </c>
      <c r="R739" s="19">
        <v>0.0</v>
      </c>
      <c r="S739" s="19">
        <v>0.0</v>
      </c>
      <c r="T739" s="3" t="s">
        <v>157</v>
      </c>
      <c r="U739" s="3" t="s">
        <v>158</v>
      </c>
    </row>
    <row r="740">
      <c r="A740" s="3" t="s">
        <v>7659</v>
      </c>
      <c r="B740" s="3" t="s">
        <v>7420</v>
      </c>
      <c r="C740" s="29">
        <v>46310.52083333333</v>
      </c>
      <c r="D740" s="29">
        <v>46310.54166666667</v>
      </c>
      <c r="E740" s="30">
        <v>0.5</v>
      </c>
      <c r="F740" s="2"/>
      <c r="G740" s="2"/>
      <c r="H740" s="3" t="s">
        <v>7146</v>
      </c>
      <c r="I740" s="3" t="s">
        <v>7161</v>
      </c>
      <c r="J740" s="3" t="s">
        <v>7156</v>
      </c>
      <c r="K740" s="3" t="s">
        <v>7149</v>
      </c>
      <c r="L740" s="19">
        <v>5.0</v>
      </c>
      <c r="M740" s="3" t="s">
        <v>7571</v>
      </c>
      <c r="N740" s="3" t="s">
        <v>7571</v>
      </c>
      <c r="O740" s="3" t="s">
        <v>7970</v>
      </c>
      <c r="P740" s="19">
        <v>3.0</v>
      </c>
      <c r="Q740" s="19">
        <v>1.0</v>
      </c>
      <c r="R740" s="19">
        <v>0.0</v>
      </c>
      <c r="S740" s="19">
        <v>1.0</v>
      </c>
      <c r="T740" s="3" t="s">
        <v>125</v>
      </c>
      <c r="U740" s="3" t="s">
        <v>126</v>
      </c>
    </row>
    <row r="741">
      <c r="A741" s="3" t="s">
        <v>7812</v>
      </c>
      <c r="B741" s="3" t="s">
        <v>7813</v>
      </c>
      <c r="C741" s="29">
        <v>46310.5625</v>
      </c>
      <c r="D741" s="29">
        <v>46310.58333333333</v>
      </c>
      <c r="E741" s="30">
        <v>0.5</v>
      </c>
      <c r="F741" s="2"/>
      <c r="G741" s="3" t="s">
        <v>7814</v>
      </c>
      <c r="H741" s="3" t="s">
        <v>7146</v>
      </c>
      <c r="I741" s="3" t="s">
        <v>7338</v>
      </c>
      <c r="J741" s="3" t="s">
        <v>7288</v>
      </c>
      <c r="K741" s="3" t="s">
        <v>7149</v>
      </c>
      <c r="L741" s="19">
        <v>3.0</v>
      </c>
      <c r="M741" s="3" t="s">
        <v>7815</v>
      </c>
      <c r="N741" s="3" t="s">
        <v>7815</v>
      </c>
      <c r="O741" s="3" t="s">
        <v>7601</v>
      </c>
      <c r="P741" s="19">
        <v>1.0</v>
      </c>
      <c r="Q741" s="19">
        <v>0.0</v>
      </c>
      <c r="R741" s="19">
        <v>0.0</v>
      </c>
      <c r="S741" s="19">
        <v>2.0</v>
      </c>
      <c r="T741" s="3" t="s">
        <v>190</v>
      </c>
      <c r="U741" s="3" t="s">
        <v>191</v>
      </c>
    </row>
    <row r="742">
      <c r="A742" s="3" t="s">
        <v>7927</v>
      </c>
      <c r="B742" s="3" t="s">
        <v>7928</v>
      </c>
      <c r="C742" s="29">
        <v>46310.70833333333</v>
      </c>
      <c r="D742" s="29">
        <v>46310.72916666667</v>
      </c>
      <c r="E742" s="30">
        <v>0.5</v>
      </c>
      <c r="F742" s="2"/>
      <c r="G742" s="3" t="s">
        <v>7929</v>
      </c>
      <c r="H742" s="3" t="s">
        <v>7146</v>
      </c>
      <c r="I742" s="3" t="s">
        <v>7161</v>
      </c>
      <c r="J742" s="3" t="s">
        <v>7148</v>
      </c>
      <c r="K742" s="3" t="s">
        <v>7149</v>
      </c>
      <c r="L742" s="19">
        <v>10.0</v>
      </c>
      <c r="M742" s="3" t="s">
        <v>7930</v>
      </c>
      <c r="N742" s="3" t="s">
        <v>7931</v>
      </c>
      <c r="O742" s="3" t="s">
        <v>7932</v>
      </c>
      <c r="P742" s="19">
        <v>6.0</v>
      </c>
      <c r="Q742" s="19">
        <v>0.0</v>
      </c>
      <c r="R742" s="19">
        <v>1.0</v>
      </c>
      <c r="S742" s="19">
        <v>3.0</v>
      </c>
      <c r="T742" s="3" t="s">
        <v>160</v>
      </c>
      <c r="U742" s="3" t="s">
        <v>440</v>
      </c>
    </row>
    <row r="743">
      <c r="A743" s="3" t="s">
        <v>7825</v>
      </c>
      <c r="B743" s="3" t="s">
        <v>7471</v>
      </c>
      <c r="C743" s="29">
        <v>46311.41666666667</v>
      </c>
      <c r="D743" s="29">
        <v>46311.4375</v>
      </c>
      <c r="E743" s="30">
        <v>0.5</v>
      </c>
      <c r="F743" s="2"/>
      <c r="G743" s="2"/>
      <c r="H743" s="3" t="s">
        <v>7146</v>
      </c>
      <c r="I743" s="3" t="s">
        <v>7161</v>
      </c>
      <c r="J743" s="3" t="s">
        <v>7156</v>
      </c>
      <c r="K743" s="3" t="s">
        <v>7149</v>
      </c>
      <c r="L743" s="19">
        <v>5.0</v>
      </c>
      <c r="M743" s="3" t="s">
        <v>7826</v>
      </c>
      <c r="N743" s="3" t="s">
        <v>7826</v>
      </c>
      <c r="O743" s="3" t="s">
        <v>7974</v>
      </c>
      <c r="P743" s="19">
        <v>2.0</v>
      </c>
      <c r="Q743" s="19">
        <v>0.0</v>
      </c>
      <c r="R743" s="19">
        <v>0.0</v>
      </c>
      <c r="S743" s="19">
        <v>3.0</v>
      </c>
      <c r="T743" s="3" t="s">
        <v>199</v>
      </c>
      <c r="U743" s="3" t="s">
        <v>272</v>
      </c>
    </row>
    <row r="744">
      <c r="A744" s="3" t="s">
        <v>7980</v>
      </c>
      <c r="B744" s="3" t="s">
        <v>7221</v>
      </c>
      <c r="C744" s="29">
        <v>46311.41666666667</v>
      </c>
      <c r="D744" s="29">
        <v>46311.4375</v>
      </c>
      <c r="E744" s="30">
        <v>0.5</v>
      </c>
      <c r="F744" s="2"/>
      <c r="G744" s="2"/>
      <c r="H744" s="3" t="s">
        <v>7146</v>
      </c>
      <c r="I744" s="3" t="s">
        <v>7161</v>
      </c>
      <c r="J744" s="3" t="s">
        <v>7156</v>
      </c>
      <c r="K744" s="3" t="s">
        <v>7149</v>
      </c>
      <c r="L744" s="19">
        <v>4.0</v>
      </c>
      <c r="M744" s="3" t="s">
        <v>7935</v>
      </c>
      <c r="N744" s="3" t="s">
        <v>7935</v>
      </c>
      <c r="O744" s="3" t="s">
        <v>7453</v>
      </c>
      <c r="P744" s="19">
        <v>3.0</v>
      </c>
      <c r="Q744" s="19">
        <v>0.0</v>
      </c>
      <c r="R744" s="19">
        <v>0.0</v>
      </c>
      <c r="S744" s="19">
        <v>1.0</v>
      </c>
      <c r="T744" s="3" t="s">
        <v>6608</v>
      </c>
      <c r="U744" s="3" t="s">
        <v>294</v>
      </c>
    </row>
    <row r="745">
      <c r="A745" s="3" t="s">
        <v>7679</v>
      </c>
      <c r="B745" s="3" t="s">
        <v>7546</v>
      </c>
      <c r="C745" s="29">
        <v>46311.47916666667</v>
      </c>
      <c r="D745" s="29">
        <v>46311.52083333333</v>
      </c>
      <c r="E745" s="30">
        <v>1.0</v>
      </c>
      <c r="F745" s="2"/>
      <c r="G745" s="2"/>
      <c r="H745" s="3" t="s">
        <v>7146</v>
      </c>
      <c r="I745" s="3" t="s">
        <v>7338</v>
      </c>
      <c r="J745" s="3" t="s">
        <v>7288</v>
      </c>
      <c r="K745" s="3" t="s">
        <v>7149</v>
      </c>
      <c r="L745" s="19">
        <v>1.0</v>
      </c>
      <c r="M745" s="3" t="s">
        <v>7680</v>
      </c>
      <c r="N745" s="3" t="s">
        <v>7680</v>
      </c>
      <c r="O745" s="3" t="s">
        <v>7161</v>
      </c>
      <c r="P745" s="19">
        <v>1.0</v>
      </c>
      <c r="Q745" s="19">
        <v>0.0</v>
      </c>
      <c r="R745" s="19">
        <v>0.0</v>
      </c>
      <c r="S745" s="19">
        <v>0.0</v>
      </c>
      <c r="T745" s="3" t="s">
        <v>119</v>
      </c>
      <c r="U745" s="3" t="s">
        <v>251</v>
      </c>
    </row>
    <row r="746">
      <c r="A746" s="3" t="s">
        <v>7976</v>
      </c>
      <c r="B746" s="3" t="s">
        <v>7977</v>
      </c>
      <c r="C746" s="29">
        <v>46314.58333333333</v>
      </c>
      <c r="D746" s="29">
        <v>46314.60416666667</v>
      </c>
      <c r="E746" s="30">
        <v>0.5</v>
      </c>
      <c r="G746" s="2"/>
      <c r="H746" s="3" t="s">
        <v>7146</v>
      </c>
      <c r="I746" s="3" t="s">
        <v>7338</v>
      </c>
      <c r="J746" s="3" t="s">
        <v>7288</v>
      </c>
      <c r="K746" s="3" t="s">
        <v>7149</v>
      </c>
      <c r="L746" s="19">
        <v>3.0</v>
      </c>
      <c r="M746" s="3" t="s">
        <v>7978</v>
      </c>
      <c r="N746" s="3" t="s">
        <v>7978</v>
      </c>
      <c r="O746" s="3" t="s">
        <v>7326</v>
      </c>
      <c r="P746" s="19">
        <v>1.0</v>
      </c>
      <c r="Q746" s="19">
        <v>0.0</v>
      </c>
      <c r="R746" s="19">
        <v>0.0</v>
      </c>
      <c r="S746" s="19">
        <v>2.0</v>
      </c>
      <c r="T746" s="3" t="s">
        <v>98</v>
      </c>
      <c r="U746" s="3" t="s">
        <v>99</v>
      </c>
    </row>
    <row r="747">
      <c r="A747" s="3" t="s">
        <v>7896</v>
      </c>
      <c r="B747" s="3" t="s">
        <v>7463</v>
      </c>
      <c r="C747" s="29">
        <v>46314.60416666667</v>
      </c>
      <c r="D747" s="29">
        <v>46314.625</v>
      </c>
      <c r="E747" s="30">
        <v>0.5</v>
      </c>
      <c r="G747" s="3" t="s">
        <v>7541</v>
      </c>
      <c r="H747" s="3" t="s">
        <v>7146</v>
      </c>
      <c r="I747" s="3" t="s">
        <v>7338</v>
      </c>
      <c r="J747" s="3" t="s">
        <v>7288</v>
      </c>
      <c r="K747" s="3" t="s">
        <v>7149</v>
      </c>
      <c r="L747" s="19">
        <v>1.0</v>
      </c>
      <c r="M747" s="3" t="s">
        <v>7897</v>
      </c>
      <c r="N747" s="3" t="s">
        <v>7897</v>
      </c>
      <c r="O747" s="3" t="s">
        <v>7161</v>
      </c>
      <c r="P747" s="19">
        <v>1.0</v>
      </c>
      <c r="Q747" s="19">
        <v>0.0</v>
      </c>
      <c r="R747" s="19">
        <v>0.0</v>
      </c>
      <c r="S747" s="19">
        <v>0.0</v>
      </c>
      <c r="T747" s="3" t="s">
        <v>101</v>
      </c>
      <c r="U747" s="3" t="s">
        <v>511</v>
      </c>
    </row>
    <row r="748">
      <c r="A748" s="3" t="s">
        <v>7904</v>
      </c>
      <c r="B748" s="3" t="s">
        <v>7183</v>
      </c>
      <c r="C748" s="29">
        <v>46315.5</v>
      </c>
      <c r="D748" s="29">
        <v>46315.52083333333</v>
      </c>
      <c r="E748" s="30">
        <v>0.5</v>
      </c>
      <c r="F748" s="2"/>
      <c r="G748" s="3" t="s">
        <v>7692</v>
      </c>
      <c r="H748" s="3" t="s">
        <v>7146</v>
      </c>
      <c r="I748" s="3" t="s">
        <v>7161</v>
      </c>
      <c r="J748" s="3" t="s">
        <v>7156</v>
      </c>
      <c r="K748" s="3" t="s">
        <v>7149</v>
      </c>
      <c r="L748" s="19">
        <v>2.0</v>
      </c>
      <c r="M748" s="3" t="s">
        <v>7905</v>
      </c>
      <c r="N748" s="3" t="s">
        <v>7906</v>
      </c>
      <c r="O748" s="3" t="s">
        <v>7944</v>
      </c>
      <c r="P748" s="19">
        <v>1.0</v>
      </c>
      <c r="Q748" s="19">
        <v>0.0</v>
      </c>
      <c r="R748" s="19">
        <v>1.0</v>
      </c>
      <c r="S748" s="19">
        <v>0.0</v>
      </c>
      <c r="T748" s="3" t="s">
        <v>184</v>
      </c>
      <c r="U748" s="3" t="s">
        <v>478</v>
      </c>
    </row>
    <row r="749">
      <c r="A749" s="3" t="s">
        <v>7912</v>
      </c>
      <c r="B749" s="3" t="s">
        <v>7696</v>
      </c>
      <c r="C749" s="29">
        <v>46316.41666666667</v>
      </c>
      <c r="D749" s="29">
        <v>46316.4375</v>
      </c>
      <c r="E749" s="30">
        <v>0.5</v>
      </c>
      <c r="G749" s="2"/>
      <c r="H749" s="3" t="s">
        <v>7146</v>
      </c>
      <c r="I749" s="3" t="s">
        <v>7161</v>
      </c>
      <c r="J749" s="3" t="s">
        <v>7274</v>
      </c>
      <c r="K749" s="3" t="s">
        <v>7149</v>
      </c>
      <c r="L749" s="19">
        <v>1.0</v>
      </c>
      <c r="M749" s="3" t="s">
        <v>7288</v>
      </c>
      <c r="N749" s="3" t="s">
        <v>7288</v>
      </c>
      <c r="O749" s="3" t="s">
        <v>7161</v>
      </c>
      <c r="P749" s="19">
        <v>1.0</v>
      </c>
      <c r="Q749" s="19">
        <v>0.0</v>
      </c>
      <c r="R749" s="19">
        <v>0.0</v>
      </c>
      <c r="S749" s="19">
        <v>0.0</v>
      </c>
      <c r="T749" s="2"/>
      <c r="U749" s="2"/>
    </row>
    <row r="750">
      <c r="A750" s="3" t="s">
        <v>7979</v>
      </c>
      <c r="B750" s="3" t="s">
        <v>7249</v>
      </c>
      <c r="C750" s="29">
        <v>46316.54166666667</v>
      </c>
      <c r="D750" s="29">
        <v>46316.5625</v>
      </c>
      <c r="E750" s="30">
        <v>0.5</v>
      </c>
      <c r="F750" s="2"/>
      <c r="G750" s="2"/>
      <c r="H750" s="3" t="s">
        <v>7146</v>
      </c>
      <c r="I750" s="3" t="s">
        <v>7161</v>
      </c>
      <c r="J750" s="3" t="s">
        <v>7156</v>
      </c>
      <c r="K750" s="3" t="s">
        <v>7149</v>
      </c>
      <c r="L750" s="19">
        <v>2.0</v>
      </c>
      <c r="M750" s="3" t="s">
        <v>7921</v>
      </c>
      <c r="N750" s="3" t="s">
        <v>7921</v>
      </c>
      <c r="O750" s="3" t="s">
        <v>7218</v>
      </c>
      <c r="P750" s="19">
        <v>2.0</v>
      </c>
      <c r="Q750" s="19">
        <v>0.0</v>
      </c>
      <c r="R750" s="19">
        <v>0.0</v>
      </c>
      <c r="S750" s="19">
        <v>0.0</v>
      </c>
      <c r="T750" s="3" t="s">
        <v>187</v>
      </c>
      <c r="U750" s="3" t="s">
        <v>188</v>
      </c>
    </row>
    <row r="751">
      <c r="A751" s="3" t="s">
        <v>7951</v>
      </c>
      <c r="B751" s="3" t="s">
        <v>7160</v>
      </c>
      <c r="C751" s="29">
        <v>46317.4375</v>
      </c>
      <c r="D751" s="29">
        <v>46317.45833333333</v>
      </c>
      <c r="E751" s="30">
        <v>0.5</v>
      </c>
      <c r="F751" s="2"/>
      <c r="G751" s="2"/>
      <c r="H751" s="3" t="s">
        <v>7146</v>
      </c>
      <c r="I751" s="3" t="s">
        <v>7161</v>
      </c>
      <c r="J751" s="3" t="s">
        <v>7156</v>
      </c>
      <c r="K751" s="3" t="s">
        <v>7149</v>
      </c>
      <c r="L751" s="19">
        <v>2.0</v>
      </c>
      <c r="M751" s="3" t="s">
        <v>7952</v>
      </c>
      <c r="N751" s="3" t="s">
        <v>7953</v>
      </c>
      <c r="O751" s="3" t="s">
        <v>7218</v>
      </c>
      <c r="P751" s="19">
        <v>2.0</v>
      </c>
      <c r="Q751" s="19">
        <v>0.0</v>
      </c>
      <c r="R751" s="19">
        <v>0.0</v>
      </c>
      <c r="S751" s="19">
        <v>0.0</v>
      </c>
      <c r="T751" s="3" t="s">
        <v>154</v>
      </c>
      <c r="U751" s="3" t="s">
        <v>329</v>
      </c>
    </row>
    <row r="752">
      <c r="A752" s="3" t="s">
        <v>7954</v>
      </c>
      <c r="B752" s="3" t="s">
        <v>7163</v>
      </c>
      <c r="C752" s="29">
        <v>46317.58333333333</v>
      </c>
      <c r="D752" s="29">
        <v>46317.60416666667</v>
      </c>
      <c r="E752" s="30">
        <v>0.5</v>
      </c>
      <c r="F752" s="2"/>
      <c r="G752" s="2"/>
      <c r="H752" s="3" t="s">
        <v>7146</v>
      </c>
      <c r="I752" s="3" t="s">
        <v>7161</v>
      </c>
      <c r="J752" s="3" t="s">
        <v>7156</v>
      </c>
      <c r="K752" s="3" t="s">
        <v>7149</v>
      </c>
      <c r="L752" s="19">
        <v>5.0</v>
      </c>
      <c r="M752" s="3" t="s">
        <v>7955</v>
      </c>
      <c r="N752" s="3" t="s">
        <v>7955</v>
      </c>
      <c r="O752" s="3" t="s">
        <v>7956</v>
      </c>
      <c r="P752" s="19">
        <v>0.0</v>
      </c>
      <c r="Q752" s="19">
        <v>3.0</v>
      </c>
      <c r="R752" s="19">
        <v>0.0</v>
      </c>
      <c r="S752" s="19">
        <v>2.0</v>
      </c>
      <c r="T752" s="3" t="s">
        <v>151</v>
      </c>
      <c r="U752" s="3" t="s">
        <v>370</v>
      </c>
    </row>
    <row r="753">
      <c r="A753" s="3" t="s">
        <v>7679</v>
      </c>
      <c r="B753" s="3" t="s">
        <v>7546</v>
      </c>
      <c r="C753" s="29">
        <v>46318.47916666667</v>
      </c>
      <c r="D753" s="29">
        <v>46318.52083333333</v>
      </c>
      <c r="E753" s="30">
        <v>1.0</v>
      </c>
      <c r="F753" s="2"/>
      <c r="G753" s="2"/>
      <c r="H753" s="3" t="s">
        <v>7146</v>
      </c>
      <c r="I753" s="3" t="s">
        <v>7338</v>
      </c>
      <c r="J753" s="3" t="s">
        <v>7288</v>
      </c>
      <c r="K753" s="3" t="s">
        <v>7149</v>
      </c>
      <c r="L753" s="19">
        <v>1.0</v>
      </c>
      <c r="M753" s="3" t="s">
        <v>7680</v>
      </c>
      <c r="N753" s="3" t="s">
        <v>7680</v>
      </c>
      <c r="O753" s="3" t="s">
        <v>7161</v>
      </c>
      <c r="P753" s="19">
        <v>1.0</v>
      </c>
      <c r="Q753" s="19">
        <v>0.0</v>
      </c>
      <c r="R753" s="19">
        <v>0.0</v>
      </c>
      <c r="S753" s="19">
        <v>0.0</v>
      </c>
      <c r="T753" s="3" t="s">
        <v>119</v>
      </c>
      <c r="U753" s="3" t="s">
        <v>251</v>
      </c>
    </row>
    <row r="754">
      <c r="A754" s="3" t="s">
        <v>7960</v>
      </c>
      <c r="B754" s="3" t="s">
        <v>7961</v>
      </c>
      <c r="C754" s="29">
        <v>46321.54166666667</v>
      </c>
      <c r="D754" s="29">
        <v>46321.5625</v>
      </c>
      <c r="E754" s="30">
        <v>0.5</v>
      </c>
      <c r="F754" s="2"/>
      <c r="G754" s="3" t="s">
        <v>7962</v>
      </c>
      <c r="H754" s="3" t="s">
        <v>7146</v>
      </c>
      <c r="I754" s="3" t="s">
        <v>7338</v>
      </c>
      <c r="J754" s="3" t="s">
        <v>7288</v>
      </c>
      <c r="K754" s="3" t="s">
        <v>7149</v>
      </c>
      <c r="L754" s="19">
        <v>3.0</v>
      </c>
      <c r="M754" s="3" t="s">
        <v>7788</v>
      </c>
      <c r="N754" s="3" t="s">
        <v>7788</v>
      </c>
      <c r="O754" s="3" t="s">
        <v>7326</v>
      </c>
      <c r="P754" s="19">
        <v>1.0</v>
      </c>
      <c r="Q754" s="19">
        <v>0.0</v>
      </c>
      <c r="R754" s="19">
        <v>0.0</v>
      </c>
      <c r="S754" s="19">
        <v>2.0</v>
      </c>
      <c r="T754" s="3" t="s">
        <v>131</v>
      </c>
      <c r="U754" s="3" t="s">
        <v>132</v>
      </c>
    </row>
    <row r="755">
      <c r="A755" s="3" t="s">
        <v>7963</v>
      </c>
      <c r="B755" s="3" t="s">
        <v>7234</v>
      </c>
      <c r="C755" s="29">
        <v>46321.58333333333</v>
      </c>
      <c r="D755" s="29">
        <v>46321.60416666667</v>
      </c>
      <c r="E755" s="30">
        <v>0.5</v>
      </c>
      <c r="F755" s="2"/>
      <c r="G755" s="2"/>
      <c r="H755" s="3" t="s">
        <v>7146</v>
      </c>
      <c r="I755" s="3" t="s">
        <v>7147</v>
      </c>
      <c r="J755" s="3" t="s">
        <v>7156</v>
      </c>
      <c r="K755" s="3" t="s">
        <v>7149</v>
      </c>
      <c r="L755" s="19">
        <v>4.0</v>
      </c>
      <c r="M755" s="3" t="s">
        <v>7235</v>
      </c>
      <c r="N755" s="3" t="s">
        <v>7235</v>
      </c>
      <c r="O755" s="3" t="s">
        <v>7964</v>
      </c>
      <c r="P755" s="19">
        <v>0.0</v>
      </c>
      <c r="Q755" s="19">
        <v>1.0</v>
      </c>
      <c r="R755" s="19">
        <v>0.0</v>
      </c>
      <c r="S755" s="19">
        <v>3.0</v>
      </c>
      <c r="T755" s="3" t="s">
        <v>166</v>
      </c>
      <c r="U755" s="3" t="s">
        <v>167</v>
      </c>
    </row>
    <row r="756">
      <c r="A756" s="3" t="s">
        <v>7896</v>
      </c>
      <c r="B756" s="3" t="s">
        <v>7463</v>
      </c>
      <c r="C756" s="29">
        <v>46321.60416666667</v>
      </c>
      <c r="D756" s="29">
        <v>46321.625</v>
      </c>
      <c r="E756" s="30">
        <v>0.5</v>
      </c>
      <c r="F756" s="2"/>
      <c r="G756" s="3" t="s">
        <v>7541</v>
      </c>
      <c r="H756" s="3" t="s">
        <v>7146</v>
      </c>
      <c r="I756" s="3" t="s">
        <v>7338</v>
      </c>
      <c r="J756" s="3" t="s">
        <v>7288</v>
      </c>
      <c r="K756" s="3" t="s">
        <v>7149</v>
      </c>
      <c r="L756" s="19">
        <v>1.0</v>
      </c>
      <c r="M756" s="3" t="s">
        <v>7897</v>
      </c>
      <c r="N756" s="3" t="s">
        <v>7897</v>
      </c>
      <c r="O756" s="3" t="s">
        <v>7161</v>
      </c>
      <c r="P756" s="19">
        <v>1.0</v>
      </c>
      <c r="Q756" s="19">
        <v>0.0</v>
      </c>
      <c r="R756" s="19">
        <v>0.0</v>
      </c>
      <c r="S756" s="19">
        <v>0.0</v>
      </c>
      <c r="T756" s="3" t="s">
        <v>101</v>
      </c>
      <c r="U756" s="3" t="s">
        <v>511</v>
      </c>
    </row>
    <row r="757">
      <c r="A757" s="3" t="s">
        <v>7904</v>
      </c>
      <c r="B757" s="3" t="s">
        <v>7183</v>
      </c>
      <c r="C757" s="29">
        <v>46322.5</v>
      </c>
      <c r="D757" s="29">
        <v>46322.52083333333</v>
      </c>
      <c r="E757" s="30">
        <v>0.5</v>
      </c>
      <c r="F757" s="2"/>
      <c r="G757" s="3" t="s">
        <v>7692</v>
      </c>
      <c r="H757" s="3" t="s">
        <v>7146</v>
      </c>
      <c r="I757" s="3" t="s">
        <v>7161</v>
      </c>
      <c r="J757" s="3" t="s">
        <v>7156</v>
      </c>
      <c r="K757" s="3" t="s">
        <v>7149</v>
      </c>
      <c r="L757" s="19">
        <v>2.0</v>
      </c>
      <c r="M757" s="3" t="s">
        <v>7905</v>
      </c>
      <c r="N757" s="3" t="s">
        <v>7906</v>
      </c>
      <c r="O757" s="3" t="s">
        <v>7944</v>
      </c>
      <c r="P757" s="19">
        <v>1.0</v>
      </c>
      <c r="Q757" s="19">
        <v>0.0</v>
      </c>
      <c r="R757" s="19">
        <v>1.0</v>
      </c>
      <c r="S757" s="19">
        <v>0.0</v>
      </c>
      <c r="T757" s="3" t="s">
        <v>184</v>
      </c>
      <c r="U757" s="3" t="s">
        <v>478</v>
      </c>
    </row>
    <row r="758">
      <c r="A758" s="3" t="s">
        <v>7901</v>
      </c>
      <c r="B758" s="3" t="s">
        <v>7689</v>
      </c>
      <c r="C758" s="29">
        <v>46322.5625</v>
      </c>
      <c r="D758" s="29">
        <v>46322.58333333333</v>
      </c>
      <c r="E758" s="30">
        <v>0.5</v>
      </c>
      <c r="G758" s="2"/>
      <c r="H758" s="3" t="s">
        <v>7146</v>
      </c>
      <c r="I758" s="3" t="s">
        <v>7338</v>
      </c>
      <c r="J758" s="3" t="s">
        <v>7288</v>
      </c>
      <c r="K758" s="3" t="s">
        <v>7149</v>
      </c>
      <c r="L758" s="19">
        <v>1.0</v>
      </c>
      <c r="M758" s="3" t="s">
        <v>7902</v>
      </c>
      <c r="N758" s="3" t="s">
        <v>7902</v>
      </c>
      <c r="O758" s="3" t="s">
        <v>7161</v>
      </c>
      <c r="P758" s="19">
        <v>1.0</v>
      </c>
      <c r="Q758" s="19">
        <v>0.0</v>
      </c>
      <c r="R758" s="19">
        <v>0.0</v>
      </c>
      <c r="S758" s="19">
        <v>0.0</v>
      </c>
      <c r="T758" s="3" t="s">
        <v>142</v>
      </c>
      <c r="U758" s="3" t="s">
        <v>143</v>
      </c>
    </row>
    <row r="759">
      <c r="A759" s="3" t="s">
        <v>7912</v>
      </c>
      <c r="B759" s="3" t="s">
        <v>7696</v>
      </c>
      <c r="C759" s="29">
        <v>46323.41666666667</v>
      </c>
      <c r="D759" s="29">
        <v>46323.4375</v>
      </c>
      <c r="E759" s="30">
        <v>0.5</v>
      </c>
      <c r="G759" s="2"/>
      <c r="H759" s="3" t="s">
        <v>7146</v>
      </c>
      <c r="I759" s="3" t="s">
        <v>7161</v>
      </c>
      <c r="J759" s="3" t="s">
        <v>7274</v>
      </c>
      <c r="K759" s="3" t="s">
        <v>7149</v>
      </c>
      <c r="L759" s="19">
        <v>1.0</v>
      </c>
      <c r="M759" s="3" t="s">
        <v>7288</v>
      </c>
      <c r="N759" s="3" t="s">
        <v>7288</v>
      </c>
      <c r="O759" s="3" t="s">
        <v>7161</v>
      </c>
      <c r="P759" s="19">
        <v>1.0</v>
      </c>
      <c r="Q759" s="19">
        <v>0.0</v>
      </c>
      <c r="R759" s="19">
        <v>0.0</v>
      </c>
      <c r="S759" s="19">
        <v>0.0</v>
      </c>
      <c r="T759" s="2"/>
      <c r="U759" s="2"/>
    </row>
    <row r="760">
      <c r="A760" s="3" t="s">
        <v>7804</v>
      </c>
      <c r="B760" s="3" t="s">
        <v>7805</v>
      </c>
      <c r="C760" s="29">
        <v>46324.5</v>
      </c>
      <c r="D760" s="29">
        <v>46324.52083333333</v>
      </c>
      <c r="E760" s="30">
        <v>0.5</v>
      </c>
      <c r="F760" s="2"/>
      <c r="G760" s="2"/>
      <c r="H760" s="3" t="s">
        <v>7146</v>
      </c>
      <c r="I760" s="3" t="s">
        <v>7338</v>
      </c>
      <c r="J760" s="3" t="s">
        <v>7288</v>
      </c>
      <c r="K760" s="3" t="s">
        <v>7149</v>
      </c>
      <c r="L760" s="19">
        <v>1.0</v>
      </c>
      <c r="M760" s="3" t="s">
        <v>7806</v>
      </c>
      <c r="N760" s="3" t="s">
        <v>7806</v>
      </c>
      <c r="O760" s="3" t="s">
        <v>7161</v>
      </c>
      <c r="P760" s="19">
        <v>1.0</v>
      </c>
      <c r="Q760" s="19">
        <v>0.0</v>
      </c>
      <c r="R760" s="19">
        <v>0.0</v>
      </c>
      <c r="S760" s="19">
        <v>0.0</v>
      </c>
      <c r="T760" s="3" t="s">
        <v>157</v>
      </c>
      <c r="U760" s="3" t="s">
        <v>158</v>
      </c>
    </row>
    <row r="761">
      <c r="A761" s="3" t="s">
        <v>7659</v>
      </c>
      <c r="B761" s="3" t="s">
        <v>7420</v>
      </c>
      <c r="C761" s="29">
        <v>46324.52083333333</v>
      </c>
      <c r="D761" s="29">
        <v>46324.54166666667</v>
      </c>
      <c r="E761" s="30">
        <v>0.5</v>
      </c>
      <c r="F761" s="2"/>
      <c r="G761" s="2"/>
      <c r="H761" s="3" t="s">
        <v>7146</v>
      </c>
      <c r="I761" s="3" t="s">
        <v>7161</v>
      </c>
      <c r="J761" s="3" t="s">
        <v>7156</v>
      </c>
      <c r="K761" s="3" t="s">
        <v>7149</v>
      </c>
      <c r="L761" s="19">
        <v>5.0</v>
      </c>
      <c r="M761" s="3" t="s">
        <v>7571</v>
      </c>
      <c r="N761" s="3" t="s">
        <v>7571</v>
      </c>
      <c r="O761" s="3" t="s">
        <v>7970</v>
      </c>
      <c r="P761" s="19">
        <v>3.0</v>
      </c>
      <c r="Q761" s="19">
        <v>1.0</v>
      </c>
      <c r="R761" s="19">
        <v>0.0</v>
      </c>
      <c r="S761" s="19">
        <v>1.0</v>
      </c>
      <c r="T761" s="3" t="s">
        <v>125</v>
      </c>
      <c r="U761" s="3" t="s">
        <v>126</v>
      </c>
    </row>
    <row r="762">
      <c r="A762" s="3" t="s">
        <v>7825</v>
      </c>
      <c r="B762" s="3" t="s">
        <v>7471</v>
      </c>
      <c r="C762" s="29">
        <v>46325.41666666667</v>
      </c>
      <c r="D762" s="29">
        <v>46325.4375</v>
      </c>
      <c r="E762" s="30">
        <v>0.5</v>
      </c>
      <c r="G762" s="2"/>
      <c r="H762" s="3" t="s">
        <v>7146</v>
      </c>
      <c r="I762" s="3" t="s">
        <v>7161</v>
      </c>
      <c r="J762" s="3" t="s">
        <v>7156</v>
      </c>
      <c r="K762" s="3" t="s">
        <v>7149</v>
      </c>
      <c r="L762" s="19">
        <v>5.0</v>
      </c>
      <c r="M762" s="3" t="s">
        <v>7826</v>
      </c>
      <c r="N762" s="3" t="s">
        <v>7826</v>
      </c>
      <c r="O762" s="3" t="s">
        <v>7974</v>
      </c>
      <c r="P762" s="19">
        <v>2.0</v>
      </c>
      <c r="Q762" s="19">
        <v>0.0</v>
      </c>
      <c r="R762" s="19">
        <v>0.0</v>
      </c>
      <c r="S762" s="19">
        <v>3.0</v>
      </c>
      <c r="T762" s="3" t="s">
        <v>199</v>
      </c>
      <c r="U762" s="3" t="s">
        <v>272</v>
      </c>
    </row>
    <row r="763">
      <c r="A763" s="3" t="s">
        <v>7679</v>
      </c>
      <c r="B763" s="3" t="s">
        <v>7546</v>
      </c>
      <c r="C763" s="29">
        <v>46325.47916666667</v>
      </c>
      <c r="D763" s="29">
        <v>46325.52083333333</v>
      </c>
      <c r="E763" s="30">
        <v>1.0</v>
      </c>
      <c r="F763" s="2"/>
      <c r="G763" s="2"/>
      <c r="H763" s="3" t="s">
        <v>7146</v>
      </c>
      <c r="I763" s="3" t="s">
        <v>7338</v>
      </c>
      <c r="J763" s="3" t="s">
        <v>7288</v>
      </c>
      <c r="K763" s="3" t="s">
        <v>7149</v>
      </c>
      <c r="L763" s="19">
        <v>1.0</v>
      </c>
      <c r="M763" s="3" t="s">
        <v>7680</v>
      </c>
      <c r="N763" s="3" t="s">
        <v>7680</v>
      </c>
      <c r="O763" s="3" t="s">
        <v>7161</v>
      </c>
      <c r="P763" s="19">
        <v>1.0</v>
      </c>
      <c r="Q763" s="19">
        <v>0.0</v>
      </c>
      <c r="R763" s="19">
        <v>0.0</v>
      </c>
      <c r="S763" s="19">
        <v>0.0</v>
      </c>
      <c r="T763" s="3" t="s">
        <v>119</v>
      </c>
      <c r="U763" s="3" t="s">
        <v>251</v>
      </c>
    </row>
    <row r="764">
      <c r="A764" s="3" t="s">
        <v>7942</v>
      </c>
      <c r="B764" s="3" t="s">
        <v>7256</v>
      </c>
      <c r="C764" s="29">
        <v>46328.5625</v>
      </c>
      <c r="D764" s="29">
        <v>46328.58333333333</v>
      </c>
      <c r="E764" s="30">
        <v>0.5</v>
      </c>
      <c r="G764" s="2"/>
      <c r="H764" s="3" t="s">
        <v>7146</v>
      </c>
      <c r="I764" s="3" t="s">
        <v>7161</v>
      </c>
      <c r="J764" s="3" t="s">
        <v>7156</v>
      </c>
      <c r="K764" s="3" t="s">
        <v>7149</v>
      </c>
      <c r="L764" s="19">
        <v>3.0</v>
      </c>
      <c r="M764" s="3" t="s">
        <v>7943</v>
      </c>
      <c r="N764" s="3" t="s">
        <v>7943</v>
      </c>
      <c r="O764" s="3" t="s">
        <v>7258</v>
      </c>
      <c r="P764" s="19">
        <v>2.0</v>
      </c>
      <c r="Q764" s="19">
        <v>0.0</v>
      </c>
      <c r="R764" s="19">
        <v>0.0</v>
      </c>
      <c r="S764" s="19">
        <v>1.0</v>
      </c>
      <c r="T764" s="3" t="s">
        <v>202</v>
      </c>
      <c r="U764" s="3" t="s">
        <v>203</v>
      </c>
    </row>
    <row r="765">
      <c r="A765" s="3" t="s">
        <v>7982</v>
      </c>
      <c r="B765" s="3" t="s">
        <v>7203</v>
      </c>
      <c r="C765" s="29">
        <v>46328.5625</v>
      </c>
      <c r="D765" s="29">
        <v>46328.58333333333</v>
      </c>
      <c r="E765" s="30">
        <v>0.5</v>
      </c>
      <c r="G765" s="3" t="s">
        <v>7983</v>
      </c>
      <c r="H765" s="3" t="s">
        <v>7146</v>
      </c>
      <c r="I765" s="3" t="s">
        <v>7147</v>
      </c>
      <c r="J765" s="3" t="s">
        <v>7156</v>
      </c>
      <c r="K765" s="3" t="s">
        <v>7149</v>
      </c>
      <c r="L765" s="19">
        <v>7.0</v>
      </c>
      <c r="M765" s="3" t="s">
        <v>7204</v>
      </c>
      <c r="N765" s="3" t="s">
        <v>7204</v>
      </c>
      <c r="O765" s="3" t="s">
        <v>7984</v>
      </c>
      <c r="P765" s="19">
        <v>4.0</v>
      </c>
      <c r="Q765" s="19">
        <v>1.0</v>
      </c>
      <c r="R765" s="19">
        <v>0.0</v>
      </c>
      <c r="S765" s="19">
        <v>2.0</v>
      </c>
      <c r="T765" s="3" t="s">
        <v>6785</v>
      </c>
      <c r="U765" s="3" t="s">
        <v>601</v>
      </c>
    </row>
    <row r="766">
      <c r="A766" s="3" t="s">
        <v>7896</v>
      </c>
      <c r="B766" s="3" t="s">
        <v>7463</v>
      </c>
      <c r="C766" s="29">
        <v>46328.60416666667</v>
      </c>
      <c r="D766" s="29">
        <v>46328.625</v>
      </c>
      <c r="E766" s="30">
        <v>0.5</v>
      </c>
      <c r="F766" s="2"/>
      <c r="G766" s="3" t="s">
        <v>7541</v>
      </c>
      <c r="H766" s="3" t="s">
        <v>7146</v>
      </c>
      <c r="I766" s="3" t="s">
        <v>7338</v>
      </c>
      <c r="J766" s="3" t="s">
        <v>7288</v>
      </c>
      <c r="K766" s="3" t="s">
        <v>7149</v>
      </c>
      <c r="L766" s="19">
        <v>1.0</v>
      </c>
      <c r="M766" s="3" t="s">
        <v>7897</v>
      </c>
      <c r="N766" s="3" t="s">
        <v>7897</v>
      </c>
      <c r="O766" s="3" t="s">
        <v>7161</v>
      </c>
      <c r="P766" s="19">
        <v>1.0</v>
      </c>
      <c r="Q766" s="19">
        <v>0.0</v>
      </c>
      <c r="R766" s="19">
        <v>0.0</v>
      </c>
      <c r="S766" s="19">
        <v>0.0</v>
      </c>
      <c r="T766" s="3" t="s">
        <v>101</v>
      </c>
      <c r="U766" s="3" t="s">
        <v>511</v>
      </c>
    </row>
    <row r="767">
      <c r="A767" s="3" t="s">
        <v>7904</v>
      </c>
      <c r="B767" s="3" t="s">
        <v>7183</v>
      </c>
      <c r="C767" s="29">
        <v>46329.5</v>
      </c>
      <c r="D767" s="29">
        <v>46329.52083333333</v>
      </c>
      <c r="E767" s="30">
        <v>0.5</v>
      </c>
      <c r="F767" s="2"/>
      <c r="G767" s="3" t="s">
        <v>7692</v>
      </c>
      <c r="H767" s="3" t="s">
        <v>7146</v>
      </c>
      <c r="I767" s="3" t="s">
        <v>7161</v>
      </c>
      <c r="J767" s="3" t="s">
        <v>7156</v>
      </c>
      <c r="K767" s="3" t="s">
        <v>7149</v>
      </c>
      <c r="L767" s="19">
        <v>2.0</v>
      </c>
      <c r="M767" s="3" t="s">
        <v>7905</v>
      </c>
      <c r="N767" s="3" t="s">
        <v>7906</v>
      </c>
      <c r="O767" s="3" t="s">
        <v>7944</v>
      </c>
      <c r="P767" s="19">
        <v>1.0</v>
      </c>
      <c r="Q767" s="19">
        <v>0.0</v>
      </c>
      <c r="R767" s="19">
        <v>1.0</v>
      </c>
      <c r="S767" s="19">
        <v>0.0</v>
      </c>
      <c r="T767" s="3" t="s">
        <v>184</v>
      </c>
      <c r="U767" s="3" t="s">
        <v>478</v>
      </c>
    </row>
    <row r="768">
      <c r="A768" s="3" t="s">
        <v>7754</v>
      </c>
      <c r="B768" s="3" t="s">
        <v>7755</v>
      </c>
      <c r="C768" s="29">
        <v>46329.58333333333</v>
      </c>
      <c r="D768" s="29">
        <v>46329.60416666667</v>
      </c>
      <c r="E768" s="30">
        <v>0.5</v>
      </c>
      <c r="F768" s="2"/>
      <c r="G768" s="3" t="s">
        <v>7756</v>
      </c>
      <c r="H768" s="3" t="s">
        <v>7146</v>
      </c>
      <c r="I768" s="3" t="s">
        <v>7161</v>
      </c>
      <c r="J768" s="3" t="s">
        <v>7156</v>
      </c>
      <c r="K768" s="3" t="s">
        <v>7149</v>
      </c>
      <c r="L768" s="19">
        <v>7.0</v>
      </c>
      <c r="M768" s="3" t="s">
        <v>7757</v>
      </c>
      <c r="N768" s="3" t="s">
        <v>7758</v>
      </c>
      <c r="O768" s="3" t="s">
        <v>7759</v>
      </c>
      <c r="P768" s="19">
        <v>0.0</v>
      </c>
      <c r="Q768" s="19">
        <v>1.0</v>
      </c>
      <c r="R768" s="19">
        <v>1.0</v>
      </c>
      <c r="S768" s="19">
        <v>5.0</v>
      </c>
      <c r="T768" s="3" t="s">
        <v>110</v>
      </c>
      <c r="U768" s="3" t="s">
        <v>111</v>
      </c>
    </row>
    <row r="769">
      <c r="A769" s="3" t="s">
        <v>7912</v>
      </c>
      <c r="B769" s="3" t="s">
        <v>7696</v>
      </c>
      <c r="C769" s="29">
        <v>46330.41666666667</v>
      </c>
      <c r="D769" s="29">
        <v>46330.4375</v>
      </c>
      <c r="E769" s="30">
        <v>0.5</v>
      </c>
      <c r="G769" s="2"/>
      <c r="H769" s="3" t="s">
        <v>7146</v>
      </c>
      <c r="I769" s="3" t="s">
        <v>7161</v>
      </c>
      <c r="J769" s="3" t="s">
        <v>7274</v>
      </c>
      <c r="K769" s="3" t="s">
        <v>7149</v>
      </c>
      <c r="L769" s="19">
        <v>1.0</v>
      </c>
      <c r="M769" s="3" t="s">
        <v>7288</v>
      </c>
      <c r="N769" s="3" t="s">
        <v>7288</v>
      </c>
      <c r="O769" s="3" t="s">
        <v>7161</v>
      </c>
      <c r="P769" s="19">
        <v>1.0</v>
      </c>
      <c r="Q769" s="19">
        <v>0.0</v>
      </c>
      <c r="R769" s="19">
        <v>0.0</v>
      </c>
      <c r="S769" s="19">
        <v>0.0</v>
      </c>
      <c r="T769" s="2"/>
      <c r="U769" s="2"/>
    </row>
    <row r="770">
      <c r="A770" s="3" t="s">
        <v>7979</v>
      </c>
      <c r="B770" s="3" t="s">
        <v>7249</v>
      </c>
      <c r="C770" s="29">
        <v>46330.54166666667</v>
      </c>
      <c r="D770" s="29">
        <v>46330.5625</v>
      </c>
      <c r="E770" s="30">
        <v>0.5</v>
      </c>
      <c r="G770" s="2"/>
      <c r="H770" s="3" t="s">
        <v>7146</v>
      </c>
      <c r="I770" s="3" t="s">
        <v>7161</v>
      </c>
      <c r="J770" s="3" t="s">
        <v>7156</v>
      </c>
      <c r="K770" s="3" t="s">
        <v>7149</v>
      </c>
      <c r="L770" s="19">
        <v>2.0</v>
      </c>
      <c r="M770" s="3" t="s">
        <v>7921</v>
      </c>
      <c r="N770" s="3" t="s">
        <v>7921</v>
      </c>
      <c r="O770" s="3" t="s">
        <v>7218</v>
      </c>
      <c r="P770" s="19">
        <v>2.0</v>
      </c>
      <c r="Q770" s="19">
        <v>0.0</v>
      </c>
      <c r="R770" s="19">
        <v>0.0</v>
      </c>
      <c r="S770" s="19">
        <v>0.0</v>
      </c>
      <c r="T770" s="3" t="s">
        <v>187</v>
      </c>
      <c r="U770" s="3" t="s">
        <v>188</v>
      </c>
    </row>
    <row r="771">
      <c r="A771" s="3" t="s">
        <v>7948</v>
      </c>
      <c r="B771" s="3" t="s">
        <v>7949</v>
      </c>
      <c r="C771" s="29">
        <v>46331.35416666667</v>
      </c>
      <c r="D771" s="29">
        <v>46331.375</v>
      </c>
      <c r="E771" s="30">
        <v>0.5</v>
      </c>
      <c r="G771" s="2"/>
      <c r="H771" s="3" t="s">
        <v>7146</v>
      </c>
      <c r="I771" s="3" t="s">
        <v>7338</v>
      </c>
      <c r="J771" s="3" t="s">
        <v>7288</v>
      </c>
      <c r="K771" s="3" t="s">
        <v>7149</v>
      </c>
      <c r="L771" s="19">
        <v>3.0</v>
      </c>
      <c r="M771" s="3" t="s">
        <v>7950</v>
      </c>
      <c r="N771" s="3" t="s">
        <v>7950</v>
      </c>
      <c r="O771" s="3" t="s">
        <v>7622</v>
      </c>
      <c r="P771" s="19">
        <v>0.0</v>
      </c>
      <c r="Q771" s="19">
        <v>0.0</v>
      </c>
      <c r="R771" s="19">
        <v>0.0</v>
      </c>
      <c r="S771" s="19">
        <v>3.0</v>
      </c>
      <c r="T771" s="3" t="s">
        <v>193</v>
      </c>
      <c r="U771" s="3" t="s">
        <v>544</v>
      </c>
    </row>
    <row r="772">
      <c r="A772" s="3" t="s">
        <v>7794</v>
      </c>
      <c r="B772" s="3" t="s">
        <v>7795</v>
      </c>
      <c r="C772" s="29">
        <v>46331.39583333333</v>
      </c>
      <c r="D772" s="29">
        <v>46331.41666666667</v>
      </c>
      <c r="E772" s="30">
        <v>0.5</v>
      </c>
      <c r="F772" s="2"/>
      <c r="G772" s="2"/>
      <c r="H772" s="3" t="s">
        <v>7146</v>
      </c>
      <c r="I772" s="3" t="s">
        <v>7161</v>
      </c>
      <c r="J772" s="3" t="s">
        <v>7168</v>
      </c>
      <c r="K772" s="3" t="s">
        <v>7149</v>
      </c>
      <c r="L772" s="19">
        <v>6.0</v>
      </c>
      <c r="M772" s="3" t="s">
        <v>7196</v>
      </c>
      <c r="N772" s="3" t="s">
        <v>7196</v>
      </c>
      <c r="O772" s="3" t="s">
        <v>7197</v>
      </c>
      <c r="P772" s="19">
        <v>4.0</v>
      </c>
      <c r="Q772" s="19">
        <v>0.0</v>
      </c>
      <c r="R772" s="19">
        <v>0.0</v>
      </c>
      <c r="S772" s="19">
        <v>2.0</v>
      </c>
      <c r="T772" s="3" t="s">
        <v>178</v>
      </c>
      <c r="U772" s="3" t="s">
        <v>179</v>
      </c>
    </row>
    <row r="773">
      <c r="A773" s="3" t="s">
        <v>7951</v>
      </c>
      <c r="B773" s="3" t="s">
        <v>7160</v>
      </c>
      <c r="C773" s="29">
        <v>46331.4375</v>
      </c>
      <c r="D773" s="29">
        <v>46331.45833333333</v>
      </c>
      <c r="E773" s="30">
        <v>0.5</v>
      </c>
      <c r="G773" s="2"/>
      <c r="H773" s="3" t="s">
        <v>7146</v>
      </c>
      <c r="I773" s="3" t="s">
        <v>7161</v>
      </c>
      <c r="J773" s="3" t="s">
        <v>7156</v>
      </c>
      <c r="K773" s="3" t="s">
        <v>7149</v>
      </c>
      <c r="L773" s="19">
        <v>2.0</v>
      </c>
      <c r="M773" s="3" t="s">
        <v>7952</v>
      </c>
      <c r="N773" s="3" t="s">
        <v>7953</v>
      </c>
      <c r="O773" s="3" t="s">
        <v>7218</v>
      </c>
      <c r="P773" s="19">
        <v>2.0</v>
      </c>
      <c r="Q773" s="19">
        <v>0.0</v>
      </c>
      <c r="R773" s="19">
        <v>0.0</v>
      </c>
      <c r="S773" s="19">
        <v>0.0</v>
      </c>
      <c r="T773" s="3" t="s">
        <v>154</v>
      </c>
      <c r="U773" s="3" t="s">
        <v>329</v>
      </c>
    </row>
    <row r="774">
      <c r="A774" s="3" t="s">
        <v>7954</v>
      </c>
      <c r="B774" s="3" t="s">
        <v>7163</v>
      </c>
      <c r="C774" s="29">
        <v>46331.58333333333</v>
      </c>
      <c r="D774" s="29">
        <v>46331.60416666667</v>
      </c>
      <c r="E774" s="30">
        <v>0.5</v>
      </c>
      <c r="F774" s="2"/>
      <c r="G774" s="2"/>
      <c r="H774" s="3" t="s">
        <v>7146</v>
      </c>
      <c r="I774" s="3" t="s">
        <v>7161</v>
      </c>
      <c r="J774" s="3" t="s">
        <v>7156</v>
      </c>
      <c r="K774" s="3" t="s">
        <v>7149</v>
      </c>
      <c r="L774" s="19">
        <v>5.0</v>
      </c>
      <c r="M774" s="3" t="s">
        <v>7955</v>
      </c>
      <c r="N774" s="3" t="s">
        <v>7955</v>
      </c>
      <c r="O774" s="3" t="s">
        <v>7956</v>
      </c>
      <c r="P774" s="19">
        <v>0.0</v>
      </c>
      <c r="Q774" s="19">
        <v>3.0</v>
      </c>
      <c r="R774" s="19">
        <v>0.0</v>
      </c>
      <c r="S774" s="19">
        <v>2.0</v>
      </c>
      <c r="T774" s="3" t="s">
        <v>151</v>
      </c>
      <c r="U774" s="3" t="s">
        <v>370</v>
      </c>
    </row>
    <row r="775">
      <c r="A775" s="3" t="s">
        <v>7957</v>
      </c>
      <c r="B775" s="3" t="s">
        <v>7712</v>
      </c>
      <c r="C775" s="29">
        <v>46331.64583333333</v>
      </c>
      <c r="D775" s="29">
        <v>46331.66666666667</v>
      </c>
      <c r="E775" s="30">
        <v>0.5</v>
      </c>
      <c r="F775" s="2"/>
      <c r="G775" s="3" t="s">
        <v>7713</v>
      </c>
      <c r="H775" s="3" t="s">
        <v>7146</v>
      </c>
      <c r="I775" s="3" t="s">
        <v>7338</v>
      </c>
      <c r="J775" s="3" t="s">
        <v>7288</v>
      </c>
      <c r="K775" s="3" t="s">
        <v>7149</v>
      </c>
      <c r="L775" s="19">
        <v>5.0</v>
      </c>
      <c r="M775" s="3" t="s">
        <v>7958</v>
      </c>
      <c r="N775" s="3" t="s">
        <v>7958</v>
      </c>
      <c r="O775" s="3" t="s">
        <v>7959</v>
      </c>
      <c r="P775" s="19">
        <v>2.0</v>
      </c>
      <c r="Q775" s="19">
        <v>1.0</v>
      </c>
      <c r="R775" s="19">
        <v>1.0</v>
      </c>
      <c r="S775" s="19">
        <v>1.0</v>
      </c>
      <c r="T775" s="3" t="s">
        <v>122</v>
      </c>
      <c r="U775" s="3" t="s">
        <v>123</v>
      </c>
    </row>
    <row r="776">
      <c r="A776" s="3" t="s">
        <v>7971</v>
      </c>
      <c r="B776" s="3" t="s">
        <v>7178</v>
      </c>
      <c r="C776" s="29">
        <v>46332.39583333333</v>
      </c>
      <c r="D776" s="29">
        <v>46332.41666666667</v>
      </c>
      <c r="E776" s="30">
        <v>0.5</v>
      </c>
      <c r="F776" s="2"/>
      <c r="G776" s="25" t="s">
        <v>7972</v>
      </c>
      <c r="H776" s="3" t="s">
        <v>7146</v>
      </c>
      <c r="I776" s="3" t="s">
        <v>7161</v>
      </c>
      <c r="J776" s="3" t="s">
        <v>7156</v>
      </c>
      <c r="K776" s="3" t="s">
        <v>7149</v>
      </c>
      <c r="L776" s="19">
        <v>3.0</v>
      </c>
      <c r="M776" s="3" t="s">
        <v>7973</v>
      </c>
      <c r="N776" s="3" t="s">
        <v>7973</v>
      </c>
      <c r="O776" s="3" t="s">
        <v>7231</v>
      </c>
      <c r="P776" s="19">
        <v>2.0</v>
      </c>
      <c r="Q776" s="19">
        <v>1.0</v>
      </c>
      <c r="R776" s="19">
        <v>0.0</v>
      </c>
      <c r="S776" s="19">
        <v>0.0</v>
      </c>
      <c r="T776" s="3" t="s">
        <v>169</v>
      </c>
      <c r="U776" s="3" t="s">
        <v>170</v>
      </c>
    </row>
    <row r="777">
      <c r="A777" s="3" t="s">
        <v>7679</v>
      </c>
      <c r="B777" s="3" t="s">
        <v>7546</v>
      </c>
      <c r="C777" s="29">
        <v>46332.47916666667</v>
      </c>
      <c r="D777" s="29">
        <v>46332.52083333333</v>
      </c>
      <c r="E777" s="30">
        <v>1.0</v>
      </c>
      <c r="F777" s="2"/>
      <c r="G777" s="2"/>
      <c r="H777" s="3" t="s">
        <v>7146</v>
      </c>
      <c r="I777" s="3" t="s">
        <v>7338</v>
      </c>
      <c r="J777" s="3" t="s">
        <v>7288</v>
      </c>
      <c r="K777" s="3" t="s">
        <v>7149</v>
      </c>
      <c r="L777" s="19">
        <v>1.0</v>
      </c>
      <c r="M777" s="3" t="s">
        <v>7680</v>
      </c>
      <c r="N777" s="3" t="s">
        <v>7680</v>
      </c>
      <c r="O777" s="3" t="s">
        <v>7161</v>
      </c>
      <c r="P777" s="19">
        <v>1.0</v>
      </c>
      <c r="Q777" s="19">
        <v>0.0</v>
      </c>
      <c r="R777" s="19">
        <v>0.0</v>
      </c>
      <c r="S777" s="19">
        <v>0.0</v>
      </c>
      <c r="T777" s="3" t="s">
        <v>119</v>
      </c>
      <c r="U777" s="3" t="s">
        <v>251</v>
      </c>
    </row>
    <row r="778">
      <c r="A778" s="3" t="s">
        <v>7975</v>
      </c>
      <c r="B778" s="3" t="s">
        <v>7167</v>
      </c>
      <c r="C778" s="29">
        <v>46332.54166666667</v>
      </c>
      <c r="D778" s="29">
        <v>46332.5625</v>
      </c>
      <c r="E778" s="30">
        <v>0.5</v>
      </c>
      <c r="F778" s="2"/>
      <c r="G778" s="2"/>
      <c r="H778" s="3" t="s">
        <v>7146</v>
      </c>
      <c r="I778" s="3" t="s">
        <v>7338</v>
      </c>
      <c r="J778" s="3" t="s">
        <v>7288</v>
      </c>
      <c r="K778" s="3" t="s">
        <v>7149</v>
      </c>
      <c r="L778" s="19">
        <v>4.0</v>
      </c>
      <c r="M778" s="3" t="s">
        <v>7169</v>
      </c>
      <c r="N778" s="3" t="s">
        <v>7170</v>
      </c>
      <c r="O778" s="3" t="s">
        <v>7268</v>
      </c>
      <c r="P778" s="19">
        <v>1.0</v>
      </c>
      <c r="Q778" s="19">
        <v>0.0</v>
      </c>
      <c r="R778" s="19">
        <v>0.0</v>
      </c>
      <c r="S778" s="19">
        <v>3.0</v>
      </c>
      <c r="T778" s="3" t="s">
        <v>205</v>
      </c>
      <c r="U778" s="3" t="s">
        <v>206</v>
      </c>
    </row>
    <row r="779">
      <c r="A779" s="3" t="s">
        <v>7960</v>
      </c>
      <c r="B779" s="3" t="s">
        <v>7961</v>
      </c>
      <c r="C779" s="29">
        <v>46335.54166666667</v>
      </c>
      <c r="D779" s="29">
        <v>46335.5625</v>
      </c>
      <c r="E779" s="30">
        <v>0.5</v>
      </c>
      <c r="F779" s="2"/>
      <c r="G779" s="3" t="s">
        <v>7962</v>
      </c>
      <c r="H779" s="3" t="s">
        <v>7146</v>
      </c>
      <c r="I779" s="3" t="s">
        <v>7338</v>
      </c>
      <c r="J779" s="3" t="s">
        <v>7288</v>
      </c>
      <c r="K779" s="3" t="s">
        <v>7149</v>
      </c>
      <c r="L779" s="19">
        <v>3.0</v>
      </c>
      <c r="M779" s="3" t="s">
        <v>7788</v>
      </c>
      <c r="N779" s="3" t="s">
        <v>7788</v>
      </c>
      <c r="O779" s="3" t="s">
        <v>7326</v>
      </c>
      <c r="P779" s="19">
        <v>1.0</v>
      </c>
      <c r="Q779" s="19">
        <v>0.0</v>
      </c>
      <c r="R779" s="19">
        <v>0.0</v>
      </c>
      <c r="S779" s="19">
        <v>2.0</v>
      </c>
      <c r="T779" s="3" t="s">
        <v>131</v>
      </c>
      <c r="U779" s="3" t="s">
        <v>132</v>
      </c>
    </row>
    <row r="780">
      <c r="A780" s="3" t="s">
        <v>7963</v>
      </c>
      <c r="B780" s="3" t="s">
        <v>7234</v>
      </c>
      <c r="C780" s="29">
        <v>46335.58333333333</v>
      </c>
      <c r="D780" s="29">
        <v>46335.60416666667</v>
      </c>
      <c r="E780" s="30">
        <v>0.5</v>
      </c>
      <c r="F780" s="2"/>
      <c r="G780" s="2"/>
      <c r="H780" s="3" t="s">
        <v>7146</v>
      </c>
      <c r="I780" s="3" t="s">
        <v>7147</v>
      </c>
      <c r="J780" s="3" t="s">
        <v>7156</v>
      </c>
      <c r="K780" s="3" t="s">
        <v>7149</v>
      </c>
      <c r="L780" s="19">
        <v>4.0</v>
      </c>
      <c r="M780" s="3" t="s">
        <v>7235</v>
      </c>
      <c r="N780" s="3" t="s">
        <v>7235</v>
      </c>
      <c r="O780" s="3" t="s">
        <v>7964</v>
      </c>
      <c r="P780" s="19">
        <v>0.0</v>
      </c>
      <c r="Q780" s="19">
        <v>1.0</v>
      </c>
      <c r="R780" s="19">
        <v>0.0</v>
      </c>
      <c r="S780" s="19">
        <v>3.0</v>
      </c>
      <c r="T780" s="3" t="s">
        <v>166</v>
      </c>
      <c r="U780" s="3" t="s">
        <v>167</v>
      </c>
    </row>
    <row r="781">
      <c r="A781" s="3" t="s">
        <v>7896</v>
      </c>
      <c r="B781" s="3" t="s">
        <v>7463</v>
      </c>
      <c r="C781" s="29">
        <v>46335.60416666667</v>
      </c>
      <c r="D781" s="29">
        <v>46335.625</v>
      </c>
      <c r="E781" s="30">
        <v>0.5</v>
      </c>
      <c r="G781" s="3" t="s">
        <v>7541</v>
      </c>
      <c r="H781" s="3" t="s">
        <v>7146</v>
      </c>
      <c r="I781" s="3" t="s">
        <v>7338</v>
      </c>
      <c r="J781" s="3" t="s">
        <v>7288</v>
      </c>
      <c r="K781" s="3" t="s">
        <v>7149</v>
      </c>
      <c r="L781" s="19">
        <v>1.0</v>
      </c>
      <c r="M781" s="3" t="s">
        <v>7897</v>
      </c>
      <c r="N781" s="3" t="s">
        <v>7897</v>
      </c>
      <c r="O781" s="3" t="s">
        <v>7161</v>
      </c>
      <c r="P781" s="19">
        <v>1.0</v>
      </c>
      <c r="Q781" s="19">
        <v>0.0</v>
      </c>
      <c r="R781" s="19">
        <v>0.0</v>
      </c>
      <c r="S781" s="19">
        <v>0.0</v>
      </c>
      <c r="T781" s="3" t="s">
        <v>101</v>
      </c>
      <c r="U781" s="3" t="s">
        <v>511</v>
      </c>
    </row>
    <row r="782">
      <c r="A782" s="3" t="s">
        <v>7904</v>
      </c>
      <c r="B782" s="3" t="s">
        <v>7183</v>
      </c>
      <c r="C782" s="29">
        <v>46336.5</v>
      </c>
      <c r="D782" s="29">
        <v>46336.52083333333</v>
      </c>
      <c r="E782" s="30">
        <v>0.5</v>
      </c>
      <c r="G782" s="3" t="s">
        <v>7692</v>
      </c>
      <c r="H782" s="3" t="s">
        <v>7146</v>
      </c>
      <c r="I782" s="3" t="s">
        <v>7161</v>
      </c>
      <c r="J782" s="3" t="s">
        <v>7156</v>
      </c>
      <c r="K782" s="3" t="s">
        <v>7149</v>
      </c>
      <c r="L782" s="19">
        <v>2.0</v>
      </c>
      <c r="M782" s="3" t="s">
        <v>7905</v>
      </c>
      <c r="N782" s="3" t="s">
        <v>7906</v>
      </c>
      <c r="O782" s="3" t="s">
        <v>7944</v>
      </c>
      <c r="P782" s="19">
        <v>1.0</v>
      </c>
      <c r="Q782" s="19">
        <v>0.0</v>
      </c>
      <c r="R782" s="19">
        <v>1.0</v>
      </c>
      <c r="S782" s="19">
        <v>0.0</v>
      </c>
      <c r="T782" s="3" t="s">
        <v>184</v>
      </c>
      <c r="U782" s="3" t="s">
        <v>478</v>
      </c>
    </row>
    <row r="783">
      <c r="A783" s="3" t="s">
        <v>7748</v>
      </c>
      <c r="B783" s="3" t="s">
        <v>7211</v>
      </c>
      <c r="C783" s="29">
        <v>46336.54166666667</v>
      </c>
      <c r="D783" s="29">
        <v>46336.5625</v>
      </c>
      <c r="E783" s="30">
        <v>0.5</v>
      </c>
      <c r="G783" s="3" t="s">
        <v>7212</v>
      </c>
      <c r="H783" s="3" t="s">
        <v>7146</v>
      </c>
      <c r="I783" s="3" t="s">
        <v>7161</v>
      </c>
      <c r="J783" s="3" t="s">
        <v>7156</v>
      </c>
      <c r="K783" s="3" t="s">
        <v>7149</v>
      </c>
      <c r="L783" s="19">
        <v>4.0</v>
      </c>
      <c r="M783" s="3" t="s">
        <v>7213</v>
      </c>
      <c r="N783" s="3" t="s">
        <v>7213</v>
      </c>
      <c r="O783" s="3" t="s">
        <v>7965</v>
      </c>
      <c r="P783" s="19">
        <v>2.0</v>
      </c>
      <c r="Q783" s="19">
        <v>1.0</v>
      </c>
      <c r="R783" s="19">
        <v>0.0</v>
      </c>
      <c r="S783" s="19">
        <v>1.0</v>
      </c>
      <c r="T783" s="3" t="s">
        <v>175</v>
      </c>
      <c r="U783" s="3" t="s">
        <v>422</v>
      </c>
    </row>
    <row r="784">
      <c r="A784" s="3" t="s">
        <v>7901</v>
      </c>
      <c r="B784" s="3" t="s">
        <v>7689</v>
      </c>
      <c r="C784" s="29">
        <v>46336.5625</v>
      </c>
      <c r="D784" s="29">
        <v>46336.58333333333</v>
      </c>
      <c r="E784" s="30">
        <v>0.5</v>
      </c>
      <c r="F784" s="2"/>
      <c r="G784" s="2"/>
      <c r="H784" s="3" t="s">
        <v>7146</v>
      </c>
      <c r="I784" s="3" t="s">
        <v>7338</v>
      </c>
      <c r="J784" s="3" t="s">
        <v>7288</v>
      </c>
      <c r="K784" s="3" t="s">
        <v>7149</v>
      </c>
      <c r="L784" s="19">
        <v>1.0</v>
      </c>
      <c r="M784" s="3" t="s">
        <v>7902</v>
      </c>
      <c r="N784" s="3" t="s">
        <v>7902</v>
      </c>
      <c r="O784" s="3" t="s">
        <v>7161</v>
      </c>
      <c r="P784" s="19">
        <v>1.0</v>
      </c>
      <c r="Q784" s="19">
        <v>0.0</v>
      </c>
      <c r="R784" s="19">
        <v>0.0</v>
      </c>
      <c r="S784" s="19">
        <v>0.0</v>
      </c>
      <c r="T784" s="3" t="s">
        <v>142</v>
      </c>
      <c r="U784" s="3" t="s">
        <v>143</v>
      </c>
    </row>
    <row r="785">
      <c r="A785" s="3" t="s">
        <v>7966</v>
      </c>
      <c r="B785" s="3" t="s">
        <v>7967</v>
      </c>
      <c r="C785" s="29">
        <v>46336.64583333333</v>
      </c>
      <c r="D785" s="29">
        <v>46336.66666666667</v>
      </c>
      <c r="E785" s="30">
        <v>0.5</v>
      </c>
      <c r="F785" s="2"/>
      <c r="G785" s="3" t="s">
        <v>7968</v>
      </c>
      <c r="H785" s="3" t="s">
        <v>7146</v>
      </c>
      <c r="I785" s="3" t="s">
        <v>7338</v>
      </c>
      <c r="J785" s="3" t="s">
        <v>7288</v>
      </c>
      <c r="K785" s="3" t="s">
        <v>7149</v>
      </c>
      <c r="L785" s="19">
        <v>4.0</v>
      </c>
      <c r="M785" s="3" t="s">
        <v>7707</v>
      </c>
      <c r="N785" s="3" t="s">
        <v>7707</v>
      </c>
      <c r="O785" s="3" t="s">
        <v>7236</v>
      </c>
      <c r="P785" s="19">
        <v>1.0</v>
      </c>
      <c r="Q785" s="19">
        <v>0.0</v>
      </c>
      <c r="R785" s="19">
        <v>0.0</v>
      </c>
      <c r="S785" s="19">
        <v>3.0</v>
      </c>
      <c r="T785" s="3" t="s">
        <v>6450</v>
      </c>
      <c r="U785" s="3" t="s">
        <v>552</v>
      </c>
    </row>
    <row r="786">
      <c r="A786" s="3" t="s">
        <v>7912</v>
      </c>
      <c r="B786" s="3" t="s">
        <v>7696</v>
      </c>
      <c r="C786" s="29">
        <v>46337.41666666667</v>
      </c>
      <c r="D786" s="29">
        <v>46337.4375</v>
      </c>
      <c r="E786" s="30">
        <v>0.5</v>
      </c>
      <c r="F786" s="2"/>
      <c r="G786" s="2"/>
      <c r="H786" s="3" t="s">
        <v>7146</v>
      </c>
      <c r="I786" s="3" t="s">
        <v>7161</v>
      </c>
      <c r="J786" s="3" t="s">
        <v>7274</v>
      </c>
      <c r="K786" s="3" t="s">
        <v>7149</v>
      </c>
      <c r="L786" s="19">
        <v>1.0</v>
      </c>
      <c r="M786" s="3" t="s">
        <v>7288</v>
      </c>
      <c r="N786" s="3" t="s">
        <v>7288</v>
      </c>
      <c r="O786" s="3" t="s">
        <v>7161</v>
      </c>
      <c r="P786" s="19">
        <v>1.0</v>
      </c>
      <c r="Q786" s="19">
        <v>0.0</v>
      </c>
      <c r="R786" s="19">
        <v>0.0</v>
      </c>
      <c r="S786" s="19">
        <v>0.0</v>
      </c>
      <c r="T786" s="2"/>
      <c r="U786" s="2"/>
    </row>
    <row r="787">
      <c r="A787" s="3" t="s">
        <v>7791</v>
      </c>
      <c r="B787" s="3" t="s">
        <v>7266</v>
      </c>
      <c r="C787" s="29">
        <v>46338.33333333333</v>
      </c>
      <c r="D787" s="29">
        <v>46338.35416666667</v>
      </c>
      <c r="E787" s="30">
        <v>0.5</v>
      </c>
      <c r="F787" s="2"/>
      <c r="G787" s="2"/>
      <c r="H787" s="3" t="s">
        <v>7146</v>
      </c>
      <c r="I787" s="3" t="s">
        <v>7161</v>
      </c>
      <c r="J787" s="3" t="s">
        <v>7156</v>
      </c>
      <c r="K787" s="3" t="s">
        <v>7149</v>
      </c>
      <c r="L787" s="19">
        <v>4.0</v>
      </c>
      <c r="M787" s="3" t="s">
        <v>7267</v>
      </c>
      <c r="N787" s="3" t="s">
        <v>7267</v>
      </c>
      <c r="O787" s="3" t="s">
        <v>7792</v>
      </c>
      <c r="P787" s="19">
        <v>1.0</v>
      </c>
      <c r="Q787" s="19">
        <v>1.0</v>
      </c>
      <c r="R787" s="19">
        <v>0.0</v>
      </c>
      <c r="S787" s="19">
        <v>2.0</v>
      </c>
      <c r="T787" s="3" t="s">
        <v>6752</v>
      </c>
      <c r="U787" s="3" t="s">
        <v>319</v>
      </c>
    </row>
    <row r="788">
      <c r="A788" s="3" t="s">
        <v>7867</v>
      </c>
      <c r="B788" s="3" t="s">
        <v>7246</v>
      </c>
      <c r="C788" s="29">
        <v>46338.35416666667</v>
      </c>
      <c r="D788" s="29">
        <v>46338.58333333333</v>
      </c>
      <c r="E788" s="30">
        <v>5.5</v>
      </c>
      <c r="F788" s="2"/>
      <c r="G788" s="3" t="s">
        <v>7247</v>
      </c>
      <c r="H788" s="3" t="s">
        <v>7146</v>
      </c>
      <c r="I788" s="3" t="s">
        <v>7240</v>
      </c>
      <c r="J788" s="3" t="s">
        <v>7241</v>
      </c>
      <c r="K788" s="3" t="s">
        <v>7149</v>
      </c>
      <c r="L788" s="19">
        <v>2.0</v>
      </c>
      <c r="M788" s="3" t="s">
        <v>7242</v>
      </c>
      <c r="N788" s="3" t="s">
        <v>7243</v>
      </c>
      <c r="O788" s="3" t="s">
        <v>7244</v>
      </c>
      <c r="P788" s="19">
        <v>0.0</v>
      </c>
      <c r="Q788" s="19">
        <v>0.0</v>
      </c>
      <c r="R788" s="19">
        <v>0.0</v>
      </c>
      <c r="S788" s="19">
        <v>2.0</v>
      </c>
      <c r="T788" s="2"/>
      <c r="U788" s="2"/>
    </row>
    <row r="789">
      <c r="A789" s="3" t="s">
        <v>7969</v>
      </c>
      <c r="B789" s="3" t="s">
        <v>7262</v>
      </c>
      <c r="C789" s="29">
        <v>46338.4375</v>
      </c>
      <c r="D789" s="29">
        <v>46338.45833333333</v>
      </c>
      <c r="E789" s="30">
        <v>0.5</v>
      </c>
      <c r="F789" s="2"/>
      <c r="G789" s="2"/>
      <c r="H789" s="3" t="s">
        <v>7146</v>
      </c>
      <c r="I789" s="3" t="s">
        <v>7161</v>
      </c>
      <c r="J789" s="3" t="s">
        <v>7156</v>
      </c>
      <c r="K789" s="3" t="s">
        <v>7149</v>
      </c>
      <c r="L789" s="19">
        <v>2.0</v>
      </c>
      <c r="M789" s="3" t="s">
        <v>7263</v>
      </c>
      <c r="N789" s="3" t="s">
        <v>7263</v>
      </c>
      <c r="O789" s="3" t="s">
        <v>7218</v>
      </c>
      <c r="P789" s="19">
        <v>2.0</v>
      </c>
      <c r="Q789" s="19">
        <v>0.0</v>
      </c>
      <c r="R789" s="19">
        <v>0.0</v>
      </c>
      <c r="S789" s="19">
        <v>0.0</v>
      </c>
      <c r="T789" s="3" t="s">
        <v>128</v>
      </c>
      <c r="U789" s="3" t="s">
        <v>301</v>
      </c>
    </row>
    <row r="790">
      <c r="A790" s="3" t="s">
        <v>7659</v>
      </c>
      <c r="B790" s="3" t="s">
        <v>7420</v>
      </c>
      <c r="C790" s="29">
        <v>46338.47916666667</v>
      </c>
      <c r="D790" s="29">
        <v>46338.5</v>
      </c>
      <c r="E790" s="30">
        <v>0.5</v>
      </c>
      <c r="G790" s="2"/>
      <c r="H790" s="3" t="s">
        <v>7146</v>
      </c>
      <c r="I790" s="3" t="s">
        <v>7161</v>
      </c>
      <c r="J790" s="3" t="s">
        <v>7156</v>
      </c>
      <c r="K790" s="3" t="s">
        <v>7149</v>
      </c>
      <c r="L790" s="19">
        <v>5.0</v>
      </c>
      <c r="M790" s="3" t="s">
        <v>7571</v>
      </c>
      <c r="N790" s="3" t="s">
        <v>7571</v>
      </c>
      <c r="O790" s="3" t="s">
        <v>7970</v>
      </c>
      <c r="P790" s="19">
        <v>3.0</v>
      </c>
      <c r="Q790" s="19">
        <v>1.0</v>
      </c>
      <c r="R790" s="19">
        <v>0.0</v>
      </c>
      <c r="S790" s="19">
        <v>1.0</v>
      </c>
      <c r="T790" s="3" t="s">
        <v>125</v>
      </c>
      <c r="U790" s="3" t="s">
        <v>126</v>
      </c>
    </row>
    <row r="791">
      <c r="A791" s="3" t="s">
        <v>7804</v>
      </c>
      <c r="B791" s="3" t="s">
        <v>7805</v>
      </c>
      <c r="C791" s="29">
        <v>46338.5</v>
      </c>
      <c r="D791" s="29">
        <v>46338.52083333333</v>
      </c>
      <c r="E791" s="30">
        <v>0.5</v>
      </c>
      <c r="G791" s="2"/>
      <c r="H791" s="3" t="s">
        <v>7146</v>
      </c>
      <c r="I791" s="3" t="s">
        <v>7338</v>
      </c>
      <c r="J791" s="3" t="s">
        <v>7288</v>
      </c>
      <c r="K791" s="3" t="s">
        <v>7149</v>
      </c>
      <c r="L791" s="19">
        <v>1.0</v>
      </c>
      <c r="M791" s="3" t="s">
        <v>7806</v>
      </c>
      <c r="N791" s="3" t="s">
        <v>7806</v>
      </c>
      <c r="O791" s="3" t="s">
        <v>7161</v>
      </c>
      <c r="P791" s="19">
        <v>1.0</v>
      </c>
      <c r="Q791" s="19">
        <v>0.0</v>
      </c>
      <c r="R791" s="19">
        <v>0.0</v>
      </c>
      <c r="S791" s="19">
        <v>0.0</v>
      </c>
      <c r="T791" s="3" t="s">
        <v>157</v>
      </c>
      <c r="U791" s="3" t="s">
        <v>158</v>
      </c>
    </row>
    <row r="792">
      <c r="A792" s="3" t="s">
        <v>7812</v>
      </c>
      <c r="B792" s="3" t="s">
        <v>7813</v>
      </c>
      <c r="C792" s="29">
        <v>46338.5625</v>
      </c>
      <c r="D792" s="29">
        <v>46338.58333333333</v>
      </c>
      <c r="E792" s="30">
        <v>0.5</v>
      </c>
      <c r="G792" s="3" t="s">
        <v>7814</v>
      </c>
      <c r="H792" s="3" t="s">
        <v>7146</v>
      </c>
      <c r="I792" s="3" t="s">
        <v>7338</v>
      </c>
      <c r="J792" s="3" t="s">
        <v>7288</v>
      </c>
      <c r="K792" s="3" t="s">
        <v>7149</v>
      </c>
      <c r="L792" s="19">
        <v>3.0</v>
      </c>
      <c r="M792" s="3" t="s">
        <v>7815</v>
      </c>
      <c r="N792" s="3" t="s">
        <v>7815</v>
      </c>
      <c r="O792" s="3" t="s">
        <v>7601</v>
      </c>
      <c r="P792" s="19">
        <v>1.0</v>
      </c>
      <c r="Q792" s="19">
        <v>0.0</v>
      </c>
      <c r="R792" s="19">
        <v>0.0</v>
      </c>
      <c r="S792" s="19">
        <v>2.0</v>
      </c>
      <c r="T792" s="3" t="s">
        <v>190</v>
      </c>
      <c r="U792" s="3" t="s">
        <v>191</v>
      </c>
    </row>
    <row r="793">
      <c r="A793" s="3" t="s">
        <v>7825</v>
      </c>
      <c r="B793" s="3" t="s">
        <v>7471</v>
      </c>
      <c r="C793" s="29">
        <v>46339.41666666667</v>
      </c>
      <c r="D793" s="29">
        <v>46339.4375</v>
      </c>
      <c r="E793" s="30">
        <v>0.5</v>
      </c>
      <c r="F793" s="2"/>
      <c r="G793" s="2"/>
      <c r="H793" s="3" t="s">
        <v>7146</v>
      </c>
      <c r="I793" s="3" t="s">
        <v>7161</v>
      </c>
      <c r="J793" s="3" t="s">
        <v>7156</v>
      </c>
      <c r="K793" s="3" t="s">
        <v>7149</v>
      </c>
      <c r="L793" s="19">
        <v>5.0</v>
      </c>
      <c r="M793" s="3" t="s">
        <v>7826</v>
      </c>
      <c r="N793" s="3" t="s">
        <v>7826</v>
      </c>
      <c r="O793" s="3" t="s">
        <v>7974</v>
      </c>
      <c r="P793" s="19">
        <v>2.0</v>
      </c>
      <c r="Q793" s="19">
        <v>0.0</v>
      </c>
      <c r="R793" s="19">
        <v>0.0</v>
      </c>
      <c r="S793" s="19">
        <v>3.0</v>
      </c>
      <c r="T793" s="3" t="s">
        <v>199</v>
      </c>
      <c r="U793" s="3" t="s">
        <v>272</v>
      </c>
    </row>
    <row r="794">
      <c r="A794" s="3" t="s">
        <v>7679</v>
      </c>
      <c r="B794" s="3" t="s">
        <v>7546</v>
      </c>
      <c r="C794" s="29">
        <v>46339.47916666667</v>
      </c>
      <c r="D794" s="29">
        <v>46339.52083333333</v>
      </c>
      <c r="E794" s="30">
        <v>1.0</v>
      </c>
      <c r="G794" s="2"/>
      <c r="H794" s="3" t="s">
        <v>7146</v>
      </c>
      <c r="I794" s="3" t="s">
        <v>7338</v>
      </c>
      <c r="J794" s="3" t="s">
        <v>7288</v>
      </c>
      <c r="K794" s="3" t="s">
        <v>7149</v>
      </c>
      <c r="L794" s="19">
        <v>1.0</v>
      </c>
      <c r="M794" s="3" t="s">
        <v>7680</v>
      </c>
      <c r="N794" s="3" t="s">
        <v>7680</v>
      </c>
      <c r="O794" s="3" t="s">
        <v>7161</v>
      </c>
      <c r="P794" s="19">
        <v>1.0</v>
      </c>
      <c r="Q794" s="19">
        <v>0.0</v>
      </c>
      <c r="R794" s="19">
        <v>0.0</v>
      </c>
      <c r="S794" s="19">
        <v>0.0</v>
      </c>
      <c r="T794" s="3" t="s">
        <v>119</v>
      </c>
      <c r="U794" s="3" t="s">
        <v>251</v>
      </c>
    </row>
    <row r="795">
      <c r="A795" s="3" t="s">
        <v>7976</v>
      </c>
      <c r="B795" s="3" t="s">
        <v>7977</v>
      </c>
      <c r="C795" s="29">
        <v>46342.58333333333</v>
      </c>
      <c r="D795" s="29">
        <v>46342.60416666667</v>
      </c>
      <c r="E795" s="30">
        <v>0.5</v>
      </c>
      <c r="G795" s="2"/>
      <c r="H795" s="3" t="s">
        <v>7146</v>
      </c>
      <c r="I795" s="3" t="s">
        <v>7338</v>
      </c>
      <c r="J795" s="3" t="s">
        <v>7288</v>
      </c>
      <c r="K795" s="3" t="s">
        <v>7149</v>
      </c>
      <c r="L795" s="19">
        <v>3.0</v>
      </c>
      <c r="M795" s="3" t="s">
        <v>7978</v>
      </c>
      <c r="N795" s="3" t="s">
        <v>7978</v>
      </c>
      <c r="O795" s="3" t="s">
        <v>7326</v>
      </c>
      <c r="P795" s="19">
        <v>1.0</v>
      </c>
      <c r="Q795" s="19">
        <v>0.0</v>
      </c>
      <c r="R795" s="19">
        <v>0.0</v>
      </c>
      <c r="S795" s="19">
        <v>2.0</v>
      </c>
      <c r="T795" s="3" t="s">
        <v>98</v>
      </c>
      <c r="U795" s="3" t="s">
        <v>99</v>
      </c>
    </row>
    <row r="796">
      <c r="A796" s="3" t="s">
        <v>7896</v>
      </c>
      <c r="B796" s="3" t="s">
        <v>7463</v>
      </c>
      <c r="C796" s="29">
        <v>46342.60416666667</v>
      </c>
      <c r="D796" s="29">
        <v>46342.625</v>
      </c>
      <c r="E796" s="30">
        <v>0.5</v>
      </c>
      <c r="F796" s="2"/>
      <c r="G796" s="3" t="s">
        <v>7541</v>
      </c>
      <c r="H796" s="3" t="s">
        <v>7146</v>
      </c>
      <c r="I796" s="3" t="s">
        <v>7338</v>
      </c>
      <c r="J796" s="3" t="s">
        <v>7288</v>
      </c>
      <c r="K796" s="3" t="s">
        <v>7149</v>
      </c>
      <c r="L796" s="19">
        <v>1.0</v>
      </c>
      <c r="M796" s="3" t="s">
        <v>7897</v>
      </c>
      <c r="N796" s="3" t="s">
        <v>7897</v>
      </c>
      <c r="O796" s="3" t="s">
        <v>7161</v>
      </c>
      <c r="P796" s="19">
        <v>1.0</v>
      </c>
      <c r="Q796" s="19">
        <v>0.0</v>
      </c>
      <c r="R796" s="19">
        <v>0.0</v>
      </c>
      <c r="S796" s="19">
        <v>0.0</v>
      </c>
      <c r="T796" s="3" t="s">
        <v>101</v>
      </c>
      <c r="U796" s="3" t="s">
        <v>511</v>
      </c>
    </row>
    <row r="797">
      <c r="A797" s="3" t="s">
        <v>7904</v>
      </c>
      <c r="B797" s="3" t="s">
        <v>7183</v>
      </c>
      <c r="C797" s="29">
        <v>46343.5</v>
      </c>
      <c r="D797" s="29">
        <v>46343.52083333333</v>
      </c>
      <c r="E797" s="30">
        <v>0.5</v>
      </c>
      <c r="G797" s="3" t="s">
        <v>7692</v>
      </c>
      <c r="H797" s="3" t="s">
        <v>7146</v>
      </c>
      <c r="I797" s="3" t="s">
        <v>7161</v>
      </c>
      <c r="J797" s="3" t="s">
        <v>7156</v>
      </c>
      <c r="K797" s="3" t="s">
        <v>7149</v>
      </c>
      <c r="L797" s="19">
        <v>2.0</v>
      </c>
      <c r="M797" s="3" t="s">
        <v>7905</v>
      </c>
      <c r="N797" s="3" t="s">
        <v>7906</v>
      </c>
      <c r="O797" s="3" t="s">
        <v>7944</v>
      </c>
      <c r="P797" s="19">
        <v>1.0</v>
      </c>
      <c r="Q797" s="19">
        <v>0.0</v>
      </c>
      <c r="R797" s="19">
        <v>1.0</v>
      </c>
      <c r="S797" s="19">
        <v>0.0</v>
      </c>
      <c r="T797" s="3" t="s">
        <v>184</v>
      </c>
      <c r="U797" s="3" t="s">
        <v>478</v>
      </c>
    </row>
    <row r="798">
      <c r="A798" s="3" t="s">
        <v>7912</v>
      </c>
      <c r="B798" s="3" t="s">
        <v>7696</v>
      </c>
      <c r="C798" s="29">
        <v>46344.41666666667</v>
      </c>
      <c r="D798" s="29">
        <v>46344.4375</v>
      </c>
      <c r="E798" s="30">
        <v>0.5</v>
      </c>
      <c r="G798" s="2"/>
      <c r="H798" s="3" t="s">
        <v>7146</v>
      </c>
      <c r="I798" s="3" t="s">
        <v>7161</v>
      </c>
      <c r="J798" s="3" t="s">
        <v>7274</v>
      </c>
      <c r="K798" s="3" t="s">
        <v>7149</v>
      </c>
      <c r="L798" s="19">
        <v>1.0</v>
      </c>
      <c r="M798" s="3" t="s">
        <v>7288</v>
      </c>
      <c r="N798" s="3" t="s">
        <v>7288</v>
      </c>
      <c r="O798" s="3" t="s">
        <v>7161</v>
      </c>
      <c r="P798" s="19">
        <v>1.0</v>
      </c>
      <c r="Q798" s="19">
        <v>0.0</v>
      </c>
      <c r="R798" s="19">
        <v>0.0</v>
      </c>
      <c r="S798" s="19">
        <v>0.0</v>
      </c>
      <c r="T798" s="2"/>
      <c r="U798" s="2"/>
    </row>
    <row r="799">
      <c r="A799" s="3" t="s">
        <v>7979</v>
      </c>
      <c r="B799" s="3" t="s">
        <v>7249</v>
      </c>
      <c r="C799" s="29">
        <v>46344.54166666667</v>
      </c>
      <c r="D799" s="29">
        <v>46344.5625</v>
      </c>
      <c r="E799" s="30">
        <v>0.5</v>
      </c>
      <c r="G799" s="2"/>
      <c r="H799" s="3" t="s">
        <v>7146</v>
      </c>
      <c r="I799" s="3" t="s">
        <v>7161</v>
      </c>
      <c r="J799" s="3" t="s">
        <v>7156</v>
      </c>
      <c r="K799" s="3" t="s">
        <v>7149</v>
      </c>
      <c r="L799" s="19">
        <v>2.0</v>
      </c>
      <c r="M799" s="3" t="s">
        <v>7921</v>
      </c>
      <c r="N799" s="3" t="s">
        <v>7921</v>
      </c>
      <c r="O799" s="3" t="s">
        <v>7218</v>
      </c>
      <c r="P799" s="19">
        <v>2.0</v>
      </c>
      <c r="Q799" s="19">
        <v>0.0</v>
      </c>
      <c r="R799" s="19">
        <v>0.0</v>
      </c>
      <c r="S799" s="19">
        <v>0.0</v>
      </c>
      <c r="T799" s="3" t="s">
        <v>187</v>
      </c>
      <c r="U799" s="3" t="s">
        <v>188</v>
      </c>
    </row>
    <row r="800">
      <c r="A800" s="3" t="s">
        <v>7866</v>
      </c>
      <c r="B800" s="3" t="s">
        <v>7238</v>
      </c>
      <c r="C800" s="29">
        <v>46345.3125</v>
      </c>
      <c r="D800" s="29">
        <v>46345.35416666667</v>
      </c>
      <c r="E800" s="30">
        <v>1.0</v>
      </c>
      <c r="F800" s="3" t="s">
        <v>7239</v>
      </c>
      <c r="G800" s="2"/>
      <c r="H800" s="3" t="s">
        <v>7146</v>
      </c>
      <c r="I800" s="3" t="s">
        <v>7240</v>
      </c>
      <c r="J800" s="3" t="s">
        <v>7241</v>
      </c>
      <c r="K800" s="3" t="s">
        <v>7149</v>
      </c>
      <c r="L800" s="19">
        <v>2.0</v>
      </c>
      <c r="M800" s="3" t="s">
        <v>7242</v>
      </c>
      <c r="N800" s="3" t="s">
        <v>7243</v>
      </c>
      <c r="O800" s="3" t="s">
        <v>7244</v>
      </c>
      <c r="P800" s="19">
        <v>0.0</v>
      </c>
      <c r="Q800" s="19">
        <v>0.0</v>
      </c>
      <c r="R800" s="19">
        <v>0.0</v>
      </c>
      <c r="S800" s="19">
        <v>2.0</v>
      </c>
      <c r="T800" s="2"/>
      <c r="U800" s="2"/>
    </row>
    <row r="801">
      <c r="A801" s="3" t="s">
        <v>7951</v>
      </c>
      <c r="B801" s="3" t="s">
        <v>7160</v>
      </c>
      <c r="C801" s="29">
        <v>46345.4375</v>
      </c>
      <c r="D801" s="29">
        <v>46345.45833333333</v>
      </c>
      <c r="E801" s="30">
        <v>0.5</v>
      </c>
      <c r="F801" s="2"/>
      <c r="G801" s="2"/>
      <c r="H801" s="3" t="s">
        <v>7146</v>
      </c>
      <c r="I801" s="3" t="s">
        <v>7161</v>
      </c>
      <c r="J801" s="3" t="s">
        <v>7156</v>
      </c>
      <c r="K801" s="3" t="s">
        <v>7149</v>
      </c>
      <c r="L801" s="19">
        <v>2.0</v>
      </c>
      <c r="M801" s="3" t="s">
        <v>7952</v>
      </c>
      <c r="N801" s="3" t="s">
        <v>7953</v>
      </c>
      <c r="O801" s="3" t="s">
        <v>7218</v>
      </c>
      <c r="P801" s="19">
        <v>2.0</v>
      </c>
      <c r="Q801" s="19">
        <v>0.0</v>
      </c>
      <c r="R801" s="19">
        <v>0.0</v>
      </c>
      <c r="S801" s="19">
        <v>0.0</v>
      </c>
      <c r="T801" s="3" t="s">
        <v>154</v>
      </c>
      <c r="U801" s="3" t="s">
        <v>329</v>
      </c>
    </row>
    <row r="802">
      <c r="A802" s="3" t="s">
        <v>7954</v>
      </c>
      <c r="B802" s="3" t="s">
        <v>7163</v>
      </c>
      <c r="C802" s="29">
        <v>46345.58333333333</v>
      </c>
      <c r="D802" s="29">
        <v>46345.60416666667</v>
      </c>
      <c r="E802" s="30">
        <v>0.5</v>
      </c>
      <c r="F802" s="2"/>
      <c r="G802" s="2"/>
      <c r="H802" s="3" t="s">
        <v>7146</v>
      </c>
      <c r="I802" s="3" t="s">
        <v>7161</v>
      </c>
      <c r="J802" s="3" t="s">
        <v>7156</v>
      </c>
      <c r="K802" s="3" t="s">
        <v>7149</v>
      </c>
      <c r="L802" s="19">
        <v>5.0</v>
      </c>
      <c r="M802" s="3" t="s">
        <v>7955</v>
      </c>
      <c r="N802" s="3" t="s">
        <v>7955</v>
      </c>
      <c r="O802" s="3" t="s">
        <v>7956</v>
      </c>
      <c r="P802" s="19">
        <v>0.0</v>
      </c>
      <c r="Q802" s="19">
        <v>3.0</v>
      </c>
      <c r="R802" s="19">
        <v>0.0</v>
      </c>
      <c r="S802" s="19">
        <v>2.0</v>
      </c>
      <c r="T802" s="3" t="s">
        <v>151</v>
      </c>
      <c r="U802" s="3" t="s">
        <v>370</v>
      </c>
    </row>
    <row r="803">
      <c r="A803" s="3" t="s">
        <v>7927</v>
      </c>
      <c r="B803" s="3" t="s">
        <v>7928</v>
      </c>
      <c r="C803" s="29">
        <v>46345.70833333333</v>
      </c>
      <c r="D803" s="29">
        <v>46345.72916666667</v>
      </c>
      <c r="E803" s="30">
        <v>0.5</v>
      </c>
      <c r="G803" s="3" t="s">
        <v>7929</v>
      </c>
      <c r="H803" s="3" t="s">
        <v>7146</v>
      </c>
      <c r="I803" s="3" t="s">
        <v>7161</v>
      </c>
      <c r="J803" s="3" t="s">
        <v>7148</v>
      </c>
      <c r="K803" s="3" t="s">
        <v>7149</v>
      </c>
      <c r="L803" s="19">
        <v>10.0</v>
      </c>
      <c r="M803" s="3" t="s">
        <v>7930</v>
      </c>
      <c r="N803" s="3" t="s">
        <v>7931</v>
      </c>
      <c r="O803" s="3" t="s">
        <v>7932</v>
      </c>
      <c r="P803" s="19">
        <v>6.0</v>
      </c>
      <c r="Q803" s="19">
        <v>0.0</v>
      </c>
      <c r="R803" s="19">
        <v>1.0</v>
      </c>
      <c r="S803" s="19">
        <v>3.0</v>
      </c>
      <c r="T803" s="3" t="s">
        <v>160</v>
      </c>
      <c r="U803" s="3" t="s">
        <v>440</v>
      </c>
    </row>
    <row r="804">
      <c r="A804" s="3" t="s">
        <v>7980</v>
      </c>
      <c r="B804" s="3" t="s">
        <v>7221</v>
      </c>
      <c r="C804" s="29">
        <v>46346.41666666667</v>
      </c>
      <c r="D804" s="29">
        <v>46346.4375</v>
      </c>
      <c r="E804" s="30">
        <v>0.5</v>
      </c>
      <c r="F804" s="2"/>
      <c r="G804" s="2"/>
      <c r="H804" s="3" t="s">
        <v>7146</v>
      </c>
      <c r="I804" s="3" t="s">
        <v>7161</v>
      </c>
      <c r="J804" s="3" t="s">
        <v>7156</v>
      </c>
      <c r="K804" s="3" t="s">
        <v>7149</v>
      </c>
      <c r="L804" s="19">
        <v>4.0</v>
      </c>
      <c r="M804" s="3" t="s">
        <v>7935</v>
      </c>
      <c r="N804" s="3" t="s">
        <v>7935</v>
      </c>
      <c r="O804" s="3" t="s">
        <v>7453</v>
      </c>
      <c r="P804" s="19">
        <v>3.0</v>
      </c>
      <c r="Q804" s="19">
        <v>0.0</v>
      </c>
      <c r="R804" s="19">
        <v>0.0</v>
      </c>
      <c r="S804" s="19">
        <v>1.0</v>
      </c>
      <c r="T804" s="3" t="s">
        <v>6608</v>
      </c>
      <c r="U804" s="3" t="s">
        <v>294</v>
      </c>
    </row>
    <row r="805">
      <c r="A805" s="3" t="s">
        <v>7679</v>
      </c>
      <c r="B805" s="3" t="s">
        <v>7546</v>
      </c>
      <c r="C805" s="29">
        <v>46346.47916666667</v>
      </c>
      <c r="D805" s="29">
        <v>46346.52083333333</v>
      </c>
      <c r="E805" s="30">
        <v>1.0</v>
      </c>
      <c r="F805" s="2"/>
      <c r="G805" s="2"/>
      <c r="H805" s="3" t="s">
        <v>7146</v>
      </c>
      <c r="I805" s="3" t="s">
        <v>7338</v>
      </c>
      <c r="J805" s="3" t="s">
        <v>7288</v>
      </c>
      <c r="K805" s="3" t="s">
        <v>7149</v>
      </c>
      <c r="L805" s="19">
        <v>1.0</v>
      </c>
      <c r="M805" s="3" t="s">
        <v>7680</v>
      </c>
      <c r="N805" s="3" t="s">
        <v>7680</v>
      </c>
      <c r="O805" s="3" t="s">
        <v>7161</v>
      </c>
      <c r="P805" s="19">
        <v>1.0</v>
      </c>
      <c r="Q805" s="19">
        <v>0.0</v>
      </c>
      <c r="R805" s="19">
        <v>0.0</v>
      </c>
      <c r="S805" s="19">
        <v>0.0</v>
      </c>
      <c r="T805" s="3" t="s">
        <v>119</v>
      </c>
      <c r="U805" s="3" t="s">
        <v>251</v>
      </c>
    </row>
    <row r="806">
      <c r="A806" s="3" t="s">
        <v>7960</v>
      </c>
      <c r="B806" s="3" t="s">
        <v>7961</v>
      </c>
      <c r="C806" s="29">
        <v>46349.54166666667</v>
      </c>
      <c r="D806" s="29">
        <v>46349.5625</v>
      </c>
      <c r="E806" s="30">
        <v>0.5</v>
      </c>
      <c r="G806" s="3" t="s">
        <v>7962</v>
      </c>
      <c r="H806" s="3" t="s">
        <v>7146</v>
      </c>
      <c r="I806" s="3" t="s">
        <v>7338</v>
      </c>
      <c r="J806" s="3" t="s">
        <v>7288</v>
      </c>
      <c r="K806" s="3" t="s">
        <v>7149</v>
      </c>
      <c r="L806" s="19">
        <v>3.0</v>
      </c>
      <c r="M806" s="3" t="s">
        <v>7788</v>
      </c>
      <c r="N806" s="3" t="s">
        <v>7788</v>
      </c>
      <c r="O806" s="3" t="s">
        <v>7326</v>
      </c>
      <c r="P806" s="19">
        <v>1.0</v>
      </c>
      <c r="Q806" s="19">
        <v>0.0</v>
      </c>
      <c r="R806" s="19">
        <v>0.0</v>
      </c>
      <c r="S806" s="19">
        <v>2.0</v>
      </c>
      <c r="T806" s="3" t="s">
        <v>131</v>
      </c>
      <c r="U806" s="3" t="s">
        <v>132</v>
      </c>
    </row>
    <row r="807">
      <c r="A807" s="3" t="s">
        <v>7963</v>
      </c>
      <c r="B807" s="3" t="s">
        <v>7234</v>
      </c>
      <c r="C807" s="29">
        <v>46349.58333333333</v>
      </c>
      <c r="D807" s="29">
        <v>46349.60416666667</v>
      </c>
      <c r="E807" s="30">
        <v>0.5</v>
      </c>
      <c r="G807" s="2"/>
      <c r="H807" s="3" t="s">
        <v>7146</v>
      </c>
      <c r="I807" s="3" t="s">
        <v>7147</v>
      </c>
      <c r="J807" s="3" t="s">
        <v>7156</v>
      </c>
      <c r="K807" s="3" t="s">
        <v>7149</v>
      </c>
      <c r="L807" s="19">
        <v>4.0</v>
      </c>
      <c r="M807" s="3" t="s">
        <v>7235</v>
      </c>
      <c r="N807" s="3" t="s">
        <v>7235</v>
      </c>
      <c r="O807" s="3" t="s">
        <v>7964</v>
      </c>
      <c r="P807" s="19">
        <v>0.0</v>
      </c>
      <c r="Q807" s="19">
        <v>1.0</v>
      </c>
      <c r="R807" s="19">
        <v>0.0</v>
      </c>
      <c r="S807" s="19">
        <v>3.0</v>
      </c>
      <c r="T807" s="3" t="s">
        <v>166</v>
      </c>
      <c r="U807" s="3" t="s">
        <v>167</v>
      </c>
    </row>
    <row r="808">
      <c r="A808" s="3" t="s">
        <v>7896</v>
      </c>
      <c r="B808" s="3" t="s">
        <v>7463</v>
      </c>
      <c r="C808" s="29">
        <v>46349.60416666667</v>
      </c>
      <c r="D808" s="29">
        <v>46349.625</v>
      </c>
      <c r="E808" s="30">
        <v>0.5</v>
      </c>
      <c r="F808" s="2"/>
      <c r="G808" s="3" t="s">
        <v>7541</v>
      </c>
      <c r="H808" s="3" t="s">
        <v>7146</v>
      </c>
      <c r="I808" s="3" t="s">
        <v>7338</v>
      </c>
      <c r="J808" s="3" t="s">
        <v>7288</v>
      </c>
      <c r="K808" s="3" t="s">
        <v>7149</v>
      </c>
      <c r="L808" s="19">
        <v>1.0</v>
      </c>
      <c r="M808" s="3" t="s">
        <v>7897</v>
      </c>
      <c r="N808" s="3" t="s">
        <v>7897</v>
      </c>
      <c r="O808" s="3" t="s">
        <v>7161</v>
      </c>
      <c r="P808" s="19">
        <v>1.0</v>
      </c>
      <c r="Q808" s="19">
        <v>0.0</v>
      </c>
      <c r="R808" s="19">
        <v>0.0</v>
      </c>
      <c r="S808" s="19">
        <v>0.0</v>
      </c>
      <c r="T808" s="3" t="s">
        <v>101</v>
      </c>
      <c r="U808" s="3" t="s">
        <v>511</v>
      </c>
    </row>
    <row r="809">
      <c r="A809" s="3" t="s">
        <v>7904</v>
      </c>
      <c r="B809" s="3" t="s">
        <v>7183</v>
      </c>
      <c r="C809" s="29">
        <v>46350.5</v>
      </c>
      <c r="D809" s="29">
        <v>46350.52083333333</v>
      </c>
      <c r="E809" s="30">
        <v>0.5</v>
      </c>
      <c r="F809" s="2"/>
      <c r="G809" s="3" t="s">
        <v>7692</v>
      </c>
      <c r="H809" s="3" t="s">
        <v>7146</v>
      </c>
      <c r="I809" s="3" t="s">
        <v>7161</v>
      </c>
      <c r="J809" s="3" t="s">
        <v>7156</v>
      </c>
      <c r="K809" s="3" t="s">
        <v>7149</v>
      </c>
      <c r="L809" s="19">
        <v>2.0</v>
      </c>
      <c r="M809" s="3" t="s">
        <v>7905</v>
      </c>
      <c r="N809" s="3" t="s">
        <v>7906</v>
      </c>
      <c r="O809" s="3" t="s">
        <v>7944</v>
      </c>
      <c r="P809" s="19">
        <v>1.0</v>
      </c>
      <c r="Q809" s="19">
        <v>0.0</v>
      </c>
      <c r="R809" s="19">
        <v>1.0</v>
      </c>
      <c r="S809" s="19">
        <v>0.0</v>
      </c>
      <c r="T809" s="3" t="s">
        <v>184</v>
      </c>
      <c r="U809" s="3" t="s">
        <v>478</v>
      </c>
    </row>
    <row r="810">
      <c r="A810" s="3" t="s">
        <v>7901</v>
      </c>
      <c r="B810" s="3" t="s">
        <v>7689</v>
      </c>
      <c r="C810" s="29">
        <v>46350.5625</v>
      </c>
      <c r="D810" s="29">
        <v>46350.58333333333</v>
      </c>
      <c r="E810" s="30">
        <v>0.5</v>
      </c>
      <c r="F810" s="2"/>
      <c r="G810" s="2"/>
      <c r="H810" s="3" t="s">
        <v>7146</v>
      </c>
      <c r="I810" s="3" t="s">
        <v>7338</v>
      </c>
      <c r="J810" s="3" t="s">
        <v>7288</v>
      </c>
      <c r="K810" s="3" t="s">
        <v>7149</v>
      </c>
      <c r="L810" s="19">
        <v>1.0</v>
      </c>
      <c r="M810" s="3" t="s">
        <v>7902</v>
      </c>
      <c r="N810" s="3" t="s">
        <v>7902</v>
      </c>
      <c r="O810" s="3" t="s">
        <v>7161</v>
      </c>
      <c r="P810" s="19">
        <v>1.0</v>
      </c>
      <c r="Q810" s="19">
        <v>0.0</v>
      </c>
      <c r="R810" s="19">
        <v>0.0</v>
      </c>
      <c r="S810" s="19">
        <v>0.0</v>
      </c>
      <c r="T810" s="3" t="s">
        <v>142</v>
      </c>
      <c r="U810" s="3" t="s">
        <v>143</v>
      </c>
    </row>
    <row r="811">
      <c r="A811" s="3" t="s">
        <v>7912</v>
      </c>
      <c r="B811" s="3" t="s">
        <v>7696</v>
      </c>
      <c r="C811" s="29">
        <v>46351.41666666667</v>
      </c>
      <c r="D811" s="29">
        <v>46351.4375</v>
      </c>
      <c r="E811" s="30">
        <v>0.5</v>
      </c>
      <c r="F811" s="2"/>
      <c r="G811" s="2"/>
      <c r="H811" s="3" t="s">
        <v>7146</v>
      </c>
      <c r="I811" s="3" t="s">
        <v>7161</v>
      </c>
      <c r="J811" s="3" t="s">
        <v>7274</v>
      </c>
      <c r="K811" s="3" t="s">
        <v>7149</v>
      </c>
      <c r="L811" s="19">
        <v>1.0</v>
      </c>
      <c r="M811" s="3" t="s">
        <v>7288</v>
      </c>
      <c r="N811" s="3" t="s">
        <v>7288</v>
      </c>
      <c r="O811" s="3" t="s">
        <v>7161</v>
      </c>
      <c r="P811" s="19">
        <v>1.0</v>
      </c>
      <c r="Q811" s="19">
        <v>0.0</v>
      </c>
      <c r="R811" s="19">
        <v>0.0</v>
      </c>
      <c r="S811" s="19">
        <v>0.0</v>
      </c>
      <c r="T811" s="2"/>
      <c r="U811" s="2"/>
    </row>
    <row r="812">
      <c r="A812" s="3" t="s">
        <v>7659</v>
      </c>
      <c r="B812" s="3" t="s">
        <v>7420</v>
      </c>
      <c r="C812" s="29">
        <v>46352.47916666667</v>
      </c>
      <c r="D812" s="29">
        <v>46352.5</v>
      </c>
      <c r="E812" s="30">
        <v>0.5</v>
      </c>
      <c r="F812" s="2"/>
      <c r="G812" s="2"/>
      <c r="H812" s="3" t="s">
        <v>7146</v>
      </c>
      <c r="I812" s="3" t="s">
        <v>7161</v>
      </c>
      <c r="J812" s="3" t="s">
        <v>7156</v>
      </c>
      <c r="K812" s="3" t="s">
        <v>7149</v>
      </c>
      <c r="L812" s="19">
        <v>5.0</v>
      </c>
      <c r="M812" s="3" t="s">
        <v>7571</v>
      </c>
      <c r="N812" s="3" t="s">
        <v>7571</v>
      </c>
      <c r="O812" s="3" t="s">
        <v>7970</v>
      </c>
      <c r="P812" s="19">
        <v>3.0</v>
      </c>
      <c r="Q812" s="19">
        <v>1.0</v>
      </c>
      <c r="R812" s="19">
        <v>0.0</v>
      </c>
      <c r="S812" s="19">
        <v>1.0</v>
      </c>
      <c r="T812" s="3" t="s">
        <v>125</v>
      </c>
      <c r="U812" s="3" t="s">
        <v>126</v>
      </c>
    </row>
    <row r="813">
      <c r="A813" s="3" t="s">
        <v>7804</v>
      </c>
      <c r="B813" s="3" t="s">
        <v>7805</v>
      </c>
      <c r="C813" s="29">
        <v>46352.5</v>
      </c>
      <c r="D813" s="29">
        <v>46352.52083333333</v>
      </c>
      <c r="E813" s="30">
        <v>0.5</v>
      </c>
      <c r="G813" s="2"/>
      <c r="H813" s="3" t="s">
        <v>7146</v>
      </c>
      <c r="I813" s="3" t="s">
        <v>7338</v>
      </c>
      <c r="J813" s="3" t="s">
        <v>7288</v>
      </c>
      <c r="K813" s="3" t="s">
        <v>7149</v>
      </c>
      <c r="L813" s="19">
        <v>1.0</v>
      </c>
      <c r="M813" s="3" t="s">
        <v>7806</v>
      </c>
      <c r="N813" s="3" t="s">
        <v>7806</v>
      </c>
      <c r="O813" s="3" t="s">
        <v>7161</v>
      </c>
      <c r="P813" s="19">
        <v>1.0</v>
      </c>
      <c r="Q813" s="19">
        <v>0.0</v>
      </c>
      <c r="R813" s="19">
        <v>0.0</v>
      </c>
      <c r="S813" s="19">
        <v>0.0</v>
      </c>
      <c r="T813" s="3" t="s">
        <v>157</v>
      </c>
      <c r="U813" s="3" t="s">
        <v>158</v>
      </c>
    </row>
    <row r="814">
      <c r="A814" s="3" t="s">
        <v>7825</v>
      </c>
      <c r="B814" s="3" t="s">
        <v>7471</v>
      </c>
      <c r="C814" s="29">
        <v>46353.41666666667</v>
      </c>
      <c r="D814" s="29">
        <v>46353.4375</v>
      </c>
      <c r="E814" s="30">
        <v>0.5</v>
      </c>
      <c r="G814" s="2"/>
      <c r="H814" s="3" t="s">
        <v>7146</v>
      </c>
      <c r="I814" s="3" t="s">
        <v>7161</v>
      </c>
      <c r="J814" s="3" t="s">
        <v>7156</v>
      </c>
      <c r="K814" s="3" t="s">
        <v>7149</v>
      </c>
      <c r="L814" s="19">
        <v>5.0</v>
      </c>
      <c r="M814" s="3" t="s">
        <v>7826</v>
      </c>
      <c r="N814" s="3" t="s">
        <v>7826</v>
      </c>
      <c r="O814" s="3" t="s">
        <v>7974</v>
      </c>
      <c r="P814" s="19">
        <v>2.0</v>
      </c>
      <c r="Q814" s="19">
        <v>0.0</v>
      </c>
      <c r="R814" s="19">
        <v>0.0</v>
      </c>
      <c r="S814" s="19">
        <v>3.0</v>
      </c>
      <c r="T814" s="3" t="s">
        <v>199</v>
      </c>
      <c r="U814" s="3" t="s">
        <v>272</v>
      </c>
    </row>
    <row r="815">
      <c r="A815" s="3" t="s">
        <v>7679</v>
      </c>
      <c r="B815" s="3" t="s">
        <v>7546</v>
      </c>
      <c r="C815" s="29">
        <v>46353.47916666667</v>
      </c>
      <c r="D815" s="29">
        <v>46353.52083333333</v>
      </c>
      <c r="E815" s="30">
        <v>1.0</v>
      </c>
      <c r="G815" s="2"/>
      <c r="H815" s="3" t="s">
        <v>7146</v>
      </c>
      <c r="I815" s="3" t="s">
        <v>7338</v>
      </c>
      <c r="J815" s="3" t="s">
        <v>7288</v>
      </c>
      <c r="K815" s="3" t="s">
        <v>7149</v>
      </c>
      <c r="L815" s="19">
        <v>1.0</v>
      </c>
      <c r="M815" s="3" t="s">
        <v>7680</v>
      </c>
      <c r="N815" s="3" t="s">
        <v>7680</v>
      </c>
      <c r="O815" s="3" t="s">
        <v>7161</v>
      </c>
      <c r="P815" s="19">
        <v>1.0</v>
      </c>
      <c r="Q815" s="19">
        <v>0.0</v>
      </c>
      <c r="R815" s="19">
        <v>0.0</v>
      </c>
      <c r="S815" s="19">
        <v>0.0</v>
      </c>
      <c r="T815" s="3" t="s">
        <v>119</v>
      </c>
      <c r="U815" s="3" t="s">
        <v>251</v>
      </c>
    </row>
    <row r="816">
      <c r="A816" s="3" t="s">
        <v>7942</v>
      </c>
      <c r="B816" s="3" t="s">
        <v>7256</v>
      </c>
      <c r="C816" s="29">
        <v>46356.5625</v>
      </c>
      <c r="D816" s="29">
        <v>46356.58333333333</v>
      </c>
      <c r="E816" s="30">
        <v>0.5</v>
      </c>
      <c r="G816" s="2"/>
      <c r="H816" s="3" t="s">
        <v>7146</v>
      </c>
      <c r="I816" s="3" t="s">
        <v>7161</v>
      </c>
      <c r="J816" s="3" t="s">
        <v>7156</v>
      </c>
      <c r="K816" s="3" t="s">
        <v>7149</v>
      </c>
      <c r="L816" s="19">
        <v>3.0</v>
      </c>
      <c r="M816" s="3" t="s">
        <v>7943</v>
      </c>
      <c r="N816" s="3" t="s">
        <v>7943</v>
      </c>
      <c r="O816" s="3" t="s">
        <v>7258</v>
      </c>
      <c r="P816" s="19">
        <v>2.0</v>
      </c>
      <c r="Q816" s="19">
        <v>0.0</v>
      </c>
      <c r="R816" s="19">
        <v>0.0</v>
      </c>
      <c r="S816" s="19">
        <v>1.0</v>
      </c>
      <c r="T816" s="3" t="s">
        <v>202</v>
      </c>
      <c r="U816" s="3" t="s">
        <v>203</v>
      </c>
    </row>
    <row r="817">
      <c r="A817" s="3" t="s">
        <v>7896</v>
      </c>
      <c r="B817" s="3" t="s">
        <v>7463</v>
      </c>
      <c r="C817" s="29">
        <v>46356.60416666667</v>
      </c>
      <c r="D817" s="29">
        <v>46356.625</v>
      </c>
      <c r="E817" s="30">
        <v>0.5</v>
      </c>
      <c r="G817" s="3" t="s">
        <v>7541</v>
      </c>
      <c r="H817" s="3" t="s">
        <v>7146</v>
      </c>
      <c r="I817" s="3" t="s">
        <v>7338</v>
      </c>
      <c r="J817" s="3" t="s">
        <v>7288</v>
      </c>
      <c r="K817" s="3" t="s">
        <v>7149</v>
      </c>
      <c r="L817" s="19">
        <v>1.0</v>
      </c>
      <c r="M817" s="3" t="s">
        <v>7897</v>
      </c>
      <c r="N817" s="3" t="s">
        <v>7897</v>
      </c>
      <c r="O817" s="3" t="s">
        <v>7161</v>
      </c>
      <c r="P817" s="19">
        <v>1.0</v>
      </c>
      <c r="Q817" s="19">
        <v>0.0</v>
      </c>
      <c r="R817" s="19">
        <v>0.0</v>
      </c>
      <c r="S817" s="19">
        <v>0.0</v>
      </c>
      <c r="T817" s="3" t="s">
        <v>101</v>
      </c>
      <c r="U817" s="3" t="s">
        <v>511</v>
      </c>
    </row>
    <row r="818">
      <c r="A818" s="3" t="s">
        <v>7904</v>
      </c>
      <c r="B818" s="3" t="s">
        <v>7183</v>
      </c>
      <c r="C818" s="29">
        <v>46357.5</v>
      </c>
      <c r="D818" s="29">
        <v>46357.52083333333</v>
      </c>
      <c r="E818" s="30">
        <v>0.5</v>
      </c>
      <c r="G818" s="3" t="s">
        <v>7692</v>
      </c>
      <c r="H818" s="3" t="s">
        <v>7146</v>
      </c>
      <c r="I818" s="3" t="s">
        <v>7161</v>
      </c>
      <c r="J818" s="3" t="s">
        <v>7156</v>
      </c>
      <c r="K818" s="3" t="s">
        <v>7149</v>
      </c>
      <c r="L818" s="19">
        <v>2.0</v>
      </c>
      <c r="M818" s="3" t="s">
        <v>7905</v>
      </c>
      <c r="N818" s="3" t="s">
        <v>7906</v>
      </c>
      <c r="O818" s="3" t="s">
        <v>7944</v>
      </c>
      <c r="P818" s="19">
        <v>1.0</v>
      </c>
      <c r="Q818" s="19">
        <v>0.0</v>
      </c>
      <c r="R818" s="19">
        <v>1.0</v>
      </c>
      <c r="S818" s="19">
        <v>0.0</v>
      </c>
      <c r="T818" s="3" t="s">
        <v>184</v>
      </c>
      <c r="U818" s="3" t="s">
        <v>478</v>
      </c>
    </row>
    <row r="819">
      <c r="A819" s="3" t="s">
        <v>7754</v>
      </c>
      <c r="B819" s="3" t="s">
        <v>7755</v>
      </c>
      <c r="C819" s="29">
        <v>46357.58333333333</v>
      </c>
      <c r="D819" s="29">
        <v>46357.60416666667</v>
      </c>
      <c r="E819" s="30">
        <v>0.5</v>
      </c>
      <c r="G819" s="3" t="s">
        <v>7756</v>
      </c>
      <c r="H819" s="3" t="s">
        <v>7146</v>
      </c>
      <c r="I819" s="3" t="s">
        <v>7161</v>
      </c>
      <c r="J819" s="3" t="s">
        <v>7156</v>
      </c>
      <c r="K819" s="3" t="s">
        <v>7149</v>
      </c>
      <c r="L819" s="19">
        <v>7.0</v>
      </c>
      <c r="M819" s="3" t="s">
        <v>7757</v>
      </c>
      <c r="N819" s="3" t="s">
        <v>7758</v>
      </c>
      <c r="O819" s="3" t="s">
        <v>7759</v>
      </c>
      <c r="P819" s="19">
        <v>0.0</v>
      </c>
      <c r="Q819" s="19">
        <v>1.0</v>
      </c>
      <c r="R819" s="19">
        <v>1.0</v>
      </c>
      <c r="S819" s="19">
        <v>5.0</v>
      </c>
      <c r="T819" s="3" t="s">
        <v>110</v>
      </c>
      <c r="U819" s="3" t="s">
        <v>111</v>
      </c>
    </row>
    <row r="820">
      <c r="A820" s="3" t="s">
        <v>7912</v>
      </c>
      <c r="B820" s="3" t="s">
        <v>7696</v>
      </c>
      <c r="C820" s="29">
        <v>46358.41666666667</v>
      </c>
      <c r="D820" s="29">
        <v>46358.4375</v>
      </c>
      <c r="E820" s="30">
        <v>0.5</v>
      </c>
      <c r="G820" s="2"/>
      <c r="H820" s="3" t="s">
        <v>7146</v>
      </c>
      <c r="I820" s="3" t="s">
        <v>7161</v>
      </c>
      <c r="J820" s="3" t="s">
        <v>7274</v>
      </c>
      <c r="K820" s="3" t="s">
        <v>7149</v>
      </c>
      <c r="L820" s="19">
        <v>1.0</v>
      </c>
      <c r="M820" s="3" t="s">
        <v>7288</v>
      </c>
      <c r="N820" s="3" t="s">
        <v>7288</v>
      </c>
      <c r="O820" s="3" t="s">
        <v>7161</v>
      </c>
      <c r="P820" s="19">
        <v>1.0</v>
      </c>
      <c r="Q820" s="19">
        <v>0.0</v>
      </c>
      <c r="R820" s="19">
        <v>0.0</v>
      </c>
      <c r="S820" s="19">
        <v>0.0</v>
      </c>
      <c r="T820" s="2"/>
      <c r="U820" s="2"/>
    </row>
    <row r="821">
      <c r="A821" s="3" t="s">
        <v>7979</v>
      </c>
      <c r="B821" s="3" t="s">
        <v>7249</v>
      </c>
      <c r="C821" s="29">
        <v>46358.54166666667</v>
      </c>
      <c r="D821" s="29">
        <v>46358.5625</v>
      </c>
      <c r="E821" s="30">
        <v>0.5</v>
      </c>
      <c r="G821" s="2"/>
      <c r="H821" s="3" t="s">
        <v>7146</v>
      </c>
      <c r="I821" s="3" t="s">
        <v>7161</v>
      </c>
      <c r="J821" s="3" t="s">
        <v>7156</v>
      </c>
      <c r="K821" s="3" t="s">
        <v>7149</v>
      </c>
      <c r="L821" s="19">
        <v>2.0</v>
      </c>
      <c r="M821" s="3" t="s">
        <v>7921</v>
      </c>
      <c r="N821" s="3" t="s">
        <v>7921</v>
      </c>
      <c r="O821" s="3" t="s">
        <v>7218</v>
      </c>
      <c r="P821" s="19">
        <v>2.0</v>
      </c>
      <c r="Q821" s="19">
        <v>0.0</v>
      </c>
      <c r="R821" s="19">
        <v>0.0</v>
      </c>
      <c r="S821" s="19">
        <v>0.0</v>
      </c>
      <c r="T821" s="3" t="s">
        <v>187</v>
      </c>
      <c r="U821" s="3" t="s">
        <v>188</v>
      </c>
    </row>
    <row r="822">
      <c r="A822" s="3" t="s">
        <v>7948</v>
      </c>
      <c r="B822" s="3" t="s">
        <v>7949</v>
      </c>
      <c r="C822" s="29">
        <v>46359.35416666667</v>
      </c>
      <c r="D822" s="29">
        <v>46359.375</v>
      </c>
      <c r="E822" s="30">
        <v>0.5</v>
      </c>
      <c r="G822" s="2"/>
      <c r="H822" s="3" t="s">
        <v>7146</v>
      </c>
      <c r="I822" s="3" t="s">
        <v>7338</v>
      </c>
      <c r="J822" s="3" t="s">
        <v>7288</v>
      </c>
      <c r="K822" s="3" t="s">
        <v>7149</v>
      </c>
      <c r="L822" s="19">
        <v>3.0</v>
      </c>
      <c r="M822" s="3" t="s">
        <v>7950</v>
      </c>
      <c r="N822" s="3" t="s">
        <v>7950</v>
      </c>
      <c r="O822" s="3" t="s">
        <v>7622</v>
      </c>
      <c r="P822" s="19">
        <v>0.0</v>
      </c>
      <c r="Q822" s="19">
        <v>0.0</v>
      </c>
      <c r="R822" s="19">
        <v>0.0</v>
      </c>
      <c r="S822" s="19">
        <v>3.0</v>
      </c>
      <c r="T822" s="3" t="s">
        <v>193</v>
      </c>
      <c r="U822" s="3" t="s">
        <v>544</v>
      </c>
    </row>
    <row r="823">
      <c r="A823" s="3" t="s">
        <v>7794</v>
      </c>
      <c r="B823" s="3" t="s">
        <v>7795</v>
      </c>
      <c r="C823" s="29">
        <v>46359.39583333333</v>
      </c>
      <c r="D823" s="29">
        <v>46359.41666666667</v>
      </c>
      <c r="E823" s="30">
        <v>0.5</v>
      </c>
      <c r="G823" s="2"/>
      <c r="H823" s="3" t="s">
        <v>7146</v>
      </c>
      <c r="I823" s="3" t="s">
        <v>7161</v>
      </c>
      <c r="J823" s="3" t="s">
        <v>7168</v>
      </c>
      <c r="K823" s="3" t="s">
        <v>7149</v>
      </c>
      <c r="L823" s="19">
        <v>6.0</v>
      </c>
      <c r="M823" s="3" t="s">
        <v>7196</v>
      </c>
      <c r="N823" s="3" t="s">
        <v>7196</v>
      </c>
      <c r="O823" s="3" t="s">
        <v>7197</v>
      </c>
      <c r="P823" s="19">
        <v>4.0</v>
      </c>
      <c r="Q823" s="19">
        <v>0.0</v>
      </c>
      <c r="R823" s="19">
        <v>0.0</v>
      </c>
      <c r="S823" s="19">
        <v>2.0</v>
      </c>
      <c r="T823" s="3" t="s">
        <v>178</v>
      </c>
      <c r="U823" s="3" t="s">
        <v>179</v>
      </c>
    </row>
    <row r="824">
      <c r="A824" s="3" t="s">
        <v>7951</v>
      </c>
      <c r="B824" s="3" t="s">
        <v>7160</v>
      </c>
      <c r="C824" s="29">
        <v>46359.4375</v>
      </c>
      <c r="D824" s="29">
        <v>46359.45833333333</v>
      </c>
      <c r="E824" s="30">
        <v>0.5</v>
      </c>
      <c r="G824" s="2"/>
      <c r="H824" s="3" t="s">
        <v>7146</v>
      </c>
      <c r="I824" s="3" t="s">
        <v>7161</v>
      </c>
      <c r="J824" s="3" t="s">
        <v>7156</v>
      </c>
      <c r="K824" s="3" t="s">
        <v>7149</v>
      </c>
      <c r="L824" s="19">
        <v>2.0</v>
      </c>
      <c r="M824" s="3" t="s">
        <v>7952</v>
      </c>
      <c r="N824" s="3" t="s">
        <v>7953</v>
      </c>
      <c r="O824" s="3" t="s">
        <v>7218</v>
      </c>
      <c r="P824" s="19">
        <v>2.0</v>
      </c>
      <c r="Q824" s="19">
        <v>0.0</v>
      </c>
      <c r="R824" s="19">
        <v>0.0</v>
      </c>
      <c r="S824" s="19">
        <v>0.0</v>
      </c>
      <c r="T824" s="3" t="s">
        <v>154</v>
      </c>
      <c r="U824" s="3" t="s">
        <v>329</v>
      </c>
    </row>
    <row r="825">
      <c r="A825" s="3" t="s">
        <v>7954</v>
      </c>
      <c r="B825" s="3" t="s">
        <v>7163</v>
      </c>
      <c r="C825" s="29">
        <v>46359.58333333333</v>
      </c>
      <c r="D825" s="29">
        <v>46359.60416666667</v>
      </c>
      <c r="E825" s="30">
        <v>0.5</v>
      </c>
      <c r="G825" s="2"/>
      <c r="H825" s="3" t="s">
        <v>7146</v>
      </c>
      <c r="I825" s="3" t="s">
        <v>7161</v>
      </c>
      <c r="J825" s="3" t="s">
        <v>7156</v>
      </c>
      <c r="K825" s="3" t="s">
        <v>7149</v>
      </c>
      <c r="L825" s="19">
        <v>5.0</v>
      </c>
      <c r="M825" s="3" t="s">
        <v>7955</v>
      </c>
      <c r="N825" s="3" t="s">
        <v>7955</v>
      </c>
      <c r="O825" s="3" t="s">
        <v>7956</v>
      </c>
      <c r="P825" s="19">
        <v>0.0</v>
      </c>
      <c r="Q825" s="19">
        <v>3.0</v>
      </c>
      <c r="R825" s="19">
        <v>0.0</v>
      </c>
      <c r="S825" s="19">
        <v>2.0</v>
      </c>
      <c r="T825" s="3" t="s">
        <v>151</v>
      </c>
      <c r="U825" s="3" t="s">
        <v>370</v>
      </c>
    </row>
    <row r="826">
      <c r="A826" s="3" t="s">
        <v>7957</v>
      </c>
      <c r="B826" s="3" t="s">
        <v>7712</v>
      </c>
      <c r="C826" s="29">
        <v>46359.64583333333</v>
      </c>
      <c r="D826" s="29">
        <v>46359.66666666667</v>
      </c>
      <c r="E826" s="30">
        <v>0.5</v>
      </c>
      <c r="G826" s="3" t="s">
        <v>7713</v>
      </c>
      <c r="H826" s="3" t="s">
        <v>7146</v>
      </c>
      <c r="I826" s="3" t="s">
        <v>7338</v>
      </c>
      <c r="J826" s="3" t="s">
        <v>7288</v>
      </c>
      <c r="K826" s="3" t="s">
        <v>7149</v>
      </c>
      <c r="L826" s="19">
        <v>5.0</v>
      </c>
      <c r="M826" s="3" t="s">
        <v>7958</v>
      </c>
      <c r="N826" s="3" t="s">
        <v>7958</v>
      </c>
      <c r="O826" s="3" t="s">
        <v>7959</v>
      </c>
      <c r="P826" s="19">
        <v>2.0</v>
      </c>
      <c r="Q826" s="19">
        <v>1.0</v>
      </c>
      <c r="R826" s="19">
        <v>1.0</v>
      </c>
      <c r="S826" s="19">
        <v>1.0</v>
      </c>
      <c r="T826" s="3" t="s">
        <v>122</v>
      </c>
      <c r="U826" s="3" t="s">
        <v>123</v>
      </c>
    </row>
    <row r="827">
      <c r="A827" s="3" t="s">
        <v>7971</v>
      </c>
      <c r="B827" s="3" t="s">
        <v>7178</v>
      </c>
      <c r="C827" s="29">
        <v>46360.39583333333</v>
      </c>
      <c r="D827" s="29">
        <v>46360.41666666667</v>
      </c>
      <c r="E827" s="30">
        <v>0.5</v>
      </c>
      <c r="G827" s="25" t="s">
        <v>7972</v>
      </c>
      <c r="H827" s="3" t="s">
        <v>7146</v>
      </c>
      <c r="I827" s="3" t="s">
        <v>7161</v>
      </c>
      <c r="J827" s="3" t="s">
        <v>7156</v>
      </c>
      <c r="K827" s="3" t="s">
        <v>7149</v>
      </c>
      <c r="L827" s="19">
        <v>3.0</v>
      </c>
      <c r="M827" s="3" t="s">
        <v>7973</v>
      </c>
      <c r="N827" s="3" t="s">
        <v>7973</v>
      </c>
      <c r="O827" s="3" t="s">
        <v>7231</v>
      </c>
      <c r="P827" s="19">
        <v>2.0</v>
      </c>
      <c r="Q827" s="19">
        <v>1.0</v>
      </c>
      <c r="R827" s="19">
        <v>0.0</v>
      </c>
      <c r="S827" s="19">
        <v>0.0</v>
      </c>
      <c r="T827" s="3" t="s">
        <v>169</v>
      </c>
      <c r="U827" s="3" t="s">
        <v>170</v>
      </c>
    </row>
    <row r="828">
      <c r="A828" s="3" t="s">
        <v>7679</v>
      </c>
      <c r="B828" s="3" t="s">
        <v>7546</v>
      </c>
      <c r="C828" s="29">
        <v>46360.47916666667</v>
      </c>
      <c r="D828" s="29">
        <v>46360.52083333333</v>
      </c>
      <c r="E828" s="30">
        <v>1.0</v>
      </c>
      <c r="G828" s="2"/>
      <c r="H828" s="3" t="s">
        <v>7146</v>
      </c>
      <c r="I828" s="3" t="s">
        <v>7338</v>
      </c>
      <c r="J828" s="3" t="s">
        <v>7288</v>
      </c>
      <c r="K828" s="3" t="s">
        <v>7149</v>
      </c>
      <c r="L828" s="19">
        <v>1.0</v>
      </c>
      <c r="M828" s="3" t="s">
        <v>7680</v>
      </c>
      <c r="N828" s="3" t="s">
        <v>7680</v>
      </c>
      <c r="O828" s="3" t="s">
        <v>7161</v>
      </c>
      <c r="P828" s="19">
        <v>1.0</v>
      </c>
      <c r="Q828" s="19">
        <v>0.0</v>
      </c>
      <c r="R828" s="19">
        <v>0.0</v>
      </c>
      <c r="S828" s="19">
        <v>0.0</v>
      </c>
      <c r="T828" s="3" t="s">
        <v>119</v>
      </c>
      <c r="U828" s="3" t="s">
        <v>251</v>
      </c>
    </row>
    <row r="829">
      <c r="A829" s="3" t="s">
        <v>7975</v>
      </c>
      <c r="B829" s="3" t="s">
        <v>7167</v>
      </c>
      <c r="C829" s="29">
        <v>46360.54166666667</v>
      </c>
      <c r="D829" s="29">
        <v>46360.5625</v>
      </c>
      <c r="E829" s="30">
        <v>0.5</v>
      </c>
      <c r="G829" s="2"/>
      <c r="H829" s="3" t="s">
        <v>7146</v>
      </c>
      <c r="I829" s="3" t="s">
        <v>7338</v>
      </c>
      <c r="J829" s="3" t="s">
        <v>7288</v>
      </c>
      <c r="K829" s="3" t="s">
        <v>7149</v>
      </c>
      <c r="L829" s="19">
        <v>4.0</v>
      </c>
      <c r="M829" s="3" t="s">
        <v>7169</v>
      </c>
      <c r="N829" s="3" t="s">
        <v>7170</v>
      </c>
      <c r="O829" s="3" t="s">
        <v>7268</v>
      </c>
      <c r="P829" s="19">
        <v>1.0</v>
      </c>
      <c r="Q829" s="19">
        <v>0.0</v>
      </c>
      <c r="R829" s="19">
        <v>0.0</v>
      </c>
      <c r="S829" s="19">
        <v>3.0</v>
      </c>
      <c r="T829" s="3" t="s">
        <v>205</v>
      </c>
      <c r="U829" s="3" t="s">
        <v>206</v>
      </c>
    </row>
    <row r="830">
      <c r="A830" s="3" t="s">
        <v>7960</v>
      </c>
      <c r="B830" s="3" t="s">
        <v>7961</v>
      </c>
      <c r="C830" s="29">
        <v>46363.54166666667</v>
      </c>
      <c r="D830" s="29">
        <v>46363.5625</v>
      </c>
      <c r="E830" s="30">
        <v>0.5</v>
      </c>
      <c r="G830" s="3" t="s">
        <v>7962</v>
      </c>
      <c r="H830" s="3" t="s">
        <v>7146</v>
      </c>
      <c r="I830" s="3" t="s">
        <v>7338</v>
      </c>
      <c r="J830" s="3" t="s">
        <v>7288</v>
      </c>
      <c r="K830" s="3" t="s">
        <v>7149</v>
      </c>
      <c r="L830" s="19">
        <v>3.0</v>
      </c>
      <c r="M830" s="3" t="s">
        <v>7788</v>
      </c>
      <c r="N830" s="3" t="s">
        <v>7788</v>
      </c>
      <c r="O830" s="3" t="s">
        <v>7326</v>
      </c>
      <c r="P830" s="19">
        <v>1.0</v>
      </c>
      <c r="Q830" s="19">
        <v>0.0</v>
      </c>
      <c r="R830" s="19">
        <v>0.0</v>
      </c>
      <c r="S830" s="19">
        <v>2.0</v>
      </c>
      <c r="T830" s="3" t="s">
        <v>131</v>
      </c>
      <c r="U830" s="3" t="s">
        <v>132</v>
      </c>
    </row>
    <row r="831">
      <c r="A831" s="3" t="s">
        <v>7963</v>
      </c>
      <c r="B831" s="3" t="s">
        <v>7234</v>
      </c>
      <c r="C831" s="29">
        <v>46363.58333333333</v>
      </c>
      <c r="D831" s="29">
        <v>46363.60416666667</v>
      </c>
      <c r="E831" s="30">
        <v>0.5</v>
      </c>
      <c r="F831" s="2"/>
      <c r="G831" s="2"/>
      <c r="H831" s="3" t="s">
        <v>7146</v>
      </c>
      <c r="I831" s="3" t="s">
        <v>7147</v>
      </c>
      <c r="J831" s="3" t="s">
        <v>7156</v>
      </c>
      <c r="K831" s="3" t="s">
        <v>7149</v>
      </c>
      <c r="L831" s="19">
        <v>4.0</v>
      </c>
      <c r="M831" s="3" t="s">
        <v>7235</v>
      </c>
      <c r="N831" s="3" t="s">
        <v>7235</v>
      </c>
      <c r="O831" s="3" t="s">
        <v>7964</v>
      </c>
      <c r="P831" s="19">
        <v>0.0</v>
      </c>
      <c r="Q831" s="19">
        <v>1.0</v>
      </c>
      <c r="R831" s="19">
        <v>0.0</v>
      </c>
      <c r="S831" s="19">
        <v>3.0</v>
      </c>
      <c r="T831" s="3" t="s">
        <v>166</v>
      </c>
      <c r="U831" s="3" t="s">
        <v>167</v>
      </c>
    </row>
    <row r="832">
      <c r="A832" s="3" t="s">
        <v>7896</v>
      </c>
      <c r="B832" s="3" t="s">
        <v>7463</v>
      </c>
      <c r="C832" s="29">
        <v>46363.60416666667</v>
      </c>
      <c r="D832" s="29">
        <v>46363.625</v>
      </c>
      <c r="E832" s="30">
        <v>0.5</v>
      </c>
      <c r="F832" s="2"/>
      <c r="G832" s="3" t="s">
        <v>7541</v>
      </c>
      <c r="H832" s="3" t="s">
        <v>7146</v>
      </c>
      <c r="I832" s="3" t="s">
        <v>7338</v>
      </c>
      <c r="J832" s="3" t="s">
        <v>7288</v>
      </c>
      <c r="K832" s="3" t="s">
        <v>7149</v>
      </c>
      <c r="L832" s="19">
        <v>1.0</v>
      </c>
      <c r="M832" s="3" t="s">
        <v>7897</v>
      </c>
      <c r="N832" s="3" t="s">
        <v>7897</v>
      </c>
      <c r="O832" s="3" t="s">
        <v>7161</v>
      </c>
      <c r="P832" s="19">
        <v>1.0</v>
      </c>
      <c r="Q832" s="19">
        <v>0.0</v>
      </c>
      <c r="R832" s="19">
        <v>0.0</v>
      </c>
      <c r="S832" s="19">
        <v>0.0</v>
      </c>
      <c r="T832" s="3" t="s">
        <v>101</v>
      </c>
      <c r="U832" s="3" t="s">
        <v>511</v>
      </c>
    </row>
    <row r="833">
      <c r="A833" s="3" t="s">
        <v>7904</v>
      </c>
      <c r="B833" s="3" t="s">
        <v>7183</v>
      </c>
      <c r="C833" s="29">
        <v>46364.5</v>
      </c>
      <c r="D833" s="29">
        <v>46364.52083333333</v>
      </c>
      <c r="E833" s="30">
        <v>0.5</v>
      </c>
      <c r="G833" s="3" t="s">
        <v>7692</v>
      </c>
      <c r="H833" s="3" t="s">
        <v>7146</v>
      </c>
      <c r="I833" s="3" t="s">
        <v>7161</v>
      </c>
      <c r="J833" s="3" t="s">
        <v>7156</v>
      </c>
      <c r="K833" s="3" t="s">
        <v>7149</v>
      </c>
      <c r="L833" s="19">
        <v>2.0</v>
      </c>
      <c r="M833" s="3" t="s">
        <v>7905</v>
      </c>
      <c r="N833" s="3" t="s">
        <v>7906</v>
      </c>
      <c r="O833" s="3" t="s">
        <v>7944</v>
      </c>
      <c r="P833" s="19">
        <v>1.0</v>
      </c>
      <c r="Q833" s="19">
        <v>0.0</v>
      </c>
      <c r="R833" s="19">
        <v>1.0</v>
      </c>
      <c r="S833" s="19">
        <v>0.0</v>
      </c>
      <c r="T833" s="3" t="s">
        <v>184</v>
      </c>
      <c r="U833" s="3" t="s">
        <v>478</v>
      </c>
    </row>
    <row r="834">
      <c r="A834" s="3" t="s">
        <v>7748</v>
      </c>
      <c r="B834" s="3" t="s">
        <v>7211</v>
      </c>
      <c r="C834" s="29">
        <v>46364.54166666667</v>
      </c>
      <c r="D834" s="29">
        <v>46364.5625</v>
      </c>
      <c r="E834" s="30">
        <v>0.5</v>
      </c>
      <c r="G834" s="3" t="s">
        <v>7212</v>
      </c>
      <c r="H834" s="3" t="s">
        <v>7146</v>
      </c>
      <c r="I834" s="3" t="s">
        <v>7161</v>
      </c>
      <c r="J834" s="3" t="s">
        <v>7156</v>
      </c>
      <c r="K834" s="3" t="s">
        <v>7149</v>
      </c>
      <c r="L834" s="19">
        <v>4.0</v>
      </c>
      <c r="M834" s="3" t="s">
        <v>7213</v>
      </c>
      <c r="N834" s="3" t="s">
        <v>7213</v>
      </c>
      <c r="O834" s="3" t="s">
        <v>7965</v>
      </c>
      <c r="P834" s="19">
        <v>2.0</v>
      </c>
      <c r="Q834" s="19">
        <v>1.0</v>
      </c>
      <c r="R834" s="19">
        <v>0.0</v>
      </c>
      <c r="S834" s="19">
        <v>1.0</v>
      </c>
      <c r="T834" s="3" t="s">
        <v>175</v>
      </c>
      <c r="U834" s="3" t="s">
        <v>422</v>
      </c>
    </row>
    <row r="835">
      <c r="A835" s="3" t="s">
        <v>7901</v>
      </c>
      <c r="B835" s="3" t="s">
        <v>7689</v>
      </c>
      <c r="C835" s="29">
        <v>46364.5625</v>
      </c>
      <c r="D835" s="29">
        <v>46364.58333333333</v>
      </c>
      <c r="E835" s="30">
        <v>0.5</v>
      </c>
      <c r="G835" s="2"/>
      <c r="H835" s="3" t="s">
        <v>7146</v>
      </c>
      <c r="I835" s="3" t="s">
        <v>7338</v>
      </c>
      <c r="J835" s="3" t="s">
        <v>7288</v>
      </c>
      <c r="K835" s="3" t="s">
        <v>7149</v>
      </c>
      <c r="L835" s="19">
        <v>1.0</v>
      </c>
      <c r="M835" s="3" t="s">
        <v>7902</v>
      </c>
      <c r="N835" s="3" t="s">
        <v>7902</v>
      </c>
      <c r="O835" s="3" t="s">
        <v>7161</v>
      </c>
      <c r="P835" s="19">
        <v>1.0</v>
      </c>
      <c r="Q835" s="19">
        <v>0.0</v>
      </c>
      <c r="R835" s="19">
        <v>0.0</v>
      </c>
      <c r="S835" s="19">
        <v>0.0</v>
      </c>
      <c r="T835" s="3" t="s">
        <v>142</v>
      </c>
      <c r="U835" s="3" t="s">
        <v>143</v>
      </c>
    </row>
    <row r="836">
      <c r="A836" s="3" t="s">
        <v>7966</v>
      </c>
      <c r="B836" s="3" t="s">
        <v>7967</v>
      </c>
      <c r="C836" s="29">
        <v>46364.64583333333</v>
      </c>
      <c r="D836" s="29">
        <v>46364.66666666667</v>
      </c>
      <c r="E836" s="30">
        <v>0.5</v>
      </c>
      <c r="F836" s="2"/>
      <c r="G836" s="3" t="s">
        <v>7968</v>
      </c>
      <c r="H836" s="3" t="s">
        <v>7146</v>
      </c>
      <c r="I836" s="3" t="s">
        <v>7338</v>
      </c>
      <c r="J836" s="3" t="s">
        <v>7288</v>
      </c>
      <c r="K836" s="3" t="s">
        <v>7149</v>
      </c>
      <c r="L836" s="19">
        <v>4.0</v>
      </c>
      <c r="M836" s="3" t="s">
        <v>7707</v>
      </c>
      <c r="N836" s="3" t="s">
        <v>7707</v>
      </c>
      <c r="O836" s="3" t="s">
        <v>7236</v>
      </c>
      <c r="P836" s="19">
        <v>1.0</v>
      </c>
      <c r="Q836" s="19">
        <v>0.0</v>
      </c>
      <c r="R836" s="19">
        <v>0.0</v>
      </c>
      <c r="S836" s="19">
        <v>3.0</v>
      </c>
      <c r="T836" s="3" t="s">
        <v>6450</v>
      </c>
      <c r="U836" s="3" t="s">
        <v>552</v>
      </c>
    </row>
    <row r="837">
      <c r="A837" s="3" t="s">
        <v>7912</v>
      </c>
      <c r="B837" s="3" t="s">
        <v>7696</v>
      </c>
      <c r="C837" s="29">
        <v>46365.41666666667</v>
      </c>
      <c r="D837" s="29">
        <v>46365.4375</v>
      </c>
      <c r="E837" s="30">
        <v>0.5</v>
      </c>
      <c r="G837" s="2"/>
      <c r="H837" s="3" t="s">
        <v>7146</v>
      </c>
      <c r="I837" s="3" t="s">
        <v>7161</v>
      </c>
      <c r="J837" s="3" t="s">
        <v>7274</v>
      </c>
      <c r="K837" s="3" t="s">
        <v>7149</v>
      </c>
      <c r="L837" s="19">
        <v>1.0</v>
      </c>
      <c r="M837" s="3" t="s">
        <v>7288</v>
      </c>
      <c r="N837" s="3" t="s">
        <v>7288</v>
      </c>
      <c r="O837" s="3" t="s">
        <v>7161</v>
      </c>
      <c r="P837" s="19">
        <v>1.0</v>
      </c>
      <c r="Q837" s="19">
        <v>0.0</v>
      </c>
      <c r="R837" s="19">
        <v>0.0</v>
      </c>
      <c r="S837" s="19">
        <v>0.0</v>
      </c>
      <c r="T837" s="2"/>
      <c r="U837" s="2"/>
    </row>
    <row r="838">
      <c r="A838" s="3" t="s">
        <v>7791</v>
      </c>
      <c r="B838" s="3" t="s">
        <v>7266</v>
      </c>
      <c r="C838" s="29">
        <v>46366.33333333333</v>
      </c>
      <c r="D838" s="29">
        <v>46366.35416666667</v>
      </c>
      <c r="E838" s="30">
        <v>0.5</v>
      </c>
      <c r="F838" s="2"/>
      <c r="G838" s="2"/>
      <c r="H838" s="3" t="s">
        <v>7146</v>
      </c>
      <c r="I838" s="3" t="s">
        <v>7161</v>
      </c>
      <c r="J838" s="3" t="s">
        <v>7156</v>
      </c>
      <c r="K838" s="3" t="s">
        <v>7149</v>
      </c>
      <c r="L838" s="19">
        <v>4.0</v>
      </c>
      <c r="M838" s="3" t="s">
        <v>7267</v>
      </c>
      <c r="N838" s="3" t="s">
        <v>7267</v>
      </c>
      <c r="O838" s="3" t="s">
        <v>7792</v>
      </c>
      <c r="P838" s="19">
        <v>1.0</v>
      </c>
      <c r="Q838" s="19">
        <v>1.0</v>
      </c>
      <c r="R838" s="19">
        <v>0.0</v>
      </c>
      <c r="S838" s="19">
        <v>2.0</v>
      </c>
      <c r="T838" s="3" t="s">
        <v>6752</v>
      </c>
      <c r="U838" s="3" t="s">
        <v>319</v>
      </c>
    </row>
    <row r="839">
      <c r="A839" s="3" t="s">
        <v>7969</v>
      </c>
      <c r="B839" s="3" t="s">
        <v>7262</v>
      </c>
      <c r="C839" s="29">
        <v>46366.4375</v>
      </c>
      <c r="D839" s="29">
        <v>46366.45833333333</v>
      </c>
      <c r="E839" s="30">
        <v>0.5</v>
      </c>
      <c r="G839" s="2"/>
      <c r="H839" s="3" t="s">
        <v>7146</v>
      </c>
      <c r="I839" s="3" t="s">
        <v>7161</v>
      </c>
      <c r="J839" s="3" t="s">
        <v>7156</v>
      </c>
      <c r="K839" s="3" t="s">
        <v>7149</v>
      </c>
      <c r="L839" s="19">
        <v>2.0</v>
      </c>
      <c r="M839" s="3" t="s">
        <v>7263</v>
      </c>
      <c r="N839" s="3" t="s">
        <v>7263</v>
      </c>
      <c r="O839" s="3" t="s">
        <v>7218</v>
      </c>
      <c r="P839" s="19">
        <v>2.0</v>
      </c>
      <c r="Q839" s="19">
        <v>0.0</v>
      </c>
      <c r="R839" s="19">
        <v>0.0</v>
      </c>
      <c r="S839" s="19">
        <v>0.0</v>
      </c>
      <c r="T839" s="3" t="s">
        <v>128</v>
      </c>
      <c r="U839" s="3" t="s">
        <v>301</v>
      </c>
    </row>
    <row r="840">
      <c r="A840" s="3" t="s">
        <v>7659</v>
      </c>
      <c r="B840" s="3" t="s">
        <v>7420</v>
      </c>
      <c r="C840" s="29">
        <v>46366.47916666667</v>
      </c>
      <c r="D840" s="29">
        <v>46366.5</v>
      </c>
      <c r="E840" s="30">
        <v>0.5</v>
      </c>
      <c r="G840" s="2"/>
      <c r="H840" s="3" t="s">
        <v>7146</v>
      </c>
      <c r="I840" s="3" t="s">
        <v>7161</v>
      </c>
      <c r="J840" s="3" t="s">
        <v>7156</v>
      </c>
      <c r="K840" s="3" t="s">
        <v>7149</v>
      </c>
      <c r="L840" s="19">
        <v>5.0</v>
      </c>
      <c r="M840" s="3" t="s">
        <v>7571</v>
      </c>
      <c r="N840" s="3" t="s">
        <v>7571</v>
      </c>
      <c r="O840" s="3" t="s">
        <v>7970</v>
      </c>
      <c r="P840" s="19">
        <v>3.0</v>
      </c>
      <c r="Q840" s="19">
        <v>1.0</v>
      </c>
      <c r="R840" s="19">
        <v>0.0</v>
      </c>
      <c r="S840" s="19">
        <v>1.0</v>
      </c>
      <c r="T840" s="3" t="s">
        <v>125</v>
      </c>
      <c r="U840" s="3" t="s">
        <v>126</v>
      </c>
    </row>
    <row r="841">
      <c r="A841" s="3" t="s">
        <v>7804</v>
      </c>
      <c r="B841" s="3" t="s">
        <v>7805</v>
      </c>
      <c r="C841" s="29">
        <v>46366.5</v>
      </c>
      <c r="D841" s="29">
        <v>46366.52083333333</v>
      </c>
      <c r="E841" s="30">
        <v>0.5</v>
      </c>
      <c r="G841" s="2"/>
      <c r="H841" s="3" t="s">
        <v>7146</v>
      </c>
      <c r="I841" s="3" t="s">
        <v>7338</v>
      </c>
      <c r="J841" s="3" t="s">
        <v>7288</v>
      </c>
      <c r="K841" s="3" t="s">
        <v>7149</v>
      </c>
      <c r="L841" s="19">
        <v>1.0</v>
      </c>
      <c r="M841" s="3" t="s">
        <v>7806</v>
      </c>
      <c r="N841" s="3" t="s">
        <v>7806</v>
      </c>
      <c r="O841" s="3" t="s">
        <v>7161</v>
      </c>
      <c r="P841" s="19">
        <v>1.0</v>
      </c>
      <c r="Q841" s="19">
        <v>0.0</v>
      </c>
      <c r="R841" s="19">
        <v>0.0</v>
      </c>
      <c r="S841" s="19">
        <v>0.0</v>
      </c>
      <c r="T841" s="3" t="s">
        <v>157</v>
      </c>
      <c r="U841" s="3" t="s">
        <v>158</v>
      </c>
    </row>
    <row r="842">
      <c r="A842" s="3" t="s">
        <v>7812</v>
      </c>
      <c r="B842" s="3" t="s">
        <v>7813</v>
      </c>
      <c r="C842" s="29">
        <v>46366.5625</v>
      </c>
      <c r="D842" s="29">
        <v>46366.58333333333</v>
      </c>
      <c r="E842" s="30">
        <v>0.5</v>
      </c>
      <c r="G842" s="3" t="s">
        <v>7814</v>
      </c>
      <c r="H842" s="3" t="s">
        <v>7146</v>
      </c>
      <c r="I842" s="3" t="s">
        <v>7338</v>
      </c>
      <c r="J842" s="3" t="s">
        <v>7288</v>
      </c>
      <c r="K842" s="3" t="s">
        <v>7149</v>
      </c>
      <c r="L842" s="19">
        <v>3.0</v>
      </c>
      <c r="M842" s="3" t="s">
        <v>7815</v>
      </c>
      <c r="N842" s="3" t="s">
        <v>7815</v>
      </c>
      <c r="O842" s="3" t="s">
        <v>7601</v>
      </c>
      <c r="P842" s="19">
        <v>1.0</v>
      </c>
      <c r="Q842" s="19">
        <v>0.0</v>
      </c>
      <c r="R842" s="19">
        <v>0.0</v>
      </c>
      <c r="S842" s="19">
        <v>2.0</v>
      </c>
      <c r="T842" s="3" t="s">
        <v>190</v>
      </c>
      <c r="U842" s="3" t="s">
        <v>191</v>
      </c>
    </row>
    <row r="843">
      <c r="A843" s="3" t="s">
        <v>7825</v>
      </c>
      <c r="B843" s="3" t="s">
        <v>7471</v>
      </c>
      <c r="C843" s="29">
        <v>46367.41666666667</v>
      </c>
      <c r="D843" s="29">
        <v>46367.4375</v>
      </c>
      <c r="E843" s="30">
        <v>0.5</v>
      </c>
      <c r="G843" s="2"/>
      <c r="H843" s="3" t="s">
        <v>7146</v>
      </c>
      <c r="I843" s="3" t="s">
        <v>7161</v>
      </c>
      <c r="J843" s="3" t="s">
        <v>7156</v>
      </c>
      <c r="K843" s="3" t="s">
        <v>7149</v>
      </c>
      <c r="L843" s="19">
        <v>5.0</v>
      </c>
      <c r="M843" s="3" t="s">
        <v>7826</v>
      </c>
      <c r="N843" s="3" t="s">
        <v>7826</v>
      </c>
      <c r="O843" s="3" t="s">
        <v>7974</v>
      </c>
      <c r="P843" s="19">
        <v>2.0</v>
      </c>
      <c r="Q843" s="19">
        <v>0.0</v>
      </c>
      <c r="R843" s="19">
        <v>0.0</v>
      </c>
      <c r="S843" s="19">
        <v>3.0</v>
      </c>
      <c r="T843" s="3" t="s">
        <v>199</v>
      </c>
      <c r="U843" s="3" t="s">
        <v>272</v>
      </c>
    </row>
    <row r="844">
      <c r="A844" s="3" t="s">
        <v>7679</v>
      </c>
      <c r="B844" s="3" t="s">
        <v>7546</v>
      </c>
      <c r="C844" s="29">
        <v>46367.47916666667</v>
      </c>
      <c r="D844" s="29">
        <v>46367.52083333333</v>
      </c>
      <c r="E844" s="30">
        <v>1.0</v>
      </c>
      <c r="F844" s="2"/>
      <c r="G844" s="2"/>
      <c r="H844" s="3" t="s">
        <v>7146</v>
      </c>
      <c r="I844" s="3" t="s">
        <v>7338</v>
      </c>
      <c r="J844" s="3" t="s">
        <v>7288</v>
      </c>
      <c r="K844" s="3" t="s">
        <v>7149</v>
      </c>
      <c r="L844" s="19">
        <v>1.0</v>
      </c>
      <c r="M844" s="3" t="s">
        <v>7680</v>
      </c>
      <c r="N844" s="3" t="s">
        <v>7680</v>
      </c>
      <c r="O844" s="3" t="s">
        <v>7161</v>
      </c>
      <c r="P844" s="19">
        <v>1.0</v>
      </c>
      <c r="Q844" s="19">
        <v>0.0</v>
      </c>
      <c r="R844" s="19">
        <v>0.0</v>
      </c>
      <c r="S844" s="19">
        <v>0.0</v>
      </c>
      <c r="T844" s="3" t="s">
        <v>119</v>
      </c>
      <c r="U844" s="3" t="s">
        <v>251</v>
      </c>
    </row>
    <row r="845">
      <c r="A845" s="3" t="s">
        <v>7976</v>
      </c>
      <c r="B845" s="3" t="s">
        <v>7977</v>
      </c>
      <c r="C845" s="29">
        <v>46370.58333333333</v>
      </c>
      <c r="D845" s="29">
        <v>46370.60416666667</v>
      </c>
      <c r="E845" s="30">
        <v>0.5</v>
      </c>
      <c r="G845" s="2"/>
      <c r="H845" s="3" t="s">
        <v>7146</v>
      </c>
      <c r="I845" s="3" t="s">
        <v>7338</v>
      </c>
      <c r="J845" s="3" t="s">
        <v>7288</v>
      </c>
      <c r="K845" s="3" t="s">
        <v>7149</v>
      </c>
      <c r="L845" s="19">
        <v>3.0</v>
      </c>
      <c r="M845" s="3" t="s">
        <v>7978</v>
      </c>
      <c r="N845" s="3" t="s">
        <v>7978</v>
      </c>
      <c r="O845" s="3" t="s">
        <v>7326</v>
      </c>
      <c r="P845" s="19">
        <v>1.0</v>
      </c>
      <c r="Q845" s="19">
        <v>0.0</v>
      </c>
      <c r="R845" s="19">
        <v>0.0</v>
      </c>
      <c r="S845" s="19">
        <v>2.0</v>
      </c>
      <c r="T845" s="3" t="s">
        <v>98</v>
      </c>
      <c r="U845" s="3" t="s">
        <v>99</v>
      </c>
    </row>
    <row r="846">
      <c r="A846" s="3" t="s">
        <v>7896</v>
      </c>
      <c r="B846" s="3" t="s">
        <v>7463</v>
      </c>
      <c r="C846" s="29">
        <v>46370.60416666667</v>
      </c>
      <c r="D846" s="29">
        <v>46370.625</v>
      </c>
      <c r="E846" s="30">
        <v>0.5</v>
      </c>
      <c r="G846" s="3" t="s">
        <v>7541</v>
      </c>
      <c r="H846" s="3" t="s">
        <v>7146</v>
      </c>
      <c r="I846" s="3" t="s">
        <v>7338</v>
      </c>
      <c r="J846" s="3" t="s">
        <v>7288</v>
      </c>
      <c r="K846" s="3" t="s">
        <v>7149</v>
      </c>
      <c r="L846" s="19">
        <v>1.0</v>
      </c>
      <c r="M846" s="3" t="s">
        <v>7897</v>
      </c>
      <c r="N846" s="3" t="s">
        <v>7897</v>
      </c>
      <c r="O846" s="3" t="s">
        <v>7161</v>
      </c>
      <c r="P846" s="19">
        <v>1.0</v>
      </c>
      <c r="Q846" s="19">
        <v>0.0</v>
      </c>
      <c r="R846" s="19">
        <v>0.0</v>
      </c>
      <c r="S846" s="19">
        <v>0.0</v>
      </c>
      <c r="T846" s="3" t="s">
        <v>101</v>
      </c>
      <c r="U846" s="3" t="s">
        <v>511</v>
      </c>
    </row>
    <row r="847">
      <c r="A847" s="3" t="s">
        <v>7904</v>
      </c>
      <c r="B847" s="3" t="s">
        <v>7183</v>
      </c>
      <c r="C847" s="29">
        <v>46371.5</v>
      </c>
      <c r="D847" s="29">
        <v>46371.52083333333</v>
      </c>
      <c r="E847" s="30">
        <v>0.5</v>
      </c>
      <c r="G847" s="3" t="s">
        <v>7692</v>
      </c>
      <c r="H847" s="3" t="s">
        <v>7146</v>
      </c>
      <c r="I847" s="3" t="s">
        <v>7161</v>
      </c>
      <c r="J847" s="3" t="s">
        <v>7156</v>
      </c>
      <c r="K847" s="3" t="s">
        <v>7149</v>
      </c>
      <c r="L847" s="19">
        <v>2.0</v>
      </c>
      <c r="M847" s="3" t="s">
        <v>7905</v>
      </c>
      <c r="N847" s="3" t="s">
        <v>7906</v>
      </c>
      <c r="O847" s="3" t="s">
        <v>7944</v>
      </c>
      <c r="P847" s="19">
        <v>1.0</v>
      </c>
      <c r="Q847" s="19">
        <v>0.0</v>
      </c>
      <c r="R847" s="19">
        <v>1.0</v>
      </c>
      <c r="S847" s="19">
        <v>0.0</v>
      </c>
      <c r="T847" s="3" t="s">
        <v>184</v>
      </c>
      <c r="U847" s="3" t="s">
        <v>478</v>
      </c>
    </row>
    <row r="848">
      <c r="A848" s="3" t="s">
        <v>7912</v>
      </c>
      <c r="B848" s="3" t="s">
        <v>7696</v>
      </c>
      <c r="C848" s="29">
        <v>46372.41666666667</v>
      </c>
      <c r="D848" s="29">
        <v>46372.4375</v>
      </c>
      <c r="E848" s="30">
        <v>0.5</v>
      </c>
      <c r="G848" s="2"/>
      <c r="H848" s="3" t="s">
        <v>7146</v>
      </c>
      <c r="I848" s="3" t="s">
        <v>7161</v>
      </c>
      <c r="J848" s="3" t="s">
        <v>7274</v>
      </c>
      <c r="K848" s="3" t="s">
        <v>7149</v>
      </c>
      <c r="L848" s="19">
        <v>1.0</v>
      </c>
      <c r="M848" s="3" t="s">
        <v>7288</v>
      </c>
      <c r="N848" s="3" t="s">
        <v>7288</v>
      </c>
      <c r="O848" s="3" t="s">
        <v>7161</v>
      </c>
      <c r="P848" s="19">
        <v>1.0</v>
      </c>
      <c r="Q848" s="19">
        <v>0.0</v>
      </c>
      <c r="R848" s="19">
        <v>0.0</v>
      </c>
      <c r="S848" s="19">
        <v>0.0</v>
      </c>
      <c r="T848" s="2"/>
      <c r="U848" s="2"/>
    </row>
    <row r="849">
      <c r="A849" s="3" t="s">
        <v>7979</v>
      </c>
      <c r="B849" s="3" t="s">
        <v>7249</v>
      </c>
      <c r="C849" s="29">
        <v>46372.54166666667</v>
      </c>
      <c r="D849" s="29">
        <v>46372.5625</v>
      </c>
      <c r="E849" s="30">
        <v>0.5</v>
      </c>
      <c r="F849" s="2"/>
      <c r="G849" s="2"/>
      <c r="H849" s="3" t="s">
        <v>7146</v>
      </c>
      <c r="I849" s="3" t="s">
        <v>7161</v>
      </c>
      <c r="J849" s="3" t="s">
        <v>7156</v>
      </c>
      <c r="K849" s="3" t="s">
        <v>7149</v>
      </c>
      <c r="L849" s="19">
        <v>2.0</v>
      </c>
      <c r="M849" s="3" t="s">
        <v>7921</v>
      </c>
      <c r="N849" s="3" t="s">
        <v>7921</v>
      </c>
      <c r="O849" s="3" t="s">
        <v>7218</v>
      </c>
      <c r="P849" s="19">
        <v>2.0</v>
      </c>
      <c r="Q849" s="19">
        <v>0.0</v>
      </c>
      <c r="R849" s="19">
        <v>0.0</v>
      </c>
      <c r="S849" s="19">
        <v>0.0</v>
      </c>
      <c r="T849" s="3" t="s">
        <v>187</v>
      </c>
      <c r="U849" s="3" t="s">
        <v>188</v>
      </c>
    </row>
    <row r="850">
      <c r="A850" s="3" t="s">
        <v>7951</v>
      </c>
      <c r="B850" s="3" t="s">
        <v>7160</v>
      </c>
      <c r="C850" s="29">
        <v>46373.4375</v>
      </c>
      <c r="D850" s="29">
        <v>46373.45833333333</v>
      </c>
      <c r="E850" s="30">
        <v>0.5</v>
      </c>
      <c r="G850" s="2"/>
      <c r="H850" s="3" t="s">
        <v>7146</v>
      </c>
      <c r="I850" s="3" t="s">
        <v>7161</v>
      </c>
      <c r="J850" s="3" t="s">
        <v>7156</v>
      </c>
      <c r="K850" s="3" t="s">
        <v>7149</v>
      </c>
      <c r="L850" s="19">
        <v>2.0</v>
      </c>
      <c r="M850" s="3" t="s">
        <v>7952</v>
      </c>
      <c r="N850" s="3" t="s">
        <v>7953</v>
      </c>
      <c r="O850" s="3" t="s">
        <v>7218</v>
      </c>
      <c r="P850" s="19">
        <v>2.0</v>
      </c>
      <c r="Q850" s="19">
        <v>0.0</v>
      </c>
      <c r="R850" s="19">
        <v>0.0</v>
      </c>
      <c r="S850" s="19">
        <v>0.0</v>
      </c>
      <c r="T850" s="3" t="s">
        <v>154</v>
      </c>
      <c r="U850" s="3" t="s">
        <v>329</v>
      </c>
    </row>
    <row r="851">
      <c r="A851" s="3" t="s">
        <v>7954</v>
      </c>
      <c r="B851" s="3" t="s">
        <v>7163</v>
      </c>
      <c r="C851" s="29">
        <v>46373.58333333333</v>
      </c>
      <c r="D851" s="29">
        <v>46373.60416666667</v>
      </c>
      <c r="E851" s="30">
        <v>0.5</v>
      </c>
      <c r="G851" s="2"/>
      <c r="H851" s="3" t="s">
        <v>7146</v>
      </c>
      <c r="I851" s="3" t="s">
        <v>7161</v>
      </c>
      <c r="J851" s="3" t="s">
        <v>7156</v>
      </c>
      <c r="K851" s="3" t="s">
        <v>7149</v>
      </c>
      <c r="L851" s="19">
        <v>5.0</v>
      </c>
      <c r="M851" s="3" t="s">
        <v>7955</v>
      </c>
      <c r="N851" s="3" t="s">
        <v>7955</v>
      </c>
      <c r="O851" s="3" t="s">
        <v>7956</v>
      </c>
      <c r="P851" s="19">
        <v>0.0</v>
      </c>
      <c r="Q851" s="19">
        <v>3.0</v>
      </c>
      <c r="R851" s="19">
        <v>0.0</v>
      </c>
      <c r="S851" s="19">
        <v>2.0</v>
      </c>
      <c r="T851" s="3" t="s">
        <v>151</v>
      </c>
      <c r="U851" s="3" t="s">
        <v>370</v>
      </c>
    </row>
    <row r="852">
      <c r="A852" s="3" t="s">
        <v>7927</v>
      </c>
      <c r="B852" s="3" t="s">
        <v>7928</v>
      </c>
      <c r="C852" s="29">
        <v>46373.70833333333</v>
      </c>
      <c r="D852" s="29">
        <v>46373.72916666667</v>
      </c>
      <c r="E852" s="30">
        <v>0.5</v>
      </c>
      <c r="G852" s="3" t="s">
        <v>7929</v>
      </c>
      <c r="H852" s="3" t="s">
        <v>7146</v>
      </c>
      <c r="I852" s="3" t="s">
        <v>7161</v>
      </c>
      <c r="J852" s="3" t="s">
        <v>7148</v>
      </c>
      <c r="K852" s="3" t="s">
        <v>7149</v>
      </c>
      <c r="L852" s="19">
        <v>10.0</v>
      </c>
      <c r="M852" s="3" t="s">
        <v>7930</v>
      </c>
      <c r="N852" s="3" t="s">
        <v>7931</v>
      </c>
      <c r="O852" s="3" t="s">
        <v>7932</v>
      </c>
      <c r="P852" s="19">
        <v>6.0</v>
      </c>
      <c r="Q852" s="19">
        <v>0.0</v>
      </c>
      <c r="R852" s="19">
        <v>1.0</v>
      </c>
      <c r="S852" s="19">
        <v>3.0</v>
      </c>
      <c r="T852" s="3" t="s">
        <v>160</v>
      </c>
      <c r="U852" s="3" t="s">
        <v>440</v>
      </c>
    </row>
    <row r="853">
      <c r="A853" s="3" t="s">
        <v>7980</v>
      </c>
      <c r="B853" s="3" t="s">
        <v>7221</v>
      </c>
      <c r="C853" s="29">
        <v>46374.41666666667</v>
      </c>
      <c r="D853" s="29">
        <v>46374.4375</v>
      </c>
      <c r="E853" s="30">
        <v>0.5</v>
      </c>
      <c r="G853" s="2"/>
      <c r="H853" s="3" t="s">
        <v>7146</v>
      </c>
      <c r="I853" s="3" t="s">
        <v>7161</v>
      </c>
      <c r="J853" s="3" t="s">
        <v>7156</v>
      </c>
      <c r="K853" s="3" t="s">
        <v>7149</v>
      </c>
      <c r="L853" s="19">
        <v>4.0</v>
      </c>
      <c r="M853" s="3" t="s">
        <v>7935</v>
      </c>
      <c r="N853" s="3" t="s">
        <v>7935</v>
      </c>
      <c r="O853" s="3" t="s">
        <v>7453</v>
      </c>
      <c r="P853" s="19">
        <v>3.0</v>
      </c>
      <c r="Q853" s="19">
        <v>0.0</v>
      </c>
      <c r="R853" s="19">
        <v>0.0</v>
      </c>
      <c r="S853" s="19">
        <v>1.0</v>
      </c>
      <c r="T853" s="3" t="s">
        <v>6608</v>
      </c>
      <c r="U853" s="3" t="s">
        <v>294</v>
      </c>
    </row>
    <row r="854">
      <c r="A854" s="3" t="s">
        <v>7679</v>
      </c>
      <c r="B854" s="3" t="s">
        <v>7546</v>
      </c>
      <c r="C854" s="29">
        <v>46374.47916666667</v>
      </c>
      <c r="D854" s="29">
        <v>46374.52083333333</v>
      </c>
      <c r="E854" s="30">
        <v>1.0</v>
      </c>
      <c r="F854" s="2"/>
      <c r="G854" s="2"/>
      <c r="H854" s="3" t="s">
        <v>7146</v>
      </c>
      <c r="I854" s="3" t="s">
        <v>7338</v>
      </c>
      <c r="J854" s="3" t="s">
        <v>7288</v>
      </c>
      <c r="K854" s="3" t="s">
        <v>7149</v>
      </c>
      <c r="L854" s="19">
        <v>1.0</v>
      </c>
      <c r="M854" s="3" t="s">
        <v>7680</v>
      </c>
      <c r="N854" s="3" t="s">
        <v>7680</v>
      </c>
      <c r="O854" s="3" t="s">
        <v>7161</v>
      </c>
      <c r="P854" s="19">
        <v>1.0</v>
      </c>
      <c r="Q854" s="19">
        <v>0.0</v>
      </c>
      <c r="R854" s="19">
        <v>0.0</v>
      </c>
      <c r="S854" s="19">
        <v>0.0</v>
      </c>
      <c r="T854" s="3" t="s">
        <v>119</v>
      </c>
      <c r="U854" s="3" t="s">
        <v>251</v>
      </c>
    </row>
    <row r="855">
      <c r="A855" s="3" t="s">
        <v>7960</v>
      </c>
      <c r="B855" s="3" t="s">
        <v>7961</v>
      </c>
      <c r="C855" s="29">
        <v>46377.54166666667</v>
      </c>
      <c r="D855" s="29">
        <v>46377.5625</v>
      </c>
      <c r="E855" s="30">
        <v>0.5</v>
      </c>
      <c r="F855" s="2"/>
      <c r="G855" s="3" t="s">
        <v>7962</v>
      </c>
      <c r="H855" s="3" t="s">
        <v>7146</v>
      </c>
      <c r="I855" s="3" t="s">
        <v>7338</v>
      </c>
      <c r="J855" s="3" t="s">
        <v>7288</v>
      </c>
      <c r="K855" s="3" t="s">
        <v>7149</v>
      </c>
      <c r="L855" s="19">
        <v>3.0</v>
      </c>
      <c r="M855" s="3" t="s">
        <v>7788</v>
      </c>
      <c r="N855" s="3" t="s">
        <v>7788</v>
      </c>
      <c r="O855" s="3" t="s">
        <v>7326</v>
      </c>
      <c r="P855" s="19">
        <v>1.0</v>
      </c>
      <c r="Q855" s="19">
        <v>0.0</v>
      </c>
      <c r="R855" s="19">
        <v>0.0</v>
      </c>
      <c r="S855" s="19">
        <v>2.0</v>
      </c>
      <c r="T855" s="3" t="s">
        <v>131</v>
      </c>
      <c r="U855" s="3" t="s">
        <v>132</v>
      </c>
    </row>
    <row r="856">
      <c r="A856" s="3" t="s">
        <v>7963</v>
      </c>
      <c r="B856" s="3" t="s">
        <v>7234</v>
      </c>
      <c r="C856" s="29">
        <v>46377.58333333333</v>
      </c>
      <c r="D856" s="29">
        <v>46377.60416666667</v>
      </c>
      <c r="E856" s="30">
        <v>0.5</v>
      </c>
      <c r="G856" s="2"/>
      <c r="H856" s="3" t="s">
        <v>7146</v>
      </c>
      <c r="I856" s="3" t="s">
        <v>7147</v>
      </c>
      <c r="J856" s="3" t="s">
        <v>7156</v>
      </c>
      <c r="K856" s="3" t="s">
        <v>7149</v>
      </c>
      <c r="L856" s="19">
        <v>4.0</v>
      </c>
      <c r="M856" s="3" t="s">
        <v>7235</v>
      </c>
      <c r="N856" s="3" t="s">
        <v>7235</v>
      </c>
      <c r="O856" s="3" t="s">
        <v>7964</v>
      </c>
      <c r="P856" s="19">
        <v>0.0</v>
      </c>
      <c r="Q856" s="19">
        <v>1.0</v>
      </c>
      <c r="R856" s="19">
        <v>0.0</v>
      </c>
      <c r="S856" s="19">
        <v>3.0</v>
      </c>
      <c r="T856" s="3" t="s">
        <v>166</v>
      </c>
      <c r="U856" s="3" t="s">
        <v>167</v>
      </c>
    </row>
    <row r="857">
      <c r="A857" s="3" t="s">
        <v>7896</v>
      </c>
      <c r="B857" s="3" t="s">
        <v>7463</v>
      </c>
      <c r="C857" s="29">
        <v>46377.60416666667</v>
      </c>
      <c r="D857" s="29">
        <v>46377.625</v>
      </c>
      <c r="E857" s="30">
        <v>0.5</v>
      </c>
      <c r="G857" s="3" t="s">
        <v>7541</v>
      </c>
      <c r="H857" s="3" t="s">
        <v>7146</v>
      </c>
      <c r="I857" s="3" t="s">
        <v>7338</v>
      </c>
      <c r="J857" s="3" t="s">
        <v>7288</v>
      </c>
      <c r="K857" s="3" t="s">
        <v>7149</v>
      </c>
      <c r="L857" s="19">
        <v>1.0</v>
      </c>
      <c r="M857" s="3" t="s">
        <v>7897</v>
      </c>
      <c r="N857" s="3" t="s">
        <v>7897</v>
      </c>
      <c r="O857" s="3" t="s">
        <v>7161</v>
      </c>
      <c r="P857" s="19">
        <v>1.0</v>
      </c>
      <c r="Q857" s="19">
        <v>0.0</v>
      </c>
      <c r="R857" s="19">
        <v>0.0</v>
      </c>
      <c r="S857" s="19">
        <v>0.0</v>
      </c>
      <c r="T857" s="3" t="s">
        <v>101</v>
      </c>
      <c r="U857" s="3" t="s">
        <v>511</v>
      </c>
    </row>
    <row r="858">
      <c r="A858" s="3" t="s">
        <v>7904</v>
      </c>
      <c r="B858" s="3" t="s">
        <v>7183</v>
      </c>
      <c r="C858" s="29">
        <v>46378.5</v>
      </c>
      <c r="D858" s="29">
        <v>46378.52083333333</v>
      </c>
      <c r="E858" s="30">
        <v>0.5</v>
      </c>
      <c r="G858" s="3" t="s">
        <v>7692</v>
      </c>
      <c r="H858" s="3" t="s">
        <v>7146</v>
      </c>
      <c r="I858" s="3" t="s">
        <v>7161</v>
      </c>
      <c r="J858" s="3" t="s">
        <v>7156</v>
      </c>
      <c r="K858" s="3" t="s">
        <v>7149</v>
      </c>
      <c r="L858" s="19">
        <v>2.0</v>
      </c>
      <c r="M858" s="3" t="s">
        <v>7905</v>
      </c>
      <c r="N858" s="3" t="s">
        <v>7906</v>
      </c>
      <c r="O858" s="3" t="s">
        <v>7944</v>
      </c>
      <c r="P858" s="19">
        <v>1.0</v>
      </c>
      <c r="Q858" s="19">
        <v>0.0</v>
      </c>
      <c r="R858" s="19">
        <v>1.0</v>
      </c>
      <c r="S858" s="19">
        <v>0.0</v>
      </c>
      <c r="T858" s="3" t="s">
        <v>184</v>
      </c>
      <c r="U858" s="3" t="s">
        <v>478</v>
      </c>
    </row>
    <row r="859">
      <c r="A859" s="3" t="s">
        <v>7901</v>
      </c>
      <c r="B859" s="3" t="s">
        <v>7689</v>
      </c>
      <c r="C859" s="29">
        <v>46378.5625</v>
      </c>
      <c r="D859" s="29">
        <v>46378.58333333333</v>
      </c>
      <c r="E859" s="30">
        <v>0.5</v>
      </c>
      <c r="G859" s="2"/>
      <c r="H859" s="3" t="s">
        <v>7146</v>
      </c>
      <c r="I859" s="3" t="s">
        <v>7338</v>
      </c>
      <c r="J859" s="3" t="s">
        <v>7288</v>
      </c>
      <c r="K859" s="3" t="s">
        <v>7149</v>
      </c>
      <c r="L859" s="19">
        <v>1.0</v>
      </c>
      <c r="M859" s="3" t="s">
        <v>7902</v>
      </c>
      <c r="N859" s="3" t="s">
        <v>7902</v>
      </c>
      <c r="O859" s="3" t="s">
        <v>7161</v>
      </c>
      <c r="P859" s="19">
        <v>1.0</v>
      </c>
      <c r="Q859" s="19">
        <v>0.0</v>
      </c>
      <c r="R859" s="19">
        <v>0.0</v>
      </c>
      <c r="S859" s="19">
        <v>0.0</v>
      </c>
      <c r="T859" s="3" t="s">
        <v>142</v>
      </c>
      <c r="U859" s="3" t="s">
        <v>143</v>
      </c>
    </row>
    <row r="860">
      <c r="A860" s="3" t="s">
        <v>7912</v>
      </c>
      <c r="B860" s="3" t="s">
        <v>7696</v>
      </c>
      <c r="C860" s="29">
        <v>46379.41666666667</v>
      </c>
      <c r="D860" s="29">
        <v>46379.4375</v>
      </c>
      <c r="E860" s="30">
        <v>0.5</v>
      </c>
      <c r="G860" s="2"/>
      <c r="H860" s="3" t="s">
        <v>7146</v>
      </c>
      <c r="I860" s="3" t="s">
        <v>7161</v>
      </c>
      <c r="J860" s="3" t="s">
        <v>7274</v>
      </c>
      <c r="K860" s="3" t="s">
        <v>7149</v>
      </c>
      <c r="L860" s="19">
        <v>1.0</v>
      </c>
      <c r="M860" s="3" t="s">
        <v>7288</v>
      </c>
      <c r="N860" s="3" t="s">
        <v>7288</v>
      </c>
      <c r="O860" s="3" t="s">
        <v>7161</v>
      </c>
      <c r="P860" s="19">
        <v>1.0</v>
      </c>
      <c r="Q860" s="19">
        <v>0.0</v>
      </c>
      <c r="R860" s="19">
        <v>0.0</v>
      </c>
      <c r="S860" s="19">
        <v>0.0</v>
      </c>
      <c r="T860" s="2"/>
      <c r="U860" s="2"/>
    </row>
    <row r="861">
      <c r="A861" s="3" t="s">
        <v>7659</v>
      </c>
      <c r="B861" s="3" t="s">
        <v>7420</v>
      </c>
      <c r="C861" s="29">
        <v>46380.47916666667</v>
      </c>
      <c r="D861" s="29">
        <v>46380.5</v>
      </c>
      <c r="E861" s="30">
        <v>0.5</v>
      </c>
      <c r="G861" s="2"/>
      <c r="H861" s="3" t="s">
        <v>7146</v>
      </c>
      <c r="I861" s="3" t="s">
        <v>7161</v>
      </c>
      <c r="J861" s="3" t="s">
        <v>7156</v>
      </c>
      <c r="K861" s="3" t="s">
        <v>7149</v>
      </c>
      <c r="L861" s="19">
        <v>5.0</v>
      </c>
      <c r="M861" s="3" t="s">
        <v>7571</v>
      </c>
      <c r="N861" s="3" t="s">
        <v>7571</v>
      </c>
      <c r="O861" s="3" t="s">
        <v>7970</v>
      </c>
      <c r="P861" s="19">
        <v>3.0</v>
      </c>
      <c r="Q861" s="19">
        <v>1.0</v>
      </c>
      <c r="R861" s="19">
        <v>0.0</v>
      </c>
      <c r="S861" s="19">
        <v>1.0</v>
      </c>
      <c r="T861" s="3" t="s">
        <v>125</v>
      </c>
      <c r="U861" s="3" t="s">
        <v>126</v>
      </c>
    </row>
    <row r="862">
      <c r="A862" s="3" t="s">
        <v>7804</v>
      </c>
      <c r="B862" s="3" t="s">
        <v>7805</v>
      </c>
      <c r="C862" s="29">
        <v>46380.5</v>
      </c>
      <c r="D862" s="29">
        <v>46380.52083333333</v>
      </c>
      <c r="E862" s="30">
        <v>0.5</v>
      </c>
      <c r="G862" s="2"/>
      <c r="H862" s="3" t="s">
        <v>7146</v>
      </c>
      <c r="I862" s="3" t="s">
        <v>7338</v>
      </c>
      <c r="J862" s="3" t="s">
        <v>7288</v>
      </c>
      <c r="K862" s="3" t="s">
        <v>7149</v>
      </c>
      <c r="L862" s="19">
        <v>1.0</v>
      </c>
      <c r="M862" s="3" t="s">
        <v>7806</v>
      </c>
      <c r="N862" s="3" t="s">
        <v>7806</v>
      </c>
      <c r="O862" s="3" t="s">
        <v>7161</v>
      </c>
      <c r="P862" s="19">
        <v>1.0</v>
      </c>
      <c r="Q862" s="19">
        <v>0.0</v>
      </c>
      <c r="R862" s="19">
        <v>0.0</v>
      </c>
      <c r="S862" s="19">
        <v>0.0</v>
      </c>
      <c r="T862" s="3" t="s">
        <v>157</v>
      </c>
      <c r="U862" s="3" t="s">
        <v>158</v>
      </c>
    </row>
    <row r="863">
      <c r="A863" s="3" t="s">
        <v>7825</v>
      </c>
      <c r="B863" s="3" t="s">
        <v>7471</v>
      </c>
      <c r="C863" s="29">
        <v>46381.41666666667</v>
      </c>
      <c r="D863" s="29">
        <v>46381.4375</v>
      </c>
      <c r="E863" s="30">
        <v>0.5</v>
      </c>
      <c r="G863" s="2"/>
      <c r="H863" s="3" t="s">
        <v>7146</v>
      </c>
      <c r="I863" s="3" t="s">
        <v>7161</v>
      </c>
      <c r="J863" s="3" t="s">
        <v>7156</v>
      </c>
      <c r="K863" s="3" t="s">
        <v>7149</v>
      </c>
      <c r="L863" s="19">
        <v>5.0</v>
      </c>
      <c r="M863" s="3" t="s">
        <v>7826</v>
      </c>
      <c r="N863" s="3" t="s">
        <v>7826</v>
      </c>
      <c r="O863" s="3" t="s">
        <v>7974</v>
      </c>
      <c r="P863" s="19">
        <v>2.0</v>
      </c>
      <c r="Q863" s="19">
        <v>0.0</v>
      </c>
      <c r="R863" s="19">
        <v>0.0</v>
      </c>
      <c r="S863" s="19">
        <v>3.0</v>
      </c>
      <c r="T863" s="3" t="s">
        <v>199</v>
      </c>
      <c r="U863" s="3" t="s">
        <v>272</v>
      </c>
    </row>
    <row r="864">
      <c r="A864" s="3" t="s">
        <v>7679</v>
      </c>
      <c r="B864" s="3" t="s">
        <v>7546</v>
      </c>
      <c r="C864" s="29">
        <v>46381.47916666667</v>
      </c>
      <c r="D864" s="29">
        <v>46381.52083333333</v>
      </c>
      <c r="E864" s="30">
        <v>1.0</v>
      </c>
      <c r="G864" s="2"/>
      <c r="H864" s="3" t="s">
        <v>7146</v>
      </c>
      <c r="I864" s="3" t="s">
        <v>7338</v>
      </c>
      <c r="J864" s="3" t="s">
        <v>7288</v>
      </c>
      <c r="K864" s="3" t="s">
        <v>7149</v>
      </c>
      <c r="L864" s="19">
        <v>1.0</v>
      </c>
      <c r="M864" s="3" t="s">
        <v>7680</v>
      </c>
      <c r="N864" s="3" t="s">
        <v>7680</v>
      </c>
      <c r="O864" s="3" t="s">
        <v>7161</v>
      </c>
      <c r="P864" s="19">
        <v>1.0</v>
      </c>
      <c r="Q864" s="19">
        <v>0.0</v>
      </c>
      <c r="R864" s="19">
        <v>0.0</v>
      </c>
      <c r="S864" s="19">
        <v>0.0</v>
      </c>
      <c r="T864" s="3" t="s">
        <v>119</v>
      </c>
      <c r="U864" s="3" t="s">
        <v>251</v>
      </c>
    </row>
    <row r="865">
      <c r="A865" s="3" t="s">
        <v>7942</v>
      </c>
      <c r="B865" s="3" t="s">
        <v>7256</v>
      </c>
      <c r="C865" s="29">
        <v>46384.5625</v>
      </c>
      <c r="D865" s="29">
        <v>46384.58333333333</v>
      </c>
      <c r="E865" s="30">
        <v>0.5</v>
      </c>
      <c r="G865" s="2"/>
      <c r="H865" s="3" t="s">
        <v>7146</v>
      </c>
      <c r="I865" s="3" t="s">
        <v>7161</v>
      </c>
      <c r="J865" s="3" t="s">
        <v>7156</v>
      </c>
      <c r="K865" s="3" t="s">
        <v>7149</v>
      </c>
      <c r="L865" s="19">
        <v>3.0</v>
      </c>
      <c r="M865" s="3" t="s">
        <v>7943</v>
      </c>
      <c r="N865" s="3" t="s">
        <v>7943</v>
      </c>
      <c r="O865" s="3" t="s">
        <v>7258</v>
      </c>
      <c r="P865" s="19">
        <v>2.0</v>
      </c>
      <c r="Q865" s="19">
        <v>0.0</v>
      </c>
      <c r="R865" s="19">
        <v>0.0</v>
      </c>
      <c r="S865" s="19">
        <v>1.0</v>
      </c>
      <c r="T865" s="3" t="s">
        <v>202</v>
      </c>
      <c r="U865" s="3" t="s">
        <v>203</v>
      </c>
    </row>
    <row r="866">
      <c r="A866" s="3" t="s">
        <v>7896</v>
      </c>
      <c r="B866" s="3" t="s">
        <v>7463</v>
      </c>
      <c r="C866" s="29">
        <v>46384.60416666667</v>
      </c>
      <c r="D866" s="29">
        <v>46384.625</v>
      </c>
      <c r="E866" s="30">
        <v>0.5</v>
      </c>
      <c r="G866" s="3" t="s">
        <v>7541</v>
      </c>
      <c r="H866" s="3" t="s">
        <v>7146</v>
      </c>
      <c r="I866" s="3" t="s">
        <v>7338</v>
      </c>
      <c r="J866" s="3" t="s">
        <v>7288</v>
      </c>
      <c r="K866" s="3" t="s">
        <v>7149</v>
      </c>
      <c r="L866" s="19">
        <v>1.0</v>
      </c>
      <c r="M866" s="3" t="s">
        <v>7897</v>
      </c>
      <c r="N866" s="3" t="s">
        <v>7897</v>
      </c>
      <c r="O866" s="3" t="s">
        <v>7161</v>
      </c>
      <c r="P866" s="19">
        <v>1.0</v>
      </c>
      <c r="Q866" s="19">
        <v>0.0</v>
      </c>
      <c r="R866" s="19">
        <v>0.0</v>
      </c>
      <c r="S866" s="19">
        <v>0.0</v>
      </c>
      <c r="T866" s="3" t="s">
        <v>101</v>
      </c>
      <c r="U866" s="3" t="s">
        <v>511</v>
      </c>
    </row>
    <row r="867">
      <c r="A867" s="3" t="s">
        <v>7904</v>
      </c>
      <c r="B867" s="3" t="s">
        <v>7183</v>
      </c>
      <c r="C867" s="29">
        <v>46385.5</v>
      </c>
      <c r="D867" s="29">
        <v>46385.52083333333</v>
      </c>
      <c r="E867" s="30">
        <v>0.5</v>
      </c>
      <c r="G867" s="3" t="s">
        <v>7692</v>
      </c>
      <c r="H867" s="3" t="s">
        <v>7146</v>
      </c>
      <c r="I867" s="3" t="s">
        <v>7161</v>
      </c>
      <c r="J867" s="3" t="s">
        <v>7156</v>
      </c>
      <c r="K867" s="3" t="s">
        <v>7149</v>
      </c>
      <c r="L867" s="19">
        <v>2.0</v>
      </c>
      <c r="M867" s="3" t="s">
        <v>7905</v>
      </c>
      <c r="N867" s="3" t="s">
        <v>7906</v>
      </c>
      <c r="O867" s="3" t="s">
        <v>7944</v>
      </c>
      <c r="P867" s="19">
        <v>1.0</v>
      </c>
      <c r="Q867" s="19">
        <v>0.0</v>
      </c>
      <c r="R867" s="19">
        <v>1.0</v>
      </c>
      <c r="S867" s="19">
        <v>0.0</v>
      </c>
      <c r="T867" s="3" t="s">
        <v>184</v>
      </c>
      <c r="U867" s="3" t="s">
        <v>478</v>
      </c>
    </row>
    <row r="868">
      <c r="A868" s="3" t="s">
        <v>7912</v>
      </c>
      <c r="B868" s="3" t="s">
        <v>7696</v>
      </c>
      <c r="C868" s="29">
        <v>46386.41666666667</v>
      </c>
      <c r="D868" s="29">
        <v>46386.4375</v>
      </c>
      <c r="E868" s="30">
        <v>0.5</v>
      </c>
      <c r="G868" s="2"/>
      <c r="H868" s="3" t="s">
        <v>7146</v>
      </c>
      <c r="I868" s="3" t="s">
        <v>7161</v>
      </c>
      <c r="J868" s="3" t="s">
        <v>7274</v>
      </c>
      <c r="K868" s="3" t="s">
        <v>7149</v>
      </c>
      <c r="L868" s="19">
        <v>1.0</v>
      </c>
      <c r="M868" s="3" t="s">
        <v>7288</v>
      </c>
      <c r="N868" s="3" t="s">
        <v>7288</v>
      </c>
      <c r="O868" s="3" t="s">
        <v>7161</v>
      </c>
      <c r="P868" s="19">
        <v>1.0</v>
      </c>
      <c r="Q868" s="19">
        <v>0.0</v>
      </c>
      <c r="R868" s="19">
        <v>0.0</v>
      </c>
      <c r="S868" s="19">
        <v>0.0</v>
      </c>
      <c r="T868" s="2"/>
      <c r="U868" s="2"/>
    </row>
    <row r="869">
      <c r="A869" s="3" t="s">
        <v>7979</v>
      </c>
      <c r="B869" s="3" t="s">
        <v>7249</v>
      </c>
      <c r="C869" s="29">
        <v>46386.54166666667</v>
      </c>
      <c r="D869" s="29">
        <v>46386.5625</v>
      </c>
      <c r="E869" s="30">
        <v>0.5</v>
      </c>
      <c r="G869" s="2"/>
      <c r="H869" s="3" t="s">
        <v>7146</v>
      </c>
      <c r="I869" s="3" t="s">
        <v>7161</v>
      </c>
      <c r="J869" s="3" t="s">
        <v>7156</v>
      </c>
      <c r="K869" s="3" t="s">
        <v>7149</v>
      </c>
      <c r="L869" s="19">
        <v>2.0</v>
      </c>
      <c r="M869" s="3" t="s">
        <v>7921</v>
      </c>
      <c r="N869" s="3" t="s">
        <v>7921</v>
      </c>
      <c r="O869" s="3" t="s">
        <v>7218</v>
      </c>
      <c r="P869" s="19">
        <v>2.0</v>
      </c>
      <c r="Q869" s="19">
        <v>0.0</v>
      </c>
      <c r="R869" s="19">
        <v>0.0</v>
      </c>
      <c r="S869" s="19">
        <v>0.0</v>
      </c>
      <c r="T869" s="3" t="s">
        <v>187</v>
      </c>
      <c r="U869" s="3" t="s">
        <v>188</v>
      </c>
    </row>
    <row r="870">
      <c r="A870" s="3" t="s">
        <v>7948</v>
      </c>
      <c r="B870" s="3" t="s">
        <v>7949</v>
      </c>
      <c r="C870" s="29">
        <v>46387.35416666667</v>
      </c>
      <c r="D870" s="29">
        <v>46387.375</v>
      </c>
      <c r="E870" s="30">
        <v>0.5</v>
      </c>
      <c r="G870" s="2"/>
      <c r="H870" s="3" t="s">
        <v>7146</v>
      </c>
      <c r="I870" s="3" t="s">
        <v>7338</v>
      </c>
      <c r="J870" s="3" t="s">
        <v>7288</v>
      </c>
      <c r="K870" s="3" t="s">
        <v>7149</v>
      </c>
      <c r="L870" s="19">
        <v>3.0</v>
      </c>
      <c r="M870" s="3" t="s">
        <v>7950</v>
      </c>
      <c r="N870" s="3" t="s">
        <v>7950</v>
      </c>
      <c r="O870" s="3" t="s">
        <v>7622</v>
      </c>
      <c r="P870" s="19">
        <v>0.0</v>
      </c>
      <c r="Q870" s="19">
        <v>0.0</v>
      </c>
      <c r="R870" s="19">
        <v>0.0</v>
      </c>
      <c r="S870" s="19">
        <v>3.0</v>
      </c>
      <c r="T870" s="3" t="s">
        <v>193</v>
      </c>
      <c r="U870" s="3" t="s">
        <v>544</v>
      </c>
    </row>
    <row r="871">
      <c r="A871" s="3" t="s">
        <v>7951</v>
      </c>
      <c r="B871" s="3" t="s">
        <v>7160</v>
      </c>
      <c r="C871" s="29">
        <v>46387.4375</v>
      </c>
      <c r="D871" s="29">
        <v>46387.45833333333</v>
      </c>
      <c r="E871" s="30">
        <v>0.5</v>
      </c>
      <c r="G871" s="2"/>
      <c r="H871" s="3" t="s">
        <v>7146</v>
      </c>
      <c r="I871" s="3" t="s">
        <v>7161</v>
      </c>
      <c r="J871" s="3" t="s">
        <v>7156</v>
      </c>
      <c r="K871" s="3" t="s">
        <v>7149</v>
      </c>
      <c r="L871" s="19">
        <v>2.0</v>
      </c>
      <c r="M871" s="3" t="s">
        <v>7952</v>
      </c>
      <c r="N871" s="3" t="s">
        <v>7953</v>
      </c>
      <c r="O871" s="3" t="s">
        <v>7218</v>
      </c>
      <c r="P871" s="19">
        <v>2.0</v>
      </c>
      <c r="Q871" s="19">
        <v>0.0</v>
      </c>
      <c r="R871" s="19">
        <v>0.0</v>
      </c>
      <c r="S871" s="19">
        <v>0.0</v>
      </c>
      <c r="T871" s="3" t="s">
        <v>154</v>
      </c>
      <c r="U871" s="3" t="s">
        <v>329</v>
      </c>
    </row>
    <row r="872">
      <c r="A872" s="3" t="s">
        <v>7954</v>
      </c>
      <c r="B872" s="3" t="s">
        <v>7163</v>
      </c>
      <c r="C872" s="29">
        <v>46387.58333333333</v>
      </c>
      <c r="D872" s="29">
        <v>46387.60416666667</v>
      </c>
      <c r="E872" s="30">
        <v>0.5</v>
      </c>
      <c r="G872" s="2"/>
      <c r="H872" s="3" t="s">
        <v>7146</v>
      </c>
      <c r="I872" s="3" t="s">
        <v>7161</v>
      </c>
      <c r="J872" s="3" t="s">
        <v>7156</v>
      </c>
      <c r="K872" s="3" t="s">
        <v>7149</v>
      </c>
      <c r="L872" s="19">
        <v>5.0</v>
      </c>
      <c r="M872" s="3" t="s">
        <v>7955</v>
      </c>
      <c r="N872" s="3" t="s">
        <v>7955</v>
      </c>
      <c r="O872" s="3" t="s">
        <v>7956</v>
      </c>
      <c r="P872" s="19">
        <v>0.0</v>
      </c>
      <c r="Q872" s="19">
        <v>3.0</v>
      </c>
      <c r="R872" s="19">
        <v>0.0</v>
      </c>
      <c r="S872" s="19">
        <v>2.0</v>
      </c>
      <c r="T872" s="3" t="s">
        <v>151</v>
      </c>
      <c r="U872" s="3" t="s">
        <v>370</v>
      </c>
    </row>
    <row r="873">
      <c r="A873" s="3" t="s">
        <v>7957</v>
      </c>
      <c r="B873" s="3" t="s">
        <v>7712</v>
      </c>
      <c r="C873" s="29">
        <v>46387.64583333333</v>
      </c>
      <c r="D873" s="29">
        <v>46387.66666666667</v>
      </c>
      <c r="E873" s="30">
        <v>0.5</v>
      </c>
      <c r="G873" s="3" t="s">
        <v>7713</v>
      </c>
      <c r="H873" s="3" t="s">
        <v>7146</v>
      </c>
      <c r="I873" s="3" t="s">
        <v>7338</v>
      </c>
      <c r="J873" s="3" t="s">
        <v>7288</v>
      </c>
      <c r="K873" s="3" t="s">
        <v>7149</v>
      </c>
      <c r="L873" s="19">
        <v>5.0</v>
      </c>
      <c r="M873" s="3" t="s">
        <v>7958</v>
      </c>
      <c r="N873" s="3" t="s">
        <v>7958</v>
      </c>
      <c r="O873" s="3" t="s">
        <v>7959</v>
      </c>
      <c r="P873" s="19">
        <v>2.0</v>
      </c>
      <c r="Q873" s="19">
        <v>1.0</v>
      </c>
      <c r="R873" s="19">
        <v>1.0</v>
      </c>
      <c r="S873" s="19">
        <v>1.0</v>
      </c>
      <c r="T873" s="3" t="s">
        <v>122</v>
      </c>
      <c r="U873" s="3" t="s">
        <v>123</v>
      </c>
    </row>
    <row r="874">
      <c r="A874" s="3" t="s">
        <v>7971</v>
      </c>
      <c r="B874" s="3" t="s">
        <v>7178</v>
      </c>
      <c r="C874" s="29">
        <v>46388.39583333333</v>
      </c>
      <c r="D874" s="29">
        <v>46388.41666666667</v>
      </c>
      <c r="E874" s="30">
        <v>0.5</v>
      </c>
      <c r="G874" s="25" t="s">
        <v>7972</v>
      </c>
      <c r="H874" s="3" t="s">
        <v>7146</v>
      </c>
      <c r="I874" s="3" t="s">
        <v>7161</v>
      </c>
      <c r="J874" s="3" t="s">
        <v>7156</v>
      </c>
      <c r="K874" s="3" t="s">
        <v>7149</v>
      </c>
      <c r="L874" s="19">
        <v>3.0</v>
      </c>
      <c r="M874" s="3" t="s">
        <v>7973</v>
      </c>
      <c r="N874" s="3" t="s">
        <v>7973</v>
      </c>
      <c r="O874" s="3" t="s">
        <v>7231</v>
      </c>
      <c r="P874" s="19">
        <v>2.0</v>
      </c>
      <c r="Q874" s="19">
        <v>1.0</v>
      </c>
      <c r="R874" s="19">
        <v>0.0</v>
      </c>
      <c r="S874" s="19">
        <v>0.0</v>
      </c>
      <c r="T874" s="3" t="s">
        <v>169</v>
      </c>
      <c r="U874" s="3" t="s">
        <v>170</v>
      </c>
    </row>
    <row r="875">
      <c r="A875" s="3" t="s">
        <v>7679</v>
      </c>
      <c r="B875" s="3" t="s">
        <v>7546</v>
      </c>
      <c r="C875" s="29">
        <v>46388.47916666667</v>
      </c>
      <c r="D875" s="29">
        <v>46388.52083333333</v>
      </c>
      <c r="E875" s="30">
        <v>1.0</v>
      </c>
      <c r="G875" s="2"/>
      <c r="H875" s="3" t="s">
        <v>7146</v>
      </c>
      <c r="I875" s="3" t="s">
        <v>7338</v>
      </c>
      <c r="J875" s="3" t="s">
        <v>7288</v>
      </c>
      <c r="K875" s="3" t="s">
        <v>7149</v>
      </c>
      <c r="L875" s="19">
        <v>1.0</v>
      </c>
      <c r="M875" s="3" t="s">
        <v>7680</v>
      </c>
      <c r="N875" s="3" t="s">
        <v>7680</v>
      </c>
      <c r="O875" s="3" t="s">
        <v>7161</v>
      </c>
      <c r="P875" s="19">
        <v>1.0</v>
      </c>
      <c r="Q875" s="19">
        <v>0.0</v>
      </c>
      <c r="R875" s="19">
        <v>0.0</v>
      </c>
      <c r="S875" s="19">
        <v>0.0</v>
      </c>
      <c r="T875" s="3" t="s">
        <v>119</v>
      </c>
      <c r="U875" s="3" t="s">
        <v>251</v>
      </c>
    </row>
    <row r="876">
      <c r="A876" s="3" t="s">
        <v>7975</v>
      </c>
      <c r="B876" s="3" t="s">
        <v>7167</v>
      </c>
      <c r="C876" s="29">
        <v>46388.54166666667</v>
      </c>
      <c r="D876" s="29">
        <v>46388.5625</v>
      </c>
      <c r="E876" s="30">
        <v>0.5</v>
      </c>
      <c r="G876" s="2"/>
      <c r="H876" s="3" t="s">
        <v>7146</v>
      </c>
      <c r="I876" s="3" t="s">
        <v>7338</v>
      </c>
      <c r="J876" s="3" t="s">
        <v>7288</v>
      </c>
      <c r="K876" s="3" t="s">
        <v>7149</v>
      </c>
      <c r="L876" s="19">
        <v>4.0</v>
      </c>
      <c r="M876" s="3" t="s">
        <v>7169</v>
      </c>
      <c r="N876" s="3" t="s">
        <v>7170</v>
      </c>
      <c r="O876" s="3" t="s">
        <v>7268</v>
      </c>
      <c r="P876" s="19">
        <v>1.0</v>
      </c>
      <c r="Q876" s="19">
        <v>0.0</v>
      </c>
      <c r="R876" s="19">
        <v>0.0</v>
      </c>
      <c r="S876" s="19">
        <v>3.0</v>
      </c>
      <c r="T876" s="3" t="s">
        <v>205</v>
      </c>
      <c r="U876" s="3" t="s">
        <v>206</v>
      </c>
    </row>
    <row r="877">
      <c r="A877" s="3" t="s">
        <v>7960</v>
      </c>
      <c r="B877" s="3" t="s">
        <v>7961</v>
      </c>
      <c r="C877" s="29">
        <v>46391.54166666667</v>
      </c>
      <c r="D877" s="29">
        <v>46391.5625</v>
      </c>
      <c r="E877" s="30">
        <v>0.5</v>
      </c>
      <c r="F877" s="2"/>
      <c r="G877" s="3" t="s">
        <v>7962</v>
      </c>
      <c r="H877" s="3" t="s">
        <v>7146</v>
      </c>
      <c r="I877" s="3" t="s">
        <v>7338</v>
      </c>
      <c r="J877" s="3" t="s">
        <v>7288</v>
      </c>
      <c r="K877" s="3" t="s">
        <v>7149</v>
      </c>
      <c r="L877" s="19">
        <v>3.0</v>
      </c>
      <c r="M877" s="3" t="s">
        <v>7788</v>
      </c>
      <c r="N877" s="3" t="s">
        <v>7788</v>
      </c>
      <c r="O877" s="3" t="s">
        <v>7326</v>
      </c>
      <c r="P877" s="19">
        <v>1.0</v>
      </c>
      <c r="Q877" s="19">
        <v>0.0</v>
      </c>
      <c r="R877" s="19">
        <v>0.0</v>
      </c>
      <c r="S877" s="19">
        <v>2.0</v>
      </c>
      <c r="T877" s="3" t="s">
        <v>131</v>
      </c>
      <c r="U877" s="3" t="s">
        <v>132</v>
      </c>
    </row>
    <row r="878">
      <c r="A878" s="3" t="s">
        <v>7963</v>
      </c>
      <c r="B878" s="3" t="s">
        <v>7234</v>
      </c>
      <c r="C878" s="29">
        <v>46391.58333333333</v>
      </c>
      <c r="D878" s="29">
        <v>46391.60416666667</v>
      </c>
      <c r="E878" s="30">
        <v>0.5</v>
      </c>
      <c r="F878" s="2"/>
      <c r="G878" s="2"/>
      <c r="H878" s="3" t="s">
        <v>7146</v>
      </c>
      <c r="I878" s="3" t="s">
        <v>7147</v>
      </c>
      <c r="J878" s="3" t="s">
        <v>7156</v>
      </c>
      <c r="K878" s="3" t="s">
        <v>7149</v>
      </c>
      <c r="L878" s="19">
        <v>4.0</v>
      </c>
      <c r="M878" s="3" t="s">
        <v>7235</v>
      </c>
      <c r="N878" s="3" t="s">
        <v>7235</v>
      </c>
      <c r="O878" s="3" t="s">
        <v>7964</v>
      </c>
      <c r="P878" s="19">
        <v>0.0</v>
      </c>
      <c r="Q878" s="19">
        <v>1.0</v>
      </c>
      <c r="R878" s="19">
        <v>0.0</v>
      </c>
      <c r="S878" s="19">
        <v>3.0</v>
      </c>
      <c r="T878" s="3" t="s">
        <v>166</v>
      </c>
      <c r="U878" s="3" t="s">
        <v>167</v>
      </c>
    </row>
    <row r="879">
      <c r="A879" s="3" t="s">
        <v>7896</v>
      </c>
      <c r="B879" s="3" t="s">
        <v>7463</v>
      </c>
      <c r="C879" s="29">
        <v>46391.60416666667</v>
      </c>
      <c r="D879" s="29">
        <v>46391.625</v>
      </c>
      <c r="E879" s="30">
        <v>0.5</v>
      </c>
      <c r="G879" s="3" t="s">
        <v>7541</v>
      </c>
      <c r="H879" s="3" t="s">
        <v>7146</v>
      </c>
      <c r="I879" s="3" t="s">
        <v>7338</v>
      </c>
      <c r="J879" s="3" t="s">
        <v>7288</v>
      </c>
      <c r="K879" s="3" t="s">
        <v>7149</v>
      </c>
      <c r="L879" s="19">
        <v>1.0</v>
      </c>
      <c r="M879" s="3" t="s">
        <v>7897</v>
      </c>
      <c r="N879" s="3" t="s">
        <v>7897</v>
      </c>
      <c r="O879" s="3" t="s">
        <v>7161</v>
      </c>
      <c r="P879" s="19">
        <v>1.0</v>
      </c>
      <c r="Q879" s="19">
        <v>0.0</v>
      </c>
      <c r="R879" s="19">
        <v>0.0</v>
      </c>
      <c r="S879" s="19">
        <v>0.0</v>
      </c>
      <c r="T879" s="3" t="s">
        <v>101</v>
      </c>
      <c r="U879" s="3" t="s">
        <v>511</v>
      </c>
    </row>
    <row r="880">
      <c r="A880" s="3" t="s">
        <v>7904</v>
      </c>
      <c r="B880" s="3" t="s">
        <v>7183</v>
      </c>
      <c r="C880" s="29">
        <v>46392.5</v>
      </c>
      <c r="D880" s="29">
        <v>46392.52083333333</v>
      </c>
      <c r="E880" s="30">
        <v>0.5</v>
      </c>
      <c r="G880" s="3" t="s">
        <v>7692</v>
      </c>
      <c r="H880" s="3" t="s">
        <v>7146</v>
      </c>
      <c r="I880" s="3" t="s">
        <v>7161</v>
      </c>
      <c r="J880" s="3" t="s">
        <v>7156</v>
      </c>
      <c r="K880" s="3" t="s">
        <v>7149</v>
      </c>
      <c r="L880" s="19">
        <v>2.0</v>
      </c>
      <c r="M880" s="3" t="s">
        <v>7905</v>
      </c>
      <c r="N880" s="3" t="s">
        <v>7906</v>
      </c>
      <c r="O880" s="3" t="s">
        <v>7944</v>
      </c>
      <c r="P880" s="19">
        <v>1.0</v>
      </c>
      <c r="Q880" s="19">
        <v>0.0</v>
      </c>
      <c r="R880" s="19">
        <v>1.0</v>
      </c>
      <c r="S880" s="19">
        <v>0.0</v>
      </c>
      <c r="T880" s="3" t="s">
        <v>184</v>
      </c>
      <c r="U880" s="3" t="s">
        <v>478</v>
      </c>
    </row>
    <row r="881">
      <c r="A881" s="3" t="s">
        <v>7748</v>
      </c>
      <c r="B881" s="3" t="s">
        <v>7211</v>
      </c>
      <c r="C881" s="29">
        <v>46392.54166666667</v>
      </c>
      <c r="D881" s="29">
        <v>46392.5625</v>
      </c>
      <c r="E881" s="30">
        <v>0.5</v>
      </c>
      <c r="G881" s="3" t="s">
        <v>7212</v>
      </c>
      <c r="H881" s="3" t="s">
        <v>7146</v>
      </c>
      <c r="I881" s="3" t="s">
        <v>7161</v>
      </c>
      <c r="J881" s="3" t="s">
        <v>7156</v>
      </c>
      <c r="K881" s="3" t="s">
        <v>7149</v>
      </c>
      <c r="L881" s="19">
        <v>4.0</v>
      </c>
      <c r="M881" s="3" t="s">
        <v>7213</v>
      </c>
      <c r="N881" s="3" t="s">
        <v>7213</v>
      </c>
      <c r="O881" s="3" t="s">
        <v>7965</v>
      </c>
      <c r="P881" s="19">
        <v>2.0</v>
      </c>
      <c r="Q881" s="19">
        <v>1.0</v>
      </c>
      <c r="R881" s="19">
        <v>0.0</v>
      </c>
      <c r="S881" s="19">
        <v>1.0</v>
      </c>
      <c r="T881" s="3" t="s">
        <v>175</v>
      </c>
      <c r="U881" s="3" t="s">
        <v>422</v>
      </c>
    </row>
    <row r="882">
      <c r="A882" s="3" t="s">
        <v>7901</v>
      </c>
      <c r="B882" s="3" t="s">
        <v>7689</v>
      </c>
      <c r="C882" s="29">
        <v>46392.5625</v>
      </c>
      <c r="D882" s="29">
        <v>46392.58333333333</v>
      </c>
      <c r="E882" s="30">
        <v>0.5</v>
      </c>
      <c r="F882" s="2"/>
      <c r="G882" s="2"/>
      <c r="H882" s="3" t="s">
        <v>7146</v>
      </c>
      <c r="I882" s="3" t="s">
        <v>7338</v>
      </c>
      <c r="J882" s="3" t="s">
        <v>7288</v>
      </c>
      <c r="K882" s="3" t="s">
        <v>7149</v>
      </c>
      <c r="L882" s="19">
        <v>1.0</v>
      </c>
      <c r="M882" s="3" t="s">
        <v>7902</v>
      </c>
      <c r="N882" s="3" t="s">
        <v>7902</v>
      </c>
      <c r="O882" s="3" t="s">
        <v>7161</v>
      </c>
      <c r="P882" s="19">
        <v>1.0</v>
      </c>
      <c r="Q882" s="19">
        <v>0.0</v>
      </c>
      <c r="R882" s="19">
        <v>0.0</v>
      </c>
      <c r="S882" s="19">
        <v>0.0</v>
      </c>
      <c r="T882" s="3" t="s">
        <v>142</v>
      </c>
      <c r="U882" s="3" t="s">
        <v>143</v>
      </c>
    </row>
    <row r="883">
      <c r="A883" s="3" t="s">
        <v>7754</v>
      </c>
      <c r="B883" s="3" t="s">
        <v>7755</v>
      </c>
      <c r="C883" s="29">
        <v>46392.58333333333</v>
      </c>
      <c r="D883" s="29">
        <v>46392.60416666667</v>
      </c>
      <c r="E883" s="30">
        <v>0.5</v>
      </c>
      <c r="G883" s="3" t="s">
        <v>7756</v>
      </c>
      <c r="H883" s="3" t="s">
        <v>7146</v>
      </c>
      <c r="I883" s="3" t="s">
        <v>7161</v>
      </c>
      <c r="J883" s="3" t="s">
        <v>7156</v>
      </c>
      <c r="K883" s="3" t="s">
        <v>7149</v>
      </c>
      <c r="L883" s="19">
        <v>7.0</v>
      </c>
      <c r="M883" s="3" t="s">
        <v>7757</v>
      </c>
      <c r="N883" s="3" t="s">
        <v>7758</v>
      </c>
      <c r="O883" s="3" t="s">
        <v>7759</v>
      </c>
      <c r="P883" s="19">
        <v>0.0</v>
      </c>
      <c r="Q883" s="19">
        <v>1.0</v>
      </c>
      <c r="R883" s="19">
        <v>1.0</v>
      </c>
      <c r="S883" s="19">
        <v>5.0</v>
      </c>
      <c r="T883" s="3" t="s">
        <v>110</v>
      </c>
      <c r="U883" s="3" t="s">
        <v>111</v>
      </c>
    </row>
    <row r="884">
      <c r="A884" s="3" t="s">
        <v>7966</v>
      </c>
      <c r="B884" s="3" t="s">
        <v>7967</v>
      </c>
      <c r="C884" s="29">
        <v>46392.64583333333</v>
      </c>
      <c r="D884" s="29">
        <v>46392.66666666667</v>
      </c>
      <c r="E884" s="30">
        <v>0.5</v>
      </c>
      <c r="G884" s="3" t="s">
        <v>7968</v>
      </c>
      <c r="H884" s="3" t="s">
        <v>7146</v>
      </c>
      <c r="I884" s="3" t="s">
        <v>7338</v>
      </c>
      <c r="J884" s="3" t="s">
        <v>7288</v>
      </c>
      <c r="K884" s="3" t="s">
        <v>7149</v>
      </c>
      <c r="L884" s="19">
        <v>4.0</v>
      </c>
      <c r="M884" s="3" t="s">
        <v>7707</v>
      </c>
      <c r="N884" s="3" t="s">
        <v>7707</v>
      </c>
      <c r="O884" s="3" t="s">
        <v>7236</v>
      </c>
      <c r="P884" s="19">
        <v>1.0</v>
      </c>
      <c r="Q884" s="19">
        <v>0.0</v>
      </c>
      <c r="R884" s="19">
        <v>0.0</v>
      </c>
      <c r="S884" s="19">
        <v>3.0</v>
      </c>
      <c r="T884" s="3" t="s">
        <v>6450</v>
      </c>
      <c r="U884" s="3" t="s">
        <v>552</v>
      </c>
    </row>
    <row r="885">
      <c r="A885" s="3" t="s">
        <v>7912</v>
      </c>
      <c r="B885" s="3" t="s">
        <v>7696</v>
      </c>
      <c r="C885" s="29">
        <v>46393.41666666667</v>
      </c>
      <c r="D885" s="29">
        <v>46393.4375</v>
      </c>
      <c r="E885" s="30">
        <v>0.5</v>
      </c>
      <c r="G885" s="2"/>
      <c r="H885" s="3" t="s">
        <v>7146</v>
      </c>
      <c r="I885" s="3" t="s">
        <v>7161</v>
      </c>
      <c r="J885" s="3" t="s">
        <v>7274</v>
      </c>
      <c r="K885" s="3" t="s">
        <v>7149</v>
      </c>
      <c r="L885" s="19">
        <v>1.0</v>
      </c>
      <c r="M885" s="3" t="s">
        <v>7288</v>
      </c>
      <c r="N885" s="3" t="s">
        <v>7288</v>
      </c>
      <c r="O885" s="3" t="s">
        <v>7161</v>
      </c>
      <c r="P885" s="19">
        <v>1.0</v>
      </c>
      <c r="Q885" s="19">
        <v>0.0</v>
      </c>
      <c r="R885" s="19">
        <v>0.0</v>
      </c>
      <c r="S885" s="19">
        <v>0.0</v>
      </c>
      <c r="T885" s="2"/>
      <c r="U885" s="2"/>
    </row>
    <row r="886">
      <c r="A886" s="3" t="s">
        <v>7791</v>
      </c>
      <c r="B886" s="3" t="s">
        <v>7266</v>
      </c>
      <c r="C886" s="29">
        <v>46394.33333333333</v>
      </c>
      <c r="D886" s="29">
        <v>46394.35416666667</v>
      </c>
      <c r="E886" s="30">
        <v>0.5</v>
      </c>
      <c r="G886" s="2"/>
      <c r="H886" s="3" t="s">
        <v>7146</v>
      </c>
      <c r="I886" s="3" t="s">
        <v>7161</v>
      </c>
      <c r="J886" s="3" t="s">
        <v>7156</v>
      </c>
      <c r="K886" s="3" t="s">
        <v>7149</v>
      </c>
      <c r="L886" s="19">
        <v>4.0</v>
      </c>
      <c r="M886" s="3" t="s">
        <v>7267</v>
      </c>
      <c r="N886" s="3" t="s">
        <v>7267</v>
      </c>
      <c r="O886" s="3" t="s">
        <v>7792</v>
      </c>
      <c r="P886" s="19">
        <v>1.0</v>
      </c>
      <c r="Q886" s="19">
        <v>1.0</v>
      </c>
      <c r="R886" s="19">
        <v>0.0</v>
      </c>
      <c r="S886" s="19">
        <v>2.0</v>
      </c>
      <c r="T886" s="3" t="s">
        <v>6752</v>
      </c>
      <c r="U886" s="3" t="s">
        <v>319</v>
      </c>
    </row>
    <row r="887">
      <c r="A887" s="3" t="s">
        <v>7794</v>
      </c>
      <c r="B887" s="3" t="s">
        <v>7795</v>
      </c>
      <c r="C887" s="29">
        <v>46394.39583333333</v>
      </c>
      <c r="D887" s="29">
        <v>46394.41666666667</v>
      </c>
      <c r="E887" s="30">
        <v>0.5</v>
      </c>
      <c r="G887" s="2"/>
      <c r="H887" s="3" t="s">
        <v>7146</v>
      </c>
      <c r="I887" s="3" t="s">
        <v>7161</v>
      </c>
      <c r="J887" s="3" t="s">
        <v>7168</v>
      </c>
      <c r="K887" s="3" t="s">
        <v>7149</v>
      </c>
      <c r="L887" s="19">
        <v>6.0</v>
      </c>
      <c r="M887" s="3" t="s">
        <v>7196</v>
      </c>
      <c r="N887" s="3" t="s">
        <v>7196</v>
      </c>
      <c r="O887" s="3" t="s">
        <v>7197</v>
      </c>
      <c r="P887" s="19">
        <v>4.0</v>
      </c>
      <c r="Q887" s="19">
        <v>0.0</v>
      </c>
      <c r="R887" s="19">
        <v>0.0</v>
      </c>
      <c r="S887" s="19">
        <v>2.0</v>
      </c>
      <c r="T887" s="3" t="s">
        <v>178</v>
      </c>
      <c r="U887" s="3" t="s">
        <v>179</v>
      </c>
    </row>
    <row r="888">
      <c r="A888" s="3" t="s">
        <v>7969</v>
      </c>
      <c r="B888" s="3" t="s">
        <v>7262</v>
      </c>
      <c r="C888" s="29">
        <v>46394.4375</v>
      </c>
      <c r="D888" s="29">
        <v>46394.45833333333</v>
      </c>
      <c r="E888" s="30">
        <v>0.5</v>
      </c>
      <c r="G888" s="2"/>
      <c r="H888" s="3" t="s">
        <v>7146</v>
      </c>
      <c r="I888" s="3" t="s">
        <v>7161</v>
      </c>
      <c r="J888" s="3" t="s">
        <v>7156</v>
      </c>
      <c r="K888" s="3" t="s">
        <v>7149</v>
      </c>
      <c r="L888" s="19">
        <v>2.0</v>
      </c>
      <c r="M888" s="3" t="s">
        <v>7263</v>
      </c>
      <c r="N888" s="3" t="s">
        <v>7263</v>
      </c>
      <c r="O888" s="3" t="s">
        <v>7218</v>
      </c>
      <c r="P888" s="19">
        <v>2.0</v>
      </c>
      <c r="Q888" s="19">
        <v>0.0</v>
      </c>
      <c r="R888" s="19">
        <v>0.0</v>
      </c>
      <c r="S888" s="19">
        <v>0.0</v>
      </c>
      <c r="T888" s="3" t="s">
        <v>128</v>
      </c>
      <c r="U888" s="3" t="s">
        <v>301</v>
      </c>
    </row>
    <row r="889">
      <c r="A889" s="3" t="s">
        <v>7659</v>
      </c>
      <c r="B889" s="3" t="s">
        <v>7420</v>
      </c>
      <c r="C889" s="29">
        <v>46394.47916666667</v>
      </c>
      <c r="D889" s="29">
        <v>46394.5</v>
      </c>
      <c r="E889" s="30">
        <v>0.5</v>
      </c>
      <c r="G889" s="2"/>
      <c r="H889" s="3" t="s">
        <v>7146</v>
      </c>
      <c r="I889" s="3" t="s">
        <v>7161</v>
      </c>
      <c r="J889" s="3" t="s">
        <v>7156</v>
      </c>
      <c r="K889" s="3" t="s">
        <v>7149</v>
      </c>
      <c r="L889" s="19">
        <v>5.0</v>
      </c>
      <c r="M889" s="3" t="s">
        <v>7571</v>
      </c>
      <c r="N889" s="3" t="s">
        <v>7571</v>
      </c>
      <c r="O889" s="3" t="s">
        <v>7970</v>
      </c>
      <c r="P889" s="19">
        <v>3.0</v>
      </c>
      <c r="Q889" s="19">
        <v>1.0</v>
      </c>
      <c r="R889" s="19">
        <v>0.0</v>
      </c>
      <c r="S889" s="19">
        <v>1.0</v>
      </c>
      <c r="T889" s="3" t="s">
        <v>125</v>
      </c>
      <c r="U889" s="3" t="s">
        <v>126</v>
      </c>
    </row>
    <row r="890">
      <c r="A890" s="3" t="s">
        <v>7804</v>
      </c>
      <c r="B890" s="3" t="s">
        <v>7805</v>
      </c>
      <c r="C890" s="29">
        <v>46394.5</v>
      </c>
      <c r="D890" s="29">
        <v>46394.52083333333</v>
      </c>
      <c r="E890" s="30">
        <v>0.5</v>
      </c>
      <c r="F890" s="2"/>
      <c r="G890" s="2"/>
      <c r="H890" s="3" t="s">
        <v>7146</v>
      </c>
      <c r="I890" s="3" t="s">
        <v>7338</v>
      </c>
      <c r="J890" s="3" t="s">
        <v>7288</v>
      </c>
      <c r="K890" s="3" t="s">
        <v>7149</v>
      </c>
      <c r="L890" s="19">
        <v>1.0</v>
      </c>
      <c r="M890" s="3" t="s">
        <v>7806</v>
      </c>
      <c r="N890" s="3" t="s">
        <v>7806</v>
      </c>
      <c r="O890" s="3" t="s">
        <v>7161</v>
      </c>
      <c r="P890" s="19">
        <v>1.0</v>
      </c>
      <c r="Q890" s="19">
        <v>0.0</v>
      </c>
      <c r="R890" s="19">
        <v>0.0</v>
      </c>
      <c r="S890" s="19">
        <v>0.0</v>
      </c>
      <c r="T890" s="3" t="s">
        <v>157</v>
      </c>
      <c r="U890" s="3" t="s">
        <v>158</v>
      </c>
    </row>
    <row r="891">
      <c r="A891" s="3" t="s">
        <v>7812</v>
      </c>
      <c r="B891" s="3" t="s">
        <v>7813</v>
      </c>
      <c r="C891" s="29">
        <v>46394.5625</v>
      </c>
      <c r="D891" s="29">
        <v>46394.58333333333</v>
      </c>
      <c r="E891" s="30">
        <v>0.5</v>
      </c>
      <c r="G891" s="3" t="s">
        <v>7814</v>
      </c>
      <c r="H891" s="3" t="s">
        <v>7146</v>
      </c>
      <c r="I891" s="3" t="s">
        <v>7338</v>
      </c>
      <c r="J891" s="3" t="s">
        <v>7288</v>
      </c>
      <c r="K891" s="3" t="s">
        <v>7149</v>
      </c>
      <c r="L891" s="19">
        <v>3.0</v>
      </c>
      <c r="M891" s="3" t="s">
        <v>7815</v>
      </c>
      <c r="N891" s="3" t="s">
        <v>7815</v>
      </c>
      <c r="O891" s="3" t="s">
        <v>7601</v>
      </c>
      <c r="P891" s="19">
        <v>1.0</v>
      </c>
      <c r="Q891" s="19">
        <v>0.0</v>
      </c>
      <c r="R891" s="19">
        <v>0.0</v>
      </c>
      <c r="S891" s="19">
        <v>2.0</v>
      </c>
      <c r="T891" s="3" t="s">
        <v>190</v>
      </c>
      <c r="U891" s="3" t="s">
        <v>191</v>
      </c>
    </row>
    <row r="892">
      <c r="A892" s="3" t="s">
        <v>7825</v>
      </c>
      <c r="B892" s="3" t="s">
        <v>7471</v>
      </c>
      <c r="C892" s="29">
        <v>46395.41666666667</v>
      </c>
      <c r="D892" s="29">
        <v>46395.4375</v>
      </c>
      <c r="E892" s="30">
        <v>0.5</v>
      </c>
      <c r="G892" s="2"/>
      <c r="H892" s="3" t="s">
        <v>7146</v>
      </c>
      <c r="I892" s="3" t="s">
        <v>7161</v>
      </c>
      <c r="J892" s="3" t="s">
        <v>7156</v>
      </c>
      <c r="K892" s="3" t="s">
        <v>7149</v>
      </c>
      <c r="L892" s="19">
        <v>5.0</v>
      </c>
      <c r="M892" s="3" t="s">
        <v>7826</v>
      </c>
      <c r="N892" s="3" t="s">
        <v>7826</v>
      </c>
      <c r="O892" s="3" t="s">
        <v>7974</v>
      </c>
      <c r="P892" s="19">
        <v>2.0</v>
      </c>
      <c r="Q892" s="19">
        <v>0.0</v>
      </c>
      <c r="R892" s="19">
        <v>0.0</v>
      </c>
      <c r="S892" s="19">
        <v>3.0</v>
      </c>
      <c r="T892" s="3" t="s">
        <v>199</v>
      </c>
      <c r="U892" s="3" t="s">
        <v>272</v>
      </c>
    </row>
    <row r="893">
      <c r="A893" s="3" t="s">
        <v>7679</v>
      </c>
      <c r="B893" s="3" t="s">
        <v>7546</v>
      </c>
      <c r="C893" s="29">
        <v>46395.47916666667</v>
      </c>
      <c r="D893" s="29">
        <v>46395.52083333333</v>
      </c>
      <c r="E893" s="30">
        <v>1.0</v>
      </c>
      <c r="G893" s="2"/>
      <c r="H893" s="3" t="s">
        <v>7146</v>
      </c>
      <c r="I893" s="3" t="s">
        <v>7338</v>
      </c>
      <c r="J893" s="3" t="s">
        <v>7288</v>
      </c>
      <c r="K893" s="3" t="s">
        <v>7149</v>
      </c>
      <c r="L893" s="19">
        <v>1.0</v>
      </c>
      <c r="M893" s="3" t="s">
        <v>7680</v>
      </c>
      <c r="N893" s="3" t="s">
        <v>7680</v>
      </c>
      <c r="O893" s="3" t="s">
        <v>7161</v>
      </c>
      <c r="P893" s="19">
        <v>1.0</v>
      </c>
      <c r="Q893" s="19">
        <v>0.0</v>
      </c>
      <c r="R893" s="19">
        <v>0.0</v>
      </c>
      <c r="S893" s="19">
        <v>0.0</v>
      </c>
      <c r="T893" s="3" t="s">
        <v>119</v>
      </c>
      <c r="U893" s="3" t="s">
        <v>251</v>
      </c>
    </row>
    <row r="894">
      <c r="A894" s="3" t="s">
        <v>7976</v>
      </c>
      <c r="B894" s="3" t="s">
        <v>7977</v>
      </c>
      <c r="C894" s="29">
        <v>46398.58333333333</v>
      </c>
      <c r="D894" s="29">
        <v>46398.60416666667</v>
      </c>
      <c r="E894" s="30">
        <v>0.5</v>
      </c>
      <c r="G894" s="2"/>
      <c r="H894" s="3" t="s">
        <v>7146</v>
      </c>
      <c r="I894" s="3" t="s">
        <v>7338</v>
      </c>
      <c r="J894" s="3" t="s">
        <v>7288</v>
      </c>
      <c r="K894" s="3" t="s">
        <v>7149</v>
      </c>
      <c r="L894" s="19">
        <v>3.0</v>
      </c>
      <c r="M894" s="3" t="s">
        <v>7978</v>
      </c>
      <c r="N894" s="3" t="s">
        <v>7978</v>
      </c>
      <c r="O894" s="3" t="s">
        <v>7326</v>
      </c>
      <c r="P894" s="19">
        <v>1.0</v>
      </c>
      <c r="Q894" s="19">
        <v>0.0</v>
      </c>
      <c r="R894" s="19">
        <v>0.0</v>
      </c>
      <c r="S894" s="19">
        <v>2.0</v>
      </c>
      <c r="T894" s="3" t="s">
        <v>98</v>
      </c>
      <c r="U894" s="3" t="s">
        <v>99</v>
      </c>
    </row>
    <row r="895">
      <c r="A895" s="3" t="s">
        <v>7896</v>
      </c>
      <c r="B895" s="3" t="s">
        <v>7463</v>
      </c>
      <c r="C895" s="29">
        <v>46398.60416666667</v>
      </c>
      <c r="D895" s="29">
        <v>46398.625</v>
      </c>
      <c r="E895" s="30">
        <v>0.5</v>
      </c>
      <c r="F895" s="2"/>
      <c r="G895" s="3" t="s">
        <v>7541</v>
      </c>
      <c r="H895" s="3" t="s">
        <v>7146</v>
      </c>
      <c r="I895" s="3" t="s">
        <v>7338</v>
      </c>
      <c r="J895" s="3" t="s">
        <v>7288</v>
      </c>
      <c r="K895" s="3" t="s">
        <v>7149</v>
      </c>
      <c r="L895" s="19">
        <v>1.0</v>
      </c>
      <c r="M895" s="3" t="s">
        <v>7897</v>
      </c>
      <c r="N895" s="3" t="s">
        <v>7897</v>
      </c>
      <c r="O895" s="3" t="s">
        <v>7161</v>
      </c>
      <c r="P895" s="19">
        <v>1.0</v>
      </c>
      <c r="Q895" s="19">
        <v>0.0</v>
      </c>
      <c r="R895" s="19">
        <v>0.0</v>
      </c>
      <c r="S895" s="19">
        <v>0.0</v>
      </c>
      <c r="T895" s="3" t="s">
        <v>101</v>
      </c>
      <c r="U895" s="3" t="s">
        <v>511</v>
      </c>
    </row>
    <row r="896">
      <c r="A896" s="3" t="s">
        <v>7904</v>
      </c>
      <c r="B896" s="3" t="s">
        <v>7183</v>
      </c>
      <c r="C896" s="29">
        <v>46399.5</v>
      </c>
      <c r="D896" s="29">
        <v>46399.52083333333</v>
      </c>
      <c r="E896" s="30">
        <v>0.5</v>
      </c>
      <c r="G896" s="3" t="s">
        <v>7692</v>
      </c>
      <c r="H896" s="3" t="s">
        <v>7146</v>
      </c>
      <c r="I896" s="3" t="s">
        <v>7161</v>
      </c>
      <c r="J896" s="3" t="s">
        <v>7156</v>
      </c>
      <c r="K896" s="3" t="s">
        <v>7149</v>
      </c>
      <c r="L896" s="19">
        <v>2.0</v>
      </c>
      <c r="M896" s="3" t="s">
        <v>7905</v>
      </c>
      <c r="N896" s="3" t="s">
        <v>7906</v>
      </c>
      <c r="O896" s="3" t="s">
        <v>7944</v>
      </c>
      <c r="P896" s="19">
        <v>1.0</v>
      </c>
      <c r="Q896" s="19">
        <v>0.0</v>
      </c>
      <c r="R896" s="19">
        <v>1.0</v>
      </c>
      <c r="S896" s="19">
        <v>0.0</v>
      </c>
      <c r="T896" s="3" t="s">
        <v>184</v>
      </c>
      <c r="U896" s="3" t="s">
        <v>478</v>
      </c>
    </row>
    <row r="897">
      <c r="A897" s="3" t="s">
        <v>7912</v>
      </c>
      <c r="B897" s="3" t="s">
        <v>7696</v>
      </c>
      <c r="C897" s="29">
        <v>46400.41666666667</v>
      </c>
      <c r="D897" s="29">
        <v>46400.4375</v>
      </c>
      <c r="E897" s="30">
        <v>0.5</v>
      </c>
      <c r="G897" s="2"/>
      <c r="H897" s="3" t="s">
        <v>7146</v>
      </c>
      <c r="I897" s="3" t="s">
        <v>7161</v>
      </c>
      <c r="J897" s="3" t="s">
        <v>7274</v>
      </c>
      <c r="K897" s="3" t="s">
        <v>7149</v>
      </c>
      <c r="L897" s="19">
        <v>1.0</v>
      </c>
      <c r="M897" s="3" t="s">
        <v>7288</v>
      </c>
      <c r="N897" s="3" t="s">
        <v>7288</v>
      </c>
      <c r="O897" s="3" t="s">
        <v>7161</v>
      </c>
      <c r="P897" s="19">
        <v>1.0</v>
      </c>
      <c r="Q897" s="19">
        <v>0.0</v>
      </c>
      <c r="R897" s="19">
        <v>0.0</v>
      </c>
      <c r="S897" s="19">
        <v>0.0</v>
      </c>
      <c r="T897" s="2"/>
      <c r="U897" s="2"/>
    </row>
    <row r="898">
      <c r="A898" s="3" t="s">
        <v>7979</v>
      </c>
      <c r="B898" s="3" t="s">
        <v>7249</v>
      </c>
      <c r="C898" s="29">
        <v>46400.54166666667</v>
      </c>
      <c r="D898" s="29">
        <v>46400.5625</v>
      </c>
      <c r="E898" s="30">
        <v>0.5</v>
      </c>
      <c r="G898" s="2"/>
      <c r="H898" s="3" t="s">
        <v>7146</v>
      </c>
      <c r="I898" s="3" t="s">
        <v>7161</v>
      </c>
      <c r="J898" s="3" t="s">
        <v>7156</v>
      </c>
      <c r="K898" s="3" t="s">
        <v>7149</v>
      </c>
      <c r="L898" s="19">
        <v>2.0</v>
      </c>
      <c r="M898" s="3" t="s">
        <v>7921</v>
      </c>
      <c r="N898" s="3" t="s">
        <v>7921</v>
      </c>
      <c r="O898" s="3" t="s">
        <v>7218</v>
      </c>
      <c r="P898" s="19">
        <v>2.0</v>
      </c>
      <c r="Q898" s="19">
        <v>0.0</v>
      </c>
      <c r="R898" s="19">
        <v>0.0</v>
      </c>
      <c r="S898" s="19">
        <v>0.0</v>
      </c>
      <c r="T898" s="3" t="s">
        <v>187</v>
      </c>
      <c r="U898" s="3" t="s">
        <v>188</v>
      </c>
    </row>
    <row r="899">
      <c r="A899" s="3" t="s">
        <v>7951</v>
      </c>
      <c r="B899" s="3" t="s">
        <v>7160</v>
      </c>
      <c r="C899" s="29">
        <v>46401.4375</v>
      </c>
      <c r="D899" s="29">
        <v>46401.45833333333</v>
      </c>
      <c r="E899" s="30">
        <v>0.5</v>
      </c>
      <c r="G899" s="2"/>
      <c r="H899" s="3" t="s">
        <v>7146</v>
      </c>
      <c r="I899" s="3" t="s">
        <v>7161</v>
      </c>
      <c r="J899" s="3" t="s">
        <v>7156</v>
      </c>
      <c r="K899" s="3" t="s">
        <v>7149</v>
      </c>
      <c r="L899" s="19">
        <v>2.0</v>
      </c>
      <c r="M899" s="3" t="s">
        <v>7952</v>
      </c>
      <c r="N899" s="3" t="s">
        <v>7953</v>
      </c>
      <c r="O899" s="3" t="s">
        <v>7218</v>
      </c>
      <c r="P899" s="19">
        <v>2.0</v>
      </c>
      <c r="Q899" s="19">
        <v>0.0</v>
      </c>
      <c r="R899" s="19">
        <v>0.0</v>
      </c>
      <c r="S899" s="19">
        <v>0.0</v>
      </c>
      <c r="T899" s="3" t="s">
        <v>154</v>
      </c>
      <c r="U899" s="3" t="s">
        <v>329</v>
      </c>
    </row>
    <row r="900">
      <c r="A900" s="3" t="s">
        <v>7954</v>
      </c>
      <c r="B900" s="3" t="s">
        <v>7163</v>
      </c>
      <c r="C900" s="29">
        <v>46401.58333333333</v>
      </c>
      <c r="D900" s="29">
        <v>46401.60416666667</v>
      </c>
      <c r="E900" s="30">
        <v>0.5</v>
      </c>
      <c r="F900" s="2"/>
      <c r="G900" s="2"/>
      <c r="H900" s="3" t="s">
        <v>7146</v>
      </c>
      <c r="I900" s="3" t="s">
        <v>7161</v>
      </c>
      <c r="J900" s="3" t="s">
        <v>7156</v>
      </c>
      <c r="K900" s="3" t="s">
        <v>7149</v>
      </c>
      <c r="L900" s="19">
        <v>5.0</v>
      </c>
      <c r="M900" s="3" t="s">
        <v>7955</v>
      </c>
      <c r="N900" s="3" t="s">
        <v>7955</v>
      </c>
      <c r="O900" s="3" t="s">
        <v>7956</v>
      </c>
      <c r="P900" s="19">
        <v>0.0</v>
      </c>
      <c r="Q900" s="19">
        <v>3.0</v>
      </c>
      <c r="R900" s="19">
        <v>0.0</v>
      </c>
      <c r="S900" s="19">
        <v>2.0</v>
      </c>
      <c r="T900" s="3" t="s">
        <v>151</v>
      </c>
      <c r="U900" s="3" t="s">
        <v>370</v>
      </c>
    </row>
    <row r="901">
      <c r="A901" s="3" t="s">
        <v>7980</v>
      </c>
      <c r="B901" s="3" t="s">
        <v>7221</v>
      </c>
      <c r="C901" s="29">
        <v>46402.41666666667</v>
      </c>
      <c r="D901" s="29">
        <v>46402.4375</v>
      </c>
      <c r="E901" s="30">
        <v>0.5</v>
      </c>
      <c r="F901" s="2"/>
      <c r="G901" s="2"/>
      <c r="H901" s="3" t="s">
        <v>7146</v>
      </c>
      <c r="I901" s="3" t="s">
        <v>7161</v>
      </c>
      <c r="J901" s="3" t="s">
        <v>7156</v>
      </c>
      <c r="K901" s="3" t="s">
        <v>7149</v>
      </c>
      <c r="L901" s="19">
        <v>4.0</v>
      </c>
      <c r="M901" s="3" t="s">
        <v>7935</v>
      </c>
      <c r="N901" s="3" t="s">
        <v>7935</v>
      </c>
      <c r="O901" s="3" t="s">
        <v>7453</v>
      </c>
      <c r="P901" s="19">
        <v>3.0</v>
      </c>
      <c r="Q901" s="19">
        <v>0.0</v>
      </c>
      <c r="R901" s="19">
        <v>0.0</v>
      </c>
      <c r="S901" s="19">
        <v>1.0</v>
      </c>
      <c r="T901" s="3" t="s">
        <v>6608</v>
      </c>
      <c r="U901" s="3" t="s">
        <v>294</v>
      </c>
    </row>
    <row r="902">
      <c r="A902" s="3" t="s">
        <v>7679</v>
      </c>
      <c r="B902" s="3" t="s">
        <v>7546</v>
      </c>
      <c r="C902" s="29">
        <v>46402.47916666667</v>
      </c>
      <c r="D902" s="29">
        <v>46402.52083333333</v>
      </c>
      <c r="E902" s="30">
        <v>1.0</v>
      </c>
      <c r="G902" s="2"/>
      <c r="H902" s="3" t="s">
        <v>7146</v>
      </c>
      <c r="I902" s="3" t="s">
        <v>7338</v>
      </c>
      <c r="J902" s="3" t="s">
        <v>7288</v>
      </c>
      <c r="K902" s="3" t="s">
        <v>7149</v>
      </c>
      <c r="L902" s="19">
        <v>1.0</v>
      </c>
      <c r="M902" s="3" t="s">
        <v>7680</v>
      </c>
      <c r="N902" s="3" t="s">
        <v>7680</v>
      </c>
      <c r="O902" s="3" t="s">
        <v>7161</v>
      </c>
      <c r="P902" s="19">
        <v>1.0</v>
      </c>
      <c r="Q902" s="19">
        <v>0.0</v>
      </c>
      <c r="R902" s="19">
        <v>0.0</v>
      </c>
      <c r="S902" s="19">
        <v>0.0</v>
      </c>
      <c r="T902" s="3" t="s">
        <v>119</v>
      </c>
      <c r="U902" s="3" t="s">
        <v>251</v>
      </c>
    </row>
    <row r="903">
      <c r="A903" s="3" t="s">
        <v>7960</v>
      </c>
      <c r="B903" s="3" t="s">
        <v>7961</v>
      </c>
      <c r="C903" s="29">
        <v>46405.54166666667</v>
      </c>
      <c r="D903" s="29">
        <v>46405.5625</v>
      </c>
      <c r="E903" s="30">
        <v>0.5</v>
      </c>
      <c r="G903" s="3" t="s">
        <v>7962</v>
      </c>
      <c r="H903" s="3" t="s">
        <v>7146</v>
      </c>
      <c r="I903" s="3" t="s">
        <v>7338</v>
      </c>
      <c r="J903" s="3" t="s">
        <v>7288</v>
      </c>
      <c r="K903" s="3" t="s">
        <v>7149</v>
      </c>
      <c r="L903" s="19">
        <v>3.0</v>
      </c>
      <c r="M903" s="3" t="s">
        <v>7788</v>
      </c>
      <c r="N903" s="3" t="s">
        <v>7788</v>
      </c>
      <c r="O903" s="3" t="s">
        <v>7326</v>
      </c>
      <c r="P903" s="19">
        <v>1.0</v>
      </c>
      <c r="Q903" s="19">
        <v>0.0</v>
      </c>
      <c r="R903" s="19">
        <v>0.0</v>
      </c>
      <c r="S903" s="19">
        <v>2.0</v>
      </c>
      <c r="T903" s="3" t="s">
        <v>131</v>
      </c>
      <c r="U903" s="3" t="s">
        <v>132</v>
      </c>
    </row>
    <row r="904">
      <c r="A904" s="3" t="s">
        <v>7963</v>
      </c>
      <c r="B904" s="3" t="s">
        <v>7234</v>
      </c>
      <c r="C904" s="29">
        <v>46405.58333333333</v>
      </c>
      <c r="D904" s="29">
        <v>46405.60416666667</v>
      </c>
      <c r="E904" s="30">
        <v>0.5</v>
      </c>
      <c r="G904" s="2"/>
      <c r="H904" s="3" t="s">
        <v>7146</v>
      </c>
      <c r="I904" s="3" t="s">
        <v>7147</v>
      </c>
      <c r="J904" s="3" t="s">
        <v>7156</v>
      </c>
      <c r="K904" s="3" t="s">
        <v>7149</v>
      </c>
      <c r="L904" s="19">
        <v>4.0</v>
      </c>
      <c r="M904" s="3" t="s">
        <v>7235</v>
      </c>
      <c r="N904" s="3" t="s">
        <v>7235</v>
      </c>
      <c r="O904" s="3" t="s">
        <v>7964</v>
      </c>
      <c r="P904" s="19">
        <v>0.0</v>
      </c>
      <c r="Q904" s="19">
        <v>1.0</v>
      </c>
      <c r="R904" s="19">
        <v>0.0</v>
      </c>
      <c r="S904" s="19">
        <v>3.0</v>
      </c>
      <c r="T904" s="3" t="s">
        <v>166</v>
      </c>
      <c r="U904" s="3" t="s">
        <v>167</v>
      </c>
    </row>
    <row r="905">
      <c r="A905" s="3" t="s">
        <v>7896</v>
      </c>
      <c r="B905" s="3" t="s">
        <v>7463</v>
      </c>
      <c r="C905" s="29">
        <v>46405.60416666667</v>
      </c>
      <c r="D905" s="29">
        <v>46405.625</v>
      </c>
      <c r="E905" s="30">
        <v>0.5</v>
      </c>
      <c r="G905" s="3" t="s">
        <v>7541</v>
      </c>
      <c r="H905" s="3" t="s">
        <v>7146</v>
      </c>
      <c r="I905" s="3" t="s">
        <v>7338</v>
      </c>
      <c r="J905" s="3" t="s">
        <v>7288</v>
      </c>
      <c r="K905" s="3" t="s">
        <v>7149</v>
      </c>
      <c r="L905" s="19">
        <v>1.0</v>
      </c>
      <c r="M905" s="3" t="s">
        <v>7897</v>
      </c>
      <c r="N905" s="3" t="s">
        <v>7897</v>
      </c>
      <c r="O905" s="3" t="s">
        <v>7161</v>
      </c>
      <c r="P905" s="19">
        <v>1.0</v>
      </c>
      <c r="Q905" s="19">
        <v>0.0</v>
      </c>
      <c r="R905" s="19">
        <v>0.0</v>
      </c>
      <c r="S905" s="19">
        <v>0.0</v>
      </c>
      <c r="T905" s="3" t="s">
        <v>101</v>
      </c>
      <c r="U905" s="3" t="s">
        <v>511</v>
      </c>
    </row>
    <row r="906">
      <c r="A906" s="3" t="s">
        <v>7904</v>
      </c>
      <c r="B906" s="3" t="s">
        <v>7183</v>
      </c>
      <c r="C906" s="29">
        <v>46406.5</v>
      </c>
      <c r="D906" s="29">
        <v>46406.52083333333</v>
      </c>
      <c r="E906" s="30">
        <v>0.5</v>
      </c>
      <c r="G906" s="3" t="s">
        <v>7692</v>
      </c>
      <c r="H906" s="3" t="s">
        <v>7146</v>
      </c>
      <c r="I906" s="3" t="s">
        <v>7161</v>
      </c>
      <c r="J906" s="3" t="s">
        <v>7156</v>
      </c>
      <c r="K906" s="3" t="s">
        <v>7149</v>
      </c>
      <c r="L906" s="19">
        <v>2.0</v>
      </c>
      <c r="M906" s="3" t="s">
        <v>7905</v>
      </c>
      <c r="N906" s="3" t="s">
        <v>7906</v>
      </c>
      <c r="O906" s="3" t="s">
        <v>7944</v>
      </c>
      <c r="P906" s="19">
        <v>1.0</v>
      </c>
      <c r="Q906" s="19">
        <v>0.0</v>
      </c>
      <c r="R906" s="19">
        <v>1.0</v>
      </c>
      <c r="S906" s="19">
        <v>0.0</v>
      </c>
      <c r="T906" s="3" t="s">
        <v>184</v>
      </c>
      <c r="U906" s="3" t="s">
        <v>478</v>
      </c>
    </row>
    <row r="907">
      <c r="A907" s="3" t="s">
        <v>7901</v>
      </c>
      <c r="B907" s="3" t="s">
        <v>7689</v>
      </c>
      <c r="C907" s="29">
        <v>46406.5625</v>
      </c>
      <c r="D907" s="29">
        <v>46406.58333333333</v>
      </c>
      <c r="E907" s="30">
        <v>0.5</v>
      </c>
      <c r="G907" s="2"/>
      <c r="H907" s="3" t="s">
        <v>7146</v>
      </c>
      <c r="I907" s="3" t="s">
        <v>7338</v>
      </c>
      <c r="J907" s="3" t="s">
        <v>7288</v>
      </c>
      <c r="K907" s="3" t="s">
        <v>7149</v>
      </c>
      <c r="L907" s="19">
        <v>1.0</v>
      </c>
      <c r="M907" s="3" t="s">
        <v>7902</v>
      </c>
      <c r="N907" s="3" t="s">
        <v>7902</v>
      </c>
      <c r="O907" s="3" t="s">
        <v>7161</v>
      </c>
      <c r="P907" s="19">
        <v>1.0</v>
      </c>
      <c r="Q907" s="19">
        <v>0.0</v>
      </c>
      <c r="R907" s="19">
        <v>0.0</v>
      </c>
      <c r="S907" s="19">
        <v>0.0</v>
      </c>
      <c r="T907" s="3" t="s">
        <v>142</v>
      </c>
      <c r="U907" s="3" t="s">
        <v>143</v>
      </c>
    </row>
    <row r="908">
      <c r="A908" s="3" t="s">
        <v>7912</v>
      </c>
      <c r="B908" s="3" t="s">
        <v>7696</v>
      </c>
      <c r="C908" s="29">
        <v>46407.41666666667</v>
      </c>
      <c r="D908" s="29">
        <v>46407.4375</v>
      </c>
      <c r="E908" s="30">
        <v>0.5</v>
      </c>
      <c r="G908" s="2"/>
      <c r="H908" s="3" t="s">
        <v>7146</v>
      </c>
      <c r="I908" s="3" t="s">
        <v>7161</v>
      </c>
      <c r="J908" s="3" t="s">
        <v>7274</v>
      </c>
      <c r="K908" s="3" t="s">
        <v>7149</v>
      </c>
      <c r="L908" s="19">
        <v>1.0</v>
      </c>
      <c r="M908" s="3" t="s">
        <v>7288</v>
      </c>
      <c r="N908" s="3" t="s">
        <v>7288</v>
      </c>
      <c r="O908" s="3" t="s">
        <v>7161</v>
      </c>
      <c r="P908" s="19">
        <v>1.0</v>
      </c>
      <c r="Q908" s="19">
        <v>0.0</v>
      </c>
      <c r="R908" s="19">
        <v>0.0</v>
      </c>
      <c r="S908" s="19">
        <v>0.0</v>
      </c>
      <c r="T908" s="2"/>
      <c r="U908" s="2"/>
    </row>
    <row r="909">
      <c r="A909" s="3" t="s">
        <v>7659</v>
      </c>
      <c r="B909" s="3" t="s">
        <v>7420</v>
      </c>
      <c r="C909" s="29">
        <v>46408.47916666667</v>
      </c>
      <c r="D909" s="29">
        <v>46408.5</v>
      </c>
      <c r="E909" s="30">
        <v>0.5</v>
      </c>
      <c r="G909" s="2"/>
      <c r="H909" s="3" t="s">
        <v>7146</v>
      </c>
      <c r="I909" s="3" t="s">
        <v>7161</v>
      </c>
      <c r="J909" s="3" t="s">
        <v>7156</v>
      </c>
      <c r="K909" s="3" t="s">
        <v>7149</v>
      </c>
      <c r="L909" s="19">
        <v>5.0</v>
      </c>
      <c r="M909" s="3" t="s">
        <v>7571</v>
      </c>
      <c r="N909" s="3" t="s">
        <v>7571</v>
      </c>
      <c r="O909" s="3" t="s">
        <v>7970</v>
      </c>
      <c r="P909" s="19">
        <v>3.0</v>
      </c>
      <c r="Q909" s="19">
        <v>1.0</v>
      </c>
      <c r="R909" s="19">
        <v>0.0</v>
      </c>
      <c r="S909" s="19">
        <v>1.0</v>
      </c>
      <c r="T909" s="3" t="s">
        <v>125</v>
      </c>
      <c r="U909" s="3" t="s">
        <v>126</v>
      </c>
    </row>
    <row r="910">
      <c r="A910" s="3" t="s">
        <v>7804</v>
      </c>
      <c r="B910" s="3" t="s">
        <v>7805</v>
      </c>
      <c r="C910" s="29">
        <v>46408.5</v>
      </c>
      <c r="D910" s="29">
        <v>46408.52083333333</v>
      </c>
      <c r="E910" s="30">
        <v>0.5</v>
      </c>
      <c r="G910" s="2"/>
      <c r="H910" s="3" t="s">
        <v>7146</v>
      </c>
      <c r="I910" s="3" t="s">
        <v>7338</v>
      </c>
      <c r="J910" s="3" t="s">
        <v>7288</v>
      </c>
      <c r="K910" s="3" t="s">
        <v>7149</v>
      </c>
      <c r="L910" s="19">
        <v>1.0</v>
      </c>
      <c r="M910" s="3" t="s">
        <v>7806</v>
      </c>
      <c r="N910" s="3" t="s">
        <v>7806</v>
      </c>
      <c r="O910" s="3" t="s">
        <v>7161</v>
      </c>
      <c r="P910" s="19">
        <v>1.0</v>
      </c>
      <c r="Q910" s="19">
        <v>0.0</v>
      </c>
      <c r="R910" s="19">
        <v>0.0</v>
      </c>
      <c r="S910" s="19">
        <v>0.0</v>
      </c>
      <c r="T910" s="3" t="s">
        <v>157</v>
      </c>
      <c r="U910" s="3" t="s">
        <v>158</v>
      </c>
    </row>
    <row r="911">
      <c r="A911" s="3" t="s">
        <v>7927</v>
      </c>
      <c r="B911" s="3" t="s">
        <v>7928</v>
      </c>
      <c r="C911" s="29">
        <v>46408.70833333333</v>
      </c>
      <c r="D911" s="29">
        <v>46408.72916666667</v>
      </c>
      <c r="E911" s="30">
        <v>0.5</v>
      </c>
      <c r="G911" s="3" t="s">
        <v>7929</v>
      </c>
      <c r="H911" s="3" t="s">
        <v>7146</v>
      </c>
      <c r="I911" s="3" t="s">
        <v>7161</v>
      </c>
      <c r="J911" s="3" t="s">
        <v>7148</v>
      </c>
      <c r="K911" s="3" t="s">
        <v>7149</v>
      </c>
      <c r="L911" s="19">
        <v>10.0</v>
      </c>
      <c r="M911" s="3" t="s">
        <v>7930</v>
      </c>
      <c r="N911" s="3" t="s">
        <v>7931</v>
      </c>
      <c r="O911" s="3" t="s">
        <v>7932</v>
      </c>
      <c r="P911" s="19">
        <v>6.0</v>
      </c>
      <c r="Q911" s="19">
        <v>0.0</v>
      </c>
      <c r="R911" s="19">
        <v>1.0</v>
      </c>
      <c r="S911" s="19">
        <v>3.0</v>
      </c>
      <c r="T911" s="3" t="s">
        <v>160</v>
      </c>
      <c r="U911" s="3" t="s">
        <v>440</v>
      </c>
    </row>
    <row r="912">
      <c r="A912" s="3" t="s">
        <v>7825</v>
      </c>
      <c r="B912" s="3" t="s">
        <v>7471</v>
      </c>
      <c r="C912" s="29">
        <v>46409.41666666667</v>
      </c>
      <c r="D912" s="29">
        <v>46409.4375</v>
      </c>
      <c r="E912" s="30">
        <v>0.5</v>
      </c>
      <c r="G912" s="2"/>
      <c r="H912" s="3" t="s">
        <v>7146</v>
      </c>
      <c r="I912" s="3" t="s">
        <v>7161</v>
      </c>
      <c r="J912" s="3" t="s">
        <v>7156</v>
      </c>
      <c r="K912" s="3" t="s">
        <v>7149</v>
      </c>
      <c r="L912" s="19">
        <v>5.0</v>
      </c>
      <c r="M912" s="3" t="s">
        <v>7826</v>
      </c>
      <c r="N912" s="3" t="s">
        <v>7826</v>
      </c>
      <c r="O912" s="3" t="s">
        <v>7974</v>
      </c>
      <c r="P912" s="19">
        <v>2.0</v>
      </c>
      <c r="Q912" s="19">
        <v>0.0</v>
      </c>
      <c r="R912" s="19">
        <v>0.0</v>
      </c>
      <c r="S912" s="19">
        <v>3.0</v>
      </c>
      <c r="T912" s="3" t="s">
        <v>199</v>
      </c>
      <c r="U912" s="3" t="s">
        <v>272</v>
      </c>
    </row>
    <row r="913">
      <c r="A913" s="3" t="s">
        <v>7679</v>
      </c>
      <c r="B913" s="3" t="s">
        <v>7546</v>
      </c>
      <c r="C913" s="29">
        <v>46409.47916666667</v>
      </c>
      <c r="D913" s="29">
        <v>46409.52083333333</v>
      </c>
      <c r="E913" s="30">
        <v>1.0</v>
      </c>
      <c r="G913" s="2"/>
      <c r="H913" s="3" t="s">
        <v>7146</v>
      </c>
      <c r="I913" s="3" t="s">
        <v>7338</v>
      </c>
      <c r="J913" s="3" t="s">
        <v>7288</v>
      </c>
      <c r="K913" s="3" t="s">
        <v>7149</v>
      </c>
      <c r="L913" s="19">
        <v>1.0</v>
      </c>
      <c r="M913" s="3" t="s">
        <v>7680</v>
      </c>
      <c r="N913" s="3" t="s">
        <v>7680</v>
      </c>
      <c r="O913" s="3" t="s">
        <v>7161</v>
      </c>
      <c r="P913" s="19">
        <v>1.0</v>
      </c>
      <c r="Q913" s="19">
        <v>0.0</v>
      </c>
      <c r="R913" s="19">
        <v>0.0</v>
      </c>
      <c r="S913" s="19">
        <v>0.0</v>
      </c>
      <c r="T913" s="3" t="s">
        <v>119</v>
      </c>
      <c r="U913" s="3" t="s">
        <v>251</v>
      </c>
    </row>
    <row r="914">
      <c r="A914" s="3" t="s">
        <v>7942</v>
      </c>
      <c r="B914" s="3" t="s">
        <v>7256</v>
      </c>
      <c r="C914" s="29">
        <v>46412.5625</v>
      </c>
      <c r="D914" s="29">
        <v>46412.58333333333</v>
      </c>
      <c r="E914" s="30">
        <v>0.5</v>
      </c>
      <c r="G914" s="2"/>
      <c r="H914" s="3" t="s">
        <v>7146</v>
      </c>
      <c r="I914" s="3" t="s">
        <v>7161</v>
      </c>
      <c r="J914" s="3" t="s">
        <v>7156</v>
      </c>
      <c r="K914" s="3" t="s">
        <v>7149</v>
      </c>
      <c r="L914" s="19">
        <v>3.0</v>
      </c>
      <c r="M914" s="3" t="s">
        <v>7943</v>
      </c>
      <c r="N914" s="3" t="s">
        <v>7943</v>
      </c>
      <c r="O914" s="3" t="s">
        <v>7258</v>
      </c>
      <c r="P914" s="19">
        <v>2.0</v>
      </c>
      <c r="Q914" s="19">
        <v>0.0</v>
      </c>
      <c r="R914" s="19">
        <v>0.0</v>
      </c>
      <c r="S914" s="19">
        <v>1.0</v>
      </c>
      <c r="T914" s="3" t="s">
        <v>202</v>
      </c>
      <c r="U914" s="3" t="s">
        <v>203</v>
      </c>
    </row>
    <row r="915">
      <c r="A915" s="3" t="s">
        <v>7896</v>
      </c>
      <c r="B915" s="3" t="s">
        <v>7463</v>
      </c>
      <c r="C915" s="29">
        <v>46412.60416666667</v>
      </c>
      <c r="D915" s="29">
        <v>46412.625</v>
      </c>
      <c r="E915" s="30">
        <v>0.5</v>
      </c>
      <c r="G915" s="3" t="s">
        <v>7541</v>
      </c>
      <c r="H915" s="3" t="s">
        <v>7146</v>
      </c>
      <c r="I915" s="3" t="s">
        <v>7338</v>
      </c>
      <c r="J915" s="3" t="s">
        <v>7288</v>
      </c>
      <c r="K915" s="3" t="s">
        <v>7149</v>
      </c>
      <c r="L915" s="19">
        <v>1.0</v>
      </c>
      <c r="M915" s="3" t="s">
        <v>7897</v>
      </c>
      <c r="N915" s="3" t="s">
        <v>7897</v>
      </c>
      <c r="O915" s="3" t="s">
        <v>7161</v>
      </c>
      <c r="P915" s="19">
        <v>1.0</v>
      </c>
      <c r="Q915" s="19">
        <v>0.0</v>
      </c>
      <c r="R915" s="19">
        <v>0.0</v>
      </c>
      <c r="S915" s="19">
        <v>0.0</v>
      </c>
      <c r="T915" s="3" t="s">
        <v>101</v>
      </c>
      <c r="U915" s="3" t="s">
        <v>511</v>
      </c>
    </row>
    <row r="916">
      <c r="A916" s="3" t="s">
        <v>7904</v>
      </c>
      <c r="B916" s="3" t="s">
        <v>7183</v>
      </c>
      <c r="C916" s="29">
        <v>46413.5</v>
      </c>
      <c r="D916" s="29">
        <v>46413.52083333333</v>
      </c>
      <c r="E916" s="30">
        <v>0.5</v>
      </c>
      <c r="G916" s="3" t="s">
        <v>7692</v>
      </c>
      <c r="H916" s="3" t="s">
        <v>7146</v>
      </c>
      <c r="I916" s="3" t="s">
        <v>7161</v>
      </c>
      <c r="J916" s="3" t="s">
        <v>7156</v>
      </c>
      <c r="K916" s="3" t="s">
        <v>7149</v>
      </c>
      <c r="L916" s="19">
        <v>2.0</v>
      </c>
      <c r="M916" s="3" t="s">
        <v>7905</v>
      </c>
      <c r="N916" s="3" t="s">
        <v>7906</v>
      </c>
      <c r="O916" s="3" t="s">
        <v>7944</v>
      </c>
      <c r="P916" s="19">
        <v>1.0</v>
      </c>
      <c r="Q916" s="19">
        <v>0.0</v>
      </c>
      <c r="R916" s="19">
        <v>1.0</v>
      </c>
      <c r="S916" s="19">
        <v>0.0</v>
      </c>
      <c r="T916" s="3" t="s">
        <v>184</v>
      </c>
      <c r="U916" s="3" t="s">
        <v>478</v>
      </c>
    </row>
    <row r="917">
      <c r="A917" s="3" t="s">
        <v>7912</v>
      </c>
      <c r="B917" s="3" t="s">
        <v>7696</v>
      </c>
      <c r="C917" s="29">
        <v>46414.41666666667</v>
      </c>
      <c r="D917" s="29">
        <v>46414.4375</v>
      </c>
      <c r="E917" s="30">
        <v>0.5</v>
      </c>
      <c r="G917" s="2"/>
      <c r="H917" s="3" t="s">
        <v>7146</v>
      </c>
      <c r="I917" s="3" t="s">
        <v>7161</v>
      </c>
      <c r="J917" s="3" t="s">
        <v>7274</v>
      </c>
      <c r="K917" s="3" t="s">
        <v>7149</v>
      </c>
      <c r="L917" s="19">
        <v>1.0</v>
      </c>
      <c r="M917" s="3" t="s">
        <v>7288</v>
      </c>
      <c r="N917" s="3" t="s">
        <v>7288</v>
      </c>
      <c r="O917" s="3" t="s">
        <v>7161</v>
      </c>
      <c r="P917" s="19">
        <v>1.0</v>
      </c>
      <c r="Q917" s="19">
        <v>0.0</v>
      </c>
      <c r="R917" s="19">
        <v>0.0</v>
      </c>
      <c r="S917" s="19">
        <v>0.0</v>
      </c>
      <c r="T917" s="2"/>
      <c r="U917" s="2"/>
    </row>
    <row r="918">
      <c r="A918" s="3" t="s">
        <v>7979</v>
      </c>
      <c r="B918" s="3" t="s">
        <v>7249</v>
      </c>
      <c r="C918" s="29">
        <v>46414.54166666667</v>
      </c>
      <c r="D918" s="29">
        <v>46414.5625</v>
      </c>
      <c r="E918" s="30">
        <v>0.5</v>
      </c>
      <c r="G918" s="2"/>
      <c r="H918" s="3" t="s">
        <v>7146</v>
      </c>
      <c r="I918" s="3" t="s">
        <v>7161</v>
      </c>
      <c r="J918" s="3" t="s">
        <v>7156</v>
      </c>
      <c r="K918" s="3" t="s">
        <v>7149</v>
      </c>
      <c r="L918" s="19">
        <v>2.0</v>
      </c>
      <c r="M918" s="3" t="s">
        <v>7921</v>
      </c>
      <c r="N918" s="3" t="s">
        <v>7921</v>
      </c>
      <c r="O918" s="3" t="s">
        <v>7218</v>
      </c>
      <c r="P918" s="19">
        <v>2.0</v>
      </c>
      <c r="Q918" s="19">
        <v>0.0</v>
      </c>
      <c r="R918" s="19">
        <v>0.0</v>
      </c>
      <c r="S918" s="19">
        <v>0.0</v>
      </c>
      <c r="T918" s="3" t="s">
        <v>187</v>
      </c>
      <c r="U918" s="3" t="s">
        <v>188</v>
      </c>
    </row>
    <row r="919">
      <c r="A919" s="3" t="s">
        <v>7948</v>
      </c>
      <c r="B919" s="3" t="s">
        <v>7949</v>
      </c>
      <c r="C919" s="29">
        <v>46415.35416666667</v>
      </c>
      <c r="D919" s="29">
        <v>46415.375</v>
      </c>
      <c r="E919" s="30">
        <v>0.5</v>
      </c>
      <c r="F919" s="2"/>
      <c r="G919" s="2"/>
      <c r="H919" s="3" t="s">
        <v>7146</v>
      </c>
      <c r="I919" s="3" t="s">
        <v>7338</v>
      </c>
      <c r="J919" s="3" t="s">
        <v>7288</v>
      </c>
      <c r="K919" s="3" t="s">
        <v>7149</v>
      </c>
      <c r="L919" s="19">
        <v>3.0</v>
      </c>
      <c r="M919" s="3" t="s">
        <v>7950</v>
      </c>
      <c r="N919" s="3" t="s">
        <v>7950</v>
      </c>
      <c r="O919" s="3" t="s">
        <v>7622</v>
      </c>
      <c r="P919" s="19">
        <v>0.0</v>
      </c>
      <c r="Q919" s="19">
        <v>0.0</v>
      </c>
      <c r="R919" s="19">
        <v>0.0</v>
      </c>
      <c r="S919" s="19">
        <v>3.0</v>
      </c>
      <c r="T919" s="3" t="s">
        <v>193</v>
      </c>
      <c r="U919" s="3" t="s">
        <v>544</v>
      </c>
    </row>
    <row r="920">
      <c r="A920" s="3" t="s">
        <v>7951</v>
      </c>
      <c r="B920" s="3" t="s">
        <v>7160</v>
      </c>
      <c r="C920" s="29">
        <v>46415.4375</v>
      </c>
      <c r="D920" s="29">
        <v>46415.45833333333</v>
      </c>
      <c r="E920" s="30">
        <v>0.5</v>
      </c>
      <c r="F920" s="2"/>
      <c r="G920" s="2"/>
      <c r="H920" s="3" t="s">
        <v>7146</v>
      </c>
      <c r="I920" s="3" t="s">
        <v>7161</v>
      </c>
      <c r="J920" s="3" t="s">
        <v>7156</v>
      </c>
      <c r="K920" s="3" t="s">
        <v>7149</v>
      </c>
      <c r="L920" s="19">
        <v>2.0</v>
      </c>
      <c r="M920" s="3" t="s">
        <v>7952</v>
      </c>
      <c r="N920" s="3" t="s">
        <v>7953</v>
      </c>
      <c r="O920" s="3" t="s">
        <v>7218</v>
      </c>
      <c r="P920" s="19">
        <v>2.0</v>
      </c>
      <c r="Q920" s="19">
        <v>0.0</v>
      </c>
      <c r="R920" s="19">
        <v>0.0</v>
      </c>
      <c r="S920" s="19">
        <v>0.0</v>
      </c>
      <c r="T920" s="3" t="s">
        <v>154</v>
      </c>
      <c r="U920" s="3" t="s">
        <v>329</v>
      </c>
    </row>
    <row r="921">
      <c r="A921" s="3" t="s">
        <v>7954</v>
      </c>
      <c r="B921" s="3" t="s">
        <v>7163</v>
      </c>
      <c r="C921" s="29">
        <v>46415.58333333333</v>
      </c>
      <c r="D921" s="29">
        <v>46415.60416666667</v>
      </c>
      <c r="E921" s="30">
        <v>0.5</v>
      </c>
      <c r="G921" s="2"/>
      <c r="H921" s="3" t="s">
        <v>7146</v>
      </c>
      <c r="I921" s="3" t="s">
        <v>7161</v>
      </c>
      <c r="J921" s="3" t="s">
        <v>7156</v>
      </c>
      <c r="K921" s="3" t="s">
        <v>7149</v>
      </c>
      <c r="L921" s="19">
        <v>5.0</v>
      </c>
      <c r="M921" s="3" t="s">
        <v>7955</v>
      </c>
      <c r="N921" s="3" t="s">
        <v>7955</v>
      </c>
      <c r="O921" s="3" t="s">
        <v>7956</v>
      </c>
      <c r="P921" s="19">
        <v>0.0</v>
      </c>
      <c r="Q921" s="19">
        <v>3.0</v>
      </c>
      <c r="R921" s="19">
        <v>0.0</v>
      </c>
      <c r="S921" s="19">
        <v>2.0</v>
      </c>
      <c r="T921" s="3" t="s">
        <v>151</v>
      </c>
      <c r="U921" s="3" t="s">
        <v>370</v>
      </c>
    </row>
    <row r="922">
      <c r="A922" s="3" t="s">
        <v>7957</v>
      </c>
      <c r="B922" s="3" t="s">
        <v>7712</v>
      </c>
      <c r="C922" s="29">
        <v>46415.64583333333</v>
      </c>
      <c r="D922" s="29">
        <v>46415.66666666667</v>
      </c>
      <c r="E922" s="30">
        <v>0.5</v>
      </c>
      <c r="G922" s="3" t="s">
        <v>7713</v>
      </c>
      <c r="H922" s="3" t="s">
        <v>7146</v>
      </c>
      <c r="I922" s="3" t="s">
        <v>7338</v>
      </c>
      <c r="J922" s="3" t="s">
        <v>7288</v>
      </c>
      <c r="K922" s="3" t="s">
        <v>7149</v>
      </c>
      <c r="L922" s="19">
        <v>5.0</v>
      </c>
      <c r="M922" s="3" t="s">
        <v>7958</v>
      </c>
      <c r="N922" s="3" t="s">
        <v>7958</v>
      </c>
      <c r="O922" s="3" t="s">
        <v>7959</v>
      </c>
      <c r="P922" s="19">
        <v>2.0</v>
      </c>
      <c r="Q922" s="19">
        <v>1.0</v>
      </c>
      <c r="R922" s="19">
        <v>1.0</v>
      </c>
      <c r="S922" s="19">
        <v>1.0</v>
      </c>
      <c r="T922" s="3" t="s">
        <v>122</v>
      </c>
      <c r="U922" s="3" t="s">
        <v>123</v>
      </c>
    </row>
    <row r="923">
      <c r="A923" s="3" t="s">
        <v>7679</v>
      </c>
      <c r="B923" s="3" t="s">
        <v>7546</v>
      </c>
      <c r="C923" s="29">
        <v>46416.47916666667</v>
      </c>
      <c r="D923" s="29">
        <v>46416.52083333333</v>
      </c>
      <c r="E923" s="30">
        <v>1.0</v>
      </c>
      <c r="G923" s="2"/>
      <c r="H923" s="3" t="s">
        <v>7146</v>
      </c>
      <c r="I923" s="3" t="s">
        <v>7338</v>
      </c>
      <c r="J923" s="3" t="s">
        <v>7288</v>
      </c>
      <c r="K923" s="3" t="s">
        <v>7149</v>
      </c>
      <c r="L923" s="19">
        <v>1.0</v>
      </c>
      <c r="M923" s="3" t="s">
        <v>7680</v>
      </c>
      <c r="N923" s="3" t="s">
        <v>7680</v>
      </c>
      <c r="O923" s="3" t="s">
        <v>7161</v>
      </c>
      <c r="P923" s="19">
        <v>1.0</v>
      </c>
      <c r="Q923" s="19">
        <v>0.0</v>
      </c>
      <c r="R923" s="19">
        <v>0.0</v>
      </c>
      <c r="S923" s="19">
        <v>0.0</v>
      </c>
      <c r="T923" s="3" t="s">
        <v>119</v>
      </c>
      <c r="U923" s="3" t="s">
        <v>251</v>
      </c>
    </row>
    <row r="924">
      <c r="A924" s="3" t="s">
        <v>7960</v>
      </c>
      <c r="B924" s="3" t="s">
        <v>7961</v>
      </c>
      <c r="C924" s="29">
        <v>46419.54166666667</v>
      </c>
      <c r="D924" s="29">
        <v>46419.5625</v>
      </c>
      <c r="E924" s="30">
        <v>0.5</v>
      </c>
      <c r="F924" s="2"/>
      <c r="G924" s="3" t="s">
        <v>7962</v>
      </c>
      <c r="H924" s="3" t="s">
        <v>7146</v>
      </c>
      <c r="I924" s="3" t="s">
        <v>7338</v>
      </c>
      <c r="J924" s="3" t="s">
        <v>7288</v>
      </c>
      <c r="K924" s="3" t="s">
        <v>7149</v>
      </c>
      <c r="L924" s="19">
        <v>3.0</v>
      </c>
      <c r="M924" s="3" t="s">
        <v>7788</v>
      </c>
      <c r="N924" s="3" t="s">
        <v>7788</v>
      </c>
      <c r="O924" s="3" t="s">
        <v>7326</v>
      </c>
      <c r="P924" s="19">
        <v>1.0</v>
      </c>
      <c r="Q924" s="19">
        <v>0.0</v>
      </c>
      <c r="R924" s="19">
        <v>0.0</v>
      </c>
      <c r="S924" s="19">
        <v>2.0</v>
      </c>
      <c r="T924" s="3" t="s">
        <v>131</v>
      </c>
      <c r="U924" s="3" t="s">
        <v>132</v>
      </c>
    </row>
    <row r="925">
      <c r="A925" s="3" t="s">
        <v>7982</v>
      </c>
      <c r="B925" s="3" t="s">
        <v>7203</v>
      </c>
      <c r="C925" s="29">
        <v>46419.5625</v>
      </c>
      <c r="D925" s="29">
        <v>46419.58333333333</v>
      </c>
      <c r="E925" s="30">
        <v>0.5</v>
      </c>
      <c r="G925" s="3" t="s">
        <v>7983</v>
      </c>
      <c r="H925" s="3" t="s">
        <v>7146</v>
      </c>
      <c r="I925" s="3" t="s">
        <v>7147</v>
      </c>
      <c r="J925" s="3" t="s">
        <v>7156</v>
      </c>
      <c r="K925" s="3" t="s">
        <v>7149</v>
      </c>
      <c r="L925" s="19">
        <v>7.0</v>
      </c>
      <c r="M925" s="3" t="s">
        <v>7204</v>
      </c>
      <c r="N925" s="3" t="s">
        <v>7204</v>
      </c>
      <c r="O925" s="3" t="s">
        <v>7984</v>
      </c>
      <c r="P925" s="19">
        <v>4.0</v>
      </c>
      <c r="Q925" s="19">
        <v>1.0</v>
      </c>
      <c r="R925" s="19">
        <v>0.0</v>
      </c>
      <c r="S925" s="19">
        <v>2.0</v>
      </c>
      <c r="T925" s="3" t="s">
        <v>6785</v>
      </c>
      <c r="U925" s="3" t="s">
        <v>601</v>
      </c>
    </row>
    <row r="926">
      <c r="A926" s="3" t="s">
        <v>7963</v>
      </c>
      <c r="B926" s="3" t="s">
        <v>7234</v>
      </c>
      <c r="C926" s="29">
        <v>46419.58333333333</v>
      </c>
      <c r="D926" s="29">
        <v>46419.60416666667</v>
      </c>
      <c r="E926" s="30">
        <v>0.5</v>
      </c>
      <c r="G926" s="2"/>
      <c r="H926" s="3" t="s">
        <v>7146</v>
      </c>
      <c r="I926" s="3" t="s">
        <v>7147</v>
      </c>
      <c r="J926" s="3" t="s">
        <v>7156</v>
      </c>
      <c r="K926" s="3" t="s">
        <v>7149</v>
      </c>
      <c r="L926" s="19">
        <v>4.0</v>
      </c>
      <c r="M926" s="3" t="s">
        <v>7235</v>
      </c>
      <c r="N926" s="3" t="s">
        <v>7235</v>
      </c>
      <c r="O926" s="3" t="s">
        <v>7964</v>
      </c>
      <c r="P926" s="19">
        <v>0.0</v>
      </c>
      <c r="Q926" s="19">
        <v>1.0</v>
      </c>
      <c r="R926" s="19">
        <v>0.0</v>
      </c>
      <c r="S926" s="19">
        <v>3.0</v>
      </c>
      <c r="T926" s="3" t="s">
        <v>166</v>
      </c>
      <c r="U926" s="3" t="s">
        <v>167</v>
      </c>
    </row>
    <row r="927">
      <c r="A927" s="3" t="s">
        <v>7896</v>
      </c>
      <c r="B927" s="3" t="s">
        <v>7463</v>
      </c>
      <c r="C927" s="29">
        <v>46419.60416666667</v>
      </c>
      <c r="D927" s="29">
        <v>46419.625</v>
      </c>
      <c r="E927" s="30">
        <v>0.5</v>
      </c>
      <c r="G927" s="3" t="s">
        <v>7541</v>
      </c>
      <c r="H927" s="3" t="s">
        <v>7146</v>
      </c>
      <c r="I927" s="3" t="s">
        <v>7338</v>
      </c>
      <c r="J927" s="3" t="s">
        <v>7288</v>
      </c>
      <c r="K927" s="3" t="s">
        <v>7149</v>
      </c>
      <c r="L927" s="19">
        <v>1.0</v>
      </c>
      <c r="M927" s="3" t="s">
        <v>7897</v>
      </c>
      <c r="N927" s="3" t="s">
        <v>7897</v>
      </c>
      <c r="O927" s="3" t="s">
        <v>7161</v>
      </c>
      <c r="P927" s="19">
        <v>1.0</v>
      </c>
      <c r="Q927" s="19">
        <v>0.0</v>
      </c>
      <c r="R927" s="19">
        <v>0.0</v>
      </c>
      <c r="S927" s="19">
        <v>0.0</v>
      </c>
      <c r="T927" s="3" t="s">
        <v>101</v>
      </c>
      <c r="U927" s="3" t="s">
        <v>511</v>
      </c>
    </row>
    <row r="928">
      <c r="A928" s="3" t="s">
        <v>7904</v>
      </c>
      <c r="B928" s="3" t="s">
        <v>7183</v>
      </c>
      <c r="C928" s="29">
        <v>46420.5</v>
      </c>
      <c r="D928" s="29">
        <v>46420.52083333333</v>
      </c>
      <c r="E928" s="30">
        <v>0.5</v>
      </c>
      <c r="G928" s="3" t="s">
        <v>7692</v>
      </c>
      <c r="H928" s="3" t="s">
        <v>7146</v>
      </c>
      <c r="I928" s="3" t="s">
        <v>7161</v>
      </c>
      <c r="J928" s="3" t="s">
        <v>7156</v>
      </c>
      <c r="K928" s="3" t="s">
        <v>7149</v>
      </c>
      <c r="L928" s="19">
        <v>2.0</v>
      </c>
      <c r="M928" s="3" t="s">
        <v>7905</v>
      </c>
      <c r="N928" s="3" t="s">
        <v>7906</v>
      </c>
      <c r="O928" s="3" t="s">
        <v>7944</v>
      </c>
      <c r="P928" s="19">
        <v>1.0</v>
      </c>
      <c r="Q928" s="19">
        <v>0.0</v>
      </c>
      <c r="R928" s="19">
        <v>1.0</v>
      </c>
      <c r="S928" s="19">
        <v>0.0</v>
      </c>
      <c r="T928" s="3" t="s">
        <v>184</v>
      </c>
      <c r="U928" s="3" t="s">
        <v>478</v>
      </c>
    </row>
    <row r="929">
      <c r="A929" s="3" t="s">
        <v>7748</v>
      </c>
      <c r="B929" s="3" t="s">
        <v>7211</v>
      </c>
      <c r="C929" s="29">
        <v>46420.54166666667</v>
      </c>
      <c r="D929" s="29">
        <v>46420.5625</v>
      </c>
      <c r="E929" s="30">
        <v>0.5</v>
      </c>
      <c r="G929" s="3" t="s">
        <v>7212</v>
      </c>
      <c r="H929" s="3" t="s">
        <v>7146</v>
      </c>
      <c r="I929" s="3" t="s">
        <v>7161</v>
      </c>
      <c r="J929" s="3" t="s">
        <v>7156</v>
      </c>
      <c r="K929" s="3" t="s">
        <v>7149</v>
      </c>
      <c r="L929" s="19">
        <v>4.0</v>
      </c>
      <c r="M929" s="3" t="s">
        <v>7213</v>
      </c>
      <c r="N929" s="3" t="s">
        <v>7213</v>
      </c>
      <c r="O929" s="3" t="s">
        <v>7965</v>
      </c>
      <c r="P929" s="19">
        <v>2.0</v>
      </c>
      <c r="Q929" s="19">
        <v>1.0</v>
      </c>
      <c r="R929" s="19">
        <v>0.0</v>
      </c>
      <c r="S929" s="19">
        <v>1.0</v>
      </c>
      <c r="T929" s="3" t="s">
        <v>175</v>
      </c>
      <c r="U929" s="3" t="s">
        <v>422</v>
      </c>
    </row>
    <row r="930">
      <c r="A930" s="3" t="s">
        <v>7901</v>
      </c>
      <c r="B930" s="3" t="s">
        <v>7689</v>
      </c>
      <c r="C930" s="29">
        <v>46420.5625</v>
      </c>
      <c r="D930" s="29">
        <v>46420.58333333333</v>
      </c>
      <c r="E930" s="30">
        <v>0.5</v>
      </c>
      <c r="G930" s="2"/>
      <c r="H930" s="3" t="s">
        <v>7146</v>
      </c>
      <c r="I930" s="3" t="s">
        <v>7338</v>
      </c>
      <c r="J930" s="3" t="s">
        <v>7288</v>
      </c>
      <c r="K930" s="3" t="s">
        <v>7149</v>
      </c>
      <c r="L930" s="19">
        <v>1.0</v>
      </c>
      <c r="M930" s="3" t="s">
        <v>7902</v>
      </c>
      <c r="N930" s="3" t="s">
        <v>7902</v>
      </c>
      <c r="O930" s="3" t="s">
        <v>7161</v>
      </c>
      <c r="P930" s="19">
        <v>1.0</v>
      </c>
      <c r="Q930" s="19">
        <v>0.0</v>
      </c>
      <c r="R930" s="19">
        <v>0.0</v>
      </c>
      <c r="S930" s="19">
        <v>0.0</v>
      </c>
      <c r="T930" s="3" t="s">
        <v>142</v>
      </c>
      <c r="U930" s="3" t="s">
        <v>143</v>
      </c>
    </row>
    <row r="931">
      <c r="A931" s="3" t="s">
        <v>7754</v>
      </c>
      <c r="B931" s="3" t="s">
        <v>7755</v>
      </c>
      <c r="C931" s="29">
        <v>46420.58333333333</v>
      </c>
      <c r="D931" s="29">
        <v>46420.60416666667</v>
      </c>
      <c r="E931" s="30">
        <v>0.5</v>
      </c>
      <c r="G931" s="3" t="s">
        <v>7756</v>
      </c>
      <c r="H931" s="3" t="s">
        <v>7146</v>
      </c>
      <c r="I931" s="3" t="s">
        <v>7161</v>
      </c>
      <c r="J931" s="3" t="s">
        <v>7156</v>
      </c>
      <c r="K931" s="3" t="s">
        <v>7149</v>
      </c>
      <c r="L931" s="19">
        <v>7.0</v>
      </c>
      <c r="M931" s="3" t="s">
        <v>7757</v>
      </c>
      <c r="N931" s="3" t="s">
        <v>7758</v>
      </c>
      <c r="O931" s="3" t="s">
        <v>7759</v>
      </c>
      <c r="P931" s="19">
        <v>0.0</v>
      </c>
      <c r="Q931" s="19">
        <v>1.0</v>
      </c>
      <c r="R931" s="19">
        <v>1.0</v>
      </c>
      <c r="S931" s="19">
        <v>5.0</v>
      </c>
      <c r="T931" s="3" t="s">
        <v>110</v>
      </c>
      <c r="U931" s="3" t="s">
        <v>111</v>
      </c>
    </row>
    <row r="932">
      <c r="A932" s="3" t="s">
        <v>7966</v>
      </c>
      <c r="B932" s="3" t="s">
        <v>7967</v>
      </c>
      <c r="C932" s="29">
        <v>46420.64583333333</v>
      </c>
      <c r="D932" s="29">
        <v>46420.66666666667</v>
      </c>
      <c r="E932" s="30">
        <v>0.5</v>
      </c>
      <c r="F932" s="2"/>
      <c r="G932" s="3" t="s">
        <v>7968</v>
      </c>
      <c r="H932" s="3" t="s">
        <v>7146</v>
      </c>
      <c r="I932" s="3" t="s">
        <v>7338</v>
      </c>
      <c r="J932" s="3" t="s">
        <v>7288</v>
      </c>
      <c r="K932" s="3" t="s">
        <v>7149</v>
      </c>
      <c r="L932" s="19">
        <v>4.0</v>
      </c>
      <c r="M932" s="3" t="s">
        <v>7707</v>
      </c>
      <c r="N932" s="3" t="s">
        <v>7707</v>
      </c>
      <c r="O932" s="3" t="s">
        <v>7236</v>
      </c>
      <c r="P932" s="19">
        <v>1.0</v>
      </c>
      <c r="Q932" s="19">
        <v>0.0</v>
      </c>
      <c r="R932" s="19">
        <v>0.0</v>
      </c>
      <c r="S932" s="19">
        <v>3.0</v>
      </c>
      <c r="T932" s="3" t="s">
        <v>6450</v>
      </c>
      <c r="U932" s="3" t="s">
        <v>552</v>
      </c>
    </row>
    <row r="933">
      <c r="A933" s="3" t="s">
        <v>7912</v>
      </c>
      <c r="B933" s="3" t="s">
        <v>7696</v>
      </c>
      <c r="C933" s="29">
        <v>46421.41666666667</v>
      </c>
      <c r="D933" s="29">
        <v>46421.4375</v>
      </c>
      <c r="E933" s="30">
        <v>0.5</v>
      </c>
      <c r="G933" s="2"/>
      <c r="H933" s="3" t="s">
        <v>7146</v>
      </c>
      <c r="I933" s="3" t="s">
        <v>7161</v>
      </c>
      <c r="J933" s="3" t="s">
        <v>7274</v>
      </c>
      <c r="K933" s="3" t="s">
        <v>7149</v>
      </c>
      <c r="L933" s="19">
        <v>1.0</v>
      </c>
      <c r="M933" s="3" t="s">
        <v>7288</v>
      </c>
      <c r="N933" s="3" t="s">
        <v>7288</v>
      </c>
      <c r="O933" s="3" t="s">
        <v>7161</v>
      </c>
      <c r="P933" s="19">
        <v>1.0</v>
      </c>
      <c r="Q933" s="19">
        <v>0.0</v>
      </c>
      <c r="R933" s="19">
        <v>0.0</v>
      </c>
      <c r="S933" s="19">
        <v>0.0</v>
      </c>
      <c r="T933" s="2"/>
      <c r="U933" s="2"/>
    </row>
    <row r="934">
      <c r="A934" s="3" t="s">
        <v>7791</v>
      </c>
      <c r="B934" s="3" t="s">
        <v>7266</v>
      </c>
      <c r="C934" s="29">
        <v>46422.33333333333</v>
      </c>
      <c r="D934" s="29">
        <v>46422.35416666667</v>
      </c>
      <c r="E934" s="30">
        <v>0.5</v>
      </c>
      <c r="G934" s="2"/>
      <c r="H934" s="3" t="s">
        <v>7146</v>
      </c>
      <c r="I934" s="3" t="s">
        <v>7161</v>
      </c>
      <c r="J934" s="3" t="s">
        <v>7156</v>
      </c>
      <c r="K934" s="3" t="s">
        <v>7149</v>
      </c>
      <c r="L934" s="19">
        <v>4.0</v>
      </c>
      <c r="M934" s="3" t="s">
        <v>7267</v>
      </c>
      <c r="N934" s="3" t="s">
        <v>7267</v>
      </c>
      <c r="O934" s="3" t="s">
        <v>7792</v>
      </c>
      <c r="P934" s="19">
        <v>1.0</v>
      </c>
      <c r="Q934" s="19">
        <v>1.0</v>
      </c>
      <c r="R934" s="19">
        <v>0.0</v>
      </c>
      <c r="S934" s="19">
        <v>2.0</v>
      </c>
      <c r="T934" s="3" t="s">
        <v>6752</v>
      </c>
      <c r="U934" s="3" t="s">
        <v>319</v>
      </c>
    </row>
    <row r="935">
      <c r="A935" s="3" t="s">
        <v>7794</v>
      </c>
      <c r="B935" s="3" t="s">
        <v>7795</v>
      </c>
      <c r="C935" s="29">
        <v>46422.39583333333</v>
      </c>
      <c r="D935" s="29">
        <v>46422.41666666667</v>
      </c>
      <c r="E935" s="30">
        <v>0.5</v>
      </c>
      <c r="G935" s="2"/>
      <c r="H935" s="3" t="s">
        <v>7146</v>
      </c>
      <c r="I935" s="3" t="s">
        <v>7161</v>
      </c>
      <c r="J935" s="3" t="s">
        <v>7168</v>
      </c>
      <c r="K935" s="3" t="s">
        <v>7149</v>
      </c>
      <c r="L935" s="19">
        <v>6.0</v>
      </c>
      <c r="M935" s="3" t="s">
        <v>7196</v>
      </c>
      <c r="N935" s="3" t="s">
        <v>7196</v>
      </c>
      <c r="O935" s="3" t="s">
        <v>7197</v>
      </c>
      <c r="P935" s="19">
        <v>4.0</v>
      </c>
      <c r="Q935" s="19">
        <v>0.0</v>
      </c>
      <c r="R935" s="19">
        <v>0.0</v>
      </c>
      <c r="S935" s="19">
        <v>2.0</v>
      </c>
      <c r="T935" s="3" t="s">
        <v>178</v>
      </c>
      <c r="U935" s="3" t="s">
        <v>179</v>
      </c>
    </row>
    <row r="936">
      <c r="A936" s="3" t="s">
        <v>7969</v>
      </c>
      <c r="B936" s="3" t="s">
        <v>7262</v>
      </c>
      <c r="C936" s="29">
        <v>46422.4375</v>
      </c>
      <c r="D936" s="29">
        <v>46422.45833333333</v>
      </c>
      <c r="E936" s="30">
        <v>0.5</v>
      </c>
      <c r="G936" s="2"/>
      <c r="H936" s="3" t="s">
        <v>7146</v>
      </c>
      <c r="I936" s="3" t="s">
        <v>7161</v>
      </c>
      <c r="J936" s="3" t="s">
        <v>7156</v>
      </c>
      <c r="K936" s="3" t="s">
        <v>7149</v>
      </c>
      <c r="L936" s="19">
        <v>2.0</v>
      </c>
      <c r="M936" s="3" t="s">
        <v>7263</v>
      </c>
      <c r="N936" s="3" t="s">
        <v>7263</v>
      </c>
      <c r="O936" s="3" t="s">
        <v>7218</v>
      </c>
      <c r="P936" s="19">
        <v>2.0</v>
      </c>
      <c r="Q936" s="19">
        <v>0.0</v>
      </c>
      <c r="R936" s="19">
        <v>0.0</v>
      </c>
      <c r="S936" s="19">
        <v>0.0</v>
      </c>
      <c r="T936" s="3" t="s">
        <v>128</v>
      </c>
      <c r="U936" s="3" t="s">
        <v>301</v>
      </c>
    </row>
    <row r="937">
      <c r="A937" s="3" t="s">
        <v>7659</v>
      </c>
      <c r="B937" s="3" t="s">
        <v>7420</v>
      </c>
      <c r="C937" s="29">
        <v>46422.47916666667</v>
      </c>
      <c r="D937" s="29">
        <v>46422.5</v>
      </c>
      <c r="E937" s="30">
        <v>0.5</v>
      </c>
      <c r="F937" s="2"/>
      <c r="G937" s="2"/>
      <c r="H937" s="3" t="s">
        <v>7146</v>
      </c>
      <c r="I937" s="3" t="s">
        <v>7161</v>
      </c>
      <c r="J937" s="3" t="s">
        <v>7156</v>
      </c>
      <c r="K937" s="3" t="s">
        <v>7149</v>
      </c>
      <c r="L937" s="19">
        <v>5.0</v>
      </c>
      <c r="M937" s="3" t="s">
        <v>7571</v>
      </c>
      <c r="N937" s="3" t="s">
        <v>7571</v>
      </c>
      <c r="O937" s="3" t="s">
        <v>7970</v>
      </c>
      <c r="P937" s="19">
        <v>3.0</v>
      </c>
      <c r="Q937" s="19">
        <v>1.0</v>
      </c>
      <c r="R937" s="19">
        <v>0.0</v>
      </c>
      <c r="S937" s="19">
        <v>1.0</v>
      </c>
      <c r="T937" s="3" t="s">
        <v>125</v>
      </c>
      <c r="U937" s="3" t="s">
        <v>126</v>
      </c>
    </row>
    <row r="938">
      <c r="A938" s="3" t="s">
        <v>7804</v>
      </c>
      <c r="B938" s="3" t="s">
        <v>7805</v>
      </c>
      <c r="C938" s="29">
        <v>46422.5</v>
      </c>
      <c r="D938" s="29">
        <v>46422.52083333333</v>
      </c>
      <c r="E938" s="30">
        <v>0.5</v>
      </c>
      <c r="G938" s="2"/>
      <c r="H938" s="3" t="s">
        <v>7146</v>
      </c>
      <c r="I938" s="3" t="s">
        <v>7338</v>
      </c>
      <c r="J938" s="3" t="s">
        <v>7288</v>
      </c>
      <c r="K938" s="3" t="s">
        <v>7149</v>
      </c>
      <c r="L938" s="19">
        <v>1.0</v>
      </c>
      <c r="M938" s="3" t="s">
        <v>7806</v>
      </c>
      <c r="N938" s="3" t="s">
        <v>7806</v>
      </c>
      <c r="O938" s="3" t="s">
        <v>7161</v>
      </c>
      <c r="P938" s="19">
        <v>1.0</v>
      </c>
      <c r="Q938" s="19">
        <v>0.0</v>
      </c>
      <c r="R938" s="19">
        <v>0.0</v>
      </c>
      <c r="S938" s="19">
        <v>0.0</v>
      </c>
      <c r="T938" s="3" t="s">
        <v>157</v>
      </c>
      <c r="U938" s="3" t="s">
        <v>158</v>
      </c>
    </row>
    <row r="939">
      <c r="A939" s="3" t="s">
        <v>7812</v>
      </c>
      <c r="B939" s="3" t="s">
        <v>7813</v>
      </c>
      <c r="C939" s="29">
        <v>46422.5625</v>
      </c>
      <c r="D939" s="29">
        <v>46422.58333333333</v>
      </c>
      <c r="E939" s="30">
        <v>0.5</v>
      </c>
      <c r="G939" s="3" t="s">
        <v>7814</v>
      </c>
      <c r="H939" s="3" t="s">
        <v>7146</v>
      </c>
      <c r="I939" s="3" t="s">
        <v>7338</v>
      </c>
      <c r="J939" s="3" t="s">
        <v>7288</v>
      </c>
      <c r="K939" s="3" t="s">
        <v>7149</v>
      </c>
      <c r="L939" s="19">
        <v>3.0</v>
      </c>
      <c r="M939" s="3" t="s">
        <v>7815</v>
      </c>
      <c r="N939" s="3" t="s">
        <v>7815</v>
      </c>
      <c r="O939" s="3" t="s">
        <v>7601</v>
      </c>
      <c r="P939" s="19">
        <v>1.0</v>
      </c>
      <c r="Q939" s="19">
        <v>0.0</v>
      </c>
      <c r="R939" s="19">
        <v>0.0</v>
      </c>
      <c r="S939" s="19">
        <v>2.0</v>
      </c>
      <c r="T939" s="3" t="s">
        <v>190</v>
      </c>
      <c r="U939" s="3" t="s">
        <v>191</v>
      </c>
    </row>
    <row r="940">
      <c r="A940" s="3" t="s">
        <v>7971</v>
      </c>
      <c r="B940" s="3" t="s">
        <v>7178</v>
      </c>
      <c r="C940" s="29">
        <v>46423.39583333333</v>
      </c>
      <c r="D940" s="29">
        <v>46423.41666666667</v>
      </c>
      <c r="E940" s="30">
        <v>0.5</v>
      </c>
      <c r="G940" s="25" t="s">
        <v>7972</v>
      </c>
      <c r="H940" s="3" t="s">
        <v>7146</v>
      </c>
      <c r="I940" s="3" t="s">
        <v>7161</v>
      </c>
      <c r="J940" s="3" t="s">
        <v>7156</v>
      </c>
      <c r="K940" s="3" t="s">
        <v>7149</v>
      </c>
      <c r="L940" s="19">
        <v>3.0</v>
      </c>
      <c r="M940" s="3" t="s">
        <v>7973</v>
      </c>
      <c r="N940" s="3" t="s">
        <v>7973</v>
      </c>
      <c r="O940" s="3" t="s">
        <v>7231</v>
      </c>
      <c r="P940" s="19">
        <v>2.0</v>
      </c>
      <c r="Q940" s="19">
        <v>1.0</v>
      </c>
      <c r="R940" s="19">
        <v>0.0</v>
      </c>
      <c r="S940" s="19">
        <v>0.0</v>
      </c>
      <c r="T940" s="3" t="s">
        <v>169</v>
      </c>
      <c r="U940" s="3" t="s">
        <v>170</v>
      </c>
    </row>
    <row r="941">
      <c r="A941" s="3" t="s">
        <v>7825</v>
      </c>
      <c r="B941" s="3" t="s">
        <v>7471</v>
      </c>
      <c r="C941" s="29">
        <v>46423.41666666667</v>
      </c>
      <c r="D941" s="29">
        <v>46423.4375</v>
      </c>
      <c r="E941" s="30">
        <v>0.5</v>
      </c>
      <c r="G941" s="2"/>
      <c r="H941" s="3" t="s">
        <v>7146</v>
      </c>
      <c r="I941" s="3" t="s">
        <v>7161</v>
      </c>
      <c r="J941" s="3" t="s">
        <v>7156</v>
      </c>
      <c r="K941" s="3" t="s">
        <v>7149</v>
      </c>
      <c r="L941" s="19">
        <v>5.0</v>
      </c>
      <c r="M941" s="3" t="s">
        <v>7826</v>
      </c>
      <c r="N941" s="3" t="s">
        <v>7826</v>
      </c>
      <c r="O941" s="3" t="s">
        <v>7974</v>
      </c>
      <c r="P941" s="19">
        <v>2.0</v>
      </c>
      <c r="Q941" s="19">
        <v>0.0</v>
      </c>
      <c r="R941" s="19">
        <v>0.0</v>
      </c>
      <c r="S941" s="19">
        <v>3.0</v>
      </c>
      <c r="T941" s="3" t="s">
        <v>199</v>
      </c>
      <c r="U941" s="3" t="s">
        <v>272</v>
      </c>
    </row>
    <row r="942">
      <c r="A942" s="3" t="s">
        <v>7679</v>
      </c>
      <c r="B942" s="3" t="s">
        <v>7546</v>
      </c>
      <c r="C942" s="29">
        <v>46423.47916666667</v>
      </c>
      <c r="D942" s="29">
        <v>46423.52083333333</v>
      </c>
      <c r="E942" s="30">
        <v>1.0</v>
      </c>
      <c r="F942" s="2"/>
      <c r="G942" s="2"/>
      <c r="H942" s="3" t="s">
        <v>7146</v>
      </c>
      <c r="I942" s="3" t="s">
        <v>7338</v>
      </c>
      <c r="J942" s="3" t="s">
        <v>7288</v>
      </c>
      <c r="K942" s="3" t="s">
        <v>7149</v>
      </c>
      <c r="L942" s="19">
        <v>1.0</v>
      </c>
      <c r="M942" s="3" t="s">
        <v>7680</v>
      </c>
      <c r="N942" s="3" t="s">
        <v>7680</v>
      </c>
      <c r="O942" s="3" t="s">
        <v>7161</v>
      </c>
      <c r="P942" s="19">
        <v>1.0</v>
      </c>
      <c r="Q942" s="19">
        <v>0.0</v>
      </c>
      <c r="R942" s="19">
        <v>0.0</v>
      </c>
      <c r="S942" s="19">
        <v>0.0</v>
      </c>
      <c r="T942" s="3" t="s">
        <v>119</v>
      </c>
      <c r="U942" s="3" t="s">
        <v>251</v>
      </c>
    </row>
    <row r="943">
      <c r="A943" s="3" t="s">
        <v>7975</v>
      </c>
      <c r="B943" s="3" t="s">
        <v>7167</v>
      </c>
      <c r="C943" s="29">
        <v>46423.54166666667</v>
      </c>
      <c r="D943" s="29">
        <v>46423.5625</v>
      </c>
      <c r="E943" s="30">
        <v>0.5</v>
      </c>
      <c r="F943" s="2"/>
      <c r="G943" s="2"/>
      <c r="H943" s="3" t="s">
        <v>7146</v>
      </c>
      <c r="I943" s="3" t="s">
        <v>7338</v>
      </c>
      <c r="J943" s="3" t="s">
        <v>7288</v>
      </c>
      <c r="K943" s="3" t="s">
        <v>7149</v>
      </c>
      <c r="L943" s="19">
        <v>4.0</v>
      </c>
      <c r="M943" s="3" t="s">
        <v>7169</v>
      </c>
      <c r="N943" s="3" t="s">
        <v>7170</v>
      </c>
      <c r="O943" s="3" t="s">
        <v>7268</v>
      </c>
      <c r="P943" s="19">
        <v>1.0</v>
      </c>
      <c r="Q943" s="19">
        <v>0.0</v>
      </c>
      <c r="R943" s="19">
        <v>0.0</v>
      </c>
      <c r="S943" s="19">
        <v>3.0</v>
      </c>
      <c r="T943" s="3" t="s">
        <v>205</v>
      </c>
      <c r="U943" s="3" t="s">
        <v>206</v>
      </c>
    </row>
    <row r="944">
      <c r="A944" s="3" t="s">
        <v>7976</v>
      </c>
      <c r="B944" s="3" t="s">
        <v>7977</v>
      </c>
      <c r="C944" s="29">
        <v>46426.58333333333</v>
      </c>
      <c r="D944" s="29">
        <v>46426.60416666667</v>
      </c>
      <c r="E944" s="30">
        <v>0.5</v>
      </c>
      <c r="G944" s="2"/>
      <c r="H944" s="3" t="s">
        <v>7146</v>
      </c>
      <c r="I944" s="3" t="s">
        <v>7338</v>
      </c>
      <c r="J944" s="3" t="s">
        <v>7288</v>
      </c>
      <c r="K944" s="3" t="s">
        <v>7149</v>
      </c>
      <c r="L944" s="19">
        <v>3.0</v>
      </c>
      <c r="M944" s="3" t="s">
        <v>7978</v>
      </c>
      <c r="N944" s="3" t="s">
        <v>7978</v>
      </c>
      <c r="O944" s="3" t="s">
        <v>7326</v>
      </c>
      <c r="P944" s="19">
        <v>1.0</v>
      </c>
      <c r="Q944" s="19">
        <v>0.0</v>
      </c>
      <c r="R944" s="19">
        <v>0.0</v>
      </c>
      <c r="S944" s="19">
        <v>2.0</v>
      </c>
      <c r="T944" s="3" t="s">
        <v>98</v>
      </c>
      <c r="U944" s="3" t="s">
        <v>99</v>
      </c>
    </row>
    <row r="945">
      <c r="A945" s="3" t="s">
        <v>7896</v>
      </c>
      <c r="B945" s="3" t="s">
        <v>7463</v>
      </c>
      <c r="C945" s="29">
        <v>46426.60416666667</v>
      </c>
      <c r="D945" s="29">
        <v>46426.625</v>
      </c>
      <c r="E945" s="30">
        <v>0.5</v>
      </c>
      <c r="G945" s="3" t="s">
        <v>7541</v>
      </c>
      <c r="H945" s="3" t="s">
        <v>7146</v>
      </c>
      <c r="I945" s="3" t="s">
        <v>7338</v>
      </c>
      <c r="J945" s="3" t="s">
        <v>7288</v>
      </c>
      <c r="K945" s="3" t="s">
        <v>7149</v>
      </c>
      <c r="L945" s="19">
        <v>1.0</v>
      </c>
      <c r="M945" s="3" t="s">
        <v>7897</v>
      </c>
      <c r="N945" s="3" t="s">
        <v>7897</v>
      </c>
      <c r="O945" s="3" t="s">
        <v>7161</v>
      </c>
      <c r="P945" s="19">
        <v>1.0</v>
      </c>
      <c r="Q945" s="19">
        <v>0.0</v>
      </c>
      <c r="R945" s="19">
        <v>0.0</v>
      </c>
      <c r="S945" s="19">
        <v>0.0</v>
      </c>
      <c r="T945" s="3" t="s">
        <v>101</v>
      </c>
      <c r="U945" s="3" t="s">
        <v>511</v>
      </c>
    </row>
    <row r="946">
      <c r="A946" s="3" t="s">
        <v>7904</v>
      </c>
      <c r="B946" s="3" t="s">
        <v>7183</v>
      </c>
      <c r="C946" s="29">
        <v>46427.5</v>
      </c>
      <c r="D946" s="29">
        <v>46427.52083333333</v>
      </c>
      <c r="E946" s="30">
        <v>0.5</v>
      </c>
      <c r="G946" s="3" t="s">
        <v>7692</v>
      </c>
      <c r="H946" s="3" t="s">
        <v>7146</v>
      </c>
      <c r="I946" s="3" t="s">
        <v>7161</v>
      </c>
      <c r="J946" s="3" t="s">
        <v>7156</v>
      </c>
      <c r="K946" s="3" t="s">
        <v>7149</v>
      </c>
      <c r="L946" s="19">
        <v>2.0</v>
      </c>
      <c r="M946" s="3" t="s">
        <v>7905</v>
      </c>
      <c r="N946" s="3" t="s">
        <v>7906</v>
      </c>
      <c r="O946" s="3" t="s">
        <v>7944</v>
      </c>
      <c r="P946" s="19">
        <v>1.0</v>
      </c>
      <c r="Q946" s="19">
        <v>0.0</v>
      </c>
      <c r="R946" s="19">
        <v>1.0</v>
      </c>
      <c r="S946" s="19">
        <v>0.0</v>
      </c>
      <c r="T946" s="3" t="s">
        <v>184</v>
      </c>
      <c r="U946" s="3" t="s">
        <v>478</v>
      </c>
    </row>
    <row r="947">
      <c r="A947" s="3" t="s">
        <v>7912</v>
      </c>
      <c r="B947" s="3" t="s">
        <v>7696</v>
      </c>
      <c r="C947" s="29">
        <v>46428.41666666667</v>
      </c>
      <c r="D947" s="29">
        <v>46428.4375</v>
      </c>
      <c r="E947" s="30">
        <v>0.5</v>
      </c>
      <c r="G947" s="2"/>
      <c r="H947" s="3" t="s">
        <v>7146</v>
      </c>
      <c r="I947" s="3" t="s">
        <v>7161</v>
      </c>
      <c r="J947" s="3" t="s">
        <v>7274</v>
      </c>
      <c r="K947" s="3" t="s">
        <v>7149</v>
      </c>
      <c r="L947" s="19">
        <v>1.0</v>
      </c>
      <c r="M947" s="3" t="s">
        <v>7288</v>
      </c>
      <c r="N947" s="3" t="s">
        <v>7288</v>
      </c>
      <c r="O947" s="3" t="s">
        <v>7161</v>
      </c>
      <c r="P947" s="19">
        <v>1.0</v>
      </c>
      <c r="Q947" s="19">
        <v>0.0</v>
      </c>
      <c r="R947" s="19">
        <v>0.0</v>
      </c>
      <c r="S947" s="19">
        <v>0.0</v>
      </c>
      <c r="T947" s="2"/>
      <c r="U947" s="2"/>
    </row>
    <row r="948">
      <c r="A948" s="3" t="s">
        <v>7979</v>
      </c>
      <c r="B948" s="3" t="s">
        <v>7249</v>
      </c>
      <c r="C948" s="29">
        <v>46428.54166666667</v>
      </c>
      <c r="D948" s="29">
        <v>46428.5625</v>
      </c>
      <c r="E948" s="30">
        <v>0.5</v>
      </c>
      <c r="G948" s="2"/>
      <c r="H948" s="3" t="s">
        <v>7146</v>
      </c>
      <c r="I948" s="3" t="s">
        <v>7161</v>
      </c>
      <c r="J948" s="3" t="s">
        <v>7156</v>
      </c>
      <c r="K948" s="3" t="s">
        <v>7149</v>
      </c>
      <c r="L948" s="19">
        <v>2.0</v>
      </c>
      <c r="M948" s="3" t="s">
        <v>7921</v>
      </c>
      <c r="N948" s="3" t="s">
        <v>7921</v>
      </c>
      <c r="O948" s="3" t="s">
        <v>7218</v>
      </c>
      <c r="P948" s="19">
        <v>2.0</v>
      </c>
      <c r="Q948" s="19">
        <v>0.0</v>
      </c>
      <c r="R948" s="19">
        <v>0.0</v>
      </c>
      <c r="S948" s="19">
        <v>0.0</v>
      </c>
      <c r="T948" s="3" t="s">
        <v>187</v>
      </c>
      <c r="U948" s="3" t="s">
        <v>188</v>
      </c>
    </row>
    <row r="949">
      <c r="A949" s="3" t="s">
        <v>7867</v>
      </c>
      <c r="B949" s="3" t="s">
        <v>7246</v>
      </c>
      <c r="C949" s="29">
        <v>46429.35416666667</v>
      </c>
      <c r="D949" s="29">
        <v>46429.58333333333</v>
      </c>
      <c r="E949" s="30">
        <v>5.5</v>
      </c>
      <c r="G949" s="3" t="s">
        <v>7247</v>
      </c>
      <c r="H949" s="3" t="s">
        <v>7146</v>
      </c>
      <c r="I949" s="3" t="s">
        <v>7240</v>
      </c>
      <c r="J949" s="3" t="s">
        <v>7241</v>
      </c>
      <c r="K949" s="3" t="s">
        <v>7149</v>
      </c>
      <c r="L949" s="19">
        <v>2.0</v>
      </c>
      <c r="M949" s="3" t="s">
        <v>7242</v>
      </c>
      <c r="N949" s="3" t="s">
        <v>7243</v>
      </c>
      <c r="O949" s="3" t="s">
        <v>7244</v>
      </c>
      <c r="P949" s="19">
        <v>0.0</v>
      </c>
      <c r="Q949" s="19">
        <v>0.0</v>
      </c>
      <c r="R949" s="19">
        <v>0.0</v>
      </c>
      <c r="S949" s="19">
        <v>2.0</v>
      </c>
      <c r="T949" s="2"/>
      <c r="U949" s="2"/>
    </row>
    <row r="950">
      <c r="A950" s="3" t="s">
        <v>7951</v>
      </c>
      <c r="B950" s="3" t="s">
        <v>7160</v>
      </c>
      <c r="C950" s="29">
        <v>46429.4375</v>
      </c>
      <c r="D950" s="29">
        <v>46429.45833333333</v>
      </c>
      <c r="E950" s="30">
        <v>0.5</v>
      </c>
      <c r="G950" s="2"/>
      <c r="H950" s="3" t="s">
        <v>7146</v>
      </c>
      <c r="I950" s="3" t="s">
        <v>7161</v>
      </c>
      <c r="J950" s="3" t="s">
        <v>7156</v>
      </c>
      <c r="K950" s="3" t="s">
        <v>7149</v>
      </c>
      <c r="L950" s="19">
        <v>2.0</v>
      </c>
      <c r="M950" s="3" t="s">
        <v>7952</v>
      </c>
      <c r="N950" s="3" t="s">
        <v>7953</v>
      </c>
      <c r="O950" s="3" t="s">
        <v>7218</v>
      </c>
      <c r="P950" s="19">
        <v>2.0</v>
      </c>
      <c r="Q950" s="19">
        <v>0.0</v>
      </c>
      <c r="R950" s="19">
        <v>0.0</v>
      </c>
      <c r="S950" s="19">
        <v>0.0</v>
      </c>
      <c r="T950" s="3" t="s">
        <v>154</v>
      </c>
      <c r="U950" s="3" t="s">
        <v>329</v>
      </c>
    </row>
    <row r="951">
      <c r="A951" s="3" t="s">
        <v>7954</v>
      </c>
      <c r="B951" s="3" t="s">
        <v>7163</v>
      </c>
      <c r="C951" s="29">
        <v>46429.58333333333</v>
      </c>
      <c r="D951" s="29">
        <v>46429.60416666667</v>
      </c>
      <c r="E951" s="30">
        <v>0.5</v>
      </c>
      <c r="G951" s="2"/>
      <c r="H951" s="3" t="s">
        <v>7146</v>
      </c>
      <c r="I951" s="3" t="s">
        <v>7161</v>
      </c>
      <c r="J951" s="3" t="s">
        <v>7156</v>
      </c>
      <c r="K951" s="3" t="s">
        <v>7149</v>
      </c>
      <c r="L951" s="19">
        <v>5.0</v>
      </c>
      <c r="M951" s="3" t="s">
        <v>7955</v>
      </c>
      <c r="N951" s="3" t="s">
        <v>7955</v>
      </c>
      <c r="O951" s="3" t="s">
        <v>7956</v>
      </c>
      <c r="P951" s="19">
        <v>0.0</v>
      </c>
      <c r="Q951" s="19">
        <v>3.0</v>
      </c>
      <c r="R951" s="19">
        <v>0.0</v>
      </c>
      <c r="S951" s="19">
        <v>2.0</v>
      </c>
      <c r="T951" s="3" t="s">
        <v>151</v>
      </c>
      <c r="U951" s="3" t="s">
        <v>370</v>
      </c>
    </row>
    <row r="952">
      <c r="A952" s="3" t="s">
        <v>7679</v>
      </c>
      <c r="B952" s="3" t="s">
        <v>7546</v>
      </c>
      <c r="C952" s="29">
        <v>46430.47916666667</v>
      </c>
      <c r="D952" s="29">
        <v>46430.52083333333</v>
      </c>
      <c r="E952" s="30">
        <v>1.0</v>
      </c>
      <c r="G952" s="2"/>
      <c r="H952" s="3" t="s">
        <v>7146</v>
      </c>
      <c r="I952" s="3" t="s">
        <v>7338</v>
      </c>
      <c r="J952" s="3" t="s">
        <v>7288</v>
      </c>
      <c r="K952" s="3" t="s">
        <v>7149</v>
      </c>
      <c r="L952" s="19">
        <v>1.0</v>
      </c>
      <c r="M952" s="3" t="s">
        <v>7680</v>
      </c>
      <c r="N952" s="3" t="s">
        <v>7680</v>
      </c>
      <c r="O952" s="3" t="s">
        <v>7161</v>
      </c>
      <c r="P952" s="19">
        <v>1.0</v>
      </c>
      <c r="Q952" s="19">
        <v>0.0</v>
      </c>
      <c r="R952" s="19">
        <v>0.0</v>
      </c>
      <c r="S952" s="19">
        <v>0.0</v>
      </c>
      <c r="T952" s="3" t="s">
        <v>119</v>
      </c>
      <c r="U952" s="3" t="s">
        <v>251</v>
      </c>
    </row>
    <row r="953">
      <c r="A953" s="3" t="s">
        <v>7960</v>
      </c>
      <c r="B953" s="3" t="s">
        <v>7961</v>
      </c>
      <c r="C953" s="29">
        <v>46433.54166666667</v>
      </c>
      <c r="D953" s="29">
        <v>46433.5625</v>
      </c>
      <c r="E953" s="30">
        <v>0.5</v>
      </c>
      <c r="G953" s="3" t="s">
        <v>7962</v>
      </c>
      <c r="H953" s="3" t="s">
        <v>7146</v>
      </c>
      <c r="I953" s="3" t="s">
        <v>7338</v>
      </c>
      <c r="J953" s="3" t="s">
        <v>7288</v>
      </c>
      <c r="K953" s="3" t="s">
        <v>7149</v>
      </c>
      <c r="L953" s="19">
        <v>3.0</v>
      </c>
      <c r="M953" s="3" t="s">
        <v>7788</v>
      </c>
      <c r="N953" s="3" t="s">
        <v>7788</v>
      </c>
      <c r="O953" s="3" t="s">
        <v>7326</v>
      </c>
      <c r="P953" s="19">
        <v>1.0</v>
      </c>
      <c r="Q953" s="19">
        <v>0.0</v>
      </c>
      <c r="R953" s="19">
        <v>0.0</v>
      </c>
      <c r="S953" s="19">
        <v>2.0</v>
      </c>
      <c r="T953" s="3" t="s">
        <v>131</v>
      </c>
      <c r="U953" s="3" t="s">
        <v>132</v>
      </c>
    </row>
    <row r="954">
      <c r="A954" s="3" t="s">
        <v>7963</v>
      </c>
      <c r="B954" s="3" t="s">
        <v>7234</v>
      </c>
      <c r="C954" s="29">
        <v>46433.58333333333</v>
      </c>
      <c r="D954" s="29">
        <v>46433.60416666667</v>
      </c>
      <c r="E954" s="30">
        <v>0.5</v>
      </c>
      <c r="G954" s="2"/>
      <c r="H954" s="3" t="s">
        <v>7146</v>
      </c>
      <c r="I954" s="3" t="s">
        <v>7147</v>
      </c>
      <c r="J954" s="3" t="s">
        <v>7156</v>
      </c>
      <c r="K954" s="3" t="s">
        <v>7149</v>
      </c>
      <c r="L954" s="19">
        <v>4.0</v>
      </c>
      <c r="M954" s="3" t="s">
        <v>7235</v>
      </c>
      <c r="N954" s="3" t="s">
        <v>7235</v>
      </c>
      <c r="O954" s="3" t="s">
        <v>7964</v>
      </c>
      <c r="P954" s="19">
        <v>0.0</v>
      </c>
      <c r="Q954" s="19">
        <v>1.0</v>
      </c>
      <c r="R954" s="19">
        <v>0.0</v>
      </c>
      <c r="S954" s="19">
        <v>3.0</v>
      </c>
      <c r="T954" s="3" t="s">
        <v>166</v>
      </c>
      <c r="U954" s="3" t="s">
        <v>167</v>
      </c>
    </row>
    <row r="955">
      <c r="A955" s="3" t="s">
        <v>7896</v>
      </c>
      <c r="B955" s="3" t="s">
        <v>7463</v>
      </c>
      <c r="C955" s="29">
        <v>46433.60416666667</v>
      </c>
      <c r="D955" s="29">
        <v>46433.625</v>
      </c>
      <c r="E955" s="30">
        <v>0.5</v>
      </c>
      <c r="G955" s="3" t="s">
        <v>7541</v>
      </c>
      <c r="H955" s="3" t="s">
        <v>7146</v>
      </c>
      <c r="I955" s="3" t="s">
        <v>7338</v>
      </c>
      <c r="J955" s="3" t="s">
        <v>7288</v>
      </c>
      <c r="K955" s="3" t="s">
        <v>7149</v>
      </c>
      <c r="L955" s="19">
        <v>1.0</v>
      </c>
      <c r="M955" s="3" t="s">
        <v>7897</v>
      </c>
      <c r="N955" s="3" t="s">
        <v>7897</v>
      </c>
      <c r="O955" s="3" t="s">
        <v>7161</v>
      </c>
      <c r="P955" s="19">
        <v>1.0</v>
      </c>
      <c r="Q955" s="19">
        <v>0.0</v>
      </c>
      <c r="R955" s="19">
        <v>0.0</v>
      </c>
      <c r="S955" s="19">
        <v>0.0</v>
      </c>
      <c r="T955" s="3" t="s">
        <v>101</v>
      </c>
      <c r="U955" s="3" t="s">
        <v>511</v>
      </c>
    </row>
    <row r="956">
      <c r="A956" s="3" t="s">
        <v>7904</v>
      </c>
      <c r="B956" s="3" t="s">
        <v>7183</v>
      </c>
      <c r="C956" s="29">
        <v>46434.5</v>
      </c>
      <c r="D956" s="29">
        <v>46434.52083333333</v>
      </c>
      <c r="E956" s="30">
        <v>0.5</v>
      </c>
      <c r="G956" s="3" t="s">
        <v>7692</v>
      </c>
      <c r="H956" s="3" t="s">
        <v>7146</v>
      </c>
      <c r="I956" s="3" t="s">
        <v>7161</v>
      </c>
      <c r="J956" s="3" t="s">
        <v>7156</v>
      </c>
      <c r="K956" s="3" t="s">
        <v>7149</v>
      </c>
      <c r="L956" s="19">
        <v>2.0</v>
      </c>
      <c r="M956" s="3" t="s">
        <v>7905</v>
      </c>
      <c r="N956" s="3" t="s">
        <v>7906</v>
      </c>
      <c r="O956" s="3" t="s">
        <v>7944</v>
      </c>
      <c r="P956" s="19">
        <v>1.0</v>
      </c>
      <c r="Q956" s="19">
        <v>0.0</v>
      </c>
      <c r="R956" s="19">
        <v>1.0</v>
      </c>
      <c r="S956" s="19">
        <v>0.0</v>
      </c>
      <c r="T956" s="3" t="s">
        <v>184</v>
      </c>
      <c r="U956" s="3" t="s">
        <v>478</v>
      </c>
    </row>
    <row r="957">
      <c r="A957" s="3" t="s">
        <v>7901</v>
      </c>
      <c r="B957" s="3" t="s">
        <v>7689</v>
      </c>
      <c r="C957" s="29">
        <v>46434.5625</v>
      </c>
      <c r="D957" s="29">
        <v>46434.58333333333</v>
      </c>
      <c r="E957" s="30">
        <v>0.5</v>
      </c>
      <c r="G957" s="2"/>
      <c r="H957" s="3" t="s">
        <v>7146</v>
      </c>
      <c r="I957" s="3" t="s">
        <v>7338</v>
      </c>
      <c r="J957" s="3" t="s">
        <v>7288</v>
      </c>
      <c r="K957" s="3" t="s">
        <v>7149</v>
      </c>
      <c r="L957" s="19">
        <v>1.0</v>
      </c>
      <c r="M957" s="3" t="s">
        <v>7902</v>
      </c>
      <c r="N957" s="3" t="s">
        <v>7902</v>
      </c>
      <c r="O957" s="3" t="s">
        <v>7161</v>
      </c>
      <c r="P957" s="19">
        <v>1.0</v>
      </c>
      <c r="Q957" s="19">
        <v>0.0</v>
      </c>
      <c r="R957" s="19">
        <v>0.0</v>
      </c>
      <c r="S957" s="19">
        <v>0.0</v>
      </c>
      <c r="T957" s="3" t="s">
        <v>142</v>
      </c>
      <c r="U957" s="3" t="s">
        <v>143</v>
      </c>
    </row>
    <row r="958">
      <c r="A958" s="3" t="s">
        <v>7912</v>
      </c>
      <c r="B958" s="3" t="s">
        <v>7696</v>
      </c>
      <c r="C958" s="29">
        <v>46435.41666666667</v>
      </c>
      <c r="D958" s="29">
        <v>46435.4375</v>
      </c>
      <c r="E958" s="30">
        <v>0.5</v>
      </c>
      <c r="G958" s="2"/>
      <c r="H958" s="3" t="s">
        <v>7146</v>
      </c>
      <c r="I958" s="3" t="s">
        <v>7161</v>
      </c>
      <c r="J958" s="3" t="s">
        <v>7274</v>
      </c>
      <c r="K958" s="3" t="s">
        <v>7149</v>
      </c>
      <c r="L958" s="19">
        <v>1.0</v>
      </c>
      <c r="M958" s="3" t="s">
        <v>7288</v>
      </c>
      <c r="N958" s="3" t="s">
        <v>7288</v>
      </c>
      <c r="O958" s="3" t="s">
        <v>7161</v>
      </c>
      <c r="P958" s="19">
        <v>1.0</v>
      </c>
      <c r="Q958" s="19">
        <v>0.0</v>
      </c>
      <c r="R958" s="19">
        <v>0.0</v>
      </c>
      <c r="S958" s="19">
        <v>0.0</v>
      </c>
      <c r="T958" s="2"/>
      <c r="U958" s="2"/>
    </row>
    <row r="959">
      <c r="A959" s="3" t="s">
        <v>7866</v>
      </c>
      <c r="B959" s="3" t="s">
        <v>7238</v>
      </c>
      <c r="C959" s="29">
        <v>46436.3125</v>
      </c>
      <c r="D959" s="29">
        <v>46436.35416666667</v>
      </c>
      <c r="E959" s="30">
        <v>1.0</v>
      </c>
      <c r="F959" s="3" t="s">
        <v>7239</v>
      </c>
      <c r="G959" s="2"/>
      <c r="H959" s="3" t="s">
        <v>7146</v>
      </c>
      <c r="I959" s="3" t="s">
        <v>7240</v>
      </c>
      <c r="J959" s="3" t="s">
        <v>7241</v>
      </c>
      <c r="K959" s="3" t="s">
        <v>7149</v>
      </c>
      <c r="L959" s="19">
        <v>2.0</v>
      </c>
      <c r="M959" s="3" t="s">
        <v>7242</v>
      </c>
      <c r="N959" s="3" t="s">
        <v>7243</v>
      </c>
      <c r="O959" s="3" t="s">
        <v>7244</v>
      </c>
      <c r="P959" s="19">
        <v>0.0</v>
      </c>
      <c r="Q959" s="19">
        <v>0.0</v>
      </c>
      <c r="R959" s="19">
        <v>0.0</v>
      </c>
      <c r="S959" s="19">
        <v>2.0</v>
      </c>
      <c r="T959" s="2"/>
      <c r="U959" s="2"/>
    </row>
    <row r="960">
      <c r="A960" s="3" t="s">
        <v>7659</v>
      </c>
      <c r="B960" s="3" t="s">
        <v>7420</v>
      </c>
      <c r="C960" s="29">
        <v>46436.47916666667</v>
      </c>
      <c r="D960" s="29">
        <v>46436.5</v>
      </c>
      <c r="E960" s="30">
        <v>0.5</v>
      </c>
      <c r="F960" s="2"/>
      <c r="G960" s="2"/>
      <c r="H960" s="3" t="s">
        <v>7146</v>
      </c>
      <c r="I960" s="3" t="s">
        <v>7161</v>
      </c>
      <c r="J960" s="3" t="s">
        <v>7156</v>
      </c>
      <c r="K960" s="3" t="s">
        <v>7149</v>
      </c>
      <c r="L960" s="19">
        <v>5.0</v>
      </c>
      <c r="M960" s="3" t="s">
        <v>7571</v>
      </c>
      <c r="N960" s="3" t="s">
        <v>7571</v>
      </c>
      <c r="O960" s="3" t="s">
        <v>7970</v>
      </c>
      <c r="P960" s="19">
        <v>3.0</v>
      </c>
      <c r="Q960" s="19">
        <v>1.0</v>
      </c>
      <c r="R960" s="19">
        <v>0.0</v>
      </c>
      <c r="S960" s="19">
        <v>1.0</v>
      </c>
      <c r="T960" s="3" t="s">
        <v>125</v>
      </c>
      <c r="U960" s="3" t="s">
        <v>126</v>
      </c>
    </row>
    <row r="961">
      <c r="A961" s="3" t="s">
        <v>7804</v>
      </c>
      <c r="B961" s="3" t="s">
        <v>7805</v>
      </c>
      <c r="C961" s="29">
        <v>46436.5</v>
      </c>
      <c r="D961" s="29">
        <v>46436.52083333333</v>
      </c>
      <c r="E961" s="30">
        <v>0.5</v>
      </c>
      <c r="G961" s="2"/>
      <c r="H961" s="3" t="s">
        <v>7146</v>
      </c>
      <c r="I961" s="3" t="s">
        <v>7338</v>
      </c>
      <c r="J961" s="3" t="s">
        <v>7288</v>
      </c>
      <c r="K961" s="3" t="s">
        <v>7149</v>
      </c>
      <c r="L961" s="19">
        <v>1.0</v>
      </c>
      <c r="M961" s="3" t="s">
        <v>7806</v>
      </c>
      <c r="N961" s="3" t="s">
        <v>7806</v>
      </c>
      <c r="O961" s="3" t="s">
        <v>7161</v>
      </c>
      <c r="P961" s="19">
        <v>1.0</v>
      </c>
      <c r="Q961" s="19">
        <v>0.0</v>
      </c>
      <c r="R961" s="19">
        <v>0.0</v>
      </c>
      <c r="S961" s="19">
        <v>0.0</v>
      </c>
      <c r="T961" s="3" t="s">
        <v>157</v>
      </c>
      <c r="U961" s="3" t="s">
        <v>158</v>
      </c>
    </row>
    <row r="962">
      <c r="A962" s="3" t="s">
        <v>7927</v>
      </c>
      <c r="B962" s="3" t="s">
        <v>7928</v>
      </c>
      <c r="C962" s="29">
        <v>46436.70833333333</v>
      </c>
      <c r="D962" s="29">
        <v>46436.72916666667</v>
      </c>
      <c r="E962" s="30">
        <v>0.5</v>
      </c>
      <c r="G962" s="3" t="s">
        <v>7929</v>
      </c>
      <c r="H962" s="3" t="s">
        <v>7146</v>
      </c>
      <c r="I962" s="3" t="s">
        <v>7161</v>
      </c>
      <c r="J962" s="3" t="s">
        <v>7148</v>
      </c>
      <c r="K962" s="3" t="s">
        <v>7149</v>
      </c>
      <c r="L962" s="19">
        <v>10.0</v>
      </c>
      <c r="M962" s="3" t="s">
        <v>7930</v>
      </c>
      <c r="N962" s="3" t="s">
        <v>7931</v>
      </c>
      <c r="O962" s="3" t="s">
        <v>7932</v>
      </c>
      <c r="P962" s="19">
        <v>6.0</v>
      </c>
      <c r="Q962" s="19">
        <v>0.0</v>
      </c>
      <c r="R962" s="19">
        <v>1.0</v>
      </c>
      <c r="S962" s="19">
        <v>3.0</v>
      </c>
      <c r="T962" s="3" t="s">
        <v>160</v>
      </c>
      <c r="U962" s="3" t="s">
        <v>440</v>
      </c>
    </row>
    <row r="963">
      <c r="A963" s="2"/>
      <c r="B963" s="2"/>
      <c r="C963" s="31"/>
      <c r="D963" s="31"/>
      <c r="E963" s="32"/>
      <c r="G963" s="2"/>
      <c r="H963" s="2"/>
      <c r="I963" s="2"/>
      <c r="J963" s="2"/>
      <c r="K963" s="2"/>
      <c r="M963" s="2"/>
      <c r="N963" s="2"/>
      <c r="O963" s="2"/>
      <c r="T963" s="2"/>
      <c r="U963" s="2"/>
    </row>
    <row r="964">
      <c r="A964" s="2"/>
      <c r="B964" s="2"/>
      <c r="C964" s="31"/>
      <c r="D964" s="31"/>
      <c r="E964" s="32"/>
      <c r="F964" s="2"/>
      <c r="G964" s="2"/>
      <c r="H964" s="2"/>
      <c r="I964" s="2"/>
      <c r="J964" s="2"/>
      <c r="K964" s="2"/>
      <c r="M964" s="2"/>
      <c r="N964" s="2"/>
      <c r="O964" s="2"/>
      <c r="T964" s="2"/>
      <c r="U964" s="2"/>
    </row>
    <row r="965">
      <c r="A965" s="2"/>
      <c r="B965" s="2"/>
      <c r="C965" s="31"/>
      <c r="D965" s="31"/>
      <c r="E965" s="32"/>
      <c r="F965" s="2"/>
      <c r="G965" s="2"/>
      <c r="H965" s="2"/>
      <c r="I965" s="2"/>
      <c r="J965" s="2"/>
      <c r="K965" s="2"/>
      <c r="M965" s="2"/>
      <c r="N965" s="2"/>
      <c r="O965" s="2"/>
      <c r="T965" s="2"/>
      <c r="U965" s="2"/>
    </row>
    <row r="966">
      <c r="A966" s="2"/>
      <c r="B966" s="2"/>
      <c r="C966" s="31"/>
      <c r="D966" s="31"/>
      <c r="E966" s="32"/>
      <c r="G966" s="2"/>
      <c r="H966" s="2"/>
      <c r="I966" s="2"/>
      <c r="J966" s="2"/>
      <c r="K966" s="2"/>
      <c r="M966" s="2"/>
      <c r="N966" s="2"/>
      <c r="O966" s="2"/>
      <c r="T966" s="2"/>
      <c r="U966" s="2"/>
    </row>
    <row r="967">
      <c r="A967" s="2"/>
      <c r="B967" s="2"/>
      <c r="C967" s="31"/>
      <c r="D967" s="31"/>
      <c r="E967" s="32"/>
      <c r="G967" s="2"/>
      <c r="H967" s="2"/>
      <c r="I967" s="2"/>
      <c r="J967" s="2"/>
      <c r="K967" s="2"/>
      <c r="M967" s="2"/>
      <c r="N967" s="2"/>
      <c r="O967" s="2"/>
      <c r="T967" s="2"/>
      <c r="U967" s="2"/>
    </row>
    <row r="968">
      <c r="A968" s="2"/>
      <c r="B968" s="2"/>
      <c r="C968" s="31"/>
      <c r="D968" s="31"/>
      <c r="E968" s="32"/>
      <c r="G968" s="2"/>
      <c r="H968" s="2"/>
      <c r="I968" s="2"/>
      <c r="J968" s="2"/>
      <c r="K968" s="2"/>
      <c r="M968" s="2"/>
      <c r="N968" s="2"/>
      <c r="O968" s="2"/>
      <c r="T968" s="2"/>
      <c r="U968" s="2"/>
    </row>
    <row r="969">
      <c r="A969" s="2"/>
      <c r="B969" s="2"/>
      <c r="C969" s="31"/>
      <c r="D969" s="31"/>
      <c r="E969" s="32"/>
      <c r="F969" s="2"/>
      <c r="G969" s="2"/>
      <c r="H969" s="2"/>
      <c r="I969" s="2"/>
      <c r="J969" s="2"/>
      <c r="K969" s="2"/>
      <c r="M969" s="2"/>
      <c r="N969" s="2"/>
      <c r="O969" s="2"/>
      <c r="T969" s="2"/>
      <c r="U969" s="2"/>
    </row>
    <row r="970">
      <c r="A970" s="2"/>
      <c r="B970" s="2"/>
      <c r="C970" s="31"/>
      <c r="D970" s="31"/>
      <c r="E970" s="32"/>
      <c r="G970" s="2"/>
      <c r="H970" s="2"/>
      <c r="I970" s="2"/>
      <c r="J970" s="2"/>
      <c r="K970" s="2"/>
      <c r="M970" s="2"/>
      <c r="N970" s="2"/>
      <c r="O970" s="2"/>
      <c r="T970" s="2"/>
      <c r="U970" s="2"/>
    </row>
    <row r="971">
      <c r="A971" s="2"/>
      <c r="B971" s="2"/>
      <c r="C971" s="31"/>
      <c r="D971" s="31"/>
      <c r="E971" s="32"/>
      <c r="G971" s="2"/>
      <c r="H971" s="2"/>
      <c r="I971" s="2"/>
      <c r="J971" s="2"/>
      <c r="K971" s="2"/>
      <c r="M971" s="2"/>
      <c r="N971" s="2"/>
      <c r="O971" s="2"/>
      <c r="T971" s="2"/>
      <c r="U971" s="2"/>
    </row>
    <row r="972">
      <c r="A972" s="2"/>
      <c r="B972" s="2"/>
      <c r="C972" s="31"/>
      <c r="D972" s="31"/>
      <c r="E972" s="32"/>
      <c r="F972" s="2"/>
      <c r="H972" s="2"/>
      <c r="I972" s="2"/>
      <c r="J972" s="2"/>
      <c r="K972" s="2"/>
      <c r="M972" s="2"/>
      <c r="N972" s="2"/>
      <c r="O972" s="2"/>
    </row>
    <row r="973">
      <c r="A973" s="2"/>
      <c r="B973" s="2"/>
      <c r="C973" s="31"/>
      <c r="D973" s="31"/>
      <c r="E973" s="32"/>
      <c r="F973" s="2"/>
      <c r="H973" s="2"/>
      <c r="I973" s="2"/>
      <c r="J973" s="2"/>
      <c r="K973" s="2"/>
      <c r="M973" s="2"/>
      <c r="N973" s="2"/>
      <c r="O973" s="2"/>
      <c r="T973" s="2"/>
      <c r="U973" s="2"/>
    </row>
    <row r="974">
      <c r="A974" s="2"/>
      <c r="B974" s="2"/>
      <c r="C974" s="31"/>
      <c r="D974" s="31"/>
      <c r="E974" s="32"/>
      <c r="H974" s="2"/>
      <c r="I974" s="2"/>
      <c r="J974" s="2"/>
      <c r="K974" s="2"/>
      <c r="M974" s="2"/>
      <c r="N974" s="2"/>
      <c r="O974" s="2"/>
      <c r="T974" s="2"/>
      <c r="U974" s="2"/>
    </row>
    <row r="975">
      <c r="A975" s="2"/>
      <c r="B975" s="2"/>
      <c r="C975" s="31"/>
      <c r="D975" s="31"/>
      <c r="E975" s="32"/>
      <c r="G975" s="2"/>
      <c r="H975" s="2"/>
      <c r="I975" s="2"/>
      <c r="J975" s="2"/>
      <c r="K975" s="2"/>
      <c r="M975" s="2"/>
      <c r="N975" s="2"/>
      <c r="O975" s="2"/>
      <c r="T975" s="2"/>
      <c r="U975" s="2"/>
    </row>
    <row r="976">
      <c r="A976" s="2"/>
      <c r="B976" s="2"/>
      <c r="C976" s="31"/>
      <c r="D976" s="31"/>
      <c r="E976" s="32"/>
      <c r="G976" s="2"/>
      <c r="H976" s="2"/>
      <c r="I976" s="2"/>
      <c r="J976" s="2"/>
      <c r="K976" s="2"/>
      <c r="M976" s="2"/>
      <c r="N976" s="2"/>
      <c r="O976" s="2"/>
      <c r="T976" s="2"/>
      <c r="U976" s="2"/>
    </row>
    <row r="977">
      <c r="A977" s="2"/>
      <c r="B977" s="2"/>
      <c r="C977" s="31"/>
      <c r="D977" s="31"/>
      <c r="E977" s="32"/>
      <c r="F977" s="2"/>
      <c r="G977" s="2"/>
      <c r="H977" s="2"/>
      <c r="I977" s="2"/>
      <c r="J977" s="2"/>
      <c r="K977" s="2"/>
      <c r="M977" s="2"/>
      <c r="N977" s="2"/>
      <c r="O977" s="2"/>
    </row>
    <row r="978">
      <c r="A978" s="2"/>
      <c r="B978" s="2"/>
      <c r="C978" s="31"/>
      <c r="D978" s="31"/>
      <c r="E978" s="32"/>
      <c r="H978" s="2"/>
      <c r="I978" s="2"/>
      <c r="J978" s="2"/>
      <c r="K978" s="2"/>
      <c r="M978" s="2"/>
      <c r="N978" s="2"/>
      <c r="O978" s="2"/>
    </row>
    <row r="979">
      <c r="A979" s="2"/>
      <c r="B979" s="2"/>
      <c r="C979" s="31"/>
      <c r="D979" s="31"/>
      <c r="E979" s="32"/>
      <c r="H979" s="2"/>
      <c r="I979" s="2"/>
      <c r="J979" s="2"/>
      <c r="K979" s="2"/>
      <c r="M979" s="2"/>
      <c r="N979" s="2"/>
      <c r="O979" s="2"/>
    </row>
    <row r="980">
      <c r="A980" s="2"/>
      <c r="B980" s="2"/>
      <c r="C980" s="31"/>
      <c r="D980" s="31"/>
      <c r="E980" s="32"/>
      <c r="G980" s="2"/>
      <c r="H980" s="2"/>
      <c r="I980" s="2"/>
      <c r="J980" s="2"/>
      <c r="K980" s="2"/>
      <c r="M980" s="2"/>
      <c r="N980" s="2"/>
      <c r="O980" s="2"/>
    </row>
    <row r="981">
      <c r="A981" s="2"/>
      <c r="B981" s="2"/>
      <c r="C981" s="31"/>
      <c r="D981" s="31"/>
      <c r="E981" s="32"/>
      <c r="H981" s="2"/>
      <c r="I981" s="2"/>
      <c r="J981" s="2"/>
      <c r="K981" s="2"/>
    </row>
    <row r="982">
      <c r="A982" s="2"/>
      <c r="B982" s="2"/>
      <c r="C982" s="31"/>
      <c r="D982" s="31"/>
      <c r="E982" s="32"/>
      <c r="F982" s="2"/>
      <c r="H982" s="2"/>
      <c r="I982" s="2"/>
      <c r="J982" s="2"/>
      <c r="K982" s="2"/>
      <c r="M982" s="2"/>
      <c r="N982" s="2"/>
      <c r="O982" s="2"/>
    </row>
    <row r="983">
      <c r="A983" s="2"/>
      <c r="B983" s="2"/>
      <c r="C983" s="31"/>
      <c r="D983" s="31"/>
      <c r="E983" s="32"/>
      <c r="G983" s="2"/>
      <c r="H983" s="2"/>
      <c r="I983" s="2"/>
      <c r="J983" s="2"/>
      <c r="K983" s="2"/>
      <c r="M983" s="2"/>
      <c r="N983" s="2"/>
      <c r="O983" s="2"/>
    </row>
    <row r="984">
      <c r="A984" s="2"/>
      <c r="B984" s="2"/>
      <c r="C984" s="31"/>
      <c r="D984" s="31"/>
      <c r="E984" s="32"/>
      <c r="G984" s="2"/>
      <c r="H984" s="2"/>
      <c r="I984" s="2"/>
      <c r="J984" s="2"/>
      <c r="K984" s="2"/>
      <c r="M984" s="2"/>
      <c r="N984" s="2"/>
      <c r="O984" s="2"/>
    </row>
    <row r="985">
      <c r="A985" s="2"/>
      <c r="B985" s="2"/>
      <c r="C985" s="31"/>
      <c r="D985" s="31"/>
      <c r="E985" s="32"/>
      <c r="H985" s="2"/>
      <c r="I985" s="2"/>
      <c r="J985" s="2"/>
      <c r="K985" s="2"/>
      <c r="M985" s="2"/>
      <c r="N985" s="2"/>
      <c r="O985" s="2"/>
    </row>
    <row r="986">
      <c r="A986" s="2"/>
      <c r="B986" s="2"/>
      <c r="C986" s="31"/>
      <c r="D986" s="31"/>
      <c r="E986" s="32"/>
      <c r="G986" s="2"/>
      <c r="H986" s="2"/>
      <c r="I986" s="2"/>
      <c r="J986" s="2"/>
      <c r="K986" s="2"/>
      <c r="M986" s="2"/>
      <c r="N986" s="2"/>
      <c r="O986" s="2"/>
    </row>
    <row r="987">
      <c r="A987" s="2"/>
      <c r="B987" s="2"/>
      <c r="C987" s="31"/>
      <c r="D987" s="31"/>
      <c r="E987" s="32"/>
      <c r="H987" s="2"/>
      <c r="I987" s="2"/>
      <c r="J987" s="2"/>
      <c r="K987" s="2"/>
    </row>
    <row r="988">
      <c r="A988" s="2"/>
      <c r="B988" s="2"/>
      <c r="C988" s="31"/>
      <c r="D988" s="31"/>
      <c r="E988" s="32"/>
      <c r="F988" s="2"/>
      <c r="G988" s="2"/>
      <c r="H988" s="2"/>
      <c r="I988" s="2"/>
      <c r="J988" s="2"/>
      <c r="K988" s="2"/>
      <c r="M988" s="2"/>
      <c r="N988" s="2"/>
      <c r="O988" s="2"/>
    </row>
    <row r="989">
      <c r="A989" s="2"/>
      <c r="B989" s="2"/>
      <c r="C989" s="31"/>
      <c r="D989" s="31"/>
      <c r="E989" s="32"/>
      <c r="F989" s="2"/>
      <c r="G989" s="2"/>
      <c r="H989" s="2"/>
      <c r="I989" s="2"/>
      <c r="J989" s="2"/>
      <c r="K989" s="2"/>
      <c r="M989" s="2"/>
      <c r="N989" s="2"/>
      <c r="O989" s="2"/>
    </row>
    <row r="990">
      <c r="A990" s="2"/>
      <c r="B990" s="2"/>
      <c r="C990" s="31"/>
      <c r="D990" s="31"/>
      <c r="E990" s="32"/>
      <c r="H990" s="2"/>
      <c r="I990" s="2"/>
      <c r="J990" s="2"/>
      <c r="K990" s="2"/>
      <c r="M990" s="2"/>
      <c r="N990" s="2"/>
      <c r="O990" s="2"/>
    </row>
    <row r="991">
      <c r="A991" s="2"/>
      <c r="B991" s="2"/>
      <c r="C991" s="31"/>
      <c r="D991" s="31"/>
      <c r="E991" s="32"/>
      <c r="H991" s="2"/>
      <c r="I991" s="2"/>
      <c r="J991" s="2"/>
      <c r="K991" s="2"/>
      <c r="M991" s="2"/>
      <c r="N991" s="2"/>
      <c r="O991" s="2"/>
    </row>
    <row r="992">
      <c r="A992" s="2"/>
      <c r="B992" s="2"/>
      <c r="C992" s="31"/>
      <c r="D992" s="31"/>
      <c r="E992" s="32"/>
      <c r="H992" s="2"/>
      <c r="I992" s="2"/>
      <c r="J992" s="2"/>
      <c r="K992" s="2"/>
    </row>
    <row r="993">
      <c r="A993" s="2"/>
      <c r="B993" s="2"/>
      <c r="C993" s="31"/>
      <c r="D993" s="31"/>
      <c r="E993" s="32"/>
      <c r="H993" s="2"/>
      <c r="I993" s="2"/>
      <c r="J993" s="2"/>
      <c r="K993" s="2"/>
    </row>
    <row r="994">
      <c r="A994" s="2"/>
      <c r="B994" s="2"/>
      <c r="C994" s="31"/>
      <c r="D994" s="31"/>
      <c r="E994" s="32"/>
      <c r="G994" s="2"/>
      <c r="H994" s="2"/>
      <c r="I994" s="2"/>
      <c r="J994" s="2"/>
      <c r="K994" s="2"/>
      <c r="M994" s="2"/>
      <c r="N994" s="2"/>
      <c r="O994" s="2"/>
    </row>
    <row r="995">
      <c r="A995" s="2"/>
      <c r="B995" s="2"/>
      <c r="C995" s="31"/>
      <c r="D995" s="31"/>
      <c r="E995" s="32"/>
      <c r="H995" s="2"/>
      <c r="I995" s="2"/>
      <c r="J995" s="2"/>
      <c r="K995" s="2"/>
      <c r="M995" s="2"/>
      <c r="N995" s="2"/>
      <c r="O995" s="2"/>
    </row>
    <row r="996">
      <c r="A996" s="2"/>
      <c r="B996" s="2"/>
      <c r="C996" s="31"/>
      <c r="D996" s="31"/>
      <c r="E996" s="32"/>
      <c r="H996" s="2"/>
      <c r="I996" s="2"/>
      <c r="J996" s="2"/>
      <c r="K996" s="2"/>
      <c r="M996" s="2"/>
      <c r="N996" s="2"/>
      <c r="O996" s="2"/>
    </row>
    <row r="997">
      <c r="A997" s="2"/>
      <c r="B997" s="2"/>
      <c r="C997" s="31"/>
      <c r="D997" s="31"/>
      <c r="E997" s="32"/>
      <c r="H997" s="2"/>
      <c r="I997" s="2"/>
      <c r="J997" s="2"/>
      <c r="K997" s="2"/>
      <c r="M997" s="2"/>
      <c r="N997" s="2"/>
      <c r="O997" s="2"/>
    </row>
    <row r="998">
      <c r="A998" s="2"/>
      <c r="B998" s="2"/>
      <c r="C998" s="31"/>
      <c r="D998" s="31"/>
      <c r="E998" s="32"/>
      <c r="H998" s="2"/>
      <c r="I998" s="2"/>
      <c r="J998" s="2"/>
      <c r="K998" s="2"/>
    </row>
    <row r="999">
      <c r="A999" s="2"/>
      <c r="B999" s="2"/>
      <c r="C999" s="31"/>
      <c r="D999" s="31"/>
      <c r="E999" s="32"/>
      <c r="H999" s="2"/>
      <c r="I999" s="2"/>
      <c r="J999" s="2"/>
      <c r="K999" s="2"/>
    </row>
    <row r="1000">
      <c r="A1000" s="2"/>
      <c r="B1000" s="2"/>
      <c r="C1000" s="31"/>
      <c r="D1000" s="31"/>
      <c r="E1000" s="32"/>
      <c r="H1000" s="2"/>
      <c r="I1000" s="2"/>
      <c r="J1000" s="2"/>
      <c r="K1000" s="2"/>
      <c r="M1000" s="2"/>
      <c r="N1000" s="2"/>
      <c r="O1000" s="2"/>
    </row>
    <row r="1001">
      <c r="A1001" s="2"/>
      <c r="B1001" s="2"/>
      <c r="C1001" s="31"/>
      <c r="D1001" s="31"/>
      <c r="E1001" s="32"/>
      <c r="G1001" s="2"/>
      <c r="H1001" s="2"/>
      <c r="I1001" s="2"/>
      <c r="J1001" s="2"/>
      <c r="K1001" s="2"/>
      <c r="M1001" s="2"/>
      <c r="N1001" s="2"/>
      <c r="O1001" s="2"/>
    </row>
    <row r="1002">
      <c r="A1002" s="2"/>
      <c r="B1002" s="2"/>
      <c r="C1002" s="31"/>
      <c r="D1002" s="31"/>
      <c r="E1002" s="32"/>
      <c r="H1002" s="2"/>
      <c r="I1002" s="2"/>
      <c r="J1002" s="2"/>
      <c r="K1002" s="2"/>
    </row>
    <row r="1003">
      <c r="A1003" s="2"/>
      <c r="B1003" s="2"/>
      <c r="C1003" s="31"/>
      <c r="D1003" s="31"/>
      <c r="E1003" s="32"/>
      <c r="G1003" s="2"/>
      <c r="H1003" s="2"/>
      <c r="I1003" s="2"/>
      <c r="J1003" s="2"/>
      <c r="K1003" s="2"/>
      <c r="M1003" s="2"/>
      <c r="N1003" s="2"/>
      <c r="O1003" s="2"/>
    </row>
    <row r="1004">
      <c r="A1004" s="2"/>
      <c r="B1004" s="2"/>
      <c r="C1004" s="31"/>
      <c r="D1004" s="31"/>
      <c r="E1004" s="32"/>
      <c r="H1004" s="2"/>
      <c r="I1004" s="2"/>
      <c r="J1004" s="2"/>
      <c r="K1004" s="2"/>
      <c r="M1004" s="2"/>
      <c r="N1004" s="2"/>
      <c r="O1004" s="2"/>
    </row>
    <row r="1005">
      <c r="A1005" s="2"/>
      <c r="B1005" s="2"/>
      <c r="C1005" s="31"/>
      <c r="D1005" s="31"/>
      <c r="E1005" s="32"/>
      <c r="G1005" s="2"/>
      <c r="H1005" s="2"/>
      <c r="I1005" s="2"/>
      <c r="J1005" s="2"/>
      <c r="K1005" s="2"/>
      <c r="M1005" s="2"/>
      <c r="N1005" s="2"/>
      <c r="O1005" s="2"/>
    </row>
    <row r="1006">
      <c r="A1006" s="2"/>
      <c r="B1006" s="2"/>
      <c r="C1006" s="31"/>
      <c r="D1006" s="31"/>
      <c r="E1006" s="32"/>
      <c r="H1006" s="2"/>
      <c r="I1006" s="2"/>
      <c r="J1006" s="2"/>
      <c r="K1006" s="2"/>
    </row>
    <row r="1007">
      <c r="A1007" s="2"/>
      <c r="B1007" s="2"/>
      <c r="C1007" s="31"/>
      <c r="D1007" s="31"/>
      <c r="E1007" s="32"/>
      <c r="F1007" s="2"/>
      <c r="G1007" s="2"/>
      <c r="H1007" s="2"/>
      <c r="I1007" s="2"/>
      <c r="J1007" s="2"/>
      <c r="K1007" s="2"/>
      <c r="M1007" s="2"/>
      <c r="N1007" s="2"/>
      <c r="O1007" s="2"/>
    </row>
    <row r="1008">
      <c r="A1008" s="2"/>
      <c r="B1008" s="2"/>
      <c r="C1008" s="31"/>
      <c r="D1008" s="31"/>
      <c r="E1008" s="32"/>
      <c r="F1008" s="2"/>
      <c r="G1008" s="2"/>
      <c r="H1008" s="2"/>
      <c r="I1008" s="2"/>
      <c r="J1008" s="2"/>
      <c r="K1008" s="2"/>
      <c r="M1008" s="2"/>
      <c r="N1008" s="2"/>
      <c r="O1008" s="2"/>
    </row>
    <row r="1009">
      <c r="A1009" s="2"/>
      <c r="B1009" s="2"/>
      <c r="C1009" s="31"/>
      <c r="D1009" s="31"/>
      <c r="E1009" s="32"/>
      <c r="H1009" s="2"/>
      <c r="I1009" s="2"/>
      <c r="J1009" s="2"/>
      <c r="K1009" s="2"/>
      <c r="M1009" s="2"/>
      <c r="N1009" s="2"/>
      <c r="O1009" s="2"/>
    </row>
    <row r="1010">
      <c r="A1010" s="2"/>
      <c r="B1010" s="2"/>
      <c r="C1010" s="31"/>
      <c r="D1010" s="31"/>
      <c r="E1010" s="32"/>
      <c r="H1010" s="2"/>
      <c r="I1010" s="2"/>
      <c r="J1010" s="2"/>
      <c r="K1010" s="2"/>
      <c r="M1010" s="2"/>
      <c r="N1010" s="2"/>
      <c r="O1010" s="2"/>
    </row>
    <row r="1011">
      <c r="A1011" s="2"/>
      <c r="B1011" s="2"/>
      <c r="C1011" s="31"/>
      <c r="D1011" s="31"/>
      <c r="E1011" s="32"/>
      <c r="H1011" s="2"/>
      <c r="I1011" s="2"/>
      <c r="J1011" s="2"/>
      <c r="K1011" s="2"/>
    </row>
    <row r="1012">
      <c r="A1012" s="2"/>
      <c r="B1012" s="2"/>
      <c r="C1012" s="31"/>
      <c r="D1012" s="31"/>
      <c r="E1012" s="32"/>
      <c r="F1012" s="2"/>
      <c r="G1012" s="2"/>
      <c r="H1012" s="2"/>
      <c r="I1012" s="2"/>
      <c r="J1012" s="2"/>
      <c r="K1012" s="2"/>
      <c r="M1012" s="2"/>
      <c r="N1012" s="2"/>
      <c r="O1012" s="2"/>
    </row>
    <row r="1013">
      <c r="A1013" s="2"/>
      <c r="B1013" s="2"/>
      <c r="C1013" s="31"/>
      <c r="D1013" s="31"/>
      <c r="E1013" s="32"/>
      <c r="H1013" s="2"/>
      <c r="I1013" s="2"/>
      <c r="J1013" s="2"/>
      <c r="K1013" s="2"/>
    </row>
    <row r="1014">
      <c r="A1014" s="2"/>
      <c r="B1014" s="2"/>
      <c r="C1014" s="31"/>
      <c r="D1014" s="31"/>
      <c r="E1014" s="32"/>
      <c r="H1014" s="2"/>
      <c r="I1014" s="2"/>
      <c r="J1014" s="2"/>
      <c r="K1014" s="2"/>
      <c r="M1014" s="2"/>
      <c r="N1014" s="2"/>
      <c r="O1014" s="2"/>
    </row>
    <row r="1015">
      <c r="A1015" s="2"/>
      <c r="B1015" s="2"/>
      <c r="C1015" s="31"/>
      <c r="D1015" s="31"/>
      <c r="E1015" s="32"/>
      <c r="H1015" s="2"/>
      <c r="I1015" s="2"/>
      <c r="J1015" s="2"/>
      <c r="K1015" s="2"/>
      <c r="M1015" s="2"/>
      <c r="N1015" s="2"/>
      <c r="O1015" s="2"/>
    </row>
    <row r="1016">
      <c r="A1016" s="2"/>
      <c r="B1016" s="2"/>
      <c r="C1016" s="31"/>
      <c r="D1016" s="31"/>
      <c r="E1016" s="32"/>
      <c r="G1016" s="2"/>
      <c r="H1016" s="2"/>
      <c r="I1016" s="2"/>
      <c r="J1016" s="2"/>
      <c r="K1016" s="2"/>
      <c r="M1016" s="2"/>
      <c r="N1016" s="2"/>
      <c r="O1016" s="2"/>
    </row>
    <row r="1017">
      <c r="A1017" s="2"/>
      <c r="B1017" s="2"/>
      <c r="C1017" s="31"/>
      <c r="D1017" s="31"/>
      <c r="E1017" s="32"/>
      <c r="H1017" s="2"/>
      <c r="I1017" s="2"/>
      <c r="J1017" s="2"/>
      <c r="K1017" s="2"/>
    </row>
    <row r="1018">
      <c r="A1018" s="2"/>
      <c r="B1018" s="2"/>
      <c r="C1018" s="31"/>
      <c r="D1018" s="31"/>
      <c r="E1018" s="32"/>
      <c r="H1018" s="2"/>
      <c r="I1018" s="2"/>
      <c r="J1018" s="2"/>
      <c r="K1018" s="2"/>
      <c r="M1018" s="2"/>
      <c r="N1018" s="2"/>
      <c r="O1018" s="2"/>
    </row>
    <row r="1019">
      <c r="A1019" s="2"/>
      <c r="B1019" s="2"/>
      <c r="C1019" s="31"/>
      <c r="D1019" s="31"/>
      <c r="E1019" s="32"/>
      <c r="H1019" s="2"/>
      <c r="I1019" s="2"/>
      <c r="J1019" s="2"/>
      <c r="K1019" s="2"/>
    </row>
    <row r="1020">
      <c r="A1020" s="2"/>
      <c r="B1020" s="2"/>
      <c r="C1020" s="31"/>
      <c r="D1020" s="31"/>
      <c r="E1020" s="32"/>
      <c r="F1020" s="2"/>
      <c r="G1020" s="2"/>
      <c r="H1020" s="2"/>
      <c r="I1020" s="2"/>
      <c r="J1020" s="2"/>
      <c r="K1020" s="2"/>
      <c r="M1020" s="2"/>
      <c r="N1020" s="2"/>
      <c r="O1020" s="2"/>
    </row>
    <row r="1021">
      <c r="A1021" s="2"/>
      <c r="B1021" s="2"/>
      <c r="C1021" s="31"/>
      <c r="D1021" s="31"/>
      <c r="E1021" s="32"/>
      <c r="H1021" s="2"/>
      <c r="I1021" s="2"/>
      <c r="J1021" s="2"/>
      <c r="K1021" s="2"/>
      <c r="M1021" s="2"/>
      <c r="N1021" s="2"/>
      <c r="O1021" s="2"/>
    </row>
    <row r="1022">
      <c r="A1022" s="2"/>
      <c r="B1022" s="2"/>
      <c r="C1022" s="31"/>
      <c r="D1022" s="31"/>
      <c r="E1022" s="32"/>
      <c r="H1022" s="2"/>
      <c r="I1022" s="2"/>
      <c r="J1022" s="2"/>
      <c r="K1022" s="2"/>
      <c r="M1022" s="2"/>
      <c r="N1022" s="2"/>
      <c r="O1022" s="2"/>
    </row>
    <row r="1023">
      <c r="A1023" s="2"/>
      <c r="B1023" s="2"/>
      <c r="C1023" s="31"/>
      <c r="D1023" s="31"/>
      <c r="E1023" s="32"/>
      <c r="G1023" s="2"/>
      <c r="H1023" s="2"/>
      <c r="I1023" s="2"/>
      <c r="J1023" s="2"/>
      <c r="K1023" s="2"/>
      <c r="M1023" s="2"/>
      <c r="N1023" s="2"/>
      <c r="O1023" s="2"/>
    </row>
    <row r="1024">
      <c r="A1024" s="2"/>
      <c r="B1024" s="2"/>
      <c r="C1024" s="31"/>
      <c r="D1024" s="31"/>
      <c r="E1024" s="32"/>
      <c r="H1024" s="2"/>
      <c r="I1024" s="2"/>
      <c r="J1024" s="2"/>
      <c r="K1024" s="2"/>
    </row>
    <row r="1025">
      <c r="A1025" s="2"/>
      <c r="B1025" s="2"/>
      <c r="C1025" s="31"/>
      <c r="D1025" s="31"/>
      <c r="E1025" s="32"/>
      <c r="F1025" s="2"/>
      <c r="H1025" s="2"/>
      <c r="I1025" s="2"/>
      <c r="J1025" s="2"/>
      <c r="K1025" s="2"/>
      <c r="M1025" s="2"/>
      <c r="N1025" s="2"/>
      <c r="O1025" s="2"/>
    </row>
    <row r="1026">
      <c r="A1026" s="2"/>
      <c r="B1026" s="2"/>
      <c r="C1026" s="31"/>
      <c r="D1026" s="31"/>
      <c r="E1026" s="32"/>
      <c r="G1026" s="2"/>
      <c r="H1026" s="2"/>
      <c r="I1026" s="2"/>
      <c r="J1026" s="2"/>
      <c r="K1026" s="2"/>
      <c r="M1026" s="2"/>
      <c r="N1026" s="2"/>
      <c r="O1026" s="2"/>
    </row>
    <row r="1027">
      <c r="A1027" s="2"/>
      <c r="B1027" s="2"/>
      <c r="C1027" s="31"/>
      <c r="D1027" s="31"/>
      <c r="E1027" s="32"/>
      <c r="G1027" s="2"/>
      <c r="H1027" s="2"/>
      <c r="I1027" s="2"/>
      <c r="J1027" s="2"/>
      <c r="K1027" s="2"/>
      <c r="M1027" s="2"/>
      <c r="N1027" s="2"/>
      <c r="O1027" s="2"/>
    </row>
    <row r="1028">
      <c r="A1028" s="2"/>
      <c r="B1028" s="2"/>
      <c r="C1028" s="31"/>
      <c r="D1028" s="31"/>
      <c r="E1028" s="32"/>
      <c r="H1028" s="2"/>
      <c r="I1028" s="2"/>
      <c r="J1028" s="2"/>
      <c r="K1028" s="2"/>
      <c r="M1028" s="2"/>
      <c r="N1028" s="2"/>
      <c r="O1028" s="2"/>
    </row>
    <row r="1029">
      <c r="A1029" s="2"/>
      <c r="B1029" s="2"/>
      <c r="C1029" s="31"/>
      <c r="D1029" s="31"/>
      <c r="E1029" s="32"/>
      <c r="H1029" s="2"/>
      <c r="I1029" s="2"/>
      <c r="J1029" s="2"/>
      <c r="K1029" s="2"/>
    </row>
    <row r="1030">
      <c r="A1030" s="2"/>
      <c r="B1030" s="2"/>
      <c r="C1030" s="31"/>
      <c r="D1030" s="31"/>
      <c r="E1030" s="32"/>
      <c r="F1030" s="2"/>
      <c r="G1030" s="2"/>
      <c r="H1030" s="2"/>
      <c r="I1030" s="2"/>
      <c r="J1030" s="2"/>
      <c r="K1030" s="2"/>
      <c r="M1030" s="2"/>
      <c r="N1030" s="2"/>
      <c r="O1030" s="2"/>
    </row>
    <row r="1031">
      <c r="A1031" s="2"/>
      <c r="B1031" s="2"/>
      <c r="C1031" s="31"/>
      <c r="D1031" s="31"/>
      <c r="E1031" s="32"/>
      <c r="F1031" s="2"/>
      <c r="G1031" s="2"/>
      <c r="H1031" s="2"/>
      <c r="I1031" s="2"/>
      <c r="J1031" s="2"/>
      <c r="K1031" s="2"/>
      <c r="M1031" s="2"/>
      <c r="N1031" s="2"/>
      <c r="O1031" s="2"/>
    </row>
    <row r="1032">
      <c r="A1032" s="2"/>
      <c r="B1032" s="2"/>
      <c r="C1032" s="31"/>
      <c r="D1032" s="31"/>
      <c r="E1032" s="32"/>
      <c r="H1032" s="2"/>
      <c r="I1032" s="2"/>
      <c r="J1032" s="2"/>
      <c r="K1032" s="2"/>
      <c r="M1032" s="2"/>
      <c r="N1032" s="2"/>
      <c r="O1032" s="2"/>
    </row>
    <row r="1033">
      <c r="A1033" s="2"/>
      <c r="B1033" s="2"/>
      <c r="C1033" s="31"/>
      <c r="D1033" s="31"/>
      <c r="E1033" s="32"/>
      <c r="H1033" s="2"/>
      <c r="I1033" s="2"/>
      <c r="J1033" s="2"/>
      <c r="K1033" s="2"/>
      <c r="M1033" s="2"/>
      <c r="N1033" s="2"/>
      <c r="O1033" s="2"/>
    </row>
    <row r="1034">
      <c r="A1034" s="2"/>
      <c r="B1034" s="2"/>
      <c r="C1034" s="31"/>
      <c r="D1034" s="31"/>
      <c r="E1034" s="32"/>
      <c r="H1034" s="2"/>
      <c r="I1034" s="2"/>
      <c r="J1034" s="2"/>
      <c r="K1034" s="2"/>
    </row>
    <row r="1035">
      <c r="A1035" s="2"/>
      <c r="B1035" s="2"/>
      <c r="C1035" s="31"/>
      <c r="D1035" s="31"/>
      <c r="E1035" s="32"/>
      <c r="H1035" s="2"/>
      <c r="I1035" s="2"/>
      <c r="J1035" s="2"/>
      <c r="K1035" s="2"/>
    </row>
    <row r="1036">
      <c r="A1036" s="2"/>
      <c r="B1036" s="2"/>
      <c r="C1036" s="31"/>
      <c r="D1036" s="31"/>
      <c r="E1036" s="32"/>
      <c r="H1036" s="2"/>
      <c r="I1036" s="2"/>
      <c r="J1036" s="2"/>
      <c r="K1036" s="2"/>
      <c r="M1036" s="2"/>
      <c r="N1036" s="2"/>
      <c r="O1036" s="2"/>
    </row>
    <row r="1037">
      <c r="A1037" s="2"/>
      <c r="B1037" s="2"/>
      <c r="C1037" s="31"/>
      <c r="D1037" s="31"/>
      <c r="E1037" s="32"/>
      <c r="H1037" s="2"/>
      <c r="I1037" s="2"/>
      <c r="J1037" s="2"/>
      <c r="K1037" s="2"/>
      <c r="M1037" s="2"/>
      <c r="N1037" s="2"/>
      <c r="O1037" s="2"/>
    </row>
    <row r="1038">
      <c r="A1038" s="2"/>
      <c r="B1038" s="2"/>
      <c r="C1038" s="31"/>
      <c r="D1038" s="31"/>
      <c r="E1038" s="32"/>
      <c r="H1038" s="2"/>
      <c r="I1038" s="2"/>
      <c r="J1038" s="2"/>
      <c r="K1038" s="2"/>
      <c r="M1038" s="2"/>
      <c r="N1038" s="2"/>
      <c r="O1038" s="2"/>
    </row>
    <row r="1039">
      <c r="A1039" s="2"/>
      <c r="B1039" s="2"/>
      <c r="C1039" s="31"/>
      <c r="D1039" s="31"/>
      <c r="E1039" s="32"/>
      <c r="H1039" s="2"/>
      <c r="I1039" s="2"/>
      <c r="J1039" s="2"/>
      <c r="K1039" s="2"/>
      <c r="M1039" s="2"/>
      <c r="N1039" s="2"/>
      <c r="O1039" s="2"/>
    </row>
    <row r="1040">
      <c r="A1040" s="2"/>
      <c r="B1040" s="2"/>
      <c r="C1040" s="31"/>
      <c r="D1040" s="31"/>
      <c r="E1040" s="32"/>
      <c r="H1040" s="2"/>
      <c r="I1040" s="2"/>
      <c r="J1040" s="2"/>
      <c r="K1040" s="2"/>
      <c r="M1040" s="2"/>
      <c r="N1040" s="2"/>
      <c r="O1040" s="2"/>
    </row>
    <row r="1041">
      <c r="A1041" s="2"/>
      <c r="B1041" s="2"/>
      <c r="C1041" s="31"/>
      <c r="D1041" s="31"/>
      <c r="E1041" s="32"/>
      <c r="H1041" s="2"/>
      <c r="I1041" s="2"/>
      <c r="J1041" s="2"/>
      <c r="K1041" s="2"/>
      <c r="M1041" s="2"/>
      <c r="N1041" s="2"/>
      <c r="O1041" s="2"/>
    </row>
    <row r="1042">
      <c r="A1042" s="2"/>
      <c r="B1042" s="2"/>
      <c r="C1042" s="31"/>
      <c r="D1042" s="31"/>
      <c r="E1042" s="32"/>
      <c r="H1042" s="2"/>
      <c r="I1042" s="2"/>
      <c r="J1042" s="2"/>
      <c r="K1042" s="2"/>
    </row>
    <row r="1043">
      <c r="A1043" s="2"/>
      <c r="B1043" s="2"/>
      <c r="C1043" s="31"/>
      <c r="D1043" s="31"/>
      <c r="E1043" s="32"/>
      <c r="H1043" s="2"/>
      <c r="I1043" s="2"/>
      <c r="J1043" s="2"/>
      <c r="K1043" s="2"/>
    </row>
    <row r="1044">
      <c r="A1044" s="2"/>
      <c r="B1044" s="2"/>
      <c r="C1044" s="31"/>
      <c r="D1044" s="31"/>
      <c r="E1044" s="32"/>
      <c r="H1044" s="2"/>
      <c r="I1044" s="2"/>
      <c r="J1044" s="2"/>
      <c r="K1044" s="2"/>
      <c r="M1044" s="2"/>
      <c r="N1044" s="2"/>
      <c r="O1044" s="2"/>
    </row>
    <row r="1045">
      <c r="A1045" s="2"/>
      <c r="B1045" s="2"/>
      <c r="C1045" s="31"/>
      <c r="D1045" s="31"/>
      <c r="E1045" s="32"/>
      <c r="G1045" s="2"/>
      <c r="H1045" s="2"/>
      <c r="I1045" s="2"/>
      <c r="J1045" s="2"/>
      <c r="K1045" s="2"/>
      <c r="M1045" s="2"/>
      <c r="N1045" s="2"/>
      <c r="O1045" s="2"/>
    </row>
    <row r="1046">
      <c r="A1046" s="2"/>
      <c r="B1046" s="2"/>
      <c r="C1046" s="31"/>
      <c r="D1046" s="31"/>
      <c r="E1046" s="32"/>
      <c r="H1046" s="2"/>
      <c r="I1046" s="2"/>
      <c r="J1046" s="2"/>
      <c r="K1046" s="2"/>
    </row>
    <row r="1047">
      <c r="A1047" s="2"/>
      <c r="B1047" s="2"/>
      <c r="C1047" s="31"/>
      <c r="D1047" s="31"/>
      <c r="E1047" s="32"/>
      <c r="G1047" s="2"/>
      <c r="H1047" s="2"/>
      <c r="I1047" s="2"/>
      <c r="J1047" s="2"/>
      <c r="K1047" s="2"/>
      <c r="M1047" s="2"/>
      <c r="N1047" s="2"/>
      <c r="O1047" s="2"/>
    </row>
    <row r="1048">
      <c r="A1048" s="2"/>
      <c r="B1048" s="2"/>
      <c r="C1048" s="31"/>
      <c r="D1048" s="31"/>
      <c r="E1048" s="32"/>
      <c r="H1048" s="2"/>
      <c r="I1048" s="2"/>
      <c r="J1048" s="2"/>
      <c r="K1048" s="2"/>
      <c r="M1048" s="2"/>
      <c r="N1048" s="2"/>
      <c r="O1048" s="2"/>
    </row>
    <row r="1049">
      <c r="A1049" s="2"/>
      <c r="B1049" s="2"/>
      <c r="C1049" s="31"/>
      <c r="D1049" s="31"/>
      <c r="E1049" s="32"/>
      <c r="G1049" s="2"/>
      <c r="H1049" s="2"/>
      <c r="I1049" s="2"/>
      <c r="J1049" s="2"/>
      <c r="K1049" s="2"/>
      <c r="M1049" s="2"/>
      <c r="N1049" s="2"/>
      <c r="O1049" s="2"/>
    </row>
    <row r="1050">
      <c r="A1050" s="2"/>
      <c r="B1050" s="2"/>
      <c r="C1050" s="31"/>
      <c r="D1050" s="31"/>
      <c r="E1050" s="32"/>
      <c r="H1050" s="2"/>
      <c r="I1050" s="2"/>
      <c r="J1050" s="2"/>
      <c r="K1050" s="2"/>
    </row>
    <row r="1051">
      <c r="A1051" s="2"/>
      <c r="B1051" s="2"/>
      <c r="C1051" s="31"/>
      <c r="D1051" s="31"/>
      <c r="E1051" s="32"/>
      <c r="F1051" s="2"/>
      <c r="G1051" s="2"/>
      <c r="H1051" s="2"/>
      <c r="I1051" s="2"/>
      <c r="J1051" s="2"/>
      <c r="K1051" s="2"/>
      <c r="M1051" s="2"/>
      <c r="N1051" s="2"/>
      <c r="O1051" s="2"/>
    </row>
    <row r="1052">
      <c r="A1052" s="2"/>
      <c r="B1052" s="2"/>
      <c r="C1052" s="31"/>
      <c r="D1052" s="31"/>
      <c r="E1052" s="32"/>
      <c r="F1052" s="2"/>
      <c r="G1052" s="2"/>
      <c r="H1052" s="2"/>
      <c r="I1052" s="2"/>
      <c r="J1052" s="2"/>
      <c r="K1052" s="2"/>
      <c r="M1052" s="2"/>
      <c r="N1052" s="2"/>
      <c r="O1052" s="2"/>
    </row>
    <row r="1053">
      <c r="A1053" s="2"/>
      <c r="B1053" s="2"/>
      <c r="C1053" s="31"/>
      <c r="D1053" s="31"/>
      <c r="E1053" s="32"/>
      <c r="H1053" s="2"/>
      <c r="I1053" s="2"/>
      <c r="J1053" s="2"/>
      <c r="K1053" s="2"/>
      <c r="M1053" s="2"/>
      <c r="N1053" s="2"/>
      <c r="O1053" s="2"/>
    </row>
    <row r="1054">
      <c r="A1054" s="2"/>
      <c r="B1054" s="2"/>
      <c r="C1054" s="31"/>
      <c r="D1054" s="31"/>
      <c r="E1054" s="32"/>
      <c r="H1054" s="2"/>
      <c r="I1054" s="2"/>
      <c r="J1054" s="2"/>
      <c r="K1054" s="2"/>
      <c r="M1054" s="2"/>
      <c r="N1054" s="2"/>
      <c r="O1054" s="2"/>
    </row>
    <row r="1055">
      <c r="A1055" s="2"/>
      <c r="B1055" s="2"/>
      <c r="C1055" s="31"/>
      <c r="D1055" s="31"/>
      <c r="E1055" s="32"/>
      <c r="H1055" s="2"/>
      <c r="I1055" s="2"/>
      <c r="J1055" s="2"/>
      <c r="K1055" s="2"/>
    </row>
    <row r="1056">
      <c r="A1056" s="2"/>
      <c r="B1056" s="2"/>
      <c r="C1056" s="31"/>
      <c r="D1056" s="31"/>
      <c r="E1056" s="32"/>
      <c r="F1056" s="2"/>
      <c r="G1056" s="2"/>
      <c r="H1056" s="2"/>
      <c r="I1056" s="2"/>
      <c r="J1056" s="2"/>
      <c r="K1056" s="2"/>
      <c r="M1056" s="2"/>
      <c r="N1056" s="2"/>
      <c r="O1056" s="2"/>
    </row>
    <row r="1057">
      <c r="A1057" s="2"/>
      <c r="B1057" s="2"/>
      <c r="C1057" s="31"/>
      <c r="D1057" s="31"/>
      <c r="E1057" s="32"/>
      <c r="H1057" s="2"/>
      <c r="I1057" s="2"/>
      <c r="J1057" s="2"/>
      <c r="K1057" s="2"/>
    </row>
    <row r="1058">
      <c r="A1058" s="2"/>
      <c r="B1058" s="2"/>
      <c r="C1058" s="31"/>
      <c r="D1058" s="31"/>
      <c r="E1058" s="32"/>
      <c r="H1058" s="2"/>
      <c r="I1058" s="2"/>
      <c r="J1058" s="2"/>
      <c r="K1058" s="2"/>
      <c r="M1058" s="2"/>
      <c r="N1058" s="2"/>
      <c r="O1058" s="2"/>
    </row>
    <row r="1059">
      <c r="A1059" s="2"/>
      <c r="B1059" s="2"/>
      <c r="C1059" s="31"/>
      <c r="D1059" s="31"/>
      <c r="E1059" s="32"/>
      <c r="H1059" s="2"/>
      <c r="I1059" s="2"/>
      <c r="J1059" s="2"/>
      <c r="K1059" s="2"/>
      <c r="M1059" s="2"/>
      <c r="N1059" s="2"/>
      <c r="O1059" s="2"/>
    </row>
    <row r="1060">
      <c r="A1060" s="2"/>
      <c r="B1060" s="2"/>
      <c r="C1060" s="31"/>
      <c r="D1060" s="31"/>
      <c r="E1060" s="32"/>
      <c r="H1060" s="2"/>
      <c r="I1060" s="2"/>
      <c r="J1060" s="2"/>
      <c r="K1060" s="2"/>
    </row>
    <row r="1061">
      <c r="A1061" s="2"/>
      <c r="B1061" s="2"/>
      <c r="C1061" s="31"/>
      <c r="D1061" s="31"/>
      <c r="E1061" s="32"/>
      <c r="H1061" s="2"/>
      <c r="I1061" s="2"/>
      <c r="J1061" s="2"/>
      <c r="K1061" s="2"/>
      <c r="M1061" s="2"/>
      <c r="N1061" s="2"/>
      <c r="O1061" s="2"/>
    </row>
    <row r="1062">
      <c r="A1062" s="2"/>
      <c r="B1062" s="2"/>
      <c r="C1062" s="31"/>
      <c r="D1062" s="31"/>
      <c r="E1062" s="32"/>
      <c r="H1062" s="2"/>
      <c r="I1062" s="2"/>
      <c r="J1062" s="2"/>
      <c r="K1062" s="2"/>
    </row>
    <row r="1063">
      <c r="A1063" s="2"/>
      <c r="B1063" s="2"/>
      <c r="C1063" s="31"/>
      <c r="D1063" s="31"/>
      <c r="E1063" s="32"/>
      <c r="F1063" s="2"/>
      <c r="G1063" s="2"/>
      <c r="H1063" s="2"/>
      <c r="I1063" s="2"/>
      <c r="J1063" s="2"/>
      <c r="K1063" s="2"/>
      <c r="M1063" s="2"/>
      <c r="N1063" s="2"/>
      <c r="O1063" s="2"/>
    </row>
    <row r="1064">
      <c r="A1064" s="2"/>
      <c r="B1064" s="2"/>
      <c r="C1064" s="31"/>
      <c r="D1064" s="31"/>
      <c r="E1064" s="32"/>
      <c r="H1064" s="2"/>
      <c r="I1064" s="2"/>
      <c r="J1064" s="2"/>
      <c r="K1064" s="2"/>
      <c r="M1064" s="2"/>
      <c r="N1064" s="2"/>
      <c r="O1064" s="2"/>
    </row>
    <row r="1065">
      <c r="A1065" s="2"/>
      <c r="B1065" s="2"/>
      <c r="C1065" s="31"/>
      <c r="D1065" s="31"/>
      <c r="E1065" s="32"/>
      <c r="H1065" s="2"/>
      <c r="I1065" s="2"/>
      <c r="J1065" s="2"/>
      <c r="K1065" s="2"/>
      <c r="M1065" s="2"/>
      <c r="N1065" s="2"/>
      <c r="O1065" s="2"/>
    </row>
    <row r="1066">
      <c r="A1066" s="2"/>
      <c r="B1066" s="2"/>
      <c r="C1066" s="31"/>
      <c r="D1066" s="31"/>
      <c r="E1066" s="32"/>
      <c r="G1066" s="2"/>
      <c r="H1066" s="2"/>
      <c r="I1066" s="2"/>
      <c r="J1066" s="2"/>
      <c r="K1066" s="2"/>
      <c r="M1066" s="2"/>
      <c r="N1066" s="2"/>
      <c r="O1066" s="2"/>
    </row>
    <row r="1067">
      <c r="A1067" s="2"/>
      <c r="B1067" s="2"/>
      <c r="C1067" s="31"/>
      <c r="D1067" s="31"/>
      <c r="E1067" s="32"/>
      <c r="H1067" s="2"/>
      <c r="I1067" s="2"/>
      <c r="J1067" s="2"/>
      <c r="K1067" s="2"/>
    </row>
    <row r="1068">
      <c r="A1068" s="2"/>
      <c r="B1068" s="2"/>
      <c r="C1068" s="31"/>
      <c r="D1068" s="31"/>
      <c r="E1068" s="32"/>
      <c r="F1068" s="2"/>
      <c r="H1068" s="2"/>
      <c r="I1068" s="2"/>
      <c r="J1068" s="2"/>
      <c r="K1068" s="2"/>
      <c r="M1068" s="2"/>
      <c r="N1068" s="2"/>
      <c r="O1068" s="2"/>
    </row>
    <row r="1069">
      <c r="A1069" s="2"/>
      <c r="B1069" s="2"/>
      <c r="C1069" s="31"/>
      <c r="D1069" s="31"/>
      <c r="E1069" s="32"/>
      <c r="G1069" s="2"/>
      <c r="H1069" s="2"/>
      <c r="I1069" s="2"/>
      <c r="J1069" s="2"/>
      <c r="K1069" s="2"/>
      <c r="M1069" s="2"/>
      <c r="N1069" s="2"/>
      <c r="O1069" s="2"/>
    </row>
    <row r="1070">
      <c r="A1070" s="2"/>
      <c r="B1070" s="2"/>
      <c r="C1070" s="31"/>
      <c r="D1070" s="31"/>
      <c r="E1070" s="32"/>
      <c r="G1070" s="2"/>
      <c r="H1070" s="2"/>
      <c r="I1070" s="2"/>
      <c r="J1070" s="2"/>
      <c r="K1070" s="2"/>
      <c r="M1070" s="2"/>
      <c r="N1070" s="2"/>
      <c r="O1070" s="2"/>
    </row>
    <row r="1071">
      <c r="A1071" s="2"/>
      <c r="B1071" s="2"/>
      <c r="C1071" s="31"/>
      <c r="D1071" s="31"/>
      <c r="E1071" s="32"/>
      <c r="H1071" s="2"/>
      <c r="I1071" s="2"/>
      <c r="J1071" s="2"/>
      <c r="K1071" s="2"/>
      <c r="M1071" s="2"/>
      <c r="N1071" s="2"/>
      <c r="O1071" s="2"/>
    </row>
    <row r="1072">
      <c r="A1072" s="2"/>
      <c r="B1072" s="2"/>
      <c r="C1072" s="31"/>
      <c r="D1072" s="31"/>
      <c r="E1072" s="32"/>
      <c r="G1072" s="2"/>
      <c r="H1072" s="2"/>
      <c r="I1072" s="2"/>
      <c r="J1072" s="2"/>
      <c r="K1072" s="2"/>
      <c r="M1072" s="2"/>
      <c r="N1072" s="2"/>
      <c r="O1072" s="2"/>
    </row>
    <row r="1073">
      <c r="A1073" s="2"/>
      <c r="B1073" s="2"/>
      <c r="C1073" s="31"/>
      <c r="D1073" s="31"/>
      <c r="E1073" s="32"/>
      <c r="H1073" s="2"/>
      <c r="I1073" s="2"/>
      <c r="J1073" s="2"/>
      <c r="K1073" s="2"/>
    </row>
    <row r="1074">
      <c r="A1074" s="2"/>
      <c r="B1074" s="2"/>
      <c r="C1074" s="31"/>
      <c r="D1074" s="31"/>
      <c r="E1074" s="32"/>
      <c r="F1074" s="2"/>
      <c r="G1074" s="2"/>
      <c r="H1074" s="2"/>
      <c r="I1074" s="2"/>
      <c r="J1074" s="2"/>
      <c r="K1074" s="2"/>
      <c r="M1074" s="2"/>
      <c r="N1074" s="2"/>
      <c r="O1074" s="2"/>
    </row>
    <row r="1075">
      <c r="A1075" s="2"/>
      <c r="B1075" s="2"/>
      <c r="C1075" s="31"/>
      <c r="D1075" s="31"/>
      <c r="E1075" s="32"/>
      <c r="F1075" s="2"/>
      <c r="G1075" s="2"/>
      <c r="H1075" s="2"/>
      <c r="I1075" s="2"/>
      <c r="J1075" s="2"/>
      <c r="K1075" s="2"/>
      <c r="M1075" s="2"/>
      <c r="N1075" s="2"/>
      <c r="O1075" s="2"/>
    </row>
    <row r="1076">
      <c r="A1076" s="2"/>
      <c r="B1076" s="2"/>
      <c r="C1076" s="31"/>
      <c r="D1076" s="31"/>
      <c r="E1076" s="32"/>
      <c r="H1076" s="2"/>
      <c r="I1076" s="2"/>
      <c r="J1076" s="2"/>
      <c r="K1076" s="2"/>
      <c r="M1076" s="2"/>
      <c r="N1076" s="2"/>
      <c r="O1076" s="2"/>
    </row>
    <row r="1077">
      <c r="A1077" s="2"/>
      <c r="B1077" s="2"/>
      <c r="C1077" s="31"/>
      <c r="D1077" s="31"/>
      <c r="E1077" s="32"/>
      <c r="H1077" s="2"/>
      <c r="I1077" s="2"/>
      <c r="J1077" s="2"/>
      <c r="K1077" s="2"/>
      <c r="M1077" s="2"/>
      <c r="N1077" s="2"/>
      <c r="O1077" s="2"/>
    </row>
    <row r="1078">
      <c r="A1078" s="2"/>
      <c r="B1078" s="2"/>
      <c r="C1078" s="31"/>
      <c r="D1078" s="31"/>
      <c r="E1078" s="32"/>
      <c r="H1078" s="2"/>
      <c r="I1078" s="2"/>
      <c r="J1078" s="2"/>
      <c r="K1078" s="2"/>
    </row>
    <row r="1079">
      <c r="A1079" s="2"/>
      <c r="B1079" s="2"/>
      <c r="C1079" s="31"/>
      <c r="D1079" s="31"/>
      <c r="E1079" s="32"/>
      <c r="H1079" s="2"/>
      <c r="I1079" s="2"/>
      <c r="J1079" s="2"/>
      <c r="K1079" s="2"/>
    </row>
    <row r="1080">
      <c r="A1080" s="2"/>
      <c r="B1080" s="2"/>
      <c r="C1080" s="31"/>
      <c r="D1080" s="31"/>
      <c r="E1080" s="32"/>
      <c r="G1080" s="2"/>
      <c r="H1080" s="2"/>
      <c r="I1080" s="2"/>
      <c r="J1080" s="2"/>
      <c r="K1080" s="2"/>
      <c r="M1080" s="2"/>
      <c r="N1080" s="2"/>
      <c r="O1080" s="2"/>
    </row>
    <row r="1081">
      <c r="A1081" s="2"/>
      <c r="B1081" s="2"/>
      <c r="C1081" s="31"/>
      <c r="D1081" s="31"/>
      <c r="E1081" s="32"/>
      <c r="G1081" s="2"/>
      <c r="H1081" s="2"/>
      <c r="I1081" s="2"/>
      <c r="J1081" s="2"/>
      <c r="K1081" s="2"/>
      <c r="M1081" s="2"/>
      <c r="N1081" s="2"/>
      <c r="O1081" s="2"/>
    </row>
    <row r="1082">
      <c r="A1082" s="2"/>
      <c r="B1082" s="2"/>
      <c r="C1082" s="31"/>
      <c r="D1082" s="31"/>
      <c r="E1082" s="32"/>
      <c r="H1082" s="2"/>
      <c r="I1082" s="2"/>
      <c r="J1082" s="2"/>
      <c r="K1082" s="2"/>
      <c r="M1082" s="2"/>
      <c r="N1082" s="2"/>
      <c r="O1082" s="2"/>
    </row>
    <row r="1083">
      <c r="A1083" s="2"/>
      <c r="B1083" s="2"/>
      <c r="C1083" s="31"/>
      <c r="D1083" s="31"/>
      <c r="E1083" s="32"/>
      <c r="H1083" s="2"/>
      <c r="I1083" s="2"/>
      <c r="J1083" s="2"/>
      <c r="K1083" s="2"/>
      <c r="M1083" s="2"/>
      <c r="N1083" s="2"/>
      <c r="O1083" s="2"/>
    </row>
    <row r="1084">
      <c r="A1084" s="2"/>
      <c r="B1084" s="2"/>
      <c r="C1084" s="31"/>
      <c r="D1084" s="31"/>
      <c r="E1084" s="32"/>
      <c r="H1084" s="2"/>
      <c r="I1084" s="2"/>
      <c r="J1084" s="2"/>
      <c r="K1084" s="2"/>
      <c r="M1084" s="2"/>
      <c r="N1084" s="2"/>
      <c r="O1084" s="2"/>
    </row>
    <row r="1085">
      <c r="A1085" s="2"/>
      <c r="B1085" s="2"/>
      <c r="C1085" s="31"/>
      <c r="D1085" s="31"/>
      <c r="E1085" s="32"/>
      <c r="H1085" s="2"/>
      <c r="I1085" s="2"/>
      <c r="J1085" s="2"/>
      <c r="K1085" s="2"/>
    </row>
    <row r="1086">
      <c r="A1086" s="2"/>
      <c r="B1086" s="2"/>
      <c r="C1086" s="31"/>
      <c r="D1086" s="31"/>
      <c r="E1086" s="32"/>
      <c r="G1086" s="2"/>
      <c r="H1086" s="2"/>
      <c r="I1086" s="2"/>
      <c r="J1086" s="2"/>
      <c r="K1086" s="2"/>
      <c r="M1086" s="2"/>
      <c r="N1086" s="2"/>
      <c r="O1086" s="2"/>
    </row>
    <row r="1087">
      <c r="A1087" s="2"/>
      <c r="B1087" s="2"/>
      <c r="C1087" s="31"/>
      <c r="D1087" s="31"/>
      <c r="E1087" s="32"/>
      <c r="H1087" s="2"/>
      <c r="I1087" s="2"/>
      <c r="J1087" s="2"/>
      <c r="K1087" s="2"/>
    </row>
    <row r="1088">
      <c r="A1088" s="2"/>
      <c r="B1088" s="2"/>
      <c r="C1088" s="31"/>
      <c r="D1088" s="31"/>
      <c r="E1088" s="32"/>
      <c r="H1088" s="2"/>
      <c r="I1088" s="2"/>
      <c r="J1088" s="2"/>
      <c r="K1088" s="2"/>
      <c r="M1088" s="2"/>
      <c r="N1088" s="2"/>
      <c r="O1088" s="2"/>
    </row>
    <row r="1089">
      <c r="A1089" s="2"/>
      <c r="B1089" s="2"/>
      <c r="C1089" s="31"/>
      <c r="D1089" s="31"/>
      <c r="E1089" s="32"/>
      <c r="G1089" s="2"/>
      <c r="H1089" s="2"/>
      <c r="I1089" s="2"/>
      <c r="J1089" s="2"/>
      <c r="K1089" s="2"/>
      <c r="M1089" s="2"/>
      <c r="N1089" s="2"/>
      <c r="O1089" s="2"/>
    </row>
    <row r="1090">
      <c r="A1090" s="2"/>
      <c r="B1090" s="2"/>
      <c r="C1090" s="31"/>
      <c r="D1090" s="31"/>
      <c r="E1090" s="32"/>
      <c r="H1090" s="2"/>
      <c r="I1090" s="2"/>
      <c r="J1090" s="2"/>
      <c r="K1090" s="2"/>
    </row>
    <row r="1091">
      <c r="A1091" s="2"/>
      <c r="B1091" s="2"/>
      <c r="C1091" s="31"/>
      <c r="D1091" s="31"/>
      <c r="E1091" s="32"/>
      <c r="G1091" s="2"/>
      <c r="H1091" s="2"/>
      <c r="I1091" s="2"/>
      <c r="J1091" s="2"/>
      <c r="K1091" s="2"/>
      <c r="M1091" s="2"/>
      <c r="N1091" s="2"/>
      <c r="O1091" s="2"/>
    </row>
    <row r="1092">
      <c r="A1092" s="2"/>
      <c r="B1092" s="2"/>
      <c r="C1092" s="31"/>
      <c r="D1092" s="31"/>
      <c r="E1092" s="32"/>
      <c r="H1092" s="2"/>
      <c r="I1092" s="2"/>
      <c r="J1092" s="2"/>
      <c r="K1092" s="2"/>
      <c r="M1092" s="2"/>
      <c r="N1092" s="2"/>
      <c r="O1092" s="2"/>
    </row>
    <row r="1093">
      <c r="A1093" s="2"/>
      <c r="B1093" s="2"/>
      <c r="C1093" s="31"/>
      <c r="D1093" s="31"/>
      <c r="E1093" s="32"/>
      <c r="G1093" s="2"/>
      <c r="H1093" s="2"/>
      <c r="I1093" s="2"/>
      <c r="J1093" s="2"/>
      <c r="K1093" s="2"/>
      <c r="M1093" s="2"/>
      <c r="N1093" s="2"/>
      <c r="O1093" s="2"/>
    </row>
    <row r="1094">
      <c r="A1094" s="2"/>
      <c r="B1094" s="2"/>
      <c r="C1094" s="31"/>
      <c r="D1094" s="31"/>
      <c r="E1094" s="32"/>
      <c r="H1094" s="2"/>
      <c r="I1094" s="2"/>
      <c r="J1094" s="2"/>
      <c r="K1094" s="2"/>
    </row>
    <row r="1095">
      <c r="A1095" s="2"/>
      <c r="B1095" s="2"/>
      <c r="C1095" s="31"/>
      <c r="D1095" s="31"/>
      <c r="E1095" s="32"/>
      <c r="F1095" s="2"/>
      <c r="G1095" s="2"/>
      <c r="H1095" s="2"/>
      <c r="I1095" s="2"/>
      <c r="J1095" s="2"/>
      <c r="K1095" s="2"/>
      <c r="M1095" s="2"/>
      <c r="N1095" s="2"/>
      <c r="O1095" s="2"/>
    </row>
    <row r="1096">
      <c r="A1096" s="2"/>
      <c r="B1096" s="2"/>
      <c r="C1096" s="31"/>
      <c r="D1096" s="31"/>
      <c r="E1096" s="32"/>
      <c r="F1096" s="2"/>
      <c r="G1096" s="2"/>
      <c r="H1096" s="2"/>
      <c r="I1096" s="2"/>
      <c r="J1096" s="2"/>
      <c r="K1096" s="2"/>
      <c r="M1096" s="2"/>
      <c r="N1096" s="2"/>
      <c r="O1096" s="2"/>
    </row>
    <row r="1097">
      <c r="A1097" s="2"/>
      <c r="B1097" s="2"/>
      <c r="C1097" s="31"/>
      <c r="D1097" s="31"/>
      <c r="E1097" s="32"/>
      <c r="H1097" s="2"/>
      <c r="I1097" s="2"/>
      <c r="J1097" s="2"/>
      <c r="K1097" s="2"/>
      <c r="M1097" s="2"/>
      <c r="N1097" s="2"/>
      <c r="O1097" s="2"/>
    </row>
    <row r="1098">
      <c r="A1098" s="2"/>
      <c r="B1098" s="2"/>
      <c r="C1098" s="31"/>
      <c r="D1098" s="31"/>
      <c r="E1098" s="32"/>
      <c r="H1098" s="2"/>
      <c r="I1098" s="2"/>
      <c r="J1098" s="2"/>
      <c r="K1098" s="2"/>
      <c r="M1098" s="2"/>
      <c r="N1098" s="2"/>
      <c r="O1098" s="2"/>
    </row>
    <row r="1099">
      <c r="A1099" s="2"/>
      <c r="B1099" s="2"/>
      <c r="C1099" s="31"/>
      <c r="D1099" s="31"/>
      <c r="E1099" s="32"/>
      <c r="H1099" s="2"/>
      <c r="I1099" s="2"/>
      <c r="J1099" s="2"/>
      <c r="K1099" s="2"/>
    </row>
    <row r="1100">
      <c r="A1100" s="2"/>
      <c r="B1100" s="2"/>
      <c r="C1100" s="31"/>
      <c r="D1100" s="31"/>
      <c r="E1100" s="32"/>
      <c r="F1100" s="2"/>
      <c r="G1100" s="2"/>
      <c r="H1100" s="2"/>
      <c r="I1100" s="2"/>
      <c r="J1100" s="2"/>
      <c r="K1100" s="2"/>
      <c r="M1100" s="2"/>
      <c r="N1100" s="2"/>
      <c r="O1100" s="2"/>
    </row>
    <row r="1101">
      <c r="A1101" s="2"/>
      <c r="B1101" s="2"/>
      <c r="C1101" s="31"/>
      <c r="D1101" s="31"/>
      <c r="E1101" s="32"/>
      <c r="H1101" s="2"/>
      <c r="I1101" s="2"/>
      <c r="J1101" s="2"/>
      <c r="K1101" s="2"/>
    </row>
    <row r="1102">
      <c r="A1102" s="2"/>
      <c r="B1102" s="2"/>
      <c r="C1102" s="31"/>
      <c r="D1102" s="31"/>
      <c r="E1102" s="32"/>
      <c r="G1102" s="2"/>
      <c r="H1102" s="2"/>
      <c r="I1102" s="2"/>
      <c r="J1102" s="2"/>
      <c r="K1102" s="2"/>
      <c r="M1102" s="2"/>
      <c r="N1102" s="2"/>
      <c r="O1102" s="2"/>
    </row>
    <row r="1103">
      <c r="A1103" s="2"/>
      <c r="B1103" s="2"/>
      <c r="C1103" s="31"/>
      <c r="D1103" s="31"/>
      <c r="E1103" s="32"/>
      <c r="H1103" s="2"/>
      <c r="I1103" s="2"/>
      <c r="J1103" s="2"/>
      <c r="K1103" s="2"/>
      <c r="M1103" s="2"/>
      <c r="N1103" s="2"/>
      <c r="O1103" s="2"/>
    </row>
    <row r="1104">
      <c r="A1104" s="2"/>
      <c r="B1104" s="2"/>
      <c r="C1104" s="31"/>
      <c r="D1104" s="31"/>
      <c r="E1104" s="32"/>
      <c r="H1104" s="2"/>
      <c r="I1104" s="2"/>
      <c r="J1104" s="2"/>
      <c r="K1104" s="2"/>
      <c r="M1104" s="2"/>
      <c r="N1104" s="2"/>
      <c r="O1104" s="2"/>
    </row>
    <row r="1105">
      <c r="A1105" s="2"/>
      <c r="B1105" s="2"/>
      <c r="C1105" s="31"/>
      <c r="D1105" s="31"/>
      <c r="E1105" s="32"/>
      <c r="H1105" s="2"/>
      <c r="I1105" s="2"/>
      <c r="J1105" s="2"/>
      <c r="K1105" s="2"/>
    </row>
    <row r="1106">
      <c r="A1106" s="2"/>
      <c r="B1106" s="2"/>
      <c r="C1106" s="31"/>
      <c r="D1106" s="31"/>
      <c r="E1106" s="32"/>
      <c r="H1106" s="2"/>
      <c r="I1106" s="2"/>
      <c r="J1106" s="2"/>
      <c r="K1106" s="2"/>
    </row>
    <row r="1107">
      <c r="A1107" s="2"/>
      <c r="B1107" s="2"/>
      <c r="C1107" s="31"/>
      <c r="D1107" s="31"/>
      <c r="E1107" s="32"/>
      <c r="F1107" s="2"/>
      <c r="G1107" s="2"/>
      <c r="H1107" s="2"/>
      <c r="I1107" s="2"/>
      <c r="J1107" s="2"/>
      <c r="K1107" s="2"/>
      <c r="M1107" s="2"/>
      <c r="N1107" s="2"/>
      <c r="O1107" s="2"/>
    </row>
    <row r="1108">
      <c r="A1108" s="2"/>
      <c r="B1108" s="2"/>
      <c r="C1108" s="31"/>
      <c r="D1108" s="31"/>
      <c r="E1108" s="32"/>
      <c r="H1108" s="2"/>
      <c r="I1108" s="2"/>
      <c r="J1108" s="2"/>
      <c r="K1108" s="2"/>
      <c r="M1108" s="2"/>
      <c r="N1108" s="2"/>
      <c r="O1108" s="2"/>
    </row>
    <row r="1109">
      <c r="A1109" s="2"/>
      <c r="B1109" s="2"/>
      <c r="C1109" s="31"/>
      <c r="D1109" s="31"/>
      <c r="E1109" s="32"/>
      <c r="H1109" s="2"/>
      <c r="I1109" s="2"/>
      <c r="J1109" s="2"/>
      <c r="K1109" s="2"/>
      <c r="M1109" s="2"/>
      <c r="N1109" s="2"/>
      <c r="O1109" s="2"/>
    </row>
    <row r="1110">
      <c r="A1110" s="2"/>
      <c r="B1110" s="2"/>
      <c r="C1110" s="31"/>
      <c r="D1110" s="31"/>
      <c r="E1110" s="32"/>
      <c r="G1110" s="2"/>
      <c r="H1110" s="2"/>
      <c r="I1110" s="2"/>
      <c r="J1110" s="2"/>
      <c r="K1110" s="2"/>
      <c r="M1110" s="2"/>
      <c r="N1110" s="2"/>
      <c r="O1110" s="2"/>
    </row>
    <row r="1111">
      <c r="A1111" s="2"/>
      <c r="B1111" s="2"/>
      <c r="C1111" s="31"/>
      <c r="D1111" s="31"/>
      <c r="E1111" s="32"/>
      <c r="H1111" s="2"/>
      <c r="I1111" s="2"/>
      <c r="J1111" s="2"/>
      <c r="K1111" s="2"/>
    </row>
    <row r="1112">
      <c r="A1112" s="2"/>
      <c r="B1112" s="2"/>
      <c r="C1112" s="31"/>
      <c r="D1112" s="31"/>
      <c r="E1112" s="32"/>
      <c r="F1112" s="2"/>
      <c r="H1112" s="2"/>
      <c r="I1112" s="2"/>
      <c r="J1112" s="2"/>
      <c r="K1112" s="2"/>
      <c r="M1112" s="2"/>
      <c r="N1112" s="2"/>
      <c r="O1112" s="2"/>
    </row>
    <row r="1113">
      <c r="A1113" s="2"/>
      <c r="B1113" s="2"/>
      <c r="C1113" s="31"/>
      <c r="D1113" s="31"/>
      <c r="E1113" s="32"/>
      <c r="G1113" s="2"/>
      <c r="H1113" s="2"/>
      <c r="I1113" s="2"/>
      <c r="J1113" s="2"/>
      <c r="K1113" s="2"/>
      <c r="M1113" s="2"/>
      <c r="N1113" s="2"/>
      <c r="O1113" s="2"/>
    </row>
    <row r="1114">
      <c r="A1114" s="2"/>
      <c r="B1114" s="2"/>
      <c r="C1114" s="31"/>
      <c r="D1114" s="31"/>
      <c r="E1114" s="32"/>
      <c r="G1114" s="2"/>
      <c r="H1114" s="2"/>
      <c r="I1114" s="2"/>
      <c r="J1114" s="2"/>
      <c r="K1114" s="2"/>
      <c r="M1114" s="2"/>
      <c r="N1114" s="2"/>
      <c r="O1114" s="2"/>
    </row>
    <row r="1115">
      <c r="A1115" s="2"/>
      <c r="B1115" s="2"/>
      <c r="C1115" s="31"/>
      <c r="D1115" s="31"/>
      <c r="E1115" s="32"/>
      <c r="H1115" s="2"/>
      <c r="I1115" s="2"/>
      <c r="J1115" s="2"/>
      <c r="K1115" s="2"/>
      <c r="M1115" s="2"/>
      <c r="N1115" s="2"/>
      <c r="O1115" s="2"/>
    </row>
    <row r="1116">
      <c r="A1116" s="2"/>
      <c r="B1116" s="2"/>
      <c r="C1116" s="31"/>
      <c r="D1116" s="31"/>
      <c r="E1116" s="32"/>
      <c r="H1116" s="2"/>
      <c r="I1116" s="2"/>
      <c r="J1116" s="2"/>
      <c r="K1116" s="2"/>
    </row>
    <row r="1117">
      <c r="A1117" s="2"/>
      <c r="B1117" s="2"/>
      <c r="C1117" s="31"/>
      <c r="D1117" s="31"/>
      <c r="E1117" s="32"/>
      <c r="F1117" s="2"/>
      <c r="G1117" s="2"/>
      <c r="H1117" s="2"/>
      <c r="I1117" s="2"/>
      <c r="J1117" s="2"/>
      <c r="K1117" s="2"/>
      <c r="M1117" s="2"/>
      <c r="N1117" s="2"/>
      <c r="O1117" s="2"/>
    </row>
    <row r="1118">
      <c r="A1118" s="2"/>
      <c r="B1118" s="2"/>
      <c r="C1118" s="31"/>
      <c r="D1118" s="31"/>
      <c r="E1118" s="32"/>
      <c r="F1118" s="2"/>
      <c r="G1118" s="2"/>
      <c r="H1118" s="2"/>
      <c r="I1118" s="2"/>
      <c r="J1118" s="2"/>
      <c r="K1118" s="2"/>
      <c r="M1118" s="2"/>
      <c r="N1118" s="2"/>
      <c r="O1118" s="2"/>
    </row>
    <row r="1119">
      <c r="A1119" s="2"/>
      <c r="B1119" s="2"/>
      <c r="C1119" s="31"/>
      <c r="D1119" s="31"/>
      <c r="E1119" s="32"/>
      <c r="H1119" s="2"/>
      <c r="I1119" s="2"/>
      <c r="J1119" s="2"/>
      <c r="K1119" s="2"/>
      <c r="M1119" s="2"/>
      <c r="N1119" s="2"/>
      <c r="O1119" s="2"/>
    </row>
    <row r="1120">
      <c r="A1120" s="2"/>
      <c r="B1120" s="2"/>
      <c r="C1120" s="31"/>
      <c r="D1120" s="31"/>
      <c r="E1120" s="32"/>
      <c r="H1120" s="2"/>
      <c r="I1120" s="2"/>
      <c r="J1120" s="2"/>
      <c r="K1120" s="2"/>
      <c r="M1120" s="2"/>
      <c r="N1120" s="2"/>
      <c r="O1120" s="2"/>
    </row>
    <row r="1121">
      <c r="A1121" s="2"/>
      <c r="B1121" s="2"/>
      <c r="C1121" s="31"/>
      <c r="D1121" s="31"/>
      <c r="E1121" s="32"/>
      <c r="H1121" s="2"/>
      <c r="I1121" s="2"/>
      <c r="J1121" s="2"/>
      <c r="K1121" s="2"/>
    </row>
    <row r="1122">
      <c r="A1122" s="2"/>
      <c r="B1122" s="2"/>
      <c r="C1122" s="31"/>
      <c r="D1122" s="31"/>
      <c r="E1122" s="32"/>
      <c r="H1122" s="2"/>
      <c r="I1122" s="2"/>
      <c r="J1122" s="2"/>
      <c r="K1122" s="2"/>
    </row>
    <row r="1123">
      <c r="A1123" s="2"/>
      <c r="B1123" s="2"/>
      <c r="C1123" s="31"/>
      <c r="D1123" s="31"/>
      <c r="E1123" s="32"/>
      <c r="F1123" s="2"/>
      <c r="H1123" s="2"/>
      <c r="I1123" s="2"/>
      <c r="J1123" s="2"/>
      <c r="K1123" s="2"/>
      <c r="M1123" s="2"/>
      <c r="N1123" s="2"/>
      <c r="O1123" s="2"/>
    </row>
    <row r="1124">
      <c r="A1124" s="2"/>
      <c r="B1124" s="2"/>
      <c r="C1124" s="31"/>
      <c r="D1124" s="31"/>
      <c r="E1124" s="32"/>
      <c r="H1124" s="2"/>
      <c r="I1124" s="2"/>
      <c r="J1124" s="2"/>
      <c r="K1124" s="2"/>
      <c r="M1124" s="2"/>
      <c r="N1124" s="2"/>
      <c r="O1124" s="2"/>
    </row>
    <row r="1125">
      <c r="A1125" s="2"/>
      <c r="B1125" s="2"/>
      <c r="C1125" s="31"/>
      <c r="D1125" s="31"/>
      <c r="E1125" s="32"/>
      <c r="H1125" s="2"/>
      <c r="I1125" s="2"/>
      <c r="J1125" s="2"/>
      <c r="K1125" s="2"/>
      <c r="M1125" s="2"/>
      <c r="N1125" s="2"/>
      <c r="O1125" s="2"/>
    </row>
    <row r="1126">
      <c r="A1126" s="2"/>
      <c r="B1126" s="2"/>
      <c r="C1126" s="31"/>
      <c r="D1126" s="31"/>
      <c r="E1126" s="32"/>
      <c r="H1126" s="2"/>
      <c r="I1126" s="2"/>
      <c r="J1126" s="2"/>
      <c r="K1126" s="2"/>
      <c r="M1126" s="2"/>
      <c r="N1126" s="2"/>
      <c r="O1126" s="2"/>
    </row>
    <row r="1127">
      <c r="A1127" s="2"/>
      <c r="B1127" s="2"/>
      <c r="C1127" s="31"/>
      <c r="D1127" s="31"/>
      <c r="E1127" s="32"/>
      <c r="H1127" s="2"/>
      <c r="I1127" s="2"/>
      <c r="J1127" s="2"/>
      <c r="K1127" s="2"/>
      <c r="M1127" s="2"/>
      <c r="N1127" s="2"/>
      <c r="O1127" s="2"/>
    </row>
    <row r="1128">
      <c r="A1128" s="2"/>
      <c r="B1128" s="2"/>
      <c r="C1128" s="31"/>
      <c r="D1128" s="31"/>
      <c r="E1128" s="32"/>
      <c r="H1128" s="2"/>
      <c r="I1128" s="2"/>
      <c r="J1128" s="2"/>
      <c r="K1128" s="2"/>
      <c r="M1128" s="2"/>
      <c r="N1128" s="2"/>
      <c r="O1128" s="2"/>
    </row>
    <row r="1129">
      <c r="A1129" s="2"/>
      <c r="B1129" s="2"/>
      <c r="C1129" s="31"/>
      <c r="D1129" s="31"/>
      <c r="E1129" s="32"/>
      <c r="G1129" s="2"/>
      <c r="H1129" s="2"/>
      <c r="I1129" s="2"/>
      <c r="J1129" s="2"/>
      <c r="K1129" s="2"/>
      <c r="M1129" s="2"/>
      <c r="N1129" s="2"/>
      <c r="O1129" s="2"/>
    </row>
    <row r="1130">
      <c r="A1130" s="2"/>
      <c r="B1130" s="2"/>
      <c r="C1130" s="31"/>
      <c r="D1130" s="31"/>
      <c r="E1130" s="32"/>
      <c r="H1130" s="2"/>
      <c r="I1130" s="2"/>
      <c r="J1130" s="2"/>
      <c r="K1130" s="2"/>
    </row>
    <row r="1131">
      <c r="A1131" s="2"/>
      <c r="B1131" s="2"/>
      <c r="C1131" s="31"/>
      <c r="D1131" s="31"/>
      <c r="E1131" s="32"/>
      <c r="H1131" s="2"/>
      <c r="I1131" s="2"/>
      <c r="J1131" s="2"/>
      <c r="K1131" s="2"/>
      <c r="M1131" s="2"/>
      <c r="N1131" s="2"/>
      <c r="O1131" s="2"/>
    </row>
    <row r="1132">
      <c r="A1132" s="2"/>
      <c r="B1132" s="2"/>
      <c r="C1132" s="31"/>
      <c r="D1132" s="31"/>
      <c r="E1132" s="32"/>
      <c r="H1132" s="2"/>
      <c r="I1132" s="2"/>
      <c r="J1132" s="2"/>
      <c r="K1132" s="2"/>
    </row>
    <row r="1133">
      <c r="A1133" s="2"/>
      <c r="B1133" s="2"/>
      <c r="C1133" s="31"/>
      <c r="D1133" s="31"/>
      <c r="E1133" s="32"/>
      <c r="H1133" s="2"/>
      <c r="I1133" s="2"/>
      <c r="J1133" s="2"/>
      <c r="K1133" s="2"/>
      <c r="M1133" s="2"/>
      <c r="N1133" s="2"/>
      <c r="O1133" s="2"/>
    </row>
    <row r="1134">
      <c r="A1134" s="2"/>
      <c r="B1134" s="2"/>
      <c r="C1134" s="31"/>
      <c r="D1134" s="31"/>
      <c r="E1134" s="32"/>
      <c r="G1134" s="2"/>
      <c r="H1134" s="2"/>
      <c r="I1134" s="2"/>
      <c r="J1134" s="2"/>
      <c r="K1134" s="2"/>
      <c r="M1134" s="2"/>
      <c r="N1134" s="2"/>
      <c r="O1134" s="2"/>
    </row>
    <row r="1135">
      <c r="A1135" s="2"/>
      <c r="B1135" s="2"/>
      <c r="C1135" s="31"/>
      <c r="D1135" s="31"/>
      <c r="E1135" s="32"/>
      <c r="H1135" s="2"/>
      <c r="I1135" s="2"/>
      <c r="J1135" s="2"/>
      <c r="K1135" s="2"/>
    </row>
    <row r="1136">
      <c r="A1136" s="2"/>
      <c r="B1136" s="2"/>
      <c r="C1136" s="31"/>
      <c r="D1136" s="31"/>
      <c r="E1136" s="32"/>
      <c r="G1136" s="2"/>
      <c r="H1136" s="2"/>
      <c r="I1136" s="2"/>
      <c r="J1136" s="2"/>
      <c r="K1136" s="2"/>
      <c r="M1136" s="2"/>
      <c r="N1136" s="2"/>
      <c r="O1136" s="2"/>
    </row>
    <row r="1137">
      <c r="A1137" s="2"/>
      <c r="B1137" s="2"/>
      <c r="C1137" s="31"/>
      <c r="D1137" s="31"/>
      <c r="E1137" s="32"/>
      <c r="H1137" s="2"/>
      <c r="I1137" s="2"/>
      <c r="J1137" s="2"/>
      <c r="K1137" s="2"/>
      <c r="M1137" s="2"/>
      <c r="N1137" s="2"/>
      <c r="O1137" s="2"/>
    </row>
    <row r="1138">
      <c r="A1138" s="2"/>
      <c r="B1138" s="2"/>
      <c r="C1138" s="31"/>
      <c r="D1138" s="31"/>
      <c r="E1138" s="32"/>
      <c r="G1138" s="2"/>
      <c r="H1138" s="2"/>
      <c r="I1138" s="2"/>
      <c r="J1138" s="2"/>
      <c r="K1138" s="2"/>
      <c r="M1138" s="2"/>
      <c r="N1138" s="2"/>
      <c r="O1138" s="2"/>
    </row>
    <row r="1139">
      <c r="A1139" s="2"/>
      <c r="B1139" s="2"/>
      <c r="C1139" s="31"/>
      <c r="D1139" s="31"/>
      <c r="E1139" s="32"/>
      <c r="H1139" s="2"/>
      <c r="I1139" s="2"/>
      <c r="J1139" s="2"/>
      <c r="K1139" s="2"/>
    </row>
    <row r="1140">
      <c r="A1140" s="2"/>
      <c r="B1140" s="2"/>
      <c r="C1140" s="31"/>
      <c r="D1140" s="31"/>
      <c r="E1140" s="32"/>
      <c r="F1140" s="2"/>
      <c r="G1140" s="2"/>
      <c r="H1140" s="2"/>
      <c r="I1140" s="2"/>
      <c r="J1140" s="2"/>
      <c r="K1140" s="2"/>
      <c r="M1140" s="2"/>
      <c r="N1140" s="2"/>
      <c r="O1140" s="2"/>
    </row>
    <row r="1141">
      <c r="A1141" s="2"/>
      <c r="B1141" s="2"/>
      <c r="C1141" s="31"/>
      <c r="D1141" s="31"/>
      <c r="E1141" s="32"/>
      <c r="F1141" s="2"/>
      <c r="G1141" s="2"/>
      <c r="H1141" s="2"/>
      <c r="I1141" s="2"/>
      <c r="J1141" s="2"/>
      <c r="K1141" s="2"/>
      <c r="M1141" s="2"/>
      <c r="N1141" s="2"/>
      <c r="O1141" s="2"/>
    </row>
    <row r="1142">
      <c r="A1142" s="2"/>
      <c r="B1142" s="2"/>
      <c r="C1142" s="31"/>
      <c r="D1142" s="31"/>
      <c r="E1142" s="32"/>
      <c r="H1142" s="2"/>
      <c r="I1142" s="2"/>
      <c r="J1142" s="2"/>
      <c r="K1142" s="2"/>
      <c r="M1142" s="2"/>
      <c r="N1142" s="2"/>
      <c r="O1142" s="2"/>
    </row>
    <row r="1143">
      <c r="A1143" s="2"/>
      <c r="B1143" s="2"/>
      <c r="C1143" s="31"/>
      <c r="D1143" s="31"/>
      <c r="E1143" s="32"/>
      <c r="H1143" s="2"/>
      <c r="I1143" s="2"/>
      <c r="J1143" s="2"/>
      <c r="K1143" s="2"/>
      <c r="M1143" s="2"/>
      <c r="N1143" s="2"/>
      <c r="O1143" s="2"/>
    </row>
    <row r="1144">
      <c r="A1144" s="2"/>
      <c r="B1144" s="2"/>
      <c r="C1144" s="31"/>
      <c r="D1144" s="31"/>
      <c r="E1144" s="32"/>
      <c r="H1144" s="2"/>
      <c r="I1144" s="2"/>
      <c r="J1144" s="2"/>
      <c r="K1144" s="2"/>
    </row>
    <row r="1145">
      <c r="A1145" s="2"/>
      <c r="B1145" s="2"/>
      <c r="C1145" s="31"/>
      <c r="D1145" s="31"/>
      <c r="E1145" s="32"/>
      <c r="F1145" s="2"/>
      <c r="G1145" s="2"/>
      <c r="H1145" s="2"/>
      <c r="I1145" s="2"/>
      <c r="J1145" s="2"/>
      <c r="K1145" s="2"/>
      <c r="M1145" s="2"/>
      <c r="N1145" s="2"/>
      <c r="O1145" s="2"/>
    </row>
    <row r="1146">
      <c r="A1146" s="2"/>
      <c r="B1146" s="2"/>
      <c r="C1146" s="31"/>
      <c r="D1146" s="31"/>
      <c r="E1146" s="32"/>
      <c r="H1146" s="2"/>
      <c r="I1146" s="2"/>
      <c r="J1146" s="2"/>
      <c r="K1146" s="2"/>
    </row>
    <row r="1147">
      <c r="A1147" s="2"/>
      <c r="B1147" s="2"/>
      <c r="C1147" s="31"/>
      <c r="D1147" s="31"/>
      <c r="E1147" s="32"/>
      <c r="H1147" s="2"/>
      <c r="I1147" s="2"/>
      <c r="J1147" s="2"/>
      <c r="K1147" s="2"/>
      <c r="M1147" s="2"/>
      <c r="N1147" s="2"/>
      <c r="O1147" s="2"/>
    </row>
    <row r="1148">
      <c r="A1148" s="2"/>
      <c r="B1148" s="2"/>
      <c r="C1148" s="31"/>
      <c r="D1148" s="31"/>
      <c r="E1148" s="32"/>
      <c r="H1148" s="2"/>
      <c r="I1148" s="2"/>
      <c r="J1148" s="2"/>
      <c r="K1148" s="2"/>
      <c r="M1148" s="2"/>
      <c r="N1148" s="2"/>
      <c r="O1148" s="2"/>
    </row>
    <row r="1149">
      <c r="A1149" s="2"/>
      <c r="B1149" s="2"/>
      <c r="C1149" s="31"/>
      <c r="D1149" s="31"/>
      <c r="E1149" s="32"/>
      <c r="H1149" s="2"/>
      <c r="I1149" s="2"/>
      <c r="J1149" s="2"/>
      <c r="K1149" s="2"/>
      <c r="M1149" s="2"/>
      <c r="N1149" s="2"/>
      <c r="O1149" s="2"/>
    </row>
    <row r="1150">
      <c r="A1150" s="2"/>
      <c r="B1150" s="2"/>
      <c r="C1150" s="31"/>
      <c r="D1150" s="31"/>
      <c r="E1150" s="32"/>
      <c r="H1150" s="2"/>
      <c r="I1150" s="2"/>
      <c r="J1150" s="2"/>
      <c r="K1150" s="2"/>
    </row>
    <row r="1151">
      <c r="A1151" s="2"/>
      <c r="B1151" s="2"/>
      <c r="C1151" s="31"/>
      <c r="D1151" s="31"/>
      <c r="E1151" s="32"/>
      <c r="H1151" s="2"/>
      <c r="I1151" s="2"/>
      <c r="J1151" s="2"/>
      <c r="K1151" s="2"/>
      <c r="M1151" s="2"/>
      <c r="N1151" s="2"/>
      <c r="O1151" s="2"/>
    </row>
    <row r="1152">
      <c r="A1152" s="2"/>
      <c r="B1152" s="2"/>
      <c r="C1152" s="31"/>
      <c r="D1152" s="31"/>
      <c r="E1152" s="32"/>
      <c r="H1152" s="2"/>
      <c r="I1152" s="2"/>
      <c r="J1152" s="2"/>
      <c r="K1152" s="2"/>
    </row>
    <row r="1153">
      <c r="A1153" s="2"/>
      <c r="B1153" s="2"/>
      <c r="C1153" s="31"/>
      <c r="D1153" s="31"/>
      <c r="E1153" s="32"/>
      <c r="F1153" s="2"/>
      <c r="G1153" s="2"/>
      <c r="H1153" s="2"/>
      <c r="I1153" s="2"/>
      <c r="J1153" s="2"/>
      <c r="K1153" s="2"/>
      <c r="M1153" s="2"/>
      <c r="N1153" s="2"/>
      <c r="O1153" s="2"/>
    </row>
    <row r="1154">
      <c r="A1154" s="2"/>
      <c r="B1154" s="2"/>
      <c r="C1154" s="31"/>
      <c r="D1154" s="31"/>
      <c r="E1154" s="32"/>
      <c r="H1154" s="2"/>
      <c r="I1154" s="2"/>
      <c r="J1154" s="2"/>
      <c r="K1154" s="2"/>
      <c r="M1154" s="2"/>
      <c r="N1154" s="2"/>
      <c r="O1154" s="2"/>
    </row>
    <row r="1155">
      <c r="A1155" s="2"/>
      <c r="B1155" s="2"/>
      <c r="C1155" s="31"/>
      <c r="D1155" s="31"/>
      <c r="E1155" s="32"/>
      <c r="H1155" s="2"/>
      <c r="I1155" s="2"/>
      <c r="J1155" s="2"/>
      <c r="K1155" s="2"/>
      <c r="M1155" s="2"/>
      <c r="N1155" s="2"/>
      <c r="O1155" s="2"/>
    </row>
    <row r="1156">
      <c r="A1156" s="2"/>
      <c r="B1156" s="2"/>
      <c r="C1156" s="31"/>
      <c r="D1156" s="31"/>
      <c r="E1156" s="32"/>
      <c r="G1156" s="2"/>
      <c r="H1156" s="2"/>
      <c r="I1156" s="2"/>
      <c r="J1156" s="2"/>
      <c r="K1156" s="2"/>
      <c r="M1156" s="2"/>
      <c r="N1156" s="2"/>
      <c r="O1156" s="2"/>
    </row>
    <row r="1157">
      <c r="A1157" s="2"/>
      <c r="B1157" s="2"/>
      <c r="C1157" s="31"/>
      <c r="D1157" s="31"/>
      <c r="E1157" s="32"/>
      <c r="H1157" s="2"/>
      <c r="I1157" s="2"/>
      <c r="J1157" s="2"/>
      <c r="K1157" s="2"/>
    </row>
    <row r="1158">
      <c r="A1158" s="2"/>
      <c r="B1158" s="2"/>
      <c r="C1158" s="31"/>
      <c r="D1158" s="31"/>
      <c r="E1158" s="32"/>
      <c r="F1158" s="2"/>
      <c r="H1158" s="2"/>
      <c r="I1158" s="2"/>
      <c r="J1158" s="2"/>
      <c r="K1158" s="2"/>
      <c r="M1158" s="2"/>
      <c r="N1158" s="2"/>
      <c r="O1158" s="2"/>
    </row>
    <row r="1159">
      <c r="A1159" s="2"/>
      <c r="B1159" s="2"/>
      <c r="C1159" s="31"/>
      <c r="D1159" s="31"/>
      <c r="E1159" s="32"/>
      <c r="G1159" s="2"/>
      <c r="H1159" s="2"/>
      <c r="I1159" s="2"/>
      <c r="J1159" s="2"/>
      <c r="K1159" s="2"/>
      <c r="M1159" s="2"/>
      <c r="N1159" s="2"/>
      <c r="O1159" s="2"/>
    </row>
    <row r="1160">
      <c r="A1160" s="2"/>
      <c r="B1160" s="2"/>
      <c r="C1160" s="31"/>
      <c r="D1160" s="31"/>
      <c r="E1160" s="32"/>
      <c r="G1160" s="2"/>
      <c r="H1160" s="2"/>
      <c r="I1160" s="2"/>
      <c r="J1160" s="2"/>
      <c r="K1160" s="2"/>
      <c r="M1160" s="2"/>
      <c r="N1160" s="2"/>
      <c r="O1160" s="2"/>
    </row>
    <row r="1161">
      <c r="A1161" s="2"/>
      <c r="B1161" s="2"/>
      <c r="C1161" s="31"/>
      <c r="D1161" s="31"/>
      <c r="E1161" s="32"/>
      <c r="H1161" s="2"/>
      <c r="I1161" s="2"/>
      <c r="J1161" s="2"/>
      <c r="K1161" s="2"/>
      <c r="M1161" s="2"/>
      <c r="N1161" s="2"/>
      <c r="O1161" s="2"/>
    </row>
    <row r="1162">
      <c r="A1162" s="2"/>
      <c r="B1162" s="2"/>
      <c r="C1162" s="31"/>
      <c r="D1162" s="31"/>
      <c r="E1162" s="32"/>
      <c r="G1162" s="2"/>
      <c r="H1162" s="2"/>
      <c r="I1162" s="2"/>
      <c r="J1162" s="2"/>
      <c r="K1162" s="2"/>
      <c r="M1162" s="2"/>
      <c r="N1162" s="2"/>
      <c r="O1162" s="2"/>
    </row>
    <row r="1163">
      <c r="A1163" s="2"/>
      <c r="B1163" s="2"/>
      <c r="C1163" s="31"/>
      <c r="D1163" s="31"/>
      <c r="E1163" s="32"/>
      <c r="H1163" s="2"/>
      <c r="I1163" s="2"/>
      <c r="J1163" s="2"/>
      <c r="K1163" s="2"/>
    </row>
    <row r="1164">
      <c r="A1164" s="2"/>
      <c r="B1164" s="2"/>
      <c r="C1164" s="31"/>
      <c r="D1164" s="31"/>
      <c r="E1164" s="32"/>
      <c r="F1164" s="2"/>
      <c r="G1164" s="2"/>
      <c r="H1164" s="2"/>
      <c r="I1164" s="2"/>
      <c r="J1164" s="2"/>
      <c r="K1164" s="2"/>
      <c r="M1164" s="2"/>
      <c r="N1164" s="2"/>
      <c r="O1164" s="2"/>
    </row>
    <row r="1165">
      <c r="A1165" s="2"/>
      <c r="B1165" s="2"/>
      <c r="C1165" s="31"/>
      <c r="D1165" s="31"/>
      <c r="E1165" s="32"/>
      <c r="F1165" s="2"/>
      <c r="G1165" s="2"/>
      <c r="H1165" s="2"/>
      <c r="I1165" s="2"/>
      <c r="J1165" s="2"/>
      <c r="K1165" s="2"/>
      <c r="M1165" s="2"/>
      <c r="N1165" s="2"/>
      <c r="O1165" s="2"/>
    </row>
    <row r="1166">
      <c r="A1166" s="2"/>
      <c r="B1166" s="2"/>
      <c r="C1166" s="31"/>
      <c r="D1166" s="31"/>
      <c r="E1166" s="32"/>
      <c r="H1166" s="2"/>
      <c r="I1166" s="2"/>
      <c r="J1166" s="2"/>
      <c r="K1166" s="2"/>
      <c r="M1166" s="2"/>
      <c r="N1166" s="2"/>
      <c r="O1166" s="2"/>
    </row>
    <row r="1167">
      <c r="A1167" s="2"/>
      <c r="B1167" s="2"/>
      <c r="C1167" s="31"/>
      <c r="D1167" s="31"/>
      <c r="E1167" s="32"/>
      <c r="H1167" s="2"/>
      <c r="I1167" s="2"/>
      <c r="J1167" s="2"/>
      <c r="K1167" s="2"/>
      <c r="M1167" s="2"/>
      <c r="N1167" s="2"/>
      <c r="O1167" s="2"/>
    </row>
    <row r="1168">
      <c r="A1168" s="2"/>
      <c r="B1168" s="2"/>
      <c r="C1168" s="31"/>
      <c r="D1168" s="31"/>
      <c r="E1168" s="32"/>
      <c r="H1168" s="2"/>
      <c r="I1168" s="2"/>
      <c r="J1168" s="2"/>
      <c r="K1168" s="2"/>
    </row>
    <row r="1169">
      <c r="A1169" s="2"/>
      <c r="B1169" s="2"/>
      <c r="C1169" s="31"/>
      <c r="D1169" s="31"/>
      <c r="E1169" s="32"/>
      <c r="H1169" s="2"/>
      <c r="I1169" s="2"/>
      <c r="J1169" s="2"/>
      <c r="K1169" s="2"/>
    </row>
    <row r="1170">
      <c r="A1170" s="2"/>
      <c r="B1170" s="2"/>
      <c r="C1170" s="31"/>
      <c r="D1170" s="31"/>
      <c r="E1170" s="32"/>
      <c r="G1170" s="2"/>
      <c r="H1170" s="2"/>
      <c r="I1170" s="2"/>
      <c r="J1170" s="2"/>
      <c r="K1170" s="2"/>
      <c r="M1170" s="2"/>
      <c r="N1170" s="2"/>
      <c r="O1170" s="2"/>
    </row>
    <row r="1171">
      <c r="A1171" s="2"/>
      <c r="B1171" s="2"/>
      <c r="C1171" s="31"/>
      <c r="D1171" s="31"/>
      <c r="E1171" s="32"/>
      <c r="G1171" s="2"/>
      <c r="H1171" s="2"/>
      <c r="I1171" s="2"/>
      <c r="J1171" s="2"/>
      <c r="K1171" s="2"/>
      <c r="M1171" s="2"/>
      <c r="N1171" s="2"/>
      <c r="O1171" s="2"/>
    </row>
    <row r="1172">
      <c r="A1172" s="2"/>
      <c r="B1172" s="2"/>
      <c r="C1172" s="31"/>
      <c r="D1172" s="31"/>
      <c r="E1172" s="32"/>
      <c r="H1172" s="2"/>
      <c r="I1172" s="2"/>
      <c r="J1172" s="2"/>
      <c r="K1172" s="2"/>
      <c r="M1172" s="2"/>
      <c r="N1172" s="2"/>
      <c r="O1172" s="2"/>
    </row>
    <row r="1173">
      <c r="A1173" s="2"/>
      <c r="B1173" s="2"/>
      <c r="C1173" s="31"/>
      <c r="D1173" s="31"/>
      <c r="E1173" s="32"/>
      <c r="H1173" s="2"/>
      <c r="I1173" s="2"/>
      <c r="J1173" s="2"/>
      <c r="K1173" s="2"/>
      <c r="M1173" s="2"/>
      <c r="N1173" s="2"/>
      <c r="O1173" s="2"/>
    </row>
    <row r="1174">
      <c r="A1174" s="2"/>
      <c r="B1174" s="2"/>
      <c r="C1174" s="31"/>
      <c r="D1174" s="31"/>
      <c r="E1174" s="32"/>
      <c r="H1174" s="2"/>
      <c r="I1174" s="2"/>
      <c r="J1174" s="2"/>
      <c r="K1174" s="2"/>
      <c r="M1174" s="2"/>
      <c r="N1174" s="2"/>
      <c r="O1174" s="2"/>
    </row>
    <row r="1175">
      <c r="A1175" s="2"/>
      <c r="B1175" s="2"/>
      <c r="C1175" s="31"/>
      <c r="D1175" s="31"/>
      <c r="E1175" s="32"/>
      <c r="H1175" s="2"/>
      <c r="I1175" s="2"/>
      <c r="J1175" s="2"/>
      <c r="K1175" s="2"/>
    </row>
    <row r="1176">
      <c r="A1176" s="2"/>
      <c r="B1176" s="2"/>
      <c r="C1176" s="31"/>
      <c r="D1176" s="31"/>
      <c r="E1176" s="32"/>
      <c r="G1176" s="2"/>
      <c r="H1176" s="2"/>
      <c r="I1176" s="2"/>
      <c r="J1176" s="2"/>
      <c r="K1176" s="2"/>
      <c r="M1176" s="2"/>
      <c r="N1176" s="2"/>
      <c r="O1176" s="2"/>
    </row>
    <row r="1177">
      <c r="A1177" s="2"/>
      <c r="B1177" s="2"/>
      <c r="C1177" s="31"/>
      <c r="D1177" s="31"/>
      <c r="E1177" s="32"/>
      <c r="H1177" s="2"/>
      <c r="I1177" s="2"/>
      <c r="J1177" s="2"/>
      <c r="K1177" s="2"/>
    </row>
    <row r="1178">
      <c r="A1178" s="2"/>
      <c r="B1178" s="2"/>
      <c r="C1178" s="31"/>
      <c r="D1178" s="31"/>
      <c r="E1178" s="32"/>
      <c r="H1178" s="2"/>
      <c r="I1178" s="2"/>
      <c r="J1178" s="2"/>
      <c r="K1178" s="2"/>
      <c r="M1178" s="2"/>
      <c r="N1178" s="2"/>
      <c r="O1178" s="2"/>
    </row>
    <row r="1179">
      <c r="A1179" s="2"/>
      <c r="B1179" s="2"/>
      <c r="C1179" s="31"/>
      <c r="D1179" s="31"/>
      <c r="E1179" s="32"/>
      <c r="G1179" s="2"/>
      <c r="H1179" s="2"/>
      <c r="I1179" s="2"/>
      <c r="J1179" s="2"/>
      <c r="K1179" s="2"/>
      <c r="M1179" s="2"/>
      <c r="N1179" s="2"/>
      <c r="O1179" s="2"/>
    </row>
    <row r="1180">
      <c r="A1180" s="2"/>
      <c r="B1180" s="2"/>
      <c r="C1180" s="31"/>
      <c r="D1180" s="31"/>
      <c r="E1180" s="32"/>
      <c r="H1180" s="2"/>
      <c r="I1180" s="2"/>
      <c r="J1180" s="2"/>
      <c r="K1180" s="2"/>
    </row>
    <row r="1181">
      <c r="A1181" s="2"/>
      <c r="B1181" s="2"/>
      <c r="C1181" s="31"/>
      <c r="D1181" s="31"/>
      <c r="E1181" s="32"/>
      <c r="G1181" s="2"/>
      <c r="H1181" s="2"/>
      <c r="I1181" s="2"/>
      <c r="J1181" s="2"/>
      <c r="K1181" s="2"/>
      <c r="M1181" s="2"/>
      <c r="N1181" s="2"/>
      <c r="O1181" s="2"/>
    </row>
    <row r="1182">
      <c r="A1182" s="2"/>
      <c r="B1182" s="2"/>
      <c r="C1182" s="31"/>
      <c r="D1182" s="31"/>
      <c r="E1182" s="32"/>
      <c r="H1182" s="2"/>
      <c r="I1182" s="2"/>
      <c r="J1182" s="2"/>
      <c r="K1182" s="2"/>
      <c r="M1182" s="2"/>
      <c r="N1182" s="2"/>
      <c r="O1182" s="2"/>
    </row>
    <row r="1183">
      <c r="A1183" s="2"/>
      <c r="B1183" s="2"/>
      <c r="C1183" s="31"/>
      <c r="D1183" s="31"/>
      <c r="E1183" s="32"/>
      <c r="G1183" s="2"/>
      <c r="H1183" s="2"/>
      <c r="I1183" s="2"/>
      <c r="J1183" s="2"/>
      <c r="K1183" s="2"/>
      <c r="M1183" s="2"/>
      <c r="N1183" s="2"/>
      <c r="O1183" s="2"/>
    </row>
    <row r="1184">
      <c r="A1184" s="2"/>
      <c r="B1184" s="2"/>
      <c r="C1184" s="31"/>
      <c r="D1184" s="31"/>
      <c r="E1184" s="32"/>
      <c r="H1184" s="2"/>
      <c r="I1184" s="2"/>
      <c r="J1184" s="2"/>
      <c r="K1184" s="2"/>
    </row>
    <row r="1185">
      <c r="A1185" s="2"/>
      <c r="B1185" s="2"/>
      <c r="C1185" s="31"/>
      <c r="D1185" s="31"/>
      <c r="E1185" s="32"/>
      <c r="H1185" s="2"/>
      <c r="I1185" s="2"/>
      <c r="J1185" s="2"/>
      <c r="K1185" s="2"/>
    </row>
    <row r="1186">
      <c r="A1186" s="2"/>
      <c r="B1186" s="2"/>
      <c r="C1186" s="31"/>
      <c r="D1186" s="31"/>
      <c r="E1186" s="32"/>
      <c r="H1186" s="2"/>
      <c r="I1186" s="2"/>
      <c r="J1186" s="2"/>
      <c r="K1186" s="2"/>
    </row>
    <row r="1187">
      <c r="A1187" s="2"/>
      <c r="B1187" s="2"/>
      <c r="C1187" s="31"/>
      <c r="D1187" s="31"/>
      <c r="E1187" s="32"/>
      <c r="H1187" s="2"/>
      <c r="I1187" s="2"/>
      <c r="J1187" s="2"/>
      <c r="K1187" s="2"/>
    </row>
    <row r="1188">
      <c r="A1188" s="2"/>
      <c r="B1188" s="2"/>
      <c r="C1188" s="31"/>
      <c r="D1188" s="31"/>
      <c r="E1188" s="32"/>
      <c r="H1188" s="2"/>
      <c r="I1188" s="2"/>
      <c r="J1188" s="2"/>
      <c r="K1188" s="2"/>
    </row>
    <row r="1189">
      <c r="A1189" s="2"/>
      <c r="B1189" s="2"/>
      <c r="C1189" s="31"/>
      <c r="D1189" s="31"/>
      <c r="E1189" s="32"/>
      <c r="H1189" s="2"/>
      <c r="I1189" s="2"/>
      <c r="J1189" s="2"/>
      <c r="K1189" s="2"/>
    </row>
    <row r="1190">
      <c r="A1190" s="2"/>
      <c r="B1190" s="2"/>
      <c r="C1190" s="31"/>
      <c r="D1190" s="31"/>
      <c r="E1190" s="32"/>
      <c r="H1190" s="2"/>
      <c r="I1190" s="2"/>
      <c r="J1190" s="2"/>
      <c r="K1190" s="2"/>
    </row>
    <row r="1191">
      <c r="A1191" s="2"/>
      <c r="B1191" s="2"/>
      <c r="C1191" s="31"/>
      <c r="D1191" s="31"/>
      <c r="E1191" s="32"/>
      <c r="H1191" s="2"/>
      <c r="I1191" s="2"/>
      <c r="J1191" s="2"/>
      <c r="K1191" s="2"/>
    </row>
    <row r="1192">
      <c r="A1192" s="2"/>
      <c r="B1192" s="2"/>
      <c r="C1192" s="31"/>
      <c r="D1192" s="31"/>
      <c r="E1192" s="32"/>
      <c r="F1192" s="2"/>
      <c r="G1192" s="2"/>
      <c r="H1192" s="2"/>
      <c r="I1192" s="2"/>
      <c r="J1192" s="2"/>
      <c r="K1192" s="2"/>
      <c r="M1192" s="2"/>
      <c r="N1192" s="2"/>
      <c r="O1192" s="2"/>
    </row>
    <row r="1193">
      <c r="A1193" s="2"/>
      <c r="B1193" s="2"/>
      <c r="C1193" s="31"/>
      <c r="D1193" s="31"/>
      <c r="E1193" s="32"/>
      <c r="F1193" s="2"/>
      <c r="G1193" s="2"/>
      <c r="H1193" s="2"/>
      <c r="I1193" s="2"/>
      <c r="J1193" s="2"/>
      <c r="K1193" s="2"/>
      <c r="M1193" s="2"/>
      <c r="N1193" s="2"/>
      <c r="O1193" s="2"/>
    </row>
    <row r="1194">
      <c r="A1194" s="2"/>
      <c r="B1194" s="2"/>
      <c r="C1194" s="31"/>
      <c r="D1194" s="31"/>
      <c r="E1194" s="32"/>
      <c r="H1194" s="2"/>
      <c r="I1194" s="2"/>
      <c r="J1194" s="2"/>
      <c r="K1194" s="2"/>
      <c r="M1194" s="2"/>
      <c r="N1194" s="2"/>
      <c r="O1194" s="2"/>
    </row>
    <row r="1195">
      <c r="A1195" s="2"/>
      <c r="B1195" s="2"/>
      <c r="C1195" s="31"/>
      <c r="D1195" s="31"/>
      <c r="E1195" s="32"/>
      <c r="H1195" s="2"/>
      <c r="I1195" s="2"/>
      <c r="J1195" s="2"/>
      <c r="K1195" s="2"/>
      <c r="M1195" s="2"/>
      <c r="N1195" s="2"/>
      <c r="O1195" s="2"/>
    </row>
    <row r="1196">
      <c r="A1196" s="2"/>
      <c r="B1196" s="2"/>
      <c r="C1196" s="31"/>
      <c r="D1196" s="31"/>
      <c r="E1196" s="32"/>
      <c r="H1196" s="2"/>
      <c r="I1196" s="2"/>
      <c r="J1196" s="2"/>
      <c r="K1196" s="2"/>
    </row>
    <row r="1197">
      <c r="A1197" s="2"/>
      <c r="B1197" s="2"/>
      <c r="C1197" s="31"/>
      <c r="D1197" s="31"/>
      <c r="E1197" s="32"/>
      <c r="F1197" s="2"/>
      <c r="G1197" s="2"/>
      <c r="H1197" s="2"/>
      <c r="I1197" s="2"/>
      <c r="J1197" s="2"/>
      <c r="K1197" s="2"/>
      <c r="M1197" s="2"/>
      <c r="N1197" s="2"/>
      <c r="O1197" s="2"/>
    </row>
    <row r="1198">
      <c r="A1198" s="2"/>
      <c r="B1198" s="2"/>
      <c r="C1198" s="31"/>
      <c r="D1198" s="31"/>
      <c r="E1198" s="32"/>
      <c r="H1198" s="2"/>
      <c r="I1198" s="2"/>
      <c r="J1198" s="2"/>
      <c r="K1198" s="2"/>
    </row>
    <row r="1199">
      <c r="A1199" s="2"/>
      <c r="B1199" s="2"/>
      <c r="C1199" s="31"/>
      <c r="D1199" s="31"/>
      <c r="E1199" s="32"/>
      <c r="H1199" s="2"/>
      <c r="I1199" s="2"/>
      <c r="J1199" s="2"/>
      <c r="K1199" s="2"/>
      <c r="M1199" s="2"/>
      <c r="N1199" s="2"/>
      <c r="O1199" s="2"/>
    </row>
    <row r="1200">
      <c r="A1200" s="2"/>
      <c r="B1200" s="2"/>
      <c r="C1200" s="31"/>
      <c r="D1200" s="31"/>
      <c r="E1200" s="32"/>
      <c r="H1200" s="2"/>
      <c r="I1200" s="2"/>
      <c r="J1200" s="2"/>
      <c r="K1200" s="2"/>
      <c r="M1200" s="2"/>
      <c r="N1200" s="2"/>
      <c r="O1200" s="2"/>
    </row>
    <row r="1201">
      <c r="A1201" s="2"/>
      <c r="B1201" s="2"/>
      <c r="C1201" s="31"/>
      <c r="D1201" s="31"/>
      <c r="E1201" s="32"/>
      <c r="H1201" s="2"/>
      <c r="I1201" s="2"/>
      <c r="J1201" s="2"/>
      <c r="K1201" s="2"/>
    </row>
    <row r="1202">
      <c r="A1202" s="2"/>
      <c r="B1202" s="2"/>
      <c r="C1202" s="31"/>
      <c r="D1202" s="31"/>
      <c r="E1202" s="32"/>
      <c r="H1202" s="2"/>
      <c r="I1202" s="2"/>
      <c r="J1202" s="2"/>
      <c r="K1202" s="2"/>
    </row>
    <row r="1203">
      <c r="A1203" s="2"/>
      <c r="B1203" s="2"/>
      <c r="C1203" s="31"/>
      <c r="D1203" s="31"/>
      <c r="E1203" s="32"/>
      <c r="F1203" s="2"/>
      <c r="G1203" s="2"/>
      <c r="H1203" s="2"/>
      <c r="I1203" s="2"/>
      <c r="J1203" s="2"/>
      <c r="K1203" s="2"/>
      <c r="M1203" s="2"/>
      <c r="N1203" s="2"/>
      <c r="O1203" s="2"/>
    </row>
    <row r="1204">
      <c r="A1204" s="2"/>
      <c r="B1204" s="2"/>
      <c r="C1204" s="31"/>
      <c r="D1204" s="31"/>
      <c r="E1204" s="32"/>
      <c r="H1204" s="2"/>
      <c r="I1204" s="2"/>
      <c r="J1204" s="2"/>
      <c r="K1204" s="2"/>
      <c r="M1204" s="2"/>
      <c r="N1204" s="2"/>
      <c r="O1204" s="2"/>
    </row>
    <row r="1205">
      <c r="A1205" s="2"/>
      <c r="B1205" s="2"/>
      <c r="C1205" s="31"/>
      <c r="D1205" s="31"/>
      <c r="E1205" s="32"/>
      <c r="H1205" s="2"/>
      <c r="I1205" s="2"/>
      <c r="J1205" s="2"/>
      <c r="K1205" s="2"/>
      <c r="M1205" s="2"/>
      <c r="N1205" s="2"/>
      <c r="O1205" s="2"/>
    </row>
    <row r="1206">
      <c r="A1206" s="2"/>
      <c r="B1206" s="2"/>
      <c r="C1206" s="31"/>
      <c r="D1206" s="31"/>
      <c r="E1206" s="32"/>
      <c r="G1206" s="2"/>
      <c r="H1206" s="2"/>
      <c r="I1206" s="2"/>
      <c r="J1206" s="2"/>
      <c r="K1206" s="2"/>
      <c r="M1206" s="2"/>
      <c r="N1206" s="2"/>
      <c r="O1206" s="2"/>
    </row>
    <row r="1207">
      <c r="A1207" s="2"/>
      <c r="B1207" s="2"/>
      <c r="C1207" s="31"/>
      <c r="D1207" s="31"/>
      <c r="E1207" s="32"/>
      <c r="H1207" s="2"/>
      <c r="I1207" s="2"/>
      <c r="J1207" s="2"/>
      <c r="K1207" s="2"/>
    </row>
    <row r="1208">
      <c r="A1208" s="2"/>
      <c r="B1208" s="2"/>
      <c r="C1208" s="31"/>
      <c r="D1208" s="31"/>
      <c r="E1208" s="32"/>
      <c r="F1208" s="2"/>
      <c r="H1208" s="2"/>
      <c r="I1208" s="2"/>
      <c r="J1208" s="2"/>
      <c r="K1208" s="2"/>
      <c r="M1208" s="2"/>
      <c r="N1208" s="2"/>
      <c r="O1208" s="2"/>
    </row>
    <row r="1209">
      <c r="A1209" s="2"/>
      <c r="B1209" s="2"/>
      <c r="C1209" s="31"/>
      <c r="D1209" s="31"/>
      <c r="E1209" s="32"/>
      <c r="G1209" s="2"/>
      <c r="H1209" s="2"/>
      <c r="I1209" s="2"/>
      <c r="J1209" s="2"/>
      <c r="K1209" s="2"/>
      <c r="M1209" s="2"/>
      <c r="N1209" s="2"/>
      <c r="O1209" s="2"/>
    </row>
    <row r="1210">
      <c r="A1210" s="2"/>
      <c r="B1210" s="2"/>
      <c r="C1210" s="31"/>
      <c r="D1210" s="31"/>
      <c r="E1210" s="32"/>
      <c r="G1210" s="2"/>
      <c r="H1210" s="2"/>
      <c r="I1210" s="2"/>
      <c r="J1210" s="2"/>
      <c r="K1210" s="2"/>
      <c r="M1210" s="2"/>
      <c r="N1210" s="2"/>
      <c r="O1210" s="2"/>
    </row>
    <row r="1211">
      <c r="A1211" s="2"/>
      <c r="B1211" s="2"/>
      <c r="C1211" s="31"/>
      <c r="D1211" s="31"/>
      <c r="E1211" s="32"/>
      <c r="H1211" s="2"/>
      <c r="I1211" s="2"/>
      <c r="J1211" s="2"/>
      <c r="K1211" s="2"/>
      <c r="M1211" s="2"/>
      <c r="N1211" s="2"/>
      <c r="O1211" s="2"/>
    </row>
    <row r="1212">
      <c r="A1212" s="2"/>
      <c r="B1212" s="2"/>
      <c r="C1212" s="31"/>
      <c r="D1212" s="31"/>
      <c r="E1212" s="32"/>
      <c r="H1212" s="2"/>
      <c r="I1212" s="2"/>
      <c r="J1212" s="2"/>
      <c r="K1212" s="2"/>
    </row>
    <row r="1213">
      <c r="A1213" s="2"/>
      <c r="B1213" s="2"/>
      <c r="C1213" s="31"/>
      <c r="D1213" s="31"/>
      <c r="E1213" s="32"/>
      <c r="F1213" s="2"/>
      <c r="G1213" s="2"/>
      <c r="H1213" s="2"/>
      <c r="I1213" s="2"/>
      <c r="J1213" s="2"/>
      <c r="K1213" s="2"/>
      <c r="M1213" s="2"/>
      <c r="N1213" s="2"/>
      <c r="O1213" s="2"/>
    </row>
    <row r="1214">
      <c r="A1214" s="2"/>
      <c r="B1214" s="2"/>
      <c r="C1214" s="31"/>
      <c r="D1214" s="31"/>
      <c r="E1214" s="32"/>
      <c r="F1214" s="2"/>
      <c r="G1214" s="2"/>
      <c r="H1214" s="2"/>
      <c r="I1214" s="2"/>
      <c r="J1214" s="2"/>
      <c r="K1214" s="2"/>
      <c r="M1214" s="2"/>
      <c r="N1214" s="2"/>
      <c r="O1214" s="2"/>
    </row>
    <row r="1215">
      <c r="A1215" s="2"/>
      <c r="B1215" s="2"/>
      <c r="C1215" s="31"/>
      <c r="D1215" s="31"/>
      <c r="E1215" s="32"/>
      <c r="H1215" s="2"/>
      <c r="I1215" s="2"/>
      <c r="J1215" s="2"/>
      <c r="K1215" s="2"/>
      <c r="M1215" s="2"/>
      <c r="N1215" s="2"/>
      <c r="O1215" s="2"/>
    </row>
    <row r="1216">
      <c r="A1216" s="2"/>
      <c r="B1216" s="2"/>
      <c r="C1216" s="31"/>
      <c r="D1216" s="31"/>
      <c r="E1216" s="32"/>
      <c r="H1216" s="2"/>
      <c r="I1216" s="2"/>
      <c r="J1216" s="2"/>
      <c r="K1216" s="2"/>
      <c r="M1216" s="2"/>
      <c r="N1216" s="2"/>
      <c r="O1216" s="2"/>
    </row>
    <row r="1217">
      <c r="A1217" s="2"/>
      <c r="B1217" s="2"/>
      <c r="C1217" s="31"/>
      <c r="D1217" s="31"/>
      <c r="E1217" s="32"/>
      <c r="H1217" s="2"/>
      <c r="I1217" s="2"/>
      <c r="J1217" s="2"/>
      <c r="K1217" s="2"/>
    </row>
    <row r="1218">
      <c r="A1218" s="2"/>
      <c r="B1218" s="2"/>
      <c r="C1218" s="31"/>
      <c r="D1218" s="31"/>
      <c r="E1218" s="32"/>
      <c r="H1218" s="2"/>
      <c r="I1218" s="2"/>
      <c r="J1218" s="2"/>
      <c r="K1218" s="2"/>
    </row>
    <row r="1219">
      <c r="A1219" s="2"/>
      <c r="B1219" s="2"/>
      <c r="C1219" s="31"/>
      <c r="D1219" s="31"/>
      <c r="E1219" s="32"/>
      <c r="H1219" s="2"/>
      <c r="I1219" s="2"/>
      <c r="J1219" s="2"/>
      <c r="K1219" s="2"/>
      <c r="M1219" s="2"/>
      <c r="N1219" s="2"/>
      <c r="O1219" s="2"/>
    </row>
    <row r="1220">
      <c r="A1220" s="2"/>
      <c r="B1220" s="2"/>
      <c r="C1220" s="31"/>
      <c r="D1220" s="31"/>
      <c r="E1220" s="32"/>
      <c r="H1220" s="2"/>
      <c r="I1220" s="2"/>
      <c r="J1220" s="2"/>
      <c r="K1220" s="2"/>
      <c r="M1220" s="2"/>
      <c r="N1220" s="2"/>
      <c r="O1220" s="2"/>
    </row>
    <row r="1221">
      <c r="A1221" s="2"/>
      <c r="B1221" s="2"/>
      <c r="C1221" s="31"/>
      <c r="D1221" s="31"/>
      <c r="E1221" s="32"/>
      <c r="H1221" s="2"/>
      <c r="I1221" s="2"/>
      <c r="J1221" s="2"/>
      <c r="K1221" s="2"/>
      <c r="M1221" s="2"/>
      <c r="N1221" s="2"/>
      <c r="O1221" s="2"/>
    </row>
    <row r="1222">
      <c r="A1222" s="2"/>
      <c r="B1222" s="2"/>
      <c r="C1222" s="31"/>
      <c r="D1222" s="31"/>
      <c r="E1222" s="32"/>
      <c r="H1222" s="2"/>
      <c r="I1222" s="2"/>
      <c r="J1222" s="2"/>
      <c r="K1222" s="2"/>
      <c r="M1222" s="2"/>
      <c r="N1222" s="2"/>
      <c r="O1222" s="2"/>
    </row>
    <row r="1223">
      <c r="A1223" s="2"/>
      <c r="B1223" s="2"/>
      <c r="C1223" s="31"/>
      <c r="D1223" s="31"/>
      <c r="E1223" s="32"/>
      <c r="H1223" s="2"/>
      <c r="I1223" s="2"/>
      <c r="J1223" s="2"/>
      <c r="K1223" s="2"/>
      <c r="M1223" s="2"/>
      <c r="N1223" s="2"/>
      <c r="O1223" s="2"/>
    </row>
    <row r="1224">
      <c r="A1224" s="2"/>
      <c r="B1224" s="2"/>
      <c r="C1224" s="31"/>
      <c r="D1224" s="31"/>
      <c r="E1224" s="32"/>
      <c r="G1224" s="2"/>
      <c r="H1224" s="2"/>
      <c r="I1224" s="2"/>
      <c r="J1224" s="2"/>
      <c r="K1224" s="2"/>
      <c r="M1224" s="2"/>
      <c r="N1224" s="2"/>
      <c r="O1224" s="2"/>
    </row>
    <row r="1225">
      <c r="A1225" s="2"/>
      <c r="B1225" s="2"/>
      <c r="C1225" s="31"/>
      <c r="D1225" s="31"/>
      <c r="E1225" s="32"/>
      <c r="H1225" s="2"/>
      <c r="I1225" s="2"/>
      <c r="J1225" s="2"/>
      <c r="K1225" s="2"/>
    </row>
    <row r="1226">
      <c r="A1226" s="2"/>
      <c r="B1226" s="2"/>
      <c r="C1226" s="31"/>
      <c r="D1226" s="31"/>
      <c r="E1226" s="32"/>
      <c r="H1226" s="2"/>
      <c r="I1226" s="2"/>
      <c r="J1226" s="2"/>
      <c r="K1226" s="2"/>
      <c r="M1226" s="2"/>
      <c r="N1226" s="2"/>
      <c r="O1226" s="2"/>
    </row>
    <row r="1227">
      <c r="A1227" s="2"/>
      <c r="B1227" s="2"/>
      <c r="C1227" s="31"/>
      <c r="D1227" s="31"/>
      <c r="E1227" s="32"/>
      <c r="H1227" s="2"/>
      <c r="I1227" s="2"/>
      <c r="J1227" s="2"/>
      <c r="K1227" s="2"/>
    </row>
    <row r="1228">
      <c r="A1228" s="2"/>
      <c r="B1228" s="2"/>
      <c r="C1228" s="31"/>
      <c r="D1228" s="31"/>
      <c r="E1228" s="32"/>
      <c r="H1228" s="2"/>
      <c r="I1228" s="2"/>
      <c r="J1228" s="2"/>
      <c r="K1228" s="2"/>
      <c r="M1228" s="2"/>
      <c r="N1228" s="2"/>
      <c r="O1228" s="2"/>
    </row>
    <row r="1229">
      <c r="A1229" s="2"/>
      <c r="B1229" s="2"/>
      <c r="C1229" s="31"/>
      <c r="D1229" s="31"/>
      <c r="E1229" s="32"/>
      <c r="G1229" s="2"/>
      <c r="H1229" s="2"/>
      <c r="I1229" s="2"/>
      <c r="J1229" s="2"/>
      <c r="K1229" s="2"/>
      <c r="M1229" s="2"/>
      <c r="N1229" s="2"/>
      <c r="O1229" s="2"/>
    </row>
    <row r="1230">
      <c r="A1230" s="2"/>
      <c r="B1230" s="2"/>
      <c r="C1230" s="31"/>
      <c r="D1230" s="31"/>
      <c r="E1230" s="32"/>
      <c r="H1230" s="2"/>
      <c r="I1230" s="2"/>
      <c r="J1230" s="2"/>
      <c r="K1230" s="2"/>
    </row>
    <row r="1231">
      <c r="A1231" s="2"/>
      <c r="B1231" s="2"/>
      <c r="C1231" s="31"/>
      <c r="D1231" s="31"/>
      <c r="E1231" s="32"/>
      <c r="G1231" s="2"/>
      <c r="H1231" s="2"/>
      <c r="I1231" s="2"/>
      <c r="J1231" s="2"/>
      <c r="K1231" s="2"/>
      <c r="M1231" s="2"/>
      <c r="N1231" s="2"/>
      <c r="O1231" s="2"/>
    </row>
    <row r="1232">
      <c r="A1232" s="2"/>
      <c r="B1232" s="2"/>
      <c r="C1232" s="31"/>
      <c r="D1232" s="31"/>
      <c r="E1232" s="32"/>
      <c r="H1232" s="2"/>
      <c r="I1232" s="2"/>
      <c r="J1232" s="2"/>
      <c r="K1232" s="2"/>
      <c r="M1232" s="2"/>
      <c r="N1232" s="2"/>
      <c r="O1232" s="2"/>
    </row>
    <row r="1233">
      <c r="A1233" s="2"/>
      <c r="B1233" s="2"/>
      <c r="C1233" s="31"/>
      <c r="D1233" s="31"/>
      <c r="E1233" s="32"/>
      <c r="G1233" s="2"/>
      <c r="H1233" s="2"/>
      <c r="I1233" s="2"/>
      <c r="J1233" s="2"/>
      <c r="K1233" s="2"/>
      <c r="M1233" s="2"/>
      <c r="N1233" s="2"/>
      <c r="O1233" s="2"/>
    </row>
    <row r="1234">
      <c r="A1234" s="2"/>
      <c r="B1234" s="2"/>
      <c r="C1234" s="31"/>
      <c r="D1234" s="31"/>
      <c r="E1234" s="32"/>
      <c r="H1234" s="2"/>
      <c r="I1234" s="2"/>
      <c r="J1234" s="2"/>
      <c r="K1234" s="2"/>
    </row>
    <row r="1235">
      <c r="A1235" s="2"/>
      <c r="B1235" s="2"/>
      <c r="C1235" s="31"/>
      <c r="D1235" s="31"/>
      <c r="E1235" s="32"/>
      <c r="F1235" s="2"/>
      <c r="G1235" s="2"/>
      <c r="H1235" s="2"/>
      <c r="I1235" s="2"/>
      <c r="J1235" s="2"/>
      <c r="K1235" s="2"/>
      <c r="M1235" s="2"/>
      <c r="N1235" s="2"/>
      <c r="O1235" s="2"/>
    </row>
    <row r="1236">
      <c r="A1236" s="2"/>
      <c r="B1236" s="2"/>
      <c r="C1236" s="31"/>
      <c r="D1236" s="31"/>
      <c r="E1236" s="32"/>
      <c r="F1236" s="2"/>
      <c r="G1236" s="2"/>
      <c r="H1236" s="2"/>
      <c r="I1236" s="2"/>
      <c r="J1236" s="2"/>
      <c r="K1236" s="2"/>
      <c r="M1236" s="2"/>
      <c r="N1236" s="2"/>
      <c r="O1236" s="2"/>
    </row>
    <row r="1237">
      <c r="A1237" s="2"/>
      <c r="B1237" s="2"/>
      <c r="C1237" s="31"/>
      <c r="D1237" s="31"/>
      <c r="E1237" s="32"/>
      <c r="H1237" s="2"/>
      <c r="I1237" s="2"/>
      <c r="J1237" s="2"/>
      <c r="K1237" s="2"/>
      <c r="M1237" s="2"/>
      <c r="N1237" s="2"/>
      <c r="O1237" s="2"/>
    </row>
    <row r="1238">
      <c r="A1238" s="2"/>
      <c r="B1238" s="2"/>
      <c r="C1238" s="31"/>
      <c r="D1238" s="31"/>
      <c r="E1238" s="32"/>
      <c r="H1238" s="2"/>
      <c r="I1238" s="2"/>
      <c r="J1238" s="2"/>
      <c r="K1238" s="2"/>
      <c r="M1238" s="2"/>
      <c r="N1238" s="2"/>
      <c r="O1238" s="2"/>
    </row>
    <row r="1239">
      <c r="A1239" s="2"/>
      <c r="B1239" s="2"/>
      <c r="C1239" s="31"/>
      <c r="D1239" s="31"/>
      <c r="E1239" s="32"/>
      <c r="H1239" s="2"/>
      <c r="I1239" s="2"/>
      <c r="J1239" s="2"/>
      <c r="K1239" s="2"/>
    </row>
    <row r="1240">
      <c r="A1240" s="2"/>
      <c r="B1240" s="2"/>
      <c r="C1240" s="31"/>
      <c r="D1240" s="31"/>
      <c r="E1240" s="32"/>
      <c r="F1240" s="2"/>
      <c r="G1240" s="2"/>
      <c r="H1240" s="2"/>
      <c r="I1240" s="2"/>
      <c r="J1240" s="2"/>
      <c r="K1240" s="2"/>
      <c r="M1240" s="2"/>
      <c r="N1240" s="2"/>
      <c r="O1240" s="2"/>
    </row>
    <row r="1241">
      <c r="A1241" s="2"/>
      <c r="B1241" s="2"/>
      <c r="C1241" s="31"/>
      <c r="D1241" s="31"/>
      <c r="E1241" s="32"/>
      <c r="H1241" s="2"/>
      <c r="I1241" s="2"/>
      <c r="J1241" s="2"/>
      <c r="K1241" s="2"/>
    </row>
    <row r="1242">
      <c r="A1242" s="2"/>
      <c r="B1242" s="2"/>
      <c r="C1242" s="31"/>
      <c r="D1242" s="31"/>
      <c r="E1242" s="32"/>
      <c r="H1242" s="2"/>
      <c r="I1242" s="2"/>
      <c r="J1242" s="2"/>
      <c r="K1242" s="2"/>
      <c r="M1242" s="2"/>
      <c r="N1242" s="2"/>
      <c r="O1242" s="2"/>
    </row>
    <row r="1243">
      <c r="A1243" s="2"/>
      <c r="B1243" s="2"/>
      <c r="C1243" s="31"/>
      <c r="D1243" s="31"/>
      <c r="E1243" s="32"/>
      <c r="H1243" s="2"/>
      <c r="I1243" s="2"/>
      <c r="J1243" s="2"/>
      <c r="K1243" s="2"/>
      <c r="M1243" s="2"/>
      <c r="N1243" s="2"/>
      <c r="O1243" s="2"/>
    </row>
    <row r="1244">
      <c r="A1244" s="2"/>
      <c r="B1244" s="2"/>
      <c r="C1244" s="31"/>
      <c r="D1244" s="31"/>
      <c r="E1244" s="32"/>
      <c r="H1244" s="2"/>
      <c r="I1244" s="2"/>
      <c r="J1244" s="2"/>
      <c r="K1244" s="2"/>
      <c r="M1244" s="2"/>
      <c r="N1244" s="2"/>
      <c r="O1244" s="2"/>
    </row>
    <row r="1245">
      <c r="A1245" s="2"/>
      <c r="B1245" s="2"/>
      <c r="C1245" s="31"/>
      <c r="D1245" s="31"/>
      <c r="E1245" s="32"/>
      <c r="H1245" s="2"/>
      <c r="I1245" s="2"/>
      <c r="J1245" s="2"/>
      <c r="K1245" s="2"/>
    </row>
    <row r="1246">
      <c r="A1246" s="2"/>
      <c r="B1246" s="2"/>
      <c r="C1246" s="31"/>
      <c r="D1246" s="31"/>
      <c r="E1246" s="32"/>
      <c r="H1246" s="2"/>
      <c r="I1246" s="2"/>
      <c r="J1246" s="2"/>
      <c r="K1246" s="2"/>
      <c r="M1246" s="2"/>
      <c r="N1246" s="2"/>
      <c r="O1246" s="2"/>
    </row>
    <row r="1247">
      <c r="A1247" s="2"/>
      <c r="B1247" s="2"/>
      <c r="C1247" s="31"/>
      <c r="D1247" s="31"/>
      <c r="E1247" s="32"/>
      <c r="H1247" s="2"/>
      <c r="I1247" s="2"/>
      <c r="J1247" s="2"/>
      <c r="K1247" s="2"/>
    </row>
    <row r="1248">
      <c r="A1248" s="2"/>
      <c r="B1248" s="2"/>
      <c r="C1248" s="31"/>
      <c r="D1248" s="31"/>
      <c r="E1248" s="32"/>
      <c r="F1248" s="2"/>
      <c r="G1248" s="2"/>
      <c r="H1248" s="2"/>
      <c r="I1248" s="2"/>
      <c r="J1248" s="2"/>
      <c r="K1248" s="2"/>
      <c r="M1248" s="2"/>
      <c r="N1248" s="2"/>
      <c r="O1248" s="2"/>
    </row>
    <row r="1249">
      <c r="A1249" s="2"/>
      <c r="B1249" s="2"/>
      <c r="C1249" s="31"/>
      <c r="D1249" s="31"/>
      <c r="E1249" s="32"/>
      <c r="H1249" s="2"/>
      <c r="I1249" s="2"/>
      <c r="J1249" s="2"/>
      <c r="K1249" s="2"/>
      <c r="M1249" s="2"/>
      <c r="N1249" s="2"/>
      <c r="O1249" s="2"/>
    </row>
    <row r="1250">
      <c r="A1250" s="2"/>
      <c r="B1250" s="2"/>
      <c r="C1250" s="31"/>
      <c r="D1250" s="31"/>
      <c r="E1250" s="32"/>
      <c r="H1250" s="2"/>
      <c r="I1250" s="2"/>
      <c r="J1250" s="2"/>
      <c r="K1250" s="2"/>
      <c r="M1250" s="2"/>
      <c r="N1250" s="2"/>
      <c r="O1250" s="2"/>
    </row>
    <row r="1251">
      <c r="A1251" s="2"/>
      <c r="B1251" s="2"/>
      <c r="C1251" s="31"/>
      <c r="D1251" s="31"/>
      <c r="E1251" s="32"/>
      <c r="G1251" s="2"/>
      <c r="H1251" s="2"/>
      <c r="I1251" s="2"/>
      <c r="J1251" s="2"/>
      <c r="K1251" s="2"/>
      <c r="M1251" s="2"/>
      <c r="N1251" s="2"/>
      <c r="O1251" s="2"/>
    </row>
    <row r="1252">
      <c r="A1252" s="2"/>
      <c r="B1252" s="2"/>
      <c r="C1252" s="31"/>
      <c r="D1252" s="31"/>
      <c r="E1252" s="32"/>
      <c r="H1252" s="2"/>
      <c r="I1252" s="2"/>
      <c r="J1252" s="2"/>
      <c r="K1252" s="2"/>
    </row>
    <row r="1253">
      <c r="A1253" s="2"/>
      <c r="B1253" s="2"/>
      <c r="C1253" s="31"/>
      <c r="D1253" s="31"/>
      <c r="E1253" s="32"/>
      <c r="F1253" s="2"/>
      <c r="H1253" s="2"/>
      <c r="I1253" s="2"/>
      <c r="J1253" s="2"/>
      <c r="K1253" s="2"/>
      <c r="M1253" s="2"/>
      <c r="N1253" s="2"/>
      <c r="O1253" s="2"/>
    </row>
    <row r="1254">
      <c r="A1254" s="2"/>
      <c r="B1254" s="2"/>
      <c r="C1254" s="31"/>
      <c r="D1254" s="31"/>
      <c r="E1254" s="32"/>
      <c r="G1254" s="2"/>
      <c r="H1254" s="2"/>
      <c r="I1254" s="2"/>
      <c r="J1254" s="2"/>
      <c r="K1254" s="2"/>
      <c r="M1254" s="2"/>
      <c r="N1254" s="2"/>
      <c r="O1254" s="2"/>
    </row>
    <row r="1255">
      <c r="A1255" s="2"/>
      <c r="B1255" s="2"/>
      <c r="C1255" s="31"/>
      <c r="D1255" s="31"/>
      <c r="E1255" s="32"/>
      <c r="G1255" s="2"/>
      <c r="H1255" s="2"/>
      <c r="I1255" s="2"/>
      <c r="J1255" s="2"/>
      <c r="K1255" s="2"/>
      <c r="M1255" s="2"/>
      <c r="N1255" s="2"/>
      <c r="O1255" s="2"/>
    </row>
    <row r="1256">
      <c r="A1256" s="2"/>
      <c r="B1256" s="2"/>
      <c r="C1256" s="31"/>
      <c r="D1256" s="31"/>
      <c r="E1256" s="32"/>
      <c r="H1256" s="2"/>
      <c r="I1256" s="2"/>
      <c r="J1256" s="2"/>
      <c r="K1256" s="2"/>
      <c r="M1256" s="2"/>
      <c r="N1256" s="2"/>
      <c r="O1256" s="2"/>
    </row>
    <row r="1257">
      <c r="A1257" s="2"/>
      <c r="B1257" s="2"/>
      <c r="C1257" s="31"/>
      <c r="D1257" s="31"/>
      <c r="E1257" s="32"/>
      <c r="H1257" s="2"/>
      <c r="I1257" s="2"/>
      <c r="J1257" s="2"/>
      <c r="K1257" s="2"/>
    </row>
    <row r="1258">
      <c r="A1258" s="2"/>
      <c r="B1258" s="2"/>
      <c r="C1258" s="31"/>
      <c r="D1258" s="31"/>
      <c r="E1258" s="32"/>
      <c r="F1258" s="2"/>
      <c r="G1258" s="2"/>
      <c r="H1258" s="2"/>
      <c r="I1258" s="2"/>
      <c r="J1258" s="2"/>
      <c r="K1258" s="2"/>
      <c r="M1258" s="2"/>
      <c r="N1258" s="2"/>
      <c r="O1258" s="2"/>
    </row>
    <row r="1259">
      <c r="A1259" s="2"/>
      <c r="B1259" s="2"/>
      <c r="C1259" s="31"/>
      <c r="D1259" s="31"/>
      <c r="E1259" s="32"/>
      <c r="F1259" s="2"/>
      <c r="G1259" s="2"/>
      <c r="H1259" s="2"/>
      <c r="I1259" s="2"/>
      <c r="J1259" s="2"/>
      <c r="K1259" s="2"/>
      <c r="M1259" s="2"/>
      <c r="N1259" s="2"/>
      <c r="O1259" s="2"/>
    </row>
    <row r="1260">
      <c r="A1260" s="2"/>
      <c r="B1260" s="2"/>
      <c r="C1260" s="31"/>
      <c r="D1260" s="31"/>
      <c r="E1260" s="32"/>
      <c r="H1260" s="2"/>
      <c r="I1260" s="2"/>
      <c r="J1260" s="2"/>
      <c r="K1260" s="2"/>
      <c r="M1260" s="2"/>
      <c r="N1260" s="2"/>
      <c r="O1260" s="2"/>
    </row>
    <row r="1261">
      <c r="A1261" s="2"/>
      <c r="B1261" s="2"/>
      <c r="C1261" s="31"/>
      <c r="D1261" s="31"/>
      <c r="E1261" s="32"/>
      <c r="H1261" s="2"/>
      <c r="I1261" s="2"/>
      <c r="J1261" s="2"/>
      <c r="K1261" s="2"/>
      <c r="M1261" s="2"/>
      <c r="N1261" s="2"/>
      <c r="O1261" s="2"/>
    </row>
    <row r="1262">
      <c r="A1262" s="2"/>
      <c r="B1262" s="2"/>
      <c r="C1262" s="31"/>
      <c r="D1262" s="31"/>
      <c r="E1262" s="32"/>
      <c r="H1262" s="2"/>
      <c r="I1262" s="2"/>
      <c r="J1262" s="2"/>
      <c r="K1262" s="2"/>
    </row>
    <row r="1263">
      <c r="A1263" s="2"/>
      <c r="B1263" s="2"/>
      <c r="C1263" s="31"/>
      <c r="D1263" s="31"/>
      <c r="E1263" s="32"/>
      <c r="H1263" s="2"/>
      <c r="I1263" s="2"/>
      <c r="J1263" s="2"/>
      <c r="K1263" s="2"/>
    </row>
    <row r="1264">
      <c r="A1264" s="2"/>
      <c r="B1264" s="2"/>
      <c r="C1264" s="31"/>
      <c r="D1264" s="31"/>
      <c r="E1264" s="32"/>
      <c r="G1264" s="2"/>
      <c r="H1264" s="2"/>
      <c r="I1264" s="2"/>
      <c r="J1264" s="2"/>
      <c r="K1264" s="2"/>
      <c r="M1264" s="2"/>
      <c r="N1264" s="2"/>
      <c r="O1264" s="2"/>
    </row>
    <row r="1265">
      <c r="A1265" s="2"/>
      <c r="B1265" s="2"/>
      <c r="C1265" s="31"/>
      <c r="D1265" s="31"/>
      <c r="E1265" s="32"/>
      <c r="G1265" s="2"/>
      <c r="H1265" s="2"/>
      <c r="I1265" s="2"/>
      <c r="J1265" s="2"/>
      <c r="K1265" s="2"/>
      <c r="M1265" s="2"/>
      <c r="N1265" s="2"/>
      <c r="O1265" s="2"/>
    </row>
    <row r="1266">
      <c r="A1266" s="2"/>
      <c r="B1266" s="2"/>
      <c r="C1266" s="31"/>
      <c r="D1266" s="31"/>
      <c r="E1266" s="32"/>
      <c r="H1266" s="2"/>
      <c r="I1266" s="2"/>
      <c r="J1266" s="2"/>
      <c r="K1266" s="2"/>
      <c r="M1266" s="2"/>
      <c r="N1266" s="2"/>
      <c r="O1266" s="2"/>
    </row>
    <row r="1267">
      <c r="A1267" s="2"/>
      <c r="B1267" s="2"/>
      <c r="C1267" s="31"/>
      <c r="D1267" s="31"/>
      <c r="E1267" s="32"/>
      <c r="H1267" s="2"/>
      <c r="I1267" s="2"/>
      <c r="J1267" s="2"/>
      <c r="K1267" s="2"/>
      <c r="M1267" s="2"/>
      <c r="N1267" s="2"/>
      <c r="O1267" s="2"/>
    </row>
    <row r="1268">
      <c r="A1268" s="2"/>
      <c r="B1268" s="2"/>
      <c r="C1268" s="31"/>
      <c r="D1268" s="31"/>
      <c r="E1268" s="32"/>
      <c r="H1268" s="2"/>
      <c r="I1268" s="2"/>
      <c r="J1268" s="2"/>
      <c r="K1268" s="2"/>
      <c r="M1268" s="2"/>
      <c r="N1268" s="2"/>
      <c r="O1268" s="2"/>
    </row>
    <row r="1269">
      <c r="A1269" s="2"/>
      <c r="B1269" s="2"/>
      <c r="C1269" s="31"/>
      <c r="D1269" s="31"/>
      <c r="E1269" s="32"/>
      <c r="H1269" s="2"/>
      <c r="I1269" s="2"/>
      <c r="J1269" s="2"/>
      <c r="K1269" s="2"/>
    </row>
    <row r="1270">
      <c r="A1270" s="2"/>
      <c r="B1270" s="2"/>
      <c r="C1270" s="31"/>
      <c r="D1270" s="31"/>
      <c r="E1270" s="32"/>
      <c r="G1270" s="2"/>
      <c r="H1270" s="2"/>
      <c r="I1270" s="2"/>
      <c r="J1270" s="2"/>
      <c r="K1270" s="2"/>
      <c r="M1270" s="2"/>
      <c r="N1270" s="2"/>
      <c r="O1270" s="2"/>
    </row>
    <row r="1271">
      <c r="A1271" s="2"/>
      <c r="B1271" s="2"/>
      <c r="C1271" s="31"/>
      <c r="D1271" s="31"/>
      <c r="E1271" s="32"/>
      <c r="H1271" s="2"/>
      <c r="I1271" s="2"/>
      <c r="J1271" s="2"/>
      <c r="K1271" s="2"/>
    </row>
    <row r="1272">
      <c r="A1272" s="2"/>
      <c r="B1272" s="2"/>
      <c r="C1272" s="31"/>
      <c r="D1272" s="31"/>
      <c r="E1272" s="32"/>
      <c r="H1272" s="2"/>
      <c r="I1272" s="2"/>
      <c r="J1272" s="2"/>
      <c r="K1272" s="2"/>
      <c r="M1272" s="2"/>
      <c r="N1272" s="2"/>
      <c r="O1272" s="2"/>
    </row>
    <row r="1273">
      <c r="A1273" s="2"/>
      <c r="B1273" s="2"/>
      <c r="C1273" s="31"/>
      <c r="D1273" s="31"/>
      <c r="E1273" s="32"/>
      <c r="G1273" s="2"/>
      <c r="H1273" s="2"/>
      <c r="I1273" s="2"/>
      <c r="J1273" s="2"/>
      <c r="K1273" s="2"/>
      <c r="M1273" s="2"/>
      <c r="N1273" s="2"/>
      <c r="O1273" s="2"/>
    </row>
    <row r="1274">
      <c r="A1274" s="2"/>
      <c r="B1274" s="2"/>
      <c r="C1274" s="31"/>
      <c r="D1274" s="31"/>
      <c r="E1274" s="32"/>
      <c r="H1274" s="2"/>
      <c r="I1274" s="2"/>
      <c r="J1274" s="2"/>
      <c r="K1274" s="2"/>
    </row>
    <row r="1275">
      <c r="A1275" s="2"/>
      <c r="B1275" s="2"/>
      <c r="C1275" s="31"/>
      <c r="D1275" s="31"/>
      <c r="E1275" s="32"/>
      <c r="G1275" s="2"/>
      <c r="H1275" s="2"/>
      <c r="I1275" s="2"/>
      <c r="J1275" s="2"/>
      <c r="K1275" s="2"/>
      <c r="M1275" s="2"/>
      <c r="N1275" s="2"/>
      <c r="O1275" s="2"/>
    </row>
    <row r="1276">
      <c r="A1276" s="2"/>
      <c r="B1276" s="2"/>
      <c r="C1276" s="31"/>
      <c r="D1276" s="31"/>
      <c r="E1276" s="32"/>
      <c r="H1276" s="2"/>
      <c r="I1276" s="2"/>
      <c r="J1276" s="2"/>
      <c r="K1276" s="2"/>
      <c r="M1276" s="2"/>
      <c r="N1276" s="2"/>
      <c r="O1276" s="2"/>
    </row>
    <row r="1277">
      <c r="A1277" s="2"/>
      <c r="B1277" s="2"/>
      <c r="C1277" s="31"/>
      <c r="D1277" s="31"/>
      <c r="E1277" s="32"/>
      <c r="G1277" s="2"/>
      <c r="H1277" s="2"/>
      <c r="I1277" s="2"/>
      <c r="J1277" s="2"/>
      <c r="K1277" s="2"/>
      <c r="M1277" s="2"/>
      <c r="N1277" s="2"/>
      <c r="O1277" s="2"/>
    </row>
    <row r="1278">
      <c r="A1278" s="2"/>
      <c r="B1278" s="2"/>
      <c r="C1278" s="31"/>
      <c r="D1278" s="31"/>
      <c r="E1278" s="32"/>
      <c r="G1278" s="2"/>
      <c r="H1278" s="2"/>
      <c r="I1278" s="2"/>
      <c r="J1278" s="2"/>
      <c r="K1278" s="2"/>
      <c r="M1278" s="2"/>
      <c r="N1278" s="2"/>
      <c r="O1278" s="2"/>
    </row>
    <row r="1279">
      <c r="A1279" s="2"/>
      <c r="B1279" s="2"/>
      <c r="C1279" s="31"/>
      <c r="D1279" s="31"/>
      <c r="E1279" s="32"/>
      <c r="H1279" s="2"/>
      <c r="I1279" s="2"/>
      <c r="J1279" s="2"/>
      <c r="K1279" s="2"/>
    </row>
    <row r="1280">
      <c r="A1280" s="2"/>
      <c r="B1280" s="2"/>
      <c r="C1280" s="31"/>
      <c r="D1280" s="31"/>
      <c r="E1280" s="32"/>
      <c r="F1280" s="2"/>
      <c r="G1280" s="2"/>
      <c r="H1280" s="2"/>
      <c r="I1280" s="2"/>
      <c r="J1280" s="2"/>
      <c r="K1280" s="2"/>
      <c r="M1280" s="2"/>
      <c r="N1280" s="2"/>
      <c r="O1280" s="2"/>
    </row>
    <row r="1281">
      <c r="A1281" s="2"/>
      <c r="B1281" s="2"/>
      <c r="C1281" s="31"/>
      <c r="D1281" s="31"/>
      <c r="E1281" s="32"/>
      <c r="F1281" s="2"/>
      <c r="G1281" s="2"/>
      <c r="H1281" s="2"/>
      <c r="I1281" s="2"/>
      <c r="J1281" s="2"/>
      <c r="K1281" s="2"/>
      <c r="M1281" s="2"/>
      <c r="N1281" s="2"/>
      <c r="O1281" s="2"/>
    </row>
    <row r="1282">
      <c r="A1282" s="2"/>
      <c r="B1282" s="2"/>
      <c r="C1282" s="31"/>
      <c r="D1282" s="31"/>
      <c r="E1282" s="32"/>
      <c r="H1282" s="2"/>
      <c r="I1282" s="2"/>
      <c r="J1282" s="2"/>
      <c r="K1282" s="2"/>
      <c r="M1282" s="2"/>
      <c r="N1282" s="2"/>
      <c r="O1282" s="2"/>
    </row>
    <row r="1283">
      <c r="A1283" s="2"/>
      <c r="B1283" s="2"/>
      <c r="C1283" s="31"/>
      <c r="D1283" s="31"/>
      <c r="E1283" s="32"/>
      <c r="H1283" s="2"/>
      <c r="I1283" s="2"/>
      <c r="J1283" s="2"/>
      <c r="K1283" s="2"/>
      <c r="M1283" s="2"/>
      <c r="N1283" s="2"/>
      <c r="O1283" s="2"/>
    </row>
    <row r="1284">
      <c r="A1284" s="2"/>
      <c r="B1284" s="2"/>
      <c r="C1284" s="31"/>
      <c r="D1284" s="31"/>
      <c r="E1284" s="32"/>
      <c r="H1284" s="2"/>
      <c r="I1284" s="2"/>
      <c r="J1284" s="2"/>
      <c r="K1284" s="2"/>
    </row>
    <row r="1285">
      <c r="A1285" s="2"/>
      <c r="B1285" s="2"/>
      <c r="C1285" s="31"/>
      <c r="D1285" s="31"/>
      <c r="E1285" s="32"/>
      <c r="F1285" s="2"/>
      <c r="G1285" s="2"/>
      <c r="H1285" s="2"/>
      <c r="I1285" s="2"/>
      <c r="J1285" s="2"/>
      <c r="K1285" s="2"/>
      <c r="M1285" s="2"/>
      <c r="N1285" s="2"/>
      <c r="O1285" s="2"/>
    </row>
    <row r="1286">
      <c r="A1286" s="2"/>
      <c r="B1286" s="2"/>
      <c r="C1286" s="31"/>
      <c r="D1286" s="31"/>
      <c r="E1286" s="32"/>
      <c r="H1286" s="2"/>
      <c r="I1286" s="2"/>
      <c r="J1286" s="2"/>
      <c r="K1286" s="2"/>
    </row>
    <row r="1287">
      <c r="A1287" s="2"/>
      <c r="B1287" s="2"/>
      <c r="C1287" s="31"/>
      <c r="D1287" s="31"/>
      <c r="E1287" s="32"/>
      <c r="H1287" s="2"/>
      <c r="I1287" s="2"/>
      <c r="J1287" s="2"/>
      <c r="K1287" s="2"/>
      <c r="M1287" s="2"/>
      <c r="N1287" s="2"/>
      <c r="O1287" s="2"/>
    </row>
    <row r="1288">
      <c r="A1288" s="2"/>
      <c r="B1288" s="2"/>
      <c r="C1288" s="31"/>
      <c r="D1288" s="31"/>
      <c r="E1288" s="32"/>
      <c r="H1288" s="2"/>
      <c r="I1288" s="2"/>
      <c r="J1288" s="2"/>
      <c r="K1288" s="2"/>
      <c r="M1288" s="2"/>
      <c r="N1288" s="2"/>
      <c r="O1288" s="2"/>
    </row>
    <row r="1289">
      <c r="A1289" s="2"/>
      <c r="B1289" s="2"/>
      <c r="C1289" s="31"/>
      <c r="D1289" s="31"/>
      <c r="E1289" s="32"/>
      <c r="H1289" s="2"/>
      <c r="I1289" s="2"/>
      <c r="J1289" s="2"/>
      <c r="K1289" s="2"/>
    </row>
    <row r="1290">
      <c r="A1290" s="2"/>
      <c r="B1290" s="2"/>
      <c r="C1290" s="31"/>
      <c r="D1290" s="31"/>
      <c r="E1290" s="32"/>
      <c r="H1290" s="2"/>
      <c r="I1290" s="2"/>
      <c r="J1290" s="2"/>
      <c r="K1290" s="2"/>
    </row>
    <row r="1291">
      <c r="A1291" s="2"/>
      <c r="B1291" s="2"/>
      <c r="C1291" s="31"/>
      <c r="D1291" s="31"/>
      <c r="E1291" s="32"/>
      <c r="F1291" s="2"/>
      <c r="G1291" s="2"/>
      <c r="H1291" s="2"/>
      <c r="I1291" s="2"/>
      <c r="J1291" s="2"/>
      <c r="K1291" s="2"/>
      <c r="M1291" s="2"/>
      <c r="N1291" s="2"/>
      <c r="O1291" s="2"/>
    </row>
    <row r="1292">
      <c r="A1292" s="2"/>
      <c r="B1292" s="2"/>
      <c r="C1292" s="31"/>
      <c r="D1292" s="31"/>
      <c r="E1292" s="32"/>
      <c r="H1292" s="2"/>
      <c r="I1292" s="2"/>
      <c r="J1292" s="2"/>
      <c r="K1292" s="2"/>
      <c r="M1292" s="2"/>
      <c r="N1292" s="2"/>
      <c r="O1292" s="2"/>
    </row>
    <row r="1293">
      <c r="A1293" s="2"/>
      <c r="B1293" s="2"/>
      <c r="C1293" s="31"/>
      <c r="D1293" s="31"/>
      <c r="E1293" s="32"/>
      <c r="H1293" s="2"/>
      <c r="I1293" s="2"/>
      <c r="J1293" s="2"/>
      <c r="K1293" s="2"/>
      <c r="M1293" s="2"/>
      <c r="N1293" s="2"/>
      <c r="O1293" s="2"/>
    </row>
    <row r="1294">
      <c r="A1294" s="2"/>
      <c r="B1294" s="2"/>
      <c r="C1294" s="31"/>
      <c r="D1294" s="31"/>
      <c r="E1294" s="32"/>
      <c r="G1294" s="2"/>
      <c r="H1294" s="2"/>
      <c r="I1294" s="2"/>
      <c r="J1294" s="2"/>
      <c r="K1294" s="2"/>
      <c r="M1294" s="2"/>
      <c r="N1294" s="2"/>
      <c r="O1294" s="2"/>
    </row>
    <row r="1295">
      <c r="A1295" s="2"/>
      <c r="B1295" s="2"/>
      <c r="C1295" s="31"/>
      <c r="D1295" s="31"/>
      <c r="E1295" s="32"/>
      <c r="H1295" s="2"/>
      <c r="I1295" s="2"/>
      <c r="J1295" s="2"/>
      <c r="K1295" s="2"/>
    </row>
    <row r="1296">
      <c r="A1296" s="2"/>
      <c r="B1296" s="2"/>
      <c r="C1296" s="31"/>
      <c r="D1296" s="31"/>
      <c r="E1296" s="32"/>
      <c r="F1296" s="2"/>
      <c r="H1296" s="2"/>
      <c r="I1296" s="2"/>
      <c r="J1296" s="2"/>
      <c r="K1296" s="2"/>
      <c r="M1296" s="2"/>
      <c r="N1296" s="2"/>
      <c r="O1296" s="2"/>
    </row>
    <row r="1297">
      <c r="A1297" s="2"/>
      <c r="B1297" s="2"/>
      <c r="C1297" s="31"/>
      <c r="D1297" s="31"/>
      <c r="E1297" s="32"/>
      <c r="G1297" s="2"/>
      <c r="H1297" s="2"/>
      <c r="I1297" s="2"/>
      <c r="J1297" s="2"/>
      <c r="K1297" s="2"/>
      <c r="M1297" s="2"/>
      <c r="N1297" s="2"/>
      <c r="O1297" s="2"/>
    </row>
    <row r="1298">
      <c r="A1298" s="2"/>
      <c r="B1298" s="2"/>
      <c r="C1298" s="31"/>
      <c r="D1298" s="31"/>
      <c r="E1298" s="32"/>
      <c r="G1298" s="2"/>
      <c r="H1298" s="2"/>
      <c r="I1298" s="2"/>
      <c r="J1298" s="2"/>
      <c r="K1298" s="2"/>
      <c r="M1298" s="2"/>
      <c r="N1298" s="2"/>
      <c r="O1298" s="2"/>
    </row>
    <row r="1299">
      <c r="A1299" s="2"/>
      <c r="B1299" s="2"/>
      <c r="C1299" s="31"/>
      <c r="D1299" s="31"/>
      <c r="E1299" s="32"/>
      <c r="H1299" s="2"/>
      <c r="I1299" s="2"/>
      <c r="J1299" s="2"/>
      <c r="K1299" s="2"/>
      <c r="M1299" s="2"/>
      <c r="N1299" s="2"/>
      <c r="O1299" s="2"/>
    </row>
    <row r="1300">
      <c r="A1300" s="2"/>
      <c r="B1300" s="2"/>
      <c r="C1300" s="31"/>
      <c r="D1300" s="31"/>
      <c r="E1300" s="32"/>
      <c r="H1300" s="2"/>
      <c r="I1300" s="2"/>
      <c r="J1300" s="2"/>
      <c r="K1300" s="2"/>
    </row>
    <row r="1301">
      <c r="A1301" s="2"/>
      <c r="B1301" s="2"/>
      <c r="C1301" s="31"/>
      <c r="D1301" s="31"/>
      <c r="E1301" s="32"/>
      <c r="F1301" s="2"/>
      <c r="G1301" s="2"/>
      <c r="H1301" s="2"/>
      <c r="I1301" s="2"/>
      <c r="J1301" s="2"/>
      <c r="K1301" s="2"/>
      <c r="M1301" s="2"/>
      <c r="N1301" s="2"/>
      <c r="O1301" s="2"/>
    </row>
    <row r="1302">
      <c r="A1302" s="2"/>
      <c r="B1302" s="2"/>
      <c r="C1302" s="31"/>
      <c r="D1302" s="31"/>
      <c r="E1302" s="32"/>
      <c r="F1302" s="2"/>
      <c r="G1302" s="2"/>
      <c r="H1302" s="2"/>
      <c r="I1302" s="2"/>
      <c r="J1302" s="2"/>
      <c r="K1302" s="2"/>
      <c r="M1302" s="2"/>
      <c r="N1302" s="2"/>
      <c r="O1302" s="2"/>
    </row>
    <row r="1303">
      <c r="A1303" s="2"/>
      <c r="B1303" s="2"/>
      <c r="C1303" s="31"/>
      <c r="D1303" s="31"/>
      <c r="E1303" s="32"/>
      <c r="H1303" s="2"/>
      <c r="I1303" s="2"/>
      <c r="J1303" s="2"/>
      <c r="K1303" s="2"/>
      <c r="M1303" s="2"/>
      <c r="N1303" s="2"/>
      <c r="O1303" s="2"/>
    </row>
    <row r="1304">
      <c r="A1304" s="2"/>
      <c r="B1304" s="2"/>
      <c r="C1304" s="31"/>
      <c r="D1304" s="31"/>
      <c r="E1304" s="32"/>
      <c r="H1304" s="2"/>
      <c r="I1304" s="2"/>
      <c r="J1304" s="2"/>
      <c r="K1304" s="2"/>
      <c r="M1304" s="2"/>
      <c r="N1304" s="2"/>
      <c r="O1304" s="2"/>
    </row>
    <row r="1305">
      <c r="A1305" s="2"/>
      <c r="B1305" s="2"/>
      <c r="C1305" s="31"/>
      <c r="D1305" s="31"/>
      <c r="E1305" s="32"/>
      <c r="H1305" s="2"/>
      <c r="I1305" s="2"/>
      <c r="J1305" s="2"/>
      <c r="K1305" s="2"/>
    </row>
    <row r="1306">
      <c r="A1306" s="2"/>
      <c r="B1306" s="2"/>
      <c r="C1306" s="31"/>
      <c r="D1306" s="31"/>
      <c r="E1306" s="32"/>
      <c r="H1306" s="2"/>
      <c r="I1306" s="2"/>
      <c r="J1306" s="2"/>
      <c r="K1306" s="2"/>
    </row>
    <row r="1307">
      <c r="A1307" s="2"/>
      <c r="B1307" s="2"/>
      <c r="C1307" s="31"/>
      <c r="D1307" s="31"/>
      <c r="E1307" s="32"/>
      <c r="H1307" s="2"/>
      <c r="I1307" s="2"/>
      <c r="J1307" s="2"/>
      <c r="K1307" s="2"/>
      <c r="M1307" s="2"/>
      <c r="N1307" s="2"/>
      <c r="O1307" s="2"/>
    </row>
    <row r="1308">
      <c r="A1308" s="2"/>
      <c r="B1308" s="2"/>
      <c r="C1308" s="31"/>
      <c r="D1308" s="31"/>
      <c r="E1308" s="32"/>
      <c r="H1308" s="2"/>
      <c r="I1308" s="2"/>
      <c r="J1308" s="2"/>
      <c r="K1308" s="2"/>
      <c r="M1308" s="2"/>
      <c r="N1308" s="2"/>
      <c r="O1308" s="2"/>
    </row>
    <row r="1309">
      <c r="A1309" s="2"/>
      <c r="B1309" s="2"/>
      <c r="C1309" s="31"/>
      <c r="D1309" s="31"/>
      <c r="E1309" s="32"/>
      <c r="H1309" s="2"/>
      <c r="I1309" s="2"/>
      <c r="J1309" s="2"/>
      <c r="K1309" s="2"/>
      <c r="M1309" s="2"/>
      <c r="N1309" s="2"/>
      <c r="O1309" s="2"/>
    </row>
    <row r="1310">
      <c r="A1310" s="2"/>
      <c r="B1310" s="2"/>
      <c r="C1310" s="31"/>
      <c r="D1310" s="31"/>
      <c r="E1310" s="32"/>
      <c r="H1310" s="2"/>
      <c r="I1310" s="2"/>
      <c r="J1310" s="2"/>
      <c r="K1310" s="2"/>
      <c r="M1310" s="2"/>
      <c r="N1310" s="2"/>
      <c r="O1310" s="2"/>
    </row>
    <row r="1311">
      <c r="A1311" s="2"/>
      <c r="B1311" s="2"/>
      <c r="C1311" s="31"/>
      <c r="D1311" s="31"/>
      <c r="E1311" s="32"/>
      <c r="H1311" s="2"/>
      <c r="I1311" s="2"/>
      <c r="J1311" s="2"/>
      <c r="K1311" s="2"/>
      <c r="M1311" s="2"/>
      <c r="N1311" s="2"/>
      <c r="O1311" s="2"/>
    </row>
    <row r="1312">
      <c r="A1312" s="2"/>
      <c r="B1312" s="2"/>
      <c r="C1312" s="31"/>
      <c r="D1312" s="31"/>
      <c r="E1312" s="32"/>
      <c r="G1312" s="2"/>
      <c r="H1312" s="2"/>
      <c r="I1312" s="2"/>
      <c r="J1312" s="2"/>
      <c r="K1312" s="2"/>
      <c r="M1312" s="2"/>
      <c r="N1312" s="2"/>
      <c r="O1312" s="2"/>
    </row>
    <row r="1313">
      <c r="A1313" s="2"/>
      <c r="B1313" s="2"/>
      <c r="C1313" s="31"/>
      <c r="D1313" s="31"/>
      <c r="E1313" s="32"/>
      <c r="H1313" s="2"/>
      <c r="I1313" s="2"/>
      <c r="J1313" s="2"/>
      <c r="K1313" s="2"/>
    </row>
    <row r="1314">
      <c r="A1314" s="2"/>
      <c r="B1314" s="2"/>
      <c r="C1314" s="31"/>
      <c r="D1314" s="31"/>
      <c r="E1314" s="32"/>
      <c r="H1314" s="2"/>
      <c r="I1314" s="2"/>
      <c r="J1314" s="2"/>
      <c r="K1314" s="2"/>
      <c r="M1314" s="2"/>
      <c r="N1314" s="2"/>
      <c r="O1314" s="2"/>
    </row>
    <row r="1315">
      <c r="A1315" s="2"/>
      <c r="B1315" s="2"/>
      <c r="C1315" s="31"/>
      <c r="D1315" s="31"/>
      <c r="E1315" s="32"/>
      <c r="H1315" s="2"/>
      <c r="I1315" s="2"/>
      <c r="J1315" s="2"/>
      <c r="K1315" s="2"/>
    </row>
    <row r="1316">
      <c r="A1316" s="2"/>
      <c r="B1316" s="2"/>
      <c r="C1316" s="31"/>
      <c r="D1316" s="31"/>
      <c r="E1316" s="32"/>
      <c r="H1316" s="2"/>
      <c r="I1316" s="2"/>
      <c r="J1316" s="2"/>
      <c r="K1316" s="2"/>
      <c r="M1316" s="2"/>
      <c r="N1316" s="2"/>
      <c r="O1316" s="2"/>
    </row>
    <row r="1317">
      <c r="A1317" s="2"/>
      <c r="B1317" s="2"/>
      <c r="C1317" s="31"/>
      <c r="D1317" s="31"/>
      <c r="E1317" s="32"/>
      <c r="G1317" s="2"/>
      <c r="H1317" s="2"/>
      <c r="I1317" s="2"/>
      <c r="J1317" s="2"/>
      <c r="K1317" s="2"/>
      <c r="M1317" s="2"/>
      <c r="N1317" s="2"/>
      <c r="O1317" s="2"/>
    </row>
    <row r="1318">
      <c r="A1318" s="2"/>
      <c r="B1318" s="2"/>
      <c r="C1318" s="31"/>
      <c r="D1318" s="31"/>
      <c r="E1318" s="32"/>
      <c r="H1318" s="2"/>
      <c r="I1318" s="2"/>
      <c r="J1318" s="2"/>
      <c r="K1318" s="2"/>
    </row>
    <row r="1319">
      <c r="A1319" s="2"/>
      <c r="B1319" s="2"/>
      <c r="C1319" s="31"/>
      <c r="D1319" s="31"/>
      <c r="E1319" s="32"/>
      <c r="G1319" s="2"/>
      <c r="H1319" s="2"/>
      <c r="I1319" s="2"/>
      <c r="J1319" s="2"/>
      <c r="K1319" s="2"/>
      <c r="M1319" s="2"/>
      <c r="N1319" s="2"/>
      <c r="O1319" s="2"/>
    </row>
    <row r="1320">
      <c r="A1320" s="2"/>
      <c r="B1320" s="2"/>
      <c r="C1320" s="31"/>
      <c r="D1320" s="31"/>
      <c r="E1320" s="32"/>
      <c r="H1320" s="2"/>
      <c r="I1320" s="2"/>
      <c r="J1320" s="2"/>
      <c r="K1320" s="2"/>
      <c r="M1320" s="2"/>
      <c r="N1320" s="2"/>
      <c r="O1320" s="2"/>
    </row>
    <row r="1321">
      <c r="A1321" s="2"/>
      <c r="B1321" s="2"/>
      <c r="C1321" s="31"/>
      <c r="D1321" s="31"/>
      <c r="E1321" s="32"/>
      <c r="G1321" s="2"/>
      <c r="H1321" s="2"/>
      <c r="I1321" s="2"/>
      <c r="J1321" s="2"/>
      <c r="K1321" s="2"/>
      <c r="M1321" s="2"/>
      <c r="N1321" s="2"/>
      <c r="O1321" s="2"/>
    </row>
    <row r="1322">
      <c r="A1322" s="2"/>
      <c r="B1322" s="2"/>
      <c r="C1322" s="31"/>
      <c r="D1322" s="31"/>
      <c r="E1322" s="32"/>
      <c r="H1322" s="2"/>
      <c r="I1322" s="2"/>
      <c r="J1322" s="2"/>
      <c r="K1322" s="2"/>
    </row>
    <row r="1323">
      <c r="A1323" s="2"/>
      <c r="B1323" s="2"/>
      <c r="C1323" s="31"/>
      <c r="D1323" s="31"/>
      <c r="E1323" s="32"/>
      <c r="F1323" s="2"/>
      <c r="G1323" s="2"/>
      <c r="H1323" s="2"/>
      <c r="I1323" s="2"/>
      <c r="J1323" s="2"/>
      <c r="K1323" s="2"/>
      <c r="M1323" s="2"/>
      <c r="N1323" s="2"/>
      <c r="O1323" s="2"/>
    </row>
    <row r="1324">
      <c r="A1324" s="2"/>
      <c r="B1324" s="2"/>
      <c r="C1324" s="31"/>
      <c r="D1324" s="31"/>
      <c r="E1324" s="32"/>
      <c r="F1324" s="2"/>
      <c r="G1324" s="2"/>
      <c r="H1324" s="2"/>
      <c r="I1324" s="2"/>
      <c r="J1324" s="2"/>
      <c r="K1324" s="2"/>
      <c r="M1324" s="2"/>
      <c r="N1324" s="2"/>
      <c r="O1324" s="2"/>
    </row>
    <row r="1325">
      <c r="A1325" s="2"/>
      <c r="B1325" s="2"/>
      <c r="C1325" s="31"/>
      <c r="D1325" s="31"/>
      <c r="E1325" s="32"/>
      <c r="H1325" s="2"/>
      <c r="I1325" s="2"/>
      <c r="J1325" s="2"/>
      <c r="K1325" s="2"/>
      <c r="M1325" s="2"/>
      <c r="N1325" s="2"/>
      <c r="O1325" s="2"/>
    </row>
    <row r="1326">
      <c r="A1326" s="2"/>
      <c r="B1326" s="2"/>
      <c r="C1326" s="31"/>
      <c r="D1326" s="31"/>
      <c r="E1326" s="32"/>
      <c r="H1326" s="2"/>
      <c r="I1326" s="2"/>
      <c r="J1326" s="2"/>
      <c r="K1326" s="2"/>
      <c r="M1326" s="2"/>
      <c r="N1326" s="2"/>
      <c r="O1326" s="2"/>
    </row>
    <row r="1327">
      <c r="A1327" s="2"/>
      <c r="B1327" s="2"/>
      <c r="C1327" s="31"/>
      <c r="D1327" s="31"/>
      <c r="E1327" s="32"/>
      <c r="H1327" s="2"/>
      <c r="I1327" s="2"/>
      <c r="J1327" s="2"/>
      <c r="K1327" s="2"/>
    </row>
    <row r="1328">
      <c r="A1328" s="2"/>
      <c r="B1328" s="2"/>
      <c r="C1328" s="31"/>
      <c r="D1328" s="31"/>
      <c r="E1328" s="32"/>
      <c r="F1328" s="2"/>
      <c r="G1328" s="2"/>
      <c r="H1328" s="2"/>
      <c r="I1328" s="2"/>
      <c r="J1328" s="2"/>
      <c r="K1328" s="2"/>
      <c r="M1328" s="2"/>
      <c r="N1328" s="2"/>
      <c r="O1328" s="2"/>
    </row>
    <row r="1329">
      <c r="A1329" s="2"/>
      <c r="B1329" s="2"/>
      <c r="C1329" s="31"/>
      <c r="D1329" s="31"/>
      <c r="E1329" s="32"/>
      <c r="H1329" s="2"/>
      <c r="I1329" s="2"/>
      <c r="J1329" s="2"/>
      <c r="K1329" s="2"/>
    </row>
    <row r="1330">
      <c r="A1330" s="2"/>
      <c r="B1330" s="2"/>
      <c r="C1330" s="31"/>
      <c r="D1330" s="31"/>
      <c r="E1330" s="32"/>
      <c r="H1330" s="2"/>
      <c r="I1330" s="2"/>
      <c r="J1330" s="2"/>
      <c r="K1330" s="2"/>
      <c r="M1330" s="2"/>
      <c r="N1330" s="2"/>
      <c r="O1330" s="2"/>
    </row>
    <row r="1331">
      <c r="A1331" s="2"/>
      <c r="B1331" s="2"/>
      <c r="C1331" s="31"/>
      <c r="D1331" s="31"/>
      <c r="E1331" s="32"/>
      <c r="H1331" s="2"/>
      <c r="I1331" s="2"/>
      <c r="J1331" s="2"/>
      <c r="K1331" s="2"/>
      <c r="M1331" s="2"/>
      <c r="N1331" s="2"/>
      <c r="O1331" s="2"/>
    </row>
    <row r="1332">
      <c r="A1332" s="2"/>
      <c r="B1332" s="2"/>
      <c r="C1332" s="31"/>
      <c r="D1332" s="31"/>
      <c r="E1332" s="32"/>
      <c r="H1332" s="2"/>
      <c r="I1332" s="2"/>
      <c r="J1332" s="2"/>
      <c r="K1332" s="2"/>
      <c r="M1332" s="2"/>
      <c r="N1332" s="2"/>
      <c r="O1332" s="2"/>
    </row>
    <row r="1333">
      <c r="A1333" s="2"/>
      <c r="B1333" s="2"/>
      <c r="C1333" s="31"/>
      <c r="D1333" s="31"/>
      <c r="E1333" s="32"/>
      <c r="H1333" s="2"/>
      <c r="I1333" s="2"/>
      <c r="J1333" s="2"/>
      <c r="K1333" s="2"/>
    </row>
    <row r="1334">
      <c r="A1334" s="2"/>
      <c r="B1334" s="2"/>
      <c r="C1334" s="31"/>
      <c r="D1334" s="31"/>
      <c r="E1334" s="32"/>
      <c r="H1334" s="2"/>
      <c r="I1334" s="2"/>
      <c r="J1334" s="2"/>
      <c r="K1334" s="2"/>
    </row>
    <row r="1335">
      <c r="A1335" s="2"/>
      <c r="B1335" s="2"/>
      <c r="C1335" s="31"/>
      <c r="D1335" s="31"/>
      <c r="E1335" s="32"/>
      <c r="F1335" s="2"/>
      <c r="G1335" s="2"/>
      <c r="H1335" s="2"/>
      <c r="I1335" s="2"/>
      <c r="J1335" s="2"/>
      <c r="K1335" s="2"/>
      <c r="M1335" s="2"/>
      <c r="N1335" s="2"/>
      <c r="O1335" s="2"/>
    </row>
    <row r="1336">
      <c r="A1336" s="2"/>
      <c r="B1336" s="2"/>
      <c r="C1336" s="31"/>
      <c r="D1336" s="31"/>
      <c r="E1336" s="32"/>
      <c r="H1336" s="2"/>
      <c r="I1336" s="2"/>
      <c r="J1336" s="2"/>
      <c r="K1336" s="2"/>
      <c r="M1336" s="2"/>
      <c r="N1336" s="2"/>
      <c r="O1336" s="2"/>
    </row>
    <row r="1337">
      <c r="A1337" s="2"/>
      <c r="B1337" s="2"/>
      <c r="C1337" s="31"/>
      <c r="D1337" s="31"/>
      <c r="E1337" s="32"/>
      <c r="H1337" s="2"/>
      <c r="I1337" s="2"/>
      <c r="J1337" s="2"/>
      <c r="K1337" s="2"/>
      <c r="M1337" s="2"/>
      <c r="N1337" s="2"/>
      <c r="O1337" s="2"/>
    </row>
    <row r="1338">
      <c r="A1338" s="2"/>
      <c r="B1338" s="2"/>
      <c r="C1338" s="31"/>
      <c r="D1338" s="31"/>
      <c r="E1338" s="32"/>
      <c r="G1338" s="2"/>
      <c r="H1338" s="2"/>
      <c r="I1338" s="2"/>
      <c r="J1338" s="2"/>
      <c r="K1338" s="2"/>
      <c r="M1338" s="2"/>
      <c r="N1338" s="2"/>
      <c r="O1338" s="2"/>
    </row>
    <row r="1339">
      <c r="A1339" s="2"/>
      <c r="B1339" s="2"/>
      <c r="C1339" s="31"/>
      <c r="D1339" s="31"/>
      <c r="E1339" s="32"/>
      <c r="H1339" s="2"/>
      <c r="I1339" s="2"/>
      <c r="J1339" s="2"/>
      <c r="K1339" s="2"/>
    </row>
    <row r="1340">
      <c r="A1340" s="2"/>
      <c r="B1340" s="2"/>
      <c r="C1340" s="31"/>
      <c r="D1340" s="31"/>
      <c r="E1340" s="32"/>
      <c r="F1340" s="2"/>
      <c r="H1340" s="2"/>
      <c r="I1340" s="2"/>
      <c r="J1340" s="2"/>
      <c r="K1340" s="2"/>
      <c r="M1340" s="2"/>
      <c r="N1340" s="2"/>
      <c r="O1340" s="2"/>
    </row>
    <row r="1341">
      <c r="A1341" s="2"/>
      <c r="B1341" s="2"/>
      <c r="C1341" s="31"/>
      <c r="D1341" s="31"/>
      <c r="E1341" s="32"/>
      <c r="G1341" s="2"/>
      <c r="H1341" s="2"/>
      <c r="I1341" s="2"/>
      <c r="J1341" s="2"/>
      <c r="K1341" s="2"/>
      <c r="M1341" s="2"/>
      <c r="N1341" s="2"/>
      <c r="O1341" s="2"/>
    </row>
    <row r="1342">
      <c r="A1342" s="2"/>
      <c r="B1342" s="2"/>
      <c r="C1342" s="31"/>
      <c r="D1342" s="31"/>
      <c r="E1342" s="32"/>
      <c r="G1342" s="2"/>
      <c r="H1342" s="2"/>
      <c r="I1342" s="2"/>
      <c r="J1342" s="2"/>
      <c r="K1342" s="2"/>
      <c r="M1342" s="2"/>
      <c r="N1342" s="2"/>
      <c r="O1342" s="2"/>
    </row>
    <row r="1343">
      <c r="A1343" s="2"/>
      <c r="B1343" s="2"/>
      <c r="C1343" s="31"/>
      <c r="D1343" s="31"/>
      <c r="E1343" s="32"/>
      <c r="H1343" s="2"/>
      <c r="I1343" s="2"/>
      <c r="J1343" s="2"/>
      <c r="K1343" s="2"/>
      <c r="M1343" s="2"/>
      <c r="N1343" s="2"/>
      <c r="O1343" s="2"/>
    </row>
    <row r="1344">
      <c r="A1344" s="2"/>
      <c r="B1344" s="2"/>
      <c r="C1344" s="31"/>
      <c r="D1344" s="31"/>
      <c r="E1344" s="32"/>
      <c r="H1344" s="2"/>
      <c r="I1344" s="2"/>
      <c r="J1344" s="2"/>
      <c r="K1344" s="2"/>
    </row>
    <row r="1345">
      <c r="A1345" s="2"/>
      <c r="B1345" s="2"/>
      <c r="C1345" s="31"/>
      <c r="D1345" s="31"/>
      <c r="E1345" s="32"/>
      <c r="F1345" s="2"/>
      <c r="G1345" s="2"/>
      <c r="H1345" s="2"/>
      <c r="I1345" s="2"/>
      <c r="J1345" s="2"/>
      <c r="K1345" s="2"/>
      <c r="M1345" s="2"/>
      <c r="N1345" s="2"/>
      <c r="O1345" s="2"/>
    </row>
    <row r="1346">
      <c r="A1346" s="2"/>
      <c r="B1346" s="2"/>
      <c r="C1346" s="31"/>
      <c r="D1346" s="31"/>
      <c r="E1346" s="32"/>
      <c r="F1346" s="2"/>
      <c r="G1346" s="2"/>
      <c r="H1346" s="2"/>
      <c r="I1346" s="2"/>
      <c r="J1346" s="2"/>
      <c r="K1346" s="2"/>
      <c r="M1346" s="2"/>
      <c r="N1346" s="2"/>
      <c r="O1346" s="2"/>
    </row>
    <row r="1347">
      <c r="A1347" s="2"/>
      <c r="B1347" s="2"/>
      <c r="C1347" s="31"/>
      <c r="D1347" s="31"/>
      <c r="E1347" s="32"/>
      <c r="H1347" s="2"/>
      <c r="I1347" s="2"/>
      <c r="J1347" s="2"/>
      <c r="K1347" s="2"/>
      <c r="M1347" s="2"/>
      <c r="N1347" s="2"/>
      <c r="O1347" s="2"/>
    </row>
    <row r="1348">
      <c r="A1348" s="2"/>
      <c r="B1348" s="2"/>
      <c r="C1348" s="31"/>
      <c r="D1348" s="31"/>
      <c r="E1348" s="32"/>
      <c r="H1348" s="2"/>
      <c r="I1348" s="2"/>
      <c r="J1348" s="2"/>
      <c r="K1348" s="2"/>
      <c r="M1348" s="2"/>
      <c r="N1348" s="2"/>
      <c r="O1348" s="2"/>
    </row>
    <row r="1349">
      <c r="A1349" s="2"/>
      <c r="B1349" s="2"/>
      <c r="C1349" s="31"/>
      <c r="D1349" s="31"/>
      <c r="E1349" s="32"/>
      <c r="H1349" s="2"/>
      <c r="I1349" s="2"/>
      <c r="J1349" s="2"/>
      <c r="K1349" s="2"/>
    </row>
    <row r="1350">
      <c r="A1350" s="2"/>
      <c r="B1350" s="2"/>
      <c r="C1350" s="31"/>
      <c r="D1350" s="31"/>
      <c r="E1350" s="32"/>
      <c r="H1350" s="2"/>
      <c r="I1350" s="2"/>
      <c r="J1350" s="2"/>
      <c r="K1350" s="2"/>
    </row>
    <row r="1351">
      <c r="A1351" s="2"/>
      <c r="B1351" s="2"/>
      <c r="C1351" s="31"/>
      <c r="D1351" s="31"/>
      <c r="E1351" s="32"/>
      <c r="G1351" s="2"/>
      <c r="H1351" s="2"/>
      <c r="I1351" s="2"/>
      <c r="J1351" s="2"/>
      <c r="K1351" s="2"/>
      <c r="M1351" s="2"/>
      <c r="N1351" s="2"/>
      <c r="O1351" s="2"/>
    </row>
    <row r="1352">
      <c r="A1352" s="2"/>
      <c r="B1352" s="2"/>
      <c r="C1352" s="31"/>
      <c r="D1352" s="31"/>
      <c r="E1352" s="32"/>
      <c r="H1352" s="2"/>
      <c r="I1352" s="2"/>
      <c r="J1352" s="2"/>
      <c r="K1352" s="2"/>
      <c r="M1352" s="2"/>
      <c r="N1352" s="2"/>
      <c r="O1352" s="2"/>
    </row>
    <row r="1353">
      <c r="A1353" s="2"/>
      <c r="B1353" s="2"/>
      <c r="C1353" s="31"/>
      <c r="D1353" s="31"/>
      <c r="E1353" s="32"/>
      <c r="H1353" s="2"/>
      <c r="I1353" s="2"/>
      <c r="J1353" s="2"/>
      <c r="K1353" s="2"/>
      <c r="M1353" s="2"/>
      <c r="N1353" s="2"/>
      <c r="O1353" s="2"/>
    </row>
    <row r="1354">
      <c r="A1354" s="2"/>
      <c r="B1354" s="2"/>
      <c r="C1354" s="31"/>
      <c r="D1354" s="31"/>
      <c r="E1354" s="32"/>
      <c r="H1354" s="2"/>
      <c r="I1354" s="2"/>
      <c r="J1354" s="2"/>
      <c r="K1354" s="2"/>
      <c r="M1354" s="2"/>
      <c r="N1354" s="2"/>
      <c r="O1354" s="2"/>
    </row>
    <row r="1355">
      <c r="A1355" s="2"/>
      <c r="B1355" s="2"/>
      <c r="C1355" s="31"/>
      <c r="D1355" s="31"/>
      <c r="E1355" s="32"/>
      <c r="H1355" s="2"/>
      <c r="I1355" s="2"/>
      <c r="J1355" s="2"/>
      <c r="K1355" s="2"/>
    </row>
    <row r="1356">
      <c r="A1356" s="2"/>
      <c r="B1356" s="2"/>
      <c r="C1356" s="31"/>
      <c r="D1356" s="31"/>
      <c r="E1356" s="32"/>
      <c r="H1356" s="2"/>
      <c r="I1356" s="2"/>
      <c r="J1356" s="2"/>
      <c r="K1356" s="2"/>
      <c r="M1356" s="2"/>
      <c r="N1356" s="2"/>
      <c r="O1356" s="2"/>
    </row>
    <row r="1357">
      <c r="A1357" s="2"/>
      <c r="B1357" s="2"/>
      <c r="C1357" s="31"/>
      <c r="D1357" s="31"/>
      <c r="E1357" s="32"/>
      <c r="H1357" s="2"/>
      <c r="I1357" s="2"/>
      <c r="J1357" s="2"/>
      <c r="K1357" s="2"/>
    </row>
    <row r="1358">
      <c r="A1358" s="2"/>
      <c r="B1358" s="2"/>
      <c r="C1358" s="31"/>
      <c r="D1358" s="31"/>
      <c r="E1358" s="32"/>
      <c r="H1358" s="2"/>
      <c r="I1358" s="2"/>
      <c r="J1358" s="2"/>
      <c r="K1358" s="2"/>
      <c r="M1358" s="2"/>
      <c r="N1358" s="2"/>
      <c r="O1358" s="2"/>
    </row>
    <row r="1359">
      <c r="A1359" s="2"/>
      <c r="B1359" s="2"/>
      <c r="C1359" s="31"/>
      <c r="D1359" s="31"/>
      <c r="E1359" s="32"/>
      <c r="G1359" s="2"/>
      <c r="H1359" s="2"/>
      <c r="I1359" s="2"/>
      <c r="J1359" s="2"/>
      <c r="K1359" s="2"/>
      <c r="M1359" s="2"/>
      <c r="N1359" s="2"/>
      <c r="O1359" s="2"/>
    </row>
    <row r="1360">
      <c r="A1360" s="2"/>
      <c r="B1360" s="2"/>
      <c r="C1360" s="31"/>
      <c r="D1360" s="31"/>
      <c r="E1360" s="32"/>
      <c r="H1360" s="2"/>
      <c r="I1360" s="2"/>
      <c r="J1360" s="2"/>
      <c r="K1360" s="2"/>
    </row>
    <row r="1361">
      <c r="A1361" s="2"/>
      <c r="B1361" s="2"/>
      <c r="C1361" s="31"/>
      <c r="D1361" s="31"/>
      <c r="E1361" s="32"/>
      <c r="G1361" s="2"/>
      <c r="H1361" s="2"/>
      <c r="I1361" s="2"/>
      <c r="J1361" s="2"/>
      <c r="K1361" s="2"/>
      <c r="M1361" s="2"/>
      <c r="N1361" s="2"/>
      <c r="O1361" s="2"/>
    </row>
    <row r="1362">
      <c r="A1362" s="2"/>
      <c r="B1362" s="2"/>
      <c r="C1362" s="31"/>
      <c r="D1362" s="31"/>
      <c r="E1362" s="32"/>
      <c r="H1362" s="2"/>
      <c r="I1362" s="2"/>
      <c r="J1362" s="2"/>
      <c r="K1362" s="2"/>
      <c r="M1362" s="2"/>
      <c r="N1362" s="2"/>
      <c r="O1362" s="2"/>
    </row>
    <row r="1363">
      <c r="A1363" s="2"/>
      <c r="B1363" s="2"/>
      <c r="C1363" s="31"/>
      <c r="D1363" s="31"/>
      <c r="E1363" s="32"/>
      <c r="G1363" s="2"/>
      <c r="H1363" s="2"/>
      <c r="I1363" s="2"/>
      <c r="J1363" s="2"/>
      <c r="K1363" s="2"/>
      <c r="M1363" s="2"/>
      <c r="N1363" s="2"/>
      <c r="O1363" s="2"/>
    </row>
    <row r="1364">
      <c r="A1364" s="2"/>
      <c r="B1364" s="2"/>
      <c r="C1364" s="31"/>
      <c r="D1364" s="31"/>
      <c r="E1364" s="32"/>
      <c r="G1364" s="2"/>
      <c r="H1364" s="2"/>
      <c r="I1364" s="2"/>
      <c r="J1364" s="2"/>
      <c r="K1364" s="2"/>
      <c r="M1364" s="2"/>
      <c r="N1364" s="2"/>
      <c r="O1364" s="2"/>
    </row>
    <row r="1365">
      <c r="A1365" s="2"/>
      <c r="B1365" s="2"/>
      <c r="C1365" s="31"/>
      <c r="D1365" s="31"/>
      <c r="E1365" s="32"/>
      <c r="H1365" s="2"/>
      <c r="I1365" s="2"/>
      <c r="J1365" s="2"/>
      <c r="K1365" s="2"/>
    </row>
    <row r="1366">
      <c r="A1366" s="2"/>
      <c r="B1366" s="2"/>
      <c r="C1366" s="31"/>
      <c r="D1366" s="31"/>
      <c r="E1366" s="32"/>
      <c r="F1366" s="2"/>
      <c r="G1366" s="2"/>
      <c r="H1366" s="2"/>
      <c r="I1366" s="2"/>
      <c r="J1366" s="2"/>
      <c r="K1366" s="2"/>
      <c r="M1366" s="2"/>
      <c r="N1366" s="2"/>
      <c r="O1366" s="2"/>
    </row>
    <row r="1367">
      <c r="A1367" s="2"/>
      <c r="B1367" s="2"/>
      <c r="C1367" s="31"/>
      <c r="D1367" s="31"/>
      <c r="E1367" s="32"/>
      <c r="F1367" s="2"/>
      <c r="G1367" s="2"/>
      <c r="H1367" s="2"/>
      <c r="I1367" s="2"/>
      <c r="J1367" s="2"/>
      <c r="K1367" s="2"/>
      <c r="M1367" s="2"/>
      <c r="N1367" s="2"/>
      <c r="O1367" s="2"/>
    </row>
    <row r="1368">
      <c r="A1368" s="2"/>
      <c r="B1368" s="2"/>
      <c r="C1368" s="31"/>
      <c r="D1368" s="31"/>
      <c r="E1368" s="32"/>
      <c r="H1368" s="2"/>
      <c r="I1368" s="2"/>
      <c r="J1368" s="2"/>
      <c r="K1368" s="2"/>
      <c r="M1368" s="2"/>
      <c r="N1368" s="2"/>
      <c r="O1368" s="2"/>
    </row>
    <row r="1369">
      <c r="A1369" s="2"/>
      <c r="B1369" s="2"/>
      <c r="C1369" s="31"/>
      <c r="D1369" s="31"/>
      <c r="E1369" s="32"/>
      <c r="H1369" s="2"/>
      <c r="I1369" s="2"/>
      <c r="J1369" s="2"/>
      <c r="K1369" s="2"/>
      <c r="M1369" s="2"/>
      <c r="N1369" s="2"/>
      <c r="O1369" s="2"/>
    </row>
    <row r="1370">
      <c r="A1370" s="2"/>
      <c r="B1370" s="2"/>
      <c r="C1370" s="31"/>
      <c r="D1370" s="31"/>
      <c r="E1370" s="32"/>
      <c r="H1370" s="2"/>
      <c r="I1370" s="2"/>
      <c r="J1370" s="2"/>
      <c r="K1370" s="2"/>
    </row>
    <row r="1371">
      <c r="A1371" s="2"/>
      <c r="B1371" s="2"/>
      <c r="C1371" s="31"/>
      <c r="D1371" s="31"/>
      <c r="E1371" s="32"/>
      <c r="F1371" s="2"/>
      <c r="G1371" s="2"/>
      <c r="H1371" s="2"/>
      <c r="I1371" s="2"/>
      <c r="J1371" s="2"/>
      <c r="K1371" s="2"/>
      <c r="M1371" s="2"/>
      <c r="N1371" s="2"/>
      <c r="O1371" s="2"/>
    </row>
    <row r="1372">
      <c r="A1372" s="2"/>
      <c r="B1372" s="2"/>
      <c r="C1372" s="31"/>
      <c r="D1372" s="31"/>
      <c r="E1372" s="32"/>
      <c r="H1372" s="2"/>
      <c r="I1372" s="2"/>
      <c r="J1372" s="2"/>
      <c r="K1372" s="2"/>
    </row>
    <row r="1373">
      <c r="A1373" s="2"/>
      <c r="B1373" s="2"/>
      <c r="C1373" s="31"/>
      <c r="D1373" s="31"/>
      <c r="E1373" s="32"/>
      <c r="G1373" s="2"/>
      <c r="H1373" s="2"/>
      <c r="I1373" s="2"/>
      <c r="J1373" s="2"/>
      <c r="K1373" s="2"/>
      <c r="M1373" s="2"/>
      <c r="N1373" s="2"/>
      <c r="O1373" s="2"/>
    </row>
    <row r="1374">
      <c r="A1374" s="2"/>
      <c r="B1374" s="2"/>
      <c r="C1374" s="31"/>
      <c r="D1374" s="31"/>
      <c r="E1374" s="32"/>
      <c r="H1374" s="2"/>
      <c r="I1374" s="2"/>
      <c r="J1374" s="2"/>
      <c r="K1374" s="2"/>
      <c r="M1374" s="2"/>
      <c r="N1374" s="2"/>
      <c r="O1374" s="2"/>
    </row>
    <row r="1375">
      <c r="A1375" s="2"/>
      <c r="B1375" s="2"/>
      <c r="C1375" s="31"/>
      <c r="D1375" s="31"/>
      <c r="E1375" s="32"/>
      <c r="H1375" s="2"/>
      <c r="I1375" s="2"/>
      <c r="J1375" s="2"/>
      <c r="K1375" s="2"/>
      <c r="M1375" s="2"/>
      <c r="N1375" s="2"/>
      <c r="O1375" s="2"/>
    </row>
    <row r="1376">
      <c r="A1376" s="2"/>
      <c r="B1376" s="2"/>
      <c r="C1376" s="31"/>
      <c r="D1376" s="31"/>
      <c r="E1376" s="32"/>
      <c r="H1376" s="2"/>
      <c r="I1376" s="2"/>
      <c r="J1376" s="2"/>
      <c r="K1376" s="2"/>
    </row>
    <row r="1377">
      <c r="A1377" s="2"/>
      <c r="B1377" s="2"/>
      <c r="C1377" s="31"/>
      <c r="D1377" s="31"/>
      <c r="E1377" s="32"/>
      <c r="G1377" s="2"/>
      <c r="H1377" s="2"/>
      <c r="I1377" s="2"/>
      <c r="J1377" s="2"/>
      <c r="K1377" s="2"/>
      <c r="M1377" s="2"/>
      <c r="N1377" s="2"/>
      <c r="O1377" s="2"/>
    </row>
    <row r="1378">
      <c r="A1378" s="2"/>
      <c r="B1378" s="2"/>
      <c r="C1378" s="31"/>
      <c r="D1378" s="31"/>
      <c r="E1378" s="32"/>
      <c r="H1378" s="2"/>
      <c r="I1378" s="2"/>
      <c r="J1378" s="2"/>
      <c r="K1378" s="2"/>
    </row>
    <row r="1379">
      <c r="A1379" s="2"/>
      <c r="B1379" s="2"/>
      <c r="C1379" s="31"/>
      <c r="D1379" s="31"/>
      <c r="E1379" s="32"/>
      <c r="F1379" s="2"/>
      <c r="G1379" s="2"/>
      <c r="H1379" s="2"/>
      <c r="I1379" s="2"/>
      <c r="J1379" s="2"/>
      <c r="K1379" s="2"/>
      <c r="M1379" s="2"/>
      <c r="N1379" s="2"/>
      <c r="O1379" s="2"/>
    </row>
    <row r="1380">
      <c r="A1380" s="2"/>
      <c r="B1380" s="2"/>
      <c r="C1380" s="31"/>
      <c r="D1380" s="31"/>
      <c r="E1380" s="32"/>
      <c r="H1380" s="2"/>
      <c r="I1380" s="2"/>
      <c r="J1380" s="2"/>
      <c r="K1380" s="2"/>
      <c r="M1380" s="2"/>
      <c r="N1380" s="2"/>
      <c r="O1380" s="2"/>
    </row>
    <row r="1381">
      <c r="A1381" s="2"/>
      <c r="B1381" s="2"/>
      <c r="C1381" s="31"/>
      <c r="D1381" s="31"/>
      <c r="E1381" s="32"/>
      <c r="H1381" s="2"/>
      <c r="I1381" s="2"/>
      <c r="J1381" s="2"/>
      <c r="K1381" s="2"/>
      <c r="M1381" s="2"/>
      <c r="N1381" s="2"/>
      <c r="O1381" s="2"/>
    </row>
    <row r="1382">
      <c r="A1382" s="2"/>
      <c r="B1382" s="2"/>
      <c r="C1382" s="31"/>
      <c r="D1382" s="31"/>
      <c r="E1382" s="32"/>
      <c r="G1382" s="2"/>
      <c r="H1382" s="2"/>
      <c r="I1382" s="2"/>
      <c r="J1382" s="2"/>
      <c r="K1382" s="2"/>
      <c r="M1382" s="2"/>
      <c r="N1382" s="2"/>
      <c r="O1382" s="2"/>
    </row>
    <row r="1383">
      <c r="A1383" s="2"/>
      <c r="B1383" s="2"/>
      <c r="C1383" s="31"/>
      <c r="D1383" s="31"/>
      <c r="E1383" s="32"/>
      <c r="H1383" s="2"/>
      <c r="I1383" s="2"/>
      <c r="J1383" s="2"/>
      <c r="K1383" s="2"/>
    </row>
    <row r="1384">
      <c r="A1384" s="2"/>
      <c r="B1384" s="2"/>
      <c r="C1384" s="31"/>
      <c r="D1384" s="31"/>
      <c r="E1384" s="32"/>
      <c r="F1384" s="2"/>
      <c r="H1384" s="2"/>
      <c r="I1384" s="2"/>
      <c r="J1384" s="2"/>
      <c r="K1384" s="2"/>
      <c r="M1384" s="2"/>
      <c r="N1384" s="2"/>
      <c r="O1384" s="2"/>
    </row>
    <row r="1385">
      <c r="A1385" s="2"/>
      <c r="B1385" s="2"/>
      <c r="C1385" s="31"/>
      <c r="D1385" s="31"/>
      <c r="E1385" s="32"/>
      <c r="G1385" s="2"/>
      <c r="H1385" s="2"/>
      <c r="I1385" s="2"/>
      <c r="J1385" s="2"/>
      <c r="K1385" s="2"/>
      <c r="M1385" s="2"/>
      <c r="N1385" s="2"/>
      <c r="O1385" s="2"/>
    </row>
    <row r="1386">
      <c r="A1386" s="2"/>
      <c r="B1386" s="2"/>
      <c r="C1386" s="31"/>
      <c r="D1386" s="31"/>
      <c r="E1386" s="32"/>
      <c r="G1386" s="2"/>
      <c r="H1386" s="2"/>
      <c r="I1386" s="2"/>
      <c r="J1386" s="2"/>
      <c r="K1386" s="2"/>
      <c r="M1386" s="2"/>
      <c r="N1386" s="2"/>
      <c r="O1386" s="2"/>
    </row>
    <row r="1387">
      <c r="A1387" s="2"/>
      <c r="B1387" s="2"/>
      <c r="C1387" s="31"/>
      <c r="D1387" s="31"/>
      <c r="E1387" s="32"/>
      <c r="H1387" s="2"/>
      <c r="I1387" s="2"/>
      <c r="J1387" s="2"/>
      <c r="K1387" s="2"/>
      <c r="M1387" s="2"/>
      <c r="N1387" s="2"/>
      <c r="O1387" s="2"/>
    </row>
    <row r="1388">
      <c r="A1388" s="2"/>
      <c r="B1388" s="2"/>
      <c r="C1388" s="31"/>
      <c r="D1388" s="31"/>
      <c r="E1388" s="32"/>
      <c r="H1388" s="2"/>
      <c r="I1388" s="2"/>
      <c r="J1388" s="2"/>
      <c r="K1388" s="2"/>
    </row>
    <row r="1389">
      <c r="A1389" s="2"/>
      <c r="B1389" s="2"/>
      <c r="C1389" s="31"/>
      <c r="D1389" s="31"/>
      <c r="E1389" s="32"/>
      <c r="F1389" s="2"/>
      <c r="G1389" s="2"/>
      <c r="H1389" s="2"/>
      <c r="I1389" s="2"/>
      <c r="J1389" s="2"/>
      <c r="K1389" s="2"/>
      <c r="M1389" s="2"/>
      <c r="N1389" s="2"/>
      <c r="O1389" s="2"/>
    </row>
    <row r="1390">
      <c r="A1390" s="2"/>
      <c r="B1390" s="2"/>
      <c r="C1390" s="31"/>
      <c r="D1390" s="31"/>
      <c r="E1390" s="32"/>
      <c r="F1390" s="2"/>
      <c r="G1390" s="2"/>
      <c r="H1390" s="2"/>
      <c r="I1390" s="2"/>
      <c r="J1390" s="2"/>
      <c r="K1390" s="2"/>
      <c r="M1390" s="2"/>
      <c r="N1390" s="2"/>
      <c r="O1390" s="2"/>
    </row>
    <row r="1391">
      <c r="A1391" s="2"/>
      <c r="B1391" s="2"/>
      <c r="C1391" s="31"/>
      <c r="D1391" s="31"/>
      <c r="E1391" s="32"/>
      <c r="H1391" s="2"/>
      <c r="I1391" s="2"/>
      <c r="J1391" s="2"/>
      <c r="K1391" s="2"/>
      <c r="M1391" s="2"/>
      <c r="N1391" s="2"/>
      <c r="O1391" s="2"/>
    </row>
    <row r="1392">
      <c r="A1392" s="2"/>
      <c r="B1392" s="2"/>
      <c r="C1392" s="31"/>
      <c r="D1392" s="31"/>
      <c r="E1392" s="32"/>
      <c r="H1392" s="2"/>
      <c r="I1392" s="2"/>
      <c r="J1392" s="2"/>
      <c r="K1392" s="2"/>
      <c r="M1392" s="2"/>
      <c r="N1392" s="2"/>
      <c r="O1392" s="2"/>
    </row>
    <row r="1393">
      <c r="A1393" s="2"/>
      <c r="B1393" s="2"/>
      <c r="C1393" s="31"/>
      <c r="D1393" s="31"/>
      <c r="E1393" s="32"/>
      <c r="H1393" s="2"/>
      <c r="I1393" s="2"/>
      <c r="J1393" s="2"/>
      <c r="K1393" s="2"/>
    </row>
    <row r="1394">
      <c r="A1394" s="2"/>
      <c r="B1394" s="2"/>
      <c r="C1394" s="31"/>
      <c r="D1394" s="31"/>
      <c r="E1394" s="32"/>
      <c r="H1394" s="2"/>
      <c r="I1394" s="2"/>
      <c r="J1394" s="2"/>
      <c r="K1394" s="2"/>
    </row>
    <row r="1395">
      <c r="A1395" s="2"/>
      <c r="B1395" s="2"/>
      <c r="C1395" s="31"/>
      <c r="D1395" s="31"/>
      <c r="E1395" s="32"/>
      <c r="H1395" s="2"/>
      <c r="I1395" s="2"/>
      <c r="J1395" s="2"/>
      <c r="K1395" s="2"/>
      <c r="M1395" s="2"/>
      <c r="N1395" s="2"/>
      <c r="O1395" s="2"/>
    </row>
    <row r="1396">
      <c r="A1396" s="2"/>
      <c r="B1396" s="2"/>
      <c r="C1396" s="31"/>
      <c r="D1396" s="31"/>
      <c r="E1396" s="32"/>
      <c r="G1396" s="2"/>
      <c r="H1396" s="2"/>
      <c r="I1396" s="2"/>
      <c r="J1396" s="2"/>
      <c r="K1396" s="2"/>
      <c r="M1396" s="2"/>
      <c r="N1396" s="2"/>
      <c r="O1396" s="2"/>
    </row>
    <row r="1397">
      <c r="A1397" s="2"/>
      <c r="B1397" s="2"/>
      <c r="C1397" s="31"/>
      <c r="D1397" s="31"/>
      <c r="E1397" s="32"/>
      <c r="H1397" s="2"/>
      <c r="I1397" s="2"/>
      <c r="J1397" s="2"/>
      <c r="K1397" s="2"/>
      <c r="M1397" s="2"/>
      <c r="N1397" s="2"/>
      <c r="O1397" s="2"/>
    </row>
    <row r="1398">
      <c r="A1398" s="2"/>
      <c r="B1398" s="2"/>
      <c r="C1398" s="31"/>
      <c r="D1398" s="31"/>
      <c r="E1398" s="32"/>
      <c r="H1398" s="2"/>
      <c r="I1398" s="2"/>
      <c r="J1398" s="2"/>
      <c r="K1398" s="2"/>
      <c r="M1398" s="2"/>
      <c r="N1398" s="2"/>
      <c r="O1398" s="2"/>
    </row>
    <row r="1399">
      <c r="A1399" s="2"/>
      <c r="B1399" s="2"/>
      <c r="C1399" s="31"/>
      <c r="D1399" s="31"/>
      <c r="E1399" s="32"/>
      <c r="H1399" s="2"/>
      <c r="I1399" s="2"/>
      <c r="J1399" s="2"/>
      <c r="K1399" s="2"/>
      <c r="M1399" s="2"/>
      <c r="N1399" s="2"/>
      <c r="O1399" s="2"/>
    </row>
    <row r="1400">
      <c r="A1400" s="2"/>
      <c r="B1400" s="2"/>
      <c r="C1400" s="31"/>
      <c r="D1400" s="31"/>
      <c r="E1400" s="32"/>
      <c r="H1400" s="2"/>
      <c r="I1400" s="2"/>
      <c r="J1400" s="2"/>
      <c r="K1400" s="2"/>
      <c r="M1400" s="2"/>
      <c r="N1400" s="2"/>
      <c r="O1400" s="2"/>
    </row>
    <row r="1401">
      <c r="A1401" s="2"/>
      <c r="B1401" s="2"/>
      <c r="C1401" s="31"/>
      <c r="D1401" s="31"/>
      <c r="E1401" s="32"/>
      <c r="H1401" s="2"/>
      <c r="I1401" s="2"/>
      <c r="J1401" s="2"/>
      <c r="K1401" s="2"/>
    </row>
    <row r="1402">
      <c r="A1402" s="2"/>
      <c r="B1402" s="2"/>
      <c r="C1402" s="31"/>
      <c r="D1402" s="31"/>
      <c r="E1402" s="32"/>
      <c r="H1402" s="2"/>
      <c r="I1402" s="2"/>
      <c r="J1402" s="2"/>
      <c r="K1402" s="2"/>
    </row>
    <row r="1403">
      <c r="A1403" s="2"/>
      <c r="B1403" s="2"/>
      <c r="C1403" s="31"/>
      <c r="D1403" s="31"/>
      <c r="E1403" s="32"/>
      <c r="H1403" s="2"/>
      <c r="I1403" s="2"/>
      <c r="J1403" s="2"/>
      <c r="K1403" s="2"/>
      <c r="M1403" s="2"/>
      <c r="N1403" s="2"/>
      <c r="O1403" s="2"/>
    </row>
    <row r="1404">
      <c r="A1404" s="2"/>
      <c r="B1404" s="2"/>
      <c r="C1404" s="31"/>
      <c r="D1404" s="31"/>
      <c r="E1404" s="32"/>
      <c r="G1404" s="2"/>
      <c r="H1404" s="2"/>
      <c r="I1404" s="2"/>
      <c r="J1404" s="2"/>
      <c r="K1404" s="2"/>
      <c r="M1404" s="2"/>
      <c r="N1404" s="2"/>
      <c r="O1404" s="2"/>
    </row>
    <row r="1405">
      <c r="A1405" s="2"/>
      <c r="B1405" s="2"/>
      <c r="C1405" s="31"/>
      <c r="D1405" s="31"/>
      <c r="E1405" s="32"/>
      <c r="H1405" s="2"/>
      <c r="I1405" s="2"/>
      <c r="J1405" s="2"/>
      <c r="K1405" s="2"/>
    </row>
    <row r="1406">
      <c r="A1406" s="2"/>
      <c r="B1406" s="2"/>
      <c r="C1406" s="31"/>
      <c r="D1406" s="31"/>
      <c r="E1406" s="32"/>
      <c r="G1406" s="2"/>
      <c r="H1406" s="2"/>
      <c r="I1406" s="2"/>
      <c r="J1406" s="2"/>
      <c r="K1406" s="2"/>
      <c r="M1406" s="2"/>
      <c r="N1406" s="2"/>
      <c r="O1406" s="2"/>
    </row>
    <row r="1407">
      <c r="A1407" s="2"/>
      <c r="B1407" s="2"/>
      <c r="C1407" s="31"/>
      <c r="D1407" s="31"/>
      <c r="E1407" s="32"/>
      <c r="H1407" s="2"/>
      <c r="I1407" s="2"/>
      <c r="J1407" s="2"/>
      <c r="K1407" s="2"/>
      <c r="M1407" s="2"/>
      <c r="N1407" s="2"/>
      <c r="O1407" s="2"/>
    </row>
    <row r="1408">
      <c r="A1408" s="2"/>
      <c r="B1408" s="2"/>
      <c r="C1408" s="31"/>
      <c r="D1408" s="31"/>
      <c r="E1408" s="32"/>
      <c r="G1408" s="2"/>
      <c r="H1408" s="2"/>
      <c r="I1408" s="2"/>
      <c r="J1408" s="2"/>
      <c r="K1408" s="2"/>
      <c r="M1408" s="2"/>
      <c r="N1408" s="2"/>
      <c r="O1408" s="2"/>
    </row>
    <row r="1409">
      <c r="A1409" s="2"/>
      <c r="B1409" s="2"/>
      <c r="C1409" s="31"/>
      <c r="D1409" s="31"/>
      <c r="E1409" s="32"/>
      <c r="H1409" s="2"/>
      <c r="I1409" s="2"/>
      <c r="J1409" s="2"/>
      <c r="K1409" s="2"/>
    </row>
    <row r="1410">
      <c r="A1410" s="2"/>
      <c r="B1410" s="2"/>
      <c r="C1410" s="31"/>
      <c r="D1410" s="31"/>
      <c r="E1410" s="32"/>
      <c r="F1410" s="2"/>
      <c r="G1410" s="2"/>
      <c r="H1410" s="2"/>
      <c r="I1410" s="2"/>
      <c r="J1410" s="2"/>
      <c r="K1410" s="2"/>
      <c r="M1410" s="2"/>
      <c r="N1410" s="2"/>
      <c r="O1410" s="2"/>
    </row>
    <row r="1411">
      <c r="A1411" s="2"/>
      <c r="B1411" s="2"/>
      <c r="C1411" s="31"/>
      <c r="D1411" s="31"/>
      <c r="E1411" s="32"/>
      <c r="F1411" s="2"/>
      <c r="G1411" s="2"/>
      <c r="H1411" s="2"/>
      <c r="I1411" s="2"/>
      <c r="J1411" s="2"/>
      <c r="K1411" s="2"/>
      <c r="M1411" s="2"/>
      <c r="N1411" s="2"/>
      <c r="O1411" s="2"/>
    </row>
    <row r="1412">
      <c r="A1412" s="2"/>
      <c r="B1412" s="2"/>
      <c r="C1412" s="31"/>
      <c r="D1412" s="31"/>
      <c r="E1412" s="32"/>
      <c r="H1412" s="2"/>
      <c r="I1412" s="2"/>
      <c r="J1412" s="2"/>
      <c r="K1412" s="2"/>
      <c r="M1412" s="2"/>
      <c r="N1412" s="2"/>
      <c r="O1412" s="2"/>
    </row>
    <row r="1413">
      <c r="A1413" s="2"/>
      <c r="B1413" s="2"/>
      <c r="C1413" s="31"/>
      <c r="D1413" s="31"/>
      <c r="E1413" s="32"/>
      <c r="H1413" s="2"/>
      <c r="I1413" s="2"/>
      <c r="J1413" s="2"/>
      <c r="K1413" s="2"/>
      <c r="M1413" s="2"/>
      <c r="N1413" s="2"/>
      <c r="O1413" s="2"/>
    </row>
    <row r="1414">
      <c r="A1414" s="2"/>
      <c r="B1414" s="2"/>
      <c r="C1414" s="31"/>
      <c r="D1414" s="31"/>
      <c r="E1414" s="32"/>
      <c r="H1414" s="2"/>
      <c r="I1414" s="2"/>
      <c r="J1414" s="2"/>
      <c r="K1414" s="2"/>
    </row>
    <row r="1415">
      <c r="A1415" s="2"/>
      <c r="B1415" s="2"/>
      <c r="C1415" s="31"/>
      <c r="D1415" s="31"/>
      <c r="E1415" s="32"/>
      <c r="F1415" s="2"/>
      <c r="G1415" s="2"/>
      <c r="H1415" s="2"/>
      <c r="I1415" s="2"/>
      <c r="J1415" s="2"/>
      <c r="K1415" s="2"/>
      <c r="M1415" s="2"/>
      <c r="N1415" s="2"/>
      <c r="O1415" s="2"/>
    </row>
    <row r="1416">
      <c r="A1416" s="2"/>
      <c r="B1416" s="2"/>
      <c r="C1416" s="31"/>
      <c r="D1416" s="31"/>
      <c r="E1416" s="32"/>
      <c r="H1416" s="2"/>
      <c r="I1416" s="2"/>
      <c r="J1416" s="2"/>
      <c r="K1416" s="2"/>
    </row>
    <row r="1417">
      <c r="A1417" s="2"/>
      <c r="B1417" s="2"/>
      <c r="C1417" s="31"/>
      <c r="D1417" s="31"/>
      <c r="E1417" s="32"/>
      <c r="F1417" s="2"/>
      <c r="H1417" s="2"/>
      <c r="I1417" s="2"/>
      <c r="J1417" s="2"/>
      <c r="K1417" s="2"/>
      <c r="M1417" s="2"/>
      <c r="N1417" s="2"/>
      <c r="O1417" s="2"/>
    </row>
    <row r="1418">
      <c r="A1418" s="2"/>
      <c r="B1418" s="2"/>
      <c r="C1418" s="31"/>
      <c r="D1418" s="31"/>
      <c r="E1418" s="32"/>
      <c r="H1418" s="2"/>
      <c r="I1418" s="2"/>
      <c r="J1418" s="2"/>
      <c r="K1418" s="2"/>
      <c r="M1418" s="2"/>
      <c r="N1418" s="2"/>
      <c r="O1418" s="2"/>
    </row>
    <row r="1419">
      <c r="A1419" s="2"/>
      <c r="B1419" s="2"/>
      <c r="C1419" s="31"/>
      <c r="D1419" s="31"/>
      <c r="E1419" s="32"/>
      <c r="H1419" s="2"/>
      <c r="I1419" s="2"/>
      <c r="J1419" s="2"/>
      <c r="K1419" s="2"/>
      <c r="M1419" s="2"/>
      <c r="N1419" s="2"/>
      <c r="O1419" s="2"/>
    </row>
    <row r="1420">
      <c r="A1420" s="2"/>
      <c r="B1420" s="2"/>
      <c r="C1420" s="31"/>
      <c r="D1420" s="31"/>
      <c r="E1420" s="32"/>
      <c r="G1420" s="2"/>
      <c r="H1420" s="2"/>
      <c r="I1420" s="2"/>
      <c r="J1420" s="2"/>
      <c r="K1420" s="2"/>
      <c r="M1420" s="2"/>
      <c r="N1420" s="2"/>
      <c r="O1420" s="2"/>
    </row>
    <row r="1421">
      <c r="A1421" s="2"/>
      <c r="B1421" s="2"/>
      <c r="C1421" s="31"/>
      <c r="D1421" s="31"/>
      <c r="E1421" s="32"/>
      <c r="H1421" s="2"/>
      <c r="I1421" s="2"/>
      <c r="J1421" s="2"/>
      <c r="K1421" s="2"/>
    </row>
    <row r="1422">
      <c r="A1422" s="2"/>
      <c r="B1422" s="2"/>
      <c r="C1422" s="31"/>
      <c r="D1422" s="31"/>
      <c r="E1422" s="32"/>
      <c r="H1422" s="2"/>
      <c r="I1422" s="2"/>
      <c r="J1422" s="2"/>
      <c r="K1422" s="2"/>
      <c r="M1422" s="2"/>
      <c r="N1422" s="2"/>
      <c r="O1422" s="2"/>
    </row>
    <row r="1423">
      <c r="A1423" s="2"/>
      <c r="B1423" s="2"/>
      <c r="C1423" s="31"/>
      <c r="D1423" s="31"/>
      <c r="E1423" s="32"/>
      <c r="H1423" s="2"/>
      <c r="I1423" s="2"/>
      <c r="J1423" s="2"/>
      <c r="K1423" s="2"/>
    </row>
    <row r="1424">
      <c r="A1424" s="2"/>
      <c r="B1424" s="2"/>
      <c r="C1424" s="31"/>
      <c r="D1424" s="31"/>
      <c r="E1424" s="32"/>
      <c r="F1424" s="2"/>
      <c r="G1424" s="2"/>
      <c r="H1424" s="2"/>
      <c r="I1424" s="2"/>
      <c r="J1424" s="2"/>
      <c r="K1424" s="2"/>
      <c r="M1424" s="2"/>
      <c r="N1424" s="2"/>
      <c r="O1424" s="2"/>
    </row>
    <row r="1425">
      <c r="A1425" s="2"/>
      <c r="B1425" s="2"/>
      <c r="C1425" s="31"/>
      <c r="D1425" s="31"/>
      <c r="E1425" s="32"/>
      <c r="H1425" s="2"/>
      <c r="I1425" s="2"/>
      <c r="J1425" s="2"/>
      <c r="K1425" s="2"/>
      <c r="M1425" s="2"/>
      <c r="N1425" s="2"/>
      <c r="O1425" s="2"/>
    </row>
    <row r="1426">
      <c r="A1426" s="2"/>
      <c r="B1426" s="2"/>
      <c r="C1426" s="31"/>
      <c r="D1426" s="31"/>
      <c r="E1426" s="32"/>
      <c r="H1426" s="2"/>
      <c r="I1426" s="2"/>
      <c r="J1426" s="2"/>
      <c r="K1426" s="2"/>
      <c r="M1426" s="2"/>
      <c r="N1426" s="2"/>
      <c r="O1426" s="2"/>
    </row>
    <row r="1427">
      <c r="A1427" s="2"/>
      <c r="B1427" s="2"/>
      <c r="C1427" s="31"/>
      <c r="D1427" s="31"/>
      <c r="E1427" s="32"/>
      <c r="G1427" s="2"/>
      <c r="H1427" s="2"/>
      <c r="I1427" s="2"/>
      <c r="J1427" s="2"/>
      <c r="K1427" s="2"/>
      <c r="M1427" s="2"/>
      <c r="N1427" s="2"/>
      <c r="O1427" s="2"/>
    </row>
    <row r="1428">
      <c r="A1428" s="2"/>
      <c r="B1428" s="2"/>
      <c r="C1428" s="31"/>
      <c r="D1428" s="31"/>
      <c r="E1428" s="32"/>
      <c r="H1428" s="2"/>
      <c r="I1428" s="2"/>
      <c r="J1428" s="2"/>
      <c r="K1428" s="2"/>
    </row>
    <row r="1429">
      <c r="A1429" s="2"/>
      <c r="B1429" s="2"/>
      <c r="C1429" s="31"/>
      <c r="D1429" s="31"/>
      <c r="E1429" s="32"/>
      <c r="F1429" s="2"/>
      <c r="H1429" s="2"/>
      <c r="I1429" s="2"/>
      <c r="J1429" s="2"/>
      <c r="K1429" s="2"/>
      <c r="M1429" s="2"/>
      <c r="N1429" s="2"/>
      <c r="O1429" s="2"/>
    </row>
    <row r="1430">
      <c r="A1430" s="2"/>
      <c r="B1430" s="2"/>
      <c r="C1430" s="31"/>
      <c r="D1430" s="31"/>
      <c r="E1430" s="32"/>
      <c r="G1430" s="2"/>
      <c r="H1430" s="2"/>
      <c r="I1430" s="2"/>
      <c r="J1430" s="2"/>
      <c r="K1430" s="2"/>
      <c r="M1430" s="2"/>
      <c r="N1430" s="2"/>
      <c r="O1430" s="2"/>
    </row>
    <row r="1431">
      <c r="A1431" s="2"/>
      <c r="B1431" s="2"/>
      <c r="C1431" s="31"/>
      <c r="D1431" s="31"/>
      <c r="E1431" s="32"/>
      <c r="G1431" s="2"/>
      <c r="H1431" s="2"/>
      <c r="I1431" s="2"/>
      <c r="J1431" s="2"/>
      <c r="K1431" s="2"/>
      <c r="M1431" s="2"/>
      <c r="N1431" s="2"/>
      <c r="O1431" s="2"/>
    </row>
    <row r="1432">
      <c r="A1432" s="2"/>
      <c r="B1432" s="2"/>
      <c r="C1432" s="31"/>
      <c r="D1432" s="31"/>
      <c r="E1432" s="32"/>
      <c r="H1432" s="2"/>
      <c r="I1432" s="2"/>
      <c r="J1432" s="2"/>
      <c r="K1432" s="2"/>
      <c r="M1432" s="2"/>
      <c r="N1432" s="2"/>
      <c r="O1432" s="2"/>
    </row>
    <row r="1433">
      <c r="A1433" s="2"/>
      <c r="B1433" s="2"/>
      <c r="C1433" s="31"/>
      <c r="D1433" s="31"/>
      <c r="E1433" s="32"/>
      <c r="H1433" s="2"/>
      <c r="I1433" s="2"/>
      <c r="J1433" s="2"/>
      <c r="K1433" s="2"/>
    </row>
    <row r="1434">
      <c r="A1434" s="2"/>
      <c r="B1434" s="2"/>
      <c r="C1434" s="31"/>
      <c r="D1434" s="31"/>
      <c r="E1434" s="32"/>
      <c r="F1434" s="2"/>
      <c r="G1434" s="2"/>
      <c r="H1434" s="2"/>
      <c r="I1434" s="2"/>
      <c r="J1434" s="2"/>
      <c r="K1434" s="2"/>
      <c r="M1434" s="2"/>
      <c r="N1434" s="2"/>
      <c r="O1434" s="2"/>
    </row>
    <row r="1435">
      <c r="A1435" s="2"/>
      <c r="B1435" s="2"/>
      <c r="C1435" s="31"/>
      <c r="D1435" s="31"/>
      <c r="E1435" s="32"/>
      <c r="F1435" s="2"/>
      <c r="G1435" s="2"/>
      <c r="H1435" s="2"/>
      <c r="I1435" s="2"/>
      <c r="J1435" s="2"/>
      <c r="K1435" s="2"/>
      <c r="M1435" s="2"/>
      <c r="N1435" s="2"/>
      <c r="O1435" s="2"/>
    </row>
    <row r="1436">
      <c r="A1436" s="2"/>
      <c r="B1436" s="2"/>
      <c r="C1436" s="31"/>
      <c r="D1436" s="31"/>
      <c r="E1436" s="32"/>
      <c r="H1436" s="2"/>
      <c r="I1436" s="2"/>
      <c r="J1436" s="2"/>
      <c r="K1436" s="2"/>
      <c r="M1436" s="2"/>
      <c r="N1436" s="2"/>
      <c r="O1436" s="2"/>
    </row>
    <row r="1437">
      <c r="A1437" s="2"/>
      <c r="B1437" s="2"/>
      <c r="C1437" s="31"/>
      <c r="D1437" s="31"/>
      <c r="E1437" s="32"/>
      <c r="H1437" s="2"/>
      <c r="I1437" s="2"/>
      <c r="J1437" s="2"/>
      <c r="K1437" s="2"/>
      <c r="M1437" s="2"/>
      <c r="N1437" s="2"/>
      <c r="O1437" s="2"/>
    </row>
    <row r="1438">
      <c r="A1438" s="2"/>
      <c r="B1438" s="2"/>
      <c r="C1438" s="31"/>
      <c r="D1438" s="31"/>
      <c r="E1438" s="32"/>
      <c r="H1438" s="2"/>
      <c r="I1438" s="2"/>
      <c r="J1438" s="2"/>
      <c r="K1438" s="2"/>
    </row>
    <row r="1439">
      <c r="A1439" s="2"/>
      <c r="B1439" s="2"/>
      <c r="C1439" s="31"/>
      <c r="D1439" s="31"/>
      <c r="E1439" s="32"/>
      <c r="H1439" s="2"/>
      <c r="I1439" s="2"/>
      <c r="J1439" s="2"/>
      <c r="K1439" s="2"/>
    </row>
    <row r="1440">
      <c r="A1440" s="2"/>
      <c r="B1440" s="2"/>
      <c r="C1440" s="31"/>
      <c r="D1440" s="31"/>
      <c r="E1440" s="32"/>
      <c r="H1440" s="2"/>
      <c r="I1440" s="2"/>
      <c r="J1440" s="2"/>
      <c r="K1440" s="2"/>
      <c r="M1440" s="2"/>
      <c r="N1440" s="2"/>
      <c r="O1440" s="2"/>
    </row>
    <row r="1441">
      <c r="A1441" s="2"/>
      <c r="B1441" s="2"/>
      <c r="C1441" s="31"/>
      <c r="D1441" s="31"/>
      <c r="E1441" s="32"/>
      <c r="G1441" s="2"/>
      <c r="H1441" s="2"/>
      <c r="I1441" s="2"/>
      <c r="J1441" s="2"/>
      <c r="K1441" s="2"/>
      <c r="M1441" s="2"/>
      <c r="N1441" s="2"/>
      <c r="O1441" s="2"/>
    </row>
    <row r="1442">
      <c r="A1442" s="2"/>
      <c r="B1442" s="2"/>
      <c r="C1442" s="31"/>
      <c r="D1442" s="31"/>
      <c r="E1442" s="32"/>
      <c r="H1442" s="2"/>
      <c r="I1442" s="2"/>
      <c r="J1442" s="2"/>
      <c r="K1442" s="2"/>
      <c r="M1442" s="2"/>
      <c r="N1442" s="2"/>
      <c r="O1442" s="2"/>
    </row>
    <row r="1443">
      <c r="A1443" s="2"/>
      <c r="B1443" s="2"/>
      <c r="C1443" s="31"/>
      <c r="D1443" s="31"/>
      <c r="E1443" s="32"/>
      <c r="H1443" s="2"/>
      <c r="I1443" s="2"/>
      <c r="J1443" s="2"/>
      <c r="K1443" s="2"/>
      <c r="M1443" s="2"/>
      <c r="N1443" s="2"/>
      <c r="O1443" s="2"/>
    </row>
    <row r="1444">
      <c r="A1444" s="2"/>
      <c r="B1444" s="2"/>
      <c r="C1444" s="31"/>
      <c r="D1444" s="31"/>
      <c r="E1444" s="32"/>
      <c r="H1444" s="2"/>
      <c r="I1444" s="2"/>
      <c r="J1444" s="2"/>
      <c r="K1444" s="2"/>
      <c r="M1444" s="2"/>
      <c r="N1444" s="2"/>
      <c r="O1444" s="2"/>
    </row>
    <row r="1445">
      <c r="A1445" s="2"/>
      <c r="B1445" s="2"/>
      <c r="C1445" s="31"/>
      <c r="D1445" s="31"/>
      <c r="E1445" s="32"/>
      <c r="H1445" s="2"/>
      <c r="I1445" s="2"/>
      <c r="J1445" s="2"/>
      <c r="K1445" s="2"/>
    </row>
    <row r="1446">
      <c r="A1446" s="2"/>
      <c r="B1446" s="2"/>
      <c r="C1446" s="31"/>
      <c r="D1446" s="31"/>
      <c r="E1446" s="32"/>
      <c r="H1446" s="2"/>
      <c r="I1446" s="2"/>
      <c r="J1446" s="2"/>
      <c r="K1446" s="2"/>
      <c r="M1446" s="2"/>
      <c r="N1446" s="2"/>
      <c r="O1446" s="2"/>
    </row>
    <row r="1447">
      <c r="A1447" s="2"/>
      <c r="B1447" s="2"/>
      <c r="C1447" s="31"/>
      <c r="D1447" s="31"/>
      <c r="E1447" s="32"/>
      <c r="H1447" s="2"/>
      <c r="I1447" s="2"/>
      <c r="J1447" s="2"/>
      <c r="K1447" s="2"/>
    </row>
    <row r="1448">
      <c r="A1448" s="2"/>
      <c r="B1448" s="2"/>
      <c r="C1448" s="31"/>
      <c r="D1448" s="31"/>
      <c r="E1448" s="32"/>
      <c r="H1448" s="2"/>
      <c r="I1448" s="2"/>
      <c r="J1448" s="2"/>
      <c r="K1448" s="2"/>
      <c r="M1448" s="2"/>
      <c r="N1448" s="2"/>
      <c r="O1448" s="2"/>
    </row>
    <row r="1449">
      <c r="A1449" s="2"/>
      <c r="B1449" s="2"/>
      <c r="C1449" s="31"/>
      <c r="D1449" s="31"/>
      <c r="E1449" s="32"/>
      <c r="G1449" s="2"/>
      <c r="H1449" s="2"/>
      <c r="I1449" s="2"/>
      <c r="J1449" s="2"/>
      <c r="K1449" s="2"/>
      <c r="M1449" s="2"/>
      <c r="N1449" s="2"/>
      <c r="O1449" s="2"/>
    </row>
    <row r="1450">
      <c r="A1450" s="2"/>
      <c r="B1450" s="2"/>
      <c r="C1450" s="31"/>
      <c r="D1450" s="31"/>
      <c r="E1450" s="32"/>
      <c r="H1450" s="2"/>
      <c r="I1450" s="2"/>
      <c r="J1450" s="2"/>
      <c r="K1450" s="2"/>
    </row>
    <row r="1451">
      <c r="A1451" s="2"/>
      <c r="B1451" s="2"/>
      <c r="C1451" s="31"/>
      <c r="D1451" s="31"/>
      <c r="E1451" s="32"/>
      <c r="G1451" s="2"/>
      <c r="H1451" s="2"/>
      <c r="I1451" s="2"/>
      <c r="J1451" s="2"/>
      <c r="K1451" s="2"/>
      <c r="M1451" s="2"/>
      <c r="N1451" s="2"/>
      <c r="O1451" s="2"/>
    </row>
    <row r="1452">
      <c r="A1452" s="2"/>
      <c r="B1452" s="2"/>
      <c r="C1452" s="31"/>
      <c r="D1452" s="31"/>
      <c r="E1452" s="32"/>
      <c r="H1452" s="2"/>
      <c r="I1452" s="2"/>
      <c r="J1452" s="2"/>
      <c r="K1452" s="2"/>
      <c r="M1452" s="2"/>
      <c r="N1452" s="2"/>
      <c r="O1452" s="2"/>
    </row>
    <row r="1453">
      <c r="A1453" s="2"/>
      <c r="B1453" s="2"/>
      <c r="C1453" s="31"/>
      <c r="D1453" s="31"/>
      <c r="E1453" s="32"/>
      <c r="G1453" s="2"/>
      <c r="H1453" s="2"/>
      <c r="I1453" s="2"/>
      <c r="J1453" s="2"/>
      <c r="K1453" s="2"/>
      <c r="M1453" s="2"/>
      <c r="N1453" s="2"/>
      <c r="O1453" s="2"/>
    </row>
    <row r="1454">
      <c r="A1454" s="2"/>
      <c r="B1454" s="2"/>
      <c r="C1454" s="31"/>
      <c r="D1454" s="31"/>
      <c r="E1454" s="32"/>
      <c r="G1454" s="2"/>
      <c r="H1454" s="2"/>
      <c r="I1454" s="2"/>
      <c r="J1454" s="2"/>
      <c r="K1454" s="2"/>
      <c r="M1454" s="2"/>
      <c r="N1454" s="2"/>
      <c r="O1454" s="2"/>
    </row>
    <row r="1455">
      <c r="A1455" s="2"/>
      <c r="B1455" s="2"/>
      <c r="C1455" s="31"/>
      <c r="D1455" s="31"/>
      <c r="E1455" s="32"/>
      <c r="H1455" s="2"/>
      <c r="I1455" s="2"/>
      <c r="J1455" s="2"/>
      <c r="K1455" s="2"/>
    </row>
    <row r="1456">
      <c r="A1456" s="2"/>
      <c r="B1456" s="2"/>
      <c r="C1456" s="31"/>
      <c r="D1456" s="31"/>
      <c r="E1456" s="32"/>
      <c r="F1456" s="2"/>
      <c r="G1456" s="2"/>
      <c r="H1456" s="2"/>
      <c r="I1456" s="2"/>
      <c r="J1456" s="2"/>
      <c r="K1456" s="2"/>
      <c r="M1456" s="2"/>
      <c r="N1456" s="2"/>
      <c r="O1456" s="2"/>
    </row>
    <row r="1457">
      <c r="A1457" s="2"/>
      <c r="B1457" s="2"/>
      <c r="C1457" s="31"/>
      <c r="D1457" s="31"/>
      <c r="E1457" s="32"/>
      <c r="F1457" s="2"/>
      <c r="G1457" s="2"/>
      <c r="H1457" s="2"/>
      <c r="I1457" s="2"/>
      <c r="J1457" s="2"/>
      <c r="K1457" s="2"/>
      <c r="M1457" s="2"/>
      <c r="N1457" s="2"/>
      <c r="O1457" s="2"/>
    </row>
    <row r="1458">
      <c r="A1458" s="2"/>
      <c r="B1458" s="2"/>
      <c r="C1458" s="31"/>
      <c r="D1458" s="31"/>
      <c r="E1458" s="32"/>
      <c r="H1458" s="2"/>
      <c r="I1458" s="2"/>
      <c r="J1458" s="2"/>
      <c r="K1458" s="2"/>
      <c r="M1458" s="2"/>
      <c r="N1458" s="2"/>
      <c r="O1458" s="2"/>
    </row>
    <row r="1459">
      <c r="A1459" s="2"/>
      <c r="B1459" s="2"/>
      <c r="C1459" s="31"/>
      <c r="D1459" s="31"/>
      <c r="E1459" s="32"/>
      <c r="H1459" s="2"/>
      <c r="I1459" s="2"/>
      <c r="J1459" s="2"/>
      <c r="K1459" s="2"/>
      <c r="M1459" s="2"/>
      <c r="N1459" s="2"/>
      <c r="O1459" s="2"/>
    </row>
    <row r="1460">
      <c r="A1460" s="2"/>
      <c r="B1460" s="2"/>
      <c r="C1460" s="31"/>
      <c r="D1460" s="31"/>
      <c r="E1460" s="32"/>
      <c r="H1460" s="2"/>
      <c r="I1460" s="2"/>
      <c r="J1460" s="2"/>
      <c r="K1460" s="2"/>
    </row>
    <row r="1461">
      <c r="A1461" s="2"/>
      <c r="B1461" s="2"/>
      <c r="C1461" s="31"/>
      <c r="D1461" s="31"/>
      <c r="E1461" s="32"/>
      <c r="F1461" s="2"/>
      <c r="G1461" s="2"/>
      <c r="H1461" s="2"/>
      <c r="I1461" s="2"/>
      <c r="J1461" s="2"/>
      <c r="K1461" s="2"/>
      <c r="M1461" s="2"/>
      <c r="N1461" s="2"/>
      <c r="O1461" s="2"/>
    </row>
    <row r="1462">
      <c r="A1462" s="2"/>
      <c r="B1462" s="2"/>
      <c r="C1462" s="31"/>
      <c r="D1462" s="31"/>
      <c r="E1462" s="32"/>
      <c r="H1462" s="2"/>
      <c r="I1462" s="2"/>
      <c r="J1462" s="2"/>
      <c r="K1462" s="2"/>
    </row>
    <row r="1463">
      <c r="A1463" s="2"/>
      <c r="B1463" s="2"/>
      <c r="C1463" s="31"/>
      <c r="D1463" s="31"/>
      <c r="E1463" s="32"/>
      <c r="G1463" s="2"/>
      <c r="H1463" s="2"/>
      <c r="I1463" s="2"/>
      <c r="J1463" s="2"/>
      <c r="K1463" s="2"/>
      <c r="M1463" s="2"/>
      <c r="N1463" s="2"/>
      <c r="O1463" s="2"/>
    </row>
    <row r="1464">
      <c r="A1464" s="2"/>
      <c r="B1464" s="2"/>
      <c r="C1464" s="31"/>
      <c r="D1464" s="31"/>
      <c r="E1464" s="32"/>
      <c r="H1464" s="2"/>
      <c r="I1464" s="2"/>
      <c r="J1464" s="2"/>
      <c r="K1464" s="2"/>
      <c r="M1464" s="2"/>
      <c r="N1464" s="2"/>
      <c r="O1464" s="2"/>
    </row>
    <row r="1465">
      <c r="A1465" s="2"/>
      <c r="B1465" s="2"/>
      <c r="C1465" s="31"/>
      <c r="D1465" s="31"/>
      <c r="E1465" s="32"/>
      <c r="H1465" s="2"/>
      <c r="I1465" s="2"/>
      <c r="J1465" s="2"/>
      <c r="K1465" s="2"/>
      <c r="M1465" s="2"/>
      <c r="N1465" s="2"/>
      <c r="O1465" s="2"/>
    </row>
    <row r="1466">
      <c r="A1466" s="2"/>
      <c r="B1466" s="2"/>
      <c r="C1466" s="31"/>
      <c r="D1466" s="31"/>
      <c r="E1466" s="32"/>
      <c r="H1466" s="2"/>
      <c r="I1466" s="2"/>
      <c r="J1466" s="2"/>
      <c r="K1466" s="2"/>
    </row>
    <row r="1467">
      <c r="A1467" s="2"/>
      <c r="B1467" s="2"/>
      <c r="C1467" s="31"/>
      <c r="D1467" s="31"/>
      <c r="E1467" s="32"/>
      <c r="G1467" s="2"/>
      <c r="H1467" s="2"/>
      <c r="I1467" s="2"/>
      <c r="J1467" s="2"/>
      <c r="K1467" s="2"/>
      <c r="M1467" s="2"/>
      <c r="N1467" s="2"/>
      <c r="O1467" s="2"/>
    </row>
    <row r="1468">
      <c r="A1468" s="2"/>
      <c r="B1468" s="2"/>
      <c r="C1468" s="31"/>
      <c r="D1468" s="31"/>
      <c r="E1468" s="32"/>
      <c r="H1468" s="2"/>
      <c r="I1468" s="2"/>
      <c r="J1468" s="2"/>
      <c r="K1468" s="2"/>
    </row>
    <row r="1469">
      <c r="A1469" s="2"/>
      <c r="B1469" s="2"/>
      <c r="C1469" s="31"/>
      <c r="D1469" s="31"/>
      <c r="E1469" s="32"/>
      <c r="F1469" s="2"/>
      <c r="G1469" s="2"/>
      <c r="H1469" s="2"/>
      <c r="I1469" s="2"/>
      <c r="J1469" s="2"/>
      <c r="K1469" s="2"/>
      <c r="M1469" s="2"/>
      <c r="N1469" s="2"/>
      <c r="O1469" s="2"/>
    </row>
    <row r="1470">
      <c r="A1470" s="2"/>
      <c r="B1470" s="2"/>
      <c r="C1470" s="31"/>
      <c r="D1470" s="31"/>
      <c r="E1470" s="32"/>
      <c r="H1470" s="2"/>
      <c r="I1470" s="2"/>
      <c r="J1470" s="2"/>
      <c r="K1470" s="2"/>
      <c r="M1470" s="2"/>
      <c r="N1470" s="2"/>
      <c r="O1470" s="2"/>
    </row>
    <row r="1471">
      <c r="A1471" s="2"/>
      <c r="B1471" s="2"/>
      <c r="C1471" s="31"/>
      <c r="D1471" s="31"/>
      <c r="E1471" s="32"/>
      <c r="H1471" s="2"/>
      <c r="I1471" s="2"/>
      <c r="J1471" s="2"/>
      <c r="K1471" s="2"/>
      <c r="M1471" s="2"/>
      <c r="N1471" s="2"/>
      <c r="O1471" s="2"/>
    </row>
    <row r="1472">
      <c r="A1472" s="2"/>
      <c r="B1472" s="2"/>
      <c r="C1472" s="31"/>
      <c r="D1472" s="31"/>
      <c r="E1472" s="32"/>
      <c r="G1472" s="2"/>
      <c r="H1472" s="2"/>
      <c r="I1472" s="2"/>
      <c r="J1472" s="2"/>
      <c r="K1472" s="2"/>
      <c r="M1472" s="2"/>
      <c r="N1472" s="2"/>
      <c r="O1472" s="2"/>
    </row>
    <row r="1473">
      <c r="A1473" s="2"/>
      <c r="B1473" s="2"/>
      <c r="C1473" s="31"/>
      <c r="D1473" s="31"/>
      <c r="E1473" s="32"/>
      <c r="H1473" s="2"/>
      <c r="I1473" s="2"/>
      <c r="J1473" s="2"/>
      <c r="K1473" s="2"/>
    </row>
    <row r="1474">
      <c r="A1474" s="2"/>
      <c r="B1474" s="2"/>
      <c r="C1474" s="31"/>
      <c r="D1474" s="31"/>
      <c r="E1474" s="32"/>
      <c r="F1474" s="2"/>
      <c r="H1474" s="2"/>
      <c r="I1474" s="2"/>
      <c r="J1474" s="2"/>
      <c r="K1474" s="2"/>
      <c r="M1474" s="2"/>
      <c r="N1474" s="2"/>
      <c r="O1474" s="2"/>
    </row>
    <row r="1475">
      <c r="A1475" s="2"/>
      <c r="B1475" s="2"/>
      <c r="C1475" s="31"/>
      <c r="D1475" s="31"/>
      <c r="E1475" s="32"/>
      <c r="G1475" s="2"/>
      <c r="H1475" s="2"/>
      <c r="I1475" s="2"/>
      <c r="J1475" s="2"/>
      <c r="K1475" s="2"/>
      <c r="M1475" s="2"/>
      <c r="N1475" s="2"/>
      <c r="O1475" s="2"/>
    </row>
    <row r="1476">
      <c r="A1476" s="2"/>
      <c r="B1476" s="2"/>
      <c r="C1476" s="31"/>
      <c r="D1476" s="31"/>
      <c r="E1476" s="32"/>
      <c r="G1476" s="2"/>
      <c r="H1476" s="2"/>
      <c r="I1476" s="2"/>
      <c r="J1476" s="2"/>
      <c r="K1476" s="2"/>
      <c r="M1476" s="2"/>
      <c r="N1476" s="2"/>
      <c r="O1476" s="2"/>
    </row>
    <row r="1477">
      <c r="A1477" s="2"/>
      <c r="B1477" s="2"/>
      <c r="C1477" s="31"/>
      <c r="D1477" s="31"/>
      <c r="E1477" s="32"/>
      <c r="H1477" s="2"/>
      <c r="I1477" s="2"/>
      <c r="J1477" s="2"/>
      <c r="K1477" s="2"/>
      <c r="M1477" s="2"/>
      <c r="N1477" s="2"/>
      <c r="O1477" s="2"/>
    </row>
    <row r="1478">
      <c r="A1478" s="2"/>
      <c r="B1478" s="2"/>
      <c r="C1478" s="31"/>
      <c r="D1478" s="31"/>
      <c r="E1478" s="32"/>
      <c r="H1478" s="2"/>
      <c r="I1478" s="2"/>
      <c r="J1478" s="2"/>
      <c r="K1478" s="2"/>
    </row>
    <row r="1479">
      <c r="A1479" s="2"/>
      <c r="B1479" s="2"/>
      <c r="C1479" s="31"/>
      <c r="D1479" s="31"/>
      <c r="E1479" s="32"/>
      <c r="F1479" s="2"/>
      <c r="G1479" s="2"/>
      <c r="H1479" s="2"/>
      <c r="I1479" s="2"/>
      <c r="J1479" s="2"/>
      <c r="K1479" s="2"/>
      <c r="M1479" s="2"/>
      <c r="N1479" s="2"/>
      <c r="O1479" s="2"/>
    </row>
    <row r="1480">
      <c r="A1480" s="2"/>
      <c r="B1480" s="2"/>
      <c r="C1480" s="31"/>
      <c r="D1480" s="31"/>
      <c r="E1480" s="32"/>
      <c r="F1480" s="2"/>
      <c r="G1480" s="2"/>
      <c r="H1480" s="2"/>
      <c r="I1480" s="2"/>
      <c r="J1480" s="2"/>
      <c r="K1480" s="2"/>
      <c r="M1480" s="2"/>
      <c r="N1480" s="2"/>
      <c r="O1480" s="2"/>
    </row>
    <row r="1481">
      <c r="A1481" s="2"/>
      <c r="B1481" s="2"/>
      <c r="C1481" s="31"/>
      <c r="D1481" s="31"/>
      <c r="E1481" s="32"/>
      <c r="H1481" s="2"/>
      <c r="I1481" s="2"/>
      <c r="J1481" s="2"/>
      <c r="K1481" s="2"/>
      <c r="M1481" s="2"/>
      <c r="N1481" s="2"/>
      <c r="O1481" s="2"/>
    </row>
    <row r="1482">
      <c r="A1482" s="2"/>
      <c r="B1482" s="2"/>
      <c r="C1482" s="31"/>
      <c r="D1482" s="31"/>
      <c r="E1482" s="32"/>
      <c r="H1482" s="2"/>
      <c r="I1482" s="2"/>
      <c r="J1482" s="2"/>
      <c r="K1482" s="2"/>
      <c r="M1482" s="2"/>
      <c r="N1482" s="2"/>
      <c r="O1482" s="2"/>
    </row>
    <row r="1483">
      <c r="A1483" s="2"/>
      <c r="B1483" s="2"/>
      <c r="C1483" s="31"/>
      <c r="D1483" s="31"/>
      <c r="E1483" s="32"/>
      <c r="H1483" s="2"/>
      <c r="I1483" s="2"/>
      <c r="J1483" s="2"/>
      <c r="K1483" s="2"/>
    </row>
    <row r="1484">
      <c r="A1484" s="2"/>
      <c r="B1484" s="2"/>
      <c r="C1484" s="31"/>
      <c r="D1484" s="31"/>
      <c r="E1484" s="32"/>
      <c r="H1484" s="2"/>
      <c r="I1484" s="2"/>
      <c r="J1484" s="2"/>
      <c r="K1484" s="2"/>
    </row>
    <row r="1485">
      <c r="A1485" s="2"/>
      <c r="B1485" s="2"/>
      <c r="C1485" s="31"/>
      <c r="D1485" s="31"/>
      <c r="E1485" s="32"/>
      <c r="H1485" s="2"/>
      <c r="I1485" s="2"/>
      <c r="J1485" s="2"/>
      <c r="K1485" s="2"/>
      <c r="M1485" s="2"/>
      <c r="N1485" s="2"/>
      <c r="O1485" s="2"/>
    </row>
    <row r="1486">
      <c r="A1486" s="2"/>
      <c r="B1486" s="2"/>
      <c r="C1486" s="31"/>
      <c r="D1486" s="31"/>
      <c r="E1486" s="32"/>
      <c r="H1486" s="2"/>
      <c r="I1486" s="2"/>
      <c r="J1486" s="2"/>
      <c r="K1486" s="2"/>
      <c r="M1486" s="2"/>
      <c r="N1486" s="2"/>
      <c r="O1486" s="2"/>
    </row>
    <row r="1487">
      <c r="A1487" s="2"/>
      <c r="B1487" s="2"/>
      <c r="C1487" s="31"/>
      <c r="D1487" s="31"/>
      <c r="E1487" s="32"/>
      <c r="H1487" s="2"/>
      <c r="I1487" s="2"/>
      <c r="J1487" s="2"/>
      <c r="K1487" s="2"/>
      <c r="M1487" s="2"/>
      <c r="N1487" s="2"/>
      <c r="O1487" s="2"/>
    </row>
    <row r="1488">
      <c r="A1488" s="2"/>
      <c r="B1488" s="2"/>
      <c r="C1488" s="31"/>
      <c r="D1488" s="31"/>
      <c r="E1488" s="32"/>
      <c r="H1488" s="2"/>
      <c r="I1488" s="2"/>
      <c r="J1488" s="2"/>
      <c r="K1488" s="2"/>
      <c r="M1488" s="2"/>
      <c r="N1488" s="2"/>
      <c r="O1488" s="2"/>
    </row>
    <row r="1489">
      <c r="A1489" s="2"/>
      <c r="B1489" s="2"/>
      <c r="C1489" s="31"/>
      <c r="D1489" s="31"/>
      <c r="E1489" s="32"/>
      <c r="H1489" s="2"/>
      <c r="I1489" s="2"/>
      <c r="J1489" s="2"/>
      <c r="K1489" s="2"/>
      <c r="M1489" s="2"/>
      <c r="N1489" s="2"/>
      <c r="O1489" s="2"/>
    </row>
    <row r="1490">
      <c r="A1490" s="2"/>
      <c r="B1490" s="2"/>
      <c r="C1490" s="31"/>
      <c r="D1490" s="31"/>
      <c r="E1490" s="32"/>
      <c r="H1490" s="2"/>
      <c r="I1490" s="2"/>
      <c r="J1490" s="2"/>
      <c r="K1490" s="2"/>
    </row>
    <row r="1491">
      <c r="A1491" s="2"/>
      <c r="B1491" s="2"/>
      <c r="C1491" s="31"/>
      <c r="D1491" s="31"/>
      <c r="E1491" s="32"/>
      <c r="H1491" s="2"/>
      <c r="I1491" s="2"/>
      <c r="J1491" s="2"/>
      <c r="K1491" s="2"/>
    </row>
    <row r="1492">
      <c r="A1492" s="2"/>
      <c r="B1492" s="2"/>
      <c r="C1492" s="31"/>
      <c r="D1492" s="31"/>
      <c r="E1492" s="32"/>
      <c r="H1492" s="2"/>
      <c r="I1492" s="2"/>
      <c r="J1492" s="2"/>
      <c r="K1492" s="2"/>
      <c r="M1492" s="2"/>
      <c r="N1492" s="2"/>
      <c r="O1492" s="2"/>
    </row>
    <row r="1493">
      <c r="A1493" s="2"/>
      <c r="B1493" s="2"/>
      <c r="C1493" s="31"/>
      <c r="D1493" s="31"/>
      <c r="E1493" s="32"/>
      <c r="G1493" s="2"/>
      <c r="H1493" s="2"/>
      <c r="I1493" s="2"/>
      <c r="J1493" s="2"/>
      <c r="K1493" s="2"/>
      <c r="M1493" s="2"/>
      <c r="N1493" s="2"/>
      <c r="O1493" s="2"/>
    </row>
    <row r="1494">
      <c r="A1494" s="2"/>
      <c r="B1494" s="2"/>
      <c r="C1494" s="31"/>
      <c r="D1494" s="31"/>
      <c r="E1494" s="32"/>
      <c r="H1494" s="2"/>
      <c r="I1494" s="2"/>
      <c r="J1494" s="2"/>
      <c r="K1494" s="2"/>
    </row>
    <row r="1495">
      <c r="A1495" s="2"/>
      <c r="B1495" s="2"/>
      <c r="C1495" s="31"/>
      <c r="D1495" s="31"/>
      <c r="E1495" s="32"/>
      <c r="G1495" s="2"/>
      <c r="H1495" s="2"/>
      <c r="I1495" s="2"/>
      <c r="J1495" s="2"/>
      <c r="K1495" s="2"/>
      <c r="M1495" s="2"/>
      <c r="N1495" s="2"/>
      <c r="O1495" s="2"/>
    </row>
    <row r="1496">
      <c r="A1496" s="2"/>
      <c r="B1496" s="2"/>
      <c r="C1496" s="31"/>
      <c r="D1496" s="31"/>
      <c r="E1496" s="32"/>
      <c r="H1496" s="2"/>
      <c r="I1496" s="2"/>
      <c r="J1496" s="2"/>
      <c r="K1496" s="2"/>
      <c r="M1496" s="2"/>
      <c r="N1496" s="2"/>
      <c r="O1496" s="2"/>
    </row>
    <row r="1497">
      <c r="A1497" s="2"/>
      <c r="B1497" s="2"/>
      <c r="C1497" s="31"/>
      <c r="D1497" s="31"/>
      <c r="E1497" s="32"/>
      <c r="G1497" s="2"/>
      <c r="H1497" s="2"/>
      <c r="I1497" s="2"/>
      <c r="J1497" s="2"/>
      <c r="K1497" s="2"/>
      <c r="M1497" s="2"/>
      <c r="N1497" s="2"/>
      <c r="O1497" s="2"/>
    </row>
    <row r="1498">
      <c r="A1498" s="2"/>
      <c r="B1498" s="2"/>
      <c r="C1498" s="31"/>
      <c r="D1498" s="31"/>
      <c r="E1498" s="32"/>
      <c r="H1498" s="2"/>
      <c r="I1498" s="2"/>
      <c r="J1498" s="2"/>
      <c r="K1498" s="2"/>
    </row>
    <row r="1499">
      <c r="A1499" s="2"/>
      <c r="B1499" s="2"/>
      <c r="C1499" s="31"/>
      <c r="D1499" s="31"/>
      <c r="E1499" s="32"/>
      <c r="F1499" s="2"/>
      <c r="G1499" s="2"/>
      <c r="H1499" s="2"/>
      <c r="I1499" s="2"/>
      <c r="J1499" s="2"/>
      <c r="K1499" s="2"/>
      <c r="M1499" s="2"/>
      <c r="N1499" s="2"/>
      <c r="O1499" s="2"/>
    </row>
    <row r="1500">
      <c r="A1500" s="2"/>
      <c r="B1500" s="2"/>
      <c r="C1500" s="31"/>
      <c r="D1500" s="31"/>
      <c r="E1500" s="32"/>
      <c r="F1500" s="2"/>
      <c r="G1500" s="2"/>
      <c r="H1500" s="2"/>
      <c r="I1500" s="2"/>
      <c r="J1500" s="2"/>
      <c r="K1500" s="2"/>
      <c r="M1500" s="2"/>
      <c r="N1500" s="2"/>
      <c r="O1500" s="2"/>
    </row>
    <row r="1501">
      <c r="A1501" s="2"/>
      <c r="B1501" s="2"/>
      <c r="C1501" s="31"/>
      <c r="D1501" s="31"/>
      <c r="E1501" s="32"/>
      <c r="H1501" s="2"/>
      <c r="I1501" s="2"/>
      <c r="J1501" s="2"/>
      <c r="K1501" s="2"/>
      <c r="M1501" s="2"/>
      <c r="N1501" s="2"/>
      <c r="O1501" s="2"/>
    </row>
    <row r="1502">
      <c r="A1502" s="2"/>
      <c r="B1502" s="2"/>
      <c r="C1502" s="31"/>
      <c r="D1502" s="31"/>
      <c r="E1502" s="32"/>
      <c r="H1502" s="2"/>
      <c r="I1502" s="2"/>
      <c r="J1502" s="2"/>
      <c r="K1502" s="2"/>
      <c r="M1502" s="2"/>
      <c r="N1502" s="2"/>
      <c r="O1502" s="2"/>
    </row>
    <row r="1503">
      <c r="A1503" s="2"/>
      <c r="B1503" s="2"/>
      <c r="C1503" s="31"/>
      <c r="D1503" s="31"/>
      <c r="E1503" s="32"/>
      <c r="H1503" s="2"/>
      <c r="I1503" s="2"/>
      <c r="J1503" s="2"/>
      <c r="K1503" s="2"/>
    </row>
    <row r="1504">
      <c r="A1504" s="2"/>
      <c r="B1504" s="2"/>
      <c r="C1504" s="31"/>
      <c r="D1504" s="31"/>
      <c r="E1504" s="32"/>
      <c r="F1504" s="2"/>
      <c r="G1504" s="2"/>
      <c r="H1504" s="2"/>
      <c r="I1504" s="2"/>
      <c r="J1504" s="2"/>
      <c r="K1504" s="2"/>
      <c r="M1504" s="2"/>
      <c r="N1504" s="2"/>
      <c r="O1504" s="2"/>
    </row>
    <row r="1505">
      <c r="A1505" s="2"/>
      <c r="B1505" s="2"/>
      <c r="C1505" s="31"/>
      <c r="D1505" s="31"/>
      <c r="E1505" s="32"/>
      <c r="H1505" s="2"/>
      <c r="I1505" s="2"/>
      <c r="J1505" s="2"/>
      <c r="K1505" s="2"/>
    </row>
    <row r="1506">
      <c r="A1506" s="2"/>
      <c r="B1506" s="2"/>
      <c r="C1506" s="31"/>
      <c r="D1506" s="31"/>
      <c r="E1506" s="32"/>
      <c r="H1506" s="2"/>
      <c r="I1506" s="2"/>
      <c r="J1506" s="2"/>
      <c r="K1506" s="2"/>
      <c r="M1506" s="2"/>
      <c r="N1506" s="2"/>
      <c r="O1506" s="2"/>
    </row>
    <row r="1507">
      <c r="A1507" s="2"/>
      <c r="B1507" s="2"/>
      <c r="C1507" s="31"/>
      <c r="D1507" s="31"/>
      <c r="E1507" s="32"/>
      <c r="H1507" s="2"/>
      <c r="I1507" s="2"/>
      <c r="J1507" s="2"/>
      <c r="K1507" s="2"/>
      <c r="M1507" s="2"/>
      <c r="N1507" s="2"/>
      <c r="O1507" s="2"/>
    </row>
    <row r="1508">
      <c r="A1508" s="2"/>
      <c r="B1508" s="2"/>
      <c r="C1508" s="31"/>
      <c r="D1508" s="31"/>
      <c r="E1508" s="32"/>
      <c r="G1508" s="2"/>
      <c r="H1508" s="2"/>
      <c r="I1508" s="2"/>
      <c r="J1508" s="2"/>
      <c r="K1508" s="2"/>
      <c r="M1508" s="2"/>
      <c r="N1508" s="2"/>
      <c r="O1508" s="2"/>
    </row>
    <row r="1509">
      <c r="A1509" s="2"/>
      <c r="B1509" s="2"/>
      <c r="C1509" s="31"/>
      <c r="D1509" s="31"/>
      <c r="E1509" s="32"/>
      <c r="H1509" s="2"/>
      <c r="I1509" s="2"/>
      <c r="J1509" s="2"/>
      <c r="K1509" s="2"/>
    </row>
    <row r="1510">
      <c r="A1510" s="2"/>
      <c r="B1510" s="2"/>
      <c r="C1510" s="31"/>
      <c r="D1510" s="31"/>
      <c r="E1510" s="32"/>
      <c r="H1510" s="2"/>
      <c r="I1510" s="2"/>
      <c r="J1510" s="2"/>
      <c r="K1510" s="2"/>
      <c r="M1510" s="2"/>
      <c r="N1510" s="2"/>
      <c r="O1510" s="2"/>
    </row>
    <row r="1511">
      <c r="A1511" s="2"/>
      <c r="B1511" s="2"/>
      <c r="C1511" s="31"/>
      <c r="D1511" s="31"/>
      <c r="E1511" s="32"/>
      <c r="H1511" s="2"/>
      <c r="I1511" s="2"/>
      <c r="J1511" s="2"/>
      <c r="K1511" s="2"/>
    </row>
    <row r="1512">
      <c r="A1512" s="2"/>
      <c r="B1512" s="2"/>
      <c r="C1512" s="31"/>
      <c r="D1512" s="31"/>
      <c r="E1512" s="32"/>
      <c r="F1512" s="2"/>
      <c r="G1512" s="2"/>
      <c r="H1512" s="2"/>
      <c r="I1512" s="2"/>
      <c r="J1512" s="2"/>
      <c r="K1512" s="2"/>
      <c r="M1512" s="2"/>
      <c r="N1512" s="2"/>
      <c r="O1512" s="2"/>
    </row>
    <row r="1513">
      <c r="A1513" s="2"/>
      <c r="B1513" s="2"/>
      <c r="C1513" s="31"/>
      <c r="D1513" s="31"/>
      <c r="E1513" s="32"/>
      <c r="H1513" s="2"/>
      <c r="I1513" s="2"/>
      <c r="J1513" s="2"/>
      <c r="K1513" s="2"/>
      <c r="M1513" s="2"/>
      <c r="N1513" s="2"/>
      <c r="O1513" s="2"/>
    </row>
    <row r="1514">
      <c r="A1514" s="2"/>
      <c r="B1514" s="2"/>
      <c r="C1514" s="31"/>
      <c r="D1514" s="31"/>
      <c r="E1514" s="32"/>
      <c r="H1514" s="2"/>
      <c r="I1514" s="2"/>
      <c r="J1514" s="2"/>
      <c r="K1514" s="2"/>
      <c r="M1514" s="2"/>
      <c r="N1514" s="2"/>
      <c r="O1514" s="2"/>
    </row>
    <row r="1515">
      <c r="A1515" s="2"/>
      <c r="B1515" s="2"/>
      <c r="C1515" s="31"/>
      <c r="D1515" s="31"/>
      <c r="E1515" s="32"/>
      <c r="G1515" s="2"/>
      <c r="H1515" s="2"/>
      <c r="I1515" s="2"/>
      <c r="J1515" s="2"/>
      <c r="K1515" s="2"/>
      <c r="M1515" s="2"/>
      <c r="N1515" s="2"/>
      <c r="O1515" s="2"/>
    </row>
    <row r="1516">
      <c r="A1516" s="2"/>
      <c r="B1516" s="2"/>
      <c r="C1516" s="31"/>
      <c r="D1516" s="31"/>
      <c r="E1516" s="32"/>
      <c r="H1516" s="2"/>
      <c r="I1516" s="2"/>
      <c r="J1516" s="2"/>
      <c r="K1516" s="2"/>
    </row>
    <row r="1517">
      <c r="A1517" s="2"/>
      <c r="B1517" s="2"/>
      <c r="C1517" s="31"/>
      <c r="D1517" s="31"/>
      <c r="E1517" s="32"/>
      <c r="F1517" s="2"/>
      <c r="H1517" s="2"/>
      <c r="I1517" s="2"/>
      <c r="J1517" s="2"/>
      <c r="K1517" s="2"/>
      <c r="M1517" s="2"/>
      <c r="N1517" s="2"/>
      <c r="O1517" s="2"/>
    </row>
    <row r="1518">
      <c r="A1518" s="2"/>
      <c r="B1518" s="2"/>
      <c r="C1518" s="31"/>
      <c r="D1518" s="31"/>
      <c r="E1518" s="32"/>
      <c r="G1518" s="2"/>
      <c r="H1518" s="2"/>
      <c r="I1518" s="2"/>
      <c r="J1518" s="2"/>
      <c r="K1518" s="2"/>
      <c r="M1518" s="2"/>
      <c r="N1518" s="2"/>
      <c r="O1518" s="2"/>
    </row>
    <row r="1519">
      <c r="A1519" s="2"/>
      <c r="B1519" s="2"/>
      <c r="C1519" s="31"/>
      <c r="D1519" s="31"/>
      <c r="E1519" s="32"/>
      <c r="G1519" s="2"/>
      <c r="H1519" s="2"/>
      <c r="I1519" s="2"/>
      <c r="J1519" s="2"/>
      <c r="K1519" s="2"/>
      <c r="M1519" s="2"/>
      <c r="N1519" s="2"/>
      <c r="O1519" s="2"/>
    </row>
    <row r="1520">
      <c r="A1520" s="2"/>
      <c r="B1520" s="2"/>
      <c r="C1520" s="31"/>
      <c r="D1520" s="31"/>
      <c r="E1520" s="32"/>
      <c r="H1520" s="2"/>
      <c r="I1520" s="2"/>
      <c r="J1520" s="2"/>
      <c r="K1520" s="2"/>
      <c r="M1520" s="2"/>
      <c r="N1520" s="2"/>
      <c r="O1520" s="2"/>
    </row>
    <row r="1521">
      <c r="A1521" s="2"/>
      <c r="B1521" s="2"/>
      <c r="C1521" s="31"/>
      <c r="D1521" s="31"/>
      <c r="E1521" s="32"/>
      <c r="H1521" s="2"/>
      <c r="I1521" s="2"/>
      <c r="J1521" s="2"/>
      <c r="K1521" s="2"/>
    </row>
    <row r="1522">
      <c r="A1522" s="2"/>
      <c r="B1522" s="2"/>
      <c r="C1522" s="31"/>
      <c r="D1522" s="31"/>
      <c r="E1522" s="32"/>
      <c r="F1522" s="2"/>
      <c r="G1522" s="2"/>
      <c r="H1522" s="2"/>
      <c r="I1522" s="2"/>
      <c r="J1522" s="2"/>
      <c r="K1522" s="2"/>
      <c r="M1522" s="2"/>
      <c r="N1522" s="2"/>
      <c r="O1522" s="2"/>
    </row>
    <row r="1523">
      <c r="A1523" s="2"/>
      <c r="B1523" s="2"/>
      <c r="C1523" s="31"/>
      <c r="D1523" s="31"/>
      <c r="E1523" s="32"/>
      <c r="F1523" s="2"/>
      <c r="G1523" s="2"/>
      <c r="H1523" s="2"/>
      <c r="I1523" s="2"/>
      <c r="J1523" s="2"/>
      <c r="K1523" s="2"/>
      <c r="M1523" s="2"/>
      <c r="N1523" s="2"/>
      <c r="O1523" s="2"/>
    </row>
    <row r="1524">
      <c r="A1524" s="2"/>
      <c r="B1524" s="2"/>
      <c r="C1524" s="31"/>
      <c r="D1524" s="31"/>
      <c r="E1524" s="32"/>
      <c r="H1524" s="2"/>
      <c r="I1524" s="2"/>
      <c r="J1524" s="2"/>
      <c r="K1524" s="2"/>
      <c r="M1524" s="2"/>
      <c r="N1524" s="2"/>
      <c r="O1524" s="2"/>
    </row>
    <row r="1525">
      <c r="A1525" s="2"/>
      <c r="B1525" s="2"/>
      <c r="C1525" s="31"/>
      <c r="D1525" s="31"/>
      <c r="E1525" s="32"/>
      <c r="H1525" s="2"/>
      <c r="I1525" s="2"/>
      <c r="J1525" s="2"/>
      <c r="K1525" s="2"/>
      <c r="M1525" s="2"/>
      <c r="N1525" s="2"/>
      <c r="O1525" s="2"/>
    </row>
    <row r="1526">
      <c r="A1526" s="2"/>
      <c r="B1526" s="2"/>
      <c r="C1526" s="31"/>
      <c r="D1526" s="31"/>
      <c r="E1526" s="32"/>
      <c r="H1526" s="2"/>
      <c r="I1526" s="2"/>
      <c r="J1526" s="2"/>
      <c r="K1526" s="2"/>
    </row>
    <row r="1527">
      <c r="A1527" s="2"/>
      <c r="B1527" s="2"/>
      <c r="C1527" s="31"/>
      <c r="D1527" s="31"/>
      <c r="E1527" s="32"/>
      <c r="H1527" s="2"/>
      <c r="I1527" s="2"/>
      <c r="J1527" s="2"/>
      <c r="K1527" s="2"/>
    </row>
    <row r="1528">
      <c r="A1528" s="2"/>
      <c r="B1528" s="2"/>
      <c r="C1528" s="31"/>
      <c r="D1528" s="31"/>
      <c r="E1528" s="32"/>
      <c r="H1528" s="2"/>
      <c r="I1528" s="2"/>
      <c r="J1528" s="2"/>
      <c r="K1528" s="2"/>
      <c r="M1528" s="2"/>
      <c r="N1528" s="2"/>
      <c r="O1528" s="2"/>
    </row>
    <row r="1529">
      <c r="A1529" s="2"/>
      <c r="B1529" s="2"/>
      <c r="C1529" s="31"/>
      <c r="D1529" s="31"/>
      <c r="E1529" s="32"/>
      <c r="G1529" s="2"/>
      <c r="H1529" s="2"/>
      <c r="I1529" s="2"/>
      <c r="J1529" s="2"/>
      <c r="K1529" s="2"/>
      <c r="M1529" s="2"/>
      <c r="N1529" s="2"/>
      <c r="O1529" s="2"/>
    </row>
    <row r="1530">
      <c r="A1530" s="2"/>
      <c r="B1530" s="2"/>
      <c r="C1530" s="31"/>
      <c r="D1530" s="31"/>
      <c r="E1530" s="32"/>
      <c r="H1530" s="2"/>
      <c r="I1530" s="2"/>
      <c r="J1530" s="2"/>
      <c r="K1530" s="2"/>
      <c r="M1530" s="2"/>
      <c r="N1530" s="2"/>
      <c r="O1530" s="2"/>
    </row>
    <row r="1531">
      <c r="A1531" s="2"/>
      <c r="B1531" s="2"/>
      <c r="C1531" s="31"/>
      <c r="D1531" s="31"/>
      <c r="E1531" s="32"/>
      <c r="H1531" s="2"/>
      <c r="I1531" s="2"/>
      <c r="J1531" s="2"/>
      <c r="K1531" s="2"/>
      <c r="M1531" s="2"/>
      <c r="N1531" s="2"/>
      <c r="O1531" s="2"/>
    </row>
    <row r="1532">
      <c r="A1532" s="2"/>
      <c r="B1532" s="2"/>
      <c r="C1532" s="31"/>
      <c r="D1532" s="31"/>
      <c r="E1532" s="32"/>
      <c r="H1532" s="2"/>
      <c r="I1532" s="2"/>
      <c r="J1532" s="2"/>
      <c r="K1532" s="2"/>
      <c r="M1532" s="2"/>
      <c r="N1532" s="2"/>
      <c r="O1532" s="2"/>
    </row>
    <row r="1533">
      <c r="A1533" s="2"/>
      <c r="B1533" s="2"/>
      <c r="C1533" s="31"/>
      <c r="D1533" s="31"/>
      <c r="E1533" s="32"/>
      <c r="H1533" s="2"/>
      <c r="I1533" s="2"/>
      <c r="J1533" s="2"/>
      <c r="K1533" s="2"/>
    </row>
    <row r="1534">
      <c r="A1534" s="2"/>
      <c r="B1534" s="2"/>
      <c r="C1534" s="31"/>
      <c r="D1534" s="31"/>
      <c r="E1534" s="32"/>
      <c r="H1534" s="2"/>
      <c r="I1534" s="2"/>
      <c r="J1534" s="2"/>
      <c r="K1534" s="2"/>
      <c r="M1534" s="2"/>
      <c r="N1534" s="2"/>
      <c r="O1534" s="2"/>
    </row>
    <row r="1535">
      <c r="A1535" s="2"/>
      <c r="B1535" s="2"/>
      <c r="C1535" s="31"/>
      <c r="D1535" s="31"/>
      <c r="E1535" s="32"/>
      <c r="H1535" s="2"/>
      <c r="I1535" s="2"/>
      <c r="J1535" s="2"/>
      <c r="K1535" s="2"/>
    </row>
    <row r="1536">
      <c r="A1536" s="2"/>
      <c r="B1536" s="2"/>
      <c r="C1536" s="31"/>
      <c r="D1536" s="31"/>
      <c r="E1536" s="32"/>
      <c r="H1536" s="2"/>
      <c r="I1536" s="2"/>
      <c r="J1536" s="2"/>
      <c r="K1536" s="2"/>
      <c r="M1536" s="2"/>
      <c r="N1536" s="2"/>
      <c r="O1536" s="2"/>
    </row>
    <row r="1537">
      <c r="A1537" s="2"/>
      <c r="B1537" s="2"/>
      <c r="C1537" s="31"/>
      <c r="D1537" s="31"/>
      <c r="E1537" s="32"/>
      <c r="G1537" s="2"/>
      <c r="H1537" s="2"/>
      <c r="I1537" s="2"/>
      <c r="J1537" s="2"/>
      <c r="K1537" s="2"/>
      <c r="M1537" s="2"/>
      <c r="N1537" s="2"/>
      <c r="O1537" s="2"/>
    </row>
    <row r="1538">
      <c r="A1538" s="2"/>
      <c r="B1538" s="2"/>
      <c r="C1538" s="31"/>
      <c r="D1538" s="31"/>
      <c r="E1538" s="32"/>
      <c r="H1538" s="2"/>
      <c r="I1538" s="2"/>
      <c r="J1538" s="2"/>
      <c r="K1538" s="2"/>
    </row>
    <row r="1539">
      <c r="A1539" s="2"/>
      <c r="B1539" s="2"/>
      <c r="C1539" s="31"/>
      <c r="D1539" s="31"/>
      <c r="E1539" s="32"/>
      <c r="G1539" s="2"/>
      <c r="H1539" s="2"/>
      <c r="I1539" s="2"/>
      <c r="J1539" s="2"/>
      <c r="K1539" s="2"/>
      <c r="M1539" s="2"/>
      <c r="N1539" s="2"/>
      <c r="O1539" s="2"/>
    </row>
    <row r="1540">
      <c r="A1540" s="2"/>
      <c r="B1540" s="2"/>
      <c r="C1540" s="31"/>
      <c r="D1540" s="31"/>
      <c r="E1540" s="32"/>
      <c r="H1540" s="2"/>
      <c r="I1540" s="2"/>
      <c r="J1540" s="2"/>
      <c r="K1540" s="2"/>
      <c r="M1540" s="2"/>
      <c r="N1540" s="2"/>
      <c r="O1540" s="2"/>
    </row>
    <row r="1541">
      <c r="A1541" s="2"/>
      <c r="B1541" s="2"/>
      <c r="C1541" s="31"/>
      <c r="D1541" s="31"/>
      <c r="E1541" s="32"/>
      <c r="G1541" s="2"/>
      <c r="H1541" s="2"/>
      <c r="I1541" s="2"/>
      <c r="J1541" s="2"/>
      <c r="K1541" s="2"/>
      <c r="M1541" s="2"/>
      <c r="N1541" s="2"/>
      <c r="O1541" s="2"/>
    </row>
    <row r="1542">
      <c r="A1542" s="2"/>
      <c r="B1542" s="2"/>
      <c r="C1542" s="31"/>
      <c r="D1542" s="31"/>
      <c r="E1542" s="32"/>
      <c r="H1542" s="2"/>
      <c r="I1542" s="2"/>
      <c r="J1542" s="2"/>
      <c r="K1542" s="2"/>
    </row>
    <row r="1543">
      <c r="A1543" s="2"/>
      <c r="B1543" s="2"/>
      <c r="C1543" s="31"/>
      <c r="D1543" s="31"/>
      <c r="E1543" s="32"/>
      <c r="F1543" s="2"/>
      <c r="G1543" s="2"/>
      <c r="H1543" s="2"/>
      <c r="I1543" s="2"/>
      <c r="J1543" s="2"/>
      <c r="K1543" s="2"/>
      <c r="M1543" s="2"/>
      <c r="N1543" s="2"/>
      <c r="O1543" s="2"/>
    </row>
    <row r="1544">
      <c r="A1544" s="2"/>
      <c r="B1544" s="2"/>
      <c r="C1544" s="31"/>
      <c r="D1544" s="31"/>
      <c r="E1544" s="32"/>
      <c r="F1544" s="2"/>
      <c r="G1544" s="2"/>
      <c r="H1544" s="2"/>
      <c r="I1544" s="2"/>
      <c r="J1544" s="2"/>
      <c r="K1544" s="2"/>
      <c r="M1544" s="2"/>
      <c r="N1544" s="2"/>
      <c r="O1544" s="2"/>
    </row>
    <row r="1545">
      <c r="A1545" s="2"/>
      <c r="B1545" s="2"/>
      <c r="C1545" s="31"/>
      <c r="D1545" s="31"/>
      <c r="E1545" s="32"/>
      <c r="H1545" s="2"/>
      <c r="I1545" s="2"/>
      <c r="J1545" s="2"/>
      <c r="K1545" s="2"/>
      <c r="M1545" s="2"/>
      <c r="N1545" s="2"/>
      <c r="O1545" s="2"/>
    </row>
    <row r="1546">
      <c r="A1546" s="2"/>
      <c r="B1546" s="2"/>
      <c r="C1546" s="31"/>
      <c r="D1546" s="31"/>
      <c r="E1546" s="32"/>
      <c r="H1546" s="2"/>
      <c r="I1546" s="2"/>
      <c r="J1546" s="2"/>
      <c r="K1546" s="2"/>
      <c r="M1546" s="2"/>
      <c r="N1546" s="2"/>
      <c r="O1546" s="2"/>
    </row>
    <row r="1547">
      <c r="A1547" s="2"/>
      <c r="B1547" s="2"/>
      <c r="C1547" s="31"/>
      <c r="D1547" s="31"/>
      <c r="E1547" s="32"/>
      <c r="H1547" s="2"/>
      <c r="I1547" s="2"/>
      <c r="J1547" s="2"/>
      <c r="K1547" s="2"/>
    </row>
    <row r="1548">
      <c r="A1548" s="2"/>
      <c r="B1548" s="2"/>
      <c r="C1548" s="31"/>
      <c r="D1548" s="31"/>
      <c r="E1548" s="32"/>
      <c r="F1548" s="2"/>
      <c r="G1548" s="2"/>
      <c r="H1548" s="2"/>
      <c r="I1548" s="2"/>
      <c r="J1548" s="2"/>
      <c r="K1548" s="2"/>
      <c r="M1548" s="2"/>
      <c r="N1548" s="2"/>
      <c r="O1548" s="2"/>
    </row>
    <row r="1549">
      <c r="A1549" s="2"/>
      <c r="B1549" s="2"/>
      <c r="C1549" s="31"/>
      <c r="D1549" s="31"/>
      <c r="E1549" s="32"/>
      <c r="H1549" s="2"/>
      <c r="I1549" s="2"/>
      <c r="J1549" s="2"/>
      <c r="K1549" s="2"/>
    </row>
    <row r="1550">
      <c r="A1550" s="2"/>
      <c r="B1550" s="2"/>
      <c r="C1550" s="31"/>
      <c r="D1550" s="31"/>
      <c r="E1550" s="32"/>
      <c r="H1550" s="2"/>
      <c r="I1550" s="2"/>
      <c r="J1550" s="2"/>
      <c r="K1550" s="2"/>
      <c r="M1550" s="2"/>
      <c r="N1550" s="2"/>
      <c r="O1550" s="2"/>
    </row>
    <row r="1551">
      <c r="A1551" s="2"/>
      <c r="B1551" s="2"/>
      <c r="C1551" s="31"/>
      <c r="D1551" s="31"/>
      <c r="E1551" s="32"/>
      <c r="H1551" s="2"/>
      <c r="I1551" s="2"/>
      <c r="J1551" s="2"/>
      <c r="K1551" s="2"/>
      <c r="M1551" s="2"/>
      <c r="N1551" s="2"/>
      <c r="O1551" s="2"/>
    </row>
    <row r="1552">
      <c r="A1552" s="2"/>
      <c r="B1552" s="2"/>
      <c r="C1552" s="31"/>
      <c r="D1552" s="31"/>
      <c r="E1552" s="32"/>
      <c r="H1552" s="2"/>
      <c r="I1552" s="2"/>
      <c r="J1552" s="2"/>
      <c r="K1552" s="2"/>
    </row>
    <row r="1553">
      <c r="A1553" s="2"/>
      <c r="B1553" s="2"/>
      <c r="C1553" s="31"/>
      <c r="D1553" s="31"/>
      <c r="E1553" s="32"/>
      <c r="G1553" s="2"/>
      <c r="H1553" s="2"/>
      <c r="I1553" s="2"/>
      <c r="J1553" s="2"/>
      <c r="K1553" s="2"/>
      <c r="M1553" s="2"/>
      <c r="N1553" s="2"/>
      <c r="O1553" s="2"/>
    </row>
    <row r="1554">
      <c r="A1554" s="2"/>
      <c r="B1554" s="2"/>
      <c r="C1554" s="31"/>
      <c r="D1554" s="31"/>
      <c r="E1554" s="32"/>
      <c r="H1554" s="2"/>
      <c r="I1554" s="2"/>
      <c r="J1554" s="2"/>
      <c r="K1554" s="2"/>
    </row>
    <row r="1555">
      <c r="A1555" s="2"/>
      <c r="B1555" s="2"/>
      <c r="C1555" s="31"/>
      <c r="D1555" s="31"/>
      <c r="E1555" s="32"/>
      <c r="F1555" s="2"/>
      <c r="G1555" s="2"/>
      <c r="H1555" s="2"/>
      <c r="I1555" s="2"/>
      <c r="J1555" s="2"/>
      <c r="K1555" s="2"/>
      <c r="M1555" s="2"/>
      <c r="N1555" s="2"/>
      <c r="O1555" s="2"/>
    </row>
    <row r="1556">
      <c r="A1556" s="2"/>
      <c r="B1556" s="2"/>
      <c r="C1556" s="31"/>
      <c r="D1556" s="31"/>
      <c r="E1556" s="32"/>
      <c r="H1556" s="2"/>
      <c r="I1556" s="2"/>
      <c r="J1556" s="2"/>
      <c r="K1556" s="2"/>
      <c r="M1556" s="2"/>
      <c r="N1556" s="2"/>
      <c r="O1556" s="2"/>
    </row>
    <row r="1557">
      <c r="A1557" s="2"/>
      <c r="B1557" s="2"/>
      <c r="C1557" s="31"/>
      <c r="D1557" s="31"/>
      <c r="E1557" s="32"/>
      <c r="H1557" s="2"/>
      <c r="I1557" s="2"/>
      <c r="J1557" s="2"/>
      <c r="K1557" s="2"/>
      <c r="M1557" s="2"/>
      <c r="N1557" s="2"/>
      <c r="O1557" s="2"/>
    </row>
    <row r="1558">
      <c r="A1558" s="2"/>
      <c r="B1558" s="2"/>
      <c r="C1558" s="31"/>
      <c r="D1558" s="31"/>
      <c r="E1558" s="32"/>
      <c r="G1558" s="2"/>
      <c r="H1558" s="2"/>
      <c r="I1558" s="2"/>
      <c r="J1558" s="2"/>
      <c r="K1558" s="2"/>
      <c r="M1558" s="2"/>
      <c r="N1558" s="2"/>
      <c r="O1558" s="2"/>
    </row>
    <row r="1559">
      <c r="A1559" s="2"/>
      <c r="B1559" s="2"/>
      <c r="C1559" s="31"/>
      <c r="D1559" s="31"/>
      <c r="E1559" s="32"/>
      <c r="H1559" s="2"/>
      <c r="I1559" s="2"/>
      <c r="J1559" s="2"/>
      <c r="K1559" s="2"/>
    </row>
    <row r="1560">
      <c r="A1560" s="2"/>
      <c r="B1560" s="2"/>
      <c r="C1560" s="31"/>
      <c r="D1560" s="31"/>
      <c r="E1560" s="32"/>
      <c r="F1560" s="2"/>
      <c r="H1560" s="2"/>
      <c r="I1560" s="2"/>
      <c r="J1560" s="2"/>
      <c r="K1560" s="2"/>
      <c r="M1560" s="2"/>
      <c r="N1560" s="2"/>
      <c r="O1560" s="2"/>
    </row>
    <row r="1561">
      <c r="A1561" s="2"/>
      <c r="B1561" s="2"/>
      <c r="C1561" s="31"/>
      <c r="D1561" s="31"/>
      <c r="E1561" s="32"/>
      <c r="G1561" s="2"/>
      <c r="H1561" s="2"/>
      <c r="I1561" s="2"/>
      <c r="J1561" s="2"/>
      <c r="K1561" s="2"/>
      <c r="M1561" s="2"/>
      <c r="N1561" s="2"/>
      <c r="O1561" s="2"/>
    </row>
    <row r="1562">
      <c r="A1562" s="2"/>
      <c r="B1562" s="2"/>
      <c r="C1562" s="31"/>
      <c r="D1562" s="31"/>
      <c r="E1562" s="32"/>
      <c r="G1562" s="2"/>
      <c r="H1562" s="2"/>
      <c r="I1562" s="2"/>
      <c r="J1562" s="2"/>
      <c r="K1562" s="2"/>
      <c r="M1562" s="2"/>
      <c r="N1562" s="2"/>
      <c r="O1562" s="2"/>
    </row>
    <row r="1563">
      <c r="A1563" s="2"/>
      <c r="B1563" s="2"/>
      <c r="C1563" s="31"/>
      <c r="D1563" s="31"/>
      <c r="E1563" s="32"/>
      <c r="H1563" s="2"/>
      <c r="I1563" s="2"/>
      <c r="J1563" s="2"/>
      <c r="K1563" s="2"/>
      <c r="M1563" s="2"/>
      <c r="N1563" s="2"/>
      <c r="O1563" s="2"/>
    </row>
    <row r="1564">
      <c r="A1564" s="2"/>
      <c r="B1564" s="2"/>
      <c r="C1564" s="31"/>
      <c r="D1564" s="31"/>
      <c r="E1564" s="32"/>
      <c r="G1564" s="2"/>
      <c r="H1564" s="2"/>
      <c r="I1564" s="2"/>
      <c r="J1564" s="2"/>
      <c r="K1564" s="2"/>
      <c r="M1564" s="2"/>
      <c r="N1564" s="2"/>
      <c r="O1564" s="2"/>
    </row>
    <row r="1565">
      <c r="A1565" s="2"/>
      <c r="B1565" s="2"/>
      <c r="C1565" s="31"/>
      <c r="D1565" s="31"/>
      <c r="E1565" s="32"/>
      <c r="H1565" s="2"/>
      <c r="I1565" s="2"/>
      <c r="J1565" s="2"/>
      <c r="K1565" s="2"/>
    </row>
    <row r="1566">
      <c r="A1566" s="2"/>
      <c r="B1566" s="2"/>
      <c r="C1566" s="31"/>
      <c r="D1566" s="31"/>
      <c r="E1566" s="32"/>
      <c r="F1566" s="2"/>
      <c r="G1566" s="2"/>
      <c r="H1566" s="2"/>
      <c r="I1566" s="2"/>
      <c r="J1566" s="2"/>
      <c r="K1566" s="2"/>
      <c r="M1566" s="2"/>
      <c r="N1566" s="2"/>
      <c r="O1566" s="2"/>
    </row>
    <row r="1567">
      <c r="A1567" s="2"/>
      <c r="B1567" s="2"/>
      <c r="C1567" s="31"/>
      <c r="D1567" s="31"/>
      <c r="E1567" s="32"/>
      <c r="F1567" s="2"/>
      <c r="G1567" s="2"/>
      <c r="H1567" s="2"/>
      <c r="I1567" s="2"/>
      <c r="J1567" s="2"/>
      <c r="K1567" s="2"/>
      <c r="M1567" s="2"/>
      <c r="N1567" s="2"/>
      <c r="O1567" s="2"/>
    </row>
    <row r="1568">
      <c r="A1568" s="2"/>
      <c r="B1568" s="2"/>
      <c r="C1568" s="31"/>
      <c r="D1568" s="31"/>
      <c r="E1568" s="32"/>
      <c r="H1568" s="2"/>
      <c r="I1568" s="2"/>
      <c r="J1568" s="2"/>
      <c r="K1568" s="2"/>
      <c r="M1568" s="2"/>
      <c r="N1568" s="2"/>
      <c r="O1568" s="2"/>
    </row>
    <row r="1569">
      <c r="A1569" s="2"/>
      <c r="B1569" s="2"/>
      <c r="C1569" s="31"/>
      <c r="D1569" s="31"/>
      <c r="E1569" s="32"/>
      <c r="H1569" s="2"/>
      <c r="I1569" s="2"/>
      <c r="J1569" s="2"/>
      <c r="K1569" s="2"/>
      <c r="M1569" s="2"/>
      <c r="N1569" s="2"/>
      <c r="O1569" s="2"/>
    </row>
    <row r="1570">
      <c r="A1570" s="2"/>
      <c r="B1570" s="2"/>
      <c r="C1570" s="31"/>
      <c r="D1570" s="31"/>
      <c r="E1570" s="32"/>
      <c r="H1570" s="2"/>
      <c r="I1570" s="2"/>
      <c r="J1570" s="2"/>
      <c r="K1570" s="2"/>
    </row>
    <row r="1571">
      <c r="A1571" s="2"/>
      <c r="B1571" s="2"/>
      <c r="C1571" s="31"/>
      <c r="D1571" s="31"/>
      <c r="E1571" s="32"/>
      <c r="H1571" s="2"/>
      <c r="I1571" s="2"/>
      <c r="J1571" s="2"/>
      <c r="K1571" s="2"/>
    </row>
    <row r="1572">
      <c r="A1572" s="2"/>
      <c r="B1572" s="2"/>
      <c r="C1572" s="31"/>
      <c r="D1572" s="31"/>
      <c r="E1572" s="32"/>
      <c r="H1572" s="2"/>
      <c r="I1572" s="2"/>
      <c r="J1572" s="2"/>
      <c r="K1572" s="2"/>
      <c r="M1572" s="2"/>
      <c r="N1572" s="2"/>
      <c r="O1572" s="2"/>
    </row>
    <row r="1573">
      <c r="A1573" s="2"/>
      <c r="B1573" s="2"/>
      <c r="C1573" s="31"/>
      <c r="D1573" s="31"/>
      <c r="E1573" s="32"/>
      <c r="G1573" s="2"/>
      <c r="H1573" s="2"/>
      <c r="I1573" s="2"/>
      <c r="J1573" s="2"/>
      <c r="K1573" s="2"/>
      <c r="M1573" s="2"/>
      <c r="N1573" s="2"/>
      <c r="O1573" s="2"/>
    </row>
    <row r="1574">
      <c r="A1574" s="2"/>
      <c r="B1574" s="2"/>
      <c r="C1574" s="31"/>
      <c r="D1574" s="31"/>
      <c r="E1574" s="32"/>
      <c r="H1574" s="2"/>
      <c r="I1574" s="2"/>
      <c r="J1574" s="2"/>
      <c r="K1574" s="2"/>
      <c r="M1574" s="2"/>
      <c r="N1574" s="2"/>
      <c r="O1574" s="2"/>
    </row>
    <row r="1575">
      <c r="A1575" s="2"/>
      <c r="B1575" s="2"/>
      <c r="C1575" s="31"/>
      <c r="D1575" s="31"/>
      <c r="E1575" s="32"/>
      <c r="H1575" s="2"/>
      <c r="I1575" s="2"/>
      <c r="J1575" s="2"/>
      <c r="K1575" s="2"/>
      <c r="M1575" s="2"/>
      <c r="N1575" s="2"/>
      <c r="O1575" s="2"/>
    </row>
    <row r="1576">
      <c r="A1576" s="2"/>
      <c r="B1576" s="2"/>
      <c r="C1576" s="31"/>
      <c r="D1576" s="31"/>
      <c r="E1576" s="32"/>
      <c r="H1576" s="2"/>
      <c r="I1576" s="2"/>
      <c r="J1576" s="2"/>
      <c r="K1576" s="2"/>
      <c r="M1576" s="2"/>
      <c r="N1576" s="2"/>
      <c r="O1576" s="2"/>
    </row>
    <row r="1577">
      <c r="A1577" s="2"/>
      <c r="B1577" s="2"/>
      <c r="C1577" s="31"/>
      <c r="D1577" s="31"/>
      <c r="E1577" s="32"/>
      <c r="H1577" s="2"/>
      <c r="I1577" s="2"/>
      <c r="J1577" s="2"/>
      <c r="K1577" s="2"/>
      <c r="M1577" s="2"/>
      <c r="N1577" s="2"/>
      <c r="O1577" s="2"/>
    </row>
    <row r="1578">
      <c r="A1578" s="2"/>
      <c r="B1578" s="2"/>
      <c r="C1578" s="31"/>
      <c r="D1578" s="31"/>
      <c r="E1578" s="32"/>
      <c r="H1578" s="2"/>
      <c r="I1578" s="2"/>
      <c r="J1578" s="2"/>
      <c r="K1578" s="2"/>
    </row>
    <row r="1579">
      <c r="A1579" s="2"/>
      <c r="B1579" s="2"/>
      <c r="C1579" s="31"/>
      <c r="D1579" s="31"/>
      <c r="E1579" s="32"/>
      <c r="H1579" s="2"/>
      <c r="I1579" s="2"/>
      <c r="J1579" s="2"/>
      <c r="K1579" s="2"/>
    </row>
    <row r="1580">
      <c r="A1580" s="2"/>
      <c r="B1580" s="2"/>
      <c r="C1580" s="31"/>
      <c r="D1580" s="31"/>
      <c r="E1580" s="32"/>
      <c r="H1580" s="2"/>
      <c r="I1580" s="2"/>
      <c r="J1580" s="2"/>
      <c r="K1580" s="2"/>
      <c r="M1580" s="2"/>
      <c r="N1580" s="2"/>
      <c r="O1580" s="2"/>
    </row>
    <row r="1581">
      <c r="A1581" s="2"/>
      <c r="B1581" s="2"/>
      <c r="C1581" s="31"/>
      <c r="D1581" s="31"/>
      <c r="E1581" s="32"/>
      <c r="G1581" s="2"/>
      <c r="H1581" s="2"/>
      <c r="I1581" s="2"/>
      <c r="J1581" s="2"/>
      <c r="K1581" s="2"/>
      <c r="M1581" s="2"/>
      <c r="N1581" s="2"/>
      <c r="O1581" s="2"/>
    </row>
  </sheetData>
  <hyperlinks>
    <hyperlink r:id="rId1" ref="F126"/>
    <hyperlink r:id="rId2" ref="F134"/>
    <hyperlink r:id="rId3" ref="F135"/>
    <hyperlink r:id="rId4" ref="F140"/>
    <hyperlink r:id="rId5" ref="F190"/>
    <hyperlink r:id="rId6" ref="F191"/>
    <hyperlink r:id="rId7" ref="F230"/>
    <hyperlink r:id="rId8" ref="F246"/>
    <hyperlink r:id="rId9" ref="F306"/>
    <hyperlink r:id="rId10" ref="G348"/>
    <hyperlink r:id="rId11" ref="G396"/>
    <hyperlink r:id="rId12" ref="G444"/>
    <hyperlink r:id="rId13" ref="G507"/>
    <hyperlink r:id="rId14" ref="G555"/>
    <hyperlink r:id="rId15" ref="G615"/>
    <hyperlink r:id="rId16" ref="G666"/>
    <hyperlink r:id="rId17" ref="G714"/>
    <hyperlink r:id="rId18" ref="G776"/>
    <hyperlink r:id="rId19" ref="G827"/>
    <hyperlink r:id="rId20" ref="G874"/>
    <hyperlink r:id="rId21" ref="G940"/>
  </hyperlinks>
  <drawing r:id="rId2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25"/>
    <col customWidth="1" min="8" max="8" width="67.38"/>
    <col customWidth="1" min="9" max="9" width="30.5"/>
    <col customWidth="1" min="10" max="10" width="51.38"/>
    <col customWidth="1" min="24" max="24" width="39.75"/>
  </cols>
  <sheetData>
    <row r="1">
      <c r="A1" s="33" t="s">
        <v>7142</v>
      </c>
      <c r="B1" s="33" t="s">
        <v>7985</v>
      </c>
      <c r="C1" s="33" t="s">
        <v>7986</v>
      </c>
      <c r="D1" s="33" t="s">
        <v>7987</v>
      </c>
      <c r="E1" s="33" t="s">
        <v>7988</v>
      </c>
      <c r="F1" s="33" t="s">
        <v>7989</v>
      </c>
      <c r="G1" s="33" t="s">
        <v>7990</v>
      </c>
      <c r="H1" s="33" t="s">
        <v>7991</v>
      </c>
      <c r="I1" s="33" t="s">
        <v>7992</v>
      </c>
      <c r="J1" s="33" t="s">
        <v>7993</v>
      </c>
      <c r="K1" s="33" t="s">
        <v>7994</v>
      </c>
      <c r="L1" s="33" t="s">
        <v>7995</v>
      </c>
      <c r="M1" s="33" t="s">
        <v>7996</v>
      </c>
      <c r="N1" s="33" t="s">
        <v>7997</v>
      </c>
      <c r="O1" s="33" t="s">
        <v>7998</v>
      </c>
      <c r="P1" s="33" t="s">
        <v>94</v>
      </c>
      <c r="Q1" s="33" t="s">
        <v>95</v>
      </c>
      <c r="R1" s="33" t="s">
        <v>7999</v>
      </c>
      <c r="S1" s="33" t="s">
        <v>8000</v>
      </c>
      <c r="T1" s="33" t="s">
        <v>8001</v>
      </c>
      <c r="U1" s="33" t="s">
        <v>8002</v>
      </c>
      <c r="V1" s="33" t="s">
        <v>8003</v>
      </c>
      <c r="W1" s="33" t="s">
        <v>8004</v>
      </c>
      <c r="X1" s="34"/>
    </row>
    <row r="2">
      <c r="A2" s="3" t="s">
        <v>7693</v>
      </c>
      <c r="B2" s="29">
        <v>46049.846138587964</v>
      </c>
      <c r="C2" s="3" t="s">
        <v>7183</v>
      </c>
      <c r="D2" s="25" t="s">
        <v>7111</v>
      </c>
      <c r="E2" s="29" t="s">
        <v>8005</v>
      </c>
      <c r="F2" s="3" t="s">
        <v>8006</v>
      </c>
      <c r="G2" s="3" t="s">
        <v>8007</v>
      </c>
      <c r="H2" s="35" t="s">
        <v>8008</v>
      </c>
      <c r="I2" s="3" t="s">
        <v>8009</v>
      </c>
      <c r="J2" s="3" t="s">
        <v>8010</v>
      </c>
      <c r="K2" s="3" t="s">
        <v>8011</v>
      </c>
      <c r="L2" s="3" t="s">
        <v>7643</v>
      </c>
      <c r="M2" s="19">
        <v>4.0</v>
      </c>
      <c r="N2" s="19">
        <v>1.0</v>
      </c>
      <c r="O2" s="19">
        <v>5.0</v>
      </c>
      <c r="P2" s="3" t="s">
        <v>184</v>
      </c>
      <c r="Q2" s="3" t="s">
        <v>478</v>
      </c>
      <c r="R2" s="3" t="s">
        <v>5021</v>
      </c>
      <c r="S2" s="3" t="s">
        <v>479</v>
      </c>
      <c r="T2" s="25" t="s">
        <v>7111</v>
      </c>
      <c r="U2" s="3" t="s">
        <v>7691</v>
      </c>
      <c r="V2" s="25" t="str">
        <f>HYPERLINK("https://app.askelephant.ai/workspaces/wrks_01JYF7CP38371WK5E5BP8XSHM5/engagements/ngmt_01KDSNSC3TKRAJ78GP98R39FV8", "View Meeting")</f>
        <v>View Meeting</v>
      </c>
      <c r="W2" s="25" t="str">
        <f t="shared" ref="W2:W7" si="1">HYPERLINK("https://zoom.us/j/3628593272?pwd=OfxX2kwpsuA5labBaZXephHbiAXlz9.1", "Join Zoom")</f>
        <v>Join Zoom</v>
      </c>
      <c r="X2" s="34"/>
    </row>
    <row r="3">
      <c r="A3" s="3" t="s">
        <v>7681</v>
      </c>
      <c r="B3" s="29">
        <v>46049.98535321759</v>
      </c>
      <c r="C3" s="3" t="s">
        <v>7546</v>
      </c>
      <c r="D3" s="3" t="s">
        <v>251</v>
      </c>
      <c r="E3" s="29" t="s">
        <v>8012</v>
      </c>
      <c r="F3" s="3" t="s">
        <v>8013</v>
      </c>
      <c r="G3" s="3" t="s">
        <v>8014</v>
      </c>
      <c r="H3" s="35" t="s">
        <v>8015</v>
      </c>
      <c r="I3" s="3" t="s">
        <v>8016</v>
      </c>
      <c r="J3" s="3" t="s">
        <v>8016</v>
      </c>
      <c r="K3" s="3" t="s">
        <v>8017</v>
      </c>
      <c r="L3" s="3" t="s">
        <v>7680</v>
      </c>
      <c r="M3" s="19">
        <v>3.0</v>
      </c>
      <c r="N3" s="19">
        <v>5.0</v>
      </c>
      <c r="O3" s="19">
        <v>8.0</v>
      </c>
      <c r="P3" s="3" t="s">
        <v>119</v>
      </c>
      <c r="Q3" s="3" t="s">
        <v>251</v>
      </c>
      <c r="R3" s="3" t="s">
        <v>3179</v>
      </c>
      <c r="S3" s="3" t="s">
        <v>252</v>
      </c>
      <c r="T3" s="25" t="s">
        <v>7081</v>
      </c>
      <c r="U3" s="3" t="s">
        <v>7679</v>
      </c>
      <c r="V3" s="25" t="str">
        <f>HYPERLINK("https://app.askelephant.ai/workspaces/wrks_01JYF7CP38371WK5E5BP8XSHM5/engagements/ngmt_01KFEK95PX2BSCV67P2P5YFY0H", "View Meeting")</f>
        <v>View Meeting</v>
      </c>
      <c r="W3" s="25" t="str">
        <f t="shared" si="1"/>
        <v>Join Zoom</v>
      </c>
      <c r="X3" s="35" t="s">
        <v>8018</v>
      </c>
    </row>
    <row r="4">
      <c r="A4" s="3" t="s">
        <v>7698</v>
      </c>
      <c r="B4" s="29">
        <v>46050.49375136574</v>
      </c>
      <c r="C4" s="3" t="s">
        <v>7234</v>
      </c>
      <c r="D4" s="3" t="s">
        <v>167</v>
      </c>
      <c r="E4" s="29" t="s">
        <v>8019</v>
      </c>
      <c r="F4" s="3" t="s">
        <v>8020</v>
      </c>
      <c r="G4" s="3" t="s">
        <v>8007</v>
      </c>
      <c r="H4" s="35" t="s">
        <v>8021</v>
      </c>
      <c r="I4" s="3" t="s">
        <v>8022</v>
      </c>
      <c r="J4" s="3" t="s">
        <v>8023</v>
      </c>
      <c r="K4" s="3" t="s">
        <v>8024</v>
      </c>
      <c r="L4" s="3" t="s">
        <v>7734</v>
      </c>
      <c r="M4" s="19">
        <v>6.0</v>
      </c>
      <c r="N4" s="19">
        <v>4.0</v>
      </c>
      <c r="O4" s="19">
        <v>10.0</v>
      </c>
      <c r="P4" s="3" t="s">
        <v>166</v>
      </c>
      <c r="Q4" s="3" t="s">
        <v>167</v>
      </c>
      <c r="R4" s="3" t="s">
        <v>3154</v>
      </c>
      <c r="S4" s="3" t="s">
        <v>3155</v>
      </c>
      <c r="T4" s="25" t="s">
        <v>7080</v>
      </c>
      <c r="U4" s="3" t="s">
        <v>7555</v>
      </c>
      <c r="V4" s="25" t="str">
        <f>HYPERLINK("https://app.askelephant.ai/workspaces/wrks_01JYF7CP38371WK5E5BP8XSHM5/engagements/ngmt_01KFM0VY51YQRV6HA8HFJ37MEH", "View Meeting")</f>
        <v>View Meeting</v>
      </c>
      <c r="W4" s="25" t="str">
        <f t="shared" si="1"/>
        <v>Join Zoom</v>
      </c>
      <c r="X4" s="35" t="s">
        <v>8025</v>
      </c>
    </row>
    <row r="5">
      <c r="A5" s="3" t="s">
        <v>7702</v>
      </c>
      <c r="B5" s="29">
        <v>46050.56790793981</v>
      </c>
      <c r="C5" s="3" t="s">
        <v>7256</v>
      </c>
      <c r="D5" s="3" t="s">
        <v>203</v>
      </c>
      <c r="E5" s="29" t="s">
        <v>8026</v>
      </c>
      <c r="F5" s="3" t="s">
        <v>8027</v>
      </c>
      <c r="G5" s="3" t="s">
        <v>8028</v>
      </c>
      <c r="H5" s="35" t="s">
        <v>8029</v>
      </c>
      <c r="I5" s="3" t="s">
        <v>8030</v>
      </c>
      <c r="J5" s="3" t="s">
        <v>8031</v>
      </c>
      <c r="K5" s="3" t="s">
        <v>8032</v>
      </c>
      <c r="L5" s="3" t="s">
        <v>8033</v>
      </c>
      <c r="M5" s="19">
        <v>0.0</v>
      </c>
      <c r="N5" s="19">
        <v>0.0</v>
      </c>
      <c r="O5" s="19">
        <v>0.0</v>
      </c>
      <c r="P5" s="3" t="s">
        <v>202</v>
      </c>
      <c r="Q5" s="3" t="s">
        <v>203</v>
      </c>
      <c r="R5" s="3" t="s">
        <v>4171</v>
      </c>
      <c r="S5" s="3" t="s">
        <v>388</v>
      </c>
      <c r="T5" s="25" t="s">
        <v>7116</v>
      </c>
      <c r="U5" s="3" t="s">
        <v>7700</v>
      </c>
      <c r="V5" s="25" t="str">
        <f>HYPERLINK("https://app.askelephant.ai/workspaces/wrks_01JYF7CP38371WK5E5BP8XSHM5/engagements/ngmt_01KFEDZNTX2YHX1C7V0NAVCZVH", "View Meeting")</f>
        <v>View Meeting</v>
      </c>
      <c r="W5" s="25" t="str">
        <f t="shared" si="1"/>
        <v>Join Zoom</v>
      </c>
      <c r="X5" s="35" t="s">
        <v>8034</v>
      </c>
    </row>
    <row r="6">
      <c r="A6" s="3" t="s">
        <v>7715</v>
      </c>
      <c r="B6" s="29">
        <v>46051.6833690625</v>
      </c>
      <c r="C6" s="3" t="s">
        <v>7712</v>
      </c>
      <c r="D6" s="3" t="s">
        <v>123</v>
      </c>
      <c r="E6" s="29" t="s">
        <v>8035</v>
      </c>
      <c r="F6" s="3" t="s">
        <v>8036</v>
      </c>
      <c r="G6" s="3" t="s">
        <v>8037</v>
      </c>
      <c r="H6" s="35" t="s">
        <v>8038</v>
      </c>
      <c r="I6" s="3" t="s">
        <v>8039</v>
      </c>
      <c r="J6" s="3" t="s">
        <v>8040</v>
      </c>
      <c r="K6" s="3" t="s">
        <v>8041</v>
      </c>
      <c r="L6" s="3" t="s">
        <v>8042</v>
      </c>
      <c r="M6" s="19">
        <v>3.0</v>
      </c>
      <c r="N6" s="19">
        <v>2.0</v>
      </c>
      <c r="O6" s="19">
        <v>5.0</v>
      </c>
      <c r="P6" s="3" t="s">
        <v>122</v>
      </c>
      <c r="Q6" s="3" t="s">
        <v>123</v>
      </c>
      <c r="R6" s="3" t="s">
        <v>1513</v>
      </c>
      <c r="S6" s="3" t="s">
        <v>396</v>
      </c>
      <c r="T6" s="25" t="s">
        <v>7106</v>
      </c>
      <c r="U6" s="3" t="s">
        <v>7711</v>
      </c>
      <c r="V6" s="25" t="str">
        <f>HYPERLINK("https://app.askelephant.ai/workspaces/wrks_01JYF7CP38371WK5E5BP8XSHM5/engagements/ngmt_01KF9F0WEY837HJD4XH1FDQY0E", "View Meeting")</f>
        <v>View Meeting</v>
      </c>
      <c r="W6" s="25" t="str">
        <f t="shared" si="1"/>
        <v>Join Zoom</v>
      </c>
      <c r="X6" s="35" t="s">
        <v>8043</v>
      </c>
    </row>
    <row r="7">
      <c r="A7" s="3" t="s">
        <v>7722</v>
      </c>
      <c r="B7" s="29">
        <v>46052.52475331019</v>
      </c>
      <c r="C7" s="3" t="s">
        <v>7546</v>
      </c>
      <c r="D7" s="3" t="s">
        <v>251</v>
      </c>
      <c r="E7" s="29" t="s">
        <v>8044</v>
      </c>
      <c r="F7" s="3" t="s">
        <v>8045</v>
      </c>
      <c r="G7" s="3" t="s">
        <v>8046</v>
      </c>
      <c r="H7" s="35" t="s">
        <v>8047</v>
      </c>
      <c r="I7" s="3" t="s">
        <v>8016</v>
      </c>
      <c r="J7" s="3" t="s">
        <v>8016</v>
      </c>
      <c r="K7" s="3" t="s">
        <v>8017</v>
      </c>
      <c r="L7" s="3" t="s">
        <v>7680</v>
      </c>
      <c r="M7" s="19">
        <v>2.0</v>
      </c>
      <c r="N7" s="19">
        <v>4.0</v>
      </c>
      <c r="O7" s="19">
        <v>6.0</v>
      </c>
      <c r="P7" s="3" t="s">
        <v>119</v>
      </c>
      <c r="Q7" s="3" t="s">
        <v>251</v>
      </c>
      <c r="R7" s="3" t="s">
        <v>3179</v>
      </c>
      <c r="S7" s="3" t="s">
        <v>252</v>
      </c>
      <c r="T7" s="25" t="s">
        <v>7081</v>
      </c>
      <c r="U7" s="3" t="s">
        <v>7679</v>
      </c>
      <c r="V7" s="25" t="str">
        <f>HYPERLINK("https://app.askelephant.ai/workspaces/wrks_01JYF7CP38371WK5E5BP8XSHM5/engagements/ngmt_01KFEK962675R0N74NKFN3GZ3X", "View Meeting")</f>
        <v>View Meeting</v>
      </c>
      <c r="W7" s="25" t="str">
        <f t="shared" si="1"/>
        <v>Join Zoom</v>
      </c>
      <c r="X7" s="35" t="s">
        <v>8048</v>
      </c>
    </row>
    <row r="8">
      <c r="A8" s="3" t="s">
        <v>7726</v>
      </c>
      <c r="B8" s="29">
        <v>46052.550675266204</v>
      </c>
      <c r="C8" s="3" t="s">
        <v>7724</v>
      </c>
      <c r="D8" s="3" t="s">
        <v>511</v>
      </c>
      <c r="E8" s="29" t="s">
        <v>8049</v>
      </c>
      <c r="F8" s="3" t="s">
        <v>8050</v>
      </c>
      <c r="G8" s="3" t="s">
        <v>8051</v>
      </c>
      <c r="H8" s="35" t="s">
        <v>8052</v>
      </c>
      <c r="I8" s="3" t="s">
        <v>8053</v>
      </c>
      <c r="J8" s="3" t="s">
        <v>8053</v>
      </c>
      <c r="K8" s="3" t="s">
        <v>8054</v>
      </c>
      <c r="L8" s="3" t="s">
        <v>7897</v>
      </c>
      <c r="M8" s="19">
        <v>4.0</v>
      </c>
      <c r="N8" s="19">
        <v>5.0</v>
      </c>
      <c r="O8" s="19">
        <v>9.0</v>
      </c>
      <c r="P8" s="3" t="s">
        <v>101</v>
      </c>
      <c r="Q8" s="3" t="s">
        <v>511</v>
      </c>
      <c r="R8" s="3" t="s">
        <v>3427</v>
      </c>
      <c r="S8" s="3" t="s">
        <v>512</v>
      </c>
      <c r="T8" s="25" t="s">
        <v>8055</v>
      </c>
      <c r="U8" s="3" t="s">
        <v>7723</v>
      </c>
      <c r="V8" s="25" t="str">
        <f>HYPERLINK("https://app.askelephant.ai/workspaces/wrks_01JYF7CP38371WK5E5BP8XSHM5/engagements/ngmt_01KG344FKECYTPWS2RT83HZ169", "View Meeting")</f>
        <v>View Meeting</v>
      </c>
      <c r="W8" s="25" t="str">
        <f>HYPERLINK("https://teams.microsoft.com/l/meetup-join/19:meeting_NWZmNGJmZGMtODdkZi00OGFlLWI4MGMtYTQyMDUzNTlkZDg5@thread.v2/0?context=%7B%22Tid%22%3A%20%22d8fde2f5-9392-4260-8a03-0ad01f4746e9%22%2C%20%22Oid%22%3A%20%224cf02d10-78dd-48bc-8462-dd3691fbdcba%22%7D", "Join Zoom")</f>
        <v>Join Zoom</v>
      </c>
      <c r="X8" s="35" t="s">
        <v>8056</v>
      </c>
    </row>
    <row r="9">
      <c r="A9" s="3" t="s">
        <v>7735</v>
      </c>
      <c r="B9" s="29">
        <v>46056.44380040509</v>
      </c>
      <c r="C9" s="3" t="s">
        <v>7671</v>
      </c>
      <c r="D9" s="3" t="s">
        <v>167</v>
      </c>
      <c r="E9" s="29" t="s">
        <v>8057</v>
      </c>
      <c r="F9" s="3" t="s">
        <v>8058</v>
      </c>
      <c r="G9" s="3" t="s">
        <v>8059</v>
      </c>
      <c r="H9" s="35" t="s">
        <v>8060</v>
      </c>
      <c r="I9" s="3" t="s">
        <v>8022</v>
      </c>
      <c r="J9" s="3" t="s">
        <v>8022</v>
      </c>
      <c r="K9" s="3" t="s">
        <v>8061</v>
      </c>
      <c r="L9" s="3" t="s">
        <v>7734</v>
      </c>
      <c r="M9" s="19">
        <v>4.0</v>
      </c>
      <c r="N9" s="19">
        <v>3.0</v>
      </c>
      <c r="O9" s="19">
        <v>7.0</v>
      </c>
      <c r="P9" s="3" t="s">
        <v>166</v>
      </c>
      <c r="Q9" s="3" t="s">
        <v>167</v>
      </c>
      <c r="T9" s="25" t="s">
        <v>7080</v>
      </c>
      <c r="U9" s="3" t="s">
        <v>7732</v>
      </c>
      <c r="V9" s="25" t="str">
        <f>HYPERLINK("https://app.askelephant.ai/workspaces/wrks_01JYF7CP38371WK5E5BP8XSHM5/engagements/ngmt_01KG5H6T8HYARVT3A9CRTT3S4H", "View Meeting")</f>
        <v>View Meeting</v>
      </c>
      <c r="W9" s="25" t="str">
        <f>HYPERLINK("https://zoom.us/j/3628593272?pwd=OfxX2kwpsuA5labBaZXephHbiAXlz9.1", "Join Zoom")</f>
        <v>Join Zoom</v>
      </c>
      <c r="X9" s="35" t="s">
        <v>8025</v>
      </c>
    </row>
    <row r="10">
      <c r="A10" s="3" t="s">
        <v>7742</v>
      </c>
      <c r="B10" s="29">
        <v>46056.51260258102</v>
      </c>
      <c r="C10" s="3" t="s">
        <v>7737</v>
      </c>
      <c r="D10" s="3" t="s">
        <v>511</v>
      </c>
      <c r="E10" s="29" t="s">
        <v>8062</v>
      </c>
      <c r="F10" s="3" t="s">
        <v>8063</v>
      </c>
      <c r="G10" s="3" t="s">
        <v>8064</v>
      </c>
      <c r="H10" s="35" t="s">
        <v>8065</v>
      </c>
      <c r="I10" s="3" t="s">
        <v>7444</v>
      </c>
      <c r="J10" s="3" t="s">
        <v>8066</v>
      </c>
      <c r="K10" s="3" t="s">
        <v>8067</v>
      </c>
      <c r="L10" s="3" t="s">
        <v>7897</v>
      </c>
      <c r="M10" s="19">
        <v>6.0</v>
      </c>
      <c r="N10" s="19">
        <v>4.0</v>
      </c>
      <c r="O10" s="19">
        <v>10.0</v>
      </c>
      <c r="P10" s="3" t="s">
        <v>101</v>
      </c>
      <c r="Q10" s="3" t="s">
        <v>511</v>
      </c>
      <c r="R10" s="3" t="s">
        <v>3427</v>
      </c>
      <c r="S10" s="3" t="s">
        <v>512</v>
      </c>
      <c r="T10" s="25" t="s">
        <v>8055</v>
      </c>
      <c r="U10" s="3" t="s">
        <v>7736</v>
      </c>
      <c r="V10" s="25" t="str">
        <f>HYPERLINK("https://app.askelephant.ai/workspaces/wrks_01JYF7CP38371WK5E5BP8XSHM5/engagements/ngmt_01KG33HV388QED9QCDZC26JAJ1", "View Meeting")</f>
        <v>View Meeting</v>
      </c>
      <c r="W10" s="25" t="str">
        <f>HYPERLINK("https://teams.microsoft.com/l/meetup-join/19:meeting_YzlmNTFlODgtNzI0Zi00NzMyLTgzMjctZGNhNzk3YmQ3NDNk@thread.v2/0?context=%7B%22Tid%22%3A%20%22d8fde2f5-9392-4260-8a03-0ad01f4746e9%22%2C%20%22Oid%22%3A%20%224cf02d10-78dd-48bc-8462-dd3691fbdcba%22%7D", "Join Zoom")</f>
        <v>Join Zoom</v>
      </c>
      <c r="X10" s="35" t="s">
        <v>8056</v>
      </c>
    </row>
    <row r="11">
      <c r="A11" s="3" t="s">
        <v>7747</v>
      </c>
      <c r="B11" s="29">
        <v>46056.54696651621</v>
      </c>
      <c r="C11" s="3" t="s">
        <v>7744</v>
      </c>
      <c r="D11" s="3" t="s">
        <v>209</v>
      </c>
      <c r="E11" s="29" t="s">
        <v>8068</v>
      </c>
      <c r="F11" s="3" t="s">
        <v>8069</v>
      </c>
      <c r="G11" s="3" t="s">
        <v>8070</v>
      </c>
      <c r="H11" s="35" t="s">
        <v>8071</v>
      </c>
      <c r="I11" s="3" t="s">
        <v>7288</v>
      </c>
      <c r="J11" s="3" t="s">
        <v>8072</v>
      </c>
      <c r="K11" s="3" t="s">
        <v>8073</v>
      </c>
      <c r="L11" s="3" t="s">
        <v>7746</v>
      </c>
      <c r="M11" s="19">
        <v>3.0</v>
      </c>
      <c r="N11" s="19">
        <v>2.0</v>
      </c>
      <c r="O11" s="19">
        <v>5.0</v>
      </c>
      <c r="P11" s="3" t="s">
        <v>208</v>
      </c>
      <c r="Q11" s="3" t="s">
        <v>209</v>
      </c>
      <c r="R11" s="3" t="s">
        <v>6076</v>
      </c>
      <c r="S11" s="3" t="s">
        <v>350</v>
      </c>
      <c r="T11" s="25" t="s">
        <v>7086</v>
      </c>
      <c r="U11" s="3" t="s">
        <v>7743</v>
      </c>
      <c r="V11" s="25" t="str">
        <f>HYPERLINK("https://app.askelephant.ai/workspaces/wrks_01JYF7CP38371WK5E5BP8XSHM5/engagements/ngmt_01KG7QE75PTESKSWAG8X12ERY4", "View Meeting")</f>
        <v>View Meeting</v>
      </c>
      <c r="W11" s="25" t="str">
        <f t="shared" ref="W11:W18" si="2">HYPERLINK("https://zoom.us/j/3628593272?pwd=OfxX2kwpsuA5labBaZXephHbiAXlz9.1", "Join Zoom")</f>
        <v>Join Zoom</v>
      </c>
      <c r="X11" s="35" t="s">
        <v>8074</v>
      </c>
    </row>
    <row r="12">
      <c r="A12" s="3" t="s">
        <v>7753</v>
      </c>
      <c r="B12" s="29">
        <v>46056.566217581014</v>
      </c>
      <c r="C12" s="3" t="s">
        <v>7689</v>
      </c>
      <c r="D12" s="3" t="s">
        <v>143</v>
      </c>
      <c r="E12" s="29" t="s">
        <v>8075</v>
      </c>
      <c r="F12" s="3" t="s">
        <v>8076</v>
      </c>
      <c r="G12" s="3" t="s">
        <v>8077</v>
      </c>
      <c r="H12" s="35" t="s">
        <v>8078</v>
      </c>
      <c r="I12" s="3" t="s">
        <v>7288</v>
      </c>
      <c r="J12" s="3" t="s">
        <v>8079</v>
      </c>
      <c r="K12" s="3" t="s">
        <v>8080</v>
      </c>
      <c r="L12" s="3" t="s">
        <v>7752</v>
      </c>
      <c r="M12" s="19">
        <v>1.0</v>
      </c>
      <c r="N12" s="19">
        <v>2.0</v>
      </c>
      <c r="O12" s="19">
        <v>3.0</v>
      </c>
      <c r="P12" s="3" t="s">
        <v>142</v>
      </c>
      <c r="Q12" s="3" t="s">
        <v>143</v>
      </c>
      <c r="R12" s="3" t="s">
        <v>6054</v>
      </c>
      <c r="S12" s="3" t="s">
        <v>522</v>
      </c>
      <c r="T12" s="25" t="s">
        <v>7089</v>
      </c>
      <c r="U12" s="3" t="s">
        <v>7751</v>
      </c>
      <c r="V12" s="25" t="str">
        <f>HYPERLINK("https://app.askelephant.ai/workspaces/wrks_01JYF7CP38371WK5E5BP8XSHM5/engagements/ngmt_01KFXVPRTKA1W0FQ2G69K7NNXQ", "View Meeting")</f>
        <v>View Meeting</v>
      </c>
      <c r="W12" s="25" t="str">
        <f t="shared" si="2"/>
        <v>Join Zoom</v>
      </c>
      <c r="X12" s="35" t="s">
        <v>8081</v>
      </c>
    </row>
    <row r="13">
      <c r="A13" s="3" t="s">
        <v>7760</v>
      </c>
      <c r="B13" s="29">
        <v>46056.58869851852</v>
      </c>
      <c r="C13" s="3" t="s">
        <v>7755</v>
      </c>
      <c r="D13" s="3" t="s">
        <v>111</v>
      </c>
      <c r="E13" s="29" t="s">
        <v>8082</v>
      </c>
      <c r="F13" s="3" t="s">
        <v>8083</v>
      </c>
      <c r="G13" s="3" t="s">
        <v>8028</v>
      </c>
      <c r="H13" s="35" t="s">
        <v>8084</v>
      </c>
      <c r="I13" s="3" t="s">
        <v>8085</v>
      </c>
      <c r="J13" s="3" t="s">
        <v>8086</v>
      </c>
      <c r="K13" s="3" t="s">
        <v>8087</v>
      </c>
      <c r="L13" s="3" t="s">
        <v>8088</v>
      </c>
      <c r="M13" s="19">
        <v>2.0</v>
      </c>
      <c r="N13" s="19">
        <v>2.0</v>
      </c>
      <c r="O13" s="19">
        <v>4.0</v>
      </c>
      <c r="P13" s="3" t="s">
        <v>110</v>
      </c>
      <c r="Q13" s="3" t="s">
        <v>111</v>
      </c>
      <c r="R13" s="3" t="s">
        <v>2660</v>
      </c>
      <c r="S13" s="3" t="s">
        <v>489</v>
      </c>
      <c r="T13" s="25" t="s">
        <v>7096</v>
      </c>
      <c r="U13" s="3" t="s">
        <v>7754</v>
      </c>
      <c r="V13" s="25" t="str">
        <f>HYPERLINK("https://app.askelephant.ai/workspaces/wrks_01JYF7CP38371WK5E5BP8XSHM5/engagements/ngmt_01KEAJAKCXK762QNZSNP6K5MHA", "View Meeting")</f>
        <v>View Meeting</v>
      </c>
      <c r="W13" s="25" t="str">
        <f t="shared" si="2"/>
        <v>Join Zoom</v>
      </c>
      <c r="X13" s="35" t="s">
        <v>8089</v>
      </c>
    </row>
    <row r="14">
      <c r="A14" s="3" t="s">
        <v>7766</v>
      </c>
      <c r="B14" s="29">
        <v>46056.6278771875</v>
      </c>
      <c r="C14" s="3" t="s">
        <v>7762</v>
      </c>
      <c r="D14" s="3" t="s">
        <v>601</v>
      </c>
      <c r="E14" s="29" t="s">
        <v>8090</v>
      </c>
      <c r="F14" s="3" t="s">
        <v>8091</v>
      </c>
      <c r="G14" s="3" t="s">
        <v>8092</v>
      </c>
      <c r="H14" s="35" t="s">
        <v>8093</v>
      </c>
      <c r="I14" s="3" t="s">
        <v>8094</v>
      </c>
      <c r="J14" s="3" t="s">
        <v>8095</v>
      </c>
      <c r="K14" s="3" t="s">
        <v>8096</v>
      </c>
      <c r="L14" s="3" t="s">
        <v>8097</v>
      </c>
      <c r="M14" s="19">
        <v>2.0</v>
      </c>
      <c r="N14" s="19">
        <v>5.0</v>
      </c>
      <c r="O14" s="19">
        <v>7.0</v>
      </c>
      <c r="P14" s="3" t="s">
        <v>6785</v>
      </c>
      <c r="Q14" s="3" t="s">
        <v>601</v>
      </c>
      <c r="R14" s="3" t="s">
        <v>3133</v>
      </c>
      <c r="S14" s="3" t="s">
        <v>602</v>
      </c>
      <c r="T14" s="25" t="s">
        <v>8098</v>
      </c>
      <c r="U14" s="3" t="s">
        <v>7761</v>
      </c>
      <c r="V14" s="25" t="str">
        <f>HYPERLINK("https://app.askelephant.ai/workspaces/wrks_01JYF7CP38371WK5E5BP8XSHM5/engagements/ngmt_01KG3ANAC2G8DAYYXAM9WRB33V", "View Meeting")</f>
        <v>View Meeting</v>
      </c>
      <c r="W14" s="25" t="str">
        <f t="shared" si="2"/>
        <v>Join Zoom</v>
      </c>
      <c r="X14" s="35" t="s">
        <v>8099</v>
      </c>
    </row>
    <row r="15">
      <c r="A15" s="3" t="s">
        <v>7782</v>
      </c>
      <c r="B15" s="29">
        <v>46057.463418009254</v>
      </c>
      <c r="C15" s="3" t="s">
        <v>7779</v>
      </c>
      <c r="D15" s="3" t="s">
        <v>126</v>
      </c>
      <c r="E15" s="29" t="s">
        <v>8100</v>
      </c>
      <c r="F15" s="3" t="s">
        <v>8101</v>
      </c>
      <c r="G15" s="3" t="s">
        <v>8070</v>
      </c>
      <c r="H15" s="35" t="s">
        <v>8102</v>
      </c>
      <c r="I15" s="3" t="s">
        <v>8103</v>
      </c>
      <c r="J15" s="3" t="s">
        <v>8104</v>
      </c>
      <c r="K15" s="3" t="s">
        <v>8105</v>
      </c>
      <c r="L15" s="3" t="s">
        <v>8106</v>
      </c>
      <c r="M15" s="19">
        <v>6.0</v>
      </c>
      <c r="N15" s="19">
        <v>1.0</v>
      </c>
      <c r="O15" s="19">
        <v>7.0</v>
      </c>
      <c r="P15" s="3" t="s">
        <v>125</v>
      </c>
      <c r="Q15" s="3" t="s">
        <v>126</v>
      </c>
      <c r="R15" s="3" t="s">
        <v>6089</v>
      </c>
      <c r="S15" s="3" t="s">
        <v>562</v>
      </c>
      <c r="T15" s="25" t="s">
        <v>7100</v>
      </c>
      <c r="U15" s="3" t="s">
        <v>7778</v>
      </c>
      <c r="V15" s="25" t="str">
        <f>HYPERLINK("https://app.askelephant.ai/workspaces/wrks_01JYF7CP38371WK5E5BP8XSHM5/engagements/ngmt_01KG7RJZMDZHNJGA3ARPBT3T7N", "View Meeting")</f>
        <v>View Meeting</v>
      </c>
      <c r="W15" s="25" t="str">
        <f t="shared" si="2"/>
        <v>Join Zoom</v>
      </c>
      <c r="X15" s="35" t="s">
        <v>8107</v>
      </c>
    </row>
    <row r="16">
      <c r="A16" s="3" t="s">
        <v>7785</v>
      </c>
      <c r="B16" s="29">
        <v>46057.48121229166</v>
      </c>
      <c r="C16" s="3" t="s">
        <v>7655</v>
      </c>
      <c r="D16" s="3" t="s">
        <v>301</v>
      </c>
      <c r="E16" s="29" t="s">
        <v>8108</v>
      </c>
      <c r="F16" s="3" t="s">
        <v>8109</v>
      </c>
      <c r="G16" s="3" t="s">
        <v>8110</v>
      </c>
      <c r="H16" s="35" t="s">
        <v>8111</v>
      </c>
      <c r="I16" s="3" t="s">
        <v>8112</v>
      </c>
      <c r="J16" s="3" t="s">
        <v>8113</v>
      </c>
      <c r="K16" s="3" t="s">
        <v>8114</v>
      </c>
      <c r="L16" s="3" t="s">
        <v>8115</v>
      </c>
      <c r="M16" s="19">
        <v>4.0</v>
      </c>
      <c r="N16" s="19">
        <v>5.0</v>
      </c>
      <c r="O16" s="19">
        <v>9.0</v>
      </c>
      <c r="P16" s="3" t="s">
        <v>128</v>
      </c>
      <c r="Q16" s="3" t="s">
        <v>301</v>
      </c>
      <c r="R16" s="3" t="s">
        <v>5946</v>
      </c>
      <c r="S16" s="3" t="s">
        <v>302</v>
      </c>
      <c r="T16" s="25" t="s">
        <v>7105</v>
      </c>
      <c r="U16" s="3" t="s">
        <v>7783</v>
      </c>
      <c r="V16" s="25" t="str">
        <f>HYPERLINK("https://app.askelephant.ai/workspaces/wrks_01JYF7CP38371WK5E5BP8XSHM5/engagements/ngmt_01KGJ8MAJND60FTRE8YQ4YN3MP", "View Meeting")</f>
        <v>View Meeting</v>
      </c>
      <c r="W16" s="25" t="str">
        <f t="shared" si="2"/>
        <v>Join Zoom</v>
      </c>
      <c r="X16" s="35" t="s">
        <v>8116</v>
      </c>
    </row>
    <row r="17">
      <c r="A17" s="3" t="s">
        <v>7790</v>
      </c>
      <c r="B17" s="29">
        <v>46057.592905150465</v>
      </c>
      <c r="C17" s="3" t="s">
        <v>7576</v>
      </c>
      <c r="D17" s="3" t="s">
        <v>132</v>
      </c>
      <c r="E17" s="29" t="s">
        <v>8117</v>
      </c>
      <c r="F17" s="3" t="s">
        <v>8118</v>
      </c>
      <c r="G17" s="3" t="s">
        <v>8119</v>
      </c>
      <c r="H17" s="35" t="s">
        <v>8120</v>
      </c>
      <c r="I17" s="3" t="s">
        <v>8121</v>
      </c>
      <c r="J17" s="3" t="s">
        <v>8122</v>
      </c>
      <c r="K17" s="3" t="s">
        <v>8123</v>
      </c>
      <c r="L17" s="3" t="s">
        <v>8124</v>
      </c>
      <c r="M17" s="19">
        <v>2.0</v>
      </c>
      <c r="N17" s="19">
        <v>1.0</v>
      </c>
      <c r="O17" s="19">
        <v>3.0</v>
      </c>
      <c r="P17" s="3" t="s">
        <v>131</v>
      </c>
      <c r="Q17" s="3" t="s">
        <v>132</v>
      </c>
      <c r="R17" s="3" t="s">
        <v>2281</v>
      </c>
      <c r="S17" s="3" t="s">
        <v>284</v>
      </c>
      <c r="T17" s="25" t="s">
        <v>7109</v>
      </c>
      <c r="U17" s="3" t="s">
        <v>7786</v>
      </c>
      <c r="V17" s="25" t="str">
        <f>HYPERLINK("https://app.askelephant.ai/workspaces/wrks_01JYF7CP38371WK5E5BP8XSHM5/engagements/ngmt_01KG35KGX47F31J2V3X69CG5DE", "View Meeting")</f>
        <v>View Meeting</v>
      </c>
      <c r="W17" s="25" t="str">
        <f t="shared" si="2"/>
        <v>Join Zoom</v>
      </c>
      <c r="X17" s="35" t="s">
        <v>8125</v>
      </c>
    </row>
    <row r="18">
      <c r="A18" s="3" t="s">
        <v>7566</v>
      </c>
      <c r="B18" s="29">
        <v>46057.85558268518</v>
      </c>
      <c r="C18" s="3" t="s">
        <v>7266</v>
      </c>
      <c r="D18" s="3" t="s">
        <v>319</v>
      </c>
      <c r="E18" s="29" t="s">
        <v>8126</v>
      </c>
      <c r="F18" s="3" t="s">
        <v>8127</v>
      </c>
      <c r="G18" s="3" t="s">
        <v>8128</v>
      </c>
      <c r="H18" s="35" t="s">
        <v>8129</v>
      </c>
      <c r="I18" s="3" t="s">
        <v>8130</v>
      </c>
      <c r="J18" s="3" t="s">
        <v>8131</v>
      </c>
      <c r="K18" s="3" t="s">
        <v>8132</v>
      </c>
      <c r="L18" s="3" t="s">
        <v>8133</v>
      </c>
      <c r="M18" s="19">
        <v>3.0</v>
      </c>
      <c r="N18" s="19">
        <v>4.0</v>
      </c>
      <c r="O18" s="19">
        <v>7.0</v>
      </c>
      <c r="P18" s="3" t="s">
        <v>6752</v>
      </c>
      <c r="Q18" s="3" t="s">
        <v>319</v>
      </c>
      <c r="R18" s="3" t="s">
        <v>6249</v>
      </c>
      <c r="S18" s="3" t="s">
        <v>320</v>
      </c>
      <c r="T18" s="25" t="s">
        <v>8134</v>
      </c>
      <c r="U18" s="3" t="s">
        <v>7564</v>
      </c>
      <c r="V18" s="25" t="str">
        <f>HYPERLINK("https://app.askelephant.ai/workspaces/wrks_01JYF7CP38371WK5E5BP8XSHM5/engagements/ngmt_01KC8R7XCPW464CDKS8B6ZQV7Z", "View Meeting")</f>
        <v>View Meeting</v>
      </c>
      <c r="W18" s="25" t="str">
        <f t="shared" si="2"/>
        <v>Join Zoom</v>
      </c>
      <c r="X18" s="35" t="s">
        <v>8135</v>
      </c>
    </row>
    <row r="19">
      <c r="A19" s="3" t="s">
        <v>7569</v>
      </c>
      <c r="B19" s="29">
        <v>46057.86743153935</v>
      </c>
      <c r="C19" s="3" t="s">
        <v>7189</v>
      </c>
      <c r="D19" s="3" t="s">
        <v>179</v>
      </c>
      <c r="E19" s="29" t="s">
        <v>8136</v>
      </c>
      <c r="F19" s="3" t="s">
        <v>8137</v>
      </c>
      <c r="G19" s="3" t="s">
        <v>8070</v>
      </c>
      <c r="H19" s="35" t="s">
        <v>8138</v>
      </c>
      <c r="I19" s="3" t="s">
        <v>8139</v>
      </c>
      <c r="J19" s="3" t="s">
        <v>8140</v>
      </c>
      <c r="K19" s="3" t="s">
        <v>8141</v>
      </c>
      <c r="L19" s="3" t="s">
        <v>8142</v>
      </c>
      <c r="M19" s="19">
        <v>4.0</v>
      </c>
      <c r="N19" s="19">
        <v>6.0</v>
      </c>
      <c r="O19" s="19">
        <v>10.0</v>
      </c>
      <c r="P19" s="3" t="s">
        <v>178</v>
      </c>
      <c r="Q19" s="3" t="s">
        <v>179</v>
      </c>
      <c r="R19" s="3" t="s">
        <v>3582</v>
      </c>
      <c r="S19" s="3" t="s">
        <v>462</v>
      </c>
      <c r="T19" s="25" t="s">
        <v>7117</v>
      </c>
      <c r="U19" s="3" t="s">
        <v>7567</v>
      </c>
      <c r="V19" s="25" t="str">
        <f>HYPERLINK("https://app.askelephant.ai/workspaces/wrks_01JYF7CP38371WK5E5BP8XSHM5/engagements/ngmt_01KDE2ES3KZVEFZC1SXKH83N46", "View Meeting")</f>
        <v>View Meeting</v>
      </c>
      <c r="W19" s="25" t="str">
        <f>HYPERLINK("https://zoom.us/j/3742631971?pwd=Z2JhWG1yV1ZtOVBnMVZaRDR0bjVDZz09", "Join Zoom")</f>
        <v>Join Zoom</v>
      </c>
      <c r="X19" s="35" t="s">
        <v>248</v>
      </c>
    </row>
    <row r="20">
      <c r="A20" s="3" t="s">
        <v>7623</v>
      </c>
      <c r="B20" s="29">
        <v>46057.87390954861</v>
      </c>
      <c r="C20" s="3" t="s">
        <v>7618</v>
      </c>
      <c r="D20" s="3" t="s">
        <v>329</v>
      </c>
      <c r="E20" s="29" t="s">
        <v>8143</v>
      </c>
      <c r="F20" s="3" t="s">
        <v>8144</v>
      </c>
      <c r="G20" s="3" t="s">
        <v>8145</v>
      </c>
      <c r="H20" s="35" t="s">
        <v>8146</v>
      </c>
      <c r="I20" s="3" t="s">
        <v>8147</v>
      </c>
      <c r="J20" s="3" t="s">
        <v>8148</v>
      </c>
      <c r="K20" s="3" t="s">
        <v>8149</v>
      </c>
      <c r="L20" s="3" t="s">
        <v>8150</v>
      </c>
      <c r="M20" s="19">
        <v>1.0</v>
      </c>
      <c r="N20" s="19">
        <v>4.0</v>
      </c>
      <c r="O20" s="19">
        <v>5.0</v>
      </c>
      <c r="P20" s="3" t="s">
        <v>154</v>
      </c>
      <c r="Q20" s="3" t="s">
        <v>329</v>
      </c>
      <c r="R20" s="3" t="s">
        <v>3236</v>
      </c>
      <c r="S20" s="3" t="s">
        <v>330</v>
      </c>
      <c r="T20" s="25" t="s">
        <v>7093</v>
      </c>
      <c r="U20" s="3" t="s">
        <v>7617</v>
      </c>
      <c r="V20" s="25" t="str">
        <f>HYPERLINK("https://app.askelephant.ai/workspaces/wrks_01JYF7CP38371WK5E5BP8XSHM5/engagements/ngmt_01KF1BQ0E29ZW07WX284EP726C", "View Meeting")</f>
        <v>View Meeting</v>
      </c>
      <c r="W20" s="25" t="str">
        <f>HYPERLINK("https://teams.microsoft.com/l/meetup-join/19:meeting_YWZhM2I2ZTUtZDYxYi00OTVkLTk4NTQtZDg4ZWRkMDIyODg0@thread.v2/0?context=%7B%22Tid%22%3A%20%22fabb61b8-3afe-4e75-b934-a47f782b8cd7%22%2C%20%22Oid%22%3A%20%22f089cc43-bfcf-43e5-9b99-90ac44049de6%22%7D", "Join Zoom")</f>
        <v>Join Zoom</v>
      </c>
      <c r="X20" s="35" t="s">
        <v>248</v>
      </c>
    </row>
    <row r="21">
      <c r="A21" s="3" t="s">
        <v>7631</v>
      </c>
      <c r="B21" s="29">
        <v>46057.87986878472</v>
      </c>
      <c r="C21" s="3" t="s">
        <v>7628</v>
      </c>
      <c r="D21" s="3" t="s">
        <v>191</v>
      </c>
      <c r="E21" s="29" t="s">
        <v>8151</v>
      </c>
      <c r="F21" s="3" t="s">
        <v>8152</v>
      </c>
      <c r="G21" s="3" t="s">
        <v>8153</v>
      </c>
      <c r="H21" s="35" t="s">
        <v>8154</v>
      </c>
      <c r="I21" s="3" t="s">
        <v>8155</v>
      </c>
      <c r="J21" s="3" t="s">
        <v>8156</v>
      </c>
      <c r="K21" s="3" t="s">
        <v>8157</v>
      </c>
      <c r="L21" s="3" t="s">
        <v>8158</v>
      </c>
      <c r="M21" s="19">
        <v>5.0</v>
      </c>
      <c r="N21" s="19">
        <v>2.0</v>
      </c>
      <c r="O21" s="19">
        <v>7.0</v>
      </c>
      <c r="P21" s="3" t="s">
        <v>190</v>
      </c>
      <c r="Q21" s="3" t="s">
        <v>191</v>
      </c>
      <c r="R21" s="3" t="s">
        <v>3501</v>
      </c>
      <c r="S21" s="3" t="s">
        <v>413</v>
      </c>
      <c r="T21" s="25" t="s">
        <v>7091</v>
      </c>
      <c r="U21" s="3" t="s">
        <v>7627</v>
      </c>
      <c r="V21" s="25" t="str">
        <f>HYPERLINK("https://app.askelephant.ai/workspaces/wrks_01JYF7CP38371WK5E5BP8XSHM5/engagements/ngmt_01KEFRE24YJSXE59XGYCTHE9SP", "View Meeting")</f>
        <v>View Meeting</v>
      </c>
      <c r="W21" s="25" t="str">
        <f>HYPERLINK("https://zoom.us/j/3742631971?pwd=Z2JhWG1yV1ZtOVBnMVZaRDR0bjVDZz09", "Join Zoom")</f>
        <v>Join Zoom</v>
      </c>
      <c r="X21" s="35" t="s">
        <v>248</v>
      </c>
    </row>
    <row r="22">
      <c r="A22" s="3" t="s">
        <v>7793</v>
      </c>
      <c r="B22" s="29">
        <v>46058.36130945601</v>
      </c>
      <c r="C22" s="3" t="s">
        <v>7266</v>
      </c>
      <c r="D22" s="3" t="s">
        <v>319</v>
      </c>
      <c r="E22" s="29" t="s">
        <v>8159</v>
      </c>
      <c r="F22" s="3" t="s">
        <v>8160</v>
      </c>
      <c r="G22" s="3" t="s">
        <v>8161</v>
      </c>
      <c r="H22" s="35" t="s">
        <v>8162</v>
      </c>
      <c r="I22" s="3" t="s">
        <v>8163</v>
      </c>
      <c r="J22" s="3" t="s">
        <v>8131</v>
      </c>
      <c r="K22" s="3" t="s">
        <v>8132</v>
      </c>
      <c r="L22" s="3" t="s">
        <v>8164</v>
      </c>
      <c r="M22" s="19">
        <v>0.0</v>
      </c>
      <c r="N22" s="19">
        <v>4.0</v>
      </c>
      <c r="O22" s="19">
        <v>4.0</v>
      </c>
      <c r="P22" s="3" t="s">
        <v>6752</v>
      </c>
      <c r="Q22" s="3" t="s">
        <v>319</v>
      </c>
      <c r="R22" s="3" t="s">
        <v>6249</v>
      </c>
      <c r="S22" s="3" t="s">
        <v>320</v>
      </c>
      <c r="T22" s="25" t="s">
        <v>8134</v>
      </c>
      <c r="U22" s="3" t="s">
        <v>7791</v>
      </c>
      <c r="V22" s="25" t="str">
        <f>HYPERLINK("https://app.askelephant.ai/workspaces/wrks_01JYF7CP38371WK5E5BP8XSHM5/engagements/ngmt_01KEF207073KPXXSEA2PZA4V1E", "View Meeting")</f>
        <v>View Meeting</v>
      </c>
      <c r="W22" s="25" t="str">
        <f t="shared" ref="W22:W33" si="3">HYPERLINK("https://zoom.us/j/3628593272?pwd=OfxX2kwpsuA5labBaZXephHbiAXlz9.1", "Join Zoom")</f>
        <v>Join Zoom</v>
      </c>
      <c r="X22" s="35" t="s">
        <v>248</v>
      </c>
    </row>
    <row r="23">
      <c r="A23" s="3" t="s">
        <v>7801</v>
      </c>
      <c r="B23" s="29">
        <v>46058.48329377315</v>
      </c>
      <c r="C23" s="3" t="s">
        <v>7797</v>
      </c>
      <c r="D23" s="3" t="s">
        <v>8165</v>
      </c>
      <c r="E23" s="29" t="s">
        <v>8166</v>
      </c>
      <c r="F23" s="3" t="s">
        <v>8167</v>
      </c>
      <c r="G23" s="3" t="s">
        <v>8007</v>
      </c>
      <c r="H23" s="35" t="s">
        <v>8168</v>
      </c>
      <c r="I23" s="3" t="s">
        <v>8169</v>
      </c>
      <c r="J23" s="3" t="s">
        <v>8170</v>
      </c>
      <c r="K23" s="3" t="s">
        <v>8171</v>
      </c>
      <c r="L23" s="3" t="s">
        <v>8172</v>
      </c>
      <c r="M23" s="19">
        <v>5.0</v>
      </c>
      <c r="N23" s="19">
        <v>1.0</v>
      </c>
      <c r="O23" s="19">
        <v>6.0</v>
      </c>
      <c r="P23" s="3" t="s">
        <v>154</v>
      </c>
      <c r="Q23" s="3" t="s">
        <v>329</v>
      </c>
      <c r="R23" s="3" t="s">
        <v>3236</v>
      </c>
      <c r="S23" s="3" t="s">
        <v>330</v>
      </c>
      <c r="T23" s="25" t="s">
        <v>7093</v>
      </c>
      <c r="U23" s="3" t="s">
        <v>7796</v>
      </c>
      <c r="V23" s="25" t="str">
        <f>HYPERLINK("https://app.askelephant.ai/workspaces/wrks_01JYF7CP38371WK5E5BP8XSHM5/engagements/ngmt_01KGFJBEWB3AS7HKD3WZZZNPW1", "View Meeting")</f>
        <v>View Meeting</v>
      </c>
      <c r="W23" s="25" t="str">
        <f t="shared" si="3"/>
        <v>Join Zoom</v>
      </c>
      <c r="X23" s="35" t="s">
        <v>248</v>
      </c>
    </row>
    <row r="24">
      <c r="A24" s="3" t="s">
        <v>7803</v>
      </c>
      <c r="B24" s="29">
        <v>46058.503449745374</v>
      </c>
      <c r="C24" s="3" t="s">
        <v>7420</v>
      </c>
      <c r="D24" s="3" t="s">
        <v>126</v>
      </c>
      <c r="E24" s="29" t="s">
        <v>8173</v>
      </c>
      <c r="F24" s="3" t="s">
        <v>8174</v>
      </c>
      <c r="G24" s="3" t="s">
        <v>8007</v>
      </c>
      <c r="H24" s="35" t="s">
        <v>8175</v>
      </c>
      <c r="I24" s="3" t="s">
        <v>8176</v>
      </c>
      <c r="J24" s="3" t="s">
        <v>8177</v>
      </c>
      <c r="K24" s="3" t="s">
        <v>8178</v>
      </c>
      <c r="L24" s="3" t="s">
        <v>8179</v>
      </c>
      <c r="M24" s="19">
        <v>6.0</v>
      </c>
      <c r="N24" s="19">
        <v>6.0</v>
      </c>
      <c r="O24" s="19">
        <v>12.0</v>
      </c>
      <c r="P24" s="3" t="s">
        <v>125</v>
      </c>
      <c r="Q24" s="3" t="s">
        <v>126</v>
      </c>
      <c r="R24" s="3" t="s">
        <v>6089</v>
      </c>
      <c r="S24" s="3" t="s">
        <v>562</v>
      </c>
      <c r="T24" s="25" t="s">
        <v>7100</v>
      </c>
      <c r="U24" s="3" t="s">
        <v>7659</v>
      </c>
      <c r="V24" s="25" t="str">
        <f>HYPERLINK("https://app.askelephant.ai/workspaces/wrks_01JYF7CP38371WK5E5BP8XSHM5/engagements/ngmt_01KEFE1FR4ZYKF8AC7ZMCQ1G4G", "View Meeting")</f>
        <v>View Meeting</v>
      </c>
      <c r="W24" s="25" t="str">
        <f t="shared" si="3"/>
        <v>Join Zoom</v>
      </c>
      <c r="X24" s="35" t="s">
        <v>248</v>
      </c>
    </row>
    <row r="25">
      <c r="A25" s="3" t="s">
        <v>7807</v>
      </c>
      <c r="B25" s="29">
        <v>46058.52529204861</v>
      </c>
      <c r="C25" s="3" t="s">
        <v>8180</v>
      </c>
      <c r="D25" s="3" t="s">
        <v>158</v>
      </c>
      <c r="E25" s="29" t="s">
        <v>8181</v>
      </c>
      <c r="F25" s="3" t="s">
        <v>8182</v>
      </c>
      <c r="G25" s="3" t="s">
        <v>8183</v>
      </c>
      <c r="H25" s="35" t="s">
        <v>8184</v>
      </c>
      <c r="I25" s="3" t="s">
        <v>8185</v>
      </c>
      <c r="J25" s="3" t="s">
        <v>8185</v>
      </c>
      <c r="K25" s="3" t="s">
        <v>8186</v>
      </c>
      <c r="L25" s="3" t="s">
        <v>7806</v>
      </c>
      <c r="M25" s="19">
        <v>3.0</v>
      </c>
      <c r="N25" s="19">
        <v>3.0</v>
      </c>
      <c r="O25" s="19">
        <v>6.0</v>
      </c>
      <c r="P25" s="3" t="s">
        <v>157</v>
      </c>
      <c r="Q25" s="3" t="s">
        <v>158</v>
      </c>
      <c r="R25" s="3" t="s">
        <v>1748</v>
      </c>
      <c r="S25" s="3" t="s">
        <v>378</v>
      </c>
      <c r="T25" s="25" t="s">
        <v>7113</v>
      </c>
      <c r="U25" s="3" t="s">
        <v>7804</v>
      </c>
      <c r="V25" s="25" t="str">
        <f>HYPERLINK("https://app.askelephant.ai/workspaces/wrks_01JYF7CP38371WK5E5BP8XSHM5/engagements/ngmt_01KEFG136E3MYR0C5H7BSESPGW", "View Meeting")</f>
        <v>View Meeting</v>
      </c>
      <c r="W25" s="25" t="str">
        <f t="shared" si="3"/>
        <v>Join Zoom</v>
      </c>
      <c r="X25" s="35" t="s">
        <v>248</v>
      </c>
    </row>
    <row r="26">
      <c r="A26" s="3" t="s">
        <v>7811</v>
      </c>
      <c r="B26" s="29">
        <v>46058.536584340276</v>
      </c>
      <c r="C26" s="3" t="s">
        <v>7809</v>
      </c>
      <c r="D26" s="3" t="s">
        <v>478</v>
      </c>
      <c r="E26" s="29" t="s">
        <v>8187</v>
      </c>
      <c r="F26" s="3" t="s">
        <v>8188</v>
      </c>
      <c r="G26" s="3" t="s">
        <v>8189</v>
      </c>
      <c r="H26" s="35" t="s">
        <v>8190</v>
      </c>
      <c r="I26" s="3" t="s">
        <v>8191</v>
      </c>
      <c r="J26" s="3" t="s">
        <v>8191</v>
      </c>
      <c r="K26" s="3" t="s">
        <v>8192</v>
      </c>
      <c r="L26" s="3" t="s">
        <v>7643</v>
      </c>
      <c r="M26" s="19">
        <v>2.0</v>
      </c>
      <c r="N26" s="19">
        <v>2.0</v>
      </c>
      <c r="O26" s="19">
        <v>4.0</v>
      </c>
      <c r="P26" s="3" t="s">
        <v>184</v>
      </c>
      <c r="Q26" s="3" t="s">
        <v>478</v>
      </c>
      <c r="R26" s="3" t="s">
        <v>5021</v>
      </c>
      <c r="S26" s="3" t="s">
        <v>479</v>
      </c>
      <c r="T26" s="25" t="s">
        <v>7111</v>
      </c>
      <c r="U26" s="3" t="s">
        <v>7808</v>
      </c>
      <c r="V26" s="25" t="str">
        <f>HYPERLINK("https://app.askelephant.ai/workspaces/wrks_01JYF7CP38371WK5E5BP8XSHM5/engagements/ngmt_01KGJKEFSJJK5FCKS9BRE4HBP5", "View Meeting")</f>
        <v>View Meeting</v>
      </c>
      <c r="W26" s="25" t="str">
        <f t="shared" si="3"/>
        <v>Join Zoom</v>
      </c>
      <c r="X26" s="35" t="s">
        <v>248</v>
      </c>
    </row>
    <row r="27">
      <c r="A27" s="3" t="s">
        <v>7817</v>
      </c>
      <c r="B27" s="29">
        <v>46058.58025107639</v>
      </c>
      <c r="C27" s="3" t="s">
        <v>7813</v>
      </c>
      <c r="D27" s="3" t="s">
        <v>191</v>
      </c>
      <c r="E27" s="29" t="s">
        <v>8193</v>
      </c>
      <c r="F27" s="3" t="s">
        <v>8194</v>
      </c>
      <c r="G27" s="3" t="s">
        <v>8195</v>
      </c>
      <c r="H27" s="35" t="s">
        <v>8196</v>
      </c>
      <c r="I27" s="3" t="s">
        <v>8197</v>
      </c>
      <c r="J27" s="3" t="s">
        <v>8156</v>
      </c>
      <c r="K27" s="3" t="s">
        <v>8157</v>
      </c>
      <c r="L27" s="3" t="s">
        <v>8158</v>
      </c>
      <c r="M27" s="19">
        <v>0.0</v>
      </c>
      <c r="N27" s="19">
        <v>3.0</v>
      </c>
      <c r="O27" s="19">
        <v>3.0</v>
      </c>
      <c r="P27" s="3" t="s">
        <v>190</v>
      </c>
      <c r="Q27" s="3" t="s">
        <v>191</v>
      </c>
      <c r="R27" s="3" t="s">
        <v>3501</v>
      </c>
      <c r="S27" s="3" t="s">
        <v>413</v>
      </c>
      <c r="T27" s="25" t="s">
        <v>7091</v>
      </c>
      <c r="U27" s="3" t="s">
        <v>7812</v>
      </c>
      <c r="V27" s="25" t="str">
        <f>HYPERLINK("https://app.askelephant.ai/workspaces/wrks_01JYF7CP38371WK5E5BP8XSHM5/engagements/ngmt_01KF428S8FM0B92829VP8254FG", "View Meeting")</f>
        <v>View Meeting</v>
      </c>
      <c r="W27" s="25" t="str">
        <f t="shared" si="3"/>
        <v>Join Zoom</v>
      </c>
      <c r="X27" s="35" t="s">
        <v>248</v>
      </c>
    </row>
    <row r="28">
      <c r="A28" s="3" t="s">
        <v>7828</v>
      </c>
      <c r="B28" s="29">
        <v>46059.447598784725</v>
      </c>
      <c r="C28" s="3" t="s">
        <v>7471</v>
      </c>
      <c r="D28" s="3" t="s">
        <v>272</v>
      </c>
      <c r="E28" s="29" t="s">
        <v>8198</v>
      </c>
      <c r="F28" s="3" t="s">
        <v>8199</v>
      </c>
      <c r="G28" s="3" t="s">
        <v>8200</v>
      </c>
      <c r="H28" s="35" t="s">
        <v>8201</v>
      </c>
      <c r="I28" s="3" t="s">
        <v>8202</v>
      </c>
      <c r="J28" s="3" t="s">
        <v>8203</v>
      </c>
      <c r="K28" s="3" t="s">
        <v>8204</v>
      </c>
      <c r="L28" s="3" t="s">
        <v>8205</v>
      </c>
      <c r="M28" s="19">
        <v>2.0</v>
      </c>
      <c r="N28" s="19">
        <v>5.0</v>
      </c>
      <c r="O28" s="19">
        <v>7.0</v>
      </c>
      <c r="P28" s="3" t="s">
        <v>199</v>
      </c>
      <c r="Q28" s="3" t="s">
        <v>272</v>
      </c>
      <c r="R28" s="3" t="s">
        <v>4198</v>
      </c>
      <c r="S28" s="3" t="s">
        <v>273</v>
      </c>
      <c r="T28" s="25" t="s">
        <v>7090</v>
      </c>
      <c r="U28" s="3" t="s">
        <v>7825</v>
      </c>
      <c r="V28" s="25" t="str">
        <f>HYPERLINK("https://app.askelephant.ai/workspaces/wrks_01JYF7CP38371WK5E5BP8XSHM5/engagements/ngmt_01KFNYFQW5Q91BT3NCWY6EB75A", "View Meeting")</f>
        <v>View Meeting</v>
      </c>
      <c r="W28" s="25" t="str">
        <f t="shared" si="3"/>
        <v>Join Zoom</v>
      </c>
      <c r="X28" s="35" t="s">
        <v>248</v>
      </c>
    </row>
    <row r="29">
      <c r="A29" s="3" t="s">
        <v>7831</v>
      </c>
      <c r="B29" s="29">
        <v>46059.482434930556</v>
      </c>
      <c r="C29" s="3" t="s">
        <v>7655</v>
      </c>
      <c r="D29" s="3" t="s">
        <v>301</v>
      </c>
      <c r="E29" s="29" t="s">
        <v>8206</v>
      </c>
      <c r="F29" s="3" t="s">
        <v>8207</v>
      </c>
      <c r="G29" s="3" t="s">
        <v>8070</v>
      </c>
      <c r="H29" s="35" t="s">
        <v>8208</v>
      </c>
      <c r="I29" s="3" t="s">
        <v>8209</v>
      </c>
      <c r="J29" s="3" t="s">
        <v>8209</v>
      </c>
      <c r="K29" s="3" t="s">
        <v>8210</v>
      </c>
      <c r="L29" s="3" t="s">
        <v>7583</v>
      </c>
      <c r="M29" s="19">
        <v>5.0</v>
      </c>
      <c r="N29" s="19">
        <v>3.0</v>
      </c>
      <c r="O29" s="19">
        <v>8.0</v>
      </c>
      <c r="P29" s="3" t="s">
        <v>128</v>
      </c>
      <c r="Q29" s="3" t="s">
        <v>301</v>
      </c>
      <c r="R29" s="3" t="s">
        <v>5946</v>
      </c>
      <c r="S29" s="3" t="s">
        <v>302</v>
      </c>
      <c r="T29" s="25" t="s">
        <v>7105</v>
      </c>
      <c r="U29" s="3" t="s">
        <v>7829</v>
      </c>
      <c r="V29" s="25" t="str">
        <f>HYPERLINK("https://app.askelephant.ai/workspaces/wrks_01JYF7CP38371WK5E5BP8XSHM5/engagements/ngmt_01KGG0QC5QP22WJVN88HEG3X48", "View Meeting")</f>
        <v>View Meeting</v>
      </c>
      <c r="W29" s="25" t="str">
        <f t="shared" si="3"/>
        <v>Join Zoom</v>
      </c>
      <c r="X29" s="35" t="s">
        <v>248</v>
      </c>
    </row>
    <row r="30">
      <c r="A30" s="3" t="s">
        <v>7832</v>
      </c>
      <c r="B30" s="29">
        <v>46059.50974303241</v>
      </c>
      <c r="C30" s="3" t="s">
        <v>7546</v>
      </c>
      <c r="D30" s="3" t="s">
        <v>251</v>
      </c>
      <c r="E30" s="29" t="s">
        <v>8211</v>
      </c>
      <c r="F30" s="3" t="s">
        <v>8212</v>
      </c>
      <c r="G30" s="3" t="s">
        <v>8213</v>
      </c>
      <c r="H30" s="35" t="s">
        <v>8214</v>
      </c>
      <c r="I30" s="3" t="s">
        <v>8016</v>
      </c>
      <c r="J30" s="3" t="s">
        <v>8215</v>
      </c>
      <c r="K30" s="3" t="s">
        <v>8216</v>
      </c>
      <c r="L30" s="3" t="s">
        <v>7680</v>
      </c>
      <c r="M30" s="19">
        <v>3.0</v>
      </c>
      <c r="N30" s="19">
        <v>3.0</v>
      </c>
      <c r="O30" s="19">
        <v>6.0</v>
      </c>
      <c r="P30" s="3" t="s">
        <v>119</v>
      </c>
      <c r="Q30" s="3" t="s">
        <v>251</v>
      </c>
      <c r="R30" s="3" t="s">
        <v>3179</v>
      </c>
      <c r="S30" s="3" t="s">
        <v>252</v>
      </c>
      <c r="T30" s="25" t="s">
        <v>7081</v>
      </c>
      <c r="U30" s="3" t="s">
        <v>7679</v>
      </c>
      <c r="V30" s="25" t="str">
        <f>HYPERLINK("https://app.askelephant.ai/workspaces/wrks_01JYF7CP38371WK5E5BP8XSHM5/engagements/ngmt_01KFEK967XDEH47Q818GEEW50D", "View Meeting")</f>
        <v>View Meeting</v>
      </c>
      <c r="W30" s="25" t="str">
        <f t="shared" si="3"/>
        <v>Join Zoom</v>
      </c>
      <c r="X30" s="35" t="s">
        <v>248</v>
      </c>
    </row>
    <row r="31">
      <c r="A31" s="3" t="s">
        <v>7836</v>
      </c>
      <c r="B31" s="29">
        <v>46059.61540998843</v>
      </c>
      <c r="C31" s="3" t="s">
        <v>7683</v>
      </c>
      <c r="D31" s="3" t="s">
        <v>430</v>
      </c>
      <c r="E31" s="29" t="s">
        <v>8217</v>
      </c>
      <c r="F31" s="3" t="s">
        <v>8218</v>
      </c>
      <c r="G31" s="3" t="s">
        <v>8064</v>
      </c>
      <c r="H31" s="35" t="s">
        <v>8219</v>
      </c>
      <c r="I31" s="3" t="s">
        <v>8220</v>
      </c>
      <c r="J31" s="3" t="s">
        <v>8221</v>
      </c>
      <c r="K31" s="3" t="s">
        <v>8222</v>
      </c>
      <c r="L31" s="3" t="s">
        <v>8223</v>
      </c>
      <c r="M31" s="19">
        <v>2.0</v>
      </c>
      <c r="N31" s="19">
        <v>5.0</v>
      </c>
      <c r="O31" s="19">
        <v>7.0</v>
      </c>
      <c r="P31" s="3" t="s">
        <v>163</v>
      </c>
      <c r="Q31" s="3" t="s">
        <v>430</v>
      </c>
      <c r="R31" s="3" t="s">
        <v>6161</v>
      </c>
      <c r="S31" s="3" t="s">
        <v>431</v>
      </c>
      <c r="T31" s="25" t="s">
        <v>7095</v>
      </c>
      <c r="U31" s="3" t="s">
        <v>7833</v>
      </c>
      <c r="V31" s="25" t="str">
        <f>HYPERLINK("https://app.askelephant.ai/workspaces/wrks_01JYF7CP38371WK5E5BP8XSHM5/engagements/ngmt_01KGMM8DW0XK58GWHS0ZTZM0EM", "View Meeting")</f>
        <v>View Meeting</v>
      </c>
      <c r="W31" s="25" t="str">
        <f t="shared" si="3"/>
        <v>Join Zoom</v>
      </c>
      <c r="X31" s="35" t="s">
        <v>248</v>
      </c>
    </row>
    <row r="32">
      <c r="A32" s="3" t="s">
        <v>7853</v>
      </c>
      <c r="B32" s="29">
        <v>46063.52673521991</v>
      </c>
      <c r="C32" s="3" t="s">
        <v>7183</v>
      </c>
      <c r="D32" s="3" t="s">
        <v>478</v>
      </c>
      <c r="E32" s="29" t="s">
        <v>8224</v>
      </c>
      <c r="F32" s="3" t="s">
        <v>8225</v>
      </c>
      <c r="G32" s="3" t="s">
        <v>8161</v>
      </c>
      <c r="H32" s="35" t="s">
        <v>8226</v>
      </c>
      <c r="I32" s="3" t="s">
        <v>8191</v>
      </c>
      <c r="J32" s="3" t="s">
        <v>8010</v>
      </c>
      <c r="K32" s="3" t="s">
        <v>8011</v>
      </c>
      <c r="L32" s="3" t="s">
        <v>7643</v>
      </c>
      <c r="M32" s="19">
        <v>1.0</v>
      </c>
      <c r="N32" s="19">
        <v>3.0</v>
      </c>
      <c r="O32" s="19">
        <v>4.0</v>
      </c>
      <c r="P32" s="3" t="s">
        <v>184</v>
      </c>
      <c r="Q32" s="3" t="s">
        <v>478</v>
      </c>
      <c r="R32" s="3" t="s">
        <v>5021</v>
      </c>
      <c r="S32" s="3" t="s">
        <v>479</v>
      </c>
      <c r="T32" s="25" t="s">
        <v>7111</v>
      </c>
      <c r="U32" s="3" t="s">
        <v>7852</v>
      </c>
      <c r="V32" s="25" t="str">
        <f>HYPERLINK("https://app.askelephant.ai/workspaces/wrks_01JYF7CP38371WK5E5BP8XSHM5/engagements/ngmt_01KEXQBSH1G37NWSHGZ52AEVMA", "View Meeting")</f>
        <v>View Meeting</v>
      </c>
      <c r="W32" s="25" t="str">
        <f t="shared" si="3"/>
        <v>Join Zoom</v>
      </c>
      <c r="X32" s="35" t="s">
        <v>248</v>
      </c>
    </row>
    <row r="33">
      <c r="A33" s="3" t="s">
        <v>7874</v>
      </c>
      <c r="B33" s="29">
        <v>46065.650471562505</v>
      </c>
      <c r="C33" s="3" t="s">
        <v>7869</v>
      </c>
      <c r="D33" s="3" t="s">
        <v>117</v>
      </c>
      <c r="E33" s="29" t="s">
        <v>8227</v>
      </c>
      <c r="F33" s="3" t="s">
        <v>8228</v>
      </c>
      <c r="G33" s="3" t="s">
        <v>8014</v>
      </c>
      <c r="H33" s="35" t="s">
        <v>8229</v>
      </c>
      <c r="I33" s="3" t="s">
        <v>8230</v>
      </c>
      <c r="J33" s="3" t="s">
        <v>8231</v>
      </c>
      <c r="K33" s="3" t="s">
        <v>8232</v>
      </c>
      <c r="L33" s="3" t="s">
        <v>8233</v>
      </c>
      <c r="M33" s="19">
        <v>6.0</v>
      </c>
      <c r="N33" s="19">
        <v>3.0</v>
      </c>
      <c r="O33" s="19">
        <v>9.0</v>
      </c>
      <c r="P33" s="3" t="s">
        <v>116</v>
      </c>
      <c r="Q33" s="3" t="s">
        <v>117</v>
      </c>
      <c r="R33" s="3" t="s">
        <v>6236</v>
      </c>
      <c r="S33" s="3" t="s">
        <v>339</v>
      </c>
      <c r="T33" s="25" t="s">
        <v>7120</v>
      </c>
      <c r="U33" s="3" t="s">
        <v>7868</v>
      </c>
      <c r="V33" s="25" t="str">
        <f>HYPERLINK("https://app.askelephant.ai/workspaces/wrks_01JYF7CP38371WK5E5BP8XSHM5/engagements/ngmt_01KG3YJJ4381Q2XXN4AJ8AYTFD", "View Meeting")</f>
        <v>View Meeting</v>
      </c>
      <c r="W33" s="25" t="str">
        <f t="shared" si="3"/>
        <v>Join Zoom</v>
      </c>
      <c r="X33" s="35" t="s">
        <v>248</v>
      </c>
    </row>
    <row r="34">
      <c r="A34" s="3" t="s">
        <v>7895</v>
      </c>
      <c r="B34" s="29">
        <v>46069.51927039352</v>
      </c>
      <c r="C34" s="3" t="s">
        <v>7683</v>
      </c>
      <c r="D34" s="3" t="s">
        <v>430</v>
      </c>
      <c r="E34" s="29" t="s">
        <v>8234</v>
      </c>
      <c r="F34" s="3" t="s">
        <v>8235</v>
      </c>
      <c r="G34" s="3" t="s">
        <v>8236</v>
      </c>
      <c r="H34" s="35" t="s">
        <v>8237</v>
      </c>
      <c r="I34" s="3" t="s">
        <v>8238</v>
      </c>
      <c r="J34" s="3" t="s">
        <v>8239</v>
      </c>
      <c r="K34" s="3" t="s">
        <v>8240</v>
      </c>
      <c r="L34" s="3" t="s">
        <v>8223</v>
      </c>
      <c r="M34" s="19">
        <v>7.0</v>
      </c>
      <c r="N34" s="19">
        <v>1.0</v>
      </c>
      <c r="O34" s="19">
        <v>8.0</v>
      </c>
      <c r="P34" s="3" t="s">
        <v>163</v>
      </c>
      <c r="Q34" s="3" t="s">
        <v>430</v>
      </c>
      <c r="R34" s="3" t="s">
        <v>6161</v>
      </c>
      <c r="S34" s="3" t="s">
        <v>431</v>
      </c>
      <c r="T34" s="25" t="s">
        <v>7095</v>
      </c>
      <c r="U34" s="3" t="s">
        <v>7891</v>
      </c>
      <c r="V34" s="25" t="str">
        <f>HYPERLINK("https://app.askelephant.ai/workspaces/wrks_01JYF7CP38371WK5E5BP8XSHM5/engagements/ngmt_01KH4D0EKWNGAR711GPSXYJ4JM", "View Meeting")</f>
        <v>View Meeting</v>
      </c>
      <c r="W34" s="25" t="str">
        <f>HYPERLINK("https://zoom.us/j/99974375314", "Join Zoom")</f>
        <v>Join Zoom</v>
      </c>
      <c r="X34" s="35" t="s">
        <v>248</v>
      </c>
    </row>
    <row r="35">
      <c r="A35" s="3" t="s">
        <v>7709</v>
      </c>
      <c r="B35" s="29">
        <v>46069.637357430554</v>
      </c>
      <c r="C35" s="3" t="s">
        <v>7706</v>
      </c>
      <c r="D35" s="3" t="s">
        <v>552</v>
      </c>
      <c r="E35" s="29" t="s">
        <v>8241</v>
      </c>
      <c r="F35" s="3" t="s">
        <v>8242</v>
      </c>
      <c r="G35" s="3" t="s">
        <v>8243</v>
      </c>
      <c r="H35" s="35" t="s">
        <v>8244</v>
      </c>
      <c r="I35" s="3" t="s">
        <v>8245</v>
      </c>
      <c r="J35" s="3" t="s">
        <v>8246</v>
      </c>
      <c r="K35" s="3" t="s">
        <v>8247</v>
      </c>
      <c r="L35" s="3" t="s">
        <v>8248</v>
      </c>
      <c r="M35" s="19">
        <v>0.0</v>
      </c>
      <c r="N35" s="19">
        <v>2.0</v>
      </c>
      <c r="O35" s="19">
        <v>2.0</v>
      </c>
      <c r="P35" s="3" t="s">
        <v>6450</v>
      </c>
      <c r="Q35" s="3" t="s">
        <v>552</v>
      </c>
      <c r="R35" s="3" t="s">
        <v>5885</v>
      </c>
      <c r="S35" s="3" t="s">
        <v>553</v>
      </c>
      <c r="T35" s="25" t="s">
        <v>7079</v>
      </c>
      <c r="U35" s="3" t="s">
        <v>7705</v>
      </c>
      <c r="V35" s="25" t="str">
        <f>HYPERLINK("https://app.askelephant.ai/workspaces/wrks_01JYF7CP38371WK5E5BP8XSHM5/engagements/ngmt_01KDW869DG4H1DFY42A46YPE54", "View Meeting")</f>
        <v>View Meeting</v>
      </c>
      <c r="W35" s="25" t="str">
        <f>HYPERLINK("https://zoom.us/j/3742631971?pwd=Z2JhWG1yV1ZtOVBnMVZaRDR0bjVDZz09", "Join Zoom")</f>
        <v>Join Zoom</v>
      </c>
      <c r="X35" s="35" t="s">
        <v>248</v>
      </c>
    </row>
    <row r="36">
      <c r="A36" s="3" t="s">
        <v>7903</v>
      </c>
      <c r="B36" s="29">
        <v>46070.62835087963</v>
      </c>
      <c r="C36" s="3" t="s">
        <v>7689</v>
      </c>
      <c r="D36" s="3" t="s">
        <v>143</v>
      </c>
      <c r="E36" s="29" t="s">
        <v>8249</v>
      </c>
      <c r="F36" s="3" t="s">
        <v>8250</v>
      </c>
      <c r="G36" s="3" t="s">
        <v>8070</v>
      </c>
      <c r="H36" s="35" t="s">
        <v>8251</v>
      </c>
      <c r="I36" s="3" t="s">
        <v>8252</v>
      </c>
      <c r="J36" s="3" t="s">
        <v>8079</v>
      </c>
      <c r="K36" s="3" t="s">
        <v>8080</v>
      </c>
      <c r="L36" s="3" t="s">
        <v>8253</v>
      </c>
      <c r="M36" s="19">
        <v>2.0</v>
      </c>
      <c r="N36" s="19">
        <v>3.0</v>
      </c>
      <c r="O36" s="19">
        <v>5.0</v>
      </c>
      <c r="P36" s="3" t="s">
        <v>142</v>
      </c>
      <c r="Q36" s="3" t="s">
        <v>143</v>
      </c>
      <c r="R36" s="3" t="s">
        <v>6054</v>
      </c>
      <c r="S36" s="3" t="s">
        <v>522</v>
      </c>
      <c r="T36" s="25" t="s">
        <v>7089</v>
      </c>
      <c r="U36" s="3" t="s">
        <v>7901</v>
      </c>
      <c r="V36" s="25" t="str">
        <f>HYPERLINK("https://app.askelephant.ai/workspaces/wrks_01JYF7CP38371WK5E5BP8XSHM5/engagements/ngmt_01KHM71EMSMBYJKN0AX6Z35BQ6", "View Meeting")</f>
        <v>View Meeting</v>
      </c>
      <c r="W36" s="25" t="str">
        <f t="shared" ref="W36:W41" si="4">HYPERLINK("https://zoom.us/j/3628593272?pwd=OfxX2kwpsuA5labBaZXephHbiAXlz9.1", "Join Zoom")</f>
        <v>Join Zoom</v>
      </c>
      <c r="X36" s="35" t="s">
        <v>248</v>
      </c>
    </row>
    <row r="37">
      <c r="A37" s="3" t="s">
        <v>7907</v>
      </c>
      <c r="B37" s="29">
        <v>46071.47575479167</v>
      </c>
      <c r="C37" s="3" t="s">
        <v>7183</v>
      </c>
      <c r="D37" s="3" t="s">
        <v>478</v>
      </c>
      <c r="E37" s="29" t="s">
        <v>8254</v>
      </c>
      <c r="F37" s="3" t="s">
        <v>8255</v>
      </c>
      <c r="G37" s="3" t="s">
        <v>8145</v>
      </c>
      <c r="H37" s="35" t="s">
        <v>8256</v>
      </c>
      <c r="I37" s="3" t="s">
        <v>8191</v>
      </c>
      <c r="J37" s="3" t="s">
        <v>8257</v>
      </c>
      <c r="K37" s="3" t="s">
        <v>8258</v>
      </c>
      <c r="L37" s="3" t="s">
        <v>7643</v>
      </c>
      <c r="M37" s="19">
        <v>1.0</v>
      </c>
      <c r="N37" s="19">
        <v>2.0</v>
      </c>
      <c r="O37" s="19">
        <v>3.0</v>
      </c>
      <c r="P37" s="3" t="s">
        <v>184</v>
      </c>
      <c r="Q37" s="3" t="s">
        <v>478</v>
      </c>
      <c r="R37" s="3" t="s">
        <v>5021</v>
      </c>
      <c r="S37" s="3" t="s">
        <v>479</v>
      </c>
      <c r="T37" s="25" t="s">
        <v>7111</v>
      </c>
      <c r="U37" s="3" t="s">
        <v>7904</v>
      </c>
      <c r="V37" s="25" t="str">
        <f>HYPERLINK("https://app.askelephant.ai/workspaces/wrks_01JYF7CP38371WK5E5BP8XSHM5/engagements/ngmt_01KHPDYG9050NCE3F2N9CJDTTZ", "View Meeting")</f>
        <v>View Meeting</v>
      </c>
      <c r="W37" s="25" t="str">
        <f t="shared" si="4"/>
        <v>Join Zoom</v>
      </c>
      <c r="X37" s="35" t="s">
        <v>248</v>
      </c>
    </row>
    <row r="38">
      <c r="A38" s="3" t="s">
        <v>7911</v>
      </c>
      <c r="B38" s="29">
        <v>46071.63715409722</v>
      </c>
      <c r="C38" s="3" t="s">
        <v>7744</v>
      </c>
      <c r="D38" s="3" t="s">
        <v>209</v>
      </c>
      <c r="E38" s="29" t="s">
        <v>8259</v>
      </c>
      <c r="F38" s="3" t="s">
        <v>8260</v>
      </c>
      <c r="G38" s="3" t="s">
        <v>8261</v>
      </c>
      <c r="H38" s="35" t="s">
        <v>8262</v>
      </c>
      <c r="I38" s="3" t="s">
        <v>8263</v>
      </c>
      <c r="J38" s="3" t="s">
        <v>8263</v>
      </c>
      <c r="K38" s="3" t="s">
        <v>8264</v>
      </c>
      <c r="L38" s="3" t="s">
        <v>7910</v>
      </c>
      <c r="M38" s="19">
        <v>7.0</v>
      </c>
      <c r="N38" s="19">
        <v>3.0</v>
      </c>
      <c r="O38" s="19">
        <v>10.0</v>
      </c>
      <c r="P38" s="3" t="s">
        <v>208</v>
      </c>
      <c r="Q38" s="3" t="s">
        <v>209</v>
      </c>
      <c r="R38" s="3" t="s">
        <v>6076</v>
      </c>
      <c r="S38" s="3" t="s">
        <v>350</v>
      </c>
      <c r="T38" s="25" t="s">
        <v>7086</v>
      </c>
      <c r="U38" s="3" t="s">
        <v>7908</v>
      </c>
      <c r="V38" s="25" t="str">
        <f>HYPERLINK("https://app.askelephant.ai/workspaces/wrks_01JYF7CP38371WK5E5BP8XSHM5/engagements/ngmt_01KHKZPWVF2JBHW4CY4JQMD5FZ", "View Meeting")</f>
        <v>View Meeting</v>
      </c>
      <c r="W38" s="25" t="str">
        <f t="shared" si="4"/>
        <v>Join Zoom</v>
      </c>
      <c r="X38" s="35" t="s">
        <v>248</v>
      </c>
    </row>
    <row r="39">
      <c r="A39" s="3" t="s">
        <v>7913</v>
      </c>
      <c r="B39" s="29">
        <v>46072.496352222224</v>
      </c>
      <c r="C39" s="3" t="s">
        <v>7420</v>
      </c>
      <c r="D39" s="3" t="s">
        <v>126</v>
      </c>
      <c r="E39" s="29" t="s">
        <v>8265</v>
      </c>
      <c r="F39" s="3" t="s">
        <v>8266</v>
      </c>
      <c r="G39" s="3" t="s">
        <v>8051</v>
      </c>
      <c r="H39" s="35" t="s">
        <v>8267</v>
      </c>
      <c r="I39" s="3" t="s">
        <v>8268</v>
      </c>
      <c r="J39" s="3" t="s">
        <v>8177</v>
      </c>
      <c r="K39" s="3" t="s">
        <v>8178</v>
      </c>
      <c r="L39" s="3" t="s">
        <v>8269</v>
      </c>
      <c r="M39" s="19">
        <v>1.0</v>
      </c>
      <c r="N39" s="19">
        <v>3.0</v>
      </c>
      <c r="O39" s="19">
        <v>4.0</v>
      </c>
      <c r="P39" s="3" t="s">
        <v>125</v>
      </c>
      <c r="Q39" s="3" t="s">
        <v>126</v>
      </c>
      <c r="R39" s="3" t="s">
        <v>6089</v>
      </c>
      <c r="S39" s="3" t="s">
        <v>562</v>
      </c>
      <c r="T39" s="25" t="s">
        <v>7100</v>
      </c>
      <c r="U39" s="3" t="s">
        <v>7659</v>
      </c>
      <c r="V39" s="25" t="str">
        <f>HYPERLINK("https://app.askelephant.ai/workspaces/wrks_01JYF7CP38371WK5E5BP8XSHM5/engagements/ngmt_01KFNSQ7HM07ZJ8MA73VC477DB", "View Meeting")</f>
        <v>View Meeting</v>
      </c>
      <c r="W39" s="25" t="str">
        <f t="shared" si="4"/>
        <v>Join Zoom</v>
      </c>
      <c r="X39" s="35" t="s">
        <v>248</v>
      </c>
    </row>
    <row r="40">
      <c r="A40" s="3" t="s">
        <v>7918</v>
      </c>
      <c r="B40" s="29">
        <v>46072.55884784722</v>
      </c>
      <c r="C40" s="3" t="s">
        <v>7797</v>
      </c>
      <c r="D40" s="3" t="s">
        <v>329</v>
      </c>
      <c r="E40" s="29" t="s">
        <v>8270</v>
      </c>
      <c r="F40" s="3" t="s">
        <v>8271</v>
      </c>
      <c r="G40" s="3" t="s">
        <v>8272</v>
      </c>
      <c r="H40" s="35" t="s">
        <v>8273</v>
      </c>
      <c r="I40" s="3" t="s">
        <v>8274</v>
      </c>
      <c r="J40" s="3" t="s">
        <v>8275</v>
      </c>
      <c r="K40" s="3" t="s">
        <v>8276</v>
      </c>
      <c r="L40" s="3" t="s">
        <v>8277</v>
      </c>
      <c r="M40" s="19">
        <v>3.0</v>
      </c>
      <c r="N40" s="19">
        <v>5.0</v>
      </c>
      <c r="O40" s="19">
        <v>8.0</v>
      </c>
      <c r="P40" s="3" t="s">
        <v>154</v>
      </c>
      <c r="Q40" s="3" t="s">
        <v>329</v>
      </c>
      <c r="R40" s="3" t="s">
        <v>3236</v>
      </c>
      <c r="S40" s="3" t="s">
        <v>330</v>
      </c>
      <c r="T40" s="25" t="s">
        <v>7093</v>
      </c>
      <c r="U40" s="3" t="s">
        <v>7914</v>
      </c>
      <c r="V40" s="25" t="str">
        <f>HYPERLINK("https://app.askelephant.ai/workspaces/wrks_01JYF7CP38371WK5E5BP8XSHM5/engagements/ngmt_01KH6Z8BAF8NFYDEA4X2C1KG06", "View Meeting")</f>
        <v>View Meeting</v>
      </c>
      <c r="W40" s="25" t="str">
        <f t="shared" si="4"/>
        <v>Join Zoom</v>
      </c>
      <c r="X40" s="35" t="s">
        <v>248</v>
      </c>
    </row>
    <row r="41">
      <c r="A41" s="3" t="s">
        <v>7922</v>
      </c>
      <c r="B41" s="29">
        <v>46072.58506010417</v>
      </c>
      <c r="C41" s="3" t="s">
        <v>7249</v>
      </c>
      <c r="D41" s="3" t="s">
        <v>188</v>
      </c>
      <c r="E41" s="29" t="s">
        <v>8278</v>
      </c>
      <c r="F41" s="3" t="s">
        <v>8279</v>
      </c>
      <c r="G41" s="3" t="s">
        <v>8153</v>
      </c>
      <c r="H41" s="35" t="s">
        <v>8280</v>
      </c>
      <c r="I41" s="3" t="s">
        <v>8281</v>
      </c>
      <c r="J41" s="3" t="s">
        <v>8282</v>
      </c>
      <c r="K41" s="3" t="s">
        <v>8283</v>
      </c>
      <c r="L41" s="3" t="s">
        <v>8284</v>
      </c>
      <c r="M41" s="19">
        <v>1.0</v>
      </c>
      <c r="N41" s="19">
        <v>4.0</v>
      </c>
      <c r="O41" s="19">
        <v>5.0</v>
      </c>
      <c r="P41" s="3" t="s">
        <v>187</v>
      </c>
      <c r="Q41" s="3" t="s">
        <v>188</v>
      </c>
      <c r="R41" s="3" t="s">
        <v>2527</v>
      </c>
      <c r="S41" s="3" t="s">
        <v>447</v>
      </c>
      <c r="T41" s="25" t="s">
        <v>7094</v>
      </c>
      <c r="U41" s="3" t="s">
        <v>7919</v>
      </c>
      <c r="V41" s="25" t="str">
        <f>HYPERLINK("https://app.askelephant.ai/workspaces/wrks_01JYF7CP38371WK5E5BP8XSHM5/engagements/ngmt_01KH41TQ0A5B6FKJ9ZVP18JZWP", "View Meeting")</f>
        <v>View Meeting</v>
      </c>
      <c r="W41" s="25" t="str">
        <f t="shared" si="4"/>
        <v>Join Zoom</v>
      </c>
      <c r="X41" s="35" t="s">
        <v>248</v>
      </c>
    </row>
    <row r="42">
      <c r="X42" s="34"/>
    </row>
    <row r="43">
      <c r="X43" s="34"/>
    </row>
    <row r="44">
      <c r="X44" s="34"/>
    </row>
    <row r="45">
      <c r="X45" s="34"/>
    </row>
    <row r="46">
      <c r="X46" s="34"/>
    </row>
    <row r="47">
      <c r="X47" s="34"/>
    </row>
    <row r="48">
      <c r="X48" s="34"/>
    </row>
    <row r="49">
      <c r="X49" s="34"/>
    </row>
    <row r="50">
      <c r="X50" s="34"/>
    </row>
    <row r="51">
      <c r="X51" s="34"/>
    </row>
    <row r="52">
      <c r="X52" s="34"/>
    </row>
    <row r="53">
      <c r="X53" s="34"/>
    </row>
    <row r="54">
      <c r="X54" s="34"/>
    </row>
    <row r="55">
      <c r="X55" s="34"/>
    </row>
    <row r="56">
      <c r="X56" s="34"/>
    </row>
    <row r="57">
      <c r="X57" s="34"/>
    </row>
    <row r="58">
      <c r="X58" s="34"/>
    </row>
    <row r="59">
      <c r="X59" s="34"/>
    </row>
    <row r="60">
      <c r="X60" s="34"/>
    </row>
    <row r="61">
      <c r="X61" s="34"/>
    </row>
    <row r="62">
      <c r="X62" s="34"/>
    </row>
    <row r="63">
      <c r="X63" s="34"/>
    </row>
    <row r="64">
      <c r="X64" s="34"/>
    </row>
    <row r="65">
      <c r="X65" s="34"/>
    </row>
    <row r="66">
      <c r="X66" s="34"/>
    </row>
    <row r="67">
      <c r="X67" s="34"/>
    </row>
    <row r="68">
      <c r="X68" s="34"/>
    </row>
    <row r="69">
      <c r="X69" s="34"/>
    </row>
    <row r="70">
      <c r="X70" s="34"/>
    </row>
    <row r="71">
      <c r="X71" s="34"/>
    </row>
    <row r="72">
      <c r="X72" s="34"/>
    </row>
    <row r="73">
      <c r="X73" s="34"/>
    </row>
    <row r="74">
      <c r="X74" s="34"/>
    </row>
    <row r="75">
      <c r="X75" s="34"/>
    </row>
    <row r="76">
      <c r="X76" s="34"/>
    </row>
    <row r="77">
      <c r="X77" s="34"/>
    </row>
    <row r="78">
      <c r="X78" s="34"/>
    </row>
    <row r="79">
      <c r="X79" s="34"/>
    </row>
    <row r="80">
      <c r="X80" s="34"/>
    </row>
    <row r="81">
      <c r="X81" s="34"/>
    </row>
    <row r="82">
      <c r="X82" s="34"/>
    </row>
    <row r="83">
      <c r="X83" s="34"/>
    </row>
    <row r="84">
      <c r="X84" s="34"/>
    </row>
    <row r="85">
      <c r="X85" s="34"/>
    </row>
    <row r="86">
      <c r="X86" s="34"/>
    </row>
    <row r="87">
      <c r="X87" s="34"/>
    </row>
    <row r="88">
      <c r="X88" s="34"/>
    </row>
    <row r="89">
      <c r="X89" s="34"/>
    </row>
    <row r="90">
      <c r="X90" s="34"/>
    </row>
    <row r="91">
      <c r="X91" s="34"/>
    </row>
    <row r="92">
      <c r="X92" s="34"/>
    </row>
    <row r="93">
      <c r="X93" s="34"/>
    </row>
    <row r="94">
      <c r="X94" s="34"/>
    </row>
    <row r="95">
      <c r="X95" s="34"/>
    </row>
    <row r="96">
      <c r="X96" s="34"/>
    </row>
    <row r="97">
      <c r="X97" s="34"/>
    </row>
    <row r="98">
      <c r="X98" s="34"/>
    </row>
    <row r="99">
      <c r="X99" s="34"/>
    </row>
    <row r="100">
      <c r="X100" s="34"/>
    </row>
    <row r="101">
      <c r="X101" s="34"/>
    </row>
    <row r="102">
      <c r="X102" s="34"/>
    </row>
    <row r="103">
      <c r="X103" s="34"/>
    </row>
    <row r="104">
      <c r="X104" s="34"/>
    </row>
    <row r="105">
      <c r="X105" s="34"/>
    </row>
    <row r="106">
      <c r="X106" s="34"/>
    </row>
    <row r="107">
      <c r="X107" s="34"/>
    </row>
    <row r="108">
      <c r="X108" s="34"/>
    </row>
    <row r="109">
      <c r="X109" s="34"/>
    </row>
    <row r="110">
      <c r="X110" s="34"/>
    </row>
    <row r="111">
      <c r="X111" s="34"/>
    </row>
    <row r="112">
      <c r="X112" s="34"/>
    </row>
    <row r="113">
      <c r="X113" s="34"/>
    </row>
    <row r="114">
      <c r="X114" s="34"/>
    </row>
    <row r="115">
      <c r="X115" s="34"/>
    </row>
    <row r="116">
      <c r="X116" s="34"/>
    </row>
    <row r="117">
      <c r="X117" s="34"/>
    </row>
    <row r="118">
      <c r="X118" s="34"/>
    </row>
    <row r="119">
      <c r="X119" s="34"/>
    </row>
    <row r="120">
      <c r="X120" s="34"/>
    </row>
    <row r="121">
      <c r="X121" s="34"/>
    </row>
    <row r="122">
      <c r="X122" s="34"/>
    </row>
    <row r="123">
      <c r="X123" s="34"/>
    </row>
    <row r="124">
      <c r="X124" s="34"/>
    </row>
    <row r="125">
      <c r="X125" s="34"/>
    </row>
    <row r="126">
      <c r="X126" s="34"/>
    </row>
    <row r="127">
      <c r="X127" s="34"/>
    </row>
    <row r="128">
      <c r="X128" s="34"/>
    </row>
    <row r="129">
      <c r="X129" s="34"/>
    </row>
    <row r="130">
      <c r="X130" s="34"/>
    </row>
    <row r="131">
      <c r="X131" s="34"/>
    </row>
    <row r="132">
      <c r="X132" s="34"/>
    </row>
    <row r="133">
      <c r="X133" s="34"/>
    </row>
    <row r="134">
      <c r="X134" s="34"/>
    </row>
    <row r="135">
      <c r="X135" s="34"/>
    </row>
    <row r="136">
      <c r="X136" s="34"/>
    </row>
    <row r="137">
      <c r="X137" s="34"/>
    </row>
    <row r="138">
      <c r="X138" s="34"/>
    </row>
    <row r="139">
      <c r="X139" s="34"/>
    </row>
    <row r="140">
      <c r="X140" s="34"/>
    </row>
    <row r="141">
      <c r="X141" s="34"/>
    </row>
    <row r="142">
      <c r="X142" s="34"/>
    </row>
    <row r="143">
      <c r="X143" s="34"/>
    </row>
    <row r="144">
      <c r="X144" s="34"/>
    </row>
    <row r="145">
      <c r="X145" s="34"/>
    </row>
    <row r="146">
      <c r="X146" s="34"/>
    </row>
    <row r="147">
      <c r="X147" s="34"/>
    </row>
    <row r="148">
      <c r="X148" s="34"/>
    </row>
    <row r="149">
      <c r="X149" s="34"/>
    </row>
    <row r="150">
      <c r="X150" s="34"/>
    </row>
    <row r="151">
      <c r="X151" s="34"/>
    </row>
    <row r="152">
      <c r="X152" s="34"/>
    </row>
    <row r="153">
      <c r="X153" s="34"/>
    </row>
    <row r="154">
      <c r="X154" s="34"/>
    </row>
    <row r="155">
      <c r="X155" s="34"/>
    </row>
    <row r="156">
      <c r="X156" s="34"/>
    </row>
    <row r="157">
      <c r="X157" s="34"/>
    </row>
    <row r="158">
      <c r="X158" s="34"/>
    </row>
    <row r="159">
      <c r="X159" s="34"/>
    </row>
    <row r="160">
      <c r="X160" s="34"/>
    </row>
    <row r="161">
      <c r="X161" s="34"/>
    </row>
    <row r="162">
      <c r="X162" s="34"/>
    </row>
    <row r="163">
      <c r="X163" s="34"/>
    </row>
    <row r="164">
      <c r="X164" s="34"/>
    </row>
    <row r="165">
      <c r="X165" s="34"/>
    </row>
    <row r="166">
      <c r="X166" s="34"/>
    </row>
    <row r="167">
      <c r="X167" s="34"/>
    </row>
    <row r="168">
      <c r="X168" s="34"/>
    </row>
    <row r="169">
      <c r="X169" s="34"/>
    </row>
    <row r="170">
      <c r="X170" s="34"/>
    </row>
    <row r="171">
      <c r="X171" s="34"/>
    </row>
    <row r="172">
      <c r="X172" s="34"/>
    </row>
    <row r="173">
      <c r="X173" s="34"/>
    </row>
    <row r="174">
      <c r="X174" s="34"/>
    </row>
    <row r="175">
      <c r="X175" s="34"/>
    </row>
    <row r="176">
      <c r="X176" s="34"/>
    </row>
    <row r="177">
      <c r="X177" s="34"/>
    </row>
    <row r="178">
      <c r="X178" s="34"/>
    </row>
    <row r="179">
      <c r="X179" s="34"/>
    </row>
    <row r="180">
      <c r="X180" s="34"/>
    </row>
    <row r="181">
      <c r="X181" s="34"/>
    </row>
    <row r="182">
      <c r="X182" s="34"/>
    </row>
    <row r="183">
      <c r="X183" s="34"/>
    </row>
    <row r="184">
      <c r="X184" s="34"/>
    </row>
    <row r="185">
      <c r="X185" s="34"/>
    </row>
    <row r="186">
      <c r="X186" s="34"/>
    </row>
    <row r="187">
      <c r="X187" s="34"/>
    </row>
    <row r="188">
      <c r="X188" s="34"/>
    </row>
    <row r="189">
      <c r="X189" s="34"/>
    </row>
    <row r="190">
      <c r="X190" s="34"/>
    </row>
    <row r="191">
      <c r="X191" s="34"/>
    </row>
    <row r="192">
      <c r="X192" s="34"/>
    </row>
    <row r="193">
      <c r="X193" s="34"/>
    </row>
    <row r="194">
      <c r="X194" s="34"/>
    </row>
    <row r="195">
      <c r="X195" s="34"/>
    </row>
    <row r="196">
      <c r="X196" s="34"/>
    </row>
    <row r="197">
      <c r="X197" s="34"/>
    </row>
    <row r="198">
      <c r="X198" s="34"/>
    </row>
    <row r="199">
      <c r="X199" s="34"/>
    </row>
    <row r="200">
      <c r="X200" s="34"/>
    </row>
    <row r="201">
      <c r="X201" s="34"/>
    </row>
    <row r="202">
      <c r="X202" s="34"/>
    </row>
    <row r="203">
      <c r="X203" s="34"/>
    </row>
    <row r="204">
      <c r="X204" s="34"/>
    </row>
    <row r="205">
      <c r="X205" s="34"/>
    </row>
    <row r="206">
      <c r="X206" s="34"/>
    </row>
    <row r="207">
      <c r="X207" s="34"/>
    </row>
    <row r="208">
      <c r="X208" s="34"/>
    </row>
    <row r="209">
      <c r="X209" s="34"/>
    </row>
    <row r="210">
      <c r="X210" s="34"/>
    </row>
    <row r="211">
      <c r="X211" s="34"/>
    </row>
    <row r="212">
      <c r="X212" s="34"/>
    </row>
    <row r="213">
      <c r="X213" s="34"/>
    </row>
    <row r="214">
      <c r="X214" s="34"/>
    </row>
    <row r="215">
      <c r="X215" s="34"/>
    </row>
    <row r="216">
      <c r="X216" s="34"/>
    </row>
    <row r="217">
      <c r="X217" s="34"/>
    </row>
    <row r="218">
      <c r="X218" s="34"/>
    </row>
    <row r="219">
      <c r="X219" s="34"/>
    </row>
    <row r="220">
      <c r="X220" s="34"/>
    </row>
    <row r="221">
      <c r="X221" s="34"/>
    </row>
    <row r="222">
      <c r="X222" s="34"/>
    </row>
    <row r="223">
      <c r="X223" s="34"/>
    </row>
    <row r="224">
      <c r="X224" s="34"/>
    </row>
    <row r="225">
      <c r="X225" s="34"/>
    </row>
    <row r="226">
      <c r="X226" s="34"/>
    </row>
    <row r="227">
      <c r="X227" s="34"/>
    </row>
    <row r="228">
      <c r="X228" s="34"/>
    </row>
    <row r="229">
      <c r="X229" s="34"/>
    </row>
    <row r="230">
      <c r="X230" s="34"/>
    </row>
    <row r="231">
      <c r="X231" s="34"/>
    </row>
    <row r="232">
      <c r="X232" s="34"/>
    </row>
    <row r="233">
      <c r="X233" s="34"/>
    </row>
    <row r="234">
      <c r="X234" s="34"/>
    </row>
    <row r="235">
      <c r="X235" s="34"/>
    </row>
    <row r="236">
      <c r="X236" s="34"/>
    </row>
    <row r="237">
      <c r="X237" s="34"/>
    </row>
    <row r="238">
      <c r="X238" s="34"/>
    </row>
    <row r="239">
      <c r="X239" s="34"/>
    </row>
    <row r="240">
      <c r="X240" s="34"/>
    </row>
    <row r="241">
      <c r="X241" s="34"/>
    </row>
    <row r="242">
      <c r="X242" s="34"/>
    </row>
    <row r="243">
      <c r="X243" s="34"/>
    </row>
    <row r="244">
      <c r="X244" s="34"/>
    </row>
    <row r="245">
      <c r="X245" s="34"/>
    </row>
    <row r="246">
      <c r="X246" s="34"/>
    </row>
    <row r="247">
      <c r="X247" s="34"/>
    </row>
    <row r="248">
      <c r="X248" s="34"/>
    </row>
    <row r="249">
      <c r="X249" s="34"/>
    </row>
    <row r="250">
      <c r="X250" s="34"/>
    </row>
    <row r="251">
      <c r="X251" s="34"/>
    </row>
    <row r="252">
      <c r="X252" s="34"/>
    </row>
    <row r="253">
      <c r="X253" s="34"/>
    </row>
    <row r="254">
      <c r="X254" s="34"/>
    </row>
    <row r="255">
      <c r="X255" s="34"/>
    </row>
    <row r="256">
      <c r="X256" s="34"/>
    </row>
    <row r="257">
      <c r="X257" s="34"/>
    </row>
    <row r="258">
      <c r="X258" s="34"/>
    </row>
    <row r="259">
      <c r="X259" s="34"/>
    </row>
    <row r="260">
      <c r="X260" s="34"/>
    </row>
    <row r="261">
      <c r="X261" s="34"/>
    </row>
    <row r="262">
      <c r="X262" s="34"/>
    </row>
    <row r="263">
      <c r="X263" s="34"/>
    </row>
    <row r="264">
      <c r="X264" s="34"/>
    </row>
    <row r="265">
      <c r="X265" s="34"/>
    </row>
    <row r="266">
      <c r="X266" s="34"/>
    </row>
    <row r="267">
      <c r="X267" s="34"/>
    </row>
    <row r="268">
      <c r="X268" s="34"/>
    </row>
    <row r="269">
      <c r="X269" s="34"/>
    </row>
    <row r="270">
      <c r="X270" s="34"/>
    </row>
    <row r="271">
      <c r="X271" s="34"/>
    </row>
    <row r="272">
      <c r="X272" s="34"/>
    </row>
    <row r="273">
      <c r="X273" s="34"/>
    </row>
    <row r="274">
      <c r="X274" s="34"/>
    </row>
    <row r="275">
      <c r="X275" s="34"/>
    </row>
    <row r="276">
      <c r="X276" s="34"/>
    </row>
    <row r="277">
      <c r="X277" s="34"/>
    </row>
    <row r="278">
      <c r="X278" s="34"/>
    </row>
    <row r="279">
      <c r="X279" s="34"/>
    </row>
    <row r="280">
      <c r="X280" s="34"/>
    </row>
    <row r="281">
      <c r="X281" s="34"/>
    </row>
    <row r="282">
      <c r="X282" s="34"/>
    </row>
    <row r="283">
      <c r="X283" s="34"/>
    </row>
    <row r="284">
      <c r="X284" s="34"/>
    </row>
    <row r="285">
      <c r="X285" s="34"/>
    </row>
    <row r="286">
      <c r="X286" s="34"/>
    </row>
    <row r="287">
      <c r="X287" s="34"/>
    </row>
    <row r="288">
      <c r="X288" s="34"/>
    </row>
    <row r="289">
      <c r="X289" s="34"/>
    </row>
    <row r="290">
      <c r="X290" s="34"/>
    </row>
    <row r="291">
      <c r="X291" s="34"/>
    </row>
    <row r="292">
      <c r="X292" s="34"/>
    </row>
    <row r="293">
      <c r="X293" s="34"/>
    </row>
    <row r="294">
      <c r="X294" s="34"/>
    </row>
    <row r="295">
      <c r="X295" s="34"/>
    </row>
    <row r="296">
      <c r="X296" s="34"/>
    </row>
    <row r="297">
      <c r="X297" s="34"/>
    </row>
    <row r="298">
      <c r="X298" s="34"/>
    </row>
    <row r="299">
      <c r="X299" s="34"/>
    </row>
    <row r="300">
      <c r="X300" s="34"/>
    </row>
    <row r="301">
      <c r="X301" s="34"/>
    </row>
    <row r="302">
      <c r="X302" s="34"/>
    </row>
    <row r="303">
      <c r="X303" s="34"/>
    </row>
    <row r="304">
      <c r="X304" s="34"/>
    </row>
    <row r="305">
      <c r="X305" s="34"/>
    </row>
    <row r="306">
      <c r="X306" s="34"/>
    </row>
    <row r="307">
      <c r="X307" s="34"/>
    </row>
    <row r="308">
      <c r="X308" s="34"/>
    </row>
    <row r="309">
      <c r="X309" s="34"/>
    </row>
    <row r="310">
      <c r="X310" s="34"/>
    </row>
    <row r="311">
      <c r="X311" s="34"/>
    </row>
    <row r="312">
      <c r="X312" s="34"/>
    </row>
    <row r="313">
      <c r="X313" s="34"/>
    </row>
    <row r="314">
      <c r="X314" s="34"/>
    </row>
    <row r="315">
      <c r="X315" s="34"/>
    </row>
    <row r="316">
      <c r="X316" s="34"/>
    </row>
    <row r="317">
      <c r="X317" s="34"/>
    </row>
    <row r="318">
      <c r="X318" s="34"/>
    </row>
    <row r="319">
      <c r="X319" s="34"/>
    </row>
    <row r="320">
      <c r="X320" s="34"/>
    </row>
    <row r="321">
      <c r="X321" s="34"/>
    </row>
    <row r="322">
      <c r="X322" s="34"/>
    </row>
    <row r="323">
      <c r="X323" s="34"/>
    </row>
    <row r="324">
      <c r="X324" s="34"/>
    </row>
    <row r="325">
      <c r="X325" s="34"/>
    </row>
    <row r="326">
      <c r="X326" s="34"/>
    </row>
    <row r="327">
      <c r="X327" s="34"/>
    </row>
    <row r="328">
      <c r="X328" s="34"/>
    </row>
    <row r="329">
      <c r="X329" s="34"/>
    </row>
    <row r="330">
      <c r="X330" s="34"/>
    </row>
    <row r="331">
      <c r="X331" s="34"/>
    </row>
    <row r="332">
      <c r="X332" s="34"/>
    </row>
    <row r="333">
      <c r="X333" s="34"/>
    </row>
    <row r="334">
      <c r="X334" s="34"/>
    </row>
    <row r="335">
      <c r="X335" s="34"/>
    </row>
    <row r="336">
      <c r="X336" s="34"/>
    </row>
    <row r="337">
      <c r="X337" s="34"/>
    </row>
    <row r="338">
      <c r="X338" s="34"/>
    </row>
    <row r="339">
      <c r="X339" s="34"/>
    </row>
    <row r="340">
      <c r="X340" s="34"/>
    </row>
    <row r="341">
      <c r="X341" s="34"/>
    </row>
    <row r="342">
      <c r="X342" s="34"/>
    </row>
    <row r="343">
      <c r="X343" s="34"/>
    </row>
    <row r="344">
      <c r="X344" s="34"/>
    </row>
    <row r="345">
      <c r="X345" s="34"/>
    </row>
    <row r="346">
      <c r="X346" s="34"/>
    </row>
    <row r="347">
      <c r="X347" s="34"/>
    </row>
    <row r="348">
      <c r="X348" s="34"/>
    </row>
    <row r="349">
      <c r="X349" s="34"/>
    </row>
    <row r="350">
      <c r="X350" s="34"/>
    </row>
    <row r="351">
      <c r="X351" s="34"/>
    </row>
    <row r="352">
      <c r="X352" s="34"/>
    </row>
    <row r="353">
      <c r="X353" s="34"/>
    </row>
    <row r="354">
      <c r="X354" s="34"/>
    </row>
    <row r="355">
      <c r="X355" s="34"/>
    </row>
    <row r="356">
      <c r="X356" s="34"/>
    </row>
    <row r="357">
      <c r="X357" s="34"/>
    </row>
    <row r="358">
      <c r="X358" s="34"/>
    </row>
    <row r="359">
      <c r="X359" s="34"/>
    </row>
    <row r="360">
      <c r="X360" s="34"/>
    </row>
    <row r="361">
      <c r="X361" s="34"/>
    </row>
    <row r="362">
      <c r="X362" s="34"/>
    </row>
    <row r="363">
      <c r="X363" s="34"/>
    </row>
    <row r="364">
      <c r="X364" s="34"/>
    </row>
    <row r="365">
      <c r="X365" s="34"/>
    </row>
    <row r="366">
      <c r="X366" s="34"/>
    </row>
    <row r="367">
      <c r="X367" s="34"/>
    </row>
    <row r="368">
      <c r="X368" s="34"/>
    </row>
    <row r="369">
      <c r="X369" s="34"/>
    </row>
    <row r="370">
      <c r="X370" s="34"/>
    </row>
    <row r="371">
      <c r="X371" s="34"/>
    </row>
    <row r="372">
      <c r="X372" s="34"/>
    </row>
    <row r="373">
      <c r="X373" s="34"/>
    </row>
    <row r="374">
      <c r="X374" s="34"/>
    </row>
    <row r="375">
      <c r="X375" s="34"/>
    </row>
    <row r="376">
      <c r="X376" s="34"/>
    </row>
    <row r="377">
      <c r="X377" s="34"/>
    </row>
    <row r="378">
      <c r="X378" s="34"/>
    </row>
    <row r="379">
      <c r="X379" s="34"/>
    </row>
    <row r="380">
      <c r="X380" s="34"/>
    </row>
    <row r="381">
      <c r="X381" s="34"/>
    </row>
    <row r="382">
      <c r="X382" s="34"/>
    </row>
    <row r="383">
      <c r="X383" s="34"/>
    </row>
    <row r="384">
      <c r="X384" s="34"/>
    </row>
    <row r="385">
      <c r="X385" s="34"/>
    </row>
    <row r="386">
      <c r="X386" s="34"/>
    </row>
    <row r="387">
      <c r="X387" s="34"/>
    </row>
    <row r="388">
      <c r="X388" s="34"/>
    </row>
    <row r="389">
      <c r="X389" s="34"/>
    </row>
    <row r="390">
      <c r="X390" s="34"/>
    </row>
    <row r="391">
      <c r="X391" s="34"/>
    </row>
    <row r="392">
      <c r="X392" s="34"/>
    </row>
    <row r="393">
      <c r="X393" s="34"/>
    </row>
    <row r="394">
      <c r="X394" s="34"/>
    </row>
    <row r="395">
      <c r="X395" s="34"/>
    </row>
    <row r="396">
      <c r="X396" s="34"/>
    </row>
    <row r="397">
      <c r="X397" s="34"/>
    </row>
    <row r="398">
      <c r="X398" s="34"/>
    </row>
    <row r="399">
      <c r="X399" s="34"/>
    </row>
    <row r="400">
      <c r="X400" s="34"/>
    </row>
    <row r="401">
      <c r="X401" s="34"/>
    </row>
    <row r="402">
      <c r="X402" s="34"/>
    </row>
    <row r="403">
      <c r="X403" s="34"/>
    </row>
    <row r="404">
      <c r="X404" s="34"/>
    </row>
    <row r="405">
      <c r="X405" s="34"/>
    </row>
    <row r="406">
      <c r="X406" s="34"/>
    </row>
    <row r="407">
      <c r="X407" s="34"/>
    </row>
    <row r="408">
      <c r="X408" s="34"/>
    </row>
    <row r="409">
      <c r="X409" s="34"/>
    </row>
    <row r="410">
      <c r="X410" s="34"/>
    </row>
    <row r="411">
      <c r="X411" s="34"/>
    </row>
    <row r="412">
      <c r="X412" s="34"/>
    </row>
    <row r="413">
      <c r="X413" s="34"/>
    </row>
    <row r="414">
      <c r="X414" s="34"/>
    </row>
    <row r="415">
      <c r="X415" s="34"/>
    </row>
    <row r="416">
      <c r="X416" s="34"/>
    </row>
    <row r="417">
      <c r="X417" s="34"/>
    </row>
    <row r="418">
      <c r="X418" s="34"/>
    </row>
    <row r="419">
      <c r="X419" s="34"/>
    </row>
    <row r="420">
      <c r="X420" s="34"/>
    </row>
    <row r="421">
      <c r="X421" s="34"/>
    </row>
    <row r="422">
      <c r="X422" s="34"/>
    </row>
    <row r="423">
      <c r="X423" s="34"/>
    </row>
    <row r="424">
      <c r="X424" s="34"/>
    </row>
    <row r="425">
      <c r="X425" s="34"/>
    </row>
    <row r="426">
      <c r="X426" s="34"/>
    </row>
    <row r="427">
      <c r="X427" s="34"/>
    </row>
    <row r="428">
      <c r="X428" s="34"/>
    </row>
    <row r="429">
      <c r="X429" s="34"/>
    </row>
    <row r="430">
      <c r="X430" s="34"/>
    </row>
    <row r="431">
      <c r="X431" s="34"/>
    </row>
    <row r="432">
      <c r="X432" s="34"/>
    </row>
    <row r="433">
      <c r="X433" s="34"/>
    </row>
    <row r="434">
      <c r="X434" s="34"/>
    </row>
    <row r="435">
      <c r="X435" s="34"/>
    </row>
    <row r="436">
      <c r="X436" s="34"/>
    </row>
    <row r="437">
      <c r="X437" s="34"/>
    </row>
    <row r="438">
      <c r="X438" s="34"/>
    </row>
    <row r="439">
      <c r="X439" s="34"/>
    </row>
    <row r="440">
      <c r="X440" s="34"/>
    </row>
    <row r="441">
      <c r="X441" s="34"/>
    </row>
    <row r="442">
      <c r="X442" s="34"/>
    </row>
    <row r="443">
      <c r="X443" s="34"/>
    </row>
    <row r="444">
      <c r="X444" s="34"/>
    </row>
    <row r="445">
      <c r="X445" s="34"/>
    </row>
    <row r="446">
      <c r="X446" s="34"/>
    </row>
    <row r="447">
      <c r="X447" s="34"/>
    </row>
    <row r="448">
      <c r="X448" s="34"/>
    </row>
    <row r="449">
      <c r="X449" s="34"/>
    </row>
    <row r="450">
      <c r="X450" s="34"/>
    </row>
    <row r="451">
      <c r="X451" s="34"/>
    </row>
    <row r="452">
      <c r="X452" s="34"/>
    </row>
    <row r="453">
      <c r="X453" s="34"/>
    </row>
    <row r="454">
      <c r="X454" s="34"/>
    </row>
    <row r="455">
      <c r="X455" s="34"/>
    </row>
    <row r="456">
      <c r="X456" s="34"/>
    </row>
    <row r="457">
      <c r="X457" s="34"/>
    </row>
    <row r="458">
      <c r="X458" s="34"/>
    </row>
    <row r="459">
      <c r="X459" s="34"/>
    </row>
    <row r="460">
      <c r="X460" s="34"/>
    </row>
    <row r="461">
      <c r="X461" s="34"/>
    </row>
    <row r="462">
      <c r="X462" s="34"/>
    </row>
    <row r="463">
      <c r="X463" s="34"/>
    </row>
    <row r="464">
      <c r="X464" s="34"/>
    </row>
    <row r="465">
      <c r="X465" s="34"/>
    </row>
    <row r="466">
      <c r="X466" s="34"/>
    </row>
    <row r="467">
      <c r="X467" s="34"/>
    </row>
    <row r="468">
      <c r="X468" s="34"/>
    </row>
    <row r="469">
      <c r="X469" s="34"/>
    </row>
    <row r="470">
      <c r="X470" s="34"/>
    </row>
    <row r="471">
      <c r="X471" s="34"/>
    </row>
    <row r="472">
      <c r="X472" s="34"/>
    </row>
    <row r="473">
      <c r="X473" s="34"/>
    </row>
    <row r="474">
      <c r="X474" s="34"/>
    </row>
    <row r="475">
      <c r="X475" s="34"/>
    </row>
    <row r="476">
      <c r="X476" s="34"/>
    </row>
    <row r="477">
      <c r="X477" s="34"/>
    </row>
    <row r="478">
      <c r="X478" s="34"/>
    </row>
    <row r="479">
      <c r="X479" s="34"/>
    </row>
    <row r="480">
      <c r="X480" s="34"/>
    </row>
    <row r="481">
      <c r="X481" s="34"/>
    </row>
    <row r="482">
      <c r="X482" s="34"/>
    </row>
    <row r="483">
      <c r="X483" s="34"/>
    </row>
    <row r="484">
      <c r="X484" s="34"/>
    </row>
    <row r="485">
      <c r="X485" s="34"/>
    </row>
    <row r="486">
      <c r="X486" s="34"/>
    </row>
    <row r="487">
      <c r="X487" s="34"/>
    </row>
    <row r="488">
      <c r="X488" s="34"/>
    </row>
    <row r="489">
      <c r="X489" s="34"/>
    </row>
    <row r="490">
      <c r="X490" s="34"/>
    </row>
    <row r="491">
      <c r="X491" s="34"/>
    </row>
    <row r="492">
      <c r="X492" s="34"/>
    </row>
    <row r="493">
      <c r="X493" s="34"/>
    </row>
    <row r="494">
      <c r="X494" s="34"/>
    </row>
    <row r="495">
      <c r="X495" s="34"/>
    </row>
    <row r="496">
      <c r="X496" s="34"/>
    </row>
    <row r="497">
      <c r="X497" s="34"/>
    </row>
    <row r="498">
      <c r="X498" s="34"/>
    </row>
    <row r="499">
      <c r="X499" s="34"/>
    </row>
    <row r="500">
      <c r="X500" s="34"/>
    </row>
    <row r="501">
      <c r="X501" s="34"/>
    </row>
    <row r="502">
      <c r="X502" s="34"/>
    </row>
    <row r="503">
      <c r="X503" s="34"/>
    </row>
    <row r="504">
      <c r="X504" s="34"/>
    </row>
    <row r="505">
      <c r="X505" s="34"/>
    </row>
    <row r="506">
      <c r="X506" s="34"/>
    </row>
    <row r="507">
      <c r="X507" s="34"/>
    </row>
    <row r="508">
      <c r="X508" s="34"/>
    </row>
    <row r="509">
      <c r="X509" s="34"/>
    </row>
    <row r="510">
      <c r="X510" s="34"/>
    </row>
    <row r="511">
      <c r="X511" s="34"/>
    </row>
    <row r="512">
      <c r="X512" s="34"/>
    </row>
    <row r="513">
      <c r="X513" s="34"/>
    </row>
    <row r="514">
      <c r="X514" s="34"/>
    </row>
    <row r="515">
      <c r="X515" s="34"/>
    </row>
    <row r="516">
      <c r="X516" s="34"/>
    </row>
    <row r="517">
      <c r="X517" s="34"/>
    </row>
    <row r="518">
      <c r="X518" s="34"/>
    </row>
    <row r="519">
      <c r="X519" s="34"/>
    </row>
    <row r="520">
      <c r="X520" s="34"/>
    </row>
    <row r="521">
      <c r="X521" s="34"/>
    </row>
    <row r="522">
      <c r="X522" s="34"/>
    </row>
    <row r="523">
      <c r="X523" s="34"/>
    </row>
    <row r="524">
      <c r="X524" s="34"/>
    </row>
    <row r="525">
      <c r="X525" s="34"/>
    </row>
    <row r="526">
      <c r="X526" s="34"/>
    </row>
    <row r="527">
      <c r="X527" s="34"/>
    </row>
    <row r="528">
      <c r="X528" s="34"/>
    </row>
    <row r="529">
      <c r="X529" s="34"/>
    </row>
    <row r="530">
      <c r="X530" s="34"/>
    </row>
    <row r="531">
      <c r="X531" s="34"/>
    </row>
    <row r="532">
      <c r="X532" s="34"/>
    </row>
    <row r="533">
      <c r="X533" s="34"/>
    </row>
    <row r="534">
      <c r="X534" s="34"/>
    </row>
    <row r="535">
      <c r="X535" s="34"/>
    </row>
    <row r="536">
      <c r="X536" s="34"/>
    </row>
    <row r="537">
      <c r="X537" s="34"/>
    </row>
    <row r="538">
      <c r="X538" s="34"/>
    </row>
    <row r="539">
      <c r="X539" s="34"/>
    </row>
    <row r="540">
      <c r="X540" s="34"/>
    </row>
    <row r="541">
      <c r="X541" s="34"/>
    </row>
    <row r="542">
      <c r="X542" s="34"/>
    </row>
    <row r="543">
      <c r="X543" s="34"/>
    </row>
    <row r="544">
      <c r="X544" s="34"/>
    </row>
    <row r="545">
      <c r="X545" s="34"/>
    </row>
    <row r="546">
      <c r="X546" s="34"/>
    </row>
    <row r="547">
      <c r="X547" s="34"/>
    </row>
    <row r="548">
      <c r="X548" s="34"/>
    </row>
    <row r="549">
      <c r="X549" s="34"/>
    </row>
    <row r="550">
      <c r="X550" s="34"/>
    </row>
    <row r="551">
      <c r="X551" s="34"/>
    </row>
    <row r="552">
      <c r="X552" s="34"/>
    </row>
    <row r="553">
      <c r="X553" s="34"/>
    </row>
    <row r="554">
      <c r="X554" s="34"/>
    </row>
    <row r="555">
      <c r="X555" s="34"/>
    </row>
    <row r="556">
      <c r="X556" s="34"/>
    </row>
    <row r="557">
      <c r="X557" s="34"/>
    </row>
    <row r="558">
      <c r="X558" s="34"/>
    </row>
    <row r="559">
      <c r="X559" s="34"/>
    </row>
    <row r="560">
      <c r="X560" s="34"/>
    </row>
    <row r="561">
      <c r="X561" s="34"/>
    </row>
    <row r="562">
      <c r="X562" s="34"/>
    </row>
    <row r="563">
      <c r="X563" s="34"/>
    </row>
    <row r="564">
      <c r="X564" s="34"/>
    </row>
    <row r="565">
      <c r="X565" s="34"/>
    </row>
    <row r="566">
      <c r="X566" s="34"/>
    </row>
    <row r="567">
      <c r="X567" s="34"/>
    </row>
    <row r="568">
      <c r="X568" s="34"/>
    </row>
    <row r="569">
      <c r="X569" s="34"/>
    </row>
    <row r="570">
      <c r="X570" s="34"/>
    </row>
    <row r="571">
      <c r="X571" s="34"/>
    </row>
    <row r="572">
      <c r="X572" s="34"/>
    </row>
    <row r="573">
      <c r="X573" s="34"/>
    </row>
    <row r="574">
      <c r="X574" s="34"/>
    </row>
    <row r="575">
      <c r="X575" s="34"/>
    </row>
    <row r="576">
      <c r="X576" s="34"/>
    </row>
    <row r="577">
      <c r="X577" s="34"/>
    </row>
    <row r="578">
      <c r="X578" s="34"/>
    </row>
    <row r="579">
      <c r="X579" s="34"/>
    </row>
    <row r="580">
      <c r="X580" s="34"/>
    </row>
    <row r="581">
      <c r="X581" s="34"/>
    </row>
    <row r="582">
      <c r="X582" s="34"/>
    </row>
    <row r="583">
      <c r="X583" s="34"/>
    </row>
    <row r="584">
      <c r="X584" s="34"/>
    </row>
    <row r="585">
      <c r="X585" s="34"/>
    </row>
    <row r="586">
      <c r="X586" s="34"/>
    </row>
    <row r="587">
      <c r="X587" s="34"/>
    </row>
    <row r="588">
      <c r="X588" s="34"/>
    </row>
    <row r="589">
      <c r="X589" s="34"/>
    </row>
    <row r="590">
      <c r="X590" s="34"/>
    </row>
    <row r="591">
      <c r="X591" s="34"/>
    </row>
    <row r="592">
      <c r="X592" s="34"/>
    </row>
    <row r="593">
      <c r="X593" s="34"/>
    </row>
    <row r="594">
      <c r="X594" s="34"/>
    </row>
    <row r="595">
      <c r="X595" s="34"/>
    </row>
    <row r="596">
      <c r="X596" s="34"/>
    </row>
    <row r="597">
      <c r="X597" s="34"/>
    </row>
    <row r="598">
      <c r="X598" s="34"/>
    </row>
    <row r="599">
      <c r="X599" s="34"/>
    </row>
    <row r="600">
      <c r="X600" s="34"/>
    </row>
    <row r="601">
      <c r="X601" s="34"/>
    </row>
    <row r="602">
      <c r="X602" s="34"/>
    </row>
    <row r="603">
      <c r="X603" s="34"/>
    </row>
    <row r="604">
      <c r="X604" s="34"/>
    </row>
    <row r="605">
      <c r="X605" s="34"/>
    </row>
    <row r="606">
      <c r="X606" s="34"/>
    </row>
    <row r="607">
      <c r="X607" s="34"/>
    </row>
    <row r="608">
      <c r="X608" s="34"/>
    </row>
    <row r="609">
      <c r="X609" s="34"/>
    </row>
    <row r="610">
      <c r="X610" s="34"/>
    </row>
    <row r="611">
      <c r="X611" s="34"/>
    </row>
    <row r="612">
      <c r="X612" s="34"/>
    </row>
    <row r="613">
      <c r="X613" s="34"/>
    </row>
    <row r="614">
      <c r="X614" s="34"/>
    </row>
    <row r="615">
      <c r="X615" s="34"/>
    </row>
    <row r="616">
      <c r="X616" s="34"/>
    </row>
    <row r="617">
      <c r="X617" s="34"/>
    </row>
    <row r="618">
      <c r="X618" s="34"/>
    </row>
    <row r="619">
      <c r="X619" s="34"/>
    </row>
    <row r="620">
      <c r="X620" s="34"/>
    </row>
    <row r="621">
      <c r="X621" s="34"/>
    </row>
    <row r="622">
      <c r="X622" s="34"/>
    </row>
    <row r="623">
      <c r="X623" s="34"/>
    </row>
    <row r="624">
      <c r="X624" s="34"/>
    </row>
    <row r="625">
      <c r="X625" s="34"/>
    </row>
    <row r="626">
      <c r="X626" s="34"/>
    </row>
    <row r="627">
      <c r="X627" s="34"/>
    </row>
    <row r="628">
      <c r="X628" s="34"/>
    </row>
    <row r="629">
      <c r="X629" s="34"/>
    </row>
    <row r="630">
      <c r="X630" s="34"/>
    </row>
    <row r="631">
      <c r="X631" s="34"/>
    </row>
    <row r="632">
      <c r="X632" s="34"/>
    </row>
    <row r="633">
      <c r="X633" s="34"/>
    </row>
    <row r="634">
      <c r="X634" s="34"/>
    </row>
    <row r="635">
      <c r="X635" s="34"/>
    </row>
    <row r="636">
      <c r="X636" s="34"/>
    </row>
    <row r="637">
      <c r="X637" s="34"/>
    </row>
    <row r="638">
      <c r="X638" s="34"/>
    </row>
    <row r="639">
      <c r="X639" s="34"/>
    </row>
    <row r="640">
      <c r="X640" s="34"/>
    </row>
    <row r="641">
      <c r="X641" s="34"/>
    </row>
    <row r="642">
      <c r="X642" s="34"/>
    </row>
    <row r="643">
      <c r="X643" s="34"/>
    </row>
    <row r="644">
      <c r="X644" s="34"/>
    </row>
    <row r="645">
      <c r="X645" s="34"/>
    </row>
    <row r="646">
      <c r="X646" s="34"/>
    </row>
    <row r="647">
      <c r="X647" s="34"/>
    </row>
    <row r="648">
      <c r="X648" s="34"/>
    </row>
    <row r="649">
      <c r="X649" s="34"/>
    </row>
    <row r="650">
      <c r="X650" s="34"/>
    </row>
    <row r="651">
      <c r="X651" s="34"/>
    </row>
    <row r="652">
      <c r="X652" s="34"/>
    </row>
    <row r="653">
      <c r="X653" s="34"/>
    </row>
    <row r="654">
      <c r="X654" s="34"/>
    </row>
    <row r="655">
      <c r="X655" s="34"/>
    </row>
    <row r="656">
      <c r="X656" s="34"/>
    </row>
    <row r="657">
      <c r="X657" s="34"/>
    </row>
    <row r="658">
      <c r="X658" s="34"/>
    </row>
    <row r="659">
      <c r="X659" s="34"/>
    </row>
    <row r="660">
      <c r="X660" s="34"/>
    </row>
    <row r="661">
      <c r="X661" s="34"/>
    </row>
    <row r="662">
      <c r="X662" s="34"/>
    </row>
    <row r="663">
      <c r="X663" s="34"/>
    </row>
    <row r="664">
      <c r="X664" s="34"/>
    </row>
    <row r="665">
      <c r="X665" s="34"/>
    </row>
    <row r="666">
      <c r="X666" s="34"/>
    </row>
    <row r="667">
      <c r="X667" s="34"/>
    </row>
    <row r="668">
      <c r="X668" s="34"/>
    </row>
    <row r="669">
      <c r="X669" s="34"/>
    </row>
    <row r="670">
      <c r="X670" s="34"/>
    </row>
    <row r="671">
      <c r="X671" s="34"/>
    </row>
    <row r="672">
      <c r="X672" s="34"/>
    </row>
    <row r="673">
      <c r="X673" s="34"/>
    </row>
    <row r="674">
      <c r="X674" s="34"/>
    </row>
    <row r="675">
      <c r="X675" s="34"/>
    </row>
    <row r="676">
      <c r="X676" s="34"/>
    </row>
    <row r="677">
      <c r="X677" s="34"/>
    </row>
    <row r="678">
      <c r="X678" s="34"/>
    </row>
    <row r="679">
      <c r="X679" s="34"/>
    </row>
    <row r="680">
      <c r="X680" s="34"/>
    </row>
    <row r="681">
      <c r="X681" s="34"/>
    </row>
    <row r="682">
      <c r="X682" s="34"/>
    </row>
    <row r="683">
      <c r="X683" s="34"/>
    </row>
    <row r="684">
      <c r="X684" s="34"/>
    </row>
    <row r="685">
      <c r="X685" s="34"/>
    </row>
    <row r="686">
      <c r="X686" s="34"/>
    </row>
    <row r="687">
      <c r="X687" s="34"/>
    </row>
    <row r="688">
      <c r="X688" s="34"/>
    </row>
    <row r="689">
      <c r="X689" s="34"/>
    </row>
    <row r="690">
      <c r="X690" s="34"/>
    </row>
    <row r="691">
      <c r="X691" s="34"/>
    </row>
    <row r="692">
      <c r="X692" s="34"/>
    </row>
    <row r="693">
      <c r="X693" s="34"/>
    </row>
    <row r="694">
      <c r="X694" s="34"/>
    </row>
    <row r="695">
      <c r="X695" s="34"/>
    </row>
    <row r="696">
      <c r="X696" s="34"/>
    </row>
    <row r="697">
      <c r="X697" s="34"/>
    </row>
    <row r="698">
      <c r="X698" s="34"/>
    </row>
    <row r="699">
      <c r="X699" s="34"/>
    </row>
    <row r="700">
      <c r="X700" s="34"/>
    </row>
    <row r="701">
      <c r="X701" s="34"/>
    </row>
    <row r="702">
      <c r="X702" s="34"/>
    </row>
    <row r="703">
      <c r="X703" s="34"/>
    </row>
    <row r="704">
      <c r="X704" s="34"/>
    </row>
    <row r="705">
      <c r="X705" s="34"/>
    </row>
    <row r="706">
      <c r="X706" s="34"/>
    </row>
    <row r="707">
      <c r="X707" s="34"/>
    </row>
    <row r="708">
      <c r="X708" s="34"/>
    </row>
    <row r="709">
      <c r="X709" s="34"/>
    </row>
    <row r="710">
      <c r="X710" s="34"/>
    </row>
    <row r="711">
      <c r="X711" s="34"/>
    </row>
    <row r="712">
      <c r="X712" s="34"/>
    </row>
    <row r="713">
      <c r="X713" s="34"/>
    </row>
    <row r="714">
      <c r="X714" s="34"/>
    </row>
    <row r="715">
      <c r="X715" s="34"/>
    </row>
    <row r="716">
      <c r="X716" s="34"/>
    </row>
    <row r="717">
      <c r="X717" s="34"/>
    </row>
    <row r="718">
      <c r="X718" s="34"/>
    </row>
    <row r="719">
      <c r="X719" s="34"/>
    </row>
    <row r="720">
      <c r="X720" s="34"/>
    </row>
    <row r="721">
      <c r="X721" s="34"/>
    </row>
    <row r="722">
      <c r="X722" s="34"/>
    </row>
    <row r="723">
      <c r="X723" s="34"/>
    </row>
    <row r="724">
      <c r="X724" s="34"/>
    </row>
    <row r="725">
      <c r="X725" s="34"/>
    </row>
    <row r="726">
      <c r="X726" s="34"/>
    </row>
    <row r="727">
      <c r="X727" s="34"/>
    </row>
    <row r="728">
      <c r="X728" s="34"/>
    </row>
    <row r="729">
      <c r="X729" s="34"/>
    </row>
    <row r="730">
      <c r="X730" s="34"/>
    </row>
    <row r="731">
      <c r="X731" s="34"/>
    </row>
    <row r="732">
      <c r="X732" s="34"/>
    </row>
    <row r="733">
      <c r="X733" s="34"/>
    </row>
    <row r="734">
      <c r="X734" s="34"/>
    </row>
    <row r="735">
      <c r="X735" s="34"/>
    </row>
    <row r="736">
      <c r="X736" s="34"/>
    </row>
    <row r="737">
      <c r="X737" s="34"/>
    </row>
    <row r="738">
      <c r="X738" s="34"/>
    </row>
    <row r="739">
      <c r="X739" s="34"/>
    </row>
    <row r="740">
      <c r="X740" s="34"/>
    </row>
    <row r="741">
      <c r="X741" s="34"/>
    </row>
    <row r="742">
      <c r="X742" s="34"/>
    </row>
    <row r="743">
      <c r="X743" s="34"/>
    </row>
    <row r="744">
      <c r="X744" s="34"/>
    </row>
    <row r="745">
      <c r="X745" s="34"/>
    </row>
    <row r="746">
      <c r="X746" s="34"/>
    </row>
    <row r="747">
      <c r="X747" s="34"/>
    </row>
    <row r="748">
      <c r="X748" s="34"/>
    </row>
    <row r="749">
      <c r="X749" s="34"/>
    </row>
    <row r="750">
      <c r="X750" s="34"/>
    </row>
    <row r="751">
      <c r="X751" s="34"/>
    </row>
    <row r="752">
      <c r="X752" s="34"/>
    </row>
    <row r="753">
      <c r="X753" s="34"/>
    </row>
    <row r="754">
      <c r="X754" s="34"/>
    </row>
    <row r="755">
      <c r="X755" s="34"/>
    </row>
    <row r="756">
      <c r="X756" s="34"/>
    </row>
    <row r="757">
      <c r="X757" s="34"/>
    </row>
    <row r="758">
      <c r="X758" s="34"/>
    </row>
    <row r="759">
      <c r="X759" s="34"/>
    </row>
    <row r="760">
      <c r="X760" s="34"/>
    </row>
    <row r="761">
      <c r="X761" s="34"/>
    </row>
    <row r="762">
      <c r="X762" s="34"/>
    </row>
    <row r="763">
      <c r="X763" s="34"/>
    </row>
    <row r="764">
      <c r="X764" s="34"/>
    </row>
    <row r="765">
      <c r="X765" s="34"/>
    </row>
    <row r="766">
      <c r="X766" s="34"/>
    </row>
    <row r="767">
      <c r="X767" s="34"/>
    </row>
    <row r="768">
      <c r="X768" s="34"/>
    </row>
    <row r="769">
      <c r="X769" s="34"/>
    </row>
    <row r="770">
      <c r="X770" s="34"/>
    </row>
    <row r="771">
      <c r="X771" s="34"/>
    </row>
    <row r="772">
      <c r="X772" s="34"/>
    </row>
    <row r="773">
      <c r="X773" s="34"/>
    </row>
    <row r="774">
      <c r="X774" s="34"/>
    </row>
    <row r="775">
      <c r="X775" s="34"/>
    </row>
    <row r="776">
      <c r="X776" s="34"/>
    </row>
    <row r="777">
      <c r="X777" s="34"/>
    </row>
    <row r="778">
      <c r="X778" s="34"/>
    </row>
    <row r="779">
      <c r="X779" s="34"/>
    </row>
    <row r="780">
      <c r="X780" s="34"/>
    </row>
    <row r="781">
      <c r="X781" s="34"/>
    </row>
    <row r="782">
      <c r="X782" s="34"/>
    </row>
    <row r="783">
      <c r="X783" s="34"/>
    </row>
    <row r="784">
      <c r="X784" s="34"/>
    </row>
    <row r="785">
      <c r="X785" s="34"/>
    </row>
    <row r="786">
      <c r="X786" s="34"/>
    </row>
    <row r="787">
      <c r="X787" s="34"/>
    </row>
    <row r="788">
      <c r="X788" s="34"/>
    </row>
    <row r="789">
      <c r="X789" s="34"/>
    </row>
    <row r="790">
      <c r="X790" s="34"/>
    </row>
    <row r="791">
      <c r="X791" s="34"/>
    </row>
    <row r="792">
      <c r="X792" s="34"/>
    </row>
    <row r="793">
      <c r="X793" s="34"/>
    </row>
    <row r="794">
      <c r="X794" s="34"/>
    </row>
    <row r="795">
      <c r="X795" s="34"/>
    </row>
    <row r="796">
      <c r="X796" s="34"/>
    </row>
    <row r="797">
      <c r="X797" s="34"/>
    </row>
    <row r="798">
      <c r="X798" s="34"/>
    </row>
    <row r="799">
      <c r="X799" s="34"/>
    </row>
    <row r="800">
      <c r="X800" s="34"/>
    </row>
    <row r="801">
      <c r="X801" s="34"/>
    </row>
    <row r="802">
      <c r="X802" s="34"/>
    </row>
    <row r="803">
      <c r="X803" s="34"/>
    </row>
    <row r="804">
      <c r="X804" s="34"/>
    </row>
    <row r="805">
      <c r="X805" s="34"/>
    </row>
    <row r="806">
      <c r="X806" s="34"/>
    </row>
    <row r="807">
      <c r="X807" s="34"/>
    </row>
    <row r="808">
      <c r="X808" s="34"/>
    </row>
    <row r="809">
      <c r="X809" s="34"/>
    </row>
    <row r="810">
      <c r="X810" s="34"/>
    </row>
    <row r="811">
      <c r="X811" s="34"/>
    </row>
    <row r="812">
      <c r="X812" s="34"/>
    </row>
    <row r="813">
      <c r="X813" s="34"/>
    </row>
    <row r="814">
      <c r="X814" s="34"/>
    </row>
    <row r="815">
      <c r="X815" s="34"/>
    </row>
    <row r="816">
      <c r="X816" s="34"/>
    </row>
    <row r="817">
      <c r="X817" s="34"/>
    </row>
    <row r="818">
      <c r="X818" s="34"/>
    </row>
    <row r="819">
      <c r="X819" s="34"/>
    </row>
    <row r="820">
      <c r="X820" s="34"/>
    </row>
    <row r="821">
      <c r="X821" s="34"/>
    </row>
    <row r="822">
      <c r="X822" s="34"/>
    </row>
    <row r="823">
      <c r="X823" s="34"/>
    </row>
    <row r="824">
      <c r="X824" s="34"/>
    </row>
    <row r="825">
      <c r="X825" s="34"/>
    </row>
    <row r="826">
      <c r="X826" s="34"/>
    </row>
    <row r="827">
      <c r="X827" s="34"/>
    </row>
    <row r="828">
      <c r="X828" s="34"/>
    </row>
    <row r="829">
      <c r="X829" s="34"/>
    </row>
    <row r="830">
      <c r="X830" s="34"/>
    </row>
    <row r="831">
      <c r="X831" s="34"/>
    </row>
    <row r="832">
      <c r="X832" s="34"/>
    </row>
    <row r="833">
      <c r="X833" s="34"/>
    </row>
    <row r="834">
      <c r="X834" s="34"/>
    </row>
    <row r="835">
      <c r="X835" s="34"/>
    </row>
    <row r="836">
      <c r="X836" s="34"/>
    </row>
    <row r="837">
      <c r="X837" s="34"/>
    </row>
    <row r="838">
      <c r="X838" s="34"/>
    </row>
    <row r="839">
      <c r="X839" s="34"/>
    </row>
    <row r="840">
      <c r="X840" s="34"/>
    </row>
    <row r="841">
      <c r="X841" s="34"/>
    </row>
    <row r="842">
      <c r="X842" s="34"/>
    </row>
    <row r="843">
      <c r="X843" s="34"/>
    </row>
    <row r="844">
      <c r="X844" s="34"/>
    </row>
    <row r="845">
      <c r="X845" s="34"/>
    </row>
    <row r="846">
      <c r="X846" s="34"/>
    </row>
    <row r="847">
      <c r="X847" s="34"/>
    </row>
    <row r="848">
      <c r="X848" s="34"/>
    </row>
    <row r="849">
      <c r="X849" s="34"/>
    </row>
    <row r="850">
      <c r="X850" s="34"/>
    </row>
    <row r="851">
      <c r="X851" s="34"/>
    </row>
    <row r="852">
      <c r="X852" s="34"/>
    </row>
    <row r="853">
      <c r="X853" s="34"/>
    </row>
    <row r="854">
      <c r="X854" s="34"/>
    </row>
    <row r="855">
      <c r="X855" s="34"/>
    </row>
    <row r="856">
      <c r="X856" s="34"/>
    </row>
    <row r="857">
      <c r="X857" s="34"/>
    </row>
    <row r="858">
      <c r="X858" s="34"/>
    </row>
    <row r="859">
      <c r="X859" s="34"/>
    </row>
    <row r="860">
      <c r="X860" s="34"/>
    </row>
    <row r="861">
      <c r="X861" s="34"/>
    </row>
    <row r="862">
      <c r="X862" s="34"/>
    </row>
    <row r="863">
      <c r="X863" s="34"/>
    </row>
    <row r="864">
      <c r="X864" s="34"/>
    </row>
    <row r="865">
      <c r="X865" s="34"/>
    </row>
    <row r="866">
      <c r="X866" s="34"/>
    </row>
    <row r="867">
      <c r="X867" s="34"/>
    </row>
    <row r="868">
      <c r="X868" s="34"/>
    </row>
    <row r="869">
      <c r="X869" s="34"/>
    </row>
    <row r="870">
      <c r="X870" s="34"/>
    </row>
    <row r="871">
      <c r="X871" s="34"/>
    </row>
    <row r="872">
      <c r="X872" s="34"/>
    </row>
    <row r="873">
      <c r="X873" s="34"/>
    </row>
    <row r="874">
      <c r="X874" s="34"/>
    </row>
    <row r="875">
      <c r="X875" s="34"/>
    </row>
    <row r="876">
      <c r="X876" s="34"/>
    </row>
    <row r="877">
      <c r="X877" s="34"/>
    </row>
    <row r="878">
      <c r="X878" s="34"/>
    </row>
    <row r="879">
      <c r="X879" s="34"/>
    </row>
    <row r="880">
      <c r="X880" s="34"/>
    </row>
    <row r="881">
      <c r="X881" s="34"/>
    </row>
    <row r="882">
      <c r="X882" s="34"/>
    </row>
    <row r="883">
      <c r="X883" s="34"/>
    </row>
    <row r="884">
      <c r="X884" s="34"/>
    </row>
    <row r="885">
      <c r="X885" s="34"/>
    </row>
    <row r="886">
      <c r="X886" s="34"/>
    </row>
    <row r="887">
      <c r="X887" s="34"/>
    </row>
    <row r="888">
      <c r="X888" s="34"/>
    </row>
    <row r="889">
      <c r="X889" s="34"/>
    </row>
    <row r="890">
      <c r="X890" s="34"/>
    </row>
    <row r="891">
      <c r="X891" s="34"/>
    </row>
    <row r="892">
      <c r="X892" s="34"/>
    </row>
    <row r="893">
      <c r="X893" s="34"/>
    </row>
    <row r="894">
      <c r="X894" s="34"/>
    </row>
    <row r="895">
      <c r="X895" s="34"/>
    </row>
    <row r="896">
      <c r="X896" s="34"/>
    </row>
    <row r="897">
      <c r="X897" s="34"/>
    </row>
    <row r="898">
      <c r="X898" s="34"/>
    </row>
    <row r="899">
      <c r="X899" s="34"/>
    </row>
    <row r="900">
      <c r="X900" s="34"/>
    </row>
    <row r="901">
      <c r="X901" s="34"/>
    </row>
    <row r="902">
      <c r="X902" s="34"/>
    </row>
    <row r="903">
      <c r="X903" s="34"/>
    </row>
    <row r="904">
      <c r="X904" s="34"/>
    </row>
    <row r="905">
      <c r="X905" s="34"/>
    </row>
    <row r="906">
      <c r="X906" s="34"/>
    </row>
    <row r="907">
      <c r="X907" s="34"/>
    </row>
    <row r="908">
      <c r="X908" s="34"/>
    </row>
    <row r="909">
      <c r="X909" s="34"/>
    </row>
    <row r="910">
      <c r="X910" s="34"/>
    </row>
    <row r="911">
      <c r="X911" s="34"/>
    </row>
    <row r="912">
      <c r="X912" s="34"/>
    </row>
    <row r="913">
      <c r="X913" s="34"/>
    </row>
    <row r="914">
      <c r="X914" s="34"/>
    </row>
    <row r="915">
      <c r="X915" s="34"/>
    </row>
    <row r="916">
      <c r="X916" s="34"/>
    </row>
    <row r="917">
      <c r="X917" s="34"/>
    </row>
    <row r="918">
      <c r="X918" s="34"/>
    </row>
    <row r="919">
      <c r="X919" s="34"/>
    </row>
    <row r="920">
      <c r="X920" s="34"/>
    </row>
    <row r="921">
      <c r="X921" s="34"/>
    </row>
    <row r="922">
      <c r="X922" s="34"/>
    </row>
    <row r="923">
      <c r="X923" s="34"/>
    </row>
    <row r="924">
      <c r="X924" s="34"/>
    </row>
    <row r="925">
      <c r="X925" s="34"/>
    </row>
    <row r="926">
      <c r="X926" s="34"/>
    </row>
    <row r="927">
      <c r="X927" s="34"/>
    </row>
    <row r="928">
      <c r="X928" s="34"/>
    </row>
    <row r="929">
      <c r="X929" s="34"/>
    </row>
    <row r="930">
      <c r="X930" s="34"/>
    </row>
    <row r="931">
      <c r="X931" s="34"/>
    </row>
    <row r="932">
      <c r="X932" s="34"/>
    </row>
    <row r="933">
      <c r="X933" s="34"/>
    </row>
    <row r="934">
      <c r="X934" s="34"/>
    </row>
    <row r="935">
      <c r="X935" s="34"/>
    </row>
    <row r="936">
      <c r="X936" s="34"/>
    </row>
    <row r="937">
      <c r="X937" s="34"/>
    </row>
    <row r="938">
      <c r="X938" s="34"/>
    </row>
    <row r="939">
      <c r="X939" s="34"/>
    </row>
    <row r="940">
      <c r="X940" s="34"/>
    </row>
    <row r="941">
      <c r="X941" s="34"/>
    </row>
    <row r="942">
      <c r="X942" s="34"/>
    </row>
    <row r="943">
      <c r="X943" s="34"/>
    </row>
    <row r="944">
      <c r="X944" s="34"/>
    </row>
    <row r="945">
      <c r="X945" s="34"/>
    </row>
    <row r="946">
      <c r="X946" s="34"/>
    </row>
    <row r="947">
      <c r="X947" s="34"/>
    </row>
    <row r="948">
      <c r="X948" s="34"/>
    </row>
    <row r="949">
      <c r="X949" s="34"/>
    </row>
    <row r="950">
      <c r="X950" s="34"/>
    </row>
    <row r="951">
      <c r="X951" s="34"/>
    </row>
    <row r="952">
      <c r="X952" s="34"/>
    </row>
    <row r="953">
      <c r="X953" s="34"/>
    </row>
    <row r="954">
      <c r="X954" s="34"/>
    </row>
    <row r="955">
      <c r="X955" s="34"/>
    </row>
    <row r="956">
      <c r="X956" s="34"/>
    </row>
    <row r="957">
      <c r="X957" s="34"/>
    </row>
    <row r="958">
      <c r="X958" s="34"/>
    </row>
    <row r="959">
      <c r="X959" s="34"/>
    </row>
    <row r="960">
      <c r="X960" s="34"/>
    </row>
    <row r="961">
      <c r="X961" s="34"/>
    </row>
    <row r="962">
      <c r="X962" s="34"/>
    </row>
    <row r="963">
      <c r="X963" s="34"/>
    </row>
    <row r="964">
      <c r="X964" s="34"/>
    </row>
    <row r="965">
      <c r="X965" s="34"/>
    </row>
    <row r="966">
      <c r="X966" s="34"/>
    </row>
    <row r="967">
      <c r="X967" s="34"/>
    </row>
    <row r="968">
      <c r="X968" s="34"/>
    </row>
    <row r="969">
      <c r="X969" s="34"/>
    </row>
    <row r="970">
      <c r="X970" s="34"/>
    </row>
    <row r="971">
      <c r="X971" s="34"/>
    </row>
    <row r="972">
      <c r="X972" s="34"/>
    </row>
    <row r="973">
      <c r="X973" s="34"/>
    </row>
    <row r="974">
      <c r="X974" s="34"/>
    </row>
    <row r="975">
      <c r="X975" s="34"/>
    </row>
    <row r="976">
      <c r="X976" s="34"/>
    </row>
    <row r="977">
      <c r="X977" s="34"/>
    </row>
    <row r="978">
      <c r="X978" s="34"/>
    </row>
    <row r="979">
      <c r="X979" s="34"/>
    </row>
    <row r="980">
      <c r="X980" s="34"/>
    </row>
    <row r="981">
      <c r="X981" s="34"/>
    </row>
    <row r="982">
      <c r="X982" s="34"/>
    </row>
    <row r="983">
      <c r="X983" s="34"/>
    </row>
    <row r="984">
      <c r="X984" s="34"/>
    </row>
    <row r="985">
      <c r="X985" s="34"/>
    </row>
    <row r="986">
      <c r="X986" s="34"/>
    </row>
    <row r="987">
      <c r="X987" s="34"/>
    </row>
    <row r="988">
      <c r="X988" s="34"/>
    </row>
    <row r="989">
      <c r="X989" s="34"/>
    </row>
    <row r="990">
      <c r="X990" s="34"/>
    </row>
    <row r="991">
      <c r="X991" s="34"/>
    </row>
    <row r="992">
      <c r="X992" s="34"/>
    </row>
    <row r="993">
      <c r="X993" s="34"/>
    </row>
    <row r="994">
      <c r="X994" s="34"/>
    </row>
    <row r="995">
      <c r="X995" s="34"/>
    </row>
    <row r="996">
      <c r="X996" s="34"/>
    </row>
    <row r="997">
      <c r="X997" s="34"/>
    </row>
    <row r="998">
      <c r="X998" s="34"/>
    </row>
    <row r="999">
      <c r="X999" s="34"/>
    </row>
  </sheetData>
  <hyperlinks>
    <hyperlink r:id="rId1" ref="D2"/>
    <hyperlink r:id="rId2" ref="T2"/>
    <hyperlink r:id="rId3" ref="T3"/>
    <hyperlink r:id="rId4" ref="T4"/>
    <hyperlink r:id="rId5" ref="T5"/>
    <hyperlink r:id="rId6" ref="T6"/>
    <hyperlink r:id="rId7" ref="T7"/>
    <hyperlink r:id="rId8" ref="T8"/>
    <hyperlink r:id="rId9" ref="T9"/>
    <hyperlink r:id="rId10" ref="T10"/>
    <hyperlink r:id="rId11" ref="T11"/>
    <hyperlink r:id="rId12" ref="T12"/>
    <hyperlink r:id="rId13" ref="T13"/>
    <hyperlink r:id="rId14" ref="T14"/>
    <hyperlink r:id="rId15" ref="T15"/>
    <hyperlink r:id="rId16" ref="T16"/>
    <hyperlink r:id="rId17" ref="T17"/>
    <hyperlink r:id="rId18" ref="T18"/>
    <hyperlink r:id="rId19" ref="T19"/>
    <hyperlink r:id="rId20" ref="T20"/>
    <hyperlink r:id="rId21" ref="T21"/>
    <hyperlink r:id="rId22" ref="T22"/>
    <hyperlink r:id="rId23" ref="T23"/>
    <hyperlink r:id="rId24" ref="T24"/>
    <hyperlink r:id="rId25" ref="T25"/>
    <hyperlink r:id="rId26" ref="T26"/>
    <hyperlink r:id="rId27" ref="T27"/>
    <hyperlink r:id="rId28" ref="T28"/>
    <hyperlink r:id="rId29" ref="T29"/>
    <hyperlink r:id="rId30" ref="T30"/>
    <hyperlink r:id="rId31" ref="T31"/>
    <hyperlink r:id="rId32" ref="T32"/>
    <hyperlink r:id="rId33" ref="T33"/>
    <hyperlink r:id="rId34" ref="T34"/>
    <hyperlink r:id="rId35" ref="T35"/>
    <hyperlink r:id="rId36" ref="T36"/>
    <hyperlink r:id="rId37" ref="T37"/>
    <hyperlink r:id="rId38" ref="T38"/>
    <hyperlink r:id="rId39" ref="T39"/>
    <hyperlink r:id="rId40" ref="T40"/>
    <hyperlink r:id="rId41" ref="T41"/>
  </hyperlinks>
  <drawing r:id="rId4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4" max="4" width="82.25"/>
  </cols>
  <sheetData>
    <row r="1">
      <c r="A1" s="28" t="s">
        <v>7142</v>
      </c>
      <c r="B1" s="28" t="s">
        <v>8285</v>
      </c>
      <c r="C1" s="28" t="s">
        <v>7124</v>
      </c>
      <c r="D1" s="28" t="s">
        <v>7129</v>
      </c>
      <c r="E1" s="28" t="s">
        <v>8286</v>
      </c>
      <c r="F1" s="28" t="s">
        <v>8287</v>
      </c>
      <c r="G1" s="28" t="s">
        <v>8288</v>
      </c>
      <c r="H1" s="28" t="s">
        <v>7986</v>
      </c>
      <c r="I1" s="28" t="s">
        <v>95</v>
      </c>
      <c r="J1" s="28" t="s">
        <v>8289</v>
      </c>
    </row>
    <row r="2">
      <c r="A2" s="3" t="s">
        <v>7681</v>
      </c>
      <c r="B2" s="19">
        <v>0.0</v>
      </c>
      <c r="C2" s="3" t="s">
        <v>8290</v>
      </c>
      <c r="D2" s="35" t="s">
        <v>8291</v>
      </c>
      <c r="E2" s="3" t="s">
        <v>8292</v>
      </c>
      <c r="F2" s="3" t="s">
        <v>8293</v>
      </c>
      <c r="G2" s="19">
        <v>1755.0</v>
      </c>
      <c r="H2" s="3" t="s">
        <v>7546</v>
      </c>
      <c r="I2" s="3" t="s">
        <v>251</v>
      </c>
      <c r="J2" s="4">
        <v>46049.98536456018</v>
      </c>
    </row>
    <row r="3">
      <c r="A3" s="3" t="s">
        <v>7681</v>
      </c>
      <c r="B3" s="19">
        <v>1.0</v>
      </c>
      <c r="C3" s="3" t="s">
        <v>8294</v>
      </c>
      <c r="D3" s="35" t="s">
        <v>8295</v>
      </c>
      <c r="E3" s="3" t="s">
        <v>8296</v>
      </c>
      <c r="F3" s="3" t="s">
        <v>8297</v>
      </c>
      <c r="G3" s="19">
        <v>1756.0</v>
      </c>
      <c r="H3" s="3" t="s">
        <v>7546</v>
      </c>
      <c r="I3" s="3" t="s">
        <v>251</v>
      </c>
      <c r="J3" s="4">
        <v>46049.98536456018</v>
      </c>
    </row>
    <row r="4">
      <c r="A4" s="3" t="s">
        <v>7681</v>
      </c>
      <c r="B4" s="19">
        <v>2.0</v>
      </c>
      <c r="C4" s="3" t="s">
        <v>8298</v>
      </c>
      <c r="D4" s="35" t="s">
        <v>8299</v>
      </c>
      <c r="E4" s="3" t="s">
        <v>8296</v>
      </c>
      <c r="F4" s="3" t="s">
        <v>8300</v>
      </c>
      <c r="G4" s="19">
        <v>1757.0</v>
      </c>
      <c r="H4" s="3" t="s">
        <v>7546</v>
      </c>
      <c r="I4" s="3" t="s">
        <v>251</v>
      </c>
      <c r="J4" s="4">
        <v>46049.98536456018</v>
      </c>
    </row>
    <row r="5">
      <c r="A5" s="3" t="s">
        <v>7698</v>
      </c>
      <c r="B5" s="19">
        <v>0.0</v>
      </c>
      <c r="C5" s="3" t="s">
        <v>8301</v>
      </c>
      <c r="D5" s="35" t="s">
        <v>8302</v>
      </c>
      <c r="E5" s="3" t="s">
        <v>8303</v>
      </c>
      <c r="F5" s="3" t="s">
        <v>8304</v>
      </c>
      <c r="G5" s="19">
        <v>1758.0</v>
      </c>
      <c r="H5" s="3" t="s">
        <v>7234</v>
      </c>
      <c r="I5" s="3" t="s">
        <v>167</v>
      </c>
      <c r="J5" s="4">
        <v>46050.49377168981</v>
      </c>
    </row>
    <row r="6">
      <c r="A6" s="3" t="s">
        <v>7698</v>
      </c>
      <c r="B6" s="19">
        <v>1.0</v>
      </c>
      <c r="C6" s="3" t="s">
        <v>8305</v>
      </c>
      <c r="D6" s="35" t="s">
        <v>8306</v>
      </c>
      <c r="E6" s="3" t="s">
        <v>8292</v>
      </c>
      <c r="F6" s="3" t="s">
        <v>8307</v>
      </c>
      <c r="G6" s="19">
        <v>1759.0</v>
      </c>
      <c r="H6" s="3" t="s">
        <v>7234</v>
      </c>
      <c r="I6" s="3" t="s">
        <v>167</v>
      </c>
      <c r="J6" s="4">
        <v>46050.49377168981</v>
      </c>
    </row>
    <row r="7">
      <c r="A7" s="3" t="s">
        <v>7698</v>
      </c>
      <c r="B7" s="19">
        <v>2.0</v>
      </c>
      <c r="C7" s="3" t="s">
        <v>8308</v>
      </c>
      <c r="D7" s="35" t="s">
        <v>8309</v>
      </c>
      <c r="E7" s="3" t="s">
        <v>8292</v>
      </c>
      <c r="F7" s="3" t="s">
        <v>8310</v>
      </c>
      <c r="G7" s="19">
        <v>1760.0</v>
      </c>
      <c r="H7" s="3" t="s">
        <v>7234</v>
      </c>
      <c r="I7" s="3" t="s">
        <v>167</v>
      </c>
      <c r="J7" s="4">
        <v>46050.49377168981</v>
      </c>
    </row>
    <row r="8">
      <c r="A8" s="3" t="s">
        <v>7698</v>
      </c>
      <c r="B8" s="19">
        <v>3.0</v>
      </c>
      <c r="C8" s="3" t="s">
        <v>8311</v>
      </c>
      <c r="D8" s="35" t="s">
        <v>8312</v>
      </c>
      <c r="E8" s="3" t="s">
        <v>8296</v>
      </c>
      <c r="F8" s="3" t="s">
        <v>8313</v>
      </c>
      <c r="G8" s="19">
        <v>1761.0</v>
      </c>
      <c r="H8" s="3" t="s">
        <v>7234</v>
      </c>
      <c r="I8" s="3" t="s">
        <v>167</v>
      </c>
      <c r="J8" s="4">
        <v>46050.49377168981</v>
      </c>
    </row>
    <row r="9">
      <c r="A9" s="3" t="s">
        <v>7698</v>
      </c>
      <c r="B9" s="19">
        <v>4.0</v>
      </c>
      <c r="C9" s="3" t="s">
        <v>8314</v>
      </c>
      <c r="D9" s="35" t="s">
        <v>8315</v>
      </c>
      <c r="E9" s="3" t="s">
        <v>8296</v>
      </c>
      <c r="F9" s="3" t="s">
        <v>8316</v>
      </c>
      <c r="G9" s="19">
        <v>1762.0</v>
      </c>
      <c r="H9" s="3" t="s">
        <v>7234</v>
      </c>
      <c r="I9" s="3" t="s">
        <v>167</v>
      </c>
      <c r="J9" s="4">
        <v>46050.49377168981</v>
      </c>
    </row>
    <row r="10">
      <c r="A10" s="3" t="s">
        <v>7698</v>
      </c>
      <c r="B10" s="19">
        <v>5.0</v>
      </c>
      <c r="C10" s="3" t="s">
        <v>8317</v>
      </c>
      <c r="D10" s="35" t="s">
        <v>8318</v>
      </c>
      <c r="E10" s="3" t="s">
        <v>8303</v>
      </c>
      <c r="F10" s="3" t="s">
        <v>8319</v>
      </c>
      <c r="G10" s="19">
        <v>1763.0</v>
      </c>
      <c r="H10" s="3" t="s">
        <v>7234</v>
      </c>
      <c r="I10" s="3" t="s">
        <v>167</v>
      </c>
      <c r="J10" s="4">
        <v>46050.49377168981</v>
      </c>
    </row>
    <row r="11">
      <c r="A11" s="3" t="s">
        <v>7715</v>
      </c>
      <c r="B11" s="19">
        <v>0.0</v>
      </c>
      <c r="C11" s="3" t="s">
        <v>8320</v>
      </c>
      <c r="D11" s="35" t="s">
        <v>8321</v>
      </c>
      <c r="E11" s="3" t="s">
        <v>8292</v>
      </c>
      <c r="F11" s="3" t="s">
        <v>8322</v>
      </c>
      <c r="G11" s="19">
        <v>1765.0</v>
      </c>
      <c r="H11" s="3" t="s">
        <v>7712</v>
      </c>
      <c r="I11" s="3" t="s">
        <v>123</v>
      </c>
      <c r="J11" s="4">
        <v>46051.68337878472</v>
      </c>
    </row>
    <row r="12">
      <c r="A12" s="3" t="s">
        <v>7715</v>
      </c>
      <c r="B12" s="19">
        <v>1.0</v>
      </c>
      <c r="C12" s="3" t="s">
        <v>8323</v>
      </c>
      <c r="D12" s="35" t="s">
        <v>8324</v>
      </c>
      <c r="E12" s="3" t="s">
        <v>8303</v>
      </c>
      <c r="F12" s="3" t="s">
        <v>8325</v>
      </c>
      <c r="G12" s="19">
        <v>1766.0</v>
      </c>
      <c r="H12" s="3" t="s">
        <v>7712</v>
      </c>
      <c r="I12" s="3" t="s">
        <v>123</v>
      </c>
      <c r="J12" s="4">
        <v>46051.68337878472</v>
      </c>
    </row>
    <row r="13">
      <c r="A13" s="3" t="s">
        <v>7715</v>
      </c>
      <c r="B13" s="19">
        <v>2.0</v>
      </c>
      <c r="C13" s="3" t="s">
        <v>8326</v>
      </c>
      <c r="D13" s="35" t="s">
        <v>8327</v>
      </c>
      <c r="E13" s="3" t="s">
        <v>8296</v>
      </c>
      <c r="F13" s="3" t="s">
        <v>8328</v>
      </c>
      <c r="G13" s="19">
        <v>1767.0</v>
      </c>
      <c r="H13" s="3" t="s">
        <v>7712</v>
      </c>
      <c r="I13" s="3" t="s">
        <v>123</v>
      </c>
      <c r="J13" s="4">
        <v>46051.68337878472</v>
      </c>
    </row>
    <row r="14">
      <c r="A14" s="3" t="s">
        <v>7722</v>
      </c>
      <c r="B14" s="19">
        <v>0.0</v>
      </c>
      <c r="C14" s="3" t="s">
        <v>8329</v>
      </c>
      <c r="D14" s="35" t="s">
        <v>8330</v>
      </c>
      <c r="E14" s="3" t="s">
        <v>8292</v>
      </c>
      <c r="F14" s="3" t="s">
        <v>8331</v>
      </c>
      <c r="G14" s="19">
        <v>1768.0</v>
      </c>
      <c r="H14" s="3" t="s">
        <v>7546</v>
      </c>
      <c r="I14" s="3" t="s">
        <v>251</v>
      </c>
      <c r="J14" s="4">
        <v>46052.524766608796</v>
      </c>
    </row>
    <row r="15">
      <c r="A15" s="3" t="s">
        <v>7722</v>
      </c>
      <c r="B15" s="19">
        <v>1.0</v>
      </c>
      <c r="C15" s="3" t="s">
        <v>8332</v>
      </c>
      <c r="D15" s="35" t="s">
        <v>8333</v>
      </c>
      <c r="E15" s="3" t="s">
        <v>8334</v>
      </c>
      <c r="F15" s="3" t="s">
        <v>8335</v>
      </c>
      <c r="G15" s="19">
        <v>1769.0</v>
      </c>
      <c r="H15" s="3" t="s">
        <v>7546</v>
      </c>
      <c r="I15" s="3" t="s">
        <v>251</v>
      </c>
      <c r="J15" s="4">
        <v>46052.524766608796</v>
      </c>
    </row>
    <row r="16">
      <c r="A16" s="3" t="s">
        <v>7726</v>
      </c>
      <c r="B16" s="19">
        <v>0.0</v>
      </c>
      <c r="C16" s="3" t="s">
        <v>8336</v>
      </c>
      <c r="D16" s="35" t="s">
        <v>8337</v>
      </c>
      <c r="E16" s="3" t="s">
        <v>8292</v>
      </c>
      <c r="F16" s="3" t="s">
        <v>8338</v>
      </c>
      <c r="G16" s="19">
        <v>1770.0</v>
      </c>
      <c r="H16" s="3" t="s">
        <v>7724</v>
      </c>
      <c r="I16" s="3" t="s">
        <v>511</v>
      </c>
      <c r="J16" s="4">
        <v>46052.550708599534</v>
      </c>
    </row>
    <row r="17">
      <c r="A17" s="3" t="s">
        <v>7726</v>
      </c>
      <c r="B17" s="19">
        <v>1.0</v>
      </c>
      <c r="C17" s="3" t="s">
        <v>8339</v>
      </c>
      <c r="D17" s="35" t="s">
        <v>8340</v>
      </c>
      <c r="E17" s="3" t="s">
        <v>8292</v>
      </c>
      <c r="F17" s="3" t="s">
        <v>8341</v>
      </c>
      <c r="G17" s="19">
        <v>1771.0</v>
      </c>
      <c r="H17" s="3" t="s">
        <v>7724</v>
      </c>
      <c r="I17" s="3" t="s">
        <v>511</v>
      </c>
      <c r="J17" s="4">
        <v>46052.550708599534</v>
      </c>
    </row>
    <row r="18">
      <c r="A18" s="3" t="s">
        <v>7726</v>
      </c>
      <c r="B18" s="19">
        <v>2.0</v>
      </c>
      <c r="C18" s="3" t="s">
        <v>8342</v>
      </c>
      <c r="D18" s="35" t="s">
        <v>8343</v>
      </c>
      <c r="E18" s="3" t="s">
        <v>8296</v>
      </c>
      <c r="F18" s="3" t="s">
        <v>8344</v>
      </c>
      <c r="G18" s="19">
        <v>1772.0</v>
      </c>
      <c r="H18" s="3" t="s">
        <v>7724</v>
      </c>
      <c r="I18" s="3" t="s">
        <v>511</v>
      </c>
      <c r="J18" s="4">
        <v>46052.550708599534</v>
      </c>
    </row>
    <row r="19">
      <c r="A19" s="3" t="s">
        <v>7726</v>
      </c>
      <c r="B19" s="19">
        <v>3.0</v>
      </c>
      <c r="C19" s="3" t="s">
        <v>8345</v>
      </c>
      <c r="D19" s="35" t="s">
        <v>8346</v>
      </c>
      <c r="E19" s="3" t="s">
        <v>8334</v>
      </c>
      <c r="F19" s="3" t="s">
        <v>8347</v>
      </c>
      <c r="G19" s="19">
        <v>1773.0</v>
      </c>
      <c r="H19" s="3" t="s">
        <v>7724</v>
      </c>
      <c r="I19" s="3" t="s">
        <v>511</v>
      </c>
      <c r="J19" s="4">
        <v>46052.550708599534</v>
      </c>
    </row>
    <row r="20">
      <c r="A20" s="3" t="s">
        <v>7735</v>
      </c>
      <c r="B20" s="19">
        <v>0.0</v>
      </c>
      <c r="C20" s="3" t="s">
        <v>8348</v>
      </c>
      <c r="D20" s="35" t="s">
        <v>8349</v>
      </c>
      <c r="E20" s="3" t="s">
        <v>8296</v>
      </c>
      <c r="F20" s="3" t="s">
        <v>8350</v>
      </c>
      <c r="G20" s="19">
        <v>1774.0</v>
      </c>
      <c r="H20" s="3" t="s">
        <v>7671</v>
      </c>
      <c r="J20" s="4">
        <v>46056.4438194213</v>
      </c>
    </row>
    <row r="21">
      <c r="A21" s="3" t="s">
        <v>7735</v>
      </c>
      <c r="B21" s="19">
        <v>1.0</v>
      </c>
      <c r="C21" s="3" t="s">
        <v>8351</v>
      </c>
      <c r="D21" s="35" t="s">
        <v>8352</v>
      </c>
      <c r="E21" s="3" t="s">
        <v>8334</v>
      </c>
      <c r="F21" s="3" t="s">
        <v>8353</v>
      </c>
      <c r="G21" s="19">
        <v>1775.0</v>
      </c>
      <c r="H21" s="3" t="s">
        <v>7671</v>
      </c>
      <c r="J21" s="4">
        <v>46056.4438194213</v>
      </c>
    </row>
    <row r="22">
      <c r="A22" s="3" t="s">
        <v>7735</v>
      </c>
      <c r="B22" s="19">
        <v>2.0</v>
      </c>
      <c r="C22" s="3" t="s">
        <v>8354</v>
      </c>
      <c r="D22" s="35" t="s">
        <v>8355</v>
      </c>
      <c r="E22" s="3" t="s">
        <v>8296</v>
      </c>
      <c r="F22" s="3" t="s">
        <v>8356</v>
      </c>
      <c r="G22" s="19">
        <v>1776.0</v>
      </c>
      <c r="H22" s="3" t="s">
        <v>7671</v>
      </c>
      <c r="J22" s="4">
        <v>46056.4438194213</v>
      </c>
    </row>
    <row r="23">
      <c r="A23" s="3" t="s">
        <v>7735</v>
      </c>
      <c r="B23" s="19">
        <v>3.0</v>
      </c>
      <c r="C23" s="3" t="s">
        <v>8357</v>
      </c>
      <c r="D23" s="35" t="s">
        <v>8358</v>
      </c>
      <c r="E23" s="3" t="s">
        <v>8303</v>
      </c>
      <c r="F23" s="3" t="s">
        <v>8359</v>
      </c>
      <c r="G23" s="19">
        <v>1777.0</v>
      </c>
      <c r="H23" s="3" t="s">
        <v>7671</v>
      </c>
      <c r="J23" s="4">
        <v>46056.4438194213</v>
      </c>
    </row>
    <row r="24">
      <c r="A24" s="3" t="s">
        <v>7742</v>
      </c>
      <c r="B24" s="19">
        <v>0.0</v>
      </c>
      <c r="C24" s="3" t="s">
        <v>8360</v>
      </c>
      <c r="D24" s="35" t="s">
        <v>8361</v>
      </c>
      <c r="E24" s="3" t="s">
        <v>8292</v>
      </c>
      <c r="F24" s="3" t="s">
        <v>8362</v>
      </c>
      <c r="G24" s="19">
        <v>1778.0</v>
      </c>
      <c r="H24" s="3" t="s">
        <v>7737</v>
      </c>
      <c r="I24" s="3" t="s">
        <v>511</v>
      </c>
      <c r="J24" s="4">
        <v>46056.51261366898</v>
      </c>
    </row>
    <row r="25">
      <c r="A25" s="3" t="s">
        <v>7742</v>
      </c>
      <c r="B25" s="19">
        <v>1.0</v>
      </c>
      <c r="C25" s="3" t="s">
        <v>8363</v>
      </c>
      <c r="D25" s="35" t="s">
        <v>8364</v>
      </c>
      <c r="E25" s="3" t="s">
        <v>8292</v>
      </c>
      <c r="F25" s="3" t="s">
        <v>8365</v>
      </c>
      <c r="G25" s="19">
        <v>1779.0</v>
      </c>
      <c r="H25" s="3" t="s">
        <v>7737</v>
      </c>
      <c r="I25" s="3" t="s">
        <v>511</v>
      </c>
      <c r="J25" s="4">
        <v>46056.51261366898</v>
      </c>
    </row>
    <row r="26">
      <c r="A26" s="3" t="s">
        <v>7742</v>
      </c>
      <c r="B26" s="19">
        <v>2.0</v>
      </c>
      <c r="C26" s="3" t="s">
        <v>8366</v>
      </c>
      <c r="D26" s="35" t="s">
        <v>8367</v>
      </c>
      <c r="E26" s="3" t="s">
        <v>8292</v>
      </c>
      <c r="F26" s="3" t="s">
        <v>8368</v>
      </c>
      <c r="G26" s="19">
        <v>1780.0</v>
      </c>
      <c r="H26" s="3" t="s">
        <v>7737</v>
      </c>
      <c r="I26" s="3" t="s">
        <v>511</v>
      </c>
      <c r="J26" s="4">
        <v>46056.51261366898</v>
      </c>
    </row>
    <row r="27">
      <c r="A27" s="3" t="s">
        <v>7742</v>
      </c>
      <c r="B27" s="19">
        <v>3.0</v>
      </c>
      <c r="C27" s="3" t="s">
        <v>8369</v>
      </c>
      <c r="D27" s="35" t="s">
        <v>8370</v>
      </c>
      <c r="E27" s="3" t="s">
        <v>8296</v>
      </c>
      <c r="F27" s="3" t="s">
        <v>8371</v>
      </c>
      <c r="G27" s="19">
        <v>1781.0</v>
      </c>
      <c r="H27" s="3" t="s">
        <v>7737</v>
      </c>
      <c r="I27" s="3" t="s">
        <v>511</v>
      </c>
      <c r="J27" s="4">
        <v>46056.51261366898</v>
      </c>
    </row>
    <row r="28">
      <c r="A28" s="3" t="s">
        <v>7742</v>
      </c>
      <c r="B28" s="19">
        <v>4.0</v>
      </c>
      <c r="C28" s="3" t="s">
        <v>8372</v>
      </c>
      <c r="D28" s="35" t="s">
        <v>8373</v>
      </c>
      <c r="E28" s="3" t="s">
        <v>8296</v>
      </c>
      <c r="F28" s="3" t="s">
        <v>8374</v>
      </c>
      <c r="G28" s="19">
        <v>1782.0</v>
      </c>
      <c r="H28" s="3" t="s">
        <v>7737</v>
      </c>
      <c r="I28" s="3" t="s">
        <v>511</v>
      </c>
      <c r="J28" s="4">
        <v>46056.51261366898</v>
      </c>
    </row>
    <row r="29">
      <c r="A29" s="3" t="s">
        <v>7742</v>
      </c>
      <c r="B29" s="19">
        <v>5.0</v>
      </c>
      <c r="C29" s="3" t="s">
        <v>8375</v>
      </c>
      <c r="D29" s="35" t="s">
        <v>8376</v>
      </c>
      <c r="E29" s="3" t="s">
        <v>8334</v>
      </c>
      <c r="F29" s="3" t="s">
        <v>8377</v>
      </c>
      <c r="G29" s="19">
        <v>1783.0</v>
      </c>
      <c r="H29" s="3" t="s">
        <v>7737</v>
      </c>
      <c r="I29" s="3" t="s">
        <v>511</v>
      </c>
      <c r="J29" s="4">
        <v>46056.51261366898</v>
      </c>
    </row>
    <row r="30">
      <c r="A30" s="3" t="s">
        <v>7747</v>
      </c>
      <c r="B30" s="19">
        <v>0.0</v>
      </c>
      <c r="C30" s="3" t="s">
        <v>8378</v>
      </c>
      <c r="D30" s="35" t="s">
        <v>8379</v>
      </c>
      <c r="E30" s="3" t="s">
        <v>8292</v>
      </c>
      <c r="F30" s="3" t="s">
        <v>8380</v>
      </c>
      <c r="G30" s="19">
        <v>1784.0</v>
      </c>
      <c r="H30" s="3" t="s">
        <v>7744</v>
      </c>
      <c r="J30" s="4">
        <v>46056.54697649306</v>
      </c>
    </row>
    <row r="31">
      <c r="A31" s="3" t="s">
        <v>7747</v>
      </c>
      <c r="B31" s="19">
        <v>1.0</v>
      </c>
      <c r="C31" s="3" t="s">
        <v>8381</v>
      </c>
      <c r="D31" s="35" t="s">
        <v>8382</v>
      </c>
      <c r="E31" s="3" t="s">
        <v>8292</v>
      </c>
      <c r="F31" s="3" t="s">
        <v>8383</v>
      </c>
      <c r="G31" s="19">
        <v>1785.0</v>
      </c>
      <c r="H31" s="3" t="s">
        <v>7744</v>
      </c>
      <c r="J31" s="4">
        <v>46056.54697649306</v>
      </c>
    </row>
    <row r="32">
      <c r="A32" s="3" t="s">
        <v>7747</v>
      </c>
      <c r="B32" s="19">
        <v>2.0</v>
      </c>
      <c r="C32" s="3" t="s">
        <v>8384</v>
      </c>
      <c r="D32" s="35" t="s">
        <v>8385</v>
      </c>
      <c r="E32" s="3" t="s">
        <v>8296</v>
      </c>
      <c r="F32" s="3" t="s">
        <v>8386</v>
      </c>
      <c r="G32" s="19">
        <v>1786.0</v>
      </c>
      <c r="H32" s="3" t="s">
        <v>7744</v>
      </c>
      <c r="J32" s="4">
        <v>46056.54697649306</v>
      </c>
    </row>
    <row r="33">
      <c r="A33" s="3" t="s">
        <v>7753</v>
      </c>
      <c r="B33" s="19">
        <v>0.0</v>
      </c>
      <c r="C33" s="3" t="s">
        <v>8387</v>
      </c>
      <c r="D33" s="35" t="s">
        <v>8388</v>
      </c>
      <c r="E33" s="3" t="s">
        <v>8292</v>
      </c>
      <c r="F33" s="3" t="s">
        <v>8389</v>
      </c>
      <c r="G33" s="19">
        <v>1787.0</v>
      </c>
      <c r="H33" s="3" t="s">
        <v>7689</v>
      </c>
      <c r="J33" s="4">
        <v>46056.56622665509</v>
      </c>
    </row>
    <row r="34">
      <c r="A34" s="3" t="s">
        <v>7760</v>
      </c>
      <c r="B34" s="19">
        <v>0.0</v>
      </c>
      <c r="C34" s="3" t="s">
        <v>8390</v>
      </c>
      <c r="D34" s="35" t="s">
        <v>8391</v>
      </c>
      <c r="E34" s="3" t="s">
        <v>8292</v>
      </c>
      <c r="F34" s="3" t="s">
        <v>8392</v>
      </c>
      <c r="G34" s="19">
        <v>1788.0</v>
      </c>
      <c r="H34" s="3" t="s">
        <v>7755</v>
      </c>
      <c r="J34" s="4">
        <v>46056.58870604167</v>
      </c>
    </row>
    <row r="35">
      <c r="A35" s="3" t="s">
        <v>7760</v>
      </c>
      <c r="B35" s="19">
        <v>1.0</v>
      </c>
      <c r="C35" s="3" t="s">
        <v>8393</v>
      </c>
      <c r="D35" s="35" t="s">
        <v>8394</v>
      </c>
      <c r="E35" s="3" t="s">
        <v>8296</v>
      </c>
      <c r="F35" s="3" t="s">
        <v>8395</v>
      </c>
      <c r="G35" s="19">
        <v>1789.0</v>
      </c>
      <c r="H35" s="3" t="s">
        <v>7755</v>
      </c>
      <c r="J35" s="4">
        <v>46056.58870604167</v>
      </c>
    </row>
    <row r="36">
      <c r="A36" s="3" t="s">
        <v>7766</v>
      </c>
      <c r="B36" s="19">
        <v>0.0</v>
      </c>
      <c r="C36" s="3" t="s">
        <v>8396</v>
      </c>
      <c r="D36" s="35" t="s">
        <v>8397</v>
      </c>
      <c r="E36" s="3" t="s">
        <v>8292</v>
      </c>
      <c r="F36" s="3" t="s">
        <v>8398</v>
      </c>
      <c r="G36" s="19">
        <v>1790.0</v>
      </c>
      <c r="H36" s="3" t="s">
        <v>7762</v>
      </c>
      <c r="I36" s="3" t="s">
        <v>601</v>
      </c>
      <c r="J36" s="4">
        <v>46056.62788851852</v>
      </c>
    </row>
    <row r="37">
      <c r="A37" s="3" t="s">
        <v>7766</v>
      </c>
      <c r="B37" s="19">
        <v>1.0</v>
      </c>
      <c r="C37" s="3" t="s">
        <v>8399</v>
      </c>
      <c r="D37" s="35" t="s">
        <v>8400</v>
      </c>
      <c r="E37" s="3" t="s">
        <v>8296</v>
      </c>
      <c r="F37" s="3" t="s">
        <v>8401</v>
      </c>
      <c r="G37" s="19">
        <v>1791.0</v>
      </c>
      <c r="H37" s="3" t="s">
        <v>7762</v>
      </c>
      <c r="I37" s="3" t="s">
        <v>601</v>
      </c>
      <c r="J37" s="4">
        <v>46056.62788851852</v>
      </c>
    </row>
    <row r="38">
      <c r="A38" s="3" t="s">
        <v>7782</v>
      </c>
      <c r="B38" s="19">
        <v>0.0</v>
      </c>
      <c r="C38" s="3" t="s">
        <v>8402</v>
      </c>
      <c r="D38" s="35" t="s">
        <v>8403</v>
      </c>
      <c r="E38" s="3" t="s">
        <v>8292</v>
      </c>
      <c r="F38" s="3" t="s">
        <v>8404</v>
      </c>
      <c r="G38" s="19">
        <v>1792.0</v>
      </c>
      <c r="H38" s="3" t="s">
        <v>7779</v>
      </c>
      <c r="I38" s="3" t="s">
        <v>126</v>
      </c>
      <c r="J38" s="4">
        <v>46057.46344599537</v>
      </c>
    </row>
    <row r="39">
      <c r="A39" s="3" t="s">
        <v>7782</v>
      </c>
      <c r="B39" s="19">
        <v>1.0</v>
      </c>
      <c r="C39" s="3" t="s">
        <v>8405</v>
      </c>
      <c r="D39" s="35" t="s">
        <v>8406</v>
      </c>
      <c r="E39" s="3" t="s">
        <v>8292</v>
      </c>
      <c r="F39" s="3" t="s">
        <v>8407</v>
      </c>
      <c r="G39" s="19">
        <v>1793.0</v>
      </c>
      <c r="H39" s="3" t="s">
        <v>7779</v>
      </c>
      <c r="I39" s="3" t="s">
        <v>126</v>
      </c>
      <c r="J39" s="4">
        <v>46057.46344599537</v>
      </c>
    </row>
    <row r="40">
      <c r="A40" s="3" t="s">
        <v>7782</v>
      </c>
      <c r="B40" s="19">
        <v>2.0</v>
      </c>
      <c r="C40" s="3" t="s">
        <v>8408</v>
      </c>
      <c r="D40" s="35" t="s">
        <v>8409</v>
      </c>
      <c r="E40" s="3" t="s">
        <v>8292</v>
      </c>
      <c r="F40" s="3" t="s">
        <v>8410</v>
      </c>
      <c r="G40" s="19">
        <v>1794.0</v>
      </c>
      <c r="H40" s="3" t="s">
        <v>7779</v>
      </c>
      <c r="I40" s="3" t="s">
        <v>126</v>
      </c>
      <c r="J40" s="4">
        <v>46057.46344599537</v>
      </c>
    </row>
    <row r="41">
      <c r="A41" s="3" t="s">
        <v>7782</v>
      </c>
      <c r="B41" s="19">
        <v>3.0</v>
      </c>
      <c r="C41" s="3" t="s">
        <v>8411</v>
      </c>
      <c r="D41" s="35" t="s">
        <v>8412</v>
      </c>
      <c r="E41" s="3" t="s">
        <v>8292</v>
      </c>
      <c r="F41" s="3" t="s">
        <v>8413</v>
      </c>
      <c r="G41" s="19">
        <v>1795.0</v>
      </c>
      <c r="H41" s="3" t="s">
        <v>7779</v>
      </c>
      <c r="I41" s="3" t="s">
        <v>126</v>
      </c>
      <c r="J41" s="4">
        <v>46057.46344599537</v>
      </c>
    </row>
    <row r="42">
      <c r="A42" s="3" t="s">
        <v>7782</v>
      </c>
      <c r="B42" s="19">
        <v>4.0</v>
      </c>
      <c r="C42" s="3" t="s">
        <v>8414</v>
      </c>
      <c r="D42" s="35" t="s">
        <v>8415</v>
      </c>
      <c r="E42" s="3" t="s">
        <v>8296</v>
      </c>
      <c r="F42" s="3" t="s">
        <v>8416</v>
      </c>
      <c r="G42" s="19">
        <v>1796.0</v>
      </c>
      <c r="H42" s="3" t="s">
        <v>7779</v>
      </c>
      <c r="I42" s="3" t="s">
        <v>126</v>
      </c>
      <c r="J42" s="4">
        <v>46057.46344599537</v>
      </c>
    </row>
    <row r="43">
      <c r="A43" s="3" t="s">
        <v>7782</v>
      </c>
      <c r="B43" s="19">
        <v>5.0</v>
      </c>
      <c r="C43" s="3" t="s">
        <v>8417</v>
      </c>
      <c r="D43" s="35" t="s">
        <v>8418</v>
      </c>
      <c r="E43" s="3" t="s">
        <v>8296</v>
      </c>
      <c r="F43" s="3" t="s">
        <v>8419</v>
      </c>
      <c r="G43" s="19">
        <v>1797.0</v>
      </c>
      <c r="H43" s="3" t="s">
        <v>7779</v>
      </c>
      <c r="I43" s="3" t="s">
        <v>126</v>
      </c>
      <c r="J43" s="4">
        <v>46057.46344599537</v>
      </c>
    </row>
    <row r="44">
      <c r="A44" s="3" t="s">
        <v>7785</v>
      </c>
      <c r="B44" s="19">
        <v>0.0</v>
      </c>
      <c r="C44" s="3" t="s">
        <v>8420</v>
      </c>
      <c r="D44" s="35" t="s">
        <v>8421</v>
      </c>
      <c r="E44" s="3" t="s">
        <v>8292</v>
      </c>
      <c r="F44" s="3" t="s">
        <v>8422</v>
      </c>
      <c r="G44" s="19">
        <v>1798.0</v>
      </c>
      <c r="H44" s="3" t="s">
        <v>7655</v>
      </c>
      <c r="I44" s="3" t="s">
        <v>301</v>
      </c>
      <c r="J44" s="4">
        <v>46057.48122083333</v>
      </c>
    </row>
    <row r="45">
      <c r="A45" s="3" t="s">
        <v>7785</v>
      </c>
      <c r="B45" s="19">
        <v>1.0</v>
      </c>
      <c r="C45" s="3" t="s">
        <v>8423</v>
      </c>
      <c r="D45" s="35" t="s">
        <v>8424</v>
      </c>
      <c r="E45" s="3" t="s">
        <v>8292</v>
      </c>
      <c r="F45" s="3" t="s">
        <v>8425</v>
      </c>
      <c r="G45" s="19">
        <v>1799.0</v>
      </c>
      <c r="H45" s="3" t="s">
        <v>7655</v>
      </c>
      <c r="I45" s="3" t="s">
        <v>301</v>
      </c>
      <c r="J45" s="4">
        <v>46057.48122083333</v>
      </c>
    </row>
    <row r="46">
      <c r="A46" s="3" t="s">
        <v>7785</v>
      </c>
      <c r="B46" s="19">
        <v>2.0</v>
      </c>
      <c r="C46" s="3" t="s">
        <v>8426</v>
      </c>
      <c r="D46" s="35" t="s">
        <v>8427</v>
      </c>
      <c r="E46" s="3" t="s">
        <v>8303</v>
      </c>
      <c r="F46" s="3" t="s">
        <v>8428</v>
      </c>
      <c r="G46" s="19">
        <v>1800.0</v>
      </c>
      <c r="H46" s="3" t="s">
        <v>7655</v>
      </c>
      <c r="I46" s="3" t="s">
        <v>301</v>
      </c>
      <c r="J46" s="4">
        <v>46057.48122083333</v>
      </c>
    </row>
    <row r="47">
      <c r="A47" s="3" t="s">
        <v>7785</v>
      </c>
      <c r="B47" s="19">
        <v>3.0</v>
      </c>
      <c r="C47" s="3" t="s">
        <v>8429</v>
      </c>
      <c r="D47" s="35" t="s">
        <v>8430</v>
      </c>
      <c r="E47" s="3" t="s">
        <v>8292</v>
      </c>
      <c r="F47" s="3" t="s">
        <v>8431</v>
      </c>
      <c r="G47" s="19">
        <v>1801.0</v>
      </c>
      <c r="H47" s="3" t="s">
        <v>7655</v>
      </c>
      <c r="I47" s="3" t="s">
        <v>301</v>
      </c>
      <c r="J47" s="4">
        <v>46057.48122083333</v>
      </c>
    </row>
    <row r="48">
      <c r="A48" s="3" t="s">
        <v>7790</v>
      </c>
      <c r="B48" s="19">
        <v>0.0</v>
      </c>
      <c r="C48" s="3" t="s">
        <v>8432</v>
      </c>
      <c r="D48" s="35" t="s">
        <v>8433</v>
      </c>
      <c r="E48" s="3" t="s">
        <v>8292</v>
      </c>
      <c r="F48" s="3" t="s">
        <v>8434</v>
      </c>
      <c r="G48" s="19">
        <v>1802.0</v>
      </c>
      <c r="H48" s="3" t="s">
        <v>7576</v>
      </c>
      <c r="I48" s="3" t="s">
        <v>132</v>
      </c>
      <c r="J48" s="4">
        <v>46057.592920717594</v>
      </c>
    </row>
    <row r="49">
      <c r="A49" s="3" t="s">
        <v>7790</v>
      </c>
      <c r="B49" s="19">
        <v>1.0</v>
      </c>
      <c r="C49" s="3" t="s">
        <v>8435</v>
      </c>
      <c r="D49" s="35" t="s">
        <v>8436</v>
      </c>
      <c r="E49" s="3" t="s">
        <v>8292</v>
      </c>
      <c r="F49" s="3" t="s">
        <v>8437</v>
      </c>
      <c r="G49" s="19">
        <v>1803.0</v>
      </c>
      <c r="H49" s="3" t="s">
        <v>7576</v>
      </c>
      <c r="I49" s="3" t="s">
        <v>132</v>
      </c>
      <c r="J49" s="4">
        <v>46057.592920717594</v>
      </c>
    </row>
    <row r="50">
      <c r="A50" s="3" t="s">
        <v>7566</v>
      </c>
      <c r="B50" s="19">
        <v>0.0</v>
      </c>
      <c r="C50" s="3" t="s">
        <v>8438</v>
      </c>
      <c r="D50" s="35" t="s">
        <v>8439</v>
      </c>
      <c r="E50" s="3" t="s">
        <v>8292</v>
      </c>
      <c r="F50" s="3" t="s">
        <v>8440</v>
      </c>
      <c r="G50" s="19">
        <v>1804.0</v>
      </c>
      <c r="H50" s="3" t="s">
        <v>7266</v>
      </c>
      <c r="I50" s="3" t="s">
        <v>319</v>
      </c>
      <c r="J50" s="4">
        <v>46057.85560751158</v>
      </c>
    </row>
    <row r="51">
      <c r="A51" s="3" t="s">
        <v>7566</v>
      </c>
      <c r="B51" s="19">
        <v>1.0</v>
      </c>
      <c r="C51" s="3" t="s">
        <v>8441</v>
      </c>
      <c r="D51" s="35" t="s">
        <v>8442</v>
      </c>
      <c r="E51" s="3" t="s">
        <v>8292</v>
      </c>
      <c r="F51" s="3" t="s">
        <v>8443</v>
      </c>
      <c r="G51" s="19">
        <v>1805.0</v>
      </c>
      <c r="H51" s="3" t="s">
        <v>7266</v>
      </c>
      <c r="I51" s="3" t="s">
        <v>319</v>
      </c>
      <c r="J51" s="4">
        <v>46057.85560751158</v>
      </c>
    </row>
    <row r="52">
      <c r="A52" s="3" t="s">
        <v>7566</v>
      </c>
      <c r="B52" s="19">
        <v>2.0</v>
      </c>
      <c r="C52" s="3" t="s">
        <v>8444</v>
      </c>
      <c r="D52" s="35" t="s">
        <v>8445</v>
      </c>
      <c r="E52" s="3" t="s">
        <v>8296</v>
      </c>
      <c r="F52" s="3" t="s">
        <v>8446</v>
      </c>
      <c r="G52" s="19">
        <v>1806.0</v>
      </c>
      <c r="H52" s="3" t="s">
        <v>7266</v>
      </c>
      <c r="I52" s="3" t="s">
        <v>319</v>
      </c>
      <c r="J52" s="4">
        <v>46057.85560751158</v>
      </c>
    </row>
    <row r="53">
      <c r="A53" s="3" t="s">
        <v>7569</v>
      </c>
      <c r="B53" s="19">
        <v>0.0</v>
      </c>
      <c r="C53" s="3" t="s">
        <v>8447</v>
      </c>
      <c r="D53" s="35" t="s">
        <v>8448</v>
      </c>
      <c r="E53" s="3" t="s">
        <v>8296</v>
      </c>
      <c r="F53" s="3" t="s">
        <v>8449</v>
      </c>
      <c r="G53" s="19">
        <v>1807.0</v>
      </c>
      <c r="H53" s="3" t="s">
        <v>7189</v>
      </c>
      <c r="I53" s="3" t="s">
        <v>179</v>
      </c>
      <c r="J53" s="4">
        <v>46057.86744125</v>
      </c>
    </row>
    <row r="54">
      <c r="A54" s="3" t="s">
        <v>7569</v>
      </c>
      <c r="B54" s="19">
        <v>1.0</v>
      </c>
      <c r="C54" s="3" t="s">
        <v>8450</v>
      </c>
      <c r="D54" s="35" t="s">
        <v>8451</v>
      </c>
      <c r="E54" s="3" t="s">
        <v>8296</v>
      </c>
      <c r="F54" s="3" t="s">
        <v>8452</v>
      </c>
      <c r="G54" s="19">
        <v>1808.0</v>
      </c>
      <c r="H54" s="3" t="s">
        <v>7189</v>
      </c>
      <c r="I54" s="3" t="s">
        <v>179</v>
      </c>
      <c r="J54" s="4">
        <v>46057.86744125</v>
      </c>
    </row>
    <row r="55">
      <c r="A55" s="3" t="s">
        <v>7569</v>
      </c>
      <c r="B55" s="19">
        <v>2.0</v>
      </c>
      <c r="C55" s="3" t="s">
        <v>8453</v>
      </c>
      <c r="D55" s="35" t="s">
        <v>8454</v>
      </c>
      <c r="E55" s="3" t="s">
        <v>8292</v>
      </c>
      <c r="F55" s="3" t="s">
        <v>8455</v>
      </c>
      <c r="G55" s="19">
        <v>1809.0</v>
      </c>
      <c r="H55" s="3" t="s">
        <v>7189</v>
      </c>
      <c r="I55" s="3" t="s">
        <v>179</v>
      </c>
      <c r="J55" s="4">
        <v>46057.86744125</v>
      </c>
    </row>
    <row r="56">
      <c r="A56" s="3" t="s">
        <v>7569</v>
      </c>
      <c r="B56" s="19">
        <v>3.0</v>
      </c>
      <c r="C56" s="3" t="s">
        <v>8456</v>
      </c>
      <c r="D56" s="35" t="s">
        <v>8457</v>
      </c>
      <c r="E56" s="3" t="s">
        <v>8292</v>
      </c>
      <c r="F56" s="3" t="s">
        <v>8458</v>
      </c>
      <c r="G56" s="19">
        <v>1810.0</v>
      </c>
      <c r="H56" s="3" t="s">
        <v>7189</v>
      </c>
      <c r="I56" s="3" t="s">
        <v>179</v>
      </c>
      <c r="J56" s="4">
        <v>46057.86744125</v>
      </c>
    </row>
    <row r="57">
      <c r="A57" s="3" t="s">
        <v>7623</v>
      </c>
      <c r="B57" s="19">
        <v>0.0</v>
      </c>
      <c r="C57" s="3" t="s">
        <v>8459</v>
      </c>
      <c r="D57" s="35" t="s">
        <v>8460</v>
      </c>
      <c r="E57" s="3" t="s">
        <v>8292</v>
      </c>
      <c r="F57" s="3" t="s">
        <v>8461</v>
      </c>
      <c r="G57" s="19">
        <v>1811.0</v>
      </c>
      <c r="H57" s="3" t="s">
        <v>7618</v>
      </c>
      <c r="I57" s="3" t="s">
        <v>329</v>
      </c>
      <c r="J57" s="4">
        <v>46057.87393418982</v>
      </c>
    </row>
    <row r="58">
      <c r="A58" s="3" t="s">
        <v>7631</v>
      </c>
      <c r="B58" s="19">
        <v>0.0</v>
      </c>
      <c r="C58" s="3" t="s">
        <v>8462</v>
      </c>
      <c r="D58" s="35" t="s">
        <v>8463</v>
      </c>
      <c r="E58" s="3" t="s">
        <v>8303</v>
      </c>
      <c r="F58" s="3" t="s">
        <v>8464</v>
      </c>
      <c r="G58" s="19">
        <v>1812.0</v>
      </c>
      <c r="H58" s="3" t="s">
        <v>7628</v>
      </c>
      <c r="I58" s="3" t="s">
        <v>191</v>
      </c>
      <c r="J58" s="4">
        <v>46057.879879479166</v>
      </c>
    </row>
    <row r="59">
      <c r="A59" s="3" t="s">
        <v>7631</v>
      </c>
      <c r="B59" s="19">
        <v>1.0</v>
      </c>
      <c r="C59" s="3" t="s">
        <v>8465</v>
      </c>
      <c r="D59" s="35" t="s">
        <v>8466</v>
      </c>
      <c r="E59" s="3" t="s">
        <v>8296</v>
      </c>
      <c r="F59" s="3" t="s">
        <v>8467</v>
      </c>
      <c r="G59" s="19">
        <v>1813.0</v>
      </c>
      <c r="H59" s="3" t="s">
        <v>7628</v>
      </c>
      <c r="I59" s="3" t="s">
        <v>191</v>
      </c>
      <c r="J59" s="4">
        <v>46057.879879479166</v>
      </c>
    </row>
    <row r="60">
      <c r="A60" s="3" t="s">
        <v>7631</v>
      </c>
      <c r="B60" s="19">
        <v>2.0</v>
      </c>
      <c r="C60" s="3" t="s">
        <v>8468</v>
      </c>
      <c r="D60" s="35" t="s">
        <v>8469</v>
      </c>
      <c r="E60" s="3" t="s">
        <v>8292</v>
      </c>
      <c r="F60" s="3" t="s">
        <v>8470</v>
      </c>
      <c r="G60" s="19">
        <v>1814.0</v>
      </c>
      <c r="H60" s="3" t="s">
        <v>7628</v>
      </c>
      <c r="I60" s="3" t="s">
        <v>191</v>
      </c>
      <c r="J60" s="4">
        <v>46057.879879479166</v>
      </c>
    </row>
    <row r="61">
      <c r="A61" s="3" t="s">
        <v>7631</v>
      </c>
      <c r="B61" s="19">
        <v>3.0</v>
      </c>
      <c r="C61" s="3" t="s">
        <v>8471</v>
      </c>
      <c r="D61" s="35" t="s">
        <v>8472</v>
      </c>
      <c r="E61" s="3" t="s">
        <v>8296</v>
      </c>
      <c r="F61" s="3" t="s">
        <v>8473</v>
      </c>
      <c r="G61" s="19">
        <v>1815.0</v>
      </c>
      <c r="H61" s="3" t="s">
        <v>7628</v>
      </c>
      <c r="I61" s="3" t="s">
        <v>191</v>
      </c>
      <c r="J61" s="4">
        <v>46057.879879479166</v>
      </c>
    </row>
    <row r="62">
      <c r="A62" s="3" t="s">
        <v>7631</v>
      </c>
      <c r="B62" s="19">
        <v>4.0</v>
      </c>
      <c r="C62" s="3" t="s">
        <v>8474</v>
      </c>
      <c r="D62" s="35" t="s">
        <v>8475</v>
      </c>
      <c r="E62" s="3" t="s">
        <v>8334</v>
      </c>
      <c r="F62" s="3" t="s">
        <v>8476</v>
      </c>
      <c r="G62" s="19">
        <v>1816.0</v>
      </c>
      <c r="H62" s="3" t="s">
        <v>7628</v>
      </c>
      <c r="I62" s="3" t="s">
        <v>191</v>
      </c>
      <c r="J62" s="4">
        <v>46057.879879479166</v>
      </c>
    </row>
    <row r="63">
      <c r="A63" s="3" t="s">
        <v>7801</v>
      </c>
      <c r="B63" s="19">
        <v>0.0</v>
      </c>
      <c r="C63" s="3" t="s">
        <v>8477</v>
      </c>
      <c r="D63" s="35" t="s">
        <v>8478</v>
      </c>
      <c r="E63" s="3" t="s">
        <v>8292</v>
      </c>
      <c r="F63" s="3" t="s">
        <v>8479</v>
      </c>
      <c r="G63" s="19">
        <v>1817.0</v>
      </c>
      <c r="H63" s="3" t="s">
        <v>7797</v>
      </c>
      <c r="I63" s="3" t="s">
        <v>329</v>
      </c>
      <c r="J63" s="4">
        <v>46058.48330478009</v>
      </c>
    </row>
    <row r="64">
      <c r="A64" s="3" t="s">
        <v>7801</v>
      </c>
      <c r="B64" s="19">
        <v>1.0</v>
      </c>
      <c r="C64" s="3" t="s">
        <v>8480</v>
      </c>
      <c r="D64" s="35" t="s">
        <v>8481</v>
      </c>
      <c r="E64" s="3" t="s">
        <v>8303</v>
      </c>
      <c r="F64" s="3" t="s">
        <v>8482</v>
      </c>
      <c r="G64" s="19">
        <v>1818.0</v>
      </c>
      <c r="H64" s="3" t="s">
        <v>7797</v>
      </c>
      <c r="I64" s="3" t="s">
        <v>329</v>
      </c>
      <c r="J64" s="4">
        <v>46058.48330478009</v>
      </c>
    </row>
    <row r="65">
      <c r="A65" s="3" t="s">
        <v>7801</v>
      </c>
      <c r="B65" s="19">
        <v>2.0</v>
      </c>
      <c r="C65" s="3" t="s">
        <v>8483</v>
      </c>
      <c r="D65" s="35" t="s">
        <v>8484</v>
      </c>
      <c r="E65" s="3" t="s">
        <v>8292</v>
      </c>
      <c r="F65" s="3" t="s">
        <v>8485</v>
      </c>
      <c r="G65" s="19">
        <v>1819.0</v>
      </c>
      <c r="H65" s="3" t="s">
        <v>7797</v>
      </c>
      <c r="I65" s="3" t="s">
        <v>329</v>
      </c>
      <c r="J65" s="4">
        <v>46058.48330478009</v>
      </c>
    </row>
    <row r="66">
      <c r="A66" s="3" t="s">
        <v>7801</v>
      </c>
      <c r="B66" s="19">
        <v>3.0</v>
      </c>
      <c r="C66" s="3" t="s">
        <v>8486</v>
      </c>
      <c r="D66" s="35" t="s">
        <v>8487</v>
      </c>
      <c r="E66" s="3" t="s">
        <v>8296</v>
      </c>
      <c r="F66" s="3" t="s">
        <v>8488</v>
      </c>
      <c r="G66" s="19">
        <v>1820.0</v>
      </c>
      <c r="H66" s="3" t="s">
        <v>7797</v>
      </c>
      <c r="I66" s="3" t="s">
        <v>329</v>
      </c>
      <c r="J66" s="4">
        <v>46058.48330478009</v>
      </c>
    </row>
    <row r="67">
      <c r="A67" s="3" t="s">
        <v>7801</v>
      </c>
      <c r="B67" s="19">
        <v>4.0</v>
      </c>
      <c r="C67" s="3" t="s">
        <v>8489</v>
      </c>
      <c r="D67" s="35" t="s">
        <v>8490</v>
      </c>
      <c r="E67" s="3" t="s">
        <v>8296</v>
      </c>
      <c r="F67" s="3" t="s">
        <v>8491</v>
      </c>
      <c r="G67" s="19">
        <v>1821.0</v>
      </c>
      <c r="H67" s="3" t="s">
        <v>7797</v>
      </c>
      <c r="I67" s="3" t="s">
        <v>329</v>
      </c>
      <c r="J67" s="4">
        <v>46058.48330478009</v>
      </c>
    </row>
    <row r="68">
      <c r="A68" s="3" t="s">
        <v>7803</v>
      </c>
      <c r="B68" s="19">
        <v>0.0</v>
      </c>
      <c r="C68" s="3" t="s">
        <v>8492</v>
      </c>
      <c r="D68" s="35" t="s">
        <v>8493</v>
      </c>
      <c r="E68" s="3" t="s">
        <v>8292</v>
      </c>
      <c r="F68" s="3" t="s">
        <v>8494</v>
      </c>
      <c r="G68" s="19">
        <v>1822.0</v>
      </c>
      <c r="H68" s="3" t="s">
        <v>7420</v>
      </c>
      <c r="I68" s="3" t="s">
        <v>126</v>
      </c>
      <c r="J68" s="4">
        <v>46058.503459942134</v>
      </c>
    </row>
    <row r="69">
      <c r="A69" s="3" t="s">
        <v>7803</v>
      </c>
      <c r="B69" s="19">
        <v>1.0</v>
      </c>
      <c r="C69" s="3" t="s">
        <v>8495</v>
      </c>
      <c r="D69" s="35" t="s">
        <v>8496</v>
      </c>
      <c r="E69" s="3" t="s">
        <v>8296</v>
      </c>
      <c r="F69" s="3" t="s">
        <v>8497</v>
      </c>
      <c r="G69" s="19">
        <v>1823.0</v>
      </c>
      <c r="H69" s="3" t="s">
        <v>7420</v>
      </c>
      <c r="I69" s="3" t="s">
        <v>126</v>
      </c>
      <c r="J69" s="4">
        <v>46058.503459942134</v>
      </c>
    </row>
    <row r="70">
      <c r="A70" s="3" t="s">
        <v>7803</v>
      </c>
      <c r="B70" s="19">
        <v>2.0</v>
      </c>
      <c r="C70" s="3" t="s">
        <v>8498</v>
      </c>
      <c r="D70" s="35" t="s">
        <v>8499</v>
      </c>
      <c r="E70" s="3" t="s">
        <v>8292</v>
      </c>
      <c r="F70" s="3" t="s">
        <v>8500</v>
      </c>
      <c r="G70" s="19">
        <v>1824.0</v>
      </c>
      <c r="H70" s="3" t="s">
        <v>7420</v>
      </c>
      <c r="I70" s="3" t="s">
        <v>126</v>
      </c>
      <c r="J70" s="4">
        <v>46058.503459942134</v>
      </c>
    </row>
    <row r="71">
      <c r="A71" s="3" t="s">
        <v>7803</v>
      </c>
      <c r="B71" s="19">
        <v>3.0</v>
      </c>
      <c r="C71" s="3" t="s">
        <v>8501</v>
      </c>
      <c r="D71" s="35" t="s">
        <v>8502</v>
      </c>
      <c r="E71" s="3" t="s">
        <v>8292</v>
      </c>
      <c r="F71" s="3" t="s">
        <v>8503</v>
      </c>
      <c r="G71" s="19">
        <v>1825.0</v>
      </c>
      <c r="H71" s="3" t="s">
        <v>7420</v>
      </c>
      <c r="I71" s="3" t="s">
        <v>126</v>
      </c>
      <c r="J71" s="4">
        <v>46058.503459942134</v>
      </c>
    </row>
    <row r="72">
      <c r="A72" s="3" t="s">
        <v>7803</v>
      </c>
      <c r="B72" s="19">
        <v>4.0</v>
      </c>
      <c r="C72" s="3" t="s">
        <v>8504</v>
      </c>
      <c r="D72" s="35" t="s">
        <v>8505</v>
      </c>
      <c r="E72" s="3" t="s">
        <v>8296</v>
      </c>
      <c r="F72" s="3" t="s">
        <v>8506</v>
      </c>
      <c r="G72" s="19">
        <v>1826.0</v>
      </c>
      <c r="H72" s="3" t="s">
        <v>7420</v>
      </c>
      <c r="I72" s="3" t="s">
        <v>126</v>
      </c>
      <c r="J72" s="4">
        <v>46058.503459942134</v>
      </c>
    </row>
    <row r="73">
      <c r="A73" s="3" t="s">
        <v>7803</v>
      </c>
      <c r="B73" s="19">
        <v>5.0</v>
      </c>
      <c r="C73" s="3" t="s">
        <v>8507</v>
      </c>
      <c r="D73" s="35" t="s">
        <v>8508</v>
      </c>
      <c r="E73" s="3" t="s">
        <v>8334</v>
      </c>
      <c r="F73" s="3" t="s">
        <v>8509</v>
      </c>
      <c r="G73" s="19">
        <v>1827.0</v>
      </c>
      <c r="H73" s="3" t="s">
        <v>7420</v>
      </c>
      <c r="I73" s="3" t="s">
        <v>126</v>
      </c>
      <c r="J73" s="4">
        <v>46058.503459942134</v>
      </c>
    </row>
    <row r="74">
      <c r="A74" s="3" t="s">
        <v>7807</v>
      </c>
      <c r="B74" s="19">
        <v>0.0</v>
      </c>
      <c r="C74" s="3" t="s">
        <v>8510</v>
      </c>
      <c r="D74" s="35" t="s">
        <v>8511</v>
      </c>
      <c r="E74" s="3" t="s">
        <v>8292</v>
      </c>
      <c r="F74" s="3" t="s">
        <v>8512</v>
      </c>
      <c r="G74" s="19">
        <v>1828.0</v>
      </c>
      <c r="H74" s="3" t="s">
        <v>8180</v>
      </c>
      <c r="I74" s="3" t="s">
        <v>158</v>
      </c>
      <c r="J74" s="4">
        <v>46058.52530440972</v>
      </c>
    </row>
    <row r="75">
      <c r="A75" s="3" t="s">
        <v>7807</v>
      </c>
      <c r="B75" s="19">
        <v>1.0</v>
      </c>
      <c r="C75" s="3" t="s">
        <v>8513</v>
      </c>
      <c r="D75" s="35" t="s">
        <v>8514</v>
      </c>
      <c r="E75" s="3" t="s">
        <v>8296</v>
      </c>
      <c r="F75" s="3" t="s">
        <v>8515</v>
      </c>
      <c r="G75" s="19">
        <v>1829.0</v>
      </c>
      <c r="H75" s="3" t="s">
        <v>8180</v>
      </c>
      <c r="I75" s="3" t="s">
        <v>158</v>
      </c>
      <c r="J75" s="4">
        <v>46058.52530440972</v>
      </c>
    </row>
    <row r="76">
      <c r="A76" s="3" t="s">
        <v>7807</v>
      </c>
      <c r="B76" s="19">
        <v>2.0</v>
      </c>
      <c r="C76" s="3" t="s">
        <v>8516</v>
      </c>
      <c r="D76" s="35" t="s">
        <v>8517</v>
      </c>
      <c r="E76" s="3" t="s">
        <v>8296</v>
      </c>
      <c r="F76" s="3" t="s">
        <v>8518</v>
      </c>
      <c r="G76" s="19">
        <v>1830.0</v>
      </c>
      <c r="H76" s="3" t="s">
        <v>8180</v>
      </c>
      <c r="I76" s="3" t="s">
        <v>158</v>
      </c>
      <c r="J76" s="4">
        <v>46058.52530440972</v>
      </c>
    </row>
    <row r="77">
      <c r="A77" s="3" t="s">
        <v>7811</v>
      </c>
      <c r="B77" s="19">
        <v>0.0</v>
      </c>
      <c r="C77" s="3" t="s">
        <v>8519</v>
      </c>
      <c r="D77" s="35" t="s">
        <v>8520</v>
      </c>
      <c r="E77" s="3" t="s">
        <v>8292</v>
      </c>
      <c r="F77" s="3" t="s">
        <v>8521</v>
      </c>
      <c r="G77" s="19">
        <v>1831.0</v>
      </c>
      <c r="H77" s="3" t="s">
        <v>7809</v>
      </c>
      <c r="I77" s="3" t="s">
        <v>478</v>
      </c>
      <c r="J77" s="4">
        <v>46058.53659914352</v>
      </c>
    </row>
    <row r="78">
      <c r="A78" s="3" t="s">
        <v>7811</v>
      </c>
      <c r="B78" s="19">
        <v>1.0</v>
      </c>
      <c r="C78" s="3" t="s">
        <v>8522</v>
      </c>
      <c r="D78" s="35" t="s">
        <v>8523</v>
      </c>
      <c r="E78" s="3" t="s">
        <v>8292</v>
      </c>
      <c r="F78" s="3" t="s">
        <v>8524</v>
      </c>
      <c r="G78" s="19">
        <v>1832.0</v>
      </c>
      <c r="H78" s="3" t="s">
        <v>7809</v>
      </c>
      <c r="I78" s="3" t="s">
        <v>478</v>
      </c>
      <c r="J78" s="4">
        <v>46058.53659914352</v>
      </c>
    </row>
    <row r="79">
      <c r="A79" s="3" t="s">
        <v>7828</v>
      </c>
      <c r="B79" s="19">
        <v>0.0</v>
      </c>
      <c r="C79" s="3" t="s">
        <v>8525</v>
      </c>
      <c r="D79" s="35" t="s">
        <v>8526</v>
      </c>
      <c r="E79" s="3" t="s">
        <v>8292</v>
      </c>
      <c r="F79" s="3" t="s">
        <v>8527</v>
      </c>
      <c r="G79" s="19">
        <v>1833.0</v>
      </c>
      <c r="H79" s="3" t="s">
        <v>7471</v>
      </c>
      <c r="I79" s="3" t="s">
        <v>272</v>
      </c>
      <c r="J79" s="4">
        <v>46059.44760892361</v>
      </c>
    </row>
    <row r="80">
      <c r="A80" s="3" t="s">
        <v>7828</v>
      </c>
      <c r="B80" s="19">
        <v>1.0</v>
      </c>
      <c r="C80" s="3" t="s">
        <v>8528</v>
      </c>
      <c r="D80" s="35" t="s">
        <v>8529</v>
      </c>
      <c r="E80" s="3" t="s">
        <v>8296</v>
      </c>
      <c r="F80" s="3" t="s">
        <v>8530</v>
      </c>
      <c r="G80" s="19">
        <v>1834.0</v>
      </c>
      <c r="H80" s="3" t="s">
        <v>7471</v>
      </c>
      <c r="I80" s="3" t="s">
        <v>272</v>
      </c>
      <c r="J80" s="4">
        <v>46059.44760892361</v>
      </c>
    </row>
    <row r="81">
      <c r="A81" s="3" t="s">
        <v>7831</v>
      </c>
      <c r="B81" s="19">
        <v>0.0</v>
      </c>
      <c r="C81" s="3" t="s">
        <v>8531</v>
      </c>
      <c r="D81" s="35" t="s">
        <v>8532</v>
      </c>
      <c r="E81" s="3" t="s">
        <v>8292</v>
      </c>
      <c r="F81" s="3" t="s">
        <v>8533</v>
      </c>
      <c r="G81" s="19">
        <v>1835.0</v>
      </c>
      <c r="H81" s="3" t="s">
        <v>7655</v>
      </c>
      <c r="I81" s="3" t="s">
        <v>301</v>
      </c>
      <c r="J81" s="4">
        <v>46059.48244883102</v>
      </c>
    </row>
    <row r="82">
      <c r="A82" s="3" t="s">
        <v>7831</v>
      </c>
      <c r="B82" s="19">
        <v>1.0</v>
      </c>
      <c r="C82" s="3" t="s">
        <v>8534</v>
      </c>
      <c r="D82" s="35" t="s">
        <v>8535</v>
      </c>
      <c r="E82" s="3" t="s">
        <v>8334</v>
      </c>
      <c r="F82" s="3" t="s">
        <v>8536</v>
      </c>
      <c r="G82" s="19">
        <v>1836.0</v>
      </c>
      <c r="H82" s="3" t="s">
        <v>7655</v>
      </c>
      <c r="I82" s="3" t="s">
        <v>301</v>
      </c>
      <c r="J82" s="4">
        <v>46059.48244883102</v>
      </c>
    </row>
    <row r="83">
      <c r="A83" s="3" t="s">
        <v>7831</v>
      </c>
      <c r="B83" s="19">
        <v>2.0</v>
      </c>
      <c r="C83" s="3" t="s">
        <v>8537</v>
      </c>
      <c r="D83" s="35" t="s">
        <v>8538</v>
      </c>
      <c r="E83" s="3" t="s">
        <v>8292</v>
      </c>
      <c r="F83" s="3" t="s">
        <v>8539</v>
      </c>
      <c r="G83" s="19">
        <v>1837.0</v>
      </c>
      <c r="H83" s="3" t="s">
        <v>7655</v>
      </c>
      <c r="I83" s="3" t="s">
        <v>301</v>
      </c>
      <c r="J83" s="4">
        <v>46059.48244883102</v>
      </c>
    </row>
    <row r="84">
      <c r="A84" s="3" t="s">
        <v>7831</v>
      </c>
      <c r="B84" s="19">
        <v>3.0</v>
      </c>
      <c r="C84" s="3" t="s">
        <v>8540</v>
      </c>
      <c r="D84" s="35" t="s">
        <v>8541</v>
      </c>
      <c r="E84" s="3" t="s">
        <v>8292</v>
      </c>
      <c r="F84" s="3" t="s">
        <v>8542</v>
      </c>
      <c r="G84" s="19">
        <v>1838.0</v>
      </c>
      <c r="H84" s="3" t="s">
        <v>7655</v>
      </c>
      <c r="I84" s="3" t="s">
        <v>301</v>
      </c>
      <c r="J84" s="4">
        <v>46059.48244883102</v>
      </c>
    </row>
    <row r="85">
      <c r="A85" s="3" t="s">
        <v>7831</v>
      </c>
      <c r="B85" s="19">
        <v>4.0</v>
      </c>
      <c r="C85" s="3" t="s">
        <v>8543</v>
      </c>
      <c r="D85" s="35" t="s">
        <v>8544</v>
      </c>
      <c r="E85" s="3" t="s">
        <v>8334</v>
      </c>
      <c r="F85" s="3" t="s">
        <v>8545</v>
      </c>
      <c r="G85" s="19">
        <v>1839.0</v>
      </c>
      <c r="H85" s="3" t="s">
        <v>7655</v>
      </c>
      <c r="I85" s="3" t="s">
        <v>301</v>
      </c>
      <c r="J85" s="4">
        <v>46059.48244883102</v>
      </c>
    </row>
    <row r="86">
      <c r="A86" s="3" t="s">
        <v>7832</v>
      </c>
      <c r="B86" s="19">
        <v>0.0</v>
      </c>
      <c r="C86" s="3" t="s">
        <v>8546</v>
      </c>
      <c r="D86" s="35" t="s">
        <v>8547</v>
      </c>
      <c r="E86" s="3" t="s">
        <v>8296</v>
      </c>
      <c r="F86" s="3" t="s">
        <v>8548</v>
      </c>
      <c r="G86" s="19">
        <v>1840.0</v>
      </c>
      <c r="H86" s="3" t="s">
        <v>7546</v>
      </c>
      <c r="I86" s="3" t="s">
        <v>251</v>
      </c>
      <c r="J86" s="4">
        <v>46059.50977210648</v>
      </c>
    </row>
    <row r="87">
      <c r="A87" s="3" t="s">
        <v>7832</v>
      </c>
      <c r="B87" s="19">
        <v>1.0</v>
      </c>
      <c r="C87" s="3" t="s">
        <v>8549</v>
      </c>
      <c r="D87" s="35" t="s">
        <v>8550</v>
      </c>
      <c r="E87" s="3" t="s">
        <v>8334</v>
      </c>
      <c r="F87" s="3" t="s">
        <v>8551</v>
      </c>
      <c r="G87" s="19">
        <v>1841.0</v>
      </c>
      <c r="H87" s="3" t="s">
        <v>7546</v>
      </c>
      <c r="I87" s="3" t="s">
        <v>251</v>
      </c>
      <c r="J87" s="4">
        <v>46059.50977210648</v>
      </c>
    </row>
    <row r="88">
      <c r="A88" s="3" t="s">
        <v>7832</v>
      </c>
      <c r="B88" s="19">
        <v>2.0</v>
      </c>
      <c r="C88" s="3" t="s">
        <v>8552</v>
      </c>
      <c r="D88" s="35" t="s">
        <v>8553</v>
      </c>
      <c r="E88" s="3" t="s">
        <v>8292</v>
      </c>
      <c r="F88" s="3" t="s">
        <v>8554</v>
      </c>
      <c r="G88" s="19">
        <v>1842.0</v>
      </c>
      <c r="H88" s="3" t="s">
        <v>7546</v>
      </c>
      <c r="I88" s="3" t="s">
        <v>251</v>
      </c>
      <c r="J88" s="4">
        <v>46059.50977210648</v>
      </c>
    </row>
    <row r="89">
      <c r="A89" s="3" t="s">
        <v>7836</v>
      </c>
      <c r="B89" s="19">
        <v>0.0</v>
      </c>
      <c r="C89" s="3" t="s">
        <v>8555</v>
      </c>
      <c r="D89" s="35" t="s">
        <v>8556</v>
      </c>
      <c r="E89" s="3" t="s">
        <v>8292</v>
      </c>
      <c r="F89" s="3" t="s">
        <v>8557</v>
      </c>
      <c r="G89" s="19">
        <v>1843.0</v>
      </c>
      <c r="H89" s="3" t="s">
        <v>7683</v>
      </c>
      <c r="I89" s="3" t="s">
        <v>430</v>
      </c>
      <c r="J89" s="4">
        <v>46059.61541938657</v>
      </c>
    </row>
    <row r="90">
      <c r="A90" s="3" t="s">
        <v>7836</v>
      </c>
      <c r="B90" s="19">
        <v>1.0</v>
      </c>
      <c r="C90" s="3" t="s">
        <v>8558</v>
      </c>
      <c r="D90" s="35" t="s">
        <v>8559</v>
      </c>
      <c r="E90" s="3" t="s">
        <v>8296</v>
      </c>
      <c r="F90" s="3" t="s">
        <v>8560</v>
      </c>
      <c r="G90" s="19">
        <v>1844.0</v>
      </c>
      <c r="H90" s="3" t="s">
        <v>7683</v>
      </c>
      <c r="I90" s="3" t="s">
        <v>430</v>
      </c>
      <c r="J90" s="4">
        <v>46059.61541938657</v>
      </c>
    </row>
    <row r="91">
      <c r="A91" s="3" t="s">
        <v>7853</v>
      </c>
      <c r="B91" s="19">
        <v>0.0</v>
      </c>
      <c r="C91" s="3" t="s">
        <v>8561</v>
      </c>
      <c r="D91" s="35" t="s">
        <v>8562</v>
      </c>
      <c r="E91" s="3" t="s">
        <v>8296</v>
      </c>
      <c r="F91" s="3" t="s">
        <v>8563</v>
      </c>
      <c r="G91" s="19">
        <v>1846.0</v>
      </c>
      <c r="H91" s="3" t="s">
        <v>7183</v>
      </c>
      <c r="I91" s="3" t="s">
        <v>478</v>
      </c>
      <c r="J91" s="4">
        <v>46063.526747384254</v>
      </c>
    </row>
    <row r="92">
      <c r="A92" s="3" t="s">
        <v>7874</v>
      </c>
      <c r="B92" s="19">
        <v>0.0</v>
      </c>
      <c r="C92" s="3" t="s">
        <v>8564</v>
      </c>
      <c r="D92" s="35" t="s">
        <v>8565</v>
      </c>
      <c r="E92" s="3" t="s">
        <v>8303</v>
      </c>
      <c r="F92" s="3" t="s">
        <v>8566</v>
      </c>
      <c r="G92" s="19">
        <v>1847.0</v>
      </c>
      <c r="H92" s="3" t="s">
        <v>7869</v>
      </c>
      <c r="I92" s="3" t="s">
        <v>117</v>
      </c>
      <c r="J92" s="4">
        <v>46065.650483136575</v>
      </c>
    </row>
    <row r="93">
      <c r="A93" s="3" t="s">
        <v>7874</v>
      </c>
      <c r="B93" s="19">
        <v>1.0</v>
      </c>
      <c r="C93" s="3" t="s">
        <v>8567</v>
      </c>
      <c r="D93" s="35" t="s">
        <v>8568</v>
      </c>
      <c r="E93" s="3" t="s">
        <v>8292</v>
      </c>
      <c r="F93" s="3" t="s">
        <v>8569</v>
      </c>
      <c r="G93" s="19">
        <v>1848.0</v>
      </c>
      <c r="H93" s="3" t="s">
        <v>7869</v>
      </c>
      <c r="I93" s="3" t="s">
        <v>117</v>
      </c>
      <c r="J93" s="4">
        <v>46065.650483136575</v>
      </c>
    </row>
    <row r="94">
      <c r="A94" s="3" t="s">
        <v>7874</v>
      </c>
      <c r="B94" s="19">
        <v>2.0</v>
      </c>
      <c r="C94" s="3" t="s">
        <v>8570</v>
      </c>
      <c r="D94" s="35" t="s">
        <v>8571</v>
      </c>
      <c r="E94" s="3" t="s">
        <v>8292</v>
      </c>
      <c r="F94" s="3" t="s">
        <v>8572</v>
      </c>
      <c r="G94" s="19">
        <v>1849.0</v>
      </c>
      <c r="H94" s="3" t="s">
        <v>7869</v>
      </c>
      <c r="I94" s="3" t="s">
        <v>117</v>
      </c>
      <c r="J94" s="4">
        <v>46065.650483136575</v>
      </c>
    </row>
    <row r="95">
      <c r="A95" s="3" t="s">
        <v>7874</v>
      </c>
      <c r="B95" s="19">
        <v>3.0</v>
      </c>
      <c r="C95" s="3" t="s">
        <v>8573</v>
      </c>
      <c r="D95" s="35" t="s">
        <v>8574</v>
      </c>
      <c r="E95" s="3" t="s">
        <v>8296</v>
      </c>
      <c r="F95" s="3" t="s">
        <v>8575</v>
      </c>
      <c r="G95" s="19">
        <v>1850.0</v>
      </c>
      <c r="H95" s="3" t="s">
        <v>7869</v>
      </c>
      <c r="I95" s="3" t="s">
        <v>117</v>
      </c>
      <c r="J95" s="4">
        <v>46065.650483136575</v>
      </c>
    </row>
    <row r="96">
      <c r="A96" s="3" t="s">
        <v>7874</v>
      </c>
      <c r="B96" s="19">
        <v>4.0</v>
      </c>
      <c r="C96" s="3" t="s">
        <v>8576</v>
      </c>
      <c r="D96" s="35" t="s">
        <v>8577</v>
      </c>
      <c r="E96" s="3" t="s">
        <v>8334</v>
      </c>
      <c r="F96" s="3" t="s">
        <v>8578</v>
      </c>
      <c r="G96" s="19">
        <v>1851.0</v>
      </c>
      <c r="H96" s="3" t="s">
        <v>7869</v>
      </c>
      <c r="I96" s="3" t="s">
        <v>117</v>
      </c>
      <c r="J96" s="4">
        <v>46065.650483136575</v>
      </c>
    </row>
    <row r="97">
      <c r="A97" s="3" t="s">
        <v>7874</v>
      </c>
      <c r="B97" s="19">
        <v>5.0</v>
      </c>
      <c r="C97" s="3" t="s">
        <v>8579</v>
      </c>
      <c r="D97" s="35" t="s">
        <v>8580</v>
      </c>
      <c r="E97" s="3" t="s">
        <v>8334</v>
      </c>
      <c r="F97" s="3" t="s">
        <v>8581</v>
      </c>
      <c r="G97" s="19">
        <v>1852.0</v>
      </c>
      <c r="H97" s="3" t="s">
        <v>7869</v>
      </c>
      <c r="I97" s="3" t="s">
        <v>117</v>
      </c>
      <c r="J97" s="4">
        <v>46065.650483136575</v>
      </c>
    </row>
    <row r="98">
      <c r="A98" s="3" t="s">
        <v>7895</v>
      </c>
      <c r="B98" s="19">
        <v>0.0</v>
      </c>
      <c r="C98" s="3" t="s">
        <v>8582</v>
      </c>
      <c r="D98" s="35" t="s">
        <v>8583</v>
      </c>
      <c r="E98" s="3" t="s">
        <v>8292</v>
      </c>
      <c r="F98" s="3" t="s">
        <v>8584</v>
      </c>
      <c r="G98" s="19">
        <v>1853.0</v>
      </c>
      <c r="H98" s="3" t="s">
        <v>7683</v>
      </c>
      <c r="I98" s="3" t="s">
        <v>430</v>
      </c>
      <c r="J98" s="4">
        <v>46069.51927842593</v>
      </c>
    </row>
    <row r="99">
      <c r="A99" s="3" t="s">
        <v>7895</v>
      </c>
      <c r="B99" s="19">
        <v>1.0</v>
      </c>
      <c r="C99" s="3" t="s">
        <v>8585</v>
      </c>
      <c r="D99" s="35" t="s">
        <v>8586</v>
      </c>
      <c r="E99" s="3" t="s">
        <v>8292</v>
      </c>
      <c r="F99" s="3" t="s">
        <v>8587</v>
      </c>
      <c r="G99" s="19">
        <v>1854.0</v>
      </c>
      <c r="H99" s="3" t="s">
        <v>7683</v>
      </c>
      <c r="I99" s="3" t="s">
        <v>430</v>
      </c>
      <c r="J99" s="4">
        <v>46069.51927842593</v>
      </c>
    </row>
    <row r="100">
      <c r="A100" s="3" t="s">
        <v>7895</v>
      </c>
      <c r="B100" s="19">
        <v>2.0</v>
      </c>
      <c r="C100" s="3" t="s">
        <v>8588</v>
      </c>
      <c r="D100" s="35" t="s">
        <v>8589</v>
      </c>
      <c r="E100" s="3" t="s">
        <v>8292</v>
      </c>
      <c r="F100" s="3" t="s">
        <v>8590</v>
      </c>
      <c r="G100" s="19">
        <v>1855.0</v>
      </c>
      <c r="H100" s="3" t="s">
        <v>7683</v>
      </c>
      <c r="I100" s="3" t="s">
        <v>430</v>
      </c>
      <c r="J100" s="4">
        <v>46069.51927842593</v>
      </c>
    </row>
    <row r="101">
      <c r="A101" s="3" t="s">
        <v>7895</v>
      </c>
      <c r="B101" s="19">
        <v>3.0</v>
      </c>
      <c r="C101" s="3" t="s">
        <v>8591</v>
      </c>
      <c r="D101" s="35" t="s">
        <v>8592</v>
      </c>
      <c r="E101" s="3" t="s">
        <v>8296</v>
      </c>
      <c r="F101" s="3" t="s">
        <v>8593</v>
      </c>
      <c r="G101" s="19">
        <v>1856.0</v>
      </c>
      <c r="H101" s="3" t="s">
        <v>7683</v>
      </c>
      <c r="I101" s="3" t="s">
        <v>430</v>
      </c>
      <c r="J101" s="4">
        <v>46069.51927842593</v>
      </c>
    </row>
    <row r="102">
      <c r="A102" s="3" t="s">
        <v>7895</v>
      </c>
      <c r="B102" s="19">
        <v>4.0</v>
      </c>
      <c r="C102" s="3" t="s">
        <v>8594</v>
      </c>
      <c r="D102" s="35" t="s">
        <v>8595</v>
      </c>
      <c r="E102" s="3" t="s">
        <v>8296</v>
      </c>
      <c r="F102" s="3" t="s">
        <v>8596</v>
      </c>
      <c r="G102" s="19">
        <v>1857.0</v>
      </c>
      <c r="H102" s="3" t="s">
        <v>7683</v>
      </c>
      <c r="I102" s="3" t="s">
        <v>430</v>
      </c>
      <c r="J102" s="4">
        <v>46069.51927842593</v>
      </c>
    </row>
    <row r="103">
      <c r="A103" s="3" t="s">
        <v>7895</v>
      </c>
      <c r="B103" s="19">
        <v>5.0</v>
      </c>
      <c r="C103" s="3" t="s">
        <v>8597</v>
      </c>
      <c r="D103" s="35" t="s">
        <v>8598</v>
      </c>
      <c r="E103" s="3" t="s">
        <v>8296</v>
      </c>
      <c r="F103" s="3" t="s">
        <v>8599</v>
      </c>
      <c r="G103" s="19">
        <v>1858.0</v>
      </c>
      <c r="H103" s="3" t="s">
        <v>7683</v>
      </c>
      <c r="I103" s="3" t="s">
        <v>430</v>
      </c>
      <c r="J103" s="4">
        <v>46069.51927842593</v>
      </c>
    </row>
    <row r="104">
      <c r="A104" s="3" t="s">
        <v>7895</v>
      </c>
      <c r="B104" s="19">
        <v>6.0</v>
      </c>
      <c r="C104" s="3" t="s">
        <v>8600</v>
      </c>
      <c r="D104" s="35" t="s">
        <v>8601</v>
      </c>
      <c r="E104" s="3" t="s">
        <v>8334</v>
      </c>
      <c r="F104" s="3" t="s">
        <v>8602</v>
      </c>
      <c r="G104" s="19">
        <v>1859.0</v>
      </c>
      <c r="H104" s="3" t="s">
        <v>7683</v>
      </c>
      <c r="I104" s="3" t="s">
        <v>430</v>
      </c>
      <c r="J104" s="4">
        <v>46069.51927842593</v>
      </c>
    </row>
    <row r="105">
      <c r="A105" s="3" t="s">
        <v>7903</v>
      </c>
      <c r="B105" s="19">
        <v>0.0</v>
      </c>
      <c r="C105" s="3" t="s">
        <v>8603</v>
      </c>
      <c r="D105" s="35" t="s">
        <v>8604</v>
      </c>
      <c r="E105" s="3" t="s">
        <v>8292</v>
      </c>
      <c r="F105" s="3" t="s">
        <v>8605</v>
      </c>
      <c r="G105" s="19">
        <v>1860.0</v>
      </c>
      <c r="H105" s="3" t="s">
        <v>7689</v>
      </c>
      <c r="I105" s="3" t="s">
        <v>143</v>
      </c>
      <c r="J105" s="4">
        <v>46070.62835998843</v>
      </c>
    </row>
    <row r="106">
      <c r="A106" s="3" t="s">
        <v>7903</v>
      </c>
      <c r="B106" s="19">
        <v>1.0</v>
      </c>
      <c r="C106" s="3" t="s">
        <v>8606</v>
      </c>
      <c r="D106" s="35" t="s">
        <v>8607</v>
      </c>
      <c r="E106" s="3" t="s">
        <v>8303</v>
      </c>
      <c r="F106" s="3" t="s">
        <v>8608</v>
      </c>
      <c r="G106" s="19">
        <v>1861.0</v>
      </c>
      <c r="H106" s="3" t="s">
        <v>7689</v>
      </c>
      <c r="I106" s="3" t="s">
        <v>143</v>
      </c>
      <c r="J106" s="4">
        <v>46070.62835998843</v>
      </c>
    </row>
    <row r="107">
      <c r="A107" s="3" t="s">
        <v>7907</v>
      </c>
      <c r="B107" s="19">
        <v>0.0</v>
      </c>
      <c r="C107" s="3" t="s">
        <v>8609</v>
      </c>
      <c r="D107" s="35" t="s">
        <v>8610</v>
      </c>
      <c r="E107" s="3" t="s">
        <v>8334</v>
      </c>
      <c r="F107" s="3" t="s">
        <v>8611</v>
      </c>
      <c r="G107" s="19">
        <v>1862.0</v>
      </c>
      <c r="H107" s="3" t="s">
        <v>7183</v>
      </c>
      <c r="I107" s="3" t="s">
        <v>478</v>
      </c>
      <c r="J107" s="4">
        <v>46071.47576636574</v>
      </c>
    </row>
    <row r="108">
      <c r="A108" s="3" t="s">
        <v>7911</v>
      </c>
      <c r="B108" s="19">
        <v>0.0</v>
      </c>
      <c r="C108" s="3" t="s">
        <v>8612</v>
      </c>
      <c r="D108" s="35" t="s">
        <v>8613</v>
      </c>
      <c r="E108" s="3" t="s">
        <v>8303</v>
      </c>
      <c r="F108" s="3" t="s">
        <v>8614</v>
      </c>
      <c r="G108" s="19">
        <v>1863.0</v>
      </c>
      <c r="H108" s="3" t="s">
        <v>7744</v>
      </c>
      <c r="I108" s="3" t="s">
        <v>209</v>
      </c>
      <c r="J108" s="4">
        <v>46071.63716457176</v>
      </c>
    </row>
    <row r="109">
      <c r="A109" s="3" t="s">
        <v>7911</v>
      </c>
      <c r="B109" s="19">
        <v>1.0</v>
      </c>
      <c r="C109" s="3" t="s">
        <v>8615</v>
      </c>
      <c r="D109" s="35" t="s">
        <v>8616</v>
      </c>
      <c r="E109" s="3" t="s">
        <v>8303</v>
      </c>
      <c r="F109" s="3" t="s">
        <v>8617</v>
      </c>
      <c r="G109" s="19">
        <v>1864.0</v>
      </c>
      <c r="H109" s="3" t="s">
        <v>7744</v>
      </c>
      <c r="I109" s="3" t="s">
        <v>209</v>
      </c>
      <c r="J109" s="4">
        <v>46071.63716457176</v>
      </c>
    </row>
    <row r="110">
      <c r="A110" s="3" t="s">
        <v>7911</v>
      </c>
      <c r="B110" s="19">
        <v>2.0</v>
      </c>
      <c r="C110" s="3" t="s">
        <v>8618</v>
      </c>
      <c r="D110" s="35" t="s">
        <v>8619</v>
      </c>
      <c r="E110" s="3" t="s">
        <v>8292</v>
      </c>
      <c r="F110" s="3" t="s">
        <v>8620</v>
      </c>
      <c r="G110" s="19">
        <v>1865.0</v>
      </c>
      <c r="H110" s="3" t="s">
        <v>7744</v>
      </c>
      <c r="I110" s="3" t="s">
        <v>209</v>
      </c>
      <c r="J110" s="4">
        <v>46071.63716457176</v>
      </c>
    </row>
    <row r="111">
      <c r="A111" s="3" t="s">
        <v>7911</v>
      </c>
      <c r="B111" s="19">
        <v>3.0</v>
      </c>
      <c r="C111" s="3" t="s">
        <v>8621</v>
      </c>
      <c r="D111" s="35" t="s">
        <v>8622</v>
      </c>
      <c r="E111" s="3" t="s">
        <v>8292</v>
      </c>
      <c r="F111" s="3" t="s">
        <v>8623</v>
      </c>
      <c r="G111" s="19">
        <v>1866.0</v>
      </c>
      <c r="H111" s="3" t="s">
        <v>7744</v>
      </c>
      <c r="I111" s="3" t="s">
        <v>209</v>
      </c>
      <c r="J111" s="4">
        <v>46071.63716457176</v>
      </c>
    </row>
    <row r="112">
      <c r="A112" s="3" t="s">
        <v>7911</v>
      </c>
      <c r="B112" s="19">
        <v>4.0</v>
      </c>
      <c r="C112" s="3" t="s">
        <v>8624</v>
      </c>
      <c r="D112" s="35" t="s">
        <v>8625</v>
      </c>
      <c r="E112" s="3" t="s">
        <v>8296</v>
      </c>
      <c r="F112" s="3" t="s">
        <v>8626</v>
      </c>
      <c r="G112" s="19">
        <v>1867.0</v>
      </c>
      <c r="H112" s="3" t="s">
        <v>7744</v>
      </c>
      <c r="I112" s="3" t="s">
        <v>209</v>
      </c>
      <c r="J112" s="4">
        <v>46071.63716457176</v>
      </c>
    </row>
    <row r="113">
      <c r="A113" s="3" t="s">
        <v>7911</v>
      </c>
      <c r="B113" s="19">
        <v>5.0</v>
      </c>
      <c r="C113" s="3" t="s">
        <v>8627</v>
      </c>
      <c r="D113" s="35" t="s">
        <v>8628</v>
      </c>
      <c r="E113" s="3" t="s">
        <v>8334</v>
      </c>
      <c r="F113" s="3" t="s">
        <v>8629</v>
      </c>
      <c r="G113" s="19">
        <v>1868.0</v>
      </c>
      <c r="H113" s="3" t="s">
        <v>7744</v>
      </c>
      <c r="I113" s="3" t="s">
        <v>209</v>
      </c>
      <c r="J113" s="4">
        <v>46071.63716457176</v>
      </c>
    </row>
    <row r="114">
      <c r="A114" s="3" t="s">
        <v>7911</v>
      </c>
      <c r="B114" s="19">
        <v>6.0</v>
      </c>
      <c r="C114" s="3" t="s">
        <v>8630</v>
      </c>
      <c r="D114" s="35" t="s">
        <v>8631</v>
      </c>
      <c r="E114" s="3" t="s">
        <v>8334</v>
      </c>
      <c r="F114" s="3" t="s">
        <v>8632</v>
      </c>
      <c r="G114" s="19">
        <v>1869.0</v>
      </c>
      <c r="H114" s="3" t="s">
        <v>7744</v>
      </c>
      <c r="I114" s="3" t="s">
        <v>209</v>
      </c>
      <c r="J114" s="4">
        <v>46071.63716457176</v>
      </c>
    </row>
    <row r="115">
      <c r="A115" s="3" t="s">
        <v>7913</v>
      </c>
      <c r="B115" s="19">
        <v>0.0</v>
      </c>
      <c r="C115" s="3" t="s">
        <v>8633</v>
      </c>
      <c r="D115" s="35" t="s">
        <v>8634</v>
      </c>
      <c r="E115" s="3" t="s">
        <v>8296</v>
      </c>
      <c r="F115" s="3" t="s">
        <v>8635</v>
      </c>
      <c r="G115" s="19">
        <v>1870.0</v>
      </c>
      <c r="H115" s="3" t="s">
        <v>7420</v>
      </c>
      <c r="I115" s="3" t="s">
        <v>126</v>
      </c>
      <c r="J115" s="4">
        <v>46072.496366273146</v>
      </c>
    </row>
    <row r="116">
      <c r="A116" s="3" t="s">
        <v>7918</v>
      </c>
      <c r="B116" s="19">
        <v>0.0</v>
      </c>
      <c r="C116" s="3" t="s">
        <v>8636</v>
      </c>
      <c r="D116" s="35" t="s">
        <v>8637</v>
      </c>
      <c r="E116" s="3" t="s">
        <v>8303</v>
      </c>
      <c r="F116" s="3" t="s">
        <v>8638</v>
      </c>
      <c r="G116" s="19">
        <v>1871.0</v>
      </c>
      <c r="H116" s="3" t="s">
        <v>7797</v>
      </c>
      <c r="I116" s="3" t="s">
        <v>329</v>
      </c>
      <c r="J116" s="4">
        <v>46072.558869189816</v>
      </c>
    </row>
    <row r="117">
      <c r="A117" s="3" t="s">
        <v>7918</v>
      </c>
      <c r="B117" s="19">
        <v>1.0</v>
      </c>
      <c r="C117" s="3" t="s">
        <v>8639</v>
      </c>
      <c r="D117" s="35" t="s">
        <v>8640</v>
      </c>
      <c r="E117" s="3" t="s">
        <v>8292</v>
      </c>
      <c r="F117" s="3" t="s">
        <v>8641</v>
      </c>
      <c r="G117" s="19">
        <v>1872.0</v>
      </c>
      <c r="H117" s="3" t="s">
        <v>7797</v>
      </c>
      <c r="I117" s="3" t="s">
        <v>329</v>
      </c>
      <c r="J117" s="4">
        <v>46072.558869189816</v>
      </c>
    </row>
    <row r="118">
      <c r="A118" s="3" t="s">
        <v>7918</v>
      </c>
      <c r="B118" s="19">
        <v>2.0</v>
      </c>
      <c r="C118" s="3" t="s">
        <v>8642</v>
      </c>
      <c r="D118" s="35" t="s">
        <v>8643</v>
      </c>
      <c r="E118" s="3" t="s">
        <v>8296</v>
      </c>
      <c r="F118" s="3" t="s">
        <v>8644</v>
      </c>
      <c r="G118" s="19">
        <v>1873.0</v>
      </c>
      <c r="H118" s="3" t="s">
        <v>7797</v>
      </c>
      <c r="I118" s="3" t="s">
        <v>329</v>
      </c>
      <c r="J118" s="4">
        <v>46072.558869189816</v>
      </c>
    </row>
    <row r="119">
      <c r="A119" s="3" t="s">
        <v>7922</v>
      </c>
      <c r="B119" s="19">
        <v>0.0</v>
      </c>
      <c r="C119" s="3" t="s">
        <v>8645</v>
      </c>
      <c r="D119" s="35" t="s">
        <v>8646</v>
      </c>
      <c r="E119" s="3" t="s">
        <v>8334</v>
      </c>
      <c r="F119" s="3" t="s">
        <v>8647</v>
      </c>
      <c r="G119" s="19">
        <v>1874.0</v>
      </c>
      <c r="H119" s="3" t="s">
        <v>7249</v>
      </c>
      <c r="I119" s="3" t="s">
        <v>188</v>
      </c>
      <c r="J119" s="4">
        <v>46072.585099108794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6" t="s">
        <v>7142</v>
      </c>
      <c r="B1" s="36" t="s">
        <v>8285</v>
      </c>
      <c r="C1" s="36" t="s">
        <v>7124</v>
      </c>
      <c r="D1" s="36" t="s">
        <v>7129</v>
      </c>
      <c r="E1" s="36" t="s">
        <v>8648</v>
      </c>
      <c r="F1" s="36" t="s">
        <v>8289</v>
      </c>
    </row>
    <row r="2">
      <c r="A2" s="3" t="s">
        <v>7681</v>
      </c>
      <c r="B2" s="19">
        <v>0.0</v>
      </c>
      <c r="C2" s="3" t="s">
        <v>8649</v>
      </c>
      <c r="D2" s="35" t="s">
        <v>8650</v>
      </c>
      <c r="E2" s="3" t="s">
        <v>8651</v>
      </c>
      <c r="F2" s="4">
        <v>46049.98290300926</v>
      </c>
    </row>
    <row r="3">
      <c r="A3" s="3" t="s">
        <v>7681</v>
      </c>
      <c r="B3" s="19">
        <v>1.0</v>
      </c>
      <c r="C3" s="3" t="s">
        <v>8652</v>
      </c>
      <c r="D3" s="35" t="s">
        <v>8653</v>
      </c>
      <c r="E3" s="3" t="s">
        <v>8651</v>
      </c>
      <c r="F3" s="4">
        <v>46049.98290300926</v>
      </c>
    </row>
    <row r="4">
      <c r="A4" s="3" t="s">
        <v>7681</v>
      </c>
      <c r="B4" s="19">
        <v>2.0</v>
      </c>
      <c r="C4" s="3" t="s">
        <v>8654</v>
      </c>
      <c r="D4" s="35" t="s">
        <v>8655</v>
      </c>
      <c r="E4" s="3" t="s">
        <v>8651</v>
      </c>
      <c r="F4" s="4">
        <v>46049.98290300926</v>
      </c>
    </row>
    <row r="5">
      <c r="A5" s="3" t="s">
        <v>7681</v>
      </c>
      <c r="B5" s="19">
        <v>3.0</v>
      </c>
      <c r="C5" s="3" t="s">
        <v>8656</v>
      </c>
      <c r="D5" s="35" t="s">
        <v>8657</v>
      </c>
      <c r="E5" s="3" t="s">
        <v>8651</v>
      </c>
      <c r="F5" s="4">
        <v>46049.98290300926</v>
      </c>
    </row>
    <row r="6">
      <c r="A6" s="3" t="s">
        <v>7681</v>
      </c>
      <c r="B6" s="19">
        <v>4.0</v>
      </c>
      <c r="C6" s="3" t="s">
        <v>8658</v>
      </c>
      <c r="D6" s="35" t="s">
        <v>8659</v>
      </c>
      <c r="F6" s="4">
        <v>46049.98290300926</v>
      </c>
    </row>
    <row r="7">
      <c r="A7" s="3" t="s">
        <v>7681</v>
      </c>
      <c r="B7" s="19">
        <v>5.0</v>
      </c>
      <c r="C7" s="3" t="s">
        <v>8660</v>
      </c>
      <c r="D7" s="35" t="s">
        <v>8661</v>
      </c>
      <c r="E7" s="3" t="s">
        <v>8651</v>
      </c>
      <c r="F7" s="4">
        <v>46049.98290300926</v>
      </c>
    </row>
    <row r="8">
      <c r="A8" s="3" t="s">
        <v>7681</v>
      </c>
      <c r="B8" s="19">
        <v>6.0</v>
      </c>
      <c r="C8" s="3" t="s">
        <v>8662</v>
      </c>
      <c r="D8" s="35" t="s">
        <v>8663</v>
      </c>
      <c r="F8" s="4">
        <v>46049.98290300926</v>
      </c>
    </row>
    <row r="9">
      <c r="A9" s="3" t="s">
        <v>7681</v>
      </c>
      <c r="B9" s="19">
        <v>0.0</v>
      </c>
      <c r="C9" s="3" t="s">
        <v>8664</v>
      </c>
      <c r="D9" s="35" t="s">
        <v>8665</v>
      </c>
      <c r="E9" s="3" t="s">
        <v>8651</v>
      </c>
      <c r="F9" s="4">
        <v>46049.98536980324</v>
      </c>
    </row>
    <row r="10">
      <c r="A10" s="3" t="s">
        <v>7681</v>
      </c>
      <c r="B10" s="19">
        <v>1.0</v>
      </c>
      <c r="C10" s="3" t="s">
        <v>8332</v>
      </c>
      <c r="D10" s="35" t="s">
        <v>8666</v>
      </c>
      <c r="E10" s="3" t="s">
        <v>8651</v>
      </c>
      <c r="F10" s="4">
        <v>46049.98536980324</v>
      </c>
    </row>
    <row r="11">
      <c r="A11" s="3" t="s">
        <v>7681</v>
      </c>
      <c r="B11" s="19">
        <v>2.0</v>
      </c>
      <c r="C11" s="3" t="s">
        <v>8667</v>
      </c>
      <c r="D11" s="35" t="s">
        <v>8668</v>
      </c>
      <c r="E11" s="3" t="s">
        <v>8651</v>
      </c>
      <c r="F11" s="4">
        <v>46049.98536980324</v>
      </c>
    </row>
    <row r="12">
      <c r="A12" s="3" t="s">
        <v>7681</v>
      </c>
      <c r="B12" s="19">
        <v>3.0</v>
      </c>
      <c r="C12" s="3" t="s">
        <v>8669</v>
      </c>
      <c r="D12" s="35" t="s">
        <v>8670</v>
      </c>
      <c r="E12" s="3" t="s">
        <v>8651</v>
      </c>
      <c r="F12" s="4">
        <v>46049.98536980324</v>
      </c>
    </row>
    <row r="13">
      <c r="A13" s="3" t="s">
        <v>7681</v>
      </c>
      <c r="B13" s="19">
        <v>4.0</v>
      </c>
      <c r="C13" s="3" t="s">
        <v>8662</v>
      </c>
      <c r="D13" s="35" t="s">
        <v>8671</v>
      </c>
      <c r="E13" s="3" t="s">
        <v>8651</v>
      </c>
      <c r="F13" s="4">
        <v>46049.98536980324</v>
      </c>
    </row>
    <row r="14">
      <c r="A14" s="3" t="s">
        <v>7698</v>
      </c>
      <c r="B14" s="19">
        <v>0.0</v>
      </c>
      <c r="C14" s="3" t="s">
        <v>8672</v>
      </c>
      <c r="D14" s="35" t="s">
        <v>8673</v>
      </c>
      <c r="E14" s="3" t="s">
        <v>8674</v>
      </c>
      <c r="F14" s="4">
        <v>46050.493776874995</v>
      </c>
    </row>
    <row r="15">
      <c r="A15" s="3" t="s">
        <v>7698</v>
      </c>
      <c r="B15" s="19">
        <v>1.0</v>
      </c>
      <c r="C15" s="3" t="s">
        <v>8675</v>
      </c>
      <c r="D15" s="35" t="s">
        <v>8676</v>
      </c>
      <c r="E15" s="3" t="s">
        <v>8674</v>
      </c>
      <c r="F15" s="4">
        <v>46050.493776874995</v>
      </c>
    </row>
    <row r="16">
      <c r="A16" s="3" t="s">
        <v>7698</v>
      </c>
      <c r="B16" s="19">
        <v>2.0</v>
      </c>
      <c r="C16" s="3" t="s">
        <v>8677</v>
      </c>
      <c r="D16" s="35" t="s">
        <v>8678</v>
      </c>
      <c r="E16" s="3" t="s">
        <v>8674</v>
      </c>
      <c r="F16" s="4">
        <v>46050.493776874995</v>
      </c>
    </row>
    <row r="17">
      <c r="A17" s="3" t="s">
        <v>7698</v>
      </c>
      <c r="B17" s="19">
        <v>3.0</v>
      </c>
      <c r="C17" s="3" t="s">
        <v>8679</v>
      </c>
      <c r="D17" s="35" t="s">
        <v>8680</v>
      </c>
      <c r="E17" s="3" t="s">
        <v>8674</v>
      </c>
      <c r="F17" s="4">
        <v>46050.493776874995</v>
      </c>
    </row>
    <row r="18">
      <c r="A18" s="3" t="s">
        <v>7715</v>
      </c>
      <c r="B18" s="19">
        <v>0.0</v>
      </c>
      <c r="C18" s="3" t="s">
        <v>8681</v>
      </c>
      <c r="D18" s="35" t="s">
        <v>8682</v>
      </c>
      <c r="E18" s="3" t="s">
        <v>8683</v>
      </c>
      <c r="F18" s="4">
        <v>46051.683382372685</v>
      </c>
    </row>
    <row r="19">
      <c r="A19" s="3" t="s">
        <v>7715</v>
      </c>
      <c r="B19" s="19">
        <v>1.0</v>
      </c>
      <c r="C19" s="3" t="s">
        <v>8684</v>
      </c>
      <c r="D19" s="35" t="s">
        <v>8685</v>
      </c>
      <c r="E19" s="3" t="s">
        <v>8686</v>
      </c>
      <c r="F19" s="4">
        <v>46051.68338238426</v>
      </c>
    </row>
    <row r="20">
      <c r="A20" s="3" t="s">
        <v>7722</v>
      </c>
      <c r="B20" s="19">
        <v>0.0</v>
      </c>
      <c r="C20" s="3" t="s">
        <v>8687</v>
      </c>
      <c r="D20" s="35" t="s">
        <v>8688</v>
      </c>
      <c r="E20" s="3" t="s">
        <v>8651</v>
      </c>
      <c r="F20" s="4">
        <v>46052.52476915509</v>
      </c>
    </row>
    <row r="21">
      <c r="A21" s="3" t="s">
        <v>7722</v>
      </c>
      <c r="B21" s="19">
        <v>1.0</v>
      </c>
      <c r="C21" s="3" t="s">
        <v>8689</v>
      </c>
      <c r="D21" s="35" t="s">
        <v>8690</v>
      </c>
      <c r="E21" s="3" t="s">
        <v>8651</v>
      </c>
      <c r="F21" s="4">
        <v>46052.52476915509</v>
      </c>
    </row>
    <row r="22">
      <c r="A22" s="3" t="s">
        <v>7722</v>
      </c>
      <c r="B22" s="19">
        <v>2.0</v>
      </c>
      <c r="C22" s="3" t="s">
        <v>8691</v>
      </c>
      <c r="D22" s="35" t="s">
        <v>8692</v>
      </c>
      <c r="E22" s="3" t="s">
        <v>8693</v>
      </c>
      <c r="F22" s="4">
        <v>46052.52476915509</v>
      </c>
    </row>
    <row r="23">
      <c r="A23" s="3" t="s">
        <v>7722</v>
      </c>
      <c r="B23" s="19">
        <v>3.0</v>
      </c>
      <c r="C23" s="3" t="s">
        <v>8694</v>
      </c>
      <c r="D23" s="35" t="s">
        <v>8695</v>
      </c>
      <c r="E23" s="3" t="s">
        <v>8651</v>
      </c>
      <c r="F23" s="4">
        <v>46052.52476915509</v>
      </c>
    </row>
    <row r="24">
      <c r="A24" s="3" t="s">
        <v>7726</v>
      </c>
      <c r="B24" s="19">
        <v>0.0</v>
      </c>
      <c r="C24" s="3" t="s">
        <v>8696</v>
      </c>
      <c r="D24" s="35" t="s">
        <v>8697</v>
      </c>
      <c r="E24" s="3" t="s">
        <v>8698</v>
      </c>
      <c r="F24" s="4">
        <v>46052.55071836806</v>
      </c>
    </row>
    <row r="25">
      <c r="A25" s="3" t="s">
        <v>7726</v>
      </c>
      <c r="B25" s="19">
        <v>1.0</v>
      </c>
      <c r="C25" s="3" t="s">
        <v>8699</v>
      </c>
      <c r="D25" s="35" t="s">
        <v>8700</v>
      </c>
      <c r="E25" s="3" t="s">
        <v>8701</v>
      </c>
      <c r="F25" s="4">
        <v>46052.55071836806</v>
      </c>
    </row>
    <row r="26">
      <c r="A26" s="3" t="s">
        <v>7726</v>
      </c>
      <c r="B26" s="19">
        <v>2.0</v>
      </c>
      <c r="C26" s="3" t="s">
        <v>8702</v>
      </c>
      <c r="D26" s="35" t="s">
        <v>8703</v>
      </c>
      <c r="E26" s="3" t="s">
        <v>8704</v>
      </c>
      <c r="F26" s="4">
        <v>46052.55071836806</v>
      </c>
    </row>
    <row r="27">
      <c r="A27" s="3" t="s">
        <v>7726</v>
      </c>
      <c r="B27" s="19">
        <v>3.0</v>
      </c>
      <c r="C27" s="3" t="s">
        <v>8705</v>
      </c>
      <c r="D27" s="35" t="s">
        <v>8706</v>
      </c>
      <c r="E27" s="3" t="s">
        <v>8707</v>
      </c>
      <c r="F27" s="4">
        <v>46052.55071836806</v>
      </c>
    </row>
    <row r="28">
      <c r="A28" s="3" t="s">
        <v>7726</v>
      </c>
      <c r="B28" s="19">
        <v>4.0</v>
      </c>
      <c r="C28" s="3" t="s">
        <v>8708</v>
      </c>
      <c r="D28" s="35" t="s">
        <v>8709</v>
      </c>
      <c r="E28" s="3" t="s">
        <v>8704</v>
      </c>
      <c r="F28" s="4">
        <v>46052.55071836806</v>
      </c>
    </row>
    <row r="29">
      <c r="A29" s="3" t="s">
        <v>7735</v>
      </c>
      <c r="B29" s="19">
        <v>0.0</v>
      </c>
      <c r="C29" s="3" t="s">
        <v>8710</v>
      </c>
      <c r="D29" s="35" t="s">
        <v>8711</v>
      </c>
      <c r="E29" s="3" t="s">
        <v>8712</v>
      </c>
      <c r="F29" s="4">
        <v>46056.44382359953</v>
      </c>
    </row>
    <row r="30">
      <c r="A30" s="3" t="s">
        <v>7735</v>
      </c>
      <c r="B30" s="19">
        <v>1.0</v>
      </c>
      <c r="C30" s="3" t="s">
        <v>8713</v>
      </c>
      <c r="D30" s="35" t="s">
        <v>8714</v>
      </c>
      <c r="E30" s="3" t="s">
        <v>8712</v>
      </c>
      <c r="F30" s="4">
        <v>46056.44382359953</v>
      </c>
    </row>
    <row r="31">
      <c r="A31" s="3" t="s">
        <v>7735</v>
      </c>
      <c r="B31" s="19">
        <v>2.0</v>
      </c>
      <c r="C31" s="3" t="s">
        <v>8715</v>
      </c>
      <c r="D31" s="35" t="s">
        <v>8716</v>
      </c>
      <c r="E31" s="3" t="s">
        <v>8712</v>
      </c>
      <c r="F31" s="4">
        <v>46056.44382359953</v>
      </c>
    </row>
    <row r="32">
      <c r="A32" s="3" t="s">
        <v>7742</v>
      </c>
      <c r="B32" s="19">
        <v>0.0</v>
      </c>
      <c r="C32" s="3" t="s">
        <v>8717</v>
      </c>
      <c r="D32" s="35" t="s">
        <v>8718</v>
      </c>
      <c r="E32" s="3" t="s">
        <v>8719</v>
      </c>
      <c r="F32" s="4">
        <v>46056.51261711806</v>
      </c>
    </row>
    <row r="33">
      <c r="A33" s="3" t="s">
        <v>7742</v>
      </c>
      <c r="B33" s="19">
        <v>1.0</v>
      </c>
      <c r="C33" s="3" t="s">
        <v>8720</v>
      </c>
      <c r="D33" s="35" t="s">
        <v>8721</v>
      </c>
      <c r="E33" s="3" t="s">
        <v>8719</v>
      </c>
      <c r="F33" s="4">
        <v>46056.51261711806</v>
      </c>
    </row>
    <row r="34">
      <c r="A34" s="3" t="s">
        <v>7742</v>
      </c>
      <c r="B34" s="19">
        <v>2.0</v>
      </c>
      <c r="C34" s="3" t="s">
        <v>8722</v>
      </c>
      <c r="D34" s="35" t="s">
        <v>8723</v>
      </c>
      <c r="E34" s="3" t="s">
        <v>8724</v>
      </c>
      <c r="F34" s="4">
        <v>46056.51261711806</v>
      </c>
    </row>
    <row r="35">
      <c r="A35" s="3" t="s">
        <v>7742</v>
      </c>
      <c r="B35" s="19">
        <v>3.0</v>
      </c>
      <c r="C35" s="3" t="s">
        <v>8725</v>
      </c>
      <c r="D35" s="35" t="s">
        <v>8726</v>
      </c>
      <c r="E35" s="3" t="s">
        <v>8727</v>
      </c>
      <c r="F35" s="4">
        <v>46056.51261711806</v>
      </c>
    </row>
    <row r="36">
      <c r="A36" s="3" t="s">
        <v>7747</v>
      </c>
      <c r="B36" s="19">
        <v>0.0</v>
      </c>
      <c r="C36" s="3" t="s">
        <v>8728</v>
      </c>
      <c r="D36" s="35" t="s">
        <v>8729</v>
      </c>
      <c r="E36" s="3" t="s">
        <v>8730</v>
      </c>
      <c r="F36" s="4">
        <v>46056.5469808912</v>
      </c>
    </row>
    <row r="37">
      <c r="A37" s="3" t="s">
        <v>7747</v>
      </c>
      <c r="B37" s="19">
        <v>1.0</v>
      </c>
      <c r="C37" s="3" t="s">
        <v>8731</v>
      </c>
      <c r="D37" s="35" t="s">
        <v>8732</v>
      </c>
      <c r="E37" s="3" t="s">
        <v>8733</v>
      </c>
      <c r="F37" s="4">
        <v>46056.5469808912</v>
      </c>
    </row>
    <row r="38">
      <c r="A38" s="3" t="s">
        <v>7753</v>
      </c>
      <c r="B38" s="19">
        <v>0.0</v>
      </c>
      <c r="C38" s="3" t="s">
        <v>8734</v>
      </c>
      <c r="D38" s="35" t="s">
        <v>8735</v>
      </c>
      <c r="E38" s="3" t="s">
        <v>8736</v>
      </c>
      <c r="F38" s="4">
        <v>46056.56623052083</v>
      </c>
    </row>
    <row r="39">
      <c r="A39" s="3" t="s">
        <v>7753</v>
      </c>
      <c r="B39" s="19">
        <v>1.0</v>
      </c>
      <c r="C39" s="3" t="s">
        <v>8737</v>
      </c>
      <c r="D39" s="35" t="s">
        <v>8738</v>
      </c>
      <c r="E39" s="3" t="s">
        <v>8739</v>
      </c>
      <c r="F39" s="4">
        <v>46056.56623052083</v>
      </c>
    </row>
    <row r="40">
      <c r="A40" s="3" t="s">
        <v>7760</v>
      </c>
      <c r="B40" s="19">
        <v>0.0</v>
      </c>
      <c r="C40" s="3" t="s">
        <v>8740</v>
      </c>
      <c r="D40" s="35" t="s">
        <v>8741</v>
      </c>
      <c r="E40" s="3" t="s">
        <v>8742</v>
      </c>
      <c r="F40" s="4">
        <v>46056.58870936342</v>
      </c>
    </row>
    <row r="41">
      <c r="A41" s="3" t="s">
        <v>7760</v>
      </c>
      <c r="B41" s="19">
        <v>1.0</v>
      </c>
      <c r="C41" s="3" t="s">
        <v>8743</v>
      </c>
      <c r="D41" s="35" t="s">
        <v>8744</v>
      </c>
      <c r="E41" s="3" t="s">
        <v>8745</v>
      </c>
      <c r="F41" s="4">
        <v>46056.58870936342</v>
      </c>
    </row>
    <row r="42">
      <c r="A42" s="3" t="s">
        <v>7766</v>
      </c>
      <c r="B42" s="19">
        <v>0.0</v>
      </c>
      <c r="C42" s="3" t="s">
        <v>8746</v>
      </c>
      <c r="D42" s="35" t="s">
        <v>8747</v>
      </c>
      <c r="E42" s="3" t="s">
        <v>8748</v>
      </c>
      <c r="F42" s="4">
        <v>46056.62789445602</v>
      </c>
    </row>
    <row r="43">
      <c r="A43" s="3" t="s">
        <v>7766</v>
      </c>
      <c r="B43" s="19">
        <v>1.0</v>
      </c>
      <c r="C43" s="3" t="s">
        <v>8749</v>
      </c>
      <c r="D43" s="35" t="s">
        <v>8750</v>
      </c>
      <c r="E43" s="3" t="s">
        <v>8751</v>
      </c>
      <c r="F43" s="4">
        <v>46056.62789445602</v>
      </c>
    </row>
    <row r="44">
      <c r="A44" s="3" t="s">
        <v>7766</v>
      </c>
      <c r="B44" s="19">
        <v>2.0</v>
      </c>
      <c r="C44" s="3" t="s">
        <v>8752</v>
      </c>
      <c r="D44" s="35" t="s">
        <v>8753</v>
      </c>
      <c r="E44" s="3" t="s">
        <v>8754</v>
      </c>
      <c r="F44" s="4">
        <v>46056.62789445602</v>
      </c>
    </row>
    <row r="45">
      <c r="A45" s="3" t="s">
        <v>7766</v>
      </c>
      <c r="B45" s="19">
        <v>3.0</v>
      </c>
      <c r="C45" s="3" t="s">
        <v>8755</v>
      </c>
      <c r="D45" s="35" t="s">
        <v>8756</v>
      </c>
      <c r="E45" s="3" t="s">
        <v>8757</v>
      </c>
      <c r="F45" s="4">
        <v>46056.62789445602</v>
      </c>
    </row>
    <row r="46">
      <c r="A46" s="3" t="s">
        <v>7766</v>
      </c>
      <c r="B46" s="19">
        <v>4.0</v>
      </c>
      <c r="C46" s="3" t="s">
        <v>8758</v>
      </c>
      <c r="D46" s="35" t="s">
        <v>8759</v>
      </c>
      <c r="E46" s="3" t="s">
        <v>8760</v>
      </c>
      <c r="F46" s="4">
        <v>46056.62789445602</v>
      </c>
    </row>
    <row r="47">
      <c r="A47" s="3" t="s">
        <v>7782</v>
      </c>
      <c r="B47" s="19">
        <v>0.0</v>
      </c>
      <c r="C47" s="3" t="s">
        <v>8761</v>
      </c>
      <c r="D47" s="35" t="s">
        <v>8762</v>
      </c>
      <c r="E47" s="3" t="s">
        <v>8763</v>
      </c>
      <c r="F47" s="4">
        <v>46057.46345144676</v>
      </c>
    </row>
    <row r="48">
      <c r="A48" s="3" t="s">
        <v>7785</v>
      </c>
      <c r="B48" s="19">
        <v>0.0</v>
      </c>
      <c r="C48" s="3" t="s">
        <v>8764</v>
      </c>
      <c r="D48" s="35" t="s">
        <v>8765</v>
      </c>
      <c r="F48" s="4">
        <v>46057.48122422454</v>
      </c>
    </row>
    <row r="49">
      <c r="A49" s="3" t="s">
        <v>7785</v>
      </c>
      <c r="B49" s="19">
        <v>1.0</v>
      </c>
      <c r="C49" s="3" t="s">
        <v>8766</v>
      </c>
      <c r="D49" s="35" t="s">
        <v>8767</v>
      </c>
      <c r="F49" s="4">
        <v>46057.48122422454</v>
      </c>
    </row>
    <row r="50">
      <c r="A50" s="3" t="s">
        <v>7785</v>
      </c>
      <c r="B50" s="19">
        <v>2.0</v>
      </c>
      <c r="C50" s="3" t="s">
        <v>8768</v>
      </c>
      <c r="D50" s="35" t="s">
        <v>8769</v>
      </c>
      <c r="F50" s="4">
        <v>46057.48122422454</v>
      </c>
    </row>
    <row r="51">
      <c r="A51" s="3" t="s">
        <v>7785</v>
      </c>
      <c r="B51" s="19">
        <v>3.0</v>
      </c>
      <c r="C51" s="3" t="s">
        <v>8770</v>
      </c>
      <c r="D51" s="35" t="s">
        <v>8771</v>
      </c>
      <c r="F51" s="4">
        <v>46057.48122422454</v>
      </c>
    </row>
    <row r="52">
      <c r="A52" s="3" t="s">
        <v>7785</v>
      </c>
      <c r="B52" s="19">
        <v>4.0</v>
      </c>
      <c r="C52" s="3" t="s">
        <v>8772</v>
      </c>
      <c r="D52" s="35" t="s">
        <v>8773</v>
      </c>
      <c r="E52" s="3" t="s">
        <v>8774</v>
      </c>
      <c r="F52" s="4">
        <v>46057.48122422454</v>
      </c>
    </row>
    <row r="53">
      <c r="A53" s="3" t="s">
        <v>7790</v>
      </c>
      <c r="B53" s="19">
        <v>0.0</v>
      </c>
      <c r="C53" s="3" t="s">
        <v>8681</v>
      </c>
      <c r="D53" s="35" t="s">
        <v>8775</v>
      </c>
      <c r="E53" s="3" t="s">
        <v>8776</v>
      </c>
      <c r="F53" s="4">
        <v>46057.59292628472</v>
      </c>
    </row>
    <row r="54">
      <c r="A54" s="3" t="s">
        <v>7566</v>
      </c>
      <c r="B54" s="19">
        <v>0.0</v>
      </c>
      <c r="C54" s="3" t="s">
        <v>8777</v>
      </c>
      <c r="D54" s="35" t="s">
        <v>8778</v>
      </c>
      <c r="E54" s="3" t="s">
        <v>8779</v>
      </c>
      <c r="F54" s="4">
        <v>46057.855612060186</v>
      </c>
    </row>
    <row r="55">
      <c r="A55" s="3" t="s">
        <v>7566</v>
      </c>
      <c r="B55" s="19">
        <v>1.0</v>
      </c>
      <c r="C55" s="3" t="s">
        <v>8780</v>
      </c>
      <c r="D55" s="35" t="s">
        <v>8781</v>
      </c>
      <c r="E55" s="3" t="s">
        <v>8779</v>
      </c>
      <c r="F55" s="4">
        <v>46057.855612060186</v>
      </c>
    </row>
    <row r="56">
      <c r="A56" s="3" t="s">
        <v>7566</v>
      </c>
      <c r="B56" s="19">
        <v>2.0</v>
      </c>
      <c r="C56" s="3" t="s">
        <v>8782</v>
      </c>
      <c r="D56" s="35" t="s">
        <v>8783</v>
      </c>
      <c r="E56" s="3" t="s">
        <v>8779</v>
      </c>
      <c r="F56" s="4">
        <v>46057.855612060186</v>
      </c>
    </row>
    <row r="57">
      <c r="A57" s="3" t="s">
        <v>7566</v>
      </c>
      <c r="B57" s="19">
        <v>3.0</v>
      </c>
      <c r="C57" s="3" t="s">
        <v>8784</v>
      </c>
      <c r="D57" s="35" t="s">
        <v>8785</v>
      </c>
      <c r="E57" s="3" t="s">
        <v>8786</v>
      </c>
      <c r="F57" s="4">
        <v>46057.855612060186</v>
      </c>
    </row>
    <row r="58">
      <c r="A58" s="3" t="s">
        <v>7569</v>
      </c>
      <c r="B58" s="19">
        <v>0.0</v>
      </c>
      <c r="C58" s="3" t="s">
        <v>8787</v>
      </c>
      <c r="D58" s="35" t="s">
        <v>8788</v>
      </c>
      <c r="E58" s="3" t="s">
        <v>8789</v>
      </c>
      <c r="F58" s="4">
        <v>46057.867447094904</v>
      </c>
    </row>
    <row r="59">
      <c r="A59" s="3" t="s">
        <v>7569</v>
      </c>
      <c r="B59" s="19">
        <v>1.0</v>
      </c>
      <c r="C59" s="3" t="s">
        <v>8790</v>
      </c>
      <c r="D59" s="35" t="s">
        <v>8791</v>
      </c>
      <c r="E59" s="3" t="s">
        <v>8789</v>
      </c>
      <c r="F59" s="4">
        <v>46057.867447094904</v>
      </c>
    </row>
    <row r="60">
      <c r="A60" s="3" t="s">
        <v>7569</v>
      </c>
      <c r="B60" s="19">
        <v>2.0</v>
      </c>
      <c r="C60" s="3" t="s">
        <v>8792</v>
      </c>
      <c r="D60" s="35" t="s">
        <v>8793</v>
      </c>
      <c r="E60" s="3" t="s">
        <v>8789</v>
      </c>
      <c r="F60" s="4">
        <v>46057.867447094904</v>
      </c>
    </row>
    <row r="61">
      <c r="A61" s="3" t="s">
        <v>7569</v>
      </c>
      <c r="B61" s="19">
        <v>3.0</v>
      </c>
      <c r="C61" s="3" t="s">
        <v>8794</v>
      </c>
      <c r="D61" s="35" t="s">
        <v>8795</v>
      </c>
      <c r="E61" s="3" t="s">
        <v>8789</v>
      </c>
      <c r="F61" s="4">
        <v>46057.867447094904</v>
      </c>
    </row>
    <row r="62">
      <c r="A62" s="3" t="s">
        <v>7569</v>
      </c>
      <c r="B62" s="19">
        <v>4.0</v>
      </c>
      <c r="C62" s="3" t="s">
        <v>8796</v>
      </c>
      <c r="D62" s="35" t="s">
        <v>8797</v>
      </c>
      <c r="E62" s="3" t="s">
        <v>8789</v>
      </c>
      <c r="F62" s="4">
        <v>46057.867447094904</v>
      </c>
    </row>
    <row r="63">
      <c r="A63" s="3" t="s">
        <v>7569</v>
      </c>
      <c r="B63" s="19">
        <v>5.0</v>
      </c>
      <c r="C63" s="3" t="s">
        <v>8798</v>
      </c>
      <c r="D63" s="35" t="s">
        <v>8799</v>
      </c>
      <c r="E63" s="3" t="s">
        <v>8800</v>
      </c>
      <c r="F63" s="4">
        <v>46057.867447094904</v>
      </c>
    </row>
    <row r="64">
      <c r="A64" s="3" t="s">
        <v>7623</v>
      </c>
      <c r="B64" s="19">
        <v>0.0</v>
      </c>
      <c r="C64" s="3" t="s">
        <v>8801</v>
      </c>
      <c r="D64" s="35" t="s">
        <v>8802</v>
      </c>
      <c r="E64" s="3" t="s">
        <v>8803</v>
      </c>
      <c r="F64" s="4">
        <v>46057.87393972222</v>
      </c>
    </row>
    <row r="65">
      <c r="A65" s="3" t="s">
        <v>7623</v>
      </c>
      <c r="B65" s="19">
        <v>1.0</v>
      </c>
      <c r="C65" s="3" t="s">
        <v>8804</v>
      </c>
      <c r="D65" s="35" t="s">
        <v>8805</v>
      </c>
      <c r="F65" s="4">
        <v>46057.87393972222</v>
      </c>
    </row>
    <row r="66">
      <c r="A66" s="3" t="s">
        <v>7623</v>
      </c>
      <c r="B66" s="19">
        <v>2.0</v>
      </c>
      <c r="C66" s="3" t="s">
        <v>8806</v>
      </c>
      <c r="D66" s="35" t="s">
        <v>8807</v>
      </c>
      <c r="E66" s="3" t="s">
        <v>8808</v>
      </c>
      <c r="F66" s="4">
        <v>46057.87393972222</v>
      </c>
    </row>
    <row r="67">
      <c r="A67" s="3" t="s">
        <v>7623</v>
      </c>
      <c r="B67" s="19">
        <v>3.0</v>
      </c>
      <c r="C67" s="3" t="s">
        <v>8809</v>
      </c>
      <c r="D67" s="35" t="s">
        <v>8810</v>
      </c>
      <c r="E67" s="3" t="s">
        <v>8803</v>
      </c>
      <c r="F67" s="4">
        <v>46057.87393972222</v>
      </c>
    </row>
    <row r="68">
      <c r="A68" s="3" t="s">
        <v>7631</v>
      </c>
      <c r="B68" s="19">
        <v>0.0</v>
      </c>
      <c r="C68" s="3" t="s">
        <v>8811</v>
      </c>
      <c r="D68" s="35" t="s">
        <v>8812</v>
      </c>
      <c r="F68" s="4">
        <v>46057.87988415509</v>
      </c>
    </row>
    <row r="69">
      <c r="A69" s="3" t="s">
        <v>7631</v>
      </c>
      <c r="B69" s="19">
        <v>1.0</v>
      </c>
      <c r="C69" s="3" t="s">
        <v>8813</v>
      </c>
      <c r="D69" s="35" t="s">
        <v>8814</v>
      </c>
      <c r="E69" s="3" t="s">
        <v>8815</v>
      </c>
      <c r="F69" s="4">
        <v>46057.87988415509</v>
      </c>
    </row>
    <row r="70">
      <c r="A70" s="3" t="s">
        <v>7793</v>
      </c>
      <c r="B70" s="19">
        <v>0.0</v>
      </c>
      <c r="C70" s="3" t="s">
        <v>8816</v>
      </c>
      <c r="D70" s="35" t="s">
        <v>8817</v>
      </c>
      <c r="E70" s="3" t="s">
        <v>8818</v>
      </c>
      <c r="F70" s="4">
        <v>46058.36132125</v>
      </c>
    </row>
    <row r="71">
      <c r="A71" s="3" t="s">
        <v>7793</v>
      </c>
      <c r="B71" s="19">
        <v>1.0</v>
      </c>
      <c r="C71" s="3" t="s">
        <v>8819</v>
      </c>
      <c r="D71" s="35" t="s">
        <v>8820</v>
      </c>
      <c r="E71" s="3" t="s">
        <v>8821</v>
      </c>
      <c r="F71" s="4">
        <v>46058.36132125</v>
      </c>
    </row>
    <row r="72">
      <c r="A72" s="3" t="s">
        <v>7793</v>
      </c>
      <c r="B72" s="19">
        <v>2.0</v>
      </c>
      <c r="C72" s="3" t="s">
        <v>8822</v>
      </c>
      <c r="D72" s="35" t="s">
        <v>8823</v>
      </c>
      <c r="E72" s="3" t="s">
        <v>8818</v>
      </c>
      <c r="F72" s="4">
        <v>46058.36132125</v>
      </c>
    </row>
    <row r="73">
      <c r="A73" s="3" t="s">
        <v>7793</v>
      </c>
      <c r="B73" s="19">
        <v>3.0</v>
      </c>
      <c r="C73" s="3" t="s">
        <v>8824</v>
      </c>
      <c r="D73" s="35" t="s">
        <v>8825</v>
      </c>
      <c r="E73" s="3" t="s">
        <v>8818</v>
      </c>
      <c r="F73" s="4">
        <v>46058.36132125</v>
      </c>
    </row>
    <row r="74">
      <c r="A74" s="3" t="s">
        <v>7801</v>
      </c>
      <c r="B74" s="19">
        <v>0.0</v>
      </c>
      <c r="C74" s="3" t="s">
        <v>8826</v>
      </c>
      <c r="D74" s="35" t="s">
        <v>8827</v>
      </c>
      <c r="E74" s="3" t="s">
        <v>8828</v>
      </c>
      <c r="F74" s="4">
        <v>46058.48330910879</v>
      </c>
    </row>
    <row r="75">
      <c r="A75" s="3" t="s">
        <v>7803</v>
      </c>
      <c r="B75" s="19">
        <v>0.0</v>
      </c>
      <c r="C75" s="3" t="s">
        <v>8829</v>
      </c>
      <c r="D75" s="35" t="s">
        <v>8830</v>
      </c>
      <c r="E75" s="3" t="s">
        <v>8831</v>
      </c>
      <c r="F75" s="4">
        <v>46058.50346451389</v>
      </c>
    </row>
    <row r="76">
      <c r="A76" s="3" t="s">
        <v>7803</v>
      </c>
      <c r="B76" s="19">
        <v>1.0</v>
      </c>
      <c r="C76" s="3" t="s">
        <v>8832</v>
      </c>
      <c r="D76" s="35" t="s">
        <v>8833</v>
      </c>
      <c r="E76" s="3" t="s">
        <v>8831</v>
      </c>
      <c r="F76" s="4">
        <v>46058.50346451389</v>
      </c>
    </row>
    <row r="77">
      <c r="A77" s="3" t="s">
        <v>7803</v>
      </c>
      <c r="B77" s="19">
        <v>2.0</v>
      </c>
      <c r="C77" s="3" t="s">
        <v>8834</v>
      </c>
      <c r="D77" s="35" t="s">
        <v>8835</v>
      </c>
      <c r="E77" s="3" t="s">
        <v>8836</v>
      </c>
      <c r="F77" s="4">
        <v>46058.50346451389</v>
      </c>
    </row>
    <row r="78">
      <c r="A78" s="3" t="s">
        <v>7803</v>
      </c>
      <c r="B78" s="19">
        <v>3.0</v>
      </c>
      <c r="C78" s="3" t="s">
        <v>8837</v>
      </c>
      <c r="D78" s="35" t="s">
        <v>8838</v>
      </c>
      <c r="E78" s="3" t="s">
        <v>8836</v>
      </c>
      <c r="F78" s="4">
        <v>46058.50346451389</v>
      </c>
    </row>
    <row r="79">
      <c r="A79" s="3" t="s">
        <v>7803</v>
      </c>
      <c r="B79" s="19">
        <v>4.0</v>
      </c>
      <c r="C79" s="3" t="s">
        <v>8839</v>
      </c>
      <c r="D79" s="35" t="s">
        <v>8840</v>
      </c>
      <c r="E79" s="3" t="s">
        <v>8836</v>
      </c>
      <c r="F79" s="4">
        <v>46058.50346451389</v>
      </c>
    </row>
    <row r="80">
      <c r="A80" s="3" t="s">
        <v>7803</v>
      </c>
      <c r="B80" s="19">
        <v>5.0</v>
      </c>
      <c r="C80" s="3" t="s">
        <v>8841</v>
      </c>
      <c r="D80" s="35" t="s">
        <v>8842</v>
      </c>
      <c r="E80" s="3" t="s">
        <v>8843</v>
      </c>
      <c r="F80" s="4">
        <v>46058.50346451389</v>
      </c>
    </row>
    <row r="81">
      <c r="A81" s="3" t="s">
        <v>7807</v>
      </c>
      <c r="B81" s="19">
        <v>0.0</v>
      </c>
      <c r="C81" s="3" t="s">
        <v>8844</v>
      </c>
      <c r="D81" s="35" t="s">
        <v>8845</v>
      </c>
      <c r="E81" s="3" t="s">
        <v>8846</v>
      </c>
      <c r="F81" s="4">
        <v>46058.52530916667</v>
      </c>
    </row>
    <row r="82">
      <c r="A82" s="3" t="s">
        <v>7807</v>
      </c>
      <c r="B82" s="19">
        <v>1.0</v>
      </c>
      <c r="C82" s="3" t="s">
        <v>8847</v>
      </c>
      <c r="D82" s="35" t="s">
        <v>8848</v>
      </c>
      <c r="E82" s="3" t="s">
        <v>8846</v>
      </c>
      <c r="F82" s="4">
        <v>46058.52530918982</v>
      </c>
    </row>
    <row r="83">
      <c r="A83" s="3" t="s">
        <v>7807</v>
      </c>
      <c r="B83" s="19">
        <v>2.0</v>
      </c>
      <c r="C83" s="3" t="s">
        <v>8849</v>
      </c>
      <c r="D83" s="35" t="s">
        <v>8850</v>
      </c>
      <c r="E83" s="3" t="s">
        <v>8846</v>
      </c>
      <c r="F83" s="4">
        <v>46058.52530918982</v>
      </c>
    </row>
    <row r="84">
      <c r="A84" s="3" t="s">
        <v>7811</v>
      </c>
      <c r="B84" s="19">
        <v>0.0</v>
      </c>
      <c r="C84" s="3" t="s">
        <v>8851</v>
      </c>
      <c r="D84" s="35" t="s">
        <v>8852</v>
      </c>
      <c r="E84" s="3" t="s">
        <v>8853</v>
      </c>
      <c r="F84" s="4">
        <v>46058.53662599537</v>
      </c>
    </row>
    <row r="85">
      <c r="A85" s="3" t="s">
        <v>7811</v>
      </c>
      <c r="B85" s="19">
        <v>1.0</v>
      </c>
      <c r="C85" s="3" t="s">
        <v>8854</v>
      </c>
      <c r="D85" s="35" t="s">
        <v>8855</v>
      </c>
      <c r="E85" s="3" t="s">
        <v>8853</v>
      </c>
      <c r="F85" s="4">
        <v>46058.53662599537</v>
      </c>
    </row>
    <row r="86">
      <c r="A86" s="3" t="s">
        <v>7817</v>
      </c>
      <c r="B86" s="19">
        <v>0.0</v>
      </c>
      <c r="C86" s="3" t="s">
        <v>8856</v>
      </c>
      <c r="D86" s="35" t="s">
        <v>8857</v>
      </c>
      <c r="F86" s="4">
        <v>46058.58026939815</v>
      </c>
    </row>
    <row r="87">
      <c r="A87" s="3" t="s">
        <v>7817</v>
      </c>
      <c r="B87" s="19">
        <v>1.0</v>
      </c>
      <c r="C87" s="3" t="s">
        <v>8858</v>
      </c>
      <c r="D87" s="35" t="s">
        <v>8859</v>
      </c>
      <c r="E87" s="3" t="s">
        <v>8860</v>
      </c>
      <c r="F87" s="4">
        <v>46058.58026939815</v>
      </c>
    </row>
    <row r="88">
      <c r="A88" s="3" t="s">
        <v>7817</v>
      </c>
      <c r="B88" s="19">
        <v>2.0</v>
      </c>
      <c r="C88" s="3" t="s">
        <v>8861</v>
      </c>
      <c r="D88" s="35" t="s">
        <v>8862</v>
      </c>
      <c r="F88" s="4">
        <v>46058.58026939815</v>
      </c>
    </row>
    <row r="89">
      <c r="A89" s="3" t="s">
        <v>7828</v>
      </c>
      <c r="B89" s="19">
        <v>0.0</v>
      </c>
      <c r="C89" s="3" t="s">
        <v>8863</v>
      </c>
      <c r="D89" s="35" t="s">
        <v>8864</v>
      </c>
      <c r="E89" s="3" t="s">
        <v>8865</v>
      </c>
      <c r="F89" s="4">
        <v>46059.44761282408</v>
      </c>
    </row>
    <row r="90">
      <c r="A90" s="3" t="s">
        <v>7828</v>
      </c>
      <c r="B90" s="19">
        <v>1.0</v>
      </c>
      <c r="C90" s="3" t="s">
        <v>8866</v>
      </c>
      <c r="D90" s="35" t="s">
        <v>8867</v>
      </c>
      <c r="E90" s="3" t="s">
        <v>8865</v>
      </c>
      <c r="F90" s="4">
        <v>46059.44761282408</v>
      </c>
    </row>
    <row r="91">
      <c r="A91" s="3" t="s">
        <v>7828</v>
      </c>
      <c r="B91" s="19">
        <v>2.0</v>
      </c>
      <c r="C91" s="3" t="s">
        <v>8868</v>
      </c>
      <c r="D91" s="35" t="s">
        <v>8869</v>
      </c>
      <c r="E91" s="3" t="s">
        <v>8870</v>
      </c>
      <c r="F91" s="4">
        <v>46059.44761282408</v>
      </c>
    </row>
    <row r="92">
      <c r="A92" s="3" t="s">
        <v>7828</v>
      </c>
      <c r="B92" s="19">
        <v>3.0</v>
      </c>
      <c r="C92" s="3" t="s">
        <v>8871</v>
      </c>
      <c r="D92" s="35" t="s">
        <v>8872</v>
      </c>
      <c r="E92" s="3" t="s">
        <v>8873</v>
      </c>
      <c r="F92" s="4">
        <v>46059.44761282408</v>
      </c>
    </row>
    <row r="93">
      <c r="A93" s="3" t="s">
        <v>7828</v>
      </c>
      <c r="B93" s="19">
        <v>4.0</v>
      </c>
      <c r="C93" s="3" t="s">
        <v>8874</v>
      </c>
      <c r="D93" s="35" t="s">
        <v>8875</v>
      </c>
      <c r="E93" s="3" t="s">
        <v>8876</v>
      </c>
      <c r="F93" s="4">
        <v>46059.44761282408</v>
      </c>
    </row>
    <row r="94">
      <c r="A94" s="3" t="s">
        <v>7831</v>
      </c>
      <c r="B94" s="19">
        <v>0.0</v>
      </c>
      <c r="C94" s="3" t="s">
        <v>8877</v>
      </c>
      <c r="D94" s="35" t="s">
        <v>8878</v>
      </c>
      <c r="E94" s="3" t="s">
        <v>8879</v>
      </c>
      <c r="F94" s="4">
        <v>46059.48245340278</v>
      </c>
    </row>
    <row r="95">
      <c r="A95" s="3" t="s">
        <v>7831</v>
      </c>
      <c r="B95" s="19">
        <v>1.0</v>
      </c>
      <c r="C95" s="3" t="s">
        <v>8880</v>
      </c>
      <c r="D95" s="35" t="s">
        <v>8881</v>
      </c>
      <c r="E95" s="3" t="s">
        <v>8879</v>
      </c>
      <c r="F95" s="4">
        <v>46059.48245340278</v>
      </c>
    </row>
    <row r="96">
      <c r="A96" s="3" t="s">
        <v>7831</v>
      </c>
      <c r="B96" s="19">
        <v>2.0</v>
      </c>
      <c r="C96" s="3" t="s">
        <v>8882</v>
      </c>
      <c r="D96" s="35" t="s">
        <v>8883</v>
      </c>
      <c r="E96" s="3" t="s">
        <v>8879</v>
      </c>
      <c r="F96" s="4">
        <v>46059.48245340278</v>
      </c>
    </row>
    <row r="97">
      <c r="A97" s="3" t="s">
        <v>7832</v>
      </c>
      <c r="B97" s="19">
        <v>0.0</v>
      </c>
      <c r="C97" s="3" t="s">
        <v>8884</v>
      </c>
      <c r="D97" s="35" t="s">
        <v>8885</v>
      </c>
      <c r="E97" s="3" t="s">
        <v>8879</v>
      </c>
      <c r="F97" s="4">
        <v>46059.50977829861</v>
      </c>
    </row>
    <row r="98">
      <c r="A98" s="3" t="s">
        <v>7832</v>
      </c>
      <c r="B98" s="19">
        <v>1.0</v>
      </c>
      <c r="C98" s="3" t="s">
        <v>8886</v>
      </c>
      <c r="D98" s="35" t="s">
        <v>8887</v>
      </c>
      <c r="E98" s="3" t="s">
        <v>8879</v>
      </c>
      <c r="F98" s="4">
        <v>46059.50977829861</v>
      </c>
    </row>
    <row r="99">
      <c r="A99" s="3" t="s">
        <v>7832</v>
      </c>
      <c r="B99" s="19">
        <v>2.0</v>
      </c>
      <c r="C99" s="3" t="s">
        <v>8888</v>
      </c>
      <c r="D99" s="35" t="s">
        <v>8889</v>
      </c>
      <c r="E99" s="3" t="s">
        <v>8651</v>
      </c>
      <c r="F99" s="4">
        <v>46059.50977829861</v>
      </c>
    </row>
    <row r="100">
      <c r="A100" s="3" t="s">
        <v>7836</v>
      </c>
      <c r="B100" s="19">
        <v>0.0</v>
      </c>
      <c r="C100" s="3" t="s">
        <v>8890</v>
      </c>
      <c r="D100" s="35" t="s">
        <v>8891</v>
      </c>
      <c r="E100" s="3" t="s">
        <v>8892</v>
      </c>
      <c r="F100" s="4">
        <v>46059.61542275463</v>
      </c>
    </row>
    <row r="101">
      <c r="A101" s="3" t="s">
        <v>7836</v>
      </c>
      <c r="B101" s="19">
        <v>1.0</v>
      </c>
      <c r="C101" s="3" t="s">
        <v>8893</v>
      </c>
      <c r="D101" s="35" t="s">
        <v>8894</v>
      </c>
      <c r="E101" s="3" t="s">
        <v>8895</v>
      </c>
      <c r="F101" s="4">
        <v>46059.615422766205</v>
      </c>
    </row>
    <row r="102">
      <c r="A102" s="3" t="s">
        <v>7836</v>
      </c>
      <c r="B102" s="19">
        <v>2.0</v>
      </c>
      <c r="C102" s="3" t="s">
        <v>8896</v>
      </c>
      <c r="D102" s="35" t="s">
        <v>8897</v>
      </c>
      <c r="E102" s="3" t="s">
        <v>8895</v>
      </c>
      <c r="F102" s="4">
        <v>46059.615422766205</v>
      </c>
    </row>
    <row r="103">
      <c r="A103" s="3" t="s">
        <v>7836</v>
      </c>
      <c r="B103" s="19">
        <v>3.0</v>
      </c>
      <c r="C103" s="3" t="s">
        <v>8898</v>
      </c>
      <c r="D103" s="35" t="s">
        <v>8899</v>
      </c>
      <c r="E103" s="3" t="s">
        <v>8895</v>
      </c>
      <c r="F103" s="4">
        <v>46059.615422766205</v>
      </c>
    </row>
    <row r="104">
      <c r="A104" s="3" t="s">
        <v>7836</v>
      </c>
      <c r="B104" s="19">
        <v>4.0</v>
      </c>
      <c r="C104" s="3" t="s">
        <v>8900</v>
      </c>
      <c r="D104" s="35" t="s">
        <v>8901</v>
      </c>
      <c r="E104" s="3" t="s">
        <v>8902</v>
      </c>
      <c r="F104" s="4">
        <v>46059.615422766205</v>
      </c>
    </row>
    <row r="105">
      <c r="A105" s="3" t="s">
        <v>7853</v>
      </c>
      <c r="B105" s="19">
        <v>0.0</v>
      </c>
      <c r="C105" s="3" t="s">
        <v>8903</v>
      </c>
      <c r="D105" s="35" t="s">
        <v>8904</v>
      </c>
      <c r="E105" s="3" t="s">
        <v>8905</v>
      </c>
      <c r="F105" s="4">
        <v>46063.52675318287</v>
      </c>
    </row>
    <row r="106">
      <c r="A106" s="3" t="s">
        <v>7853</v>
      </c>
      <c r="B106" s="19">
        <v>1.0</v>
      </c>
      <c r="C106" s="3" t="s">
        <v>8906</v>
      </c>
      <c r="D106" s="35" t="s">
        <v>8907</v>
      </c>
      <c r="E106" s="3" t="s">
        <v>8905</v>
      </c>
      <c r="F106" s="4">
        <v>46063.52675318287</v>
      </c>
    </row>
    <row r="107">
      <c r="A107" s="3" t="s">
        <v>7853</v>
      </c>
      <c r="B107" s="19">
        <v>2.0</v>
      </c>
      <c r="C107" s="3" t="s">
        <v>8908</v>
      </c>
      <c r="D107" s="35" t="s">
        <v>8909</v>
      </c>
      <c r="E107" s="3" t="s">
        <v>8905</v>
      </c>
      <c r="F107" s="4">
        <v>46063.52675318287</v>
      </c>
    </row>
    <row r="108">
      <c r="A108" s="3" t="s">
        <v>7874</v>
      </c>
      <c r="B108" s="19">
        <v>0.0</v>
      </c>
      <c r="C108" s="3" t="s">
        <v>8910</v>
      </c>
      <c r="D108" s="35" t="s">
        <v>8911</v>
      </c>
      <c r="E108" s="3" t="s">
        <v>8912</v>
      </c>
      <c r="F108" s="4">
        <v>46065.65049587963</v>
      </c>
    </row>
    <row r="109">
      <c r="A109" s="3" t="s">
        <v>7874</v>
      </c>
      <c r="B109" s="19">
        <v>1.0</v>
      </c>
      <c r="C109" s="3" t="s">
        <v>8913</v>
      </c>
      <c r="D109" s="35" t="s">
        <v>8914</v>
      </c>
      <c r="E109" s="3" t="s">
        <v>8912</v>
      </c>
      <c r="F109" s="4">
        <v>46065.65049587963</v>
      </c>
    </row>
    <row r="110">
      <c r="A110" s="3" t="s">
        <v>7874</v>
      </c>
      <c r="B110" s="19">
        <v>2.0</v>
      </c>
      <c r="C110" s="3" t="s">
        <v>8915</v>
      </c>
      <c r="D110" s="35" t="s">
        <v>8916</v>
      </c>
      <c r="E110" s="3" t="s">
        <v>8917</v>
      </c>
      <c r="F110" s="4">
        <v>46065.65049587963</v>
      </c>
    </row>
    <row r="111">
      <c r="A111" s="3" t="s">
        <v>7895</v>
      </c>
      <c r="B111" s="19">
        <v>0.0</v>
      </c>
      <c r="C111" s="3" t="s">
        <v>8918</v>
      </c>
      <c r="D111" s="35" t="s">
        <v>8919</v>
      </c>
      <c r="E111" s="3" t="s">
        <v>8920</v>
      </c>
      <c r="F111" s="4">
        <v>46069.51929928241</v>
      </c>
    </row>
    <row r="112">
      <c r="A112" s="3" t="s">
        <v>7709</v>
      </c>
      <c r="B112" s="19">
        <v>0.0</v>
      </c>
      <c r="C112" s="3" t="s">
        <v>8921</v>
      </c>
      <c r="D112" s="35" t="s">
        <v>8922</v>
      </c>
      <c r="E112" s="3" t="s">
        <v>8800</v>
      </c>
      <c r="F112" s="4">
        <v>46069.63736579861</v>
      </c>
    </row>
    <row r="113">
      <c r="A113" s="3" t="s">
        <v>7709</v>
      </c>
      <c r="B113" s="19">
        <v>1.0</v>
      </c>
      <c r="C113" s="3" t="s">
        <v>8923</v>
      </c>
      <c r="D113" s="35" t="s">
        <v>8924</v>
      </c>
      <c r="E113" s="3" t="s">
        <v>8925</v>
      </c>
      <c r="F113" s="4">
        <v>46069.63736579861</v>
      </c>
    </row>
    <row r="114">
      <c r="A114" s="3" t="s">
        <v>7903</v>
      </c>
      <c r="B114" s="19">
        <v>0.0</v>
      </c>
      <c r="C114" s="3" t="s">
        <v>8926</v>
      </c>
      <c r="D114" s="35" t="s">
        <v>8927</v>
      </c>
      <c r="E114" s="3" t="s">
        <v>8928</v>
      </c>
      <c r="F114" s="4">
        <v>46070.62836333334</v>
      </c>
    </row>
    <row r="115">
      <c r="A115" s="3" t="s">
        <v>7903</v>
      </c>
      <c r="B115" s="19">
        <v>1.0</v>
      </c>
      <c r="C115" s="3" t="s">
        <v>8929</v>
      </c>
      <c r="D115" s="35" t="s">
        <v>8930</v>
      </c>
      <c r="E115" s="3" t="s">
        <v>8931</v>
      </c>
      <c r="F115" s="4">
        <v>46070.62836333334</v>
      </c>
    </row>
    <row r="116">
      <c r="A116" s="3" t="s">
        <v>7903</v>
      </c>
      <c r="B116" s="19">
        <v>2.0</v>
      </c>
      <c r="C116" s="3" t="s">
        <v>8932</v>
      </c>
      <c r="D116" s="35" t="s">
        <v>8933</v>
      </c>
      <c r="E116" s="3" t="s">
        <v>8934</v>
      </c>
      <c r="F116" s="4">
        <v>46070.62836333334</v>
      </c>
    </row>
    <row r="117">
      <c r="A117" s="3" t="s">
        <v>7907</v>
      </c>
      <c r="B117" s="19">
        <v>0.0</v>
      </c>
      <c r="C117" s="3" t="s">
        <v>8935</v>
      </c>
      <c r="D117" s="35" t="s">
        <v>8936</v>
      </c>
      <c r="E117" s="3" t="s">
        <v>8937</v>
      </c>
      <c r="F117" s="4">
        <v>46071.47577081018</v>
      </c>
    </row>
    <row r="118">
      <c r="A118" s="3" t="s">
        <v>7907</v>
      </c>
      <c r="B118" s="19">
        <v>1.0</v>
      </c>
      <c r="C118" s="3" t="s">
        <v>8938</v>
      </c>
      <c r="D118" s="35" t="s">
        <v>8939</v>
      </c>
      <c r="E118" s="3" t="s">
        <v>8937</v>
      </c>
      <c r="F118" s="4">
        <v>46071.47577081018</v>
      </c>
    </row>
    <row r="119">
      <c r="A119" s="3" t="s">
        <v>7911</v>
      </c>
      <c r="B119" s="19">
        <v>0.0</v>
      </c>
      <c r="C119" s="3" t="s">
        <v>8940</v>
      </c>
      <c r="D119" s="35" t="s">
        <v>8941</v>
      </c>
      <c r="E119" s="3" t="s">
        <v>8942</v>
      </c>
      <c r="F119" s="4">
        <v>46071.63717097222</v>
      </c>
    </row>
    <row r="120">
      <c r="A120" s="3" t="s">
        <v>7911</v>
      </c>
      <c r="B120" s="19">
        <v>1.0</v>
      </c>
      <c r="C120" s="3" t="s">
        <v>8943</v>
      </c>
      <c r="D120" s="35" t="s">
        <v>8944</v>
      </c>
      <c r="E120" s="3" t="s">
        <v>8945</v>
      </c>
      <c r="F120" s="4">
        <v>46071.63717097222</v>
      </c>
    </row>
    <row r="121">
      <c r="A121" s="3" t="s">
        <v>7911</v>
      </c>
      <c r="B121" s="19">
        <v>2.0</v>
      </c>
      <c r="C121" s="3" t="s">
        <v>8946</v>
      </c>
      <c r="D121" s="35" t="s">
        <v>8947</v>
      </c>
      <c r="E121" s="3" t="s">
        <v>8945</v>
      </c>
      <c r="F121" s="4">
        <v>46071.63717097222</v>
      </c>
    </row>
    <row r="122">
      <c r="A122" s="3" t="s">
        <v>7913</v>
      </c>
      <c r="B122" s="19">
        <v>0.0</v>
      </c>
      <c r="C122" s="3" t="s">
        <v>8948</v>
      </c>
      <c r="D122" s="35" t="s">
        <v>8949</v>
      </c>
      <c r="E122" s="3" t="s">
        <v>8950</v>
      </c>
      <c r="F122" s="4">
        <v>46072.49638466435</v>
      </c>
    </row>
    <row r="123">
      <c r="A123" s="3" t="s">
        <v>7913</v>
      </c>
      <c r="B123" s="19">
        <v>1.0</v>
      </c>
      <c r="C123" s="3" t="s">
        <v>8951</v>
      </c>
      <c r="D123" s="35" t="s">
        <v>8952</v>
      </c>
      <c r="E123" s="3" t="s">
        <v>8950</v>
      </c>
      <c r="F123" s="4">
        <v>46072.49638466435</v>
      </c>
    </row>
    <row r="124">
      <c r="A124" s="3" t="s">
        <v>7913</v>
      </c>
      <c r="B124" s="19">
        <v>2.0</v>
      </c>
      <c r="C124" s="3" t="s">
        <v>8953</v>
      </c>
      <c r="D124" s="35" t="s">
        <v>8954</v>
      </c>
      <c r="E124" s="3" t="s">
        <v>8955</v>
      </c>
      <c r="F124" s="4">
        <v>46072.49638466435</v>
      </c>
    </row>
    <row r="125">
      <c r="A125" s="3" t="s">
        <v>7918</v>
      </c>
      <c r="B125" s="19">
        <v>0.0</v>
      </c>
      <c r="C125" s="3" t="s">
        <v>8956</v>
      </c>
      <c r="D125" s="35" t="s">
        <v>8957</v>
      </c>
      <c r="E125" s="3" t="s">
        <v>8958</v>
      </c>
      <c r="F125" s="4">
        <v>46072.55887421296</v>
      </c>
    </row>
    <row r="126">
      <c r="A126" s="3" t="s">
        <v>7918</v>
      </c>
      <c r="B126" s="19">
        <v>1.0</v>
      </c>
      <c r="C126" s="3" t="s">
        <v>8959</v>
      </c>
      <c r="D126" s="35" t="s">
        <v>8960</v>
      </c>
      <c r="E126" s="3" t="s">
        <v>8961</v>
      </c>
      <c r="F126" s="4">
        <v>46072.55887421296</v>
      </c>
    </row>
    <row r="127">
      <c r="A127" s="3" t="s">
        <v>7918</v>
      </c>
      <c r="B127" s="19">
        <v>2.0</v>
      </c>
      <c r="C127" s="3" t="s">
        <v>8962</v>
      </c>
      <c r="D127" s="35" t="s">
        <v>8963</v>
      </c>
      <c r="E127" s="3" t="s">
        <v>8964</v>
      </c>
      <c r="F127" s="4">
        <v>46072.55887421296</v>
      </c>
    </row>
    <row r="128">
      <c r="A128" s="3" t="s">
        <v>7918</v>
      </c>
      <c r="B128" s="19">
        <v>3.0</v>
      </c>
      <c r="C128" s="3" t="s">
        <v>8965</v>
      </c>
      <c r="D128" s="35" t="s">
        <v>8966</v>
      </c>
      <c r="E128" s="3" t="s">
        <v>8967</v>
      </c>
      <c r="F128" s="4">
        <v>46072.55887421296</v>
      </c>
    </row>
    <row r="129">
      <c r="A129" s="3" t="s">
        <v>7918</v>
      </c>
      <c r="B129" s="19">
        <v>4.0</v>
      </c>
      <c r="C129" s="3" t="s">
        <v>8968</v>
      </c>
      <c r="D129" s="35" t="s">
        <v>8969</v>
      </c>
      <c r="E129" s="3" t="s">
        <v>8970</v>
      </c>
      <c r="F129" s="4">
        <v>46072.55887421296</v>
      </c>
    </row>
    <row r="130">
      <c r="A130" s="3" t="s">
        <v>7922</v>
      </c>
      <c r="B130" s="19">
        <v>0.0</v>
      </c>
      <c r="C130" s="3" t="s">
        <v>8971</v>
      </c>
      <c r="D130" s="35" t="s">
        <v>8972</v>
      </c>
      <c r="E130" s="3" t="s">
        <v>8973</v>
      </c>
      <c r="F130" s="4">
        <v>46072.58510488426</v>
      </c>
    </row>
    <row r="131">
      <c r="A131" s="3" t="s">
        <v>7922</v>
      </c>
      <c r="B131" s="19">
        <v>1.0</v>
      </c>
      <c r="C131" s="3" t="s">
        <v>8974</v>
      </c>
      <c r="D131" s="35" t="s">
        <v>8975</v>
      </c>
      <c r="E131" s="3" t="s">
        <v>8973</v>
      </c>
      <c r="F131" s="4">
        <v>46072.58510488426</v>
      </c>
    </row>
    <row r="132">
      <c r="A132" s="3" t="s">
        <v>7922</v>
      </c>
      <c r="B132" s="19">
        <v>2.0</v>
      </c>
      <c r="C132" s="3" t="s">
        <v>8976</v>
      </c>
      <c r="D132" s="35" t="s">
        <v>8977</v>
      </c>
      <c r="E132" s="3" t="s">
        <v>8973</v>
      </c>
      <c r="F132" s="4">
        <v>46072.58510488426</v>
      </c>
    </row>
    <row r="133">
      <c r="A133" s="3" t="s">
        <v>7922</v>
      </c>
      <c r="B133" s="19">
        <v>3.0</v>
      </c>
      <c r="C133" s="3" t="s">
        <v>8978</v>
      </c>
      <c r="D133" s="35" t="s">
        <v>8979</v>
      </c>
      <c r="E133" s="3" t="s">
        <v>8973</v>
      </c>
      <c r="F133" s="4">
        <v>46072.58510488426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8.38"/>
    <col customWidth="1" min="2" max="2" width="5.25"/>
    <col customWidth="1" min="3" max="3" width="6.75"/>
    <col customWidth="1" min="4" max="4" width="107.13"/>
    <col customWidth="1" min="5" max="5" width="644.25"/>
    <col customWidth="1" min="6" max="6" width="9.0"/>
    <col customWidth="1" min="7" max="8" width="6.88"/>
    <col customWidth="1" min="9" max="9" width="21.25"/>
    <col customWidth="1" min="10" max="10" width="45.0"/>
    <col customWidth="1" min="11" max="11" width="8.63"/>
    <col customWidth="1" min="12" max="12" width="43.38"/>
    <col customWidth="1" min="13" max="13" width="19.25"/>
    <col customWidth="1" min="14" max="14" width="25.63"/>
    <col customWidth="1" min="15" max="17" width="13.63"/>
    <col customWidth="1" min="18" max="18" width="111.0"/>
  </cols>
  <sheetData>
    <row r="1">
      <c r="A1" s="37" t="s">
        <v>8980</v>
      </c>
      <c r="B1" s="37" t="s">
        <v>8981</v>
      </c>
      <c r="C1" s="37" t="s">
        <v>8982</v>
      </c>
      <c r="D1" s="37" t="s">
        <v>7124</v>
      </c>
      <c r="E1" s="37" t="s">
        <v>7129</v>
      </c>
      <c r="F1" s="37" t="s">
        <v>5</v>
      </c>
      <c r="G1" s="37" t="s">
        <v>8286</v>
      </c>
      <c r="H1" s="37" t="s">
        <v>8983</v>
      </c>
      <c r="I1" s="37" t="s">
        <v>8984</v>
      </c>
      <c r="J1" s="37" t="s">
        <v>8985</v>
      </c>
      <c r="K1" s="37" t="s">
        <v>8986</v>
      </c>
      <c r="L1" s="37" t="s">
        <v>8987</v>
      </c>
      <c r="M1" s="37" t="s">
        <v>94</v>
      </c>
      <c r="N1" s="37" t="s">
        <v>95</v>
      </c>
      <c r="O1" s="37" t="s">
        <v>8988</v>
      </c>
      <c r="P1" s="37" t="s">
        <v>8989</v>
      </c>
      <c r="Q1" s="37" t="s">
        <v>8990</v>
      </c>
      <c r="R1" s="37" t="s">
        <v>8991</v>
      </c>
      <c r="S1" s="2"/>
      <c r="T1" s="3" t="s">
        <v>21</v>
      </c>
      <c r="U1" s="4">
        <v>46072.68340820602</v>
      </c>
    </row>
    <row r="2">
      <c r="A2" s="3" t="s">
        <v>8992</v>
      </c>
      <c r="B2" s="3" t="s">
        <v>8993</v>
      </c>
      <c r="C2" s="19">
        <v>1863.0</v>
      </c>
      <c r="D2" s="3" t="s">
        <v>8612</v>
      </c>
      <c r="E2" s="3" t="s">
        <v>8994</v>
      </c>
      <c r="F2" s="3" t="s">
        <v>8995</v>
      </c>
      <c r="G2" s="3" t="s">
        <v>8303</v>
      </c>
      <c r="H2" s="3" t="s">
        <v>8996</v>
      </c>
      <c r="I2" s="3" t="s">
        <v>8997</v>
      </c>
      <c r="J2" s="25" t="s">
        <v>8998</v>
      </c>
      <c r="K2" s="2"/>
      <c r="L2" s="3" t="s">
        <v>8999</v>
      </c>
      <c r="M2" s="3" t="s">
        <v>208</v>
      </c>
      <c r="N2" s="3" t="s">
        <v>209</v>
      </c>
      <c r="O2" s="29">
        <v>46071.63802083333</v>
      </c>
      <c r="P2" s="29">
        <v>46071.93314814815</v>
      </c>
      <c r="Q2" s="31"/>
      <c r="R2" s="3" t="s">
        <v>9000</v>
      </c>
    </row>
    <row r="3">
      <c r="A3" s="3" t="s">
        <v>9001</v>
      </c>
      <c r="B3" s="3" t="s">
        <v>8993</v>
      </c>
      <c r="C3" s="19">
        <v>1788.0</v>
      </c>
      <c r="D3" s="3" t="s">
        <v>8390</v>
      </c>
      <c r="E3" s="3" t="s">
        <v>9002</v>
      </c>
      <c r="F3" s="3" t="s">
        <v>9003</v>
      </c>
      <c r="G3" s="3" t="s">
        <v>8292</v>
      </c>
      <c r="H3" s="3" t="s">
        <v>9004</v>
      </c>
      <c r="I3" s="3" t="s">
        <v>8997</v>
      </c>
      <c r="J3" s="25" t="s">
        <v>9005</v>
      </c>
      <c r="L3" s="3" t="s">
        <v>9006</v>
      </c>
      <c r="M3" s="3" t="s">
        <v>142</v>
      </c>
      <c r="N3" s="3" t="s">
        <v>143</v>
      </c>
      <c r="O3" s="29">
        <v>46056.58916666667</v>
      </c>
      <c r="P3" s="29">
        <v>46070.62905092593</v>
      </c>
      <c r="Q3" s="29">
        <v>46070.62905092593</v>
      </c>
      <c r="R3" s="3" t="s">
        <v>9007</v>
      </c>
    </row>
    <row r="4">
      <c r="A4" s="3" t="s">
        <v>9008</v>
      </c>
      <c r="B4" s="3" t="s">
        <v>8993</v>
      </c>
      <c r="C4" s="19">
        <v>1860.0</v>
      </c>
      <c r="D4" s="3" t="s">
        <v>8603</v>
      </c>
      <c r="E4" s="3" t="s">
        <v>9009</v>
      </c>
      <c r="F4" s="3" t="s">
        <v>9003</v>
      </c>
      <c r="G4" s="3" t="s">
        <v>8292</v>
      </c>
      <c r="H4" s="3" t="s">
        <v>9004</v>
      </c>
      <c r="I4" s="3" t="s">
        <v>8997</v>
      </c>
      <c r="J4" s="25" t="s">
        <v>9010</v>
      </c>
      <c r="K4" s="2"/>
      <c r="L4" s="3" t="s">
        <v>9006</v>
      </c>
      <c r="M4" s="3" t="s">
        <v>142</v>
      </c>
      <c r="N4" s="3" t="s">
        <v>143</v>
      </c>
      <c r="O4" s="29">
        <v>46070.629004629634</v>
      </c>
      <c r="P4" s="29">
        <v>46070.62923611111</v>
      </c>
      <c r="Q4" s="29">
        <v>46070.62923611111</v>
      </c>
      <c r="R4" s="3" t="s">
        <v>9011</v>
      </c>
    </row>
    <row r="5">
      <c r="A5" s="3" t="s">
        <v>9012</v>
      </c>
      <c r="B5" s="3" t="s">
        <v>8993</v>
      </c>
      <c r="C5" s="19">
        <v>1805.0</v>
      </c>
      <c r="D5" s="3" t="s">
        <v>8441</v>
      </c>
      <c r="E5" s="3" t="s">
        <v>9013</v>
      </c>
      <c r="F5" s="3" t="s">
        <v>9003</v>
      </c>
      <c r="G5" s="3" t="s">
        <v>8292</v>
      </c>
      <c r="H5" s="3" t="s">
        <v>9004</v>
      </c>
      <c r="I5" s="3" t="s">
        <v>8997</v>
      </c>
      <c r="J5" s="25" t="s">
        <v>9014</v>
      </c>
      <c r="K5" s="2"/>
      <c r="L5" s="3" t="s">
        <v>9015</v>
      </c>
      <c r="M5" s="3" t="s">
        <v>6752</v>
      </c>
      <c r="N5" s="3" t="s">
        <v>319</v>
      </c>
      <c r="O5" s="29">
        <v>46057.85643518518</v>
      </c>
      <c r="P5" s="29">
        <v>46058.67784722222</v>
      </c>
      <c r="Q5" s="29">
        <v>46058.67784722222</v>
      </c>
      <c r="R5" s="3" t="s">
        <v>9016</v>
      </c>
    </row>
    <row r="6">
      <c r="A6" s="3" t="s">
        <v>9017</v>
      </c>
      <c r="B6" s="3" t="s">
        <v>8993</v>
      </c>
      <c r="C6" s="19">
        <v>1806.0</v>
      </c>
      <c r="D6" s="3" t="s">
        <v>8444</v>
      </c>
      <c r="E6" s="3" t="s">
        <v>9018</v>
      </c>
      <c r="F6" s="3" t="s">
        <v>9003</v>
      </c>
      <c r="G6" s="3" t="s">
        <v>8296</v>
      </c>
      <c r="H6" s="3" t="s">
        <v>9004</v>
      </c>
      <c r="I6" s="3" t="s">
        <v>8997</v>
      </c>
      <c r="J6" s="25" t="s">
        <v>9019</v>
      </c>
      <c r="K6" s="2"/>
      <c r="L6" s="3" t="s">
        <v>9015</v>
      </c>
      <c r="M6" s="3" t="s">
        <v>6752</v>
      </c>
      <c r="N6" s="3" t="s">
        <v>319</v>
      </c>
      <c r="O6" s="29">
        <v>46057.856458333335</v>
      </c>
      <c r="P6" s="29">
        <v>46058.67846064815</v>
      </c>
      <c r="Q6" s="29">
        <v>46058.67846064815</v>
      </c>
      <c r="R6" s="3" t="s">
        <v>9020</v>
      </c>
    </row>
    <row r="7">
      <c r="A7" s="3" t="s">
        <v>9021</v>
      </c>
      <c r="B7" s="3" t="s">
        <v>8993</v>
      </c>
      <c r="C7" s="19">
        <v>1804.0</v>
      </c>
      <c r="D7" s="3" t="s">
        <v>8438</v>
      </c>
      <c r="E7" s="3" t="s">
        <v>9022</v>
      </c>
      <c r="F7" s="3" t="s">
        <v>9003</v>
      </c>
      <c r="G7" s="3" t="s">
        <v>8292</v>
      </c>
      <c r="H7" s="3" t="s">
        <v>9004</v>
      </c>
      <c r="I7" s="3" t="s">
        <v>8997</v>
      </c>
      <c r="J7" s="25" t="s">
        <v>9023</v>
      </c>
      <c r="K7" s="2"/>
      <c r="L7" s="3" t="s">
        <v>9015</v>
      </c>
      <c r="M7" s="3" t="s">
        <v>6752</v>
      </c>
      <c r="N7" s="3" t="s">
        <v>319</v>
      </c>
      <c r="O7" s="29">
        <v>46057.856412037036</v>
      </c>
      <c r="P7" s="29">
        <v>46058.67847222222</v>
      </c>
      <c r="Q7" s="29">
        <v>46058.67847222222</v>
      </c>
      <c r="R7" s="3" t="s">
        <v>9024</v>
      </c>
    </row>
    <row r="8">
      <c r="A8" s="3" t="s">
        <v>9025</v>
      </c>
      <c r="B8" s="3" t="s">
        <v>8993</v>
      </c>
      <c r="C8" s="19">
        <v>1807.0</v>
      </c>
      <c r="D8" s="3" t="s">
        <v>8447</v>
      </c>
      <c r="E8" s="3" t="s">
        <v>9026</v>
      </c>
      <c r="F8" s="3" t="s">
        <v>9003</v>
      </c>
      <c r="G8" s="3" t="s">
        <v>8296</v>
      </c>
      <c r="H8" s="3" t="s">
        <v>9004</v>
      </c>
      <c r="I8" s="3" t="s">
        <v>8997</v>
      </c>
      <c r="J8" s="25" t="s">
        <v>9027</v>
      </c>
      <c r="L8" s="3" t="s">
        <v>9028</v>
      </c>
      <c r="M8" s="3" t="s">
        <v>178</v>
      </c>
      <c r="N8" s="3" t="s">
        <v>179</v>
      </c>
      <c r="O8" s="29">
        <v>46057.86819444444</v>
      </c>
      <c r="P8" s="29">
        <v>46058.67334490741</v>
      </c>
      <c r="Q8" s="29">
        <v>46058.67334490741</v>
      </c>
      <c r="R8" s="3" t="s">
        <v>9029</v>
      </c>
    </row>
    <row r="9">
      <c r="A9" s="3" t="s">
        <v>9030</v>
      </c>
      <c r="B9" s="3" t="s">
        <v>8993</v>
      </c>
      <c r="C9" s="19">
        <v>1808.0</v>
      </c>
      <c r="D9" s="3" t="s">
        <v>8450</v>
      </c>
      <c r="E9" s="3" t="s">
        <v>9031</v>
      </c>
      <c r="F9" s="3" t="s">
        <v>9003</v>
      </c>
      <c r="G9" s="3" t="s">
        <v>8296</v>
      </c>
      <c r="H9" s="3" t="s">
        <v>9004</v>
      </c>
      <c r="I9" s="3" t="s">
        <v>8997</v>
      </c>
      <c r="J9" s="25" t="s">
        <v>9032</v>
      </c>
      <c r="K9" s="2"/>
      <c r="L9" s="3" t="s">
        <v>9028</v>
      </c>
      <c r="M9" s="3" t="s">
        <v>178</v>
      </c>
      <c r="N9" s="3" t="s">
        <v>179</v>
      </c>
      <c r="O9" s="29">
        <v>46057.86821759259</v>
      </c>
      <c r="P9" s="29">
        <v>46058.675046296295</v>
      </c>
      <c r="Q9" s="29">
        <v>46058.675046296295</v>
      </c>
      <c r="R9" s="3" t="s">
        <v>9033</v>
      </c>
    </row>
    <row r="10">
      <c r="A10" s="3" t="s">
        <v>9034</v>
      </c>
      <c r="B10" s="3" t="s">
        <v>8993</v>
      </c>
      <c r="C10" s="19">
        <v>1809.0</v>
      </c>
      <c r="D10" s="3" t="s">
        <v>8453</v>
      </c>
      <c r="E10" s="3" t="s">
        <v>9035</v>
      </c>
      <c r="F10" s="3" t="s">
        <v>9003</v>
      </c>
      <c r="G10" s="3" t="s">
        <v>8292</v>
      </c>
      <c r="H10" s="3" t="s">
        <v>9004</v>
      </c>
      <c r="I10" s="3" t="s">
        <v>8997</v>
      </c>
      <c r="J10" s="25" t="s">
        <v>9036</v>
      </c>
      <c r="K10" s="2"/>
      <c r="L10" s="3" t="s">
        <v>9028</v>
      </c>
      <c r="M10" s="3" t="s">
        <v>178</v>
      </c>
      <c r="N10" s="3" t="s">
        <v>179</v>
      </c>
      <c r="O10" s="29">
        <v>46057.86824074074</v>
      </c>
      <c r="P10" s="29">
        <v>46058.67424768519</v>
      </c>
      <c r="Q10" s="29">
        <v>46058.67424768519</v>
      </c>
      <c r="R10" s="3" t="s">
        <v>9037</v>
      </c>
    </row>
    <row r="11">
      <c r="A11" s="3" t="s">
        <v>9038</v>
      </c>
      <c r="B11" s="3" t="s">
        <v>8993</v>
      </c>
      <c r="C11" s="19">
        <v>1810.0</v>
      </c>
      <c r="D11" s="3" t="s">
        <v>8456</v>
      </c>
      <c r="E11" s="3" t="s">
        <v>9039</v>
      </c>
      <c r="F11" s="3" t="s">
        <v>9003</v>
      </c>
      <c r="G11" s="3" t="s">
        <v>8292</v>
      </c>
      <c r="H11" s="3" t="s">
        <v>9004</v>
      </c>
      <c r="I11" s="3" t="s">
        <v>8997</v>
      </c>
      <c r="J11" s="25" t="s">
        <v>9040</v>
      </c>
      <c r="K11" s="2"/>
      <c r="L11" s="3" t="s">
        <v>9028</v>
      </c>
      <c r="M11" s="3" t="s">
        <v>178</v>
      </c>
      <c r="N11" s="3" t="s">
        <v>179</v>
      </c>
      <c r="O11" s="29">
        <v>46057.868263888886</v>
      </c>
      <c r="P11" s="29">
        <v>46058.67350694444</v>
      </c>
      <c r="Q11" s="29">
        <v>46058.67350694444</v>
      </c>
      <c r="R11" s="3" t="s">
        <v>9041</v>
      </c>
    </row>
    <row r="12">
      <c r="A12" s="3" t="s">
        <v>9042</v>
      </c>
      <c r="B12" s="3" t="s">
        <v>8993</v>
      </c>
      <c r="C12" s="19">
        <v>49.0</v>
      </c>
      <c r="D12" s="3" t="s">
        <v>9043</v>
      </c>
      <c r="E12" s="2"/>
      <c r="F12" s="3" t="s">
        <v>9003</v>
      </c>
      <c r="G12" s="2"/>
      <c r="H12" s="3" t="s">
        <v>9004</v>
      </c>
      <c r="I12" s="3" t="s">
        <v>8997</v>
      </c>
      <c r="J12" s="25" t="s">
        <v>9044</v>
      </c>
      <c r="K12" s="2"/>
      <c r="L12" s="3" t="s">
        <v>9045</v>
      </c>
      <c r="M12" s="3" t="s">
        <v>131</v>
      </c>
      <c r="N12" s="3" t="s">
        <v>132</v>
      </c>
      <c r="O12" s="29">
        <v>46043.48061342593</v>
      </c>
      <c r="P12" s="29">
        <v>46056.64172453704</v>
      </c>
      <c r="Q12" s="29">
        <v>46056.64171296296</v>
      </c>
      <c r="R12" s="3" t="s">
        <v>9046</v>
      </c>
    </row>
    <row r="13">
      <c r="A13" s="3" t="s">
        <v>9047</v>
      </c>
      <c r="B13" s="3" t="s">
        <v>8993</v>
      </c>
      <c r="C13" s="19">
        <v>64.0</v>
      </c>
      <c r="D13" s="3" t="s">
        <v>9048</v>
      </c>
      <c r="E13" s="3" t="s">
        <v>9049</v>
      </c>
      <c r="F13" s="3" t="s">
        <v>9003</v>
      </c>
      <c r="G13" s="3" t="s">
        <v>8292</v>
      </c>
      <c r="H13" s="3" t="s">
        <v>9004</v>
      </c>
      <c r="I13" s="3" t="s">
        <v>8997</v>
      </c>
      <c r="J13" s="25" t="s">
        <v>9050</v>
      </c>
      <c r="K13" s="2"/>
      <c r="L13" s="3" t="s">
        <v>9051</v>
      </c>
      <c r="M13" s="3" t="s">
        <v>131</v>
      </c>
      <c r="N13" s="3" t="s">
        <v>132</v>
      </c>
      <c r="O13" s="29">
        <v>46043.982407407406</v>
      </c>
      <c r="P13" s="29">
        <v>46058.67732638889</v>
      </c>
      <c r="Q13" s="29">
        <v>46058.67732638889</v>
      </c>
      <c r="R13" s="3" t="s">
        <v>9052</v>
      </c>
    </row>
    <row r="14">
      <c r="A14" s="3" t="s">
        <v>9053</v>
      </c>
      <c r="B14" s="3" t="s">
        <v>8993</v>
      </c>
      <c r="C14" s="19">
        <v>1802.0</v>
      </c>
      <c r="D14" s="3" t="s">
        <v>8432</v>
      </c>
      <c r="E14" s="3" t="s">
        <v>9054</v>
      </c>
      <c r="F14" s="3" t="s">
        <v>9003</v>
      </c>
      <c r="G14" s="3" t="s">
        <v>8292</v>
      </c>
      <c r="H14" s="3" t="s">
        <v>9004</v>
      </c>
      <c r="I14" s="3" t="s">
        <v>8997</v>
      </c>
      <c r="J14" s="25" t="s">
        <v>9055</v>
      </c>
      <c r="K14" s="2"/>
      <c r="L14" s="3" t="s">
        <v>9051</v>
      </c>
      <c r="M14" s="3" t="s">
        <v>131</v>
      </c>
      <c r="N14" s="3" t="s">
        <v>132</v>
      </c>
      <c r="O14" s="29">
        <v>46057.59379629629</v>
      </c>
      <c r="P14" s="29">
        <v>46058.67726851851</v>
      </c>
      <c r="Q14" s="29">
        <v>46058.67726851851</v>
      </c>
      <c r="R14" s="3" t="s">
        <v>9056</v>
      </c>
    </row>
    <row r="15">
      <c r="A15" s="3" t="s">
        <v>9057</v>
      </c>
      <c r="B15" s="3" t="s">
        <v>8993</v>
      </c>
      <c r="C15" s="19">
        <v>1803.0</v>
      </c>
      <c r="D15" s="3" t="s">
        <v>8435</v>
      </c>
      <c r="E15" s="3" t="s">
        <v>9058</v>
      </c>
      <c r="F15" s="3" t="s">
        <v>9003</v>
      </c>
      <c r="G15" s="3" t="s">
        <v>8292</v>
      </c>
      <c r="H15" s="3" t="s">
        <v>9004</v>
      </c>
      <c r="I15" s="3" t="s">
        <v>8997</v>
      </c>
      <c r="J15" s="25" t="s">
        <v>9059</v>
      </c>
      <c r="K15" s="2"/>
      <c r="L15" s="3" t="s">
        <v>9051</v>
      </c>
      <c r="M15" s="3" t="s">
        <v>131</v>
      </c>
      <c r="N15" s="3" t="s">
        <v>132</v>
      </c>
      <c r="O15" s="29">
        <v>46057.593819444446</v>
      </c>
      <c r="P15" s="29">
        <v>46057.62248842593</v>
      </c>
      <c r="Q15" s="29">
        <v>46057.62248842593</v>
      </c>
      <c r="R15" s="3" t="s">
        <v>9060</v>
      </c>
    </row>
    <row r="16">
      <c r="A16" s="3" t="s">
        <v>9061</v>
      </c>
      <c r="B16" s="3" t="s">
        <v>8993</v>
      </c>
      <c r="C16" s="19">
        <v>65.0</v>
      </c>
      <c r="D16" s="3" t="s">
        <v>9062</v>
      </c>
      <c r="E16" s="3" t="s">
        <v>9063</v>
      </c>
      <c r="F16" s="3" t="s">
        <v>9003</v>
      </c>
      <c r="G16" s="3" t="s">
        <v>8296</v>
      </c>
      <c r="H16" s="3" t="s">
        <v>9004</v>
      </c>
      <c r="I16" s="3" t="s">
        <v>8997</v>
      </c>
      <c r="J16" s="25" t="s">
        <v>9064</v>
      </c>
      <c r="K16" s="2"/>
      <c r="L16" s="3" t="s">
        <v>9051</v>
      </c>
      <c r="M16" s="3" t="s">
        <v>131</v>
      </c>
      <c r="N16" s="3" t="s">
        <v>132</v>
      </c>
      <c r="O16" s="29">
        <v>46043.98243055555</v>
      </c>
      <c r="P16" s="29">
        <v>46056.646875</v>
      </c>
      <c r="Q16" s="29">
        <v>46056.646875</v>
      </c>
      <c r="R16" s="3" t="s">
        <v>9065</v>
      </c>
    </row>
    <row r="17">
      <c r="A17" s="3" t="s">
        <v>9066</v>
      </c>
      <c r="B17" s="3" t="s">
        <v>8993</v>
      </c>
      <c r="C17" s="19">
        <v>63.0</v>
      </c>
      <c r="D17" s="3" t="s">
        <v>9067</v>
      </c>
      <c r="E17" s="3" t="s">
        <v>9068</v>
      </c>
      <c r="F17" s="3" t="s">
        <v>9003</v>
      </c>
      <c r="G17" s="3" t="s">
        <v>8292</v>
      </c>
      <c r="H17" s="3" t="s">
        <v>9004</v>
      </c>
      <c r="I17" s="3" t="s">
        <v>8997</v>
      </c>
      <c r="J17" s="25" t="s">
        <v>9069</v>
      </c>
      <c r="K17" s="2"/>
      <c r="L17" s="3" t="s">
        <v>9051</v>
      </c>
      <c r="M17" s="3" t="s">
        <v>131</v>
      </c>
      <c r="N17" s="3" t="s">
        <v>132</v>
      </c>
      <c r="O17" s="29">
        <v>46043.98238425926</v>
      </c>
      <c r="P17" s="29">
        <v>46056.64680555556</v>
      </c>
      <c r="Q17" s="29">
        <v>46056.64680555556</v>
      </c>
      <c r="R17" s="3" t="s">
        <v>9070</v>
      </c>
    </row>
    <row r="18">
      <c r="A18" s="3" t="s">
        <v>9071</v>
      </c>
      <c r="B18" s="3" t="s">
        <v>8993</v>
      </c>
      <c r="C18" s="19">
        <v>127.0</v>
      </c>
      <c r="D18" s="3" t="s">
        <v>9072</v>
      </c>
      <c r="E18" s="3" t="s">
        <v>9073</v>
      </c>
      <c r="F18" s="3" t="s">
        <v>9003</v>
      </c>
      <c r="G18" s="3" t="s">
        <v>8292</v>
      </c>
      <c r="H18" s="3" t="s">
        <v>9004</v>
      </c>
      <c r="I18" s="3" t="s">
        <v>8997</v>
      </c>
      <c r="J18" s="25" t="s">
        <v>9074</v>
      </c>
      <c r="K18" s="2"/>
      <c r="L18" s="3" t="s">
        <v>9051</v>
      </c>
      <c r="M18" s="3" t="s">
        <v>131</v>
      </c>
      <c r="N18" s="3" t="s">
        <v>132</v>
      </c>
      <c r="O18" s="29">
        <v>46044.54611111111</v>
      </c>
      <c r="P18" s="29">
        <v>46056.646574074075</v>
      </c>
      <c r="Q18" s="29">
        <v>46056.646574074075</v>
      </c>
      <c r="R18" s="3" t="s">
        <v>9075</v>
      </c>
    </row>
    <row r="19">
      <c r="A19" s="3" t="s">
        <v>9076</v>
      </c>
      <c r="B19" s="3" t="s">
        <v>8993</v>
      </c>
      <c r="C19" s="19">
        <v>1770.0</v>
      </c>
      <c r="D19" s="3" t="s">
        <v>8336</v>
      </c>
      <c r="E19" s="3" t="s">
        <v>9077</v>
      </c>
      <c r="F19" s="3" t="s">
        <v>9003</v>
      </c>
      <c r="G19" s="3" t="s">
        <v>8292</v>
      </c>
      <c r="H19" s="3" t="s">
        <v>9004</v>
      </c>
      <c r="I19" s="3" t="s">
        <v>8997</v>
      </c>
      <c r="J19" s="25" t="s">
        <v>9078</v>
      </c>
      <c r="K19" s="2"/>
      <c r="L19" s="3" t="s">
        <v>9079</v>
      </c>
      <c r="M19" s="3" t="s">
        <v>101</v>
      </c>
      <c r="N19" s="3" t="s">
        <v>511</v>
      </c>
      <c r="O19" s="29">
        <v>46052.5515625</v>
      </c>
      <c r="P19" s="29">
        <v>46056.64050925926</v>
      </c>
      <c r="Q19" s="29">
        <v>46056.64050925926</v>
      </c>
      <c r="R19" s="3" t="s">
        <v>9080</v>
      </c>
    </row>
    <row r="20">
      <c r="A20" s="3" t="s">
        <v>9081</v>
      </c>
      <c r="B20" s="3" t="s">
        <v>8993</v>
      </c>
      <c r="C20" s="19">
        <v>1771.0</v>
      </c>
      <c r="D20" s="3" t="s">
        <v>8339</v>
      </c>
      <c r="E20" s="3" t="s">
        <v>9082</v>
      </c>
      <c r="F20" s="3" t="s">
        <v>9003</v>
      </c>
      <c r="G20" s="3" t="s">
        <v>8292</v>
      </c>
      <c r="H20" s="3" t="s">
        <v>9004</v>
      </c>
      <c r="I20" s="3" t="s">
        <v>8997</v>
      </c>
      <c r="J20" s="25" t="s">
        <v>9083</v>
      </c>
      <c r="K20" s="2"/>
      <c r="L20" s="3" t="s">
        <v>9079</v>
      </c>
      <c r="M20" s="3" t="s">
        <v>101</v>
      </c>
      <c r="N20" s="3" t="s">
        <v>511</v>
      </c>
      <c r="O20" s="29">
        <v>46052.55158564815</v>
      </c>
      <c r="P20" s="29">
        <v>46056.64060185185</v>
      </c>
      <c r="Q20" s="29">
        <v>46056.64060185185</v>
      </c>
      <c r="R20" s="3" t="s">
        <v>9084</v>
      </c>
    </row>
    <row r="21">
      <c r="A21" s="3" t="s">
        <v>9085</v>
      </c>
      <c r="B21" s="3" t="s">
        <v>8993</v>
      </c>
      <c r="C21" s="19">
        <v>128.0</v>
      </c>
      <c r="D21" s="3" t="s">
        <v>9086</v>
      </c>
      <c r="E21" s="3" t="s">
        <v>9087</v>
      </c>
      <c r="F21" s="3" t="s">
        <v>9088</v>
      </c>
      <c r="G21" s="3" t="s">
        <v>8292</v>
      </c>
      <c r="H21" s="3" t="s">
        <v>8996</v>
      </c>
      <c r="I21" s="3" t="s">
        <v>8997</v>
      </c>
      <c r="J21" s="25" t="s">
        <v>9089</v>
      </c>
      <c r="K21" s="2"/>
      <c r="L21" s="3" t="s">
        <v>9090</v>
      </c>
      <c r="M21" s="3" t="s">
        <v>139</v>
      </c>
      <c r="N21" s="3" t="s">
        <v>361</v>
      </c>
      <c r="O21" s="29">
        <v>46044.57696759259</v>
      </c>
      <c r="P21" s="29">
        <v>46044.57696759259</v>
      </c>
      <c r="Q21" s="31"/>
      <c r="R21" s="3" t="s">
        <v>9091</v>
      </c>
    </row>
    <row r="22">
      <c r="A22" s="3" t="s">
        <v>9092</v>
      </c>
      <c r="B22" s="3" t="s">
        <v>8993</v>
      </c>
      <c r="C22" s="19">
        <v>140.0</v>
      </c>
      <c r="D22" s="3" t="s">
        <v>9093</v>
      </c>
      <c r="E22" s="3" t="s">
        <v>9094</v>
      </c>
      <c r="F22" s="3" t="s">
        <v>8995</v>
      </c>
      <c r="G22" s="3" t="s">
        <v>8292</v>
      </c>
      <c r="H22" s="3" t="s">
        <v>8996</v>
      </c>
      <c r="I22" s="3" t="s">
        <v>8997</v>
      </c>
      <c r="J22" s="25" t="s">
        <v>9095</v>
      </c>
      <c r="K22" s="2"/>
      <c r="L22" s="3" t="s">
        <v>9096</v>
      </c>
      <c r="M22" s="3" t="s">
        <v>166</v>
      </c>
      <c r="N22" s="3" t="s">
        <v>167</v>
      </c>
      <c r="O22" s="29">
        <v>46044.699745370366</v>
      </c>
      <c r="P22" s="29">
        <v>46049.6043287037</v>
      </c>
      <c r="Q22" s="31"/>
      <c r="R22" s="3" t="s">
        <v>9097</v>
      </c>
    </row>
    <row r="23">
      <c r="A23" s="3" t="s">
        <v>9098</v>
      </c>
      <c r="B23" s="3" t="s">
        <v>8993</v>
      </c>
      <c r="C23" s="19">
        <v>1758.0</v>
      </c>
      <c r="D23" s="3" t="s">
        <v>8301</v>
      </c>
      <c r="E23" s="3" t="s">
        <v>9099</v>
      </c>
      <c r="F23" s="3" t="s">
        <v>8995</v>
      </c>
      <c r="G23" s="3" t="s">
        <v>8303</v>
      </c>
      <c r="H23" s="3" t="s">
        <v>8996</v>
      </c>
      <c r="I23" s="3" t="s">
        <v>8997</v>
      </c>
      <c r="J23" s="25" t="s">
        <v>9100</v>
      </c>
      <c r="K23" s="2"/>
      <c r="L23" s="3" t="s">
        <v>9096</v>
      </c>
      <c r="M23" s="3" t="s">
        <v>166</v>
      </c>
      <c r="N23" s="3" t="s">
        <v>167</v>
      </c>
      <c r="O23" s="29">
        <v>46050.49428240741</v>
      </c>
      <c r="P23" s="29">
        <v>46050.49428240741</v>
      </c>
      <c r="Q23" s="31"/>
      <c r="R23" s="3" t="s">
        <v>9101</v>
      </c>
    </row>
    <row r="24">
      <c r="A24" s="3" t="s">
        <v>9102</v>
      </c>
      <c r="B24" s="3" t="s">
        <v>8993</v>
      </c>
      <c r="C24" s="19">
        <v>155.0</v>
      </c>
      <c r="D24" s="3" t="s">
        <v>9103</v>
      </c>
      <c r="E24" s="3" t="s">
        <v>9104</v>
      </c>
      <c r="F24" s="3" t="s">
        <v>9003</v>
      </c>
      <c r="G24" s="3" t="s">
        <v>8334</v>
      </c>
      <c r="H24" s="3" t="s">
        <v>9004</v>
      </c>
      <c r="I24" s="3" t="s">
        <v>8997</v>
      </c>
      <c r="J24" s="25" t="s">
        <v>9105</v>
      </c>
      <c r="K24" s="2"/>
      <c r="L24" s="3" t="s">
        <v>9106</v>
      </c>
      <c r="M24" s="3" t="s">
        <v>193</v>
      </c>
      <c r="N24" s="3" t="s">
        <v>544</v>
      </c>
      <c r="O24" s="29">
        <v>46044.70006944444</v>
      </c>
      <c r="P24" s="29">
        <v>46049.58846064815</v>
      </c>
      <c r="Q24" s="29">
        <v>46049.58846064815</v>
      </c>
      <c r="R24" s="3" t="s">
        <v>9107</v>
      </c>
    </row>
    <row r="25">
      <c r="A25" s="3" t="s">
        <v>9108</v>
      </c>
      <c r="B25" s="3" t="s">
        <v>8993</v>
      </c>
      <c r="C25" s="19">
        <v>154.0</v>
      </c>
      <c r="D25" s="3" t="s">
        <v>9109</v>
      </c>
      <c r="E25" s="3" t="s">
        <v>9110</v>
      </c>
      <c r="F25" s="3" t="s">
        <v>9003</v>
      </c>
      <c r="G25" s="3" t="s">
        <v>8292</v>
      </c>
      <c r="H25" s="3" t="s">
        <v>9004</v>
      </c>
      <c r="I25" s="3" t="s">
        <v>8997</v>
      </c>
      <c r="J25" s="25" t="s">
        <v>9111</v>
      </c>
      <c r="K25" s="2"/>
      <c r="L25" s="3" t="s">
        <v>9106</v>
      </c>
      <c r="M25" s="3" t="s">
        <v>193</v>
      </c>
      <c r="N25" s="3" t="s">
        <v>544</v>
      </c>
      <c r="O25" s="29">
        <v>46044.700057870374</v>
      </c>
      <c r="P25" s="29">
        <v>46049.591678240744</v>
      </c>
      <c r="Q25" s="29">
        <v>46049.591678240744</v>
      </c>
      <c r="R25" s="3" t="s">
        <v>9112</v>
      </c>
    </row>
    <row r="26">
      <c r="A26" s="3" t="s">
        <v>9113</v>
      </c>
      <c r="B26" s="3" t="s">
        <v>8993</v>
      </c>
      <c r="C26" s="19">
        <v>150.0</v>
      </c>
      <c r="D26" s="3" t="s">
        <v>9114</v>
      </c>
      <c r="E26" s="3" t="s">
        <v>9115</v>
      </c>
      <c r="F26" s="3" t="s">
        <v>9003</v>
      </c>
      <c r="G26" s="3" t="s">
        <v>8292</v>
      </c>
      <c r="H26" s="3" t="s">
        <v>9004</v>
      </c>
      <c r="I26" s="3" t="s">
        <v>8997</v>
      </c>
      <c r="J26" s="25" t="s">
        <v>9116</v>
      </c>
      <c r="K26" s="2"/>
      <c r="L26" s="3" t="s">
        <v>9117</v>
      </c>
      <c r="M26" s="3" t="s">
        <v>125</v>
      </c>
      <c r="N26" s="3" t="s">
        <v>126</v>
      </c>
      <c r="O26" s="29">
        <v>46044.699965277774</v>
      </c>
      <c r="P26" s="29">
        <v>46049.58746527778</v>
      </c>
      <c r="Q26" s="29">
        <v>46049.58746527778</v>
      </c>
      <c r="R26" s="3" t="s">
        <v>9118</v>
      </c>
    </row>
    <row r="27">
      <c r="A27" s="3" t="s">
        <v>9119</v>
      </c>
      <c r="B27" s="3" t="s">
        <v>8993</v>
      </c>
      <c r="C27" s="19">
        <v>151.0</v>
      </c>
      <c r="D27" s="3" t="s">
        <v>9120</v>
      </c>
      <c r="E27" s="3" t="s">
        <v>9121</v>
      </c>
      <c r="F27" s="3" t="s">
        <v>9003</v>
      </c>
      <c r="G27" s="3" t="s">
        <v>8292</v>
      </c>
      <c r="H27" s="3" t="s">
        <v>9004</v>
      </c>
      <c r="I27" s="3" t="s">
        <v>8997</v>
      </c>
      <c r="J27" s="25" t="s">
        <v>9122</v>
      </c>
      <c r="K27" s="2"/>
      <c r="L27" s="3" t="s">
        <v>9117</v>
      </c>
      <c r="M27" s="3" t="s">
        <v>125</v>
      </c>
      <c r="N27" s="3" t="s">
        <v>126</v>
      </c>
      <c r="O27" s="29">
        <v>46044.69998842593</v>
      </c>
      <c r="P27" s="29">
        <v>46049.58756944444</v>
      </c>
      <c r="Q27" s="29">
        <v>46049.58756944444</v>
      </c>
      <c r="R27" s="3" t="s">
        <v>9123</v>
      </c>
    </row>
    <row r="28">
      <c r="A28" s="3" t="s">
        <v>9124</v>
      </c>
      <c r="B28" s="3" t="s">
        <v>8993</v>
      </c>
      <c r="C28" s="19">
        <v>1793.0</v>
      </c>
      <c r="D28" s="3" t="s">
        <v>8405</v>
      </c>
      <c r="E28" s="3" t="s">
        <v>9125</v>
      </c>
      <c r="F28" s="3" t="s">
        <v>9003</v>
      </c>
      <c r="G28" s="3" t="s">
        <v>8292</v>
      </c>
      <c r="H28" s="3" t="s">
        <v>9004</v>
      </c>
      <c r="I28" s="3" t="s">
        <v>8997</v>
      </c>
      <c r="J28" s="25" t="s">
        <v>9126</v>
      </c>
      <c r="K28" s="2"/>
      <c r="L28" s="3" t="s">
        <v>9117</v>
      </c>
      <c r="M28" s="3" t="s">
        <v>125</v>
      </c>
      <c r="N28" s="3" t="s">
        <v>126</v>
      </c>
      <c r="O28" s="29">
        <v>46057.46416666667</v>
      </c>
      <c r="P28" s="29">
        <v>46058.684699074074</v>
      </c>
      <c r="Q28" s="29">
        <v>46058.684699074074</v>
      </c>
      <c r="R28" s="3" t="s">
        <v>9127</v>
      </c>
    </row>
    <row r="29">
      <c r="A29" s="3" t="s">
        <v>9128</v>
      </c>
      <c r="B29" s="3" t="s">
        <v>8993</v>
      </c>
      <c r="C29" s="19">
        <v>1794.0</v>
      </c>
      <c r="D29" s="3" t="s">
        <v>8408</v>
      </c>
      <c r="E29" s="3" t="s">
        <v>9129</v>
      </c>
      <c r="F29" s="3" t="s">
        <v>9003</v>
      </c>
      <c r="G29" s="3" t="s">
        <v>8292</v>
      </c>
      <c r="H29" s="3" t="s">
        <v>9004</v>
      </c>
      <c r="I29" s="3" t="s">
        <v>8997</v>
      </c>
      <c r="J29" s="25" t="s">
        <v>9130</v>
      </c>
      <c r="K29" s="2"/>
      <c r="L29" s="3" t="s">
        <v>9117</v>
      </c>
      <c r="M29" s="3" t="s">
        <v>125</v>
      </c>
      <c r="N29" s="3" t="s">
        <v>126</v>
      </c>
      <c r="O29" s="29">
        <v>46057.46418981481</v>
      </c>
      <c r="P29" s="29">
        <v>46058.68472222222</v>
      </c>
      <c r="Q29" s="29">
        <v>46058.68472222222</v>
      </c>
      <c r="R29" s="3" t="s">
        <v>9131</v>
      </c>
    </row>
    <row r="30">
      <c r="A30" s="3" t="s">
        <v>9132</v>
      </c>
      <c r="B30" s="3" t="s">
        <v>8993</v>
      </c>
      <c r="C30" s="19">
        <v>1870.0</v>
      </c>
      <c r="D30" s="3" t="s">
        <v>8633</v>
      </c>
      <c r="E30" s="3" t="s">
        <v>9133</v>
      </c>
      <c r="F30" s="3" t="s">
        <v>9003</v>
      </c>
      <c r="G30" s="3" t="s">
        <v>8296</v>
      </c>
      <c r="H30" s="3" t="s">
        <v>9004</v>
      </c>
      <c r="I30" s="3" t="s">
        <v>8997</v>
      </c>
      <c r="J30" s="25" t="s">
        <v>9134</v>
      </c>
      <c r="K30" s="2"/>
      <c r="L30" s="3" t="s">
        <v>9117</v>
      </c>
      <c r="M30" s="3" t="s">
        <v>125</v>
      </c>
      <c r="N30" s="3" t="s">
        <v>126</v>
      </c>
      <c r="O30" s="29">
        <v>46072.49740740741</v>
      </c>
      <c r="P30" s="29">
        <v>46072.505381944444</v>
      </c>
      <c r="Q30" s="29">
        <v>46072.505381944444</v>
      </c>
      <c r="R30" s="3" t="s">
        <v>9135</v>
      </c>
    </row>
    <row r="31">
      <c r="A31" s="3" t="s">
        <v>9136</v>
      </c>
      <c r="B31" s="3" t="s">
        <v>8993</v>
      </c>
      <c r="C31" s="19">
        <v>1792.0</v>
      </c>
      <c r="D31" s="3" t="s">
        <v>8402</v>
      </c>
      <c r="E31" s="3" t="s">
        <v>9137</v>
      </c>
      <c r="F31" s="3" t="s">
        <v>9003</v>
      </c>
      <c r="G31" s="3" t="s">
        <v>8292</v>
      </c>
      <c r="H31" s="3" t="s">
        <v>9004</v>
      </c>
      <c r="I31" s="3" t="s">
        <v>8997</v>
      </c>
      <c r="J31" s="25" t="s">
        <v>9138</v>
      </c>
      <c r="K31" s="2"/>
      <c r="L31" s="3" t="s">
        <v>9117</v>
      </c>
      <c r="M31" s="3" t="s">
        <v>125</v>
      </c>
      <c r="N31" s="3" t="s">
        <v>126</v>
      </c>
      <c r="O31" s="29">
        <v>46057.46414351852</v>
      </c>
      <c r="P31" s="29">
        <v>46058.68466435185</v>
      </c>
      <c r="Q31" s="29">
        <v>46058.68466435185</v>
      </c>
      <c r="R31" s="3" t="s">
        <v>9139</v>
      </c>
    </row>
    <row r="32">
      <c r="A32" s="3" t="s">
        <v>9140</v>
      </c>
      <c r="B32" s="3" t="s">
        <v>8993</v>
      </c>
      <c r="C32" s="19">
        <v>1826.0</v>
      </c>
      <c r="D32" s="3" t="s">
        <v>8504</v>
      </c>
      <c r="E32" s="3" t="s">
        <v>9141</v>
      </c>
      <c r="F32" s="3" t="s">
        <v>9003</v>
      </c>
      <c r="G32" s="3" t="s">
        <v>8296</v>
      </c>
      <c r="H32" s="3" t="s">
        <v>9004</v>
      </c>
      <c r="I32" s="3" t="s">
        <v>8997</v>
      </c>
      <c r="J32" s="25" t="s">
        <v>9142</v>
      </c>
      <c r="K32" s="2"/>
      <c r="L32" s="3" t="s">
        <v>9117</v>
      </c>
      <c r="M32" s="3" t="s">
        <v>125</v>
      </c>
      <c r="N32" s="3" t="s">
        <v>126</v>
      </c>
      <c r="O32" s="29">
        <v>46058.504375000004</v>
      </c>
      <c r="P32" s="29">
        <v>46058.685219907406</v>
      </c>
      <c r="Q32" s="29">
        <v>46058.685219907406</v>
      </c>
      <c r="R32" s="3" t="s">
        <v>9143</v>
      </c>
    </row>
    <row r="33">
      <c r="A33" s="3" t="s">
        <v>9144</v>
      </c>
      <c r="B33" s="3" t="s">
        <v>8993</v>
      </c>
      <c r="C33" s="19">
        <v>68.0</v>
      </c>
      <c r="D33" s="3" t="s">
        <v>9145</v>
      </c>
      <c r="E33" s="3" t="s">
        <v>9146</v>
      </c>
      <c r="F33" s="3" t="s">
        <v>9003</v>
      </c>
      <c r="G33" s="3" t="s">
        <v>8296</v>
      </c>
      <c r="H33" s="3" t="s">
        <v>9004</v>
      </c>
      <c r="I33" s="3" t="s">
        <v>8997</v>
      </c>
      <c r="J33" s="25" t="s">
        <v>9147</v>
      </c>
      <c r="K33" s="2"/>
      <c r="L33" s="3" t="s">
        <v>9117</v>
      </c>
      <c r="M33" s="3" t="s">
        <v>125</v>
      </c>
      <c r="N33" s="3" t="s">
        <v>126</v>
      </c>
      <c r="O33" s="29">
        <v>46044.50711805555</v>
      </c>
      <c r="P33" s="29">
        <v>46049.6102662037</v>
      </c>
      <c r="Q33" s="29">
        <v>46049.60702546296</v>
      </c>
      <c r="R33" s="3" t="s">
        <v>9148</v>
      </c>
    </row>
    <row r="34">
      <c r="A34" s="3" t="s">
        <v>9149</v>
      </c>
      <c r="B34" s="3" t="s">
        <v>8993</v>
      </c>
      <c r="C34" s="19">
        <v>1797.0</v>
      </c>
      <c r="D34" s="3" t="s">
        <v>8417</v>
      </c>
      <c r="E34" s="3" t="s">
        <v>9150</v>
      </c>
      <c r="F34" s="3" t="s">
        <v>9003</v>
      </c>
      <c r="G34" s="3" t="s">
        <v>8296</v>
      </c>
      <c r="H34" s="3" t="s">
        <v>9004</v>
      </c>
      <c r="I34" s="3" t="s">
        <v>8997</v>
      </c>
      <c r="J34" s="25" t="s">
        <v>9151</v>
      </c>
      <c r="K34" s="2"/>
      <c r="L34" s="3" t="s">
        <v>9117</v>
      </c>
      <c r="M34" s="3" t="s">
        <v>125</v>
      </c>
      <c r="N34" s="3" t="s">
        <v>126</v>
      </c>
      <c r="O34" s="29">
        <v>46057.46424768519</v>
      </c>
      <c r="P34" s="29">
        <v>46058.679884259254</v>
      </c>
      <c r="Q34" s="29">
        <v>46058.679884259254</v>
      </c>
      <c r="R34" s="3" t="s">
        <v>9152</v>
      </c>
    </row>
    <row r="35">
      <c r="A35" s="3" t="s">
        <v>9153</v>
      </c>
      <c r="B35" s="3" t="s">
        <v>8993</v>
      </c>
      <c r="C35" s="19">
        <v>1796.0</v>
      </c>
      <c r="D35" s="3" t="s">
        <v>8414</v>
      </c>
      <c r="E35" s="3" t="s">
        <v>9154</v>
      </c>
      <c r="F35" s="3" t="s">
        <v>9003</v>
      </c>
      <c r="G35" s="3" t="s">
        <v>8296</v>
      </c>
      <c r="H35" s="3" t="s">
        <v>9004</v>
      </c>
      <c r="I35" s="3" t="s">
        <v>8997</v>
      </c>
      <c r="J35" s="25" t="s">
        <v>9155</v>
      </c>
      <c r="K35" s="2"/>
      <c r="L35" s="3" t="s">
        <v>9117</v>
      </c>
      <c r="M35" s="3" t="s">
        <v>125</v>
      </c>
      <c r="N35" s="3" t="s">
        <v>126</v>
      </c>
      <c r="O35" s="29">
        <v>46057.46423611111</v>
      </c>
      <c r="P35" s="29">
        <v>46058.682870370365</v>
      </c>
      <c r="Q35" s="29">
        <v>46058.682870370365</v>
      </c>
      <c r="R35" s="3" t="s">
        <v>9156</v>
      </c>
    </row>
    <row r="36">
      <c r="A36" s="3" t="s">
        <v>9157</v>
      </c>
      <c r="B36" s="3" t="s">
        <v>8993</v>
      </c>
      <c r="C36" s="19">
        <v>1827.0</v>
      </c>
      <c r="D36" s="3" t="s">
        <v>8507</v>
      </c>
      <c r="E36" s="3" t="s">
        <v>9158</v>
      </c>
      <c r="F36" s="3" t="s">
        <v>9003</v>
      </c>
      <c r="G36" s="3" t="s">
        <v>8334</v>
      </c>
      <c r="H36" s="3" t="s">
        <v>9004</v>
      </c>
      <c r="I36" s="3" t="s">
        <v>8997</v>
      </c>
      <c r="J36" s="25" t="s">
        <v>9159</v>
      </c>
      <c r="K36" s="2"/>
      <c r="L36" s="3" t="s">
        <v>9117</v>
      </c>
      <c r="M36" s="3" t="s">
        <v>125</v>
      </c>
      <c r="N36" s="3" t="s">
        <v>126</v>
      </c>
      <c r="O36" s="29">
        <v>46058.50439814814</v>
      </c>
      <c r="P36" s="29">
        <v>46058.68293981481</v>
      </c>
      <c r="Q36" s="29">
        <v>46058.68293981481</v>
      </c>
      <c r="R36" s="3" t="s">
        <v>9160</v>
      </c>
    </row>
    <row r="37">
      <c r="A37" s="3" t="s">
        <v>9161</v>
      </c>
      <c r="B37" s="3" t="s">
        <v>8993</v>
      </c>
      <c r="C37" s="19">
        <v>1824.0</v>
      </c>
      <c r="D37" s="3" t="s">
        <v>8498</v>
      </c>
      <c r="E37" s="3" t="s">
        <v>9162</v>
      </c>
      <c r="F37" s="3" t="s">
        <v>9003</v>
      </c>
      <c r="G37" s="3" t="s">
        <v>8292</v>
      </c>
      <c r="H37" s="3" t="s">
        <v>9004</v>
      </c>
      <c r="I37" s="3" t="s">
        <v>8997</v>
      </c>
      <c r="J37" s="25" t="s">
        <v>9163</v>
      </c>
      <c r="K37" s="2"/>
      <c r="L37" s="3" t="s">
        <v>9117</v>
      </c>
      <c r="M37" s="3" t="s">
        <v>125</v>
      </c>
      <c r="N37" s="3" t="s">
        <v>126</v>
      </c>
      <c r="O37" s="29">
        <v>46058.504328703704</v>
      </c>
      <c r="P37" s="29">
        <v>46058.68274305556</v>
      </c>
      <c r="Q37" s="29">
        <v>46058.68274305556</v>
      </c>
      <c r="R37" s="3" t="s">
        <v>9164</v>
      </c>
    </row>
    <row r="38">
      <c r="A38" s="3" t="s">
        <v>9165</v>
      </c>
      <c r="B38" s="3" t="s">
        <v>8993</v>
      </c>
      <c r="C38" s="19">
        <v>1825.0</v>
      </c>
      <c r="D38" s="3" t="s">
        <v>8501</v>
      </c>
      <c r="E38" s="3" t="s">
        <v>9166</v>
      </c>
      <c r="F38" s="3" t="s">
        <v>9003</v>
      </c>
      <c r="G38" s="3" t="s">
        <v>8292</v>
      </c>
      <c r="H38" s="3" t="s">
        <v>9004</v>
      </c>
      <c r="I38" s="3" t="s">
        <v>8997</v>
      </c>
      <c r="J38" s="25" t="s">
        <v>9167</v>
      </c>
      <c r="K38" s="2"/>
      <c r="L38" s="3" t="s">
        <v>9117</v>
      </c>
      <c r="M38" s="3" t="s">
        <v>125</v>
      </c>
      <c r="N38" s="3" t="s">
        <v>126</v>
      </c>
      <c r="O38" s="29">
        <v>46058.50435185185</v>
      </c>
      <c r="P38" s="29">
        <v>46058.67935185185</v>
      </c>
      <c r="Q38" s="29">
        <v>46058.67935185185</v>
      </c>
      <c r="R38" s="3" t="s">
        <v>9168</v>
      </c>
    </row>
    <row r="39">
      <c r="A39" s="3" t="s">
        <v>9169</v>
      </c>
      <c r="B39" s="3" t="s">
        <v>8993</v>
      </c>
      <c r="C39" s="19">
        <v>7.0</v>
      </c>
      <c r="D39" s="3" t="s">
        <v>9170</v>
      </c>
      <c r="E39" s="2"/>
      <c r="F39" s="3" t="s">
        <v>9088</v>
      </c>
      <c r="G39" s="3" t="s">
        <v>8296</v>
      </c>
      <c r="H39" s="3" t="s">
        <v>8996</v>
      </c>
      <c r="I39" s="3" t="s">
        <v>8997</v>
      </c>
      <c r="J39" s="25" t="s">
        <v>9171</v>
      </c>
      <c r="K39" s="2"/>
      <c r="L39" s="3" t="s">
        <v>9172</v>
      </c>
      <c r="M39" s="3" t="s">
        <v>110</v>
      </c>
      <c r="N39" s="3" t="s">
        <v>111</v>
      </c>
      <c r="O39" s="29">
        <v>46027.4028587963</v>
      </c>
      <c r="P39" s="29">
        <v>46037.61969907407</v>
      </c>
      <c r="Q39" s="31"/>
      <c r="R39" s="3" t="s">
        <v>9173</v>
      </c>
    </row>
    <row r="40">
      <c r="A40" s="3" t="s">
        <v>9174</v>
      </c>
      <c r="B40" s="3" t="s">
        <v>8993</v>
      </c>
      <c r="C40" s="19">
        <v>27.0</v>
      </c>
      <c r="D40" s="3" t="s">
        <v>9175</v>
      </c>
      <c r="E40" s="2"/>
      <c r="F40" s="3" t="s">
        <v>9003</v>
      </c>
      <c r="G40" s="2"/>
      <c r="H40" s="3" t="s">
        <v>9004</v>
      </c>
      <c r="I40" s="3" t="s">
        <v>8997</v>
      </c>
      <c r="J40" s="25" t="s">
        <v>9176</v>
      </c>
      <c r="K40" s="2"/>
      <c r="L40" s="3" t="s">
        <v>9177</v>
      </c>
      <c r="M40" s="3" t="s">
        <v>175</v>
      </c>
      <c r="N40" s="3" t="s">
        <v>422</v>
      </c>
      <c r="O40" s="29">
        <v>46029.82582175926</v>
      </c>
      <c r="P40" s="29">
        <v>46049.56381944445</v>
      </c>
      <c r="Q40" s="29">
        <v>46049.56381944445</v>
      </c>
      <c r="R40" s="3" t="s">
        <v>9178</v>
      </c>
    </row>
    <row r="41">
      <c r="A41" s="3" t="s">
        <v>9179</v>
      </c>
      <c r="B41" s="3" t="s">
        <v>8993</v>
      </c>
      <c r="C41" s="19">
        <v>9.0</v>
      </c>
      <c r="D41" s="3" t="s">
        <v>9180</v>
      </c>
      <c r="E41" s="2"/>
      <c r="F41" s="3" t="s">
        <v>8995</v>
      </c>
      <c r="G41" s="3" t="s">
        <v>8292</v>
      </c>
      <c r="H41" s="3" t="s">
        <v>8996</v>
      </c>
      <c r="I41" s="3" t="s">
        <v>8997</v>
      </c>
      <c r="J41" s="25" t="s">
        <v>9181</v>
      </c>
      <c r="K41" s="2"/>
      <c r="L41" s="3" t="s">
        <v>9182</v>
      </c>
      <c r="M41" s="3" t="s">
        <v>6450</v>
      </c>
      <c r="N41" s="3" t="s">
        <v>552</v>
      </c>
      <c r="O41" s="29">
        <v>46027.4178125</v>
      </c>
      <c r="P41" s="29">
        <v>46044.44527777778</v>
      </c>
      <c r="Q41" s="31"/>
      <c r="R41" s="3" t="s">
        <v>9183</v>
      </c>
    </row>
    <row r="42">
      <c r="A42" s="3" t="s">
        <v>9184</v>
      </c>
      <c r="B42" s="3" t="s">
        <v>8993</v>
      </c>
      <c r="C42" s="19">
        <v>143.0</v>
      </c>
      <c r="D42" s="3" t="s">
        <v>9185</v>
      </c>
      <c r="E42" s="3" t="s">
        <v>9186</v>
      </c>
      <c r="F42" s="3" t="s">
        <v>9187</v>
      </c>
      <c r="G42" s="3" t="s">
        <v>8292</v>
      </c>
      <c r="H42" s="3" t="s">
        <v>8996</v>
      </c>
      <c r="I42" s="3" t="s">
        <v>8997</v>
      </c>
      <c r="J42" s="25" t="s">
        <v>9188</v>
      </c>
      <c r="K42" s="2"/>
      <c r="L42" s="3" t="s">
        <v>9096</v>
      </c>
      <c r="M42" s="3" t="s">
        <v>166</v>
      </c>
      <c r="N42" s="3" t="s">
        <v>167</v>
      </c>
      <c r="O42" s="29">
        <v>46044.69981481481</v>
      </c>
      <c r="P42" s="29">
        <v>46049.55674768519</v>
      </c>
      <c r="Q42" s="31"/>
      <c r="R42" s="3" t="s">
        <v>9189</v>
      </c>
    </row>
    <row r="43">
      <c r="A43" s="3" t="s">
        <v>9190</v>
      </c>
      <c r="B43" s="3" t="s">
        <v>8993</v>
      </c>
      <c r="C43" s="19">
        <v>1760.0</v>
      </c>
      <c r="D43" s="3" t="s">
        <v>8308</v>
      </c>
      <c r="E43" s="3" t="s">
        <v>9191</v>
      </c>
      <c r="F43" s="3" t="s">
        <v>9187</v>
      </c>
      <c r="G43" s="3" t="s">
        <v>8292</v>
      </c>
      <c r="H43" s="3" t="s">
        <v>8996</v>
      </c>
      <c r="I43" s="3" t="s">
        <v>8997</v>
      </c>
      <c r="J43" s="25" t="s">
        <v>9192</v>
      </c>
      <c r="K43" s="2"/>
      <c r="L43" s="3" t="s">
        <v>9096</v>
      </c>
      <c r="M43" s="3" t="s">
        <v>166</v>
      </c>
      <c r="N43" s="3" t="s">
        <v>167</v>
      </c>
      <c r="O43" s="29">
        <v>46050.49431712963</v>
      </c>
      <c r="P43" s="29">
        <v>46050.49431712963</v>
      </c>
      <c r="Q43" s="31"/>
      <c r="R43" s="3" t="s">
        <v>9193</v>
      </c>
    </row>
    <row r="44">
      <c r="A44" s="3" t="s">
        <v>9194</v>
      </c>
      <c r="B44" s="3" t="s">
        <v>8993</v>
      </c>
      <c r="C44" s="19">
        <v>43.0</v>
      </c>
      <c r="D44" s="3" t="s">
        <v>9195</v>
      </c>
      <c r="E44" s="3" t="s">
        <v>9196</v>
      </c>
      <c r="F44" s="3" t="s">
        <v>9003</v>
      </c>
      <c r="G44" s="3" t="s">
        <v>8303</v>
      </c>
      <c r="H44" s="3" t="s">
        <v>9004</v>
      </c>
      <c r="I44" s="3" t="s">
        <v>8997</v>
      </c>
      <c r="J44" s="25" t="s">
        <v>9197</v>
      </c>
      <c r="L44" s="2"/>
      <c r="M44" s="2"/>
      <c r="N44" s="2"/>
      <c r="O44" s="29">
        <v>46037.67618055556</v>
      </c>
      <c r="P44" s="29">
        <v>46045.63042824074</v>
      </c>
      <c r="Q44" s="29">
        <v>46045.63042824074</v>
      </c>
      <c r="R44" s="3" t="s">
        <v>9198</v>
      </c>
    </row>
    <row r="45">
      <c r="A45" s="3" t="s">
        <v>9199</v>
      </c>
      <c r="B45" s="3" t="s">
        <v>8993</v>
      </c>
      <c r="C45" s="19">
        <v>32.0</v>
      </c>
      <c r="D45" s="3" t="s">
        <v>9200</v>
      </c>
      <c r="E45" s="3" t="s">
        <v>9201</v>
      </c>
      <c r="F45" s="3" t="s">
        <v>9187</v>
      </c>
      <c r="G45" s="2"/>
      <c r="H45" s="3" t="s">
        <v>8996</v>
      </c>
      <c r="I45" s="3" t="s">
        <v>8997</v>
      </c>
      <c r="J45" s="25" t="s">
        <v>9202</v>
      </c>
      <c r="L45" s="3" t="s">
        <v>9203</v>
      </c>
      <c r="M45" s="3" t="s">
        <v>145</v>
      </c>
      <c r="N45" s="3" t="s">
        <v>263</v>
      </c>
      <c r="O45" s="29">
        <v>46034.66704861111</v>
      </c>
      <c r="P45" s="29">
        <v>46037.62042824074</v>
      </c>
      <c r="Q45" s="31"/>
      <c r="R45" s="3" t="s">
        <v>9204</v>
      </c>
    </row>
    <row r="46">
      <c r="A46" s="3" t="s">
        <v>9205</v>
      </c>
      <c r="B46" s="3" t="s">
        <v>8993</v>
      </c>
      <c r="C46" s="19">
        <v>15.0</v>
      </c>
      <c r="D46" s="3" t="s">
        <v>9206</v>
      </c>
      <c r="E46" s="2"/>
      <c r="F46" s="3" t="s">
        <v>9003</v>
      </c>
      <c r="G46" s="2"/>
      <c r="H46" s="3" t="s">
        <v>9004</v>
      </c>
      <c r="I46" s="3" t="s">
        <v>8997</v>
      </c>
      <c r="J46" s="25" t="s">
        <v>9207</v>
      </c>
      <c r="L46" s="2"/>
      <c r="M46" s="2"/>
      <c r="N46" s="2"/>
      <c r="O46" s="29">
        <v>46027.43726851852</v>
      </c>
      <c r="P46" s="29">
        <v>46030.62040509259</v>
      </c>
      <c r="Q46" s="29">
        <v>46030.62040509259</v>
      </c>
      <c r="R46" s="3" t="s">
        <v>9208</v>
      </c>
    </row>
    <row r="47">
      <c r="A47" s="3" t="s">
        <v>9209</v>
      </c>
      <c r="B47" s="3" t="s">
        <v>8993</v>
      </c>
      <c r="C47" s="19">
        <v>34.0</v>
      </c>
      <c r="D47" s="3" t="s">
        <v>9210</v>
      </c>
      <c r="E47" s="2"/>
      <c r="F47" s="3" t="s">
        <v>9003</v>
      </c>
      <c r="G47" s="2"/>
      <c r="H47" s="3" t="s">
        <v>9004</v>
      </c>
      <c r="I47" s="3" t="s">
        <v>8997</v>
      </c>
      <c r="J47" s="25" t="s">
        <v>9211</v>
      </c>
      <c r="L47" s="3" t="s">
        <v>9212</v>
      </c>
      <c r="M47" s="3" t="s">
        <v>6769</v>
      </c>
      <c r="N47" s="3" t="s">
        <v>312</v>
      </c>
      <c r="O47" s="29">
        <v>46035.4868287037</v>
      </c>
      <c r="P47" s="29">
        <v>46037.62168981481</v>
      </c>
      <c r="Q47" s="29">
        <v>46037.433333333334</v>
      </c>
      <c r="R47" s="3" t="s">
        <v>9213</v>
      </c>
    </row>
    <row r="48">
      <c r="A48" s="3" t="s">
        <v>9214</v>
      </c>
      <c r="B48" s="3" t="s">
        <v>8993</v>
      </c>
      <c r="C48" s="19">
        <v>11.0</v>
      </c>
      <c r="D48" s="3" t="s">
        <v>9215</v>
      </c>
      <c r="E48" s="2"/>
      <c r="F48" s="3" t="s">
        <v>9003</v>
      </c>
      <c r="G48" s="2"/>
      <c r="H48" s="3" t="s">
        <v>9004</v>
      </c>
      <c r="I48" s="3" t="s">
        <v>8997</v>
      </c>
      <c r="J48" s="25" t="s">
        <v>9216</v>
      </c>
      <c r="L48" s="3" t="s">
        <v>9203</v>
      </c>
      <c r="M48" s="3" t="s">
        <v>145</v>
      </c>
      <c r="N48" s="3" t="s">
        <v>263</v>
      </c>
      <c r="O48" s="29">
        <v>46027.41853009259</v>
      </c>
      <c r="P48" s="29">
        <v>46037.62180555555</v>
      </c>
      <c r="Q48" s="29">
        <v>46027.42628472223</v>
      </c>
      <c r="R48" s="3" t="s">
        <v>9217</v>
      </c>
    </row>
    <row r="49">
      <c r="A49" s="3" t="s">
        <v>9218</v>
      </c>
      <c r="B49" s="3" t="s">
        <v>8993</v>
      </c>
      <c r="C49" s="19">
        <v>24.0</v>
      </c>
      <c r="D49" s="3" t="s">
        <v>9219</v>
      </c>
      <c r="E49" s="2"/>
      <c r="F49" s="3" t="s">
        <v>9003</v>
      </c>
      <c r="G49" s="2"/>
      <c r="H49" s="3" t="s">
        <v>9004</v>
      </c>
      <c r="I49" s="3" t="s">
        <v>8997</v>
      </c>
      <c r="J49" s="25" t="s">
        <v>9220</v>
      </c>
      <c r="L49" s="3" t="s">
        <v>9221</v>
      </c>
      <c r="M49" s="3" t="s">
        <v>166</v>
      </c>
      <c r="N49" s="3" t="s">
        <v>167</v>
      </c>
      <c r="O49" s="29">
        <v>46027.607141203705</v>
      </c>
      <c r="P49" s="29">
        <v>46037.6219212963</v>
      </c>
      <c r="Q49" s="29">
        <v>46028.62967592593</v>
      </c>
      <c r="R49" s="3" t="s">
        <v>9222</v>
      </c>
    </row>
    <row r="50">
      <c r="A50" s="3" t="s">
        <v>9223</v>
      </c>
      <c r="B50" s="3" t="s">
        <v>8993</v>
      </c>
      <c r="C50" s="19">
        <v>3.0</v>
      </c>
      <c r="D50" s="3" t="s">
        <v>9224</v>
      </c>
      <c r="E50" s="2"/>
      <c r="F50" s="3" t="s">
        <v>9088</v>
      </c>
      <c r="G50" s="2"/>
      <c r="H50" s="3" t="s">
        <v>8996</v>
      </c>
      <c r="I50" s="3" t="s">
        <v>8997</v>
      </c>
      <c r="J50" s="25" t="s">
        <v>9225</v>
      </c>
      <c r="L50" s="2"/>
      <c r="M50" s="2"/>
      <c r="N50" s="2"/>
      <c r="O50" s="29">
        <v>46017.98025462963</v>
      </c>
      <c r="P50" s="29">
        <v>46017.98025462963</v>
      </c>
      <c r="Q50" s="31"/>
      <c r="R50" s="3" t="s">
        <v>9226</v>
      </c>
    </row>
    <row r="51">
      <c r="A51" s="3" t="s">
        <v>9227</v>
      </c>
      <c r="B51" s="3" t="s">
        <v>8993</v>
      </c>
      <c r="C51" s="19">
        <v>2.0</v>
      </c>
      <c r="D51" s="3" t="s">
        <v>9228</v>
      </c>
      <c r="E51" s="2"/>
      <c r="F51" s="3" t="s">
        <v>9088</v>
      </c>
      <c r="G51" s="2"/>
      <c r="H51" s="3" t="s">
        <v>8996</v>
      </c>
      <c r="I51" s="3" t="s">
        <v>8997</v>
      </c>
      <c r="J51" s="25" t="s">
        <v>9229</v>
      </c>
      <c r="L51" s="2"/>
      <c r="M51" s="2"/>
      <c r="N51" s="2"/>
      <c r="O51" s="29">
        <v>46017.97712962963</v>
      </c>
      <c r="P51" s="29">
        <v>46017.98548611111</v>
      </c>
      <c r="Q51" s="31"/>
      <c r="R51" s="3" t="s">
        <v>9230</v>
      </c>
    </row>
    <row r="52">
      <c r="A52" s="3" t="s">
        <v>9231</v>
      </c>
      <c r="B52" s="3" t="s">
        <v>8993</v>
      </c>
      <c r="C52" s="19">
        <v>5.0</v>
      </c>
      <c r="D52" s="3" t="s">
        <v>9232</v>
      </c>
      <c r="E52" s="3" t="s">
        <v>9233</v>
      </c>
      <c r="F52" s="3" t="s">
        <v>8995</v>
      </c>
      <c r="G52" s="3" t="s">
        <v>8296</v>
      </c>
      <c r="H52" s="3" t="s">
        <v>8996</v>
      </c>
      <c r="I52" s="3" t="s">
        <v>8997</v>
      </c>
      <c r="J52" s="25" t="s">
        <v>9234</v>
      </c>
      <c r="L52" s="3" t="s">
        <v>9172</v>
      </c>
      <c r="M52" s="3" t="s">
        <v>110</v>
      </c>
      <c r="N52" s="3" t="s">
        <v>111</v>
      </c>
      <c r="O52" s="29">
        <v>46027.401296296295</v>
      </c>
      <c r="P52" s="29">
        <v>46056.638703703706</v>
      </c>
      <c r="Q52" s="31"/>
      <c r="R52" s="3" t="s">
        <v>9235</v>
      </c>
    </row>
    <row r="53">
      <c r="A53" s="3" t="s">
        <v>9236</v>
      </c>
      <c r="B53" s="3" t="s">
        <v>8993</v>
      </c>
      <c r="C53" s="19">
        <v>12.0</v>
      </c>
      <c r="D53" s="3" t="s">
        <v>9237</v>
      </c>
      <c r="E53" s="3" t="s">
        <v>9238</v>
      </c>
      <c r="F53" s="3" t="s">
        <v>9239</v>
      </c>
      <c r="G53" s="3" t="s">
        <v>8296</v>
      </c>
      <c r="H53" s="3" t="s">
        <v>8996</v>
      </c>
      <c r="I53" s="3" t="s">
        <v>8997</v>
      </c>
      <c r="J53" s="25" t="s">
        <v>9240</v>
      </c>
      <c r="L53" s="2"/>
      <c r="M53" s="2"/>
      <c r="N53" s="2"/>
      <c r="O53" s="29">
        <v>46027.42964120371</v>
      </c>
      <c r="P53" s="29">
        <v>46027.49046296296</v>
      </c>
      <c r="Q53" s="31"/>
      <c r="R53" s="3" t="s">
        <v>9241</v>
      </c>
    </row>
    <row r="54">
      <c r="A54" s="3" t="s">
        <v>9242</v>
      </c>
      <c r="B54" s="3" t="s">
        <v>8993</v>
      </c>
      <c r="C54" s="19">
        <v>13.0</v>
      </c>
      <c r="D54" s="3" t="s">
        <v>9243</v>
      </c>
      <c r="E54" s="2"/>
      <c r="F54" s="3" t="s">
        <v>9239</v>
      </c>
      <c r="G54" s="2"/>
      <c r="H54" s="3" t="s">
        <v>8996</v>
      </c>
      <c r="I54" s="3" t="s">
        <v>8997</v>
      </c>
      <c r="J54" s="25" t="s">
        <v>9244</v>
      </c>
      <c r="L54" s="3" t="s">
        <v>9245</v>
      </c>
      <c r="M54" s="3" t="s">
        <v>6691</v>
      </c>
      <c r="N54" s="3" t="s">
        <v>590</v>
      </c>
      <c r="O54" s="29">
        <v>46027.432025462964</v>
      </c>
      <c r="P54" s="29">
        <v>46037.62087962963</v>
      </c>
      <c r="Q54" s="31"/>
      <c r="R54" s="3" t="s">
        <v>9246</v>
      </c>
    </row>
    <row r="55">
      <c r="A55" s="3" t="s">
        <v>9247</v>
      </c>
      <c r="B55" s="3" t="s">
        <v>8993</v>
      </c>
      <c r="C55" s="19">
        <v>14.0</v>
      </c>
      <c r="D55" s="3" t="s">
        <v>9248</v>
      </c>
      <c r="E55" s="2"/>
      <c r="F55" s="3" t="s">
        <v>9088</v>
      </c>
      <c r="G55" s="2"/>
      <c r="H55" s="3" t="s">
        <v>8996</v>
      </c>
      <c r="I55" s="3" t="s">
        <v>8997</v>
      </c>
      <c r="J55" s="25" t="s">
        <v>9249</v>
      </c>
      <c r="L55" s="3" t="s">
        <v>9250</v>
      </c>
      <c r="M55" s="3" t="s">
        <v>116</v>
      </c>
      <c r="N55" s="3" t="s">
        <v>117</v>
      </c>
      <c r="O55" s="29">
        <v>46027.43628472222</v>
      </c>
      <c r="P55" s="29">
        <v>46037.62079861111</v>
      </c>
      <c r="Q55" s="31"/>
      <c r="R55" s="3" t="s">
        <v>9251</v>
      </c>
    </row>
    <row r="56">
      <c r="A56" s="3" t="s">
        <v>9252</v>
      </c>
      <c r="B56" s="3" t="s">
        <v>8993</v>
      </c>
      <c r="C56" s="19">
        <v>17.0</v>
      </c>
      <c r="D56" s="3" t="s">
        <v>9253</v>
      </c>
      <c r="E56" s="3" t="s">
        <v>9254</v>
      </c>
      <c r="F56" s="3" t="s">
        <v>9003</v>
      </c>
      <c r="G56" s="2"/>
      <c r="H56" s="3" t="s">
        <v>9004</v>
      </c>
      <c r="I56" s="3" t="s">
        <v>8997</v>
      </c>
      <c r="J56" s="25" t="s">
        <v>9255</v>
      </c>
      <c r="L56" s="3" t="s">
        <v>9256</v>
      </c>
      <c r="M56" s="3" t="s">
        <v>6807</v>
      </c>
      <c r="N56" s="3" t="s">
        <v>572</v>
      </c>
      <c r="O56" s="29">
        <v>46027.462106481486</v>
      </c>
      <c r="P56" s="29">
        <v>46042.42351851852</v>
      </c>
      <c r="Q56" s="29">
        <v>46042.42351851852</v>
      </c>
      <c r="R56" s="3" t="s">
        <v>9257</v>
      </c>
    </row>
    <row r="57">
      <c r="A57" s="3" t="s">
        <v>9258</v>
      </c>
      <c r="B57" s="3" t="s">
        <v>8993</v>
      </c>
      <c r="C57" s="19">
        <v>37.0</v>
      </c>
      <c r="D57" s="3" t="s">
        <v>9259</v>
      </c>
      <c r="E57" s="2"/>
      <c r="F57" s="3" t="s">
        <v>8995</v>
      </c>
      <c r="G57" s="2"/>
      <c r="H57" s="3" t="s">
        <v>8996</v>
      </c>
      <c r="I57" s="3" t="s">
        <v>8997</v>
      </c>
      <c r="J57" s="25" t="s">
        <v>9260</v>
      </c>
      <c r="L57" s="2"/>
      <c r="M57" s="2"/>
      <c r="N57" s="2"/>
      <c r="O57" s="29">
        <v>46036.75403935185</v>
      </c>
      <c r="P57" s="29">
        <v>46036.75403935185</v>
      </c>
      <c r="Q57" s="31"/>
      <c r="R57" s="3" t="s">
        <v>9261</v>
      </c>
    </row>
    <row r="58">
      <c r="A58" s="3" t="s">
        <v>9262</v>
      </c>
      <c r="B58" s="3" t="s">
        <v>8993</v>
      </c>
      <c r="C58" s="19">
        <v>1833.0</v>
      </c>
      <c r="D58" s="3" t="s">
        <v>8525</v>
      </c>
      <c r="E58" s="3" t="s">
        <v>9263</v>
      </c>
      <c r="F58" s="3" t="s">
        <v>8995</v>
      </c>
      <c r="G58" s="3" t="s">
        <v>8292</v>
      </c>
      <c r="H58" s="3" t="s">
        <v>8996</v>
      </c>
      <c r="I58" s="3" t="s">
        <v>8997</v>
      </c>
      <c r="J58" s="25" t="s">
        <v>9264</v>
      </c>
      <c r="L58" s="3" t="s">
        <v>9265</v>
      </c>
      <c r="M58" s="3" t="s">
        <v>199</v>
      </c>
      <c r="N58" s="3" t="s">
        <v>272</v>
      </c>
      <c r="O58" s="29">
        <v>46059.44851851852</v>
      </c>
      <c r="P58" s="29">
        <v>46059.44851851852</v>
      </c>
      <c r="Q58" s="31"/>
      <c r="R58" s="3" t="s">
        <v>9266</v>
      </c>
    </row>
    <row r="59">
      <c r="A59" s="3" t="s">
        <v>9267</v>
      </c>
      <c r="B59" s="3" t="s">
        <v>8993</v>
      </c>
      <c r="C59" s="19">
        <v>54.0</v>
      </c>
      <c r="D59" s="3" t="s">
        <v>9268</v>
      </c>
      <c r="E59" s="3" t="s">
        <v>9269</v>
      </c>
      <c r="F59" s="3" t="s">
        <v>8995</v>
      </c>
      <c r="G59" s="3" t="s">
        <v>8292</v>
      </c>
      <c r="H59" s="3" t="s">
        <v>8996</v>
      </c>
      <c r="I59" s="3" t="s">
        <v>8997</v>
      </c>
      <c r="J59" s="25" t="s">
        <v>9270</v>
      </c>
      <c r="L59" s="3" t="s">
        <v>9271</v>
      </c>
      <c r="M59" s="3" t="s">
        <v>119</v>
      </c>
      <c r="N59" s="3" t="s">
        <v>251</v>
      </c>
      <c r="O59" s="29">
        <v>46043.98217592592</v>
      </c>
      <c r="P59" s="29">
        <v>46044.5343287037</v>
      </c>
      <c r="Q59" s="31"/>
      <c r="R59" s="3" t="s">
        <v>9272</v>
      </c>
    </row>
    <row r="60">
      <c r="A60" s="3" t="s">
        <v>9273</v>
      </c>
      <c r="B60" s="3" t="s">
        <v>8993</v>
      </c>
      <c r="C60" s="19">
        <v>20.0</v>
      </c>
      <c r="D60" s="3" t="s">
        <v>9274</v>
      </c>
      <c r="E60" s="3" t="s">
        <v>9275</v>
      </c>
      <c r="F60" s="3" t="s">
        <v>9003</v>
      </c>
      <c r="G60" s="2"/>
      <c r="H60" s="3" t="s">
        <v>9004</v>
      </c>
      <c r="I60" s="3" t="s">
        <v>8997</v>
      </c>
      <c r="J60" s="25" t="s">
        <v>9276</v>
      </c>
      <c r="L60" s="3" t="s">
        <v>9203</v>
      </c>
      <c r="M60" s="3" t="s">
        <v>145</v>
      </c>
      <c r="N60" s="3" t="s">
        <v>263</v>
      </c>
      <c r="O60" s="29">
        <v>46027.48412037037</v>
      </c>
      <c r="P60" s="29">
        <v>46037.620671296296</v>
      </c>
      <c r="Q60" s="29">
        <v>46037.620671296296</v>
      </c>
      <c r="R60" s="3" t="s">
        <v>9277</v>
      </c>
    </row>
    <row r="61">
      <c r="A61" s="3" t="s">
        <v>9278</v>
      </c>
      <c r="B61" s="3" t="s">
        <v>8993</v>
      </c>
      <c r="C61" s="19">
        <v>10.0</v>
      </c>
      <c r="D61" s="3" t="s">
        <v>9279</v>
      </c>
      <c r="E61" s="2"/>
      <c r="F61" s="3" t="s">
        <v>9003</v>
      </c>
      <c r="G61" s="3" t="s">
        <v>8303</v>
      </c>
      <c r="H61" s="3" t="s">
        <v>9004</v>
      </c>
      <c r="I61" s="3" t="s">
        <v>8997</v>
      </c>
      <c r="J61" s="25" t="s">
        <v>9280</v>
      </c>
      <c r="L61" s="3" t="s">
        <v>9281</v>
      </c>
      <c r="M61" s="3" t="s">
        <v>107</v>
      </c>
      <c r="N61" s="3" t="s">
        <v>242</v>
      </c>
      <c r="O61" s="29">
        <v>46027.41800925926</v>
      </c>
      <c r="P61" s="29">
        <v>46038.532314814816</v>
      </c>
      <c r="Q61" s="29">
        <v>46038.532314814816</v>
      </c>
      <c r="R61" s="3" t="s">
        <v>9282</v>
      </c>
    </row>
    <row r="62">
      <c r="A62" s="3" t="s">
        <v>9283</v>
      </c>
      <c r="B62" s="3" t="s">
        <v>8993</v>
      </c>
      <c r="C62" s="19">
        <v>1736.0</v>
      </c>
      <c r="D62" s="3" t="s">
        <v>9284</v>
      </c>
      <c r="E62" s="3" t="s">
        <v>9285</v>
      </c>
      <c r="F62" s="3" t="s">
        <v>9003</v>
      </c>
      <c r="G62" s="3" t="s">
        <v>8292</v>
      </c>
      <c r="H62" s="3" t="s">
        <v>9004</v>
      </c>
      <c r="I62" s="3" t="s">
        <v>8997</v>
      </c>
      <c r="J62" s="25" t="s">
        <v>9286</v>
      </c>
      <c r="L62" s="3" t="s">
        <v>9287</v>
      </c>
      <c r="M62" s="3" t="s">
        <v>184</v>
      </c>
      <c r="N62" s="3" t="s">
        <v>478</v>
      </c>
      <c r="O62" s="29">
        <v>46049.6162037037</v>
      </c>
      <c r="P62" s="29">
        <v>46057.84834490741</v>
      </c>
      <c r="Q62" s="29">
        <v>46057.84834490741</v>
      </c>
      <c r="R62" s="3" t="s">
        <v>9288</v>
      </c>
    </row>
    <row r="63">
      <c r="A63" s="3" t="s">
        <v>9289</v>
      </c>
      <c r="B63" s="3" t="s">
        <v>8993</v>
      </c>
      <c r="C63" s="19">
        <v>1737.0</v>
      </c>
      <c r="D63" s="3" t="s">
        <v>9290</v>
      </c>
      <c r="E63" s="3" t="s">
        <v>9291</v>
      </c>
      <c r="F63" s="3" t="s">
        <v>9003</v>
      </c>
      <c r="G63" s="3" t="s">
        <v>8292</v>
      </c>
      <c r="H63" s="3" t="s">
        <v>9004</v>
      </c>
      <c r="I63" s="3" t="s">
        <v>8997</v>
      </c>
      <c r="J63" s="25" t="s">
        <v>9292</v>
      </c>
      <c r="L63" s="3" t="s">
        <v>9287</v>
      </c>
      <c r="M63" s="3" t="s">
        <v>184</v>
      </c>
      <c r="N63" s="3" t="s">
        <v>478</v>
      </c>
      <c r="O63" s="29">
        <v>46049.61622685185</v>
      </c>
      <c r="P63" s="29">
        <v>46057.8484837963</v>
      </c>
      <c r="Q63" s="29">
        <v>46057.8484837963</v>
      </c>
      <c r="R63" s="3" t="s">
        <v>9293</v>
      </c>
    </row>
    <row r="64">
      <c r="A64" s="3" t="s">
        <v>9294</v>
      </c>
      <c r="B64" s="3" t="s">
        <v>8993</v>
      </c>
      <c r="C64" s="19">
        <v>33.0</v>
      </c>
      <c r="D64" s="3" t="s">
        <v>9295</v>
      </c>
      <c r="E64" s="3" t="s">
        <v>9296</v>
      </c>
      <c r="F64" s="3" t="s">
        <v>9003</v>
      </c>
      <c r="G64" s="2"/>
      <c r="H64" s="3" t="s">
        <v>9004</v>
      </c>
      <c r="I64" s="3" t="s">
        <v>8997</v>
      </c>
      <c r="J64" s="25" t="s">
        <v>9297</v>
      </c>
      <c r="L64" s="3" t="s">
        <v>9281</v>
      </c>
      <c r="M64" s="3" t="s">
        <v>107</v>
      </c>
      <c r="N64" s="3" t="s">
        <v>242</v>
      </c>
      <c r="O64" s="29">
        <v>46035.44587962963</v>
      </c>
      <c r="P64" s="29">
        <v>46049.59177083333</v>
      </c>
      <c r="Q64" s="29">
        <v>46049.59177083333</v>
      </c>
      <c r="R64" s="3" t="s">
        <v>9298</v>
      </c>
    </row>
    <row r="65">
      <c r="A65" s="3" t="s">
        <v>9299</v>
      </c>
      <c r="B65" s="3" t="s">
        <v>8993</v>
      </c>
      <c r="C65" s="19">
        <v>21.0</v>
      </c>
      <c r="D65" s="3" t="s">
        <v>9300</v>
      </c>
      <c r="E65" s="2"/>
      <c r="F65" s="3" t="s">
        <v>9088</v>
      </c>
      <c r="G65" s="2"/>
      <c r="H65" s="3" t="s">
        <v>8996</v>
      </c>
      <c r="I65" s="3" t="s">
        <v>8997</v>
      </c>
      <c r="J65" s="25" t="s">
        <v>9301</v>
      </c>
      <c r="L65" s="2"/>
      <c r="M65" s="2"/>
      <c r="N65" s="2"/>
      <c r="O65" s="29">
        <v>46027.4897800926</v>
      </c>
      <c r="P65" s="29">
        <v>46027.4897800926</v>
      </c>
      <c r="Q65" s="31"/>
      <c r="R65" s="3" t="s">
        <v>9302</v>
      </c>
    </row>
    <row r="66">
      <c r="A66" s="3" t="s">
        <v>9303</v>
      </c>
      <c r="B66" s="3" t="s">
        <v>8993</v>
      </c>
      <c r="C66" s="19">
        <v>22.0</v>
      </c>
      <c r="D66" s="3" t="s">
        <v>9304</v>
      </c>
      <c r="E66" s="3" t="s">
        <v>9305</v>
      </c>
      <c r="F66" s="3" t="s">
        <v>9003</v>
      </c>
      <c r="G66" s="2"/>
      <c r="H66" s="3" t="s">
        <v>9004</v>
      </c>
      <c r="I66" s="3" t="s">
        <v>8997</v>
      </c>
      <c r="J66" s="25" t="s">
        <v>9306</v>
      </c>
      <c r="L66" s="3" t="s">
        <v>9307</v>
      </c>
      <c r="M66" s="3" t="s">
        <v>172</v>
      </c>
      <c r="N66" s="3" t="s">
        <v>173</v>
      </c>
      <c r="O66" s="29">
        <v>46027.57164351852</v>
      </c>
      <c r="P66" s="29">
        <v>46037.62202546296</v>
      </c>
      <c r="Q66" s="29">
        <v>46028.634618055556</v>
      </c>
      <c r="R66" s="3" t="s">
        <v>9308</v>
      </c>
    </row>
    <row r="67">
      <c r="A67" s="3" t="s">
        <v>9309</v>
      </c>
      <c r="B67" s="3" t="s">
        <v>8993</v>
      </c>
      <c r="C67" s="19">
        <v>39.0</v>
      </c>
      <c r="D67" s="3" t="s">
        <v>9310</v>
      </c>
      <c r="E67" s="25" t="s">
        <v>9311</v>
      </c>
      <c r="F67" s="3" t="s">
        <v>9003</v>
      </c>
      <c r="G67" s="2"/>
      <c r="H67" s="3" t="s">
        <v>9004</v>
      </c>
      <c r="I67" s="3" t="s">
        <v>8997</v>
      </c>
      <c r="J67" s="25" t="s">
        <v>9312</v>
      </c>
      <c r="L67" s="3" t="s">
        <v>9221</v>
      </c>
      <c r="M67" s="3" t="s">
        <v>166</v>
      </c>
      <c r="N67" s="3" t="s">
        <v>167</v>
      </c>
      <c r="O67" s="29">
        <v>46037.374444444446</v>
      </c>
      <c r="P67" s="29">
        <v>46038.5165162037</v>
      </c>
      <c r="Q67" s="29">
        <v>46038.5165162037</v>
      </c>
      <c r="R67" s="3" t="s">
        <v>9313</v>
      </c>
    </row>
    <row r="68">
      <c r="A68" s="3" t="s">
        <v>9314</v>
      </c>
      <c r="B68" s="3" t="s">
        <v>8993</v>
      </c>
      <c r="C68" s="19">
        <v>1761.0</v>
      </c>
      <c r="D68" s="3" t="s">
        <v>8311</v>
      </c>
      <c r="E68" s="3" t="s">
        <v>9315</v>
      </c>
      <c r="F68" s="3" t="s">
        <v>9003</v>
      </c>
      <c r="G68" s="3" t="s">
        <v>8296</v>
      </c>
      <c r="H68" s="3" t="s">
        <v>9004</v>
      </c>
      <c r="I68" s="3" t="s">
        <v>8997</v>
      </c>
      <c r="J68" s="25" t="s">
        <v>9316</v>
      </c>
      <c r="L68" s="3" t="s">
        <v>9096</v>
      </c>
      <c r="M68" s="3" t="s">
        <v>166</v>
      </c>
      <c r="N68" s="3" t="s">
        <v>167</v>
      </c>
      <c r="O68" s="29">
        <v>46050.49434027778</v>
      </c>
      <c r="P68" s="29">
        <v>46056.636296296296</v>
      </c>
      <c r="Q68" s="29">
        <v>46056.636296296296</v>
      </c>
      <c r="R68" s="3" t="s">
        <v>9317</v>
      </c>
    </row>
    <row r="69">
      <c r="A69" s="3" t="s">
        <v>9318</v>
      </c>
      <c r="B69" s="3" t="s">
        <v>8993</v>
      </c>
      <c r="C69" s="19">
        <v>1763.0</v>
      </c>
      <c r="D69" s="3" t="s">
        <v>8317</v>
      </c>
      <c r="E69" s="3" t="s">
        <v>9319</v>
      </c>
      <c r="F69" s="3" t="s">
        <v>9003</v>
      </c>
      <c r="G69" s="3" t="s">
        <v>8303</v>
      </c>
      <c r="H69" s="3" t="s">
        <v>9004</v>
      </c>
      <c r="I69" s="3" t="s">
        <v>8997</v>
      </c>
      <c r="J69" s="25" t="s">
        <v>9320</v>
      </c>
      <c r="L69" s="3" t="s">
        <v>9096</v>
      </c>
      <c r="M69" s="3" t="s">
        <v>166</v>
      </c>
      <c r="N69" s="3" t="s">
        <v>167</v>
      </c>
      <c r="O69" s="29">
        <v>46050.494374999995</v>
      </c>
      <c r="P69" s="29">
        <v>46056.63523148149</v>
      </c>
      <c r="Q69" s="29">
        <v>46056.63523148149</v>
      </c>
      <c r="R69" s="3" t="s">
        <v>9321</v>
      </c>
    </row>
    <row r="70">
      <c r="A70" s="3" t="s">
        <v>9322</v>
      </c>
      <c r="B70" s="3" t="s">
        <v>8993</v>
      </c>
      <c r="C70" s="19">
        <v>1765.0</v>
      </c>
      <c r="D70" s="3" t="s">
        <v>8320</v>
      </c>
      <c r="E70" s="3" t="s">
        <v>9323</v>
      </c>
      <c r="F70" s="3" t="s">
        <v>9003</v>
      </c>
      <c r="G70" s="3" t="s">
        <v>8292</v>
      </c>
      <c r="H70" s="3" t="s">
        <v>9004</v>
      </c>
      <c r="I70" s="3" t="s">
        <v>8997</v>
      </c>
      <c r="J70" s="25" t="s">
        <v>9324</v>
      </c>
      <c r="L70" s="3" t="s">
        <v>9325</v>
      </c>
      <c r="M70" s="3" t="s">
        <v>122</v>
      </c>
      <c r="N70" s="3" t="s">
        <v>123</v>
      </c>
      <c r="O70" s="29">
        <v>46051.68381944444</v>
      </c>
      <c r="P70" s="29">
        <v>46063.61175925926</v>
      </c>
      <c r="Q70" s="29">
        <v>46063.61175925926</v>
      </c>
      <c r="R70" s="3" t="s">
        <v>9326</v>
      </c>
    </row>
    <row r="71">
      <c r="A71" s="3" t="s">
        <v>9327</v>
      </c>
      <c r="B71" s="3" t="s">
        <v>8993</v>
      </c>
      <c r="C71" s="19">
        <v>1777.0</v>
      </c>
      <c r="D71" s="3" t="s">
        <v>8357</v>
      </c>
      <c r="E71" s="3" t="s">
        <v>9328</v>
      </c>
      <c r="F71" s="3" t="s">
        <v>9003</v>
      </c>
      <c r="G71" s="3" t="s">
        <v>8303</v>
      </c>
      <c r="H71" s="3" t="s">
        <v>9004</v>
      </c>
      <c r="I71" s="3" t="s">
        <v>8997</v>
      </c>
      <c r="J71" s="25" t="s">
        <v>9329</v>
      </c>
      <c r="L71" s="3" t="s">
        <v>9096</v>
      </c>
      <c r="M71" s="3" t="s">
        <v>166</v>
      </c>
      <c r="N71" s="3" t="s">
        <v>167</v>
      </c>
      <c r="O71" s="29">
        <v>46056.444375</v>
      </c>
      <c r="P71" s="29">
        <v>46063.61137731481</v>
      </c>
      <c r="Q71" s="29">
        <v>46063.61137731481</v>
      </c>
      <c r="R71" s="3" t="s">
        <v>9330</v>
      </c>
    </row>
    <row r="72">
      <c r="A72" s="3" t="s">
        <v>9331</v>
      </c>
      <c r="B72" s="3" t="s">
        <v>8993</v>
      </c>
      <c r="C72" s="19">
        <v>1779.0</v>
      </c>
      <c r="D72" s="3" t="s">
        <v>8363</v>
      </c>
      <c r="E72" s="3" t="s">
        <v>9332</v>
      </c>
      <c r="F72" s="3" t="s">
        <v>9003</v>
      </c>
      <c r="G72" s="3" t="s">
        <v>8292</v>
      </c>
      <c r="H72" s="3" t="s">
        <v>9004</v>
      </c>
      <c r="I72" s="3" t="s">
        <v>8997</v>
      </c>
      <c r="J72" s="25" t="s">
        <v>9333</v>
      </c>
      <c r="L72" s="3" t="s">
        <v>9079</v>
      </c>
      <c r="M72" s="3" t="s">
        <v>101</v>
      </c>
      <c r="N72" s="3" t="s">
        <v>511</v>
      </c>
      <c r="O72" s="29">
        <v>46056.51310185185</v>
      </c>
      <c r="P72" s="29">
        <v>46063.611875</v>
      </c>
      <c r="Q72" s="29">
        <v>46063.611875</v>
      </c>
      <c r="R72" s="3" t="s">
        <v>9334</v>
      </c>
    </row>
    <row r="73">
      <c r="A73" s="3" t="s">
        <v>9335</v>
      </c>
      <c r="B73" s="3" t="s">
        <v>8993</v>
      </c>
      <c r="C73" s="19">
        <v>1784.0</v>
      </c>
      <c r="D73" s="3" t="s">
        <v>8378</v>
      </c>
      <c r="E73" s="3" t="s">
        <v>9336</v>
      </c>
      <c r="F73" s="3" t="s">
        <v>9003</v>
      </c>
      <c r="G73" s="3" t="s">
        <v>8303</v>
      </c>
      <c r="H73" s="3" t="s">
        <v>9004</v>
      </c>
      <c r="I73" s="3" t="s">
        <v>8997</v>
      </c>
      <c r="J73" s="25" t="s">
        <v>9337</v>
      </c>
      <c r="L73" s="3" t="s">
        <v>8999</v>
      </c>
      <c r="M73" s="3" t="s">
        <v>208</v>
      </c>
      <c r="N73" s="3" t="s">
        <v>209</v>
      </c>
      <c r="O73" s="29">
        <v>46056.5475</v>
      </c>
      <c r="P73" s="29">
        <v>46063.61146990741</v>
      </c>
      <c r="Q73" s="29">
        <v>46063.61146990741</v>
      </c>
      <c r="R73" s="3" t="s">
        <v>9338</v>
      </c>
    </row>
    <row r="74">
      <c r="A74" s="3" t="s">
        <v>9339</v>
      </c>
      <c r="B74" s="3" t="s">
        <v>8993</v>
      </c>
      <c r="C74" s="19">
        <v>1864.0</v>
      </c>
      <c r="D74" s="3" t="s">
        <v>8615</v>
      </c>
      <c r="E74" s="3" t="s">
        <v>9340</v>
      </c>
      <c r="F74" s="3" t="s">
        <v>9003</v>
      </c>
      <c r="G74" s="3" t="s">
        <v>8303</v>
      </c>
      <c r="H74" s="3" t="s">
        <v>9004</v>
      </c>
      <c r="I74" s="3" t="s">
        <v>8997</v>
      </c>
      <c r="J74" s="25" t="s">
        <v>9341</v>
      </c>
      <c r="L74" s="3" t="s">
        <v>8999</v>
      </c>
      <c r="M74" s="3" t="s">
        <v>208</v>
      </c>
      <c r="N74" s="3" t="s">
        <v>209</v>
      </c>
      <c r="O74" s="29">
        <v>46071.63804398148</v>
      </c>
      <c r="P74" s="29">
        <v>46071.68128472222</v>
      </c>
      <c r="Q74" s="29">
        <v>46071.68128472222</v>
      </c>
      <c r="R74" s="3" t="s">
        <v>9342</v>
      </c>
    </row>
    <row r="75">
      <c r="A75" s="3" t="s">
        <v>9343</v>
      </c>
      <c r="B75" s="3" t="s">
        <v>8993</v>
      </c>
      <c r="C75" s="19">
        <v>1867.0</v>
      </c>
      <c r="D75" s="3" t="s">
        <v>8624</v>
      </c>
      <c r="E75" s="3" t="s">
        <v>9344</v>
      </c>
      <c r="F75" s="3" t="s">
        <v>9003</v>
      </c>
      <c r="G75" s="3" t="s">
        <v>8296</v>
      </c>
      <c r="H75" s="3" t="s">
        <v>9004</v>
      </c>
      <c r="I75" s="3" t="s">
        <v>8997</v>
      </c>
      <c r="J75" s="25" t="s">
        <v>9345</v>
      </c>
      <c r="L75" s="3" t="s">
        <v>8999</v>
      </c>
      <c r="M75" s="3" t="s">
        <v>208</v>
      </c>
      <c r="N75" s="3" t="s">
        <v>209</v>
      </c>
      <c r="O75" s="29">
        <v>46071.638136574074</v>
      </c>
      <c r="P75" s="29">
        <v>46071.931921296295</v>
      </c>
      <c r="Q75" s="29">
        <v>46071.931921296295</v>
      </c>
      <c r="R75" s="3" t="s">
        <v>9346</v>
      </c>
    </row>
    <row r="76">
      <c r="A76" s="3" t="s">
        <v>9347</v>
      </c>
      <c r="B76" s="3" t="s">
        <v>8993</v>
      </c>
      <c r="C76" s="19">
        <v>18.0</v>
      </c>
      <c r="D76" s="3" t="s">
        <v>9348</v>
      </c>
      <c r="E76" s="3" t="s">
        <v>9349</v>
      </c>
      <c r="F76" s="3" t="s">
        <v>9003</v>
      </c>
      <c r="G76" s="2"/>
      <c r="H76" s="3" t="s">
        <v>9004</v>
      </c>
      <c r="I76" s="3" t="s">
        <v>8997</v>
      </c>
      <c r="J76" s="25" t="s">
        <v>9350</v>
      </c>
      <c r="L76" s="3" t="s">
        <v>9351</v>
      </c>
      <c r="M76" s="3" t="s">
        <v>128</v>
      </c>
      <c r="N76" s="3" t="s">
        <v>301</v>
      </c>
      <c r="O76" s="29">
        <v>46027.46283564815</v>
      </c>
      <c r="P76" s="29">
        <v>46037.622141203705</v>
      </c>
      <c r="Q76" s="29">
        <v>46030.61649305555</v>
      </c>
      <c r="R76" s="3" t="s">
        <v>9352</v>
      </c>
    </row>
    <row r="77">
      <c r="A77" s="3" t="s">
        <v>9353</v>
      </c>
      <c r="B77" s="3" t="s">
        <v>8993</v>
      </c>
      <c r="C77" s="19">
        <v>69.0</v>
      </c>
      <c r="D77" s="3" t="s">
        <v>9354</v>
      </c>
      <c r="E77" s="3" t="s">
        <v>9355</v>
      </c>
      <c r="F77" s="3" t="s">
        <v>9003</v>
      </c>
      <c r="G77" s="3" t="s">
        <v>8292</v>
      </c>
      <c r="H77" s="3" t="s">
        <v>9004</v>
      </c>
      <c r="I77" s="3" t="s">
        <v>8997</v>
      </c>
      <c r="J77" s="25" t="s">
        <v>9356</v>
      </c>
      <c r="L77" s="3" t="s">
        <v>9357</v>
      </c>
      <c r="M77" s="3" t="s">
        <v>128</v>
      </c>
      <c r="N77" s="3" t="s">
        <v>301</v>
      </c>
      <c r="O77" s="29">
        <v>46044.507152777776</v>
      </c>
      <c r="P77" s="29">
        <v>46057.623460648145</v>
      </c>
      <c r="Q77" s="29">
        <v>46057.623460648145</v>
      </c>
      <c r="R77" s="3" t="s">
        <v>9358</v>
      </c>
    </row>
    <row r="78">
      <c r="A78" s="3" t="s">
        <v>9359</v>
      </c>
      <c r="B78" s="3" t="s">
        <v>8993</v>
      </c>
      <c r="C78" s="19">
        <v>19.0</v>
      </c>
      <c r="D78" s="3" t="s">
        <v>9360</v>
      </c>
      <c r="E78" s="3" t="s">
        <v>9361</v>
      </c>
      <c r="F78" s="3" t="s">
        <v>9003</v>
      </c>
      <c r="G78" s="3" t="s">
        <v>8292</v>
      </c>
      <c r="H78" s="3" t="s">
        <v>9004</v>
      </c>
      <c r="I78" s="3" t="s">
        <v>8997</v>
      </c>
      <c r="J78" s="25" t="s">
        <v>9362</v>
      </c>
      <c r="L78" s="3" t="s">
        <v>9363</v>
      </c>
      <c r="M78" s="3" t="s">
        <v>157</v>
      </c>
      <c r="N78" s="3" t="s">
        <v>158</v>
      </c>
      <c r="O78" s="29">
        <v>46027.480219907404</v>
      </c>
      <c r="P78" s="29">
        <v>46037.62127314815</v>
      </c>
      <c r="Q78" s="29">
        <v>46030.64883101852</v>
      </c>
      <c r="R78" s="3" t="s">
        <v>9364</v>
      </c>
    </row>
    <row r="79">
      <c r="A79" s="3" t="s">
        <v>9365</v>
      </c>
      <c r="B79" s="3" t="s">
        <v>8993</v>
      </c>
      <c r="C79" s="19">
        <v>8.0</v>
      </c>
      <c r="D79" s="3" t="s">
        <v>9366</v>
      </c>
      <c r="E79" s="3" t="s">
        <v>9367</v>
      </c>
      <c r="F79" s="3" t="s">
        <v>9003</v>
      </c>
      <c r="G79" s="3" t="s">
        <v>8292</v>
      </c>
      <c r="H79" s="3" t="s">
        <v>9004</v>
      </c>
      <c r="I79" s="3" t="s">
        <v>8997</v>
      </c>
      <c r="J79" s="25" t="s">
        <v>9368</v>
      </c>
      <c r="L79" s="3" t="s">
        <v>9363</v>
      </c>
      <c r="M79" s="3" t="s">
        <v>157</v>
      </c>
      <c r="N79" s="3" t="s">
        <v>158</v>
      </c>
      <c r="O79" s="29">
        <v>46027.40564814815</v>
      </c>
      <c r="P79" s="29">
        <v>46049.61451388889</v>
      </c>
      <c r="Q79" s="29">
        <v>46049.61451388889</v>
      </c>
      <c r="R79" s="3" t="s">
        <v>9369</v>
      </c>
    </row>
    <row r="80">
      <c r="A80" s="3" t="s">
        <v>9370</v>
      </c>
      <c r="B80" s="3" t="s">
        <v>8993</v>
      </c>
      <c r="C80" s="19">
        <v>1828.0</v>
      </c>
      <c r="D80" s="3" t="s">
        <v>8510</v>
      </c>
      <c r="E80" s="3" t="s">
        <v>9371</v>
      </c>
      <c r="F80" s="3" t="s">
        <v>9003</v>
      </c>
      <c r="G80" s="3" t="s">
        <v>8292</v>
      </c>
      <c r="H80" s="3" t="s">
        <v>9004</v>
      </c>
      <c r="I80" s="3" t="s">
        <v>8997</v>
      </c>
      <c r="J80" s="25" t="s">
        <v>9372</v>
      </c>
      <c r="L80" s="3" t="s">
        <v>9373</v>
      </c>
      <c r="M80" s="3" t="s">
        <v>157</v>
      </c>
      <c r="N80" s="3" t="s">
        <v>158</v>
      </c>
      <c r="O80" s="29">
        <v>46058.52618055556</v>
      </c>
      <c r="P80" s="29">
        <v>46058.671944444446</v>
      </c>
      <c r="Q80" s="29">
        <v>46058.671944444446</v>
      </c>
      <c r="R80" s="3" t="s">
        <v>9374</v>
      </c>
    </row>
    <row r="81">
      <c r="A81" s="3" t="s">
        <v>9375</v>
      </c>
      <c r="B81" s="3" t="s">
        <v>8993</v>
      </c>
      <c r="C81" s="19">
        <v>1829.0</v>
      </c>
      <c r="D81" s="3" t="s">
        <v>8513</v>
      </c>
      <c r="E81" s="3" t="s">
        <v>9376</v>
      </c>
      <c r="F81" s="3" t="s">
        <v>9003</v>
      </c>
      <c r="G81" s="3" t="s">
        <v>8296</v>
      </c>
      <c r="H81" s="3" t="s">
        <v>9004</v>
      </c>
      <c r="I81" s="3" t="s">
        <v>8997</v>
      </c>
      <c r="J81" s="25" t="s">
        <v>9377</v>
      </c>
      <c r="L81" s="3" t="s">
        <v>9373</v>
      </c>
      <c r="M81" s="3" t="s">
        <v>157</v>
      </c>
      <c r="N81" s="3" t="s">
        <v>158</v>
      </c>
      <c r="O81" s="29">
        <v>46058.5262037037</v>
      </c>
      <c r="P81" s="29">
        <v>46058.67196759259</v>
      </c>
      <c r="Q81" s="29">
        <v>46058.67196759259</v>
      </c>
      <c r="R81" s="3" t="s">
        <v>9378</v>
      </c>
    </row>
    <row r="82">
      <c r="A82" s="3" t="s">
        <v>9379</v>
      </c>
      <c r="B82" s="3" t="s">
        <v>8993</v>
      </c>
      <c r="C82" s="19">
        <v>1830.0</v>
      </c>
      <c r="D82" s="3" t="s">
        <v>8516</v>
      </c>
      <c r="E82" s="3" t="s">
        <v>9380</v>
      </c>
      <c r="F82" s="3" t="s">
        <v>9003</v>
      </c>
      <c r="G82" s="3" t="s">
        <v>8296</v>
      </c>
      <c r="H82" s="3" t="s">
        <v>9004</v>
      </c>
      <c r="I82" s="3" t="s">
        <v>8997</v>
      </c>
      <c r="J82" s="25" t="s">
        <v>9381</v>
      </c>
      <c r="L82" s="3" t="s">
        <v>9373</v>
      </c>
      <c r="M82" s="3" t="s">
        <v>157</v>
      </c>
      <c r="N82" s="3" t="s">
        <v>158</v>
      </c>
      <c r="O82" s="29">
        <v>46058.526226851856</v>
      </c>
      <c r="P82" s="29">
        <v>46058.67201388889</v>
      </c>
      <c r="Q82" s="29">
        <v>46058.67201388889</v>
      </c>
      <c r="R82" s="3" t="s">
        <v>9382</v>
      </c>
    </row>
    <row r="83">
      <c r="A83" s="3" t="s">
        <v>9383</v>
      </c>
      <c r="B83" s="3" t="s">
        <v>8993</v>
      </c>
      <c r="C83" s="19">
        <v>52.0</v>
      </c>
      <c r="D83" s="3" t="s">
        <v>9384</v>
      </c>
      <c r="E83" s="3" t="s">
        <v>9385</v>
      </c>
      <c r="F83" s="3" t="s">
        <v>9003</v>
      </c>
      <c r="G83" s="3" t="s">
        <v>8303</v>
      </c>
      <c r="H83" s="3" t="s">
        <v>9004</v>
      </c>
      <c r="I83" s="3" t="s">
        <v>8997</v>
      </c>
      <c r="J83" s="25" t="s">
        <v>9386</v>
      </c>
      <c r="L83" s="3" t="s">
        <v>9271</v>
      </c>
      <c r="M83" s="3" t="s">
        <v>119</v>
      </c>
      <c r="N83" s="3" t="s">
        <v>251</v>
      </c>
      <c r="O83" s="29">
        <v>46043.98212962963</v>
      </c>
      <c r="P83" s="29">
        <v>46044.52244212963</v>
      </c>
      <c r="Q83" s="29">
        <v>46044.52244212963</v>
      </c>
      <c r="R83" s="3" t="s">
        <v>9387</v>
      </c>
    </row>
    <row r="84">
      <c r="A84" s="3" t="s">
        <v>9388</v>
      </c>
      <c r="B84" s="3" t="s">
        <v>8993</v>
      </c>
      <c r="C84" s="19">
        <v>35.0</v>
      </c>
      <c r="D84" s="3" t="s">
        <v>9389</v>
      </c>
      <c r="E84" s="3" t="s">
        <v>9390</v>
      </c>
      <c r="F84" s="3" t="s">
        <v>9003</v>
      </c>
      <c r="G84" s="2"/>
      <c r="H84" s="3" t="s">
        <v>9004</v>
      </c>
      <c r="I84" s="3" t="s">
        <v>8997</v>
      </c>
      <c r="J84" s="25" t="s">
        <v>9391</v>
      </c>
      <c r="L84" s="2"/>
      <c r="M84" s="2"/>
      <c r="N84" s="2"/>
      <c r="O84" s="29">
        <v>46035.67111111111</v>
      </c>
      <c r="P84" s="29">
        <v>46038.54893518519</v>
      </c>
      <c r="Q84" s="29">
        <v>46038.54893518519</v>
      </c>
      <c r="R84" s="3" t="s">
        <v>9392</v>
      </c>
    </row>
    <row r="85">
      <c r="A85" s="3" t="s">
        <v>9393</v>
      </c>
      <c r="B85" s="3" t="s">
        <v>8993</v>
      </c>
      <c r="C85" s="19">
        <v>6.0</v>
      </c>
      <c r="D85" s="3" t="s">
        <v>9394</v>
      </c>
      <c r="E85" s="3" t="s">
        <v>9395</v>
      </c>
      <c r="F85" s="3" t="s">
        <v>9003</v>
      </c>
      <c r="G85" s="3" t="s">
        <v>8292</v>
      </c>
      <c r="H85" s="3" t="s">
        <v>9004</v>
      </c>
      <c r="I85" s="3" t="s">
        <v>8997</v>
      </c>
      <c r="J85" s="25" t="s">
        <v>9396</v>
      </c>
      <c r="L85" s="3" t="s">
        <v>9397</v>
      </c>
      <c r="M85" s="3" t="s">
        <v>119</v>
      </c>
      <c r="N85" s="3" t="s">
        <v>251</v>
      </c>
      <c r="O85" s="29">
        <v>46027.401620370365</v>
      </c>
      <c r="P85" s="29">
        <v>46037.62138888889</v>
      </c>
      <c r="Q85" s="29">
        <v>46030.61987268519</v>
      </c>
      <c r="R85" s="3" t="s">
        <v>9398</v>
      </c>
    </row>
    <row r="86">
      <c r="A86" s="3" t="s">
        <v>9399</v>
      </c>
      <c r="B86" s="3" t="s">
        <v>8993</v>
      </c>
      <c r="C86" s="19">
        <v>44.0</v>
      </c>
      <c r="D86" s="3" t="s">
        <v>9400</v>
      </c>
      <c r="E86" s="2"/>
      <c r="F86" s="3" t="s">
        <v>9003</v>
      </c>
      <c r="G86" s="2"/>
      <c r="H86" s="3" t="s">
        <v>9004</v>
      </c>
      <c r="I86" s="3" t="s">
        <v>8997</v>
      </c>
      <c r="J86" s="25" t="s">
        <v>9401</v>
      </c>
      <c r="L86" s="3" t="s">
        <v>9402</v>
      </c>
      <c r="M86" s="3" t="s">
        <v>6608</v>
      </c>
      <c r="N86" s="3" t="s">
        <v>294</v>
      </c>
      <c r="O86" s="29">
        <v>46038.45125</v>
      </c>
      <c r="P86" s="29">
        <v>46038.46107638889</v>
      </c>
      <c r="Q86" s="29">
        <v>46038.46107638889</v>
      </c>
      <c r="R86" s="3" t="s">
        <v>9403</v>
      </c>
    </row>
    <row r="87">
      <c r="A87" s="3" t="s">
        <v>9404</v>
      </c>
      <c r="B87" s="3" t="s">
        <v>8993</v>
      </c>
      <c r="C87" s="19">
        <v>61.0</v>
      </c>
      <c r="D87" s="3" t="s">
        <v>9405</v>
      </c>
      <c r="E87" s="3" t="s">
        <v>9406</v>
      </c>
      <c r="F87" s="3" t="s">
        <v>9003</v>
      </c>
      <c r="G87" s="3" t="s">
        <v>8296</v>
      </c>
      <c r="H87" s="3" t="s">
        <v>9004</v>
      </c>
      <c r="I87" s="3" t="s">
        <v>8997</v>
      </c>
      <c r="J87" s="25" t="s">
        <v>9407</v>
      </c>
      <c r="L87" s="3" t="s">
        <v>9287</v>
      </c>
      <c r="M87" s="3" t="s">
        <v>184</v>
      </c>
      <c r="N87" s="3" t="s">
        <v>478</v>
      </c>
      <c r="O87" s="29">
        <v>46043.98233796297</v>
      </c>
      <c r="P87" s="29">
        <v>46044.6232175926</v>
      </c>
      <c r="Q87" s="29">
        <v>46044.6232175926</v>
      </c>
      <c r="R87" s="3" t="s">
        <v>9408</v>
      </c>
    </row>
    <row r="88">
      <c r="A88" s="3" t="s">
        <v>9409</v>
      </c>
      <c r="B88" s="3" t="s">
        <v>8993</v>
      </c>
      <c r="C88" s="19">
        <v>30.0</v>
      </c>
      <c r="D88" s="3" t="s">
        <v>9410</v>
      </c>
      <c r="E88" s="2"/>
      <c r="F88" s="3" t="s">
        <v>9003</v>
      </c>
      <c r="G88" s="2"/>
      <c r="H88" s="3" t="s">
        <v>9004</v>
      </c>
      <c r="I88" s="3" t="s">
        <v>8997</v>
      </c>
      <c r="J88" s="25" t="s">
        <v>9411</v>
      </c>
      <c r="L88" s="3" t="s">
        <v>9172</v>
      </c>
      <c r="M88" s="3" t="s">
        <v>110</v>
      </c>
      <c r="N88" s="3" t="s">
        <v>111</v>
      </c>
      <c r="O88" s="29">
        <v>46034.56920138889</v>
      </c>
      <c r="P88" s="29">
        <v>46037.62224537037</v>
      </c>
      <c r="Q88" s="29">
        <v>46034.62159722223</v>
      </c>
      <c r="R88" s="3" t="s">
        <v>9412</v>
      </c>
    </row>
    <row r="89">
      <c r="A89" s="3" t="s">
        <v>9413</v>
      </c>
      <c r="B89" s="3" t="s">
        <v>8993</v>
      </c>
      <c r="C89" s="19">
        <v>58.0</v>
      </c>
      <c r="D89" s="3" t="s">
        <v>9414</v>
      </c>
      <c r="E89" s="3" t="s">
        <v>9415</v>
      </c>
      <c r="F89" s="3" t="s">
        <v>9003</v>
      </c>
      <c r="G89" s="3" t="s">
        <v>8296</v>
      </c>
      <c r="H89" s="3" t="s">
        <v>9004</v>
      </c>
      <c r="I89" s="3" t="s">
        <v>8997</v>
      </c>
      <c r="J89" s="25" t="s">
        <v>9416</v>
      </c>
      <c r="L89" s="3" t="s">
        <v>9287</v>
      </c>
      <c r="M89" s="3" t="s">
        <v>184</v>
      </c>
      <c r="N89" s="3" t="s">
        <v>478</v>
      </c>
      <c r="O89" s="29">
        <v>46043.98228009259</v>
      </c>
      <c r="P89" s="29">
        <v>46044.62305555555</v>
      </c>
      <c r="Q89" s="29">
        <v>46044.62304398148</v>
      </c>
      <c r="R89" s="3" t="s">
        <v>9417</v>
      </c>
    </row>
    <row r="90">
      <c r="A90" s="3" t="s">
        <v>9418</v>
      </c>
      <c r="B90" s="3" t="s">
        <v>8993</v>
      </c>
      <c r="C90" s="19">
        <v>1832.0</v>
      </c>
      <c r="D90" s="3" t="s">
        <v>8522</v>
      </c>
      <c r="E90" s="3" t="s">
        <v>9419</v>
      </c>
      <c r="F90" s="3" t="s">
        <v>9003</v>
      </c>
      <c r="G90" s="3" t="s">
        <v>8292</v>
      </c>
      <c r="H90" s="3" t="s">
        <v>9004</v>
      </c>
      <c r="I90" s="3" t="s">
        <v>8997</v>
      </c>
      <c r="J90" s="25" t="s">
        <v>9420</v>
      </c>
      <c r="L90" s="3" t="s">
        <v>9287</v>
      </c>
      <c r="M90" s="3" t="s">
        <v>184</v>
      </c>
      <c r="N90" s="3" t="s">
        <v>478</v>
      </c>
      <c r="O90" s="29">
        <v>46058.53760416667</v>
      </c>
      <c r="P90" s="29">
        <v>46058.675312499996</v>
      </c>
      <c r="Q90" s="29">
        <v>46058.675312499996</v>
      </c>
      <c r="R90" s="3" t="s">
        <v>9421</v>
      </c>
    </row>
    <row r="91">
      <c r="A91" s="3" t="s">
        <v>9422</v>
      </c>
      <c r="B91" s="3" t="s">
        <v>8993</v>
      </c>
      <c r="C91" s="19">
        <v>1739.0</v>
      </c>
      <c r="D91" s="3" t="s">
        <v>9423</v>
      </c>
      <c r="E91" s="3" t="s">
        <v>9424</v>
      </c>
      <c r="F91" s="3" t="s">
        <v>9003</v>
      </c>
      <c r="G91" s="3" t="s">
        <v>8334</v>
      </c>
      <c r="H91" s="3" t="s">
        <v>9004</v>
      </c>
      <c r="I91" s="3" t="s">
        <v>8997</v>
      </c>
      <c r="J91" s="25" t="s">
        <v>9425</v>
      </c>
      <c r="L91" s="3" t="s">
        <v>9287</v>
      </c>
      <c r="M91" s="3" t="s">
        <v>184</v>
      </c>
      <c r="N91" s="3" t="s">
        <v>478</v>
      </c>
      <c r="O91" s="29">
        <v>46049.616273148145</v>
      </c>
      <c r="P91" s="29">
        <v>46058.67559027778</v>
      </c>
      <c r="Q91" s="29">
        <v>46058.67559027778</v>
      </c>
      <c r="R91" s="3" t="s">
        <v>9426</v>
      </c>
    </row>
    <row r="92">
      <c r="A92" s="3" t="s">
        <v>9427</v>
      </c>
      <c r="B92" s="3" t="s">
        <v>8993</v>
      </c>
      <c r="C92" s="19">
        <v>1831.0</v>
      </c>
      <c r="D92" s="3" t="s">
        <v>8519</v>
      </c>
      <c r="E92" s="3" t="s">
        <v>9428</v>
      </c>
      <c r="F92" s="3" t="s">
        <v>9003</v>
      </c>
      <c r="G92" s="3" t="s">
        <v>8292</v>
      </c>
      <c r="H92" s="3" t="s">
        <v>9004</v>
      </c>
      <c r="I92" s="3" t="s">
        <v>8997</v>
      </c>
      <c r="J92" s="25" t="s">
        <v>9429</v>
      </c>
      <c r="L92" s="3" t="s">
        <v>9287</v>
      </c>
      <c r="M92" s="3" t="s">
        <v>184</v>
      </c>
      <c r="N92" s="3" t="s">
        <v>478</v>
      </c>
      <c r="O92" s="29">
        <v>46058.53758101852</v>
      </c>
      <c r="P92" s="29">
        <v>46058.67523148148</v>
      </c>
      <c r="Q92" s="29">
        <v>46058.67523148148</v>
      </c>
      <c r="R92" s="3" t="s">
        <v>9430</v>
      </c>
    </row>
    <row r="93">
      <c r="A93" s="3" t="s">
        <v>9431</v>
      </c>
      <c r="B93" s="3" t="s">
        <v>8993</v>
      </c>
      <c r="C93" s="19">
        <v>1738.0</v>
      </c>
      <c r="D93" s="3" t="s">
        <v>9432</v>
      </c>
      <c r="E93" s="3" t="s">
        <v>9433</v>
      </c>
      <c r="F93" s="3" t="s">
        <v>9003</v>
      </c>
      <c r="G93" s="3" t="s">
        <v>8296</v>
      </c>
      <c r="H93" s="3" t="s">
        <v>9004</v>
      </c>
      <c r="I93" s="3" t="s">
        <v>8997</v>
      </c>
      <c r="J93" s="25" t="s">
        <v>9434</v>
      </c>
      <c r="L93" s="3" t="s">
        <v>9287</v>
      </c>
      <c r="M93" s="3" t="s">
        <v>184</v>
      </c>
      <c r="N93" s="3" t="s">
        <v>478</v>
      </c>
      <c r="O93" s="29">
        <v>46049.61625</v>
      </c>
      <c r="P93" s="29">
        <v>46058.675416666665</v>
      </c>
      <c r="Q93" s="29">
        <v>46058.675416666665</v>
      </c>
      <c r="R93" s="3" t="s">
        <v>9435</v>
      </c>
    </row>
    <row r="94">
      <c r="A94" s="3" t="s">
        <v>9436</v>
      </c>
      <c r="B94" s="3" t="s">
        <v>8993</v>
      </c>
      <c r="C94" s="19">
        <v>133.0</v>
      </c>
      <c r="D94" s="3" t="s">
        <v>9437</v>
      </c>
      <c r="E94" s="2"/>
      <c r="F94" s="3" t="s">
        <v>9003</v>
      </c>
      <c r="G94" s="2"/>
      <c r="H94" s="3" t="s">
        <v>9004</v>
      </c>
      <c r="I94" s="3" t="s">
        <v>8997</v>
      </c>
      <c r="J94" s="25" t="s">
        <v>9438</v>
      </c>
      <c r="L94" s="3" t="s">
        <v>9439</v>
      </c>
      <c r="M94" s="3" t="s">
        <v>151</v>
      </c>
      <c r="N94" s="3" t="s">
        <v>370</v>
      </c>
      <c r="O94" s="29">
        <v>46044.60128472222</v>
      </c>
      <c r="P94" s="29">
        <v>46044.622187500005</v>
      </c>
      <c r="Q94" s="29">
        <v>46044.62217592592</v>
      </c>
      <c r="R94" s="3" t="s">
        <v>9440</v>
      </c>
    </row>
    <row r="95">
      <c r="A95" s="3" t="s">
        <v>9441</v>
      </c>
      <c r="B95" s="3" t="s">
        <v>8993</v>
      </c>
      <c r="C95" s="19">
        <v>131.0</v>
      </c>
      <c r="D95" s="3" t="s">
        <v>9442</v>
      </c>
      <c r="E95" s="3" t="s">
        <v>9443</v>
      </c>
      <c r="F95" s="3" t="s">
        <v>9003</v>
      </c>
      <c r="G95" s="3" t="s">
        <v>8292</v>
      </c>
      <c r="H95" s="3" t="s">
        <v>9004</v>
      </c>
      <c r="I95" s="3" t="s">
        <v>8997</v>
      </c>
      <c r="J95" s="25" t="s">
        <v>9444</v>
      </c>
      <c r="L95" s="3" t="s">
        <v>9271</v>
      </c>
      <c r="M95" s="3" t="s">
        <v>119</v>
      </c>
      <c r="N95" s="3" t="s">
        <v>251</v>
      </c>
      <c r="O95" s="29">
        <v>46044.58724537037</v>
      </c>
      <c r="P95" s="29">
        <v>46044.62278935185</v>
      </c>
      <c r="Q95" s="29">
        <v>46044.62278935185</v>
      </c>
      <c r="R95" s="3" t="s">
        <v>9445</v>
      </c>
    </row>
    <row r="96">
      <c r="A96" s="3" t="s">
        <v>9446</v>
      </c>
      <c r="B96" s="3" t="s">
        <v>8993</v>
      </c>
      <c r="C96" s="19">
        <v>41.0</v>
      </c>
      <c r="D96" s="3" t="s">
        <v>9447</v>
      </c>
      <c r="E96" s="2"/>
      <c r="F96" s="3" t="s">
        <v>9003</v>
      </c>
      <c r="G96" s="2"/>
      <c r="H96" s="3" t="s">
        <v>9004</v>
      </c>
      <c r="I96" s="3" t="s">
        <v>8997</v>
      </c>
      <c r="J96" s="25" t="s">
        <v>9448</v>
      </c>
      <c r="L96" s="2"/>
      <c r="M96" s="2"/>
      <c r="N96" s="2"/>
      <c r="O96" s="29">
        <v>46037.584444444445</v>
      </c>
      <c r="P96" s="29">
        <v>46043.966099537036</v>
      </c>
      <c r="Q96" s="29">
        <v>46043.966099537036</v>
      </c>
      <c r="R96" s="3" t="s">
        <v>9449</v>
      </c>
    </row>
    <row r="97">
      <c r="A97" s="3" t="s">
        <v>9450</v>
      </c>
      <c r="B97" s="3" t="s">
        <v>8993</v>
      </c>
      <c r="C97" s="19">
        <v>26.0</v>
      </c>
      <c r="D97" s="3" t="s">
        <v>9451</v>
      </c>
      <c r="E97" s="2"/>
      <c r="F97" s="3" t="s">
        <v>9003</v>
      </c>
      <c r="G97" s="3" t="s">
        <v>8303</v>
      </c>
      <c r="H97" s="3" t="s">
        <v>9004</v>
      </c>
      <c r="I97" s="3" t="s">
        <v>8997</v>
      </c>
      <c r="J97" s="25" t="s">
        <v>9452</v>
      </c>
      <c r="L97" s="3" t="s">
        <v>9453</v>
      </c>
      <c r="M97" s="3" t="s">
        <v>6487</v>
      </c>
      <c r="N97" s="3" t="s">
        <v>532</v>
      </c>
      <c r="O97" s="29">
        <v>46029.32517361111</v>
      </c>
      <c r="P97" s="29">
        <v>46037.62116898148</v>
      </c>
      <c r="Q97" s="29">
        <v>46029.483125</v>
      </c>
      <c r="R97" s="3" t="s">
        <v>9454</v>
      </c>
    </row>
    <row r="98">
      <c r="A98" s="3" t="s">
        <v>9455</v>
      </c>
      <c r="B98" s="3" t="s">
        <v>8993</v>
      </c>
      <c r="C98" s="19">
        <v>1778.0</v>
      </c>
      <c r="D98" s="3" t="s">
        <v>8360</v>
      </c>
      <c r="E98" s="3" t="s">
        <v>9456</v>
      </c>
      <c r="F98" s="3" t="s">
        <v>9003</v>
      </c>
      <c r="G98" s="3" t="s">
        <v>8292</v>
      </c>
      <c r="H98" s="3" t="s">
        <v>9004</v>
      </c>
      <c r="I98" s="3" t="s">
        <v>8997</v>
      </c>
      <c r="J98" s="25" t="s">
        <v>9457</v>
      </c>
      <c r="L98" s="3" t="s">
        <v>9079</v>
      </c>
      <c r="M98" s="3" t="s">
        <v>101</v>
      </c>
      <c r="N98" s="3" t="s">
        <v>511</v>
      </c>
      <c r="O98" s="29">
        <v>46056.513090277775</v>
      </c>
      <c r="P98" s="29">
        <v>46063.47712962963</v>
      </c>
      <c r="Q98" s="29">
        <v>46063.47712962963</v>
      </c>
      <c r="R98" s="3" t="s">
        <v>9458</v>
      </c>
    </row>
    <row r="99">
      <c r="A99" s="3" t="s">
        <v>9459</v>
      </c>
      <c r="B99" s="3" t="s">
        <v>8993</v>
      </c>
      <c r="C99" s="19">
        <v>56.0</v>
      </c>
      <c r="D99" s="3" t="s">
        <v>9460</v>
      </c>
      <c r="E99" s="3" t="s">
        <v>9461</v>
      </c>
      <c r="F99" s="3" t="s">
        <v>9003</v>
      </c>
      <c r="G99" s="3" t="s">
        <v>8292</v>
      </c>
      <c r="H99" s="3" t="s">
        <v>9004</v>
      </c>
      <c r="I99" s="3" t="s">
        <v>8997</v>
      </c>
      <c r="J99" s="25" t="s">
        <v>9462</v>
      </c>
      <c r="L99" s="3" t="s">
        <v>9271</v>
      </c>
      <c r="M99" s="3" t="s">
        <v>119</v>
      </c>
      <c r="N99" s="3" t="s">
        <v>251</v>
      </c>
      <c r="O99" s="29">
        <v>46043.9822337963</v>
      </c>
      <c r="P99" s="29">
        <v>46044.53372685185</v>
      </c>
      <c r="Q99" s="29">
        <v>46044.53372685185</v>
      </c>
      <c r="R99" s="3" t="s">
        <v>9463</v>
      </c>
    </row>
    <row r="100">
      <c r="A100" s="3" t="s">
        <v>9464</v>
      </c>
      <c r="B100" s="3" t="s">
        <v>8993</v>
      </c>
      <c r="C100" s="19">
        <v>1751.0</v>
      </c>
      <c r="D100" s="3" t="s">
        <v>9465</v>
      </c>
      <c r="E100" s="3" t="s">
        <v>9466</v>
      </c>
      <c r="F100" s="3" t="s">
        <v>9003</v>
      </c>
      <c r="G100" s="3" t="s">
        <v>8334</v>
      </c>
      <c r="H100" s="3" t="s">
        <v>9004</v>
      </c>
      <c r="I100" s="3" t="s">
        <v>8997</v>
      </c>
      <c r="J100" s="25" t="s">
        <v>9467</v>
      </c>
      <c r="L100" s="3" t="s">
        <v>9271</v>
      </c>
      <c r="M100" s="3" t="s">
        <v>119</v>
      </c>
      <c r="N100" s="3" t="s">
        <v>251</v>
      </c>
      <c r="O100" s="29">
        <v>46049.98341435185</v>
      </c>
      <c r="P100" s="29">
        <v>46056.63486111111</v>
      </c>
      <c r="Q100" s="29">
        <v>46056.63486111111</v>
      </c>
      <c r="R100" s="3" t="s">
        <v>9468</v>
      </c>
    </row>
    <row r="101">
      <c r="A101" s="3" t="s">
        <v>9469</v>
      </c>
      <c r="B101" s="3" t="s">
        <v>8993</v>
      </c>
      <c r="C101" s="19">
        <v>55.0</v>
      </c>
      <c r="D101" s="3" t="s">
        <v>9470</v>
      </c>
      <c r="E101" s="3" t="s">
        <v>9471</v>
      </c>
      <c r="F101" s="3" t="s">
        <v>9003</v>
      </c>
      <c r="G101" s="3" t="s">
        <v>8292</v>
      </c>
      <c r="H101" s="3" t="s">
        <v>9004</v>
      </c>
      <c r="I101" s="3" t="s">
        <v>8997</v>
      </c>
      <c r="J101" s="25" t="s">
        <v>9472</v>
      </c>
      <c r="L101" s="3" t="s">
        <v>9271</v>
      </c>
      <c r="M101" s="3" t="s">
        <v>119</v>
      </c>
      <c r="N101" s="3" t="s">
        <v>251</v>
      </c>
      <c r="O101" s="29">
        <v>46043.982199074075</v>
      </c>
      <c r="P101" s="29">
        <v>46044.533680555556</v>
      </c>
      <c r="Q101" s="29">
        <v>46044.533680555556</v>
      </c>
      <c r="R101" s="3" t="s">
        <v>9473</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location="inbox/FMfcgzQfBQCSfWFpcvdKjQfjddfJWnfj" ref="E67"/>
    <hyperlink r:id="rId67" ref="J67"/>
    <hyperlink r:id="rId68" ref="J68"/>
    <hyperlink r:id="rId69" ref="J69"/>
    <hyperlink r:id="rId70" ref="J70"/>
    <hyperlink r:id="rId71" ref="J71"/>
    <hyperlink r:id="rId72" ref="J72"/>
    <hyperlink r:id="rId73" ref="J73"/>
    <hyperlink r:id="rId74" ref="J74"/>
    <hyperlink r:id="rId75" ref="J75"/>
    <hyperlink r:id="rId76" ref="J76"/>
    <hyperlink r:id="rId77" ref="J77"/>
    <hyperlink r:id="rId78" ref="J78"/>
    <hyperlink r:id="rId79" ref="J79"/>
    <hyperlink r:id="rId80" ref="J80"/>
    <hyperlink r:id="rId81" ref="J81"/>
    <hyperlink r:id="rId82" ref="J82"/>
    <hyperlink r:id="rId83" ref="J83"/>
    <hyperlink r:id="rId84" ref="J84"/>
    <hyperlink r:id="rId85" ref="J85"/>
    <hyperlink r:id="rId86" ref="J86"/>
    <hyperlink r:id="rId87" ref="J87"/>
    <hyperlink r:id="rId88" ref="J88"/>
    <hyperlink r:id="rId89" ref="J89"/>
    <hyperlink r:id="rId90" ref="J90"/>
    <hyperlink r:id="rId91" ref="J91"/>
    <hyperlink r:id="rId92" ref="J92"/>
    <hyperlink r:id="rId93" ref="J93"/>
    <hyperlink r:id="rId94" ref="J94"/>
    <hyperlink r:id="rId95" ref="J95"/>
    <hyperlink r:id="rId96" ref="J96"/>
    <hyperlink r:id="rId97" ref="J97"/>
    <hyperlink r:id="rId98" ref="J98"/>
    <hyperlink r:id="rId99" ref="J99"/>
    <hyperlink r:id="rId100" ref="J100"/>
    <hyperlink r:id="rId101" ref="J101"/>
  </hyperlinks>
  <drawing r:id="rId10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5"/>
    <col customWidth="1" min="2" max="2" width="15.75"/>
    <col customWidth="1" min="3" max="3" width="44.63"/>
    <col customWidth="1" min="4" max="4" width="14.0"/>
    <col customWidth="1" min="5" max="5" width="80.25"/>
    <col customWidth="1" min="6" max="6" width="25.5"/>
    <col customWidth="1" min="7" max="7" width="67.38"/>
    <col customWidth="1" min="8" max="8" width="14.75"/>
    <col customWidth="1" min="9" max="9" width="78.75"/>
    <col customWidth="1" min="10" max="10" width="179.63"/>
    <col customWidth="1" min="11" max="11" width="15.5"/>
    <col customWidth="1" min="12" max="13" width="15.88"/>
    <col customWidth="1" min="14" max="14" width="13.5"/>
    <col customWidth="1" min="15" max="15" width="15.5"/>
  </cols>
  <sheetData>
    <row r="1">
      <c r="A1" s="38" t="s">
        <v>9474</v>
      </c>
      <c r="B1" s="38" t="s">
        <v>9475</v>
      </c>
      <c r="C1" s="38" t="s">
        <v>9476</v>
      </c>
      <c r="D1" s="38" t="s">
        <v>9477</v>
      </c>
      <c r="E1" s="38" t="s">
        <v>9478</v>
      </c>
      <c r="F1" s="38" t="s">
        <v>9479</v>
      </c>
      <c r="G1" s="38" t="s">
        <v>9480</v>
      </c>
      <c r="H1" s="38" t="s">
        <v>9481</v>
      </c>
      <c r="I1" s="38" t="s">
        <v>9482</v>
      </c>
      <c r="J1" s="38" t="s">
        <v>9483</v>
      </c>
      <c r="K1" s="38" t="s">
        <v>9484</v>
      </c>
      <c r="L1" s="38" t="s">
        <v>94</v>
      </c>
      <c r="M1" s="38" t="s">
        <v>95</v>
      </c>
      <c r="N1" s="38" t="s">
        <v>9485</v>
      </c>
      <c r="O1" s="38" t="s">
        <v>9484</v>
      </c>
    </row>
    <row r="2">
      <c r="A2" s="35" t="s">
        <v>9486</v>
      </c>
      <c r="B2" s="39">
        <v>46043.36975694445</v>
      </c>
      <c r="C2" s="35" t="s">
        <v>9487</v>
      </c>
      <c r="D2" s="40" t="s">
        <v>7081</v>
      </c>
      <c r="E2" s="35" t="s">
        <v>9488</v>
      </c>
      <c r="F2" s="40" t="s">
        <v>9489</v>
      </c>
      <c r="G2" s="35"/>
      <c r="H2" s="35"/>
      <c r="I2" s="35" t="s">
        <v>9490</v>
      </c>
      <c r="J2" s="35" t="s">
        <v>9491</v>
      </c>
      <c r="K2" s="35" t="s">
        <v>119</v>
      </c>
      <c r="L2" s="35" t="s">
        <v>119</v>
      </c>
      <c r="M2" s="35" t="s">
        <v>251</v>
      </c>
      <c r="N2" s="35"/>
      <c r="O2" s="3"/>
    </row>
    <row r="3">
      <c r="A3" s="35" t="s">
        <v>9492</v>
      </c>
      <c r="B3" s="39">
        <v>46042.57326388889</v>
      </c>
      <c r="C3" s="35" t="s">
        <v>9488</v>
      </c>
      <c r="D3" s="40" t="s">
        <v>9489</v>
      </c>
      <c r="E3" s="35" t="s">
        <v>9487</v>
      </c>
      <c r="F3" s="40" t="s">
        <v>7081</v>
      </c>
      <c r="G3" s="35"/>
      <c r="H3" s="35"/>
      <c r="I3" s="35" t="s">
        <v>9493</v>
      </c>
      <c r="J3" s="35" t="s">
        <v>9494</v>
      </c>
      <c r="K3" s="35" t="s">
        <v>119</v>
      </c>
      <c r="L3" s="35" t="s">
        <v>119</v>
      </c>
      <c r="M3" s="35" t="s">
        <v>251</v>
      </c>
      <c r="N3" s="35"/>
      <c r="O3" s="3"/>
    </row>
    <row r="4">
      <c r="A4" s="35" t="s">
        <v>9495</v>
      </c>
      <c r="B4" s="39">
        <v>46038.54844907408</v>
      </c>
      <c r="C4" s="35" t="s">
        <v>9496</v>
      </c>
      <c r="D4" s="40" t="s">
        <v>9489</v>
      </c>
      <c r="E4" s="35" t="s">
        <v>9497</v>
      </c>
      <c r="F4" s="35" t="s">
        <v>9498</v>
      </c>
      <c r="G4" s="35"/>
      <c r="H4" s="35"/>
      <c r="I4" s="35" t="s">
        <v>9499</v>
      </c>
      <c r="J4" s="35" t="s">
        <v>9500</v>
      </c>
      <c r="K4" s="35" t="s">
        <v>6450</v>
      </c>
      <c r="L4" s="35" t="s">
        <v>6450</v>
      </c>
      <c r="M4" s="35" t="s">
        <v>552</v>
      </c>
      <c r="N4" s="35"/>
      <c r="O4" s="3"/>
    </row>
    <row r="5">
      <c r="A5" s="35" t="s">
        <v>9501</v>
      </c>
      <c r="B5" s="39">
        <v>46038.55084490741</v>
      </c>
      <c r="C5" s="35" t="s">
        <v>9488</v>
      </c>
      <c r="D5" s="40" t="s">
        <v>9489</v>
      </c>
      <c r="E5" s="35" t="s">
        <v>9496</v>
      </c>
      <c r="F5" s="40" t="s">
        <v>9489</v>
      </c>
      <c r="G5" s="35" t="s">
        <v>9502</v>
      </c>
      <c r="H5" s="35" t="s">
        <v>9498</v>
      </c>
      <c r="I5" s="35" t="s">
        <v>9503</v>
      </c>
      <c r="J5" s="35" t="s">
        <v>9504</v>
      </c>
      <c r="K5" s="35" t="s">
        <v>6450</v>
      </c>
      <c r="L5" s="35" t="s">
        <v>6450</v>
      </c>
      <c r="M5" s="35" t="s">
        <v>552</v>
      </c>
      <c r="N5" s="35"/>
      <c r="O5" s="3"/>
    </row>
    <row r="6">
      <c r="A6" s="35" t="s">
        <v>9505</v>
      </c>
      <c r="B6" s="39">
        <v>46038.53518518519</v>
      </c>
      <c r="C6" s="35" t="s">
        <v>9496</v>
      </c>
      <c r="D6" s="40" t="s">
        <v>9489</v>
      </c>
      <c r="E6" s="35" t="s">
        <v>9506</v>
      </c>
      <c r="F6" s="35" t="s">
        <v>9507</v>
      </c>
      <c r="G6" s="35"/>
      <c r="H6" s="35"/>
      <c r="I6" s="35" t="s">
        <v>9508</v>
      </c>
      <c r="J6" s="35" t="s">
        <v>9509</v>
      </c>
      <c r="K6" s="35" t="s">
        <v>6450</v>
      </c>
      <c r="L6" s="35" t="s">
        <v>6450</v>
      </c>
      <c r="M6" s="35" t="s">
        <v>552</v>
      </c>
      <c r="N6" s="35"/>
      <c r="O6" s="3"/>
    </row>
    <row r="7">
      <c r="A7" s="35" t="s">
        <v>9510</v>
      </c>
      <c r="B7" s="39">
        <v>46038.48486111111</v>
      </c>
      <c r="C7" s="35" t="s">
        <v>9487</v>
      </c>
      <c r="D7" s="40" t="s">
        <v>7081</v>
      </c>
      <c r="E7" s="35" t="s">
        <v>9488</v>
      </c>
      <c r="F7" s="40" t="s">
        <v>9489</v>
      </c>
      <c r="G7" s="35"/>
      <c r="H7" s="35"/>
      <c r="I7" s="35" t="s">
        <v>9490</v>
      </c>
      <c r="J7" s="35" t="s">
        <v>9491</v>
      </c>
      <c r="K7" s="35" t="s">
        <v>119</v>
      </c>
      <c r="L7" s="35" t="s">
        <v>119</v>
      </c>
      <c r="M7" s="35" t="s">
        <v>251</v>
      </c>
      <c r="N7" s="35"/>
      <c r="O7" s="3"/>
    </row>
    <row r="8">
      <c r="A8" s="35" t="s">
        <v>9511</v>
      </c>
      <c r="B8" s="39">
        <v>46038.48474537037</v>
      </c>
      <c r="C8" s="35" t="s">
        <v>9487</v>
      </c>
      <c r="D8" s="40" t="s">
        <v>7081</v>
      </c>
      <c r="E8" s="35" t="s">
        <v>9488</v>
      </c>
      <c r="F8" s="40" t="s">
        <v>9489</v>
      </c>
      <c r="G8" s="35"/>
      <c r="H8" s="35"/>
      <c r="I8" s="35" t="s">
        <v>9512</v>
      </c>
      <c r="J8" s="35" t="s">
        <v>9513</v>
      </c>
      <c r="K8" s="35" t="s">
        <v>119</v>
      </c>
      <c r="L8" s="35" t="s">
        <v>119</v>
      </c>
      <c r="M8" s="35" t="s">
        <v>251</v>
      </c>
      <c r="N8" s="35"/>
      <c r="O8" s="3"/>
    </row>
    <row r="9">
      <c r="A9" s="35" t="s">
        <v>9514</v>
      </c>
      <c r="B9" s="39">
        <v>46038.48866898148</v>
      </c>
      <c r="C9" s="35" t="s">
        <v>9488</v>
      </c>
      <c r="D9" s="40" t="s">
        <v>9489</v>
      </c>
      <c r="E9" s="35" t="s">
        <v>9487</v>
      </c>
      <c r="F9" s="40" t="s">
        <v>7081</v>
      </c>
      <c r="G9" s="35"/>
      <c r="H9" s="35"/>
      <c r="I9" s="35" t="s">
        <v>9515</v>
      </c>
      <c r="J9" s="35" t="s">
        <v>9516</v>
      </c>
      <c r="K9" s="35" t="s">
        <v>119</v>
      </c>
      <c r="L9" s="35" t="s">
        <v>119</v>
      </c>
      <c r="M9" s="35" t="s">
        <v>251</v>
      </c>
      <c r="N9" s="35"/>
      <c r="O9" s="3"/>
    </row>
    <row r="10">
      <c r="A10" s="35" t="s">
        <v>9517</v>
      </c>
      <c r="B10" s="39">
        <v>46035.35834490741</v>
      </c>
      <c r="C10" s="35" t="s">
        <v>9518</v>
      </c>
      <c r="D10" s="40" t="s">
        <v>7080</v>
      </c>
      <c r="E10" s="35" t="s">
        <v>9488</v>
      </c>
      <c r="F10" s="40" t="s">
        <v>9489</v>
      </c>
      <c r="G10" s="35" t="s">
        <v>9496</v>
      </c>
      <c r="H10" s="40" t="s">
        <v>9489</v>
      </c>
      <c r="I10" s="35" t="s">
        <v>9519</v>
      </c>
      <c r="J10" s="35" t="s">
        <v>9520</v>
      </c>
      <c r="K10" s="35" t="s">
        <v>166</v>
      </c>
      <c r="L10" s="35" t="s">
        <v>166</v>
      </c>
      <c r="M10" s="35" t="s">
        <v>167</v>
      </c>
      <c r="N10" s="35"/>
      <c r="O10" s="3"/>
    </row>
    <row r="11">
      <c r="A11" s="35" t="s">
        <v>9521</v>
      </c>
      <c r="B11" s="39">
        <v>46038.502789351856</v>
      </c>
      <c r="C11" s="35" t="s">
        <v>9488</v>
      </c>
      <c r="D11" s="40" t="s">
        <v>9489</v>
      </c>
      <c r="E11" s="35" t="s">
        <v>9518</v>
      </c>
      <c r="F11" s="40" t="s">
        <v>7080</v>
      </c>
      <c r="G11" s="35" t="s">
        <v>9496</v>
      </c>
      <c r="H11" s="40" t="s">
        <v>9489</v>
      </c>
      <c r="I11" s="35" t="s">
        <v>9522</v>
      </c>
      <c r="J11" s="35" t="s">
        <v>9523</v>
      </c>
      <c r="K11" s="35" t="s">
        <v>166</v>
      </c>
      <c r="L11" s="35" t="s">
        <v>166</v>
      </c>
      <c r="M11" s="35" t="s">
        <v>167</v>
      </c>
      <c r="N11" s="35"/>
      <c r="O11" s="3"/>
    </row>
    <row r="12">
      <c r="A12" s="35" t="s">
        <v>9524</v>
      </c>
      <c r="B12" s="39">
        <v>46038.51148148148</v>
      </c>
      <c r="C12" s="35" t="s">
        <v>9488</v>
      </c>
      <c r="D12" s="40" t="s">
        <v>9489</v>
      </c>
      <c r="E12" s="35" t="s">
        <v>9518</v>
      </c>
      <c r="F12" s="40" t="s">
        <v>7080</v>
      </c>
      <c r="G12" s="35" t="s">
        <v>9496</v>
      </c>
      <c r="H12" s="40" t="s">
        <v>9489</v>
      </c>
      <c r="I12" s="35" t="s">
        <v>9522</v>
      </c>
      <c r="J12" s="35" t="s">
        <v>9525</v>
      </c>
      <c r="K12" s="35" t="s">
        <v>166</v>
      </c>
      <c r="L12" s="35" t="s">
        <v>166</v>
      </c>
      <c r="M12" s="35" t="s">
        <v>167</v>
      </c>
      <c r="N12" s="35"/>
      <c r="O12" s="3"/>
    </row>
    <row r="13">
      <c r="A13" s="35" t="s">
        <v>9526</v>
      </c>
      <c r="B13" s="39">
        <v>46034.38548611111</v>
      </c>
      <c r="C13" s="35" t="s">
        <v>9527</v>
      </c>
      <c r="D13" s="40" t="s">
        <v>9489</v>
      </c>
      <c r="E13" s="35" t="s">
        <v>9528</v>
      </c>
      <c r="F13" s="35" t="s">
        <v>9507</v>
      </c>
      <c r="G13" s="35"/>
      <c r="H13" s="35"/>
      <c r="I13" s="35" t="s">
        <v>9529</v>
      </c>
      <c r="J13" s="35" t="s">
        <v>9530</v>
      </c>
      <c r="K13" s="35" t="s">
        <v>6450</v>
      </c>
      <c r="L13" s="35" t="s">
        <v>6450</v>
      </c>
      <c r="M13" s="35" t="s">
        <v>552</v>
      </c>
      <c r="N13" s="35"/>
      <c r="O13" s="3"/>
    </row>
    <row r="14">
      <c r="A14" s="35" t="s">
        <v>9531</v>
      </c>
      <c r="B14" s="39">
        <v>46029.72607638889</v>
      </c>
      <c r="C14" s="35" t="s">
        <v>9487</v>
      </c>
      <c r="D14" s="40" t="s">
        <v>7081</v>
      </c>
      <c r="E14" s="35" t="s">
        <v>9488</v>
      </c>
      <c r="F14" s="40" t="s">
        <v>9489</v>
      </c>
      <c r="G14" s="35"/>
      <c r="H14" s="35"/>
      <c r="I14" s="35" t="s">
        <v>9532</v>
      </c>
      <c r="J14" s="35" t="s">
        <v>9491</v>
      </c>
      <c r="K14" s="35" t="s">
        <v>119</v>
      </c>
      <c r="L14" s="35" t="s">
        <v>119</v>
      </c>
      <c r="M14" s="35" t="s">
        <v>251</v>
      </c>
      <c r="N14" s="35"/>
      <c r="O14" s="3"/>
    </row>
    <row r="15">
      <c r="A15" s="35" t="s">
        <v>9533</v>
      </c>
      <c r="B15" s="39">
        <v>46029.55149305555</v>
      </c>
      <c r="C15" s="35" t="s">
        <v>9487</v>
      </c>
      <c r="D15" s="40" t="s">
        <v>7081</v>
      </c>
      <c r="E15" s="35" t="s">
        <v>9534</v>
      </c>
      <c r="F15" s="40" t="s">
        <v>9489</v>
      </c>
      <c r="G15" s="35"/>
      <c r="H15" s="35"/>
      <c r="I15" s="35" t="s">
        <v>9535</v>
      </c>
      <c r="J15" s="35" t="s">
        <v>9536</v>
      </c>
      <c r="K15" s="35" t="s">
        <v>119</v>
      </c>
      <c r="L15" s="35" t="s">
        <v>119</v>
      </c>
      <c r="M15" s="35" t="s">
        <v>251</v>
      </c>
      <c r="N15" s="35"/>
      <c r="O15" s="3"/>
    </row>
    <row r="16">
      <c r="A16" s="35" t="s">
        <v>9537</v>
      </c>
      <c r="B16" s="39">
        <v>46029.55028935186</v>
      </c>
      <c r="C16" s="35" t="s">
        <v>9487</v>
      </c>
      <c r="D16" s="40" t="s">
        <v>7081</v>
      </c>
      <c r="E16" s="35" t="s">
        <v>9534</v>
      </c>
      <c r="F16" s="40" t="s">
        <v>9489</v>
      </c>
      <c r="G16" s="35"/>
      <c r="H16" s="35"/>
      <c r="I16" s="35" t="s">
        <v>9538</v>
      </c>
      <c r="J16" s="35" t="s">
        <v>9539</v>
      </c>
      <c r="K16" s="35" t="s">
        <v>119</v>
      </c>
      <c r="L16" s="35" t="s">
        <v>119</v>
      </c>
      <c r="M16" s="35" t="s">
        <v>251</v>
      </c>
      <c r="N16" s="35"/>
      <c r="O16" s="3"/>
    </row>
    <row r="17">
      <c r="A17" s="35" t="s">
        <v>9540</v>
      </c>
      <c r="B17" s="39">
        <v>46029.55247685185</v>
      </c>
      <c r="C17" s="35" t="s">
        <v>9487</v>
      </c>
      <c r="D17" s="40" t="s">
        <v>7081</v>
      </c>
      <c r="E17" s="35" t="s">
        <v>9534</v>
      </c>
      <c r="F17" s="40" t="s">
        <v>9489</v>
      </c>
      <c r="G17" s="35"/>
      <c r="H17" s="35"/>
      <c r="I17" s="35" t="s">
        <v>9541</v>
      </c>
      <c r="J17" s="35" t="s">
        <v>9542</v>
      </c>
      <c r="K17" s="35" t="s">
        <v>119</v>
      </c>
      <c r="L17" s="35" t="s">
        <v>119</v>
      </c>
      <c r="M17" s="35" t="s">
        <v>251</v>
      </c>
      <c r="N17" s="35"/>
      <c r="O17" s="3"/>
    </row>
    <row r="18">
      <c r="A18" s="35" t="s">
        <v>9543</v>
      </c>
      <c r="B18" s="39">
        <v>46029.58887731482</v>
      </c>
      <c r="C18" s="35" t="s">
        <v>9488</v>
      </c>
      <c r="D18" s="40" t="s">
        <v>9489</v>
      </c>
      <c r="E18" s="35" t="s">
        <v>9487</v>
      </c>
      <c r="F18" s="40" t="s">
        <v>7081</v>
      </c>
      <c r="G18" s="35" t="s">
        <v>9544</v>
      </c>
      <c r="H18" s="40" t="s">
        <v>9489</v>
      </c>
      <c r="I18" s="35" t="s">
        <v>9545</v>
      </c>
      <c r="J18" s="35" t="s">
        <v>9546</v>
      </c>
      <c r="K18" s="35" t="s">
        <v>119</v>
      </c>
      <c r="L18" s="35" t="s">
        <v>119</v>
      </c>
      <c r="M18" s="35" t="s">
        <v>251</v>
      </c>
      <c r="N18" s="35"/>
      <c r="O18" s="3"/>
    </row>
    <row r="19">
      <c r="A19" s="35" t="s">
        <v>9547</v>
      </c>
      <c r="B19" s="39">
        <v>46029.62972222222</v>
      </c>
      <c r="C19" s="35" t="s">
        <v>9487</v>
      </c>
      <c r="D19" s="40" t="s">
        <v>7081</v>
      </c>
      <c r="E19" s="35" t="s">
        <v>9488</v>
      </c>
      <c r="F19" s="40" t="s">
        <v>9489</v>
      </c>
      <c r="G19" s="35" t="s">
        <v>9544</v>
      </c>
      <c r="H19" s="40" t="s">
        <v>9489</v>
      </c>
      <c r="I19" s="35" t="s">
        <v>9548</v>
      </c>
      <c r="J19" s="35" t="s">
        <v>9549</v>
      </c>
      <c r="K19" s="35" t="s">
        <v>119</v>
      </c>
      <c r="L19" s="35" t="s">
        <v>119</v>
      </c>
      <c r="M19" s="35" t="s">
        <v>251</v>
      </c>
      <c r="N19" s="35"/>
      <c r="O19" s="3"/>
    </row>
    <row r="20">
      <c r="A20" s="35" t="s">
        <v>9550</v>
      </c>
      <c r="B20" s="39">
        <v>46029.632939814815</v>
      </c>
      <c r="C20" s="35" t="s">
        <v>9488</v>
      </c>
      <c r="D20" s="40" t="s">
        <v>9489</v>
      </c>
      <c r="E20" s="35" t="s">
        <v>9487</v>
      </c>
      <c r="F20" s="40" t="s">
        <v>7081</v>
      </c>
      <c r="G20" s="35" t="s">
        <v>9544</v>
      </c>
      <c r="H20" s="40" t="s">
        <v>9489</v>
      </c>
      <c r="I20" s="35" t="s">
        <v>9551</v>
      </c>
      <c r="J20" s="35" t="s">
        <v>9552</v>
      </c>
      <c r="K20" s="35" t="s">
        <v>119</v>
      </c>
      <c r="L20" s="35" t="s">
        <v>119</v>
      </c>
      <c r="M20" s="35" t="s">
        <v>251</v>
      </c>
      <c r="N20" s="35"/>
      <c r="O20" s="3"/>
    </row>
    <row r="21">
      <c r="A21" s="35" t="s">
        <v>9553</v>
      </c>
      <c r="B21" s="39">
        <v>46028.63452546296</v>
      </c>
      <c r="C21" s="35" t="s">
        <v>9488</v>
      </c>
      <c r="D21" s="40" t="s">
        <v>9489</v>
      </c>
      <c r="E21" s="35" t="s">
        <v>9554</v>
      </c>
      <c r="F21" s="35" t="s">
        <v>9555</v>
      </c>
      <c r="G21" s="35" t="s">
        <v>9556</v>
      </c>
      <c r="H21" s="40" t="s">
        <v>9489</v>
      </c>
      <c r="I21" s="35" t="s">
        <v>9557</v>
      </c>
      <c r="J21" s="35" t="s">
        <v>9558</v>
      </c>
      <c r="K21" s="35" t="s">
        <v>6807</v>
      </c>
      <c r="L21" s="35" t="s">
        <v>6807</v>
      </c>
      <c r="M21" s="35" t="s">
        <v>572</v>
      </c>
      <c r="N21" s="35"/>
      <c r="O21" s="3"/>
    </row>
    <row r="22">
      <c r="A22" s="35" t="s">
        <v>9559</v>
      </c>
      <c r="B22" s="39">
        <v>46028.568148148144</v>
      </c>
      <c r="C22" s="35" t="s">
        <v>9488</v>
      </c>
      <c r="D22" s="40" t="s">
        <v>9489</v>
      </c>
      <c r="E22" s="35" t="s">
        <v>9560</v>
      </c>
      <c r="F22" s="35" t="s">
        <v>9561</v>
      </c>
      <c r="G22" s="35"/>
      <c r="H22" s="35"/>
      <c r="I22" s="35" t="s">
        <v>7546</v>
      </c>
      <c r="J22" s="35" t="s">
        <v>9562</v>
      </c>
      <c r="K22" s="35" t="s">
        <v>119</v>
      </c>
      <c r="L22" s="35" t="s">
        <v>119</v>
      </c>
      <c r="M22" s="35" t="s">
        <v>251</v>
      </c>
      <c r="N22" s="35"/>
      <c r="O22" s="3"/>
    </row>
    <row r="23">
      <c r="A23" s="35" t="s">
        <v>9563</v>
      </c>
      <c r="B23" s="39">
        <v>46028.66653935185</v>
      </c>
      <c r="C23" s="35" t="s">
        <v>9487</v>
      </c>
      <c r="D23" s="40" t="s">
        <v>7081</v>
      </c>
      <c r="E23" s="35" t="s">
        <v>9488</v>
      </c>
      <c r="F23" s="40" t="s">
        <v>9489</v>
      </c>
      <c r="G23" s="35"/>
      <c r="H23" s="35"/>
      <c r="I23" s="35" t="s">
        <v>9564</v>
      </c>
      <c r="J23" s="35" t="s">
        <v>9565</v>
      </c>
      <c r="K23" s="35" t="s">
        <v>119</v>
      </c>
      <c r="L23" s="35" t="s">
        <v>119</v>
      </c>
      <c r="M23" s="35" t="s">
        <v>251</v>
      </c>
      <c r="N23" s="35"/>
      <c r="O23" s="3"/>
    </row>
    <row r="24">
      <c r="A24" s="35" t="s">
        <v>9566</v>
      </c>
      <c r="B24" s="39">
        <v>46028.66726851852</v>
      </c>
      <c r="C24" s="35" t="s">
        <v>9488</v>
      </c>
      <c r="D24" s="40" t="s">
        <v>9489</v>
      </c>
      <c r="E24" s="35" t="s">
        <v>9487</v>
      </c>
      <c r="F24" s="40" t="s">
        <v>7081</v>
      </c>
      <c r="G24" s="35"/>
      <c r="H24" s="35"/>
      <c r="I24" s="35" t="s">
        <v>9564</v>
      </c>
      <c r="J24" s="35" t="s">
        <v>9567</v>
      </c>
      <c r="K24" s="35" t="s">
        <v>119</v>
      </c>
      <c r="L24" s="35" t="s">
        <v>119</v>
      </c>
      <c r="M24" s="35" t="s">
        <v>251</v>
      </c>
      <c r="N24" s="35"/>
      <c r="O24" s="3"/>
    </row>
    <row r="25">
      <c r="A25" s="35" t="s">
        <v>9568</v>
      </c>
      <c r="B25" s="39">
        <v>46023.385462962964</v>
      </c>
      <c r="C25" s="35" t="s">
        <v>9527</v>
      </c>
      <c r="D25" s="40" t="s">
        <v>9489</v>
      </c>
      <c r="E25" s="35" t="s">
        <v>9569</v>
      </c>
      <c r="F25" s="35" t="s">
        <v>9570</v>
      </c>
      <c r="G25" s="35"/>
      <c r="H25" s="35"/>
      <c r="I25" s="35" t="s">
        <v>9571</v>
      </c>
      <c r="J25" s="35" t="s">
        <v>9572</v>
      </c>
      <c r="K25" s="35" t="s">
        <v>172</v>
      </c>
      <c r="L25" s="35" t="s">
        <v>172</v>
      </c>
      <c r="M25" s="35" t="s">
        <v>173</v>
      </c>
      <c r="N25" s="35"/>
      <c r="O25" s="3"/>
    </row>
    <row r="26">
      <c r="A26" s="35" t="s">
        <v>9573</v>
      </c>
      <c r="B26" s="39">
        <v>46021.385462962964</v>
      </c>
      <c r="C26" s="35" t="s">
        <v>9527</v>
      </c>
      <c r="D26" s="40" t="s">
        <v>9489</v>
      </c>
      <c r="E26" s="35" t="s">
        <v>9574</v>
      </c>
      <c r="F26" s="35" t="s">
        <v>9575</v>
      </c>
      <c r="G26" s="35"/>
      <c r="H26" s="35"/>
      <c r="I26" s="35" t="s">
        <v>9576</v>
      </c>
      <c r="J26" s="35" t="s">
        <v>9577</v>
      </c>
      <c r="K26" s="35" t="s">
        <v>119</v>
      </c>
      <c r="L26" s="35" t="s">
        <v>119</v>
      </c>
      <c r="M26" s="35" t="s">
        <v>251</v>
      </c>
      <c r="N26" s="35"/>
      <c r="O26" s="3"/>
    </row>
    <row r="27">
      <c r="A27" s="35" t="s">
        <v>9578</v>
      </c>
      <c r="B27" s="39">
        <v>46013.44002314815</v>
      </c>
      <c r="C27" s="35" t="s">
        <v>9496</v>
      </c>
      <c r="D27" s="40" t="s">
        <v>9489</v>
      </c>
      <c r="E27" s="35" t="s">
        <v>9579</v>
      </c>
      <c r="F27" s="35" t="s">
        <v>9580</v>
      </c>
      <c r="G27" s="35"/>
      <c r="H27" s="35"/>
      <c r="I27" s="35" t="s">
        <v>9581</v>
      </c>
      <c r="J27" s="35" t="s">
        <v>9582</v>
      </c>
      <c r="K27" s="35" t="s">
        <v>166</v>
      </c>
      <c r="L27" s="35" t="s">
        <v>166</v>
      </c>
      <c r="M27" s="35" t="s">
        <v>167</v>
      </c>
      <c r="N27" s="35"/>
      <c r="O27" s="3"/>
    </row>
    <row r="28">
      <c r="A28" s="35" t="s">
        <v>9583</v>
      </c>
      <c r="B28" s="39">
        <v>46013.43855324074</v>
      </c>
      <c r="C28" s="35" t="s">
        <v>9487</v>
      </c>
      <c r="D28" s="40" t="s">
        <v>7081</v>
      </c>
      <c r="E28" s="35" t="s">
        <v>9488</v>
      </c>
      <c r="F28" s="40" t="s">
        <v>9489</v>
      </c>
      <c r="G28" s="35"/>
      <c r="H28" s="35"/>
      <c r="I28" s="35" t="s">
        <v>9490</v>
      </c>
      <c r="J28" s="35" t="s">
        <v>9491</v>
      </c>
      <c r="K28" s="35" t="s">
        <v>119</v>
      </c>
      <c r="L28" s="35" t="s">
        <v>119</v>
      </c>
      <c r="M28" s="35" t="s">
        <v>251</v>
      </c>
      <c r="N28" s="35"/>
      <c r="O28" s="3"/>
    </row>
    <row r="29">
      <c r="A29" s="35" t="s">
        <v>9584</v>
      </c>
      <c r="B29" s="39">
        <v>46012.76118055556</v>
      </c>
      <c r="C29" s="35" t="s">
        <v>9496</v>
      </c>
      <c r="D29" s="40" t="s">
        <v>9489</v>
      </c>
      <c r="E29" s="35" t="s">
        <v>9585</v>
      </c>
      <c r="F29" s="35" t="s">
        <v>9498</v>
      </c>
      <c r="G29" s="35" t="s">
        <v>9586</v>
      </c>
      <c r="H29" s="40" t="s">
        <v>7079</v>
      </c>
      <c r="I29" s="35" t="s">
        <v>9587</v>
      </c>
      <c r="J29" s="35" t="s">
        <v>9588</v>
      </c>
      <c r="K29" s="35" t="s">
        <v>6450</v>
      </c>
      <c r="L29" s="35" t="s">
        <v>6450</v>
      </c>
      <c r="M29" s="35" t="s">
        <v>552</v>
      </c>
      <c r="N29" s="35"/>
      <c r="O29" s="3"/>
    </row>
    <row r="30">
      <c r="A30" s="35" t="s">
        <v>9589</v>
      </c>
      <c r="B30" s="39">
        <v>46010.63417824074</v>
      </c>
      <c r="C30" s="35" t="s">
        <v>9496</v>
      </c>
      <c r="D30" s="40" t="s">
        <v>9489</v>
      </c>
      <c r="E30" s="35" t="s">
        <v>9590</v>
      </c>
      <c r="F30" s="35" t="s">
        <v>9507</v>
      </c>
      <c r="G30" s="35"/>
      <c r="H30" s="35"/>
      <c r="I30" s="35" t="s">
        <v>9591</v>
      </c>
      <c r="J30" s="35" t="s">
        <v>9592</v>
      </c>
      <c r="K30" s="35" t="s">
        <v>6450</v>
      </c>
      <c r="L30" s="35" t="s">
        <v>6450</v>
      </c>
      <c r="M30" s="35" t="s">
        <v>552</v>
      </c>
      <c r="N30" s="35"/>
      <c r="O30" s="3"/>
    </row>
    <row r="31">
      <c r="A31" s="35" t="s">
        <v>9593</v>
      </c>
      <c r="B31" s="39">
        <v>46010.63396990741</v>
      </c>
      <c r="C31" s="35" t="s">
        <v>9496</v>
      </c>
      <c r="D31" s="40" t="s">
        <v>9489</v>
      </c>
      <c r="E31" s="35" t="s">
        <v>9579</v>
      </c>
      <c r="F31" s="35" t="s">
        <v>9580</v>
      </c>
      <c r="G31" s="35"/>
      <c r="H31" s="35"/>
      <c r="I31" s="35" t="s">
        <v>9594</v>
      </c>
      <c r="J31" s="35" t="s">
        <v>9595</v>
      </c>
      <c r="K31" s="35" t="s">
        <v>166</v>
      </c>
      <c r="L31" s="35" t="s">
        <v>166</v>
      </c>
      <c r="M31" s="35" t="s">
        <v>167</v>
      </c>
      <c r="N31" s="35"/>
      <c r="O31" s="3"/>
    </row>
    <row r="32">
      <c r="A32" s="35" t="s">
        <v>9596</v>
      </c>
      <c r="B32" s="39">
        <v>46009.66936342593</v>
      </c>
      <c r="C32" s="35" t="s">
        <v>9597</v>
      </c>
      <c r="D32" s="40" t="s">
        <v>9489</v>
      </c>
      <c r="E32" s="35" t="s">
        <v>9598</v>
      </c>
      <c r="F32" s="40" t="s">
        <v>7079</v>
      </c>
      <c r="G32" s="35" t="s">
        <v>9599</v>
      </c>
      <c r="H32" s="40" t="s">
        <v>9489</v>
      </c>
      <c r="I32" s="35" t="s">
        <v>9600</v>
      </c>
      <c r="J32" s="35" t="s">
        <v>9601</v>
      </c>
      <c r="K32" s="35" t="s">
        <v>6450</v>
      </c>
      <c r="L32" s="35" t="s">
        <v>6450</v>
      </c>
      <c r="M32" s="35" t="s">
        <v>552</v>
      </c>
      <c r="N32" s="35"/>
      <c r="O32" s="3"/>
    </row>
    <row r="33">
      <c r="A33" s="35" t="s">
        <v>9602</v>
      </c>
      <c r="B33" s="39">
        <v>46009.71965277778</v>
      </c>
      <c r="C33" s="35" t="s">
        <v>9598</v>
      </c>
      <c r="D33" s="40" t="s">
        <v>7079</v>
      </c>
      <c r="E33" s="35" t="s">
        <v>9597</v>
      </c>
      <c r="F33" s="40" t="s">
        <v>9489</v>
      </c>
      <c r="G33" s="35" t="s">
        <v>9599</v>
      </c>
      <c r="H33" s="40" t="s">
        <v>9489</v>
      </c>
      <c r="I33" s="35" t="s">
        <v>9603</v>
      </c>
      <c r="J33" s="35" t="s">
        <v>9604</v>
      </c>
      <c r="K33" s="35" t="s">
        <v>6450</v>
      </c>
      <c r="L33" s="35" t="s">
        <v>6450</v>
      </c>
      <c r="M33" s="35" t="s">
        <v>552</v>
      </c>
      <c r="N33" s="35"/>
      <c r="O33" s="3"/>
    </row>
    <row r="34">
      <c r="A34" s="35" t="s">
        <v>9605</v>
      </c>
      <c r="B34" s="39">
        <v>46009.728217592594</v>
      </c>
      <c r="C34" s="35" t="s">
        <v>9597</v>
      </c>
      <c r="D34" s="40" t="s">
        <v>9489</v>
      </c>
      <c r="E34" s="35" t="s">
        <v>9598</v>
      </c>
      <c r="F34" s="40" t="s">
        <v>7079</v>
      </c>
      <c r="G34" s="35" t="s">
        <v>9599</v>
      </c>
      <c r="H34" s="40" t="s">
        <v>9489</v>
      </c>
      <c r="I34" s="35" t="s">
        <v>9600</v>
      </c>
      <c r="J34" s="35" t="s">
        <v>9606</v>
      </c>
      <c r="K34" s="35" t="s">
        <v>6450</v>
      </c>
      <c r="L34" s="35" t="s">
        <v>6450</v>
      </c>
      <c r="M34" s="35" t="s">
        <v>552</v>
      </c>
      <c r="N34" s="35"/>
      <c r="O34" s="3"/>
    </row>
    <row r="35">
      <c r="A35" s="35" t="s">
        <v>9607</v>
      </c>
      <c r="B35" s="39">
        <v>46009.73695601852</v>
      </c>
      <c r="C35" s="35" t="s">
        <v>9598</v>
      </c>
      <c r="D35" s="40" t="s">
        <v>7079</v>
      </c>
      <c r="E35" s="35" t="s">
        <v>9597</v>
      </c>
      <c r="F35" s="40" t="s">
        <v>9489</v>
      </c>
      <c r="G35" s="35" t="s">
        <v>9599</v>
      </c>
      <c r="H35" s="40" t="s">
        <v>9489</v>
      </c>
      <c r="I35" s="35" t="s">
        <v>9603</v>
      </c>
      <c r="J35" s="35" t="s">
        <v>9608</v>
      </c>
      <c r="K35" s="35" t="s">
        <v>6450</v>
      </c>
      <c r="L35" s="35" t="s">
        <v>6450</v>
      </c>
      <c r="M35" s="35" t="s">
        <v>552</v>
      </c>
      <c r="N35" s="35"/>
      <c r="O35" s="3"/>
    </row>
    <row r="36">
      <c r="A36" s="35" t="s">
        <v>9609</v>
      </c>
      <c r="B36" s="39">
        <v>46010.61077546296</v>
      </c>
      <c r="C36" s="35" t="s">
        <v>9597</v>
      </c>
      <c r="D36" s="40" t="s">
        <v>9489</v>
      </c>
      <c r="E36" s="35" t="s">
        <v>9598</v>
      </c>
      <c r="F36" s="40" t="s">
        <v>7079</v>
      </c>
      <c r="G36" s="35" t="s">
        <v>9599</v>
      </c>
      <c r="H36" s="40" t="s">
        <v>9489</v>
      </c>
      <c r="I36" s="35" t="s">
        <v>9600</v>
      </c>
      <c r="J36" s="35" t="s">
        <v>9610</v>
      </c>
      <c r="K36" s="35" t="s">
        <v>6450</v>
      </c>
      <c r="L36" s="35" t="s">
        <v>6450</v>
      </c>
      <c r="M36" s="35" t="s">
        <v>552</v>
      </c>
      <c r="N36" s="35"/>
      <c r="O36" s="3"/>
    </row>
    <row r="37">
      <c r="A37" s="35" t="s">
        <v>9611</v>
      </c>
      <c r="B37" s="39">
        <v>46029.732210648144</v>
      </c>
      <c r="C37" s="35" t="s">
        <v>9598</v>
      </c>
      <c r="D37" s="40" t="s">
        <v>7079</v>
      </c>
      <c r="E37" s="35" t="s">
        <v>9597</v>
      </c>
      <c r="F37" s="40" t="s">
        <v>9489</v>
      </c>
      <c r="G37" s="35" t="s">
        <v>9599</v>
      </c>
      <c r="H37" s="40" t="s">
        <v>9489</v>
      </c>
      <c r="I37" s="35" t="s">
        <v>9600</v>
      </c>
      <c r="J37" s="35" t="s">
        <v>9612</v>
      </c>
      <c r="K37" s="35" t="s">
        <v>6450</v>
      </c>
      <c r="L37" s="35" t="s">
        <v>6450</v>
      </c>
      <c r="M37" s="35" t="s">
        <v>552</v>
      </c>
      <c r="N37" s="35"/>
      <c r="O37" s="3"/>
    </row>
    <row r="38">
      <c r="A38" s="35" t="s">
        <v>9613</v>
      </c>
      <c r="B38" s="39">
        <v>46034.59107638889</v>
      </c>
      <c r="C38" s="35" t="s">
        <v>9597</v>
      </c>
      <c r="D38" s="40" t="s">
        <v>9489</v>
      </c>
      <c r="E38" s="35" t="s">
        <v>9598</v>
      </c>
      <c r="F38" s="40" t="s">
        <v>7079</v>
      </c>
      <c r="G38" s="35" t="s">
        <v>9614</v>
      </c>
      <c r="H38" s="40" t="s">
        <v>9489</v>
      </c>
      <c r="I38" s="35" t="s">
        <v>9600</v>
      </c>
      <c r="J38" s="35" t="s">
        <v>9615</v>
      </c>
      <c r="K38" s="35" t="s">
        <v>6450</v>
      </c>
      <c r="L38" s="35" t="s">
        <v>6450</v>
      </c>
      <c r="M38" s="35" t="s">
        <v>552</v>
      </c>
      <c r="N38" s="35"/>
      <c r="O38" s="3"/>
    </row>
    <row r="39">
      <c r="A39" s="35" t="s">
        <v>9616</v>
      </c>
      <c r="B39" s="39">
        <v>46040.66222222222</v>
      </c>
      <c r="C39" s="35" t="s">
        <v>9598</v>
      </c>
      <c r="D39" s="40" t="s">
        <v>7079</v>
      </c>
      <c r="E39" s="35" t="s">
        <v>9597</v>
      </c>
      <c r="F39" s="40" t="s">
        <v>9489</v>
      </c>
      <c r="G39" s="35" t="s">
        <v>9614</v>
      </c>
      <c r="H39" s="40" t="s">
        <v>9489</v>
      </c>
      <c r="I39" s="35" t="s">
        <v>9603</v>
      </c>
      <c r="J39" s="35" t="s">
        <v>9617</v>
      </c>
      <c r="K39" s="35" t="s">
        <v>6450</v>
      </c>
      <c r="L39" s="35" t="s">
        <v>6450</v>
      </c>
      <c r="M39" s="35" t="s">
        <v>552</v>
      </c>
      <c r="N39" s="35"/>
      <c r="O39" s="3"/>
    </row>
    <row r="40">
      <c r="A40" s="35" t="s">
        <v>9618</v>
      </c>
      <c r="B40" s="39">
        <v>46042.613182870366</v>
      </c>
      <c r="C40" s="35" t="s">
        <v>9597</v>
      </c>
      <c r="D40" s="40" t="s">
        <v>9489</v>
      </c>
      <c r="E40" s="35" t="s">
        <v>9598</v>
      </c>
      <c r="F40" s="40" t="s">
        <v>7079</v>
      </c>
      <c r="G40" s="35" t="s">
        <v>9614</v>
      </c>
      <c r="H40" s="40" t="s">
        <v>9489</v>
      </c>
      <c r="I40" s="35" t="s">
        <v>9600</v>
      </c>
      <c r="J40" s="35" t="s">
        <v>9619</v>
      </c>
      <c r="K40" s="35" t="s">
        <v>6450</v>
      </c>
      <c r="L40" s="35" t="s">
        <v>6450</v>
      </c>
      <c r="M40" s="35" t="s">
        <v>552</v>
      </c>
      <c r="N40" s="35"/>
      <c r="O40" s="3"/>
    </row>
    <row r="41">
      <c r="A41" s="35" t="s">
        <v>9620</v>
      </c>
      <c r="B41" s="39">
        <v>46009.60724537037</v>
      </c>
      <c r="C41" s="35" t="s">
        <v>9487</v>
      </c>
      <c r="D41" s="40" t="s">
        <v>7081</v>
      </c>
      <c r="E41" s="35" t="s">
        <v>9488</v>
      </c>
      <c r="F41" s="40" t="s">
        <v>9489</v>
      </c>
      <c r="G41" s="35"/>
      <c r="H41" s="35"/>
      <c r="I41" s="35" t="s">
        <v>9490</v>
      </c>
      <c r="J41" s="35" t="s">
        <v>9491</v>
      </c>
      <c r="K41" s="35" t="s">
        <v>119</v>
      </c>
      <c r="L41" s="35" t="s">
        <v>119</v>
      </c>
      <c r="M41" s="35" t="s">
        <v>251</v>
      </c>
      <c r="N41" s="35"/>
      <c r="O41" s="3"/>
    </row>
    <row r="42">
      <c r="A42" s="35" t="s">
        <v>9621</v>
      </c>
      <c r="B42" s="39">
        <v>46009.46814814815</v>
      </c>
      <c r="C42" s="35" t="s">
        <v>9487</v>
      </c>
      <c r="D42" s="40" t="s">
        <v>7081</v>
      </c>
      <c r="E42" s="35" t="s">
        <v>9622</v>
      </c>
      <c r="F42" s="40" t="s">
        <v>9489</v>
      </c>
      <c r="G42" s="35" t="s">
        <v>9623</v>
      </c>
      <c r="H42" s="35" t="s">
        <v>9575</v>
      </c>
      <c r="I42" s="35" t="s">
        <v>9624</v>
      </c>
      <c r="J42" s="35" t="s">
        <v>9625</v>
      </c>
      <c r="K42" s="35" t="s">
        <v>119</v>
      </c>
      <c r="L42" s="35" t="s">
        <v>119</v>
      </c>
      <c r="M42" s="35" t="s">
        <v>251</v>
      </c>
      <c r="N42" s="35"/>
      <c r="O42" s="3"/>
    </row>
    <row r="43">
      <c r="A43" s="35" t="s">
        <v>9626</v>
      </c>
      <c r="B43" s="39">
        <v>46009.46853009259</v>
      </c>
      <c r="C43" s="35" t="s">
        <v>9627</v>
      </c>
      <c r="D43" s="40" t="s">
        <v>9489</v>
      </c>
      <c r="E43" s="35" t="s">
        <v>7680</v>
      </c>
      <c r="F43" s="40" t="s">
        <v>7081</v>
      </c>
      <c r="G43" s="35" t="s">
        <v>9628</v>
      </c>
      <c r="H43" s="35" t="s">
        <v>9575</v>
      </c>
      <c r="I43" s="35" t="s">
        <v>9629</v>
      </c>
      <c r="J43" s="35" t="s">
        <v>9630</v>
      </c>
      <c r="K43" s="35" t="s">
        <v>119</v>
      </c>
      <c r="L43" s="35" t="s">
        <v>119</v>
      </c>
      <c r="M43" s="35" t="s">
        <v>251</v>
      </c>
      <c r="N43" s="35"/>
      <c r="O43" s="3"/>
    </row>
    <row r="44">
      <c r="A44" s="35" t="s">
        <v>9631</v>
      </c>
      <c r="B44" s="39">
        <v>46009.47458333333</v>
      </c>
      <c r="C44" s="35" t="s">
        <v>9496</v>
      </c>
      <c r="D44" s="40" t="s">
        <v>9489</v>
      </c>
      <c r="E44" s="35" t="s">
        <v>9487</v>
      </c>
      <c r="F44" s="40" t="s">
        <v>7081</v>
      </c>
      <c r="G44" s="35" t="s">
        <v>9632</v>
      </c>
      <c r="H44" s="35" t="s">
        <v>9575</v>
      </c>
      <c r="I44" s="35" t="s">
        <v>9633</v>
      </c>
      <c r="J44" s="35" t="s">
        <v>9634</v>
      </c>
      <c r="K44" s="35" t="s">
        <v>119</v>
      </c>
      <c r="L44" s="35" t="s">
        <v>119</v>
      </c>
      <c r="M44" s="35" t="s">
        <v>251</v>
      </c>
      <c r="N44" s="35"/>
      <c r="O44" s="3"/>
    </row>
    <row r="45">
      <c r="A45" s="35" t="s">
        <v>9635</v>
      </c>
      <c r="B45" s="39">
        <v>46009.479999999996</v>
      </c>
      <c r="C45" s="35" t="s">
        <v>9487</v>
      </c>
      <c r="D45" s="40" t="s">
        <v>7081</v>
      </c>
      <c r="E45" s="35" t="s">
        <v>9496</v>
      </c>
      <c r="F45" s="40" t="s">
        <v>9489</v>
      </c>
      <c r="G45" s="35" t="s">
        <v>9632</v>
      </c>
      <c r="H45" s="35" t="s">
        <v>9575</v>
      </c>
      <c r="I45" s="35" t="s">
        <v>9636</v>
      </c>
      <c r="J45" s="35" t="s">
        <v>9637</v>
      </c>
      <c r="K45" s="35" t="s">
        <v>119</v>
      </c>
      <c r="L45" s="35" t="s">
        <v>119</v>
      </c>
      <c r="M45" s="35" t="s">
        <v>251</v>
      </c>
      <c r="N45" s="35"/>
      <c r="O45" s="3"/>
    </row>
    <row r="46">
      <c r="A46" s="35" t="s">
        <v>9638</v>
      </c>
      <c r="B46" s="39">
        <v>46009.54300925926</v>
      </c>
      <c r="C46" s="35" t="s">
        <v>9496</v>
      </c>
      <c r="D46" s="40" t="s">
        <v>9489</v>
      </c>
      <c r="E46" s="35" t="s">
        <v>9487</v>
      </c>
      <c r="F46" s="40" t="s">
        <v>7081</v>
      </c>
      <c r="G46" s="35" t="s">
        <v>9632</v>
      </c>
      <c r="H46" s="35" t="s">
        <v>9575</v>
      </c>
      <c r="I46" s="35" t="s">
        <v>9639</v>
      </c>
      <c r="J46" s="35" t="s">
        <v>9640</v>
      </c>
      <c r="K46" s="35" t="s">
        <v>119</v>
      </c>
      <c r="L46" s="35" t="s">
        <v>119</v>
      </c>
      <c r="M46" s="35" t="s">
        <v>251</v>
      </c>
      <c r="N46" s="35"/>
      <c r="O46" s="3"/>
    </row>
    <row r="47">
      <c r="A47" s="35" t="s">
        <v>9641</v>
      </c>
      <c r="B47" s="39">
        <v>46010.21734953704</v>
      </c>
      <c r="C47" s="35" t="s">
        <v>9642</v>
      </c>
      <c r="D47" s="40" t="s">
        <v>9489</v>
      </c>
      <c r="E47" s="35" t="s">
        <v>7156</v>
      </c>
      <c r="F47" s="40" t="s">
        <v>9489</v>
      </c>
      <c r="G47" s="35" t="s">
        <v>9643</v>
      </c>
      <c r="H47" s="35" t="s">
        <v>9561</v>
      </c>
      <c r="I47" s="35" t="s">
        <v>9629</v>
      </c>
      <c r="J47" s="35" t="s">
        <v>9644</v>
      </c>
      <c r="K47" s="35" t="s">
        <v>119</v>
      </c>
      <c r="L47" s="35" t="s">
        <v>119</v>
      </c>
      <c r="M47" s="35" t="s">
        <v>251</v>
      </c>
      <c r="N47" s="35"/>
      <c r="O47" s="3"/>
    </row>
    <row r="48">
      <c r="A48" s="35" t="s">
        <v>9645</v>
      </c>
      <c r="B48" s="39">
        <v>46010.21737268519</v>
      </c>
      <c r="C48" s="35" t="s">
        <v>9642</v>
      </c>
      <c r="D48" s="40" t="s">
        <v>9489</v>
      </c>
      <c r="E48" s="35" t="s">
        <v>7680</v>
      </c>
      <c r="F48" s="40" t="s">
        <v>7081</v>
      </c>
      <c r="G48" s="35" t="s">
        <v>9628</v>
      </c>
      <c r="H48" s="35" t="s">
        <v>9575</v>
      </c>
      <c r="I48" s="35" t="s">
        <v>9629</v>
      </c>
      <c r="J48" s="35" t="s">
        <v>9646</v>
      </c>
      <c r="K48" s="35" t="s">
        <v>119</v>
      </c>
      <c r="L48" s="35" t="s">
        <v>119</v>
      </c>
      <c r="M48" s="35" t="s">
        <v>251</v>
      </c>
      <c r="N48" s="35"/>
      <c r="O48" s="3"/>
    </row>
    <row r="49">
      <c r="A49" s="35" t="s">
        <v>9647</v>
      </c>
      <c r="B49" s="39">
        <v>46010.28768518519</v>
      </c>
      <c r="C49" s="35" t="s">
        <v>9487</v>
      </c>
      <c r="D49" s="40" t="s">
        <v>7081</v>
      </c>
      <c r="E49" s="35" t="s">
        <v>9648</v>
      </c>
      <c r="F49" s="40" t="s">
        <v>9489</v>
      </c>
      <c r="G49" s="35" t="s">
        <v>9649</v>
      </c>
      <c r="H49" s="35" t="s">
        <v>9561</v>
      </c>
      <c r="I49" s="35" t="s">
        <v>9650</v>
      </c>
      <c r="J49" s="35" t="s">
        <v>9651</v>
      </c>
      <c r="K49" s="35" t="s">
        <v>119</v>
      </c>
      <c r="L49" s="35" t="s">
        <v>119</v>
      </c>
      <c r="M49" s="35" t="s">
        <v>251</v>
      </c>
      <c r="N49" s="35"/>
      <c r="O49" s="3"/>
    </row>
    <row r="50">
      <c r="A50" s="35" t="s">
        <v>9652</v>
      </c>
      <c r="B50" s="39">
        <v>46010.61350694444</v>
      </c>
      <c r="C50" s="35" t="s">
        <v>9642</v>
      </c>
      <c r="D50" s="40" t="s">
        <v>9489</v>
      </c>
      <c r="E50" s="35" t="s">
        <v>7680</v>
      </c>
      <c r="F50" s="40" t="s">
        <v>7081</v>
      </c>
      <c r="G50" s="35" t="s">
        <v>9653</v>
      </c>
      <c r="H50" s="35" t="s">
        <v>9575</v>
      </c>
      <c r="I50" s="35" t="s">
        <v>9629</v>
      </c>
      <c r="J50" s="35" t="s">
        <v>9654</v>
      </c>
      <c r="K50" s="35" t="s">
        <v>119</v>
      </c>
      <c r="L50" s="35" t="s">
        <v>119</v>
      </c>
      <c r="M50" s="35" t="s">
        <v>251</v>
      </c>
      <c r="N50" s="35"/>
      <c r="O50" s="3"/>
    </row>
    <row r="51">
      <c r="A51" s="35" t="s">
        <v>9655</v>
      </c>
      <c r="B51" s="39">
        <v>46010.613530092596</v>
      </c>
      <c r="C51" s="35" t="s">
        <v>9642</v>
      </c>
      <c r="D51" s="40" t="s">
        <v>9489</v>
      </c>
      <c r="E51" s="35" t="s">
        <v>7680</v>
      </c>
      <c r="F51" s="40" t="s">
        <v>7081</v>
      </c>
      <c r="G51" s="35" t="s">
        <v>9628</v>
      </c>
      <c r="H51" s="35" t="s">
        <v>9575</v>
      </c>
      <c r="I51" s="35" t="s">
        <v>9629</v>
      </c>
      <c r="J51" s="35" t="s">
        <v>9656</v>
      </c>
      <c r="K51" s="35" t="s">
        <v>119</v>
      </c>
      <c r="L51" s="35" t="s">
        <v>119</v>
      </c>
      <c r="M51" s="35" t="s">
        <v>251</v>
      </c>
      <c r="N51" s="35"/>
      <c r="O51" s="3"/>
    </row>
    <row r="52">
      <c r="A52" s="35" t="s">
        <v>9657</v>
      </c>
      <c r="B52" s="39">
        <v>46013.58758101852</v>
      </c>
      <c r="C52" s="35" t="s">
        <v>9487</v>
      </c>
      <c r="D52" s="40" t="s">
        <v>7081</v>
      </c>
      <c r="E52" s="35" t="s">
        <v>9642</v>
      </c>
      <c r="F52" s="40" t="s">
        <v>9489</v>
      </c>
      <c r="G52" s="35" t="s">
        <v>9658</v>
      </c>
      <c r="H52" s="35" t="s">
        <v>9575</v>
      </c>
      <c r="I52" s="35" t="s">
        <v>9650</v>
      </c>
      <c r="J52" s="35" t="s">
        <v>9659</v>
      </c>
      <c r="K52" s="35" t="s">
        <v>119</v>
      </c>
      <c r="L52" s="35" t="s">
        <v>119</v>
      </c>
      <c r="M52" s="35" t="s">
        <v>251</v>
      </c>
      <c r="N52" s="35"/>
      <c r="O52" s="3"/>
    </row>
    <row r="53">
      <c r="A53" s="35" t="s">
        <v>9660</v>
      </c>
      <c r="B53" s="39">
        <v>46013.58809027778</v>
      </c>
      <c r="C53" s="35" t="s">
        <v>9627</v>
      </c>
      <c r="D53" s="40" t="s">
        <v>9489</v>
      </c>
      <c r="E53" s="35" t="s">
        <v>7680</v>
      </c>
      <c r="F53" s="40" t="s">
        <v>7081</v>
      </c>
      <c r="G53" s="35" t="s">
        <v>9628</v>
      </c>
      <c r="H53" s="35" t="s">
        <v>9575</v>
      </c>
      <c r="I53" s="35" t="s">
        <v>9661</v>
      </c>
      <c r="J53" s="35" t="s">
        <v>9662</v>
      </c>
      <c r="K53" s="35" t="s">
        <v>119</v>
      </c>
      <c r="L53" s="35" t="s">
        <v>119</v>
      </c>
      <c r="M53" s="35" t="s">
        <v>251</v>
      </c>
      <c r="N53" s="35"/>
      <c r="O53" s="3"/>
    </row>
    <row r="54">
      <c r="A54" s="35" t="s">
        <v>9663</v>
      </c>
      <c r="B54" s="39">
        <v>46014.13791666667</v>
      </c>
      <c r="C54" s="35" t="s">
        <v>9642</v>
      </c>
      <c r="D54" s="40" t="s">
        <v>9489</v>
      </c>
      <c r="E54" s="35" t="s">
        <v>7680</v>
      </c>
      <c r="F54" s="40" t="s">
        <v>7081</v>
      </c>
      <c r="G54" s="35" t="s">
        <v>9653</v>
      </c>
      <c r="H54" s="35" t="s">
        <v>9575</v>
      </c>
      <c r="I54" s="35" t="s">
        <v>9661</v>
      </c>
      <c r="J54" s="35" t="s">
        <v>9644</v>
      </c>
      <c r="K54" s="35" t="s">
        <v>119</v>
      </c>
      <c r="L54" s="35" t="s">
        <v>119</v>
      </c>
      <c r="M54" s="35" t="s">
        <v>251</v>
      </c>
      <c r="N54" s="35"/>
      <c r="O54" s="3"/>
    </row>
    <row r="55">
      <c r="A55" s="35" t="s">
        <v>9664</v>
      </c>
      <c r="B55" s="39">
        <v>46014.13795138889</v>
      </c>
      <c r="C55" s="35" t="s">
        <v>9642</v>
      </c>
      <c r="D55" s="40" t="s">
        <v>9489</v>
      </c>
      <c r="E55" s="35" t="s">
        <v>7680</v>
      </c>
      <c r="F55" s="40" t="s">
        <v>7081</v>
      </c>
      <c r="G55" s="35" t="s">
        <v>9628</v>
      </c>
      <c r="H55" s="35" t="s">
        <v>9575</v>
      </c>
      <c r="I55" s="35" t="s">
        <v>9661</v>
      </c>
      <c r="J55" s="35" t="s">
        <v>9665</v>
      </c>
      <c r="K55" s="35" t="s">
        <v>119</v>
      </c>
      <c r="L55" s="35" t="s">
        <v>119</v>
      </c>
      <c r="M55" s="35" t="s">
        <v>251</v>
      </c>
      <c r="N55" s="35"/>
      <c r="O55" s="3"/>
    </row>
    <row r="56">
      <c r="A56" s="35" t="s">
        <v>9666</v>
      </c>
      <c r="B56" s="39">
        <v>46014.208923611106</v>
      </c>
      <c r="C56" s="35" t="s">
        <v>9642</v>
      </c>
      <c r="D56" s="40" t="s">
        <v>9489</v>
      </c>
      <c r="E56" s="35" t="s">
        <v>7680</v>
      </c>
      <c r="F56" s="40" t="s">
        <v>7081</v>
      </c>
      <c r="G56" s="35" t="s">
        <v>9653</v>
      </c>
      <c r="H56" s="35" t="s">
        <v>9575</v>
      </c>
      <c r="I56" s="35" t="s">
        <v>9661</v>
      </c>
      <c r="J56" s="35" t="s">
        <v>9667</v>
      </c>
      <c r="K56" s="35" t="s">
        <v>119</v>
      </c>
      <c r="L56" s="35" t="s">
        <v>119</v>
      </c>
      <c r="M56" s="35" t="s">
        <v>251</v>
      </c>
      <c r="N56" s="35"/>
      <c r="O56" s="3"/>
    </row>
    <row r="57">
      <c r="A57" s="35" t="s">
        <v>9668</v>
      </c>
      <c r="B57" s="39">
        <v>46014.20895833333</v>
      </c>
      <c r="C57" s="35" t="s">
        <v>9642</v>
      </c>
      <c r="D57" s="40" t="s">
        <v>9489</v>
      </c>
      <c r="E57" s="35" t="s">
        <v>7680</v>
      </c>
      <c r="F57" s="40" t="s">
        <v>7081</v>
      </c>
      <c r="G57" s="35" t="s">
        <v>9628</v>
      </c>
      <c r="H57" s="35" t="s">
        <v>9575</v>
      </c>
      <c r="I57" s="35" t="s">
        <v>9661</v>
      </c>
      <c r="J57" s="35" t="s">
        <v>9669</v>
      </c>
      <c r="K57" s="35" t="s">
        <v>119</v>
      </c>
      <c r="L57" s="35" t="s">
        <v>119</v>
      </c>
      <c r="M57" s="35" t="s">
        <v>251</v>
      </c>
      <c r="N57" s="35"/>
      <c r="O57" s="3"/>
    </row>
    <row r="58">
      <c r="A58" s="35" t="s">
        <v>9670</v>
      </c>
      <c r="B58" s="39">
        <v>46014.2987037037</v>
      </c>
      <c r="C58" s="35" t="s">
        <v>9487</v>
      </c>
      <c r="D58" s="40" t="s">
        <v>7081</v>
      </c>
      <c r="E58" s="35" t="s">
        <v>9642</v>
      </c>
      <c r="F58" s="40" t="s">
        <v>9489</v>
      </c>
      <c r="G58" s="35" t="s">
        <v>9671</v>
      </c>
      <c r="H58" s="35" t="s">
        <v>9575</v>
      </c>
      <c r="I58" s="35" t="s">
        <v>9672</v>
      </c>
      <c r="J58" s="35" t="s">
        <v>9673</v>
      </c>
      <c r="K58" s="35" t="s">
        <v>119</v>
      </c>
      <c r="L58" s="35" t="s">
        <v>119</v>
      </c>
      <c r="M58" s="35" t="s">
        <v>251</v>
      </c>
      <c r="N58" s="35"/>
      <c r="O58" s="3"/>
    </row>
    <row r="59">
      <c r="A59" s="35" t="s">
        <v>9674</v>
      </c>
      <c r="B59" s="39">
        <v>46002.423171296294</v>
      </c>
      <c r="C59" s="35" t="s">
        <v>9487</v>
      </c>
      <c r="D59" s="40" t="s">
        <v>7081</v>
      </c>
      <c r="E59" s="35" t="s">
        <v>9675</v>
      </c>
      <c r="F59" s="40" t="s">
        <v>9489</v>
      </c>
      <c r="G59" s="35"/>
      <c r="H59" s="35"/>
      <c r="I59" s="35" t="s">
        <v>9676</v>
      </c>
      <c r="J59" s="35" t="s">
        <v>9677</v>
      </c>
      <c r="K59" s="35" t="s">
        <v>119</v>
      </c>
      <c r="L59" s="35" t="s">
        <v>119</v>
      </c>
      <c r="M59" s="35" t="s">
        <v>251</v>
      </c>
      <c r="N59" s="35"/>
      <c r="O59" s="3"/>
    </row>
    <row r="60">
      <c r="A60" s="35" t="s">
        <v>9678</v>
      </c>
      <c r="B60" s="39">
        <v>46002.42878472222</v>
      </c>
      <c r="C60" s="35" t="s">
        <v>9488</v>
      </c>
      <c r="D60" s="40" t="s">
        <v>9489</v>
      </c>
      <c r="E60" s="35" t="s">
        <v>9487</v>
      </c>
      <c r="F60" s="40" t="s">
        <v>7081</v>
      </c>
      <c r="G60" s="35" t="s">
        <v>9496</v>
      </c>
      <c r="H60" s="40" t="s">
        <v>9489</v>
      </c>
      <c r="I60" s="35" t="s">
        <v>9679</v>
      </c>
      <c r="J60" s="35" t="s">
        <v>9680</v>
      </c>
      <c r="K60" s="35" t="s">
        <v>119</v>
      </c>
      <c r="L60" s="35" t="s">
        <v>119</v>
      </c>
      <c r="M60" s="35" t="s">
        <v>251</v>
      </c>
      <c r="N60" s="35"/>
      <c r="O60" s="3"/>
    </row>
    <row r="61">
      <c r="A61" s="35" t="s">
        <v>9681</v>
      </c>
      <c r="B61" s="39">
        <v>46008.577673611115</v>
      </c>
      <c r="C61" s="35" t="s">
        <v>9496</v>
      </c>
      <c r="D61" s="40" t="s">
        <v>9489</v>
      </c>
      <c r="E61" s="35" t="s">
        <v>9682</v>
      </c>
      <c r="F61" s="40" t="s">
        <v>9489</v>
      </c>
      <c r="G61" s="35" t="s">
        <v>9487</v>
      </c>
      <c r="H61" s="40" t="s">
        <v>7081</v>
      </c>
      <c r="I61" s="35" t="s">
        <v>9679</v>
      </c>
      <c r="J61" s="35" t="s">
        <v>9683</v>
      </c>
      <c r="K61" s="35" t="s">
        <v>119</v>
      </c>
      <c r="L61" s="35" t="s">
        <v>119</v>
      </c>
      <c r="M61" s="35" t="s">
        <v>251</v>
      </c>
      <c r="N61" s="35"/>
      <c r="O61" s="3"/>
    </row>
    <row r="62">
      <c r="A62" s="35" t="s">
        <v>9684</v>
      </c>
      <c r="B62" s="39">
        <v>46008.63427083333</v>
      </c>
      <c r="C62" s="35" t="s">
        <v>9488</v>
      </c>
      <c r="D62" s="40" t="s">
        <v>9489</v>
      </c>
      <c r="E62" s="35" t="s">
        <v>9496</v>
      </c>
      <c r="F62" s="40" t="s">
        <v>9489</v>
      </c>
      <c r="G62" s="35" t="s">
        <v>9487</v>
      </c>
      <c r="H62" s="40" t="s">
        <v>7081</v>
      </c>
      <c r="I62" s="35" t="s">
        <v>9679</v>
      </c>
      <c r="J62" s="35" t="s">
        <v>9685</v>
      </c>
      <c r="K62" s="35" t="s">
        <v>119</v>
      </c>
      <c r="L62" s="35" t="s">
        <v>119</v>
      </c>
      <c r="M62" s="35" t="s">
        <v>251</v>
      </c>
      <c r="N62" s="35"/>
      <c r="O62" s="3"/>
    </row>
    <row r="63">
      <c r="A63" s="35" t="s">
        <v>9686</v>
      </c>
      <c r="B63" s="39">
        <v>46008.73063657407</v>
      </c>
      <c r="C63" s="35" t="s">
        <v>9687</v>
      </c>
      <c r="D63" s="40" t="s">
        <v>9489</v>
      </c>
      <c r="E63" s="35" t="s">
        <v>9496</v>
      </c>
      <c r="F63" s="40" t="s">
        <v>9489</v>
      </c>
      <c r="G63" s="35" t="s">
        <v>9688</v>
      </c>
      <c r="H63" s="35" t="s">
        <v>9575</v>
      </c>
      <c r="I63" s="35" t="s">
        <v>9679</v>
      </c>
      <c r="J63" s="35" t="s">
        <v>9689</v>
      </c>
      <c r="K63" s="35" t="s">
        <v>119</v>
      </c>
      <c r="L63" s="35" t="s">
        <v>119</v>
      </c>
      <c r="M63" s="35" t="s">
        <v>251</v>
      </c>
      <c r="N63" s="35"/>
      <c r="O63" s="3"/>
    </row>
    <row r="64">
      <c r="A64" s="35" t="s">
        <v>9690</v>
      </c>
      <c r="B64" s="39">
        <v>46009.471921296295</v>
      </c>
      <c r="C64" s="35" t="s">
        <v>9487</v>
      </c>
      <c r="D64" s="40" t="s">
        <v>7081</v>
      </c>
      <c r="E64" s="35" t="s">
        <v>9534</v>
      </c>
      <c r="F64" s="40" t="s">
        <v>9489</v>
      </c>
      <c r="G64" s="35"/>
      <c r="H64" s="35"/>
      <c r="I64" s="35" t="s">
        <v>9691</v>
      </c>
      <c r="J64" s="35" t="s">
        <v>9692</v>
      </c>
      <c r="K64" s="35" t="s">
        <v>119</v>
      </c>
      <c r="L64" s="35" t="s">
        <v>119</v>
      </c>
      <c r="M64" s="35" t="s">
        <v>251</v>
      </c>
      <c r="N64" s="35"/>
      <c r="O64" s="3"/>
    </row>
    <row r="65">
      <c r="A65" s="35" t="s">
        <v>9693</v>
      </c>
      <c r="B65" s="39">
        <v>46009.478356481486</v>
      </c>
      <c r="C65" s="35" t="s">
        <v>9487</v>
      </c>
      <c r="D65" s="40" t="s">
        <v>7081</v>
      </c>
      <c r="E65" s="35" t="s">
        <v>9694</v>
      </c>
      <c r="F65" s="40" t="s">
        <v>9489</v>
      </c>
      <c r="G65" s="35" t="s">
        <v>9488</v>
      </c>
      <c r="H65" s="40" t="s">
        <v>9489</v>
      </c>
      <c r="I65" s="35" t="s">
        <v>9691</v>
      </c>
      <c r="J65" s="35" t="s">
        <v>9695</v>
      </c>
      <c r="K65" s="35" t="s">
        <v>119</v>
      </c>
      <c r="L65" s="35" t="s">
        <v>119</v>
      </c>
      <c r="M65" s="35" t="s">
        <v>251</v>
      </c>
      <c r="N65" s="35"/>
      <c r="O65" s="3"/>
    </row>
    <row r="66">
      <c r="A66" s="35" t="s">
        <v>9696</v>
      </c>
      <c r="B66" s="39">
        <v>46010.58525462963</v>
      </c>
      <c r="C66" s="35" t="s">
        <v>9487</v>
      </c>
      <c r="D66" s="40" t="s">
        <v>7081</v>
      </c>
      <c r="E66" s="35" t="s">
        <v>9534</v>
      </c>
      <c r="F66" s="40" t="s">
        <v>9489</v>
      </c>
      <c r="G66" s="35"/>
      <c r="H66" s="35"/>
      <c r="I66" s="35" t="s">
        <v>9691</v>
      </c>
      <c r="J66" s="35" t="s">
        <v>9697</v>
      </c>
      <c r="K66" s="35" t="s">
        <v>119</v>
      </c>
      <c r="L66" s="35" t="s">
        <v>119</v>
      </c>
      <c r="M66" s="35" t="s">
        <v>251</v>
      </c>
      <c r="N66" s="35"/>
      <c r="O66" s="3"/>
    </row>
    <row r="67">
      <c r="A67" s="35" t="s">
        <v>9698</v>
      </c>
      <c r="B67" s="39">
        <v>46013.42129629629</v>
      </c>
      <c r="C67" s="35" t="s">
        <v>9488</v>
      </c>
      <c r="D67" s="40" t="s">
        <v>9489</v>
      </c>
      <c r="E67" s="35" t="s">
        <v>9487</v>
      </c>
      <c r="F67" s="40" t="s">
        <v>7081</v>
      </c>
      <c r="G67" s="35" t="s">
        <v>9496</v>
      </c>
      <c r="H67" s="40" t="s">
        <v>9489</v>
      </c>
      <c r="I67" s="35" t="s">
        <v>9699</v>
      </c>
      <c r="J67" s="35" t="s">
        <v>9700</v>
      </c>
      <c r="K67" s="35" t="s">
        <v>119</v>
      </c>
      <c r="L67" s="35" t="s">
        <v>119</v>
      </c>
      <c r="M67" s="35" t="s">
        <v>251</v>
      </c>
      <c r="N67" s="35"/>
      <c r="O67" s="3"/>
    </row>
    <row r="68">
      <c r="A68" s="35" t="s">
        <v>9701</v>
      </c>
      <c r="B68" s="39">
        <v>46013.4396412037</v>
      </c>
      <c r="C68" s="35" t="s">
        <v>9487</v>
      </c>
      <c r="D68" s="40" t="s">
        <v>7081</v>
      </c>
      <c r="E68" s="35" t="s">
        <v>9488</v>
      </c>
      <c r="F68" s="40" t="s">
        <v>9489</v>
      </c>
      <c r="G68" s="35" t="s">
        <v>9496</v>
      </c>
      <c r="H68" s="40" t="s">
        <v>9489</v>
      </c>
      <c r="I68" s="35" t="s">
        <v>9691</v>
      </c>
      <c r="J68" s="35" t="s">
        <v>9702</v>
      </c>
      <c r="K68" s="35" t="s">
        <v>119</v>
      </c>
      <c r="L68" s="35" t="s">
        <v>119</v>
      </c>
      <c r="M68" s="35" t="s">
        <v>251</v>
      </c>
      <c r="N68" s="35"/>
      <c r="O68" s="3"/>
    </row>
    <row r="69">
      <c r="A69" s="35" t="s">
        <v>9703</v>
      </c>
      <c r="B69" s="39">
        <v>45992.454780092594</v>
      </c>
      <c r="C69" s="35" t="s">
        <v>9704</v>
      </c>
      <c r="D69" s="40" t="s">
        <v>9489</v>
      </c>
      <c r="E69" s="35" t="s">
        <v>9705</v>
      </c>
      <c r="F69" s="35" t="s">
        <v>9706</v>
      </c>
      <c r="G69" s="35"/>
      <c r="H69" s="35"/>
      <c r="I69" s="35" t="s">
        <v>9499</v>
      </c>
      <c r="J69" s="35" t="s">
        <v>9707</v>
      </c>
      <c r="K69" s="35" t="s">
        <v>6691</v>
      </c>
      <c r="L69" s="35" t="s">
        <v>6691</v>
      </c>
      <c r="M69" s="35" t="s">
        <v>590</v>
      </c>
      <c r="N69" s="35"/>
      <c r="O69" s="3"/>
    </row>
    <row r="70">
      <c r="A70" s="35" t="s">
        <v>9708</v>
      </c>
      <c r="B70" s="39">
        <v>45993.670439814814</v>
      </c>
      <c r="C70" s="35" t="s">
        <v>9488</v>
      </c>
      <c r="D70" s="40" t="s">
        <v>9489</v>
      </c>
      <c r="E70" s="35" t="s">
        <v>9704</v>
      </c>
      <c r="F70" s="40" t="s">
        <v>9489</v>
      </c>
      <c r="G70" s="35" t="s">
        <v>9709</v>
      </c>
      <c r="H70" s="40" t="s">
        <v>7082</v>
      </c>
      <c r="I70" s="35" t="s">
        <v>9503</v>
      </c>
      <c r="J70" s="35" t="s">
        <v>9710</v>
      </c>
      <c r="K70" s="35" t="s">
        <v>6691</v>
      </c>
      <c r="L70" s="35" t="s">
        <v>6691</v>
      </c>
      <c r="M70" s="35" t="s">
        <v>590</v>
      </c>
      <c r="N70" s="35"/>
      <c r="O70" s="3"/>
    </row>
    <row r="71">
      <c r="A71" s="35" t="s">
        <v>9711</v>
      </c>
      <c r="B71" s="39">
        <v>45986.37178240741</v>
      </c>
      <c r="C71" s="35" t="s">
        <v>9704</v>
      </c>
      <c r="D71" s="40" t="s">
        <v>9489</v>
      </c>
      <c r="E71" s="35" t="s">
        <v>9712</v>
      </c>
      <c r="F71" s="35" t="s">
        <v>9706</v>
      </c>
      <c r="G71" s="35"/>
      <c r="H71" s="35"/>
      <c r="I71" s="35" t="s">
        <v>9713</v>
      </c>
      <c r="J71" s="35" t="s">
        <v>9714</v>
      </c>
      <c r="K71" s="35" t="s">
        <v>6691</v>
      </c>
      <c r="L71" s="35" t="s">
        <v>6691</v>
      </c>
      <c r="M71" s="35" t="s">
        <v>590</v>
      </c>
      <c r="N71" s="35"/>
      <c r="O71" s="3"/>
    </row>
    <row r="72">
      <c r="A72" s="35" t="s">
        <v>9715</v>
      </c>
      <c r="B72" s="39">
        <v>45986.075787037036</v>
      </c>
      <c r="C72" s="35" t="s">
        <v>9496</v>
      </c>
      <c r="D72" s="40" t="s">
        <v>9489</v>
      </c>
      <c r="E72" s="35" t="s">
        <v>9716</v>
      </c>
      <c r="F72" s="35" t="s">
        <v>9575</v>
      </c>
      <c r="G72" s="35"/>
      <c r="H72" s="35"/>
      <c r="I72" s="35" t="s">
        <v>9717</v>
      </c>
      <c r="J72" s="35" t="s">
        <v>9718</v>
      </c>
      <c r="K72" s="35" t="s">
        <v>119</v>
      </c>
      <c r="L72" s="35" t="s">
        <v>119</v>
      </c>
      <c r="M72" s="35" t="s">
        <v>251</v>
      </c>
      <c r="N72" s="35"/>
      <c r="O72" s="3"/>
    </row>
    <row r="73">
      <c r="A73" s="35" t="s">
        <v>9719</v>
      </c>
      <c r="B73" s="39">
        <v>45986.073333333334</v>
      </c>
      <c r="C73" s="35" t="s">
        <v>9496</v>
      </c>
      <c r="D73" s="40" t="s">
        <v>9489</v>
      </c>
      <c r="E73" s="35" t="s">
        <v>9579</v>
      </c>
      <c r="F73" s="35" t="s">
        <v>9580</v>
      </c>
      <c r="G73" s="35"/>
      <c r="H73" s="35"/>
      <c r="I73" s="35" t="s">
        <v>9720</v>
      </c>
      <c r="J73" s="35" t="s">
        <v>9721</v>
      </c>
      <c r="K73" s="35" t="s">
        <v>166</v>
      </c>
      <c r="L73" s="35" t="s">
        <v>166</v>
      </c>
      <c r="M73" s="35" t="s">
        <v>167</v>
      </c>
      <c r="N73" s="35"/>
      <c r="O73" s="3"/>
    </row>
    <row r="74">
      <c r="A74" s="35" t="s">
        <v>9722</v>
      </c>
      <c r="B74" s="39">
        <v>46042.383356481485</v>
      </c>
      <c r="C74" s="35" t="s">
        <v>9723</v>
      </c>
      <c r="D74" s="40" t="s">
        <v>7088</v>
      </c>
      <c r="E74" s="35" t="s">
        <v>9488</v>
      </c>
      <c r="F74" s="40" t="s">
        <v>9489</v>
      </c>
      <c r="G74" s="35"/>
      <c r="H74" s="35"/>
      <c r="I74" s="35" t="s">
        <v>9724</v>
      </c>
      <c r="J74" s="35" t="s">
        <v>9725</v>
      </c>
      <c r="K74" s="35" t="s">
        <v>6608</v>
      </c>
      <c r="L74" s="35" t="s">
        <v>6608</v>
      </c>
      <c r="M74" s="35" t="s">
        <v>294</v>
      </c>
      <c r="N74" s="35"/>
      <c r="O74" s="3"/>
    </row>
    <row r="75">
      <c r="A75" s="35" t="s">
        <v>9726</v>
      </c>
      <c r="B75" s="39">
        <v>46042.38344907407</v>
      </c>
      <c r="C75" s="35" t="s">
        <v>9723</v>
      </c>
      <c r="D75" s="40" t="s">
        <v>7088</v>
      </c>
      <c r="E75" s="35" t="s">
        <v>9488</v>
      </c>
      <c r="F75" s="40" t="s">
        <v>9489</v>
      </c>
      <c r="G75" s="35"/>
      <c r="H75" s="35"/>
      <c r="I75" s="35" t="s">
        <v>9724</v>
      </c>
      <c r="J75" s="35" t="s">
        <v>9725</v>
      </c>
      <c r="K75" s="35" t="s">
        <v>6608</v>
      </c>
      <c r="L75" s="35" t="s">
        <v>6608</v>
      </c>
      <c r="M75" s="35" t="s">
        <v>294</v>
      </c>
      <c r="N75" s="35"/>
      <c r="O75" s="3"/>
    </row>
    <row r="76">
      <c r="A76" s="35" t="s">
        <v>9727</v>
      </c>
      <c r="B76" s="39">
        <v>46038.6330787037</v>
      </c>
      <c r="C76" s="35" t="s">
        <v>9488</v>
      </c>
      <c r="D76" s="40" t="s">
        <v>9489</v>
      </c>
      <c r="E76" s="35" t="s">
        <v>9728</v>
      </c>
      <c r="F76" s="40" t="s">
        <v>7088</v>
      </c>
      <c r="G76" s="35"/>
      <c r="H76" s="35"/>
      <c r="I76" s="35" t="s">
        <v>9729</v>
      </c>
      <c r="J76" s="35" t="s">
        <v>9730</v>
      </c>
      <c r="K76" s="35" t="s">
        <v>6608</v>
      </c>
      <c r="L76" s="35" t="s">
        <v>6608</v>
      </c>
      <c r="M76" s="35" t="s">
        <v>294</v>
      </c>
      <c r="N76" s="35"/>
      <c r="O76" s="3"/>
    </row>
    <row r="77">
      <c r="A77" s="35" t="s">
        <v>9731</v>
      </c>
      <c r="B77" s="39">
        <v>46038.52570601852</v>
      </c>
      <c r="C77" s="35" t="s">
        <v>9732</v>
      </c>
      <c r="D77" s="40" t="s">
        <v>7088</v>
      </c>
      <c r="E77" s="35" t="s">
        <v>9488</v>
      </c>
      <c r="F77" s="40" t="s">
        <v>9489</v>
      </c>
      <c r="G77" s="35"/>
      <c r="H77" s="35"/>
      <c r="I77" s="35" t="s">
        <v>9724</v>
      </c>
      <c r="J77" s="35"/>
      <c r="K77" s="35" t="s">
        <v>6608</v>
      </c>
      <c r="L77" s="35" t="s">
        <v>6608</v>
      </c>
      <c r="M77" s="35" t="s">
        <v>294</v>
      </c>
      <c r="N77" s="35"/>
      <c r="O77" s="3"/>
    </row>
    <row r="78">
      <c r="A78" s="35" t="s">
        <v>9733</v>
      </c>
      <c r="B78" s="39">
        <v>46038.47587962963</v>
      </c>
      <c r="C78" s="35" t="s">
        <v>9734</v>
      </c>
      <c r="D78" s="40" t="s">
        <v>7088</v>
      </c>
      <c r="E78" s="35" t="s">
        <v>9488</v>
      </c>
      <c r="F78" s="40" t="s">
        <v>9489</v>
      </c>
      <c r="G78" s="35"/>
      <c r="H78" s="35"/>
      <c r="I78" s="35" t="s">
        <v>9724</v>
      </c>
      <c r="J78" s="35"/>
      <c r="K78" s="35" t="s">
        <v>6608</v>
      </c>
      <c r="L78" s="35" t="s">
        <v>6608</v>
      </c>
      <c r="M78" s="35" t="s">
        <v>294</v>
      </c>
      <c r="N78" s="35"/>
      <c r="O78" s="3"/>
    </row>
    <row r="79">
      <c r="A79" s="35" t="s">
        <v>9735</v>
      </c>
      <c r="B79" s="39">
        <v>46038.47471064815</v>
      </c>
      <c r="C79" s="35" t="s">
        <v>9736</v>
      </c>
      <c r="D79" s="40" t="s">
        <v>7088</v>
      </c>
      <c r="E79" s="35" t="s">
        <v>9488</v>
      </c>
      <c r="F79" s="40" t="s">
        <v>9489</v>
      </c>
      <c r="G79" s="35"/>
      <c r="H79" s="35"/>
      <c r="I79" s="35" t="s">
        <v>9724</v>
      </c>
      <c r="J79" s="35"/>
      <c r="K79" s="35" t="s">
        <v>6608</v>
      </c>
      <c r="L79" s="35" t="s">
        <v>6608</v>
      </c>
      <c r="M79" s="35" t="s">
        <v>294</v>
      </c>
      <c r="N79" s="35"/>
      <c r="O79" s="3"/>
    </row>
    <row r="80">
      <c r="A80" s="35" t="s">
        <v>9737</v>
      </c>
      <c r="B80" s="39">
        <v>46034.67354166666</v>
      </c>
      <c r="C80" s="35" t="s">
        <v>9738</v>
      </c>
      <c r="D80" s="40" t="s">
        <v>7084</v>
      </c>
      <c r="E80" s="35" t="s">
        <v>9488</v>
      </c>
      <c r="F80" s="40" t="s">
        <v>9489</v>
      </c>
      <c r="G80" s="35" t="s">
        <v>9739</v>
      </c>
      <c r="H80" s="35" t="s">
        <v>9740</v>
      </c>
      <c r="I80" s="35" t="s">
        <v>9741</v>
      </c>
      <c r="J80" s="35" t="s">
        <v>9742</v>
      </c>
      <c r="K80" s="35" t="s">
        <v>145</v>
      </c>
      <c r="L80" s="35" t="s">
        <v>145</v>
      </c>
      <c r="M80" s="35" t="s">
        <v>263</v>
      </c>
      <c r="N80" s="35"/>
      <c r="O80" s="3"/>
    </row>
    <row r="81">
      <c r="A81" s="35" t="s">
        <v>9743</v>
      </c>
      <c r="B81" s="39">
        <v>46034.50189814815</v>
      </c>
      <c r="C81" s="35" t="s">
        <v>9744</v>
      </c>
      <c r="D81" s="40" t="s">
        <v>7084</v>
      </c>
      <c r="E81" s="35" t="s">
        <v>9488</v>
      </c>
      <c r="F81" s="40" t="s">
        <v>9489</v>
      </c>
      <c r="G81" s="35"/>
      <c r="H81" s="35"/>
      <c r="I81" s="35" t="s">
        <v>9745</v>
      </c>
      <c r="J81" s="35"/>
      <c r="K81" s="35" t="s">
        <v>145</v>
      </c>
      <c r="L81" s="35" t="s">
        <v>145</v>
      </c>
      <c r="M81" s="35" t="s">
        <v>263</v>
      </c>
      <c r="N81" s="35"/>
      <c r="O81" s="3"/>
    </row>
    <row r="82">
      <c r="A82" s="35" t="s">
        <v>9746</v>
      </c>
      <c r="B82" s="39">
        <v>46034.48771990741</v>
      </c>
      <c r="C82" s="35" t="s">
        <v>9738</v>
      </c>
      <c r="D82" s="40" t="s">
        <v>7084</v>
      </c>
      <c r="E82" s="35" t="s">
        <v>9488</v>
      </c>
      <c r="F82" s="40" t="s">
        <v>9489</v>
      </c>
      <c r="G82" s="35"/>
      <c r="H82" s="35"/>
      <c r="I82" s="35" t="s">
        <v>9745</v>
      </c>
      <c r="J82" s="35" t="s">
        <v>9725</v>
      </c>
      <c r="K82" s="35" t="s">
        <v>145</v>
      </c>
      <c r="L82" s="35" t="s">
        <v>145</v>
      </c>
      <c r="M82" s="35" t="s">
        <v>263</v>
      </c>
      <c r="N82" s="35"/>
      <c r="O82" s="3"/>
    </row>
    <row r="83">
      <c r="A83" s="35" t="s">
        <v>9747</v>
      </c>
      <c r="B83" s="39">
        <v>46021.385462962964</v>
      </c>
      <c r="C83" s="35" t="s">
        <v>9527</v>
      </c>
      <c r="D83" s="40" t="s">
        <v>9489</v>
      </c>
      <c r="E83" s="35" t="s">
        <v>9748</v>
      </c>
      <c r="F83" s="35" t="s">
        <v>9740</v>
      </c>
      <c r="G83" s="35"/>
      <c r="H83" s="35"/>
      <c r="I83" s="35" t="s">
        <v>9749</v>
      </c>
      <c r="J83" s="35" t="s">
        <v>9750</v>
      </c>
      <c r="K83" s="35" t="s">
        <v>145</v>
      </c>
      <c r="L83" s="35" t="s">
        <v>145</v>
      </c>
      <c r="M83" s="35" t="s">
        <v>263</v>
      </c>
      <c r="N83" s="35"/>
      <c r="O83" s="3"/>
    </row>
    <row r="84">
      <c r="A84" s="35" t="s">
        <v>9751</v>
      </c>
      <c r="B84" s="39">
        <v>46015.38545138889</v>
      </c>
      <c r="C84" s="35" t="s">
        <v>9527</v>
      </c>
      <c r="D84" s="40" t="s">
        <v>9489</v>
      </c>
      <c r="E84" s="35" t="s">
        <v>9752</v>
      </c>
      <c r="F84" s="35" t="s">
        <v>9753</v>
      </c>
      <c r="G84" s="35"/>
      <c r="H84" s="35"/>
      <c r="I84" s="35" t="s">
        <v>9754</v>
      </c>
      <c r="J84" s="35" t="s">
        <v>9755</v>
      </c>
      <c r="K84" s="35" t="s">
        <v>6608</v>
      </c>
      <c r="L84" s="35" t="s">
        <v>6608</v>
      </c>
      <c r="M84" s="35" t="s">
        <v>294</v>
      </c>
      <c r="N84" s="35"/>
      <c r="O84" s="3"/>
    </row>
    <row r="85">
      <c r="A85" s="35" t="s">
        <v>9756</v>
      </c>
      <c r="B85" s="39">
        <v>46009.84645833333</v>
      </c>
      <c r="C85" s="35" t="s">
        <v>9757</v>
      </c>
      <c r="D85" s="40" t="s">
        <v>9489</v>
      </c>
      <c r="E85" s="35" t="s">
        <v>9758</v>
      </c>
      <c r="F85" s="35" t="s">
        <v>9759</v>
      </c>
      <c r="G85" s="35"/>
      <c r="H85" s="35"/>
      <c r="I85" s="35" t="s">
        <v>9760</v>
      </c>
      <c r="J85" s="35" t="s">
        <v>9761</v>
      </c>
      <c r="K85" s="35" t="s">
        <v>208</v>
      </c>
      <c r="L85" s="35" t="s">
        <v>208</v>
      </c>
      <c r="M85" s="35" t="s">
        <v>209</v>
      </c>
      <c r="N85" s="35"/>
      <c r="O85" s="3"/>
    </row>
    <row r="86">
      <c r="A86" s="35" t="s">
        <v>9762</v>
      </c>
      <c r="B86" s="39">
        <v>46029.582824074074</v>
      </c>
      <c r="C86" s="35" t="s">
        <v>9763</v>
      </c>
      <c r="D86" s="40" t="s">
        <v>7086</v>
      </c>
      <c r="E86" s="35" t="s">
        <v>9764</v>
      </c>
      <c r="F86" s="40" t="s">
        <v>9489</v>
      </c>
      <c r="G86" s="35"/>
      <c r="H86" s="35"/>
      <c r="I86" s="35" t="s">
        <v>9765</v>
      </c>
      <c r="J86" s="35" t="s">
        <v>9766</v>
      </c>
      <c r="K86" s="35" t="s">
        <v>208</v>
      </c>
      <c r="L86" s="35" t="s">
        <v>208</v>
      </c>
      <c r="M86" s="35" t="s">
        <v>209</v>
      </c>
      <c r="N86" s="35"/>
      <c r="O86" s="3"/>
    </row>
    <row r="87">
      <c r="A87" s="35" t="s">
        <v>9767</v>
      </c>
      <c r="B87" s="39">
        <v>46029.585439814815</v>
      </c>
      <c r="C87" s="35" t="s">
        <v>9488</v>
      </c>
      <c r="D87" s="40" t="s">
        <v>9489</v>
      </c>
      <c r="E87" s="35" t="s">
        <v>9763</v>
      </c>
      <c r="F87" s="40" t="s">
        <v>7086</v>
      </c>
      <c r="G87" s="35" t="s">
        <v>9757</v>
      </c>
      <c r="H87" s="40" t="s">
        <v>9489</v>
      </c>
      <c r="I87" s="35" t="s">
        <v>9768</v>
      </c>
      <c r="J87" s="35" t="s">
        <v>9769</v>
      </c>
      <c r="K87" s="35" t="s">
        <v>208</v>
      </c>
      <c r="L87" s="35" t="s">
        <v>208</v>
      </c>
      <c r="M87" s="35" t="s">
        <v>209</v>
      </c>
      <c r="N87" s="35"/>
      <c r="O87" s="3"/>
    </row>
    <row r="88">
      <c r="A88" s="35" t="s">
        <v>9770</v>
      </c>
      <c r="B88" s="39">
        <v>46029.61006944445</v>
      </c>
      <c r="C88" s="35" t="s">
        <v>9757</v>
      </c>
      <c r="D88" s="40" t="s">
        <v>9489</v>
      </c>
      <c r="E88" s="35" t="s">
        <v>9763</v>
      </c>
      <c r="F88" s="40" t="s">
        <v>7086</v>
      </c>
      <c r="G88" s="35" t="s">
        <v>9488</v>
      </c>
      <c r="H88" s="40" t="s">
        <v>9489</v>
      </c>
      <c r="I88" s="35" t="s">
        <v>9768</v>
      </c>
      <c r="J88" s="35" t="s">
        <v>9771</v>
      </c>
      <c r="K88" s="35" t="s">
        <v>208</v>
      </c>
      <c r="L88" s="35" t="s">
        <v>208</v>
      </c>
      <c r="M88" s="35" t="s">
        <v>209</v>
      </c>
      <c r="N88" s="35"/>
      <c r="O88" s="3"/>
    </row>
    <row r="89">
      <c r="A89" s="35" t="s">
        <v>9772</v>
      </c>
      <c r="B89" s="39">
        <v>46007.540127314816</v>
      </c>
      <c r="C89" s="35" t="s">
        <v>9496</v>
      </c>
      <c r="D89" s="40" t="s">
        <v>9489</v>
      </c>
      <c r="E89" s="35" t="s">
        <v>9773</v>
      </c>
      <c r="F89" s="35" t="s">
        <v>9774</v>
      </c>
      <c r="G89" s="35"/>
      <c r="H89" s="35"/>
      <c r="I89" s="35" t="s">
        <v>9775</v>
      </c>
      <c r="J89" s="35" t="s">
        <v>9776</v>
      </c>
      <c r="K89" s="35" t="s">
        <v>175</v>
      </c>
      <c r="L89" s="35" t="s">
        <v>175</v>
      </c>
      <c r="M89" s="35" t="s">
        <v>422</v>
      </c>
      <c r="N89" s="35"/>
      <c r="O89" s="3"/>
    </row>
    <row r="90">
      <c r="A90" s="35" t="s">
        <v>9777</v>
      </c>
      <c r="B90" s="39">
        <v>46003.62909722222</v>
      </c>
      <c r="C90" s="35" t="s">
        <v>9496</v>
      </c>
      <c r="D90" s="40" t="s">
        <v>9489</v>
      </c>
      <c r="E90" s="35" t="s">
        <v>9778</v>
      </c>
      <c r="F90" s="35" t="s">
        <v>9753</v>
      </c>
      <c r="G90" s="35"/>
      <c r="H90" s="35"/>
      <c r="I90" s="35" t="s">
        <v>9779</v>
      </c>
      <c r="J90" s="35" t="s">
        <v>9780</v>
      </c>
      <c r="K90" s="35" t="s">
        <v>6608</v>
      </c>
      <c r="L90" s="35" t="s">
        <v>6608</v>
      </c>
      <c r="M90" s="35" t="s">
        <v>294</v>
      </c>
      <c r="N90" s="35"/>
      <c r="O90" s="3"/>
    </row>
    <row r="91">
      <c r="A91" s="35" t="s">
        <v>9781</v>
      </c>
      <c r="B91" s="39">
        <v>46003.39712962963</v>
      </c>
      <c r="C91" s="35" t="s">
        <v>9496</v>
      </c>
      <c r="D91" s="40" t="s">
        <v>9489</v>
      </c>
      <c r="E91" s="35" t="s">
        <v>9782</v>
      </c>
      <c r="F91" s="35" t="s">
        <v>9740</v>
      </c>
      <c r="G91" s="35"/>
      <c r="H91" s="35"/>
      <c r="I91" s="35" t="s">
        <v>9783</v>
      </c>
      <c r="J91" s="35" t="s">
        <v>9784</v>
      </c>
      <c r="K91" s="35" t="s">
        <v>145</v>
      </c>
      <c r="L91" s="35" t="s">
        <v>145</v>
      </c>
      <c r="M91" s="35" t="s">
        <v>263</v>
      </c>
      <c r="N91" s="35"/>
      <c r="O91" s="3"/>
    </row>
    <row r="92">
      <c r="A92" s="35" t="s">
        <v>9785</v>
      </c>
      <c r="B92" s="39">
        <v>46000.41678240741</v>
      </c>
      <c r="C92" s="35" t="s">
        <v>9496</v>
      </c>
      <c r="D92" s="40" t="s">
        <v>9489</v>
      </c>
      <c r="E92" s="35" t="s">
        <v>9744</v>
      </c>
      <c r="F92" s="40" t="s">
        <v>7084</v>
      </c>
      <c r="G92" s="35" t="s">
        <v>9786</v>
      </c>
      <c r="H92" s="35" t="s">
        <v>9787</v>
      </c>
      <c r="I92" s="35" t="s">
        <v>9788</v>
      </c>
      <c r="J92" s="35" t="s">
        <v>9789</v>
      </c>
      <c r="K92" s="35" t="s">
        <v>145</v>
      </c>
      <c r="L92" s="35" t="s">
        <v>145</v>
      </c>
      <c r="M92" s="35" t="s">
        <v>263</v>
      </c>
      <c r="N92" s="35"/>
      <c r="O92" s="3"/>
    </row>
    <row r="93">
      <c r="A93" s="35" t="s">
        <v>9790</v>
      </c>
      <c r="B93" s="39">
        <v>46027.423159722224</v>
      </c>
      <c r="C93" s="35" t="s">
        <v>9488</v>
      </c>
      <c r="D93" s="40" t="s">
        <v>9489</v>
      </c>
      <c r="E93" s="35" t="s">
        <v>9496</v>
      </c>
      <c r="F93" s="40" t="s">
        <v>9489</v>
      </c>
      <c r="G93" s="35" t="s">
        <v>9791</v>
      </c>
      <c r="H93" s="35" t="s">
        <v>9787</v>
      </c>
      <c r="I93" s="35" t="s">
        <v>9788</v>
      </c>
      <c r="J93" s="35" t="s">
        <v>9792</v>
      </c>
      <c r="K93" s="35" t="s">
        <v>145</v>
      </c>
      <c r="L93" s="35" t="s">
        <v>145</v>
      </c>
      <c r="M93" s="35" t="s">
        <v>263</v>
      </c>
      <c r="N93" s="35"/>
      <c r="O93" s="3"/>
    </row>
    <row r="94">
      <c r="A94" s="35" t="s">
        <v>9793</v>
      </c>
      <c r="B94" s="39">
        <v>46034.417708333334</v>
      </c>
      <c r="C94" s="35" t="s">
        <v>9738</v>
      </c>
      <c r="D94" s="40" t="s">
        <v>7084</v>
      </c>
      <c r="E94" s="35" t="s">
        <v>9534</v>
      </c>
      <c r="F94" s="40" t="s">
        <v>9489</v>
      </c>
      <c r="G94" s="35" t="s">
        <v>9794</v>
      </c>
      <c r="H94" s="35" t="s">
        <v>9787</v>
      </c>
      <c r="I94" s="35" t="s">
        <v>9788</v>
      </c>
      <c r="J94" s="35" t="s">
        <v>9795</v>
      </c>
      <c r="K94" s="35" t="s">
        <v>145</v>
      </c>
      <c r="L94" s="35" t="s">
        <v>145</v>
      </c>
      <c r="M94" s="35" t="s">
        <v>263</v>
      </c>
      <c r="N94" s="35"/>
      <c r="O94" s="3"/>
    </row>
    <row r="95">
      <c r="A95" s="35" t="s">
        <v>9796</v>
      </c>
      <c r="B95" s="39">
        <v>45999.84626157407</v>
      </c>
      <c r="C95" s="35" t="s">
        <v>9496</v>
      </c>
      <c r="D95" s="40" t="s">
        <v>9489</v>
      </c>
      <c r="E95" s="35" t="s">
        <v>9773</v>
      </c>
      <c r="F95" s="35" t="s">
        <v>9774</v>
      </c>
      <c r="G95" s="35"/>
      <c r="H95" s="35"/>
      <c r="I95" s="35" t="s">
        <v>9797</v>
      </c>
      <c r="J95" s="35" t="s">
        <v>9798</v>
      </c>
      <c r="K95" s="35" t="s">
        <v>175</v>
      </c>
      <c r="L95" s="35" t="s">
        <v>175</v>
      </c>
      <c r="M95" s="35" t="s">
        <v>422</v>
      </c>
      <c r="N95" s="35"/>
      <c r="O95" s="3"/>
    </row>
    <row r="96">
      <c r="A96" s="35" t="s">
        <v>9799</v>
      </c>
      <c r="B96" s="39">
        <v>45986.07958333333</v>
      </c>
      <c r="C96" s="35" t="s">
        <v>9496</v>
      </c>
      <c r="D96" s="40" t="s">
        <v>9489</v>
      </c>
      <c r="E96" s="35" t="s">
        <v>9778</v>
      </c>
      <c r="F96" s="35" t="s">
        <v>9753</v>
      </c>
      <c r="G96" s="35"/>
      <c r="H96" s="35"/>
      <c r="I96" s="35" t="s">
        <v>9800</v>
      </c>
      <c r="J96" s="35" t="s">
        <v>9801</v>
      </c>
      <c r="K96" s="35" t="s">
        <v>6608</v>
      </c>
      <c r="L96" s="35" t="s">
        <v>6608</v>
      </c>
      <c r="M96" s="35" t="s">
        <v>294</v>
      </c>
      <c r="N96" s="35"/>
      <c r="O96" s="3"/>
    </row>
    <row r="97">
      <c r="A97" s="35" t="s">
        <v>9802</v>
      </c>
      <c r="B97" s="39">
        <v>45986.076828703706</v>
      </c>
      <c r="C97" s="35" t="s">
        <v>9496</v>
      </c>
      <c r="D97" s="40" t="s">
        <v>9489</v>
      </c>
      <c r="E97" s="35" t="s">
        <v>9803</v>
      </c>
      <c r="F97" s="35" t="s">
        <v>9804</v>
      </c>
      <c r="G97" s="35"/>
      <c r="H97" s="35"/>
      <c r="I97" s="35" t="s">
        <v>9805</v>
      </c>
      <c r="J97" s="35" t="s">
        <v>9806</v>
      </c>
      <c r="K97" s="35" t="s">
        <v>169</v>
      </c>
      <c r="L97" s="35" t="s">
        <v>169</v>
      </c>
      <c r="M97" s="35" t="s">
        <v>170</v>
      </c>
      <c r="N97" s="35"/>
      <c r="O97" s="3"/>
    </row>
    <row r="98">
      <c r="A98" s="35" t="s">
        <v>9807</v>
      </c>
      <c r="B98" s="39">
        <v>45986.07434027777</v>
      </c>
      <c r="C98" s="35" t="s">
        <v>9496</v>
      </c>
      <c r="D98" s="40" t="s">
        <v>9489</v>
      </c>
      <c r="E98" s="35" t="s">
        <v>9773</v>
      </c>
      <c r="F98" s="35" t="s">
        <v>9774</v>
      </c>
      <c r="G98" s="35"/>
      <c r="H98" s="35"/>
      <c r="I98" s="35" t="s">
        <v>9808</v>
      </c>
      <c r="J98" s="35" t="s">
        <v>9809</v>
      </c>
      <c r="K98" s="35" t="s">
        <v>175</v>
      </c>
      <c r="L98" s="35" t="s">
        <v>175</v>
      </c>
      <c r="M98" s="35" t="s">
        <v>422</v>
      </c>
      <c r="N98" s="35"/>
      <c r="O98" s="3"/>
    </row>
    <row r="99">
      <c r="A99" s="35" t="s">
        <v>9810</v>
      </c>
      <c r="B99" s="39">
        <v>46038.551828703705</v>
      </c>
      <c r="C99" s="35" t="s">
        <v>9811</v>
      </c>
      <c r="D99" s="40" t="s">
        <v>7091</v>
      </c>
      <c r="E99" s="35" t="s">
        <v>9488</v>
      </c>
      <c r="F99" s="40" t="s">
        <v>9489</v>
      </c>
      <c r="G99" s="35"/>
      <c r="H99" s="35"/>
      <c r="I99" s="35" t="s">
        <v>9812</v>
      </c>
      <c r="J99" s="35"/>
      <c r="K99" s="35" t="s">
        <v>190</v>
      </c>
      <c r="L99" s="35" t="s">
        <v>190</v>
      </c>
      <c r="M99" s="35" t="s">
        <v>191</v>
      </c>
      <c r="N99" s="35"/>
      <c r="O99" s="3"/>
    </row>
    <row r="100">
      <c r="A100" s="35" t="s">
        <v>9813</v>
      </c>
      <c r="B100" s="39">
        <v>46037.41668981481</v>
      </c>
      <c r="C100" s="35" t="s">
        <v>9814</v>
      </c>
      <c r="D100" s="40" t="s">
        <v>9815</v>
      </c>
      <c r="E100" s="35" t="s">
        <v>9816</v>
      </c>
      <c r="F100" s="40" t="s">
        <v>8098</v>
      </c>
      <c r="G100" s="35" t="s">
        <v>8030</v>
      </c>
      <c r="H100" s="40" t="s">
        <v>9489</v>
      </c>
      <c r="I100" s="35" t="s">
        <v>9817</v>
      </c>
      <c r="J100" s="35" t="s">
        <v>9818</v>
      </c>
      <c r="K100" s="35" t="s">
        <v>6785</v>
      </c>
      <c r="L100" s="35" t="s">
        <v>6785</v>
      </c>
      <c r="M100" s="35" t="s">
        <v>601</v>
      </c>
      <c r="N100" s="35"/>
      <c r="O100" s="3"/>
    </row>
    <row r="101">
      <c r="A101" s="35" t="s">
        <v>9819</v>
      </c>
      <c r="B101" s="39">
        <v>46037.45836805555</v>
      </c>
      <c r="C101" s="35" t="s">
        <v>9814</v>
      </c>
      <c r="D101" s="40" t="s">
        <v>9815</v>
      </c>
      <c r="E101" s="35" t="s">
        <v>9820</v>
      </c>
      <c r="F101" s="40" t="s">
        <v>7117</v>
      </c>
      <c r="G101" s="35" t="s">
        <v>7504</v>
      </c>
      <c r="H101" s="40" t="s">
        <v>9489</v>
      </c>
      <c r="I101" s="35" t="s">
        <v>9817</v>
      </c>
      <c r="J101" s="35" t="s">
        <v>9818</v>
      </c>
      <c r="K101" s="35" t="s">
        <v>178</v>
      </c>
      <c r="L101" s="35" t="s">
        <v>178</v>
      </c>
      <c r="M101" s="35" t="s">
        <v>179</v>
      </c>
      <c r="N101" s="35"/>
      <c r="O101" s="3"/>
    </row>
    <row r="102">
      <c r="A102" s="35" t="s">
        <v>9821</v>
      </c>
      <c r="B102" s="39">
        <v>46037.52084490741</v>
      </c>
      <c r="C102" s="35" t="s">
        <v>9814</v>
      </c>
      <c r="D102" s="40" t="s">
        <v>9815</v>
      </c>
      <c r="E102" s="35" t="s">
        <v>9822</v>
      </c>
      <c r="F102" s="40" t="s">
        <v>7091</v>
      </c>
      <c r="G102" s="35" t="s">
        <v>9823</v>
      </c>
      <c r="H102" s="35" t="s">
        <v>9824</v>
      </c>
      <c r="I102" s="35" t="s">
        <v>9817</v>
      </c>
      <c r="J102" s="35" t="s">
        <v>9818</v>
      </c>
      <c r="K102" s="35" t="s">
        <v>190</v>
      </c>
      <c r="L102" s="35" t="s">
        <v>190</v>
      </c>
      <c r="M102" s="35" t="s">
        <v>191</v>
      </c>
      <c r="N102" s="35"/>
      <c r="O102" s="3"/>
    </row>
    <row r="103">
      <c r="A103" s="35" t="s">
        <v>9825</v>
      </c>
      <c r="B103" s="39">
        <v>46037.60423611111</v>
      </c>
      <c r="C103" s="35" t="s">
        <v>9814</v>
      </c>
      <c r="D103" s="40" t="s">
        <v>9815</v>
      </c>
      <c r="E103" s="35" t="s">
        <v>9826</v>
      </c>
      <c r="F103" s="40" t="s">
        <v>7106</v>
      </c>
      <c r="G103" s="35" t="s">
        <v>9827</v>
      </c>
      <c r="H103" s="35" t="s">
        <v>9828</v>
      </c>
      <c r="I103" s="35" t="s">
        <v>9817</v>
      </c>
      <c r="J103" s="35" t="s">
        <v>9818</v>
      </c>
      <c r="K103" s="35" t="s">
        <v>122</v>
      </c>
      <c r="L103" s="35" t="s">
        <v>122</v>
      </c>
      <c r="M103" s="35" t="s">
        <v>123</v>
      </c>
      <c r="N103" s="35"/>
      <c r="O103" s="3"/>
    </row>
    <row r="104">
      <c r="A104" s="35" t="s">
        <v>9829</v>
      </c>
      <c r="B104" s="39">
        <v>46037.50952546296</v>
      </c>
      <c r="C104" s="35" t="s">
        <v>9496</v>
      </c>
      <c r="D104" s="40" t="s">
        <v>9489</v>
      </c>
      <c r="E104" s="35" t="s">
        <v>9830</v>
      </c>
      <c r="F104" s="35" t="s">
        <v>9824</v>
      </c>
      <c r="G104" s="35"/>
      <c r="H104" s="35"/>
      <c r="I104" s="35" t="s">
        <v>9831</v>
      </c>
      <c r="J104" s="35" t="s">
        <v>9832</v>
      </c>
      <c r="K104" s="35" t="s">
        <v>190</v>
      </c>
      <c r="L104" s="35" t="s">
        <v>190</v>
      </c>
      <c r="M104" s="35" t="s">
        <v>191</v>
      </c>
      <c r="N104" s="35"/>
      <c r="O104" s="3"/>
    </row>
    <row r="105">
      <c r="A105" s="35" t="s">
        <v>9833</v>
      </c>
      <c r="B105" s="39">
        <v>46037.44226851852</v>
      </c>
      <c r="C105" s="35" t="s">
        <v>9834</v>
      </c>
      <c r="D105" s="40" t="s">
        <v>7093</v>
      </c>
      <c r="E105" s="35" t="s">
        <v>9835</v>
      </c>
      <c r="F105" s="35" t="s">
        <v>9836</v>
      </c>
      <c r="G105" s="35"/>
      <c r="H105" s="35"/>
      <c r="I105" s="35" t="s">
        <v>7618</v>
      </c>
      <c r="J105" s="35" t="s">
        <v>9837</v>
      </c>
      <c r="K105" s="35" t="s">
        <v>154</v>
      </c>
      <c r="L105" s="35" t="s">
        <v>154</v>
      </c>
      <c r="M105" s="35" t="s">
        <v>329</v>
      </c>
      <c r="N105" s="35"/>
      <c r="O105" s="3"/>
    </row>
    <row r="106">
      <c r="A106" s="35" t="s">
        <v>9838</v>
      </c>
      <c r="B106" s="39">
        <v>46037.349745370375</v>
      </c>
      <c r="C106" s="35" t="s">
        <v>9496</v>
      </c>
      <c r="D106" s="40" t="s">
        <v>9489</v>
      </c>
      <c r="E106" s="35" t="s">
        <v>9830</v>
      </c>
      <c r="F106" s="35" t="s">
        <v>9824</v>
      </c>
      <c r="G106" s="35"/>
      <c r="H106" s="35"/>
      <c r="I106" s="35" t="s">
        <v>9839</v>
      </c>
      <c r="J106" s="35" t="s">
        <v>9840</v>
      </c>
      <c r="K106" s="35" t="s">
        <v>190</v>
      </c>
      <c r="L106" s="35" t="s">
        <v>190</v>
      </c>
      <c r="M106" s="35" t="s">
        <v>191</v>
      </c>
      <c r="N106" s="35"/>
      <c r="O106" s="3"/>
    </row>
    <row r="107">
      <c r="A107" s="35" t="s">
        <v>9841</v>
      </c>
      <c r="B107" s="39">
        <v>46036.90456018518</v>
      </c>
      <c r="C107" s="35" t="s">
        <v>9496</v>
      </c>
      <c r="D107" s="40" t="s">
        <v>9489</v>
      </c>
      <c r="E107" s="35" t="s">
        <v>9842</v>
      </c>
      <c r="F107" s="35" t="s">
        <v>9843</v>
      </c>
      <c r="G107" s="35" t="s">
        <v>9844</v>
      </c>
      <c r="H107" s="40" t="s">
        <v>9489</v>
      </c>
      <c r="I107" s="35" t="s">
        <v>9845</v>
      </c>
      <c r="J107" s="35" t="s">
        <v>9846</v>
      </c>
      <c r="K107" s="35" t="s">
        <v>199</v>
      </c>
      <c r="L107" s="35" t="s">
        <v>199</v>
      </c>
      <c r="M107" s="35" t="s">
        <v>272</v>
      </c>
      <c r="N107" s="35"/>
      <c r="O107" s="3"/>
    </row>
    <row r="108">
      <c r="A108" s="35" t="s">
        <v>9847</v>
      </c>
      <c r="B108" s="39">
        <v>46030.60597222223</v>
      </c>
      <c r="C108" s="35" t="s">
        <v>9496</v>
      </c>
      <c r="D108" s="40" t="s">
        <v>9489</v>
      </c>
      <c r="E108" s="35" t="s">
        <v>9830</v>
      </c>
      <c r="F108" s="35" t="s">
        <v>9824</v>
      </c>
      <c r="G108" s="35"/>
      <c r="H108" s="35"/>
      <c r="I108" s="35" t="s">
        <v>9848</v>
      </c>
      <c r="J108" s="35" t="s">
        <v>9849</v>
      </c>
      <c r="K108" s="35" t="s">
        <v>190</v>
      </c>
      <c r="L108" s="35" t="s">
        <v>190</v>
      </c>
      <c r="M108" s="35" t="s">
        <v>191</v>
      </c>
      <c r="N108" s="35"/>
      <c r="O108" s="3"/>
    </row>
    <row r="109">
      <c r="A109" s="35" t="s">
        <v>9850</v>
      </c>
      <c r="B109" s="39">
        <v>46030.605416666665</v>
      </c>
      <c r="C109" s="35" t="s">
        <v>9851</v>
      </c>
      <c r="D109" s="40" t="s">
        <v>7091</v>
      </c>
      <c r="E109" s="35" t="s">
        <v>9852</v>
      </c>
      <c r="F109" s="35" t="s">
        <v>9824</v>
      </c>
      <c r="G109" s="35"/>
      <c r="H109" s="35"/>
      <c r="I109" s="35" t="s">
        <v>9853</v>
      </c>
      <c r="J109" s="35" t="s">
        <v>9854</v>
      </c>
      <c r="K109" s="35" t="s">
        <v>190</v>
      </c>
      <c r="L109" s="35" t="s">
        <v>190</v>
      </c>
      <c r="M109" s="35" t="s">
        <v>191</v>
      </c>
      <c r="N109" s="35"/>
      <c r="O109" s="3"/>
    </row>
    <row r="110">
      <c r="A110" s="35" t="s">
        <v>9855</v>
      </c>
      <c r="B110" s="39">
        <v>46030.61515046297</v>
      </c>
      <c r="C110" s="35" t="s">
        <v>9488</v>
      </c>
      <c r="D110" s="40" t="s">
        <v>9489</v>
      </c>
      <c r="E110" s="35" t="s">
        <v>9851</v>
      </c>
      <c r="F110" s="40" t="s">
        <v>7091</v>
      </c>
      <c r="G110" s="35" t="s">
        <v>9856</v>
      </c>
      <c r="H110" s="35" t="s">
        <v>9824</v>
      </c>
      <c r="I110" s="35" t="s">
        <v>9857</v>
      </c>
      <c r="J110" s="35" t="s">
        <v>9858</v>
      </c>
      <c r="K110" s="35" t="s">
        <v>190</v>
      </c>
      <c r="L110" s="35" t="s">
        <v>190</v>
      </c>
      <c r="M110" s="35" t="s">
        <v>191</v>
      </c>
      <c r="N110" s="35"/>
      <c r="O110" s="3"/>
    </row>
    <row r="111">
      <c r="A111" s="35" t="s">
        <v>9859</v>
      </c>
      <c r="B111" s="39">
        <v>46030.582083333335</v>
      </c>
      <c r="C111" s="35" t="s">
        <v>9860</v>
      </c>
      <c r="D111" s="40" t="s">
        <v>7089</v>
      </c>
      <c r="E111" s="35" t="s">
        <v>9488</v>
      </c>
      <c r="F111" s="40" t="s">
        <v>9489</v>
      </c>
      <c r="G111" s="35"/>
      <c r="H111" s="35"/>
      <c r="I111" s="35" t="s">
        <v>9861</v>
      </c>
      <c r="J111" s="35" t="s">
        <v>9862</v>
      </c>
      <c r="K111" s="35" t="s">
        <v>142</v>
      </c>
      <c r="L111" s="35" t="s">
        <v>142</v>
      </c>
      <c r="M111" s="35" t="s">
        <v>143</v>
      </c>
      <c r="N111" s="35"/>
      <c r="O111" s="3"/>
    </row>
    <row r="112">
      <c r="A112" s="35" t="s">
        <v>9863</v>
      </c>
      <c r="B112" s="39">
        <v>46030.57984953704</v>
      </c>
      <c r="C112" s="35" t="s">
        <v>9488</v>
      </c>
      <c r="D112" s="40" t="s">
        <v>9489</v>
      </c>
      <c r="E112" s="35" t="s">
        <v>9864</v>
      </c>
      <c r="F112" s="40" t="s">
        <v>7089</v>
      </c>
      <c r="G112" s="35" t="s">
        <v>9865</v>
      </c>
      <c r="H112" s="40" t="s">
        <v>9489</v>
      </c>
      <c r="I112" s="35" t="s">
        <v>9866</v>
      </c>
      <c r="J112" s="35" t="s">
        <v>9867</v>
      </c>
      <c r="K112" s="35" t="s">
        <v>142</v>
      </c>
      <c r="L112" s="35" t="s">
        <v>142</v>
      </c>
      <c r="M112" s="35" t="s">
        <v>143</v>
      </c>
      <c r="N112" s="35"/>
      <c r="O112" s="3"/>
    </row>
    <row r="113">
      <c r="A113" s="35" t="s">
        <v>9868</v>
      </c>
      <c r="B113" s="39">
        <v>46035.66805555555</v>
      </c>
      <c r="C113" s="35" t="s">
        <v>9488</v>
      </c>
      <c r="D113" s="40" t="s">
        <v>9489</v>
      </c>
      <c r="E113" s="35" t="s">
        <v>9864</v>
      </c>
      <c r="F113" s="40" t="s">
        <v>7089</v>
      </c>
      <c r="G113" s="35" t="s">
        <v>9865</v>
      </c>
      <c r="H113" s="40" t="s">
        <v>9489</v>
      </c>
      <c r="I113" s="35" t="s">
        <v>9869</v>
      </c>
      <c r="J113" s="35" t="s">
        <v>9870</v>
      </c>
      <c r="K113" s="35" t="s">
        <v>142</v>
      </c>
      <c r="L113" s="35" t="s">
        <v>142</v>
      </c>
      <c r="M113" s="35" t="s">
        <v>143</v>
      </c>
      <c r="N113" s="35"/>
      <c r="O113" s="3"/>
    </row>
    <row r="114">
      <c r="A114" s="35" t="s">
        <v>9871</v>
      </c>
      <c r="B114" s="39">
        <v>46030.535995370374</v>
      </c>
      <c r="C114" s="35" t="s">
        <v>9496</v>
      </c>
      <c r="D114" s="40" t="s">
        <v>9489</v>
      </c>
      <c r="E114" s="35" t="s">
        <v>9872</v>
      </c>
      <c r="F114" s="35" t="s">
        <v>9873</v>
      </c>
      <c r="G114" s="35"/>
      <c r="H114" s="35"/>
      <c r="I114" s="35" t="s">
        <v>9874</v>
      </c>
      <c r="J114" s="35" t="s">
        <v>9875</v>
      </c>
      <c r="K114" s="35" t="s">
        <v>190</v>
      </c>
      <c r="L114" s="35" t="s">
        <v>190</v>
      </c>
      <c r="M114" s="35" t="s">
        <v>191</v>
      </c>
      <c r="N114" s="35"/>
      <c r="O114" s="3"/>
    </row>
    <row r="115">
      <c r="A115" s="35" t="s">
        <v>9876</v>
      </c>
      <c r="B115" s="39">
        <v>46022.38552083333</v>
      </c>
      <c r="C115" s="35" t="s">
        <v>9527</v>
      </c>
      <c r="D115" s="40" t="s">
        <v>9489</v>
      </c>
      <c r="E115" s="35" t="s">
        <v>9877</v>
      </c>
      <c r="F115" s="35" t="s">
        <v>9843</v>
      </c>
      <c r="G115" s="35"/>
      <c r="H115" s="35"/>
      <c r="I115" s="35" t="s">
        <v>9878</v>
      </c>
      <c r="J115" s="35" t="s">
        <v>9879</v>
      </c>
      <c r="K115" s="35" t="s">
        <v>199</v>
      </c>
      <c r="L115" s="35" t="s">
        <v>199</v>
      </c>
      <c r="M115" s="35" t="s">
        <v>272</v>
      </c>
      <c r="N115" s="35"/>
      <c r="O115" s="3"/>
    </row>
    <row r="116">
      <c r="A116" s="35" t="s">
        <v>9880</v>
      </c>
      <c r="B116" s="39">
        <v>46013.59313657407</v>
      </c>
      <c r="C116" s="35" t="s">
        <v>9860</v>
      </c>
      <c r="D116" s="40" t="s">
        <v>7089</v>
      </c>
      <c r="E116" s="35" t="s">
        <v>9488</v>
      </c>
      <c r="F116" s="40" t="s">
        <v>9489</v>
      </c>
      <c r="G116" s="35"/>
      <c r="H116" s="35"/>
      <c r="I116" s="35" t="s">
        <v>9881</v>
      </c>
      <c r="J116" s="35" t="s">
        <v>9882</v>
      </c>
      <c r="K116" s="35" t="s">
        <v>142</v>
      </c>
      <c r="L116" s="35" t="s">
        <v>142</v>
      </c>
      <c r="M116" s="35" t="s">
        <v>143</v>
      </c>
      <c r="N116" s="35"/>
      <c r="O116" s="3"/>
    </row>
    <row r="117">
      <c r="A117" s="35" t="s">
        <v>9883</v>
      </c>
      <c r="B117" s="39">
        <v>46013.42034722222</v>
      </c>
      <c r="C117" s="35" t="s">
        <v>9884</v>
      </c>
      <c r="D117" s="40" t="s">
        <v>7089</v>
      </c>
      <c r="E117" s="35" t="s">
        <v>9885</v>
      </c>
      <c r="F117" s="35" t="s">
        <v>9886</v>
      </c>
      <c r="G117" s="35" t="s">
        <v>9884</v>
      </c>
      <c r="H117" s="40" t="s">
        <v>7089</v>
      </c>
      <c r="I117" s="35" t="s">
        <v>9887</v>
      </c>
      <c r="J117" s="35" t="s">
        <v>9888</v>
      </c>
      <c r="K117" s="35" t="s">
        <v>142</v>
      </c>
      <c r="L117" s="35" t="s">
        <v>142</v>
      </c>
      <c r="M117" s="35" t="s">
        <v>143</v>
      </c>
      <c r="N117" s="35"/>
      <c r="O117" s="3"/>
    </row>
    <row r="118">
      <c r="A118" s="35" t="s">
        <v>9889</v>
      </c>
      <c r="B118" s="39">
        <v>46013.53399305556</v>
      </c>
      <c r="C118" s="35" t="s">
        <v>9488</v>
      </c>
      <c r="D118" s="40" t="s">
        <v>9489</v>
      </c>
      <c r="E118" s="35" t="s">
        <v>9864</v>
      </c>
      <c r="F118" s="40" t="s">
        <v>7089</v>
      </c>
      <c r="G118" s="35" t="s">
        <v>9496</v>
      </c>
      <c r="H118" s="40" t="s">
        <v>9489</v>
      </c>
      <c r="I118" s="35" t="s">
        <v>9890</v>
      </c>
      <c r="J118" s="35" t="s">
        <v>9891</v>
      </c>
      <c r="K118" s="35" t="s">
        <v>142</v>
      </c>
      <c r="L118" s="35" t="s">
        <v>142</v>
      </c>
      <c r="M118" s="35" t="s">
        <v>143</v>
      </c>
      <c r="N118" s="35"/>
      <c r="O118" s="3"/>
    </row>
    <row r="119">
      <c r="A119" s="35" t="s">
        <v>9892</v>
      </c>
      <c r="B119" s="39">
        <v>46013.5607175926</v>
      </c>
      <c r="C119" s="35" t="s">
        <v>9860</v>
      </c>
      <c r="D119" s="40" t="s">
        <v>7089</v>
      </c>
      <c r="E119" s="35" t="s">
        <v>9893</v>
      </c>
      <c r="F119" s="35" t="s">
        <v>9894</v>
      </c>
      <c r="G119" s="35" t="s">
        <v>9496</v>
      </c>
      <c r="H119" s="40" t="s">
        <v>9489</v>
      </c>
      <c r="I119" s="35" t="s">
        <v>9890</v>
      </c>
      <c r="J119" s="35" t="s">
        <v>9895</v>
      </c>
      <c r="K119" s="35" t="s">
        <v>142</v>
      </c>
      <c r="L119" s="35" t="s">
        <v>142</v>
      </c>
      <c r="M119" s="35" t="s">
        <v>143</v>
      </c>
      <c r="N119" s="35"/>
      <c r="O119" s="3"/>
    </row>
    <row r="120">
      <c r="A120" s="35" t="s">
        <v>9896</v>
      </c>
      <c r="B120" s="39">
        <v>46013.566412037035</v>
      </c>
      <c r="C120" s="35" t="s">
        <v>9488</v>
      </c>
      <c r="D120" s="40" t="s">
        <v>9489</v>
      </c>
      <c r="E120" s="35" t="s">
        <v>9860</v>
      </c>
      <c r="F120" s="40" t="s">
        <v>7089</v>
      </c>
      <c r="G120" s="35" t="s">
        <v>9897</v>
      </c>
      <c r="H120" s="35" t="s">
        <v>9886</v>
      </c>
      <c r="I120" s="35" t="s">
        <v>9890</v>
      </c>
      <c r="J120" s="35" t="s">
        <v>9898</v>
      </c>
      <c r="K120" s="35" t="s">
        <v>142</v>
      </c>
      <c r="L120" s="35" t="s">
        <v>142</v>
      </c>
      <c r="M120" s="35" t="s">
        <v>143</v>
      </c>
      <c r="N120" s="35"/>
      <c r="O120" s="3"/>
    </row>
    <row r="121">
      <c r="A121" s="35" t="s">
        <v>9899</v>
      </c>
      <c r="B121" s="39">
        <v>46013.59052083333</v>
      </c>
      <c r="C121" s="35" t="s">
        <v>9860</v>
      </c>
      <c r="D121" s="40" t="s">
        <v>7089</v>
      </c>
      <c r="E121" s="35" t="s">
        <v>9488</v>
      </c>
      <c r="F121" s="40" t="s">
        <v>9489</v>
      </c>
      <c r="G121" s="35" t="s">
        <v>9897</v>
      </c>
      <c r="H121" s="35" t="s">
        <v>9886</v>
      </c>
      <c r="I121" s="35" t="s">
        <v>9890</v>
      </c>
      <c r="J121" s="35" t="s">
        <v>9900</v>
      </c>
      <c r="K121" s="35" t="s">
        <v>142</v>
      </c>
      <c r="L121" s="35" t="s">
        <v>142</v>
      </c>
      <c r="M121" s="35" t="s">
        <v>143</v>
      </c>
      <c r="N121" s="35"/>
      <c r="O121" s="3"/>
    </row>
    <row r="122">
      <c r="A122" s="35" t="s">
        <v>9901</v>
      </c>
      <c r="B122" s="39">
        <v>46008.727361111116</v>
      </c>
      <c r="C122" s="35" t="s">
        <v>9496</v>
      </c>
      <c r="D122" s="40" t="s">
        <v>9489</v>
      </c>
      <c r="E122" s="35" t="s">
        <v>9902</v>
      </c>
      <c r="F122" s="35" t="s">
        <v>9836</v>
      </c>
      <c r="G122" s="35"/>
      <c r="H122" s="35"/>
      <c r="I122" s="35" t="s">
        <v>9903</v>
      </c>
      <c r="J122" s="35" t="s">
        <v>9904</v>
      </c>
      <c r="K122" s="35" t="s">
        <v>154</v>
      </c>
      <c r="L122" s="35" t="s">
        <v>154</v>
      </c>
      <c r="M122" s="35" t="s">
        <v>329</v>
      </c>
      <c r="N122" s="35"/>
      <c r="O122" s="3"/>
    </row>
    <row r="123">
      <c r="A123" s="35" t="s">
        <v>9905</v>
      </c>
      <c r="B123" s="39">
        <v>46008.88674768519</v>
      </c>
      <c r="C123" s="35" t="s">
        <v>9488</v>
      </c>
      <c r="D123" s="40" t="s">
        <v>9489</v>
      </c>
      <c r="E123" s="35" t="s">
        <v>9496</v>
      </c>
      <c r="F123" s="40" t="s">
        <v>9489</v>
      </c>
      <c r="G123" s="35" t="s">
        <v>9906</v>
      </c>
      <c r="H123" s="40" t="s">
        <v>7093</v>
      </c>
      <c r="I123" s="35" t="s">
        <v>9907</v>
      </c>
      <c r="J123" s="35" t="s">
        <v>9908</v>
      </c>
      <c r="K123" s="35" t="s">
        <v>154</v>
      </c>
      <c r="L123" s="35" t="s">
        <v>154</v>
      </c>
      <c r="M123" s="35" t="s">
        <v>329</v>
      </c>
      <c r="N123" s="35"/>
      <c r="O123" s="3"/>
    </row>
    <row r="124">
      <c r="A124" s="35" t="s">
        <v>9909</v>
      </c>
      <c r="B124" s="39">
        <v>46010.46703703704</v>
      </c>
      <c r="C124" s="35" t="s">
        <v>9834</v>
      </c>
      <c r="D124" s="40" t="s">
        <v>7093</v>
      </c>
      <c r="E124" s="35" t="s">
        <v>9534</v>
      </c>
      <c r="F124" s="40" t="s">
        <v>9489</v>
      </c>
      <c r="G124" s="35" t="s">
        <v>9910</v>
      </c>
      <c r="H124" s="40" t="s">
        <v>7093</v>
      </c>
      <c r="I124" s="35" t="s">
        <v>9911</v>
      </c>
      <c r="J124" s="35" t="s">
        <v>9912</v>
      </c>
      <c r="K124" s="35" t="s">
        <v>154</v>
      </c>
      <c r="L124" s="35" t="s">
        <v>154</v>
      </c>
      <c r="M124" s="35" t="s">
        <v>329</v>
      </c>
      <c r="N124" s="35"/>
      <c r="O124" s="3"/>
    </row>
    <row r="125">
      <c r="A125" s="35" t="s">
        <v>9913</v>
      </c>
      <c r="B125" s="39">
        <v>46024.41284722222</v>
      </c>
      <c r="C125" s="35" t="s">
        <v>9488</v>
      </c>
      <c r="D125" s="40" t="s">
        <v>9489</v>
      </c>
      <c r="E125" s="35" t="s">
        <v>9834</v>
      </c>
      <c r="F125" s="40" t="s">
        <v>7093</v>
      </c>
      <c r="G125" s="35" t="s">
        <v>9914</v>
      </c>
      <c r="H125" s="35" t="s">
        <v>9915</v>
      </c>
      <c r="I125" s="35" t="s">
        <v>9911</v>
      </c>
      <c r="J125" s="35" t="s">
        <v>9916</v>
      </c>
      <c r="K125" s="35" t="s">
        <v>154</v>
      </c>
      <c r="L125" s="35" t="s">
        <v>154</v>
      </c>
      <c r="M125" s="35" t="s">
        <v>329</v>
      </c>
      <c r="N125" s="35"/>
      <c r="O125" s="3"/>
    </row>
    <row r="126">
      <c r="A126" s="35" t="s">
        <v>9917</v>
      </c>
      <c r="B126" s="39">
        <v>46024.41521990741</v>
      </c>
      <c r="C126" s="35" t="s">
        <v>9834</v>
      </c>
      <c r="D126" s="40" t="s">
        <v>7093</v>
      </c>
      <c r="E126" s="35" t="s">
        <v>9488</v>
      </c>
      <c r="F126" s="40" t="s">
        <v>9489</v>
      </c>
      <c r="G126" s="35" t="s">
        <v>9914</v>
      </c>
      <c r="H126" s="35" t="s">
        <v>9915</v>
      </c>
      <c r="I126" s="35" t="s">
        <v>9911</v>
      </c>
      <c r="J126" s="35" t="s">
        <v>9918</v>
      </c>
      <c r="K126" s="35" t="s">
        <v>154</v>
      </c>
      <c r="L126" s="35" t="s">
        <v>154</v>
      </c>
      <c r="M126" s="35" t="s">
        <v>329</v>
      </c>
      <c r="N126" s="35"/>
      <c r="O126" s="3"/>
    </row>
    <row r="127">
      <c r="A127" s="35" t="s">
        <v>9919</v>
      </c>
      <c r="B127" s="39">
        <v>46007.52421296296</v>
      </c>
      <c r="C127" s="35" t="s">
        <v>9884</v>
      </c>
      <c r="D127" s="40" t="s">
        <v>7089</v>
      </c>
      <c r="E127" s="35" t="s">
        <v>9488</v>
      </c>
      <c r="F127" s="40" t="s">
        <v>9489</v>
      </c>
      <c r="G127" s="35"/>
      <c r="H127" s="35"/>
      <c r="I127" s="35" t="s">
        <v>9920</v>
      </c>
      <c r="J127" s="35" t="s">
        <v>9882</v>
      </c>
      <c r="K127" s="35" t="s">
        <v>142</v>
      </c>
      <c r="L127" s="35" t="s">
        <v>142</v>
      </c>
      <c r="M127" s="35" t="s">
        <v>143</v>
      </c>
      <c r="N127" s="35"/>
      <c r="O127" s="3"/>
    </row>
    <row r="128">
      <c r="A128" s="35" t="s">
        <v>9921</v>
      </c>
      <c r="B128" s="39">
        <v>46007.52431712963</v>
      </c>
      <c r="C128" s="35" t="s">
        <v>9884</v>
      </c>
      <c r="D128" s="40" t="s">
        <v>7089</v>
      </c>
      <c r="E128" s="35" t="s">
        <v>9488</v>
      </c>
      <c r="F128" s="40" t="s">
        <v>9489</v>
      </c>
      <c r="G128" s="35"/>
      <c r="H128" s="35"/>
      <c r="I128" s="35" t="s">
        <v>9920</v>
      </c>
      <c r="J128" s="35" t="s">
        <v>9882</v>
      </c>
      <c r="K128" s="35" t="s">
        <v>142</v>
      </c>
      <c r="L128" s="35" t="s">
        <v>142</v>
      </c>
      <c r="M128" s="35" t="s">
        <v>143</v>
      </c>
      <c r="N128" s="35"/>
      <c r="O128" s="3"/>
    </row>
    <row r="129">
      <c r="A129" s="35" t="s">
        <v>9922</v>
      </c>
      <c r="B129" s="39">
        <v>46007.524513888886</v>
      </c>
      <c r="C129" s="35" t="s">
        <v>9884</v>
      </c>
      <c r="D129" s="40" t="s">
        <v>7089</v>
      </c>
      <c r="E129" s="35" t="s">
        <v>9488</v>
      </c>
      <c r="F129" s="40" t="s">
        <v>9489</v>
      </c>
      <c r="G129" s="35"/>
      <c r="H129" s="35"/>
      <c r="I129" s="35" t="s">
        <v>9920</v>
      </c>
      <c r="J129" s="35" t="s">
        <v>9882</v>
      </c>
      <c r="K129" s="35" t="s">
        <v>142</v>
      </c>
      <c r="L129" s="35" t="s">
        <v>142</v>
      </c>
      <c r="M129" s="35" t="s">
        <v>143</v>
      </c>
      <c r="N129" s="35"/>
      <c r="O129" s="3"/>
    </row>
    <row r="130">
      <c r="A130" s="35" t="s">
        <v>9923</v>
      </c>
      <c r="B130" s="39">
        <v>46007.490949074076</v>
      </c>
      <c r="C130" s="35" t="s">
        <v>9860</v>
      </c>
      <c r="D130" s="40" t="s">
        <v>7089</v>
      </c>
      <c r="E130" s="35" t="s">
        <v>9488</v>
      </c>
      <c r="F130" s="40" t="s">
        <v>9489</v>
      </c>
      <c r="G130" s="35"/>
      <c r="H130" s="35"/>
      <c r="I130" s="35" t="s">
        <v>9920</v>
      </c>
      <c r="J130" s="35" t="s">
        <v>9882</v>
      </c>
      <c r="K130" s="35" t="s">
        <v>142</v>
      </c>
      <c r="L130" s="35" t="s">
        <v>142</v>
      </c>
      <c r="M130" s="35" t="s">
        <v>143</v>
      </c>
      <c r="N130" s="35"/>
      <c r="O130" s="3"/>
    </row>
    <row r="131">
      <c r="A131" s="35" t="s">
        <v>9924</v>
      </c>
      <c r="B131" s="39">
        <v>46007.49098379629</v>
      </c>
      <c r="C131" s="35" t="s">
        <v>9860</v>
      </c>
      <c r="D131" s="40" t="s">
        <v>7089</v>
      </c>
      <c r="E131" s="35" t="s">
        <v>9488</v>
      </c>
      <c r="F131" s="40" t="s">
        <v>9489</v>
      </c>
      <c r="G131" s="35"/>
      <c r="H131" s="35"/>
      <c r="I131" s="35" t="s">
        <v>9920</v>
      </c>
      <c r="J131" s="35" t="s">
        <v>9882</v>
      </c>
      <c r="K131" s="35" t="s">
        <v>142</v>
      </c>
      <c r="L131" s="35" t="s">
        <v>142</v>
      </c>
      <c r="M131" s="35" t="s">
        <v>143</v>
      </c>
      <c r="N131" s="35"/>
      <c r="O131" s="3"/>
    </row>
    <row r="132">
      <c r="A132" s="35" t="s">
        <v>9925</v>
      </c>
      <c r="B132" s="39">
        <v>46007.58928240741</v>
      </c>
      <c r="C132" s="35" t="s">
        <v>9860</v>
      </c>
      <c r="D132" s="40" t="s">
        <v>7089</v>
      </c>
      <c r="E132" s="35" t="s">
        <v>9488</v>
      </c>
      <c r="F132" s="40" t="s">
        <v>9489</v>
      </c>
      <c r="G132" s="35"/>
      <c r="H132" s="35"/>
      <c r="I132" s="35" t="s">
        <v>9920</v>
      </c>
      <c r="J132" s="35" t="s">
        <v>9882</v>
      </c>
      <c r="K132" s="35" t="s">
        <v>142</v>
      </c>
      <c r="L132" s="35" t="s">
        <v>142</v>
      </c>
      <c r="M132" s="35" t="s">
        <v>143</v>
      </c>
      <c r="N132" s="35"/>
      <c r="O132" s="3"/>
    </row>
    <row r="133">
      <c r="A133" s="35" t="s">
        <v>9926</v>
      </c>
      <c r="B133" s="39">
        <v>46007.58953703704</v>
      </c>
      <c r="C133" s="35" t="s">
        <v>9860</v>
      </c>
      <c r="D133" s="40" t="s">
        <v>7089</v>
      </c>
      <c r="E133" s="35" t="s">
        <v>9488</v>
      </c>
      <c r="F133" s="40" t="s">
        <v>9489</v>
      </c>
      <c r="G133" s="35"/>
      <c r="H133" s="35"/>
      <c r="I133" s="35" t="s">
        <v>9920</v>
      </c>
      <c r="J133" s="35" t="s">
        <v>9882</v>
      </c>
      <c r="K133" s="35" t="s">
        <v>142</v>
      </c>
      <c r="L133" s="35" t="s">
        <v>142</v>
      </c>
      <c r="M133" s="35" t="s">
        <v>143</v>
      </c>
      <c r="N133" s="35"/>
      <c r="O133" s="3"/>
    </row>
    <row r="134">
      <c r="A134" s="35" t="s">
        <v>9927</v>
      </c>
      <c r="B134" s="39">
        <v>46007.47184027778</v>
      </c>
      <c r="C134" s="35" t="s">
        <v>9928</v>
      </c>
      <c r="D134" s="40" t="s">
        <v>7089</v>
      </c>
      <c r="E134" s="35" t="s">
        <v>9488</v>
      </c>
      <c r="F134" s="40" t="s">
        <v>9489</v>
      </c>
      <c r="G134" s="35"/>
      <c r="H134" s="35"/>
      <c r="I134" s="35" t="s">
        <v>9929</v>
      </c>
      <c r="J134" s="35" t="s">
        <v>9930</v>
      </c>
      <c r="K134" s="35" t="s">
        <v>142</v>
      </c>
      <c r="L134" s="35" t="s">
        <v>142</v>
      </c>
      <c r="M134" s="35" t="s">
        <v>143</v>
      </c>
      <c r="N134" s="35"/>
      <c r="O134" s="3"/>
    </row>
    <row r="135">
      <c r="A135" s="35" t="s">
        <v>9931</v>
      </c>
      <c r="B135" s="39">
        <v>46007.471562499995</v>
      </c>
      <c r="C135" s="35" t="s">
        <v>9932</v>
      </c>
      <c r="D135" s="40" t="s">
        <v>7089</v>
      </c>
      <c r="E135" s="35" t="s">
        <v>9488</v>
      </c>
      <c r="F135" s="40" t="s">
        <v>9489</v>
      </c>
      <c r="G135" s="35"/>
      <c r="H135" s="35"/>
      <c r="I135" s="35" t="s">
        <v>9933</v>
      </c>
      <c r="J135" s="35" t="s">
        <v>9934</v>
      </c>
      <c r="K135" s="35" t="s">
        <v>142</v>
      </c>
      <c r="L135" s="35" t="s">
        <v>142</v>
      </c>
      <c r="M135" s="35" t="s">
        <v>143</v>
      </c>
      <c r="N135" s="35"/>
      <c r="O135" s="3"/>
    </row>
    <row r="136">
      <c r="A136" s="35" t="s">
        <v>9935</v>
      </c>
      <c r="B136" s="39">
        <v>46000.90166666667</v>
      </c>
      <c r="C136" s="35" t="s">
        <v>9496</v>
      </c>
      <c r="D136" s="40" t="s">
        <v>9489</v>
      </c>
      <c r="E136" s="35" t="s">
        <v>9936</v>
      </c>
      <c r="F136" s="35" t="s">
        <v>9843</v>
      </c>
      <c r="G136" s="35"/>
      <c r="H136" s="35"/>
      <c r="I136" s="35" t="s">
        <v>9937</v>
      </c>
      <c r="J136" s="35" t="s">
        <v>9938</v>
      </c>
      <c r="K136" s="35" t="s">
        <v>199</v>
      </c>
      <c r="L136" s="35" t="s">
        <v>199</v>
      </c>
      <c r="M136" s="35" t="s">
        <v>272</v>
      </c>
      <c r="N136" s="35"/>
      <c r="O136" s="3"/>
    </row>
    <row r="137">
      <c r="A137" s="35" t="s">
        <v>9939</v>
      </c>
      <c r="B137" s="39">
        <v>45986.12688657407</v>
      </c>
      <c r="C137" s="35" t="s">
        <v>9496</v>
      </c>
      <c r="D137" s="40" t="s">
        <v>9489</v>
      </c>
      <c r="E137" s="35" t="s">
        <v>9940</v>
      </c>
      <c r="F137" s="35" t="s">
        <v>9941</v>
      </c>
      <c r="G137" s="35"/>
      <c r="H137" s="35"/>
      <c r="I137" s="35" t="s">
        <v>9942</v>
      </c>
      <c r="J137" s="35" t="s">
        <v>9943</v>
      </c>
      <c r="K137" s="35" t="s">
        <v>6487</v>
      </c>
      <c r="L137" s="35" t="s">
        <v>6487</v>
      </c>
      <c r="M137" s="35" t="s">
        <v>532</v>
      </c>
      <c r="N137" s="35"/>
      <c r="O137" s="3"/>
    </row>
    <row r="138">
      <c r="A138" s="35" t="s">
        <v>9944</v>
      </c>
      <c r="B138" s="39">
        <v>45986.435428240744</v>
      </c>
      <c r="C138" s="35" t="s">
        <v>9488</v>
      </c>
      <c r="D138" s="40" t="s">
        <v>9489</v>
      </c>
      <c r="E138" s="35" t="s">
        <v>9496</v>
      </c>
      <c r="F138" s="40" t="s">
        <v>9489</v>
      </c>
      <c r="G138" s="35" t="s">
        <v>9945</v>
      </c>
      <c r="H138" s="40" t="s">
        <v>7092</v>
      </c>
      <c r="I138" s="35" t="s">
        <v>9946</v>
      </c>
      <c r="J138" s="35" t="s">
        <v>9947</v>
      </c>
      <c r="K138" s="35" t="s">
        <v>6487</v>
      </c>
      <c r="L138" s="35" t="s">
        <v>6487</v>
      </c>
      <c r="M138" s="35" t="s">
        <v>532</v>
      </c>
      <c r="N138" s="35"/>
      <c r="O138" s="3"/>
    </row>
    <row r="139">
      <c r="A139" s="35" t="s">
        <v>9948</v>
      </c>
      <c r="B139" s="39">
        <v>45993.23373842593</v>
      </c>
      <c r="C139" s="35" t="s">
        <v>9945</v>
      </c>
      <c r="D139" s="40" t="s">
        <v>7092</v>
      </c>
      <c r="E139" s="35" t="s">
        <v>9534</v>
      </c>
      <c r="F139" s="40" t="s">
        <v>9489</v>
      </c>
      <c r="G139" s="35"/>
      <c r="H139" s="35"/>
      <c r="I139" s="35" t="s">
        <v>9949</v>
      </c>
      <c r="J139" s="35" t="s">
        <v>9950</v>
      </c>
      <c r="K139" s="35" t="s">
        <v>6487</v>
      </c>
      <c r="L139" s="35" t="s">
        <v>6487</v>
      </c>
      <c r="M139" s="35" t="s">
        <v>532</v>
      </c>
      <c r="N139" s="35"/>
      <c r="O139" s="3"/>
    </row>
    <row r="140">
      <c r="A140" s="35" t="s">
        <v>9951</v>
      </c>
      <c r="B140" s="39">
        <v>46000.474814814814</v>
      </c>
      <c r="C140" s="35" t="s">
        <v>9488</v>
      </c>
      <c r="D140" s="40" t="s">
        <v>9489</v>
      </c>
      <c r="E140" s="35" t="s">
        <v>9945</v>
      </c>
      <c r="F140" s="40" t="s">
        <v>7092</v>
      </c>
      <c r="G140" s="35" t="s">
        <v>9496</v>
      </c>
      <c r="H140" s="40" t="s">
        <v>9489</v>
      </c>
      <c r="I140" s="35" t="s">
        <v>9949</v>
      </c>
      <c r="J140" s="35" t="s">
        <v>9952</v>
      </c>
      <c r="K140" s="35" t="s">
        <v>6487</v>
      </c>
      <c r="L140" s="35" t="s">
        <v>6487</v>
      </c>
      <c r="M140" s="35" t="s">
        <v>532</v>
      </c>
      <c r="N140" s="35"/>
      <c r="O140" s="3"/>
    </row>
    <row r="141">
      <c r="A141" s="35" t="s">
        <v>9953</v>
      </c>
      <c r="B141" s="39">
        <v>46028.51039351852</v>
      </c>
      <c r="C141" s="35" t="s">
        <v>9488</v>
      </c>
      <c r="D141" s="40" t="s">
        <v>9489</v>
      </c>
      <c r="E141" s="35" t="s">
        <v>9945</v>
      </c>
      <c r="F141" s="40" t="s">
        <v>7092</v>
      </c>
      <c r="G141" s="35" t="s">
        <v>9496</v>
      </c>
      <c r="H141" s="40" t="s">
        <v>9489</v>
      </c>
      <c r="I141" s="35" t="s">
        <v>9949</v>
      </c>
      <c r="J141" s="35" t="s">
        <v>9954</v>
      </c>
      <c r="K141" s="35" t="s">
        <v>6487</v>
      </c>
      <c r="L141" s="35" t="s">
        <v>6487</v>
      </c>
      <c r="M141" s="35" t="s">
        <v>532</v>
      </c>
      <c r="N141" s="35"/>
      <c r="O141" s="3"/>
    </row>
    <row r="142">
      <c r="A142" s="35" t="s">
        <v>9955</v>
      </c>
      <c r="B142" s="39">
        <v>45986.079143518524</v>
      </c>
      <c r="C142" s="35" t="s">
        <v>9496</v>
      </c>
      <c r="D142" s="40" t="s">
        <v>9489</v>
      </c>
      <c r="E142" s="35" t="s">
        <v>9956</v>
      </c>
      <c r="F142" s="35" t="s">
        <v>9915</v>
      </c>
      <c r="G142" s="35"/>
      <c r="H142" s="35"/>
      <c r="I142" s="35" t="s">
        <v>9957</v>
      </c>
      <c r="J142" s="35" t="s">
        <v>9958</v>
      </c>
      <c r="K142" s="35" t="s">
        <v>154</v>
      </c>
      <c r="L142" s="35" t="s">
        <v>154</v>
      </c>
      <c r="M142" s="35" t="s">
        <v>329</v>
      </c>
      <c r="N142" s="35"/>
      <c r="O142" s="3"/>
    </row>
    <row r="143">
      <c r="A143" s="35" t="s">
        <v>9959</v>
      </c>
      <c r="B143" s="39">
        <v>45986.07759259259</v>
      </c>
      <c r="C143" s="35" t="s">
        <v>9496</v>
      </c>
      <c r="D143" s="40" t="s">
        <v>9489</v>
      </c>
      <c r="E143" s="35" t="s">
        <v>9960</v>
      </c>
      <c r="F143" s="35" t="s">
        <v>9894</v>
      </c>
      <c r="G143" s="35"/>
      <c r="H143" s="35"/>
      <c r="I143" s="35" t="s">
        <v>9961</v>
      </c>
      <c r="J143" s="35" t="s">
        <v>9962</v>
      </c>
      <c r="K143" s="35" t="s">
        <v>142</v>
      </c>
      <c r="L143" s="35" t="s">
        <v>142</v>
      </c>
      <c r="M143" s="35" t="s">
        <v>143</v>
      </c>
      <c r="N143" s="35"/>
      <c r="O143" s="3"/>
    </row>
    <row r="144">
      <c r="A144" s="35" t="s">
        <v>9963</v>
      </c>
      <c r="B144" s="39">
        <v>45986.076886574076</v>
      </c>
      <c r="C144" s="35" t="s">
        <v>9496</v>
      </c>
      <c r="D144" s="40" t="s">
        <v>9489</v>
      </c>
      <c r="E144" s="35" t="s">
        <v>9936</v>
      </c>
      <c r="F144" s="35" t="s">
        <v>9843</v>
      </c>
      <c r="G144" s="35"/>
      <c r="H144" s="35"/>
      <c r="I144" s="35" t="s">
        <v>9964</v>
      </c>
      <c r="J144" s="35" t="s">
        <v>9965</v>
      </c>
      <c r="K144" s="35" t="s">
        <v>199</v>
      </c>
      <c r="L144" s="35" t="s">
        <v>199</v>
      </c>
      <c r="M144" s="35" t="s">
        <v>272</v>
      </c>
      <c r="N144" s="35"/>
      <c r="O144" s="3"/>
    </row>
    <row r="145">
      <c r="A145" s="35" t="s">
        <v>9966</v>
      </c>
      <c r="B145" s="39">
        <v>46043.3019212963</v>
      </c>
      <c r="C145" s="35" t="s">
        <v>9967</v>
      </c>
      <c r="D145" s="40" t="s">
        <v>7096</v>
      </c>
      <c r="E145" s="35" t="s">
        <v>9488</v>
      </c>
      <c r="F145" s="40" t="s">
        <v>9489</v>
      </c>
      <c r="G145" s="35"/>
      <c r="H145" s="35"/>
      <c r="I145" s="35" t="s">
        <v>9968</v>
      </c>
      <c r="J145" s="35" t="s">
        <v>9969</v>
      </c>
      <c r="K145" s="35" t="s">
        <v>110</v>
      </c>
      <c r="L145" s="35" t="s">
        <v>110</v>
      </c>
      <c r="M145" s="35" t="s">
        <v>111</v>
      </c>
      <c r="N145" s="35"/>
      <c r="O145" s="3"/>
    </row>
    <row r="146">
      <c r="A146" s="35" t="s">
        <v>9970</v>
      </c>
      <c r="B146" s="39">
        <v>46043.44734953703</v>
      </c>
      <c r="C146" s="35" t="s">
        <v>9488</v>
      </c>
      <c r="D146" s="40" t="s">
        <v>9489</v>
      </c>
      <c r="E146" s="35" t="s">
        <v>9967</v>
      </c>
      <c r="F146" s="40" t="s">
        <v>7096</v>
      </c>
      <c r="G146" s="35"/>
      <c r="H146" s="35"/>
      <c r="I146" s="35" t="s">
        <v>9971</v>
      </c>
      <c r="J146" s="35" t="s">
        <v>9972</v>
      </c>
      <c r="K146" s="35" t="s">
        <v>110</v>
      </c>
      <c r="L146" s="35" t="s">
        <v>110</v>
      </c>
      <c r="M146" s="35" t="s">
        <v>111</v>
      </c>
      <c r="N146" s="35"/>
      <c r="O146" s="3"/>
    </row>
    <row r="147">
      <c r="A147" s="35" t="s">
        <v>9973</v>
      </c>
      <c r="B147" s="39">
        <v>46042.59136574074</v>
      </c>
      <c r="C147" s="35" t="s">
        <v>9974</v>
      </c>
      <c r="D147" s="40" t="s">
        <v>7095</v>
      </c>
      <c r="E147" s="35" t="s">
        <v>9488</v>
      </c>
      <c r="F147" s="40" t="s">
        <v>9489</v>
      </c>
      <c r="G147" s="35"/>
      <c r="H147" s="35"/>
      <c r="I147" s="35" t="s">
        <v>9975</v>
      </c>
      <c r="J147" s="35" t="s">
        <v>9725</v>
      </c>
      <c r="K147" s="35" t="s">
        <v>163</v>
      </c>
      <c r="L147" s="35" t="s">
        <v>163</v>
      </c>
      <c r="M147" s="35" t="s">
        <v>430</v>
      </c>
      <c r="N147" s="35"/>
      <c r="O147" s="3"/>
    </row>
    <row r="148">
      <c r="A148" s="35" t="s">
        <v>9976</v>
      </c>
      <c r="B148" s="39">
        <v>46042.59097222222</v>
      </c>
      <c r="C148" s="35" t="s">
        <v>9974</v>
      </c>
      <c r="D148" s="40" t="s">
        <v>7095</v>
      </c>
      <c r="E148" s="35" t="s">
        <v>9488</v>
      </c>
      <c r="F148" s="40" t="s">
        <v>9489</v>
      </c>
      <c r="G148" s="35"/>
      <c r="H148" s="35"/>
      <c r="I148" s="35" t="s">
        <v>9977</v>
      </c>
      <c r="J148" s="35" t="s">
        <v>9725</v>
      </c>
      <c r="K148" s="35" t="s">
        <v>163</v>
      </c>
      <c r="L148" s="35" t="s">
        <v>163</v>
      </c>
      <c r="M148" s="35" t="s">
        <v>430</v>
      </c>
      <c r="N148" s="35"/>
      <c r="O148" s="3"/>
    </row>
    <row r="149">
      <c r="A149" s="35" t="s">
        <v>9978</v>
      </c>
      <c r="B149" s="39">
        <v>46042.32518518518</v>
      </c>
      <c r="C149" s="35" t="s">
        <v>9974</v>
      </c>
      <c r="D149" s="40" t="s">
        <v>7095</v>
      </c>
      <c r="E149" s="35" t="s">
        <v>9979</v>
      </c>
      <c r="F149" s="35" t="s">
        <v>9980</v>
      </c>
      <c r="G149" s="35" t="s">
        <v>9981</v>
      </c>
      <c r="H149" s="40" t="s">
        <v>7095</v>
      </c>
      <c r="I149" s="35" t="s">
        <v>9982</v>
      </c>
      <c r="J149" s="35" t="s">
        <v>9983</v>
      </c>
      <c r="K149" s="35" t="s">
        <v>163</v>
      </c>
      <c r="L149" s="35" t="s">
        <v>163</v>
      </c>
      <c r="M149" s="35" t="s">
        <v>430</v>
      </c>
      <c r="N149" s="35"/>
      <c r="O149" s="3"/>
    </row>
    <row r="150">
      <c r="A150" s="35" t="s">
        <v>9984</v>
      </c>
      <c r="B150" s="39">
        <v>46042.44527777778</v>
      </c>
      <c r="C150" s="35" t="s">
        <v>9985</v>
      </c>
      <c r="D150" s="40" t="s">
        <v>7095</v>
      </c>
      <c r="E150" s="35" t="s">
        <v>9986</v>
      </c>
      <c r="F150" s="35" t="s">
        <v>9987</v>
      </c>
      <c r="G150" s="35" t="s">
        <v>9981</v>
      </c>
      <c r="H150" s="40" t="s">
        <v>7095</v>
      </c>
      <c r="I150" s="35" t="s">
        <v>9988</v>
      </c>
      <c r="J150" s="35" t="s">
        <v>9989</v>
      </c>
      <c r="K150" s="35" t="s">
        <v>163</v>
      </c>
      <c r="L150" s="35" t="s">
        <v>163</v>
      </c>
      <c r="M150" s="35" t="s">
        <v>430</v>
      </c>
      <c r="N150" s="35"/>
      <c r="O150" s="3"/>
    </row>
    <row r="151">
      <c r="A151" s="35" t="s">
        <v>9990</v>
      </c>
      <c r="B151" s="39">
        <v>46042.589594907404</v>
      </c>
      <c r="C151" s="35" t="s">
        <v>9974</v>
      </c>
      <c r="D151" s="40" t="s">
        <v>7095</v>
      </c>
      <c r="E151" s="35" t="s">
        <v>9991</v>
      </c>
      <c r="F151" s="35" t="s">
        <v>9987</v>
      </c>
      <c r="G151" s="35" t="s">
        <v>9981</v>
      </c>
      <c r="H151" s="40" t="s">
        <v>7095</v>
      </c>
      <c r="I151" s="35" t="s">
        <v>9982</v>
      </c>
      <c r="J151" s="35" t="s">
        <v>9992</v>
      </c>
      <c r="K151" s="35" t="s">
        <v>163</v>
      </c>
      <c r="L151" s="35" t="s">
        <v>163</v>
      </c>
      <c r="M151" s="35" t="s">
        <v>430</v>
      </c>
      <c r="N151" s="35"/>
      <c r="O151" s="3"/>
    </row>
    <row r="152">
      <c r="A152" s="35" t="s">
        <v>9993</v>
      </c>
      <c r="B152" s="39">
        <v>46042.25</v>
      </c>
      <c r="C152" s="35" t="s">
        <v>9488</v>
      </c>
      <c r="D152" s="40" t="s">
        <v>9489</v>
      </c>
      <c r="E152" s="35" t="s">
        <v>9994</v>
      </c>
      <c r="F152" s="35" t="s">
        <v>9980</v>
      </c>
      <c r="G152" s="35"/>
      <c r="H152" s="35"/>
      <c r="I152" s="35" t="s">
        <v>9995</v>
      </c>
      <c r="J152" s="35" t="s">
        <v>9996</v>
      </c>
      <c r="K152" s="35" t="s">
        <v>163</v>
      </c>
      <c r="L152" s="35" t="s">
        <v>163</v>
      </c>
      <c r="M152" s="35" t="s">
        <v>430</v>
      </c>
      <c r="N152" s="35"/>
      <c r="O152" s="3"/>
    </row>
    <row r="153">
      <c r="A153" s="35" t="s">
        <v>9997</v>
      </c>
      <c r="B153" s="39">
        <v>46038.391284722224</v>
      </c>
      <c r="C153" s="35" t="s">
        <v>9998</v>
      </c>
      <c r="D153" s="40" t="s">
        <v>7094</v>
      </c>
      <c r="E153" s="35" t="s">
        <v>9488</v>
      </c>
      <c r="F153" s="40" t="s">
        <v>9489</v>
      </c>
      <c r="G153" s="35"/>
      <c r="H153" s="35"/>
      <c r="I153" s="35" t="s">
        <v>9999</v>
      </c>
      <c r="J153" s="35" t="s">
        <v>9725</v>
      </c>
      <c r="K153" s="35" t="s">
        <v>187</v>
      </c>
      <c r="L153" s="35" t="s">
        <v>187</v>
      </c>
      <c r="M153" s="35" t="s">
        <v>188</v>
      </c>
      <c r="N153" s="35"/>
      <c r="O153" s="3"/>
    </row>
    <row r="154">
      <c r="A154" s="35" t="s">
        <v>10000</v>
      </c>
      <c r="B154" s="39">
        <v>46036.328125</v>
      </c>
      <c r="C154" s="35" t="s">
        <v>10001</v>
      </c>
      <c r="D154" s="40" t="s">
        <v>7097</v>
      </c>
      <c r="E154" s="35" t="s">
        <v>9488</v>
      </c>
      <c r="F154" s="40" t="s">
        <v>9489</v>
      </c>
      <c r="G154" s="35"/>
      <c r="H154" s="35"/>
      <c r="I154" s="35" t="s">
        <v>10002</v>
      </c>
      <c r="J154" s="35" t="s">
        <v>10003</v>
      </c>
      <c r="K154" s="35" t="s">
        <v>6807</v>
      </c>
      <c r="L154" s="35" t="s">
        <v>6807</v>
      </c>
      <c r="M154" s="35" t="s">
        <v>572</v>
      </c>
      <c r="N154" s="35"/>
      <c r="O154" s="3"/>
    </row>
    <row r="155">
      <c r="A155" s="35" t="s">
        <v>10004</v>
      </c>
      <c r="B155" s="39">
        <v>46034.492627314816</v>
      </c>
      <c r="C155" s="35" t="s">
        <v>10005</v>
      </c>
      <c r="D155" s="40" t="s">
        <v>8098</v>
      </c>
      <c r="E155" s="35" t="s">
        <v>9488</v>
      </c>
      <c r="F155" s="40" t="s">
        <v>9489</v>
      </c>
      <c r="G155" s="35"/>
      <c r="H155" s="35"/>
      <c r="I155" s="35" t="s">
        <v>10006</v>
      </c>
      <c r="J155" s="35" t="s">
        <v>10007</v>
      </c>
      <c r="K155" s="35" t="s">
        <v>6785</v>
      </c>
      <c r="L155" s="35" t="s">
        <v>6785</v>
      </c>
      <c r="M155" s="35" t="s">
        <v>601</v>
      </c>
      <c r="N155" s="35"/>
      <c r="O155" s="3"/>
    </row>
    <row r="156">
      <c r="A156" s="35" t="s">
        <v>10008</v>
      </c>
      <c r="B156" s="39">
        <v>46034.457395833335</v>
      </c>
      <c r="C156" s="35" t="s">
        <v>9496</v>
      </c>
      <c r="D156" s="40" t="s">
        <v>9489</v>
      </c>
      <c r="E156" s="35" t="s">
        <v>10009</v>
      </c>
      <c r="F156" s="35" t="s">
        <v>10010</v>
      </c>
      <c r="G156" s="35"/>
      <c r="H156" s="35"/>
      <c r="I156" s="35" t="s">
        <v>10011</v>
      </c>
      <c r="J156" s="35" t="s">
        <v>10012</v>
      </c>
      <c r="K156" s="35" t="s">
        <v>6785</v>
      </c>
      <c r="L156" s="35" t="s">
        <v>6785</v>
      </c>
      <c r="M156" s="35" t="s">
        <v>601</v>
      </c>
      <c r="N156" s="35"/>
      <c r="O156" s="3"/>
    </row>
    <row r="157">
      <c r="A157" s="35" t="s">
        <v>10013</v>
      </c>
      <c r="B157" s="39">
        <v>46034.40872685185</v>
      </c>
      <c r="C157" s="35" t="s">
        <v>9496</v>
      </c>
      <c r="D157" s="40" t="s">
        <v>9489</v>
      </c>
      <c r="E157" s="35" t="s">
        <v>10009</v>
      </c>
      <c r="F157" s="35" t="s">
        <v>10010</v>
      </c>
      <c r="G157" s="35"/>
      <c r="H157" s="35"/>
      <c r="I157" s="35" t="s">
        <v>10014</v>
      </c>
      <c r="J157" s="35" t="s">
        <v>10015</v>
      </c>
      <c r="K157" s="35" t="s">
        <v>6785</v>
      </c>
      <c r="L157" s="35" t="s">
        <v>6785</v>
      </c>
      <c r="M157" s="35" t="s">
        <v>601</v>
      </c>
      <c r="N157" s="35"/>
      <c r="O157" s="3"/>
    </row>
    <row r="158">
      <c r="A158" s="35" t="s">
        <v>10016</v>
      </c>
      <c r="B158" s="39">
        <v>46029.51006944444</v>
      </c>
      <c r="C158" s="35" t="s">
        <v>9496</v>
      </c>
      <c r="D158" s="40" t="s">
        <v>9489</v>
      </c>
      <c r="E158" s="35" t="s">
        <v>10017</v>
      </c>
      <c r="F158" s="35" t="s">
        <v>10018</v>
      </c>
      <c r="G158" s="35"/>
      <c r="H158" s="35"/>
      <c r="I158" s="35" t="s">
        <v>10019</v>
      </c>
      <c r="J158" s="35" t="s">
        <v>10020</v>
      </c>
      <c r="K158" s="35" t="s">
        <v>6785</v>
      </c>
      <c r="L158" s="35" t="s">
        <v>6785</v>
      </c>
      <c r="M158" s="35" t="s">
        <v>601</v>
      </c>
      <c r="N158" s="35"/>
      <c r="O158" s="3"/>
    </row>
    <row r="159">
      <c r="A159" s="35" t="s">
        <v>10021</v>
      </c>
      <c r="B159" s="39">
        <v>46034.40938657407</v>
      </c>
      <c r="C159" s="35" t="s">
        <v>10005</v>
      </c>
      <c r="D159" s="40" t="s">
        <v>8098</v>
      </c>
      <c r="E159" s="35" t="s">
        <v>9675</v>
      </c>
      <c r="F159" s="40" t="s">
        <v>9489</v>
      </c>
      <c r="G159" s="35"/>
      <c r="H159" s="35"/>
      <c r="I159" s="35" t="s">
        <v>10022</v>
      </c>
      <c r="J159" s="35" t="s">
        <v>10023</v>
      </c>
      <c r="K159" s="35" t="s">
        <v>6785</v>
      </c>
      <c r="L159" s="35" t="s">
        <v>6785</v>
      </c>
      <c r="M159" s="35" t="s">
        <v>601</v>
      </c>
      <c r="N159" s="35"/>
      <c r="O159" s="3"/>
    </row>
    <row r="160">
      <c r="A160" s="35" t="s">
        <v>10024</v>
      </c>
      <c r="B160" s="39">
        <v>46028.58731481481</v>
      </c>
      <c r="C160" s="35" t="s">
        <v>9488</v>
      </c>
      <c r="D160" s="40" t="s">
        <v>9489</v>
      </c>
      <c r="E160" s="35" t="s">
        <v>7591</v>
      </c>
      <c r="F160" s="40" t="s">
        <v>7096</v>
      </c>
      <c r="G160" s="35"/>
      <c r="H160" s="35"/>
      <c r="I160" s="35" t="s">
        <v>10025</v>
      </c>
      <c r="J160" s="35" t="s">
        <v>10026</v>
      </c>
      <c r="K160" s="35" t="s">
        <v>110</v>
      </c>
      <c r="L160" s="35" t="s">
        <v>110</v>
      </c>
      <c r="M160" s="35" t="s">
        <v>111</v>
      </c>
      <c r="N160" s="35"/>
      <c r="O160" s="3"/>
    </row>
    <row r="161">
      <c r="A161" s="35" t="s">
        <v>10027</v>
      </c>
      <c r="B161" s="39">
        <v>46029.27248842592</v>
      </c>
      <c r="C161" s="35" t="s">
        <v>9967</v>
      </c>
      <c r="D161" s="40" t="s">
        <v>7096</v>
      </c>
      <c r="E161" s="35" t="s">
        <v>9488</v>
      </c>
      <c r="F161" s="40" t="s">
        <v>9489</v>
      </c>
      <c r="G161" s="35"/>
      <c r="H161" s="35"/>
      <c r="I161" s="35" t="s">
        <v>10028</v>
      </c>
      <c r="J161" s="35" t="s">
        <v>10029</v>
      </c>
      <c r="K161" s="35" t="s">
        <v>110</v>
      </c>
      <c r="L161" s="35" t="s">
        <v>110</v>
      </c>
      <c r="M161" s="35" t="s">
        <v>111</v>
      </c>
      <c r="N161" s="35"/>
      <c r="O161" s="3"/>
    </row>
    <row r="162">
      <c r="A162" s="35" t="s">
        <v>10030</v>
      </c>
      <c r="B162" s="39">
        <v>46029.62523148148</v>
      </c>
      <c r="C162" s="35" t="s">
        <v>9488</v>
      </c>
      <c r="D162" s="40" t="s">
        <v>9489</v>
      </c>
      <c r="E162" s="35" t="s">
        <v>9967</v>
      </c>
      <c r="F162" s="40" t="s">
        <v>7096</v>
      </c>
      <c r="G162" s="35"/>
      <c r="H162" s="35"/>
      <c r="I162" s="35" t="s">
        <v>10028</v>
      </c>
      <c r="J162" s="35" t="s">
        <v>10031</v>
      </c>
      <c r="K162" s="35" t="s">
        <v>110</v>
      </c>
      <c r="L162" s="35" t="s">
        <v>110</v>
      </c>
      <c r="M162" s="35" t="s">
        <v>111</v>
      </c>
      <c r="N162" s="35"/>
      <c r="O162" s="3"/>
    </row>
    <row r="163">
      <c r="A163" s="35" t="s">
        <v>10032</v>
      </c>
      <c r="B163" s="39">
        <v>46030.29960648148</v>
      </c>
      <c r="C163" s="35" t="s">
        <v>9967</v>
      </c>
      <c r="D163" s="40" t="s">
        <v>7096</v>
      </c>
      <c r="E163" s="35" t="s">
        <v>9488</v>
      </c>
      <c r="F163" s="40" t="s">
        <v>9489</v>
      </c>
      <c r="G163" s="35"/>
      <c r="H163" s="35"/>
      <c r="I163" s="35" t="s">
        <v>10028</v>
      </c>
      <c r="J163" s="35" t="s">
        <v>10033</v>
      </c>
      <c r="K163" s="35" t="s">
        <v>110</v>
      </c>
      <c r="L163" s="35" t="s">
        <v>110</v>
      </c>
      <c r="M163" s="35" t="s">
        <v>111</v>
      </c>
      <c r="N163" s="35"/>
      <c r="O163" s="3"/>
    </row>
    <row r="164">
      <c r="A164" s="35" t="s">
        <v>10034</v>
      </c>
      <c r="B164" s="39">
        <v>46027.59442129629</v>
      </c>
      <c r="C164" s="35" t="s">
        <v>9496</v>
      </c>
      <c r="D164" s="40" t="s">
        <v>9489</v>
      </c>
      <c r="E164" s="35" t="s">
        <v>10035</v>
      </c>
      <c r="F164" s="35" t="s">
        <v>10036</v>
      </c>
      <c r="G164" s="35"/>
      <c r="H164" s="35"/>
      <c r="I164" s="35" t="s">
        <v>10037</v>
      </c>
      <c r="J164" s="35" t="s">
        <v>10038</v>
      </c>
      <c r="K164" s="35" t="s">
        <v>110</v>
      </c>
      <c r="L164" s="35" t="s">
        <v>110</v>
      </c>
      <c r="M164" s="35" t="s">
        <v>111</v>
      </c>
      <c r="N164" s="35"/>
      <c r="O164" s="3"/>
    </row>
    <row r="165">
      <c r="A165" s="35" t="s">
        <v>10039</v>
      </c>
      <c r="B165" s="39">
        <v>46027.56476851852</v>
      </c>
      <c r="C165" s="35" t="s">
        <v>9488</v>
      </c>
      <c r="D165" s="40" t="s">
        <v>9489</v>
      </c>
      <c r="E165" s="35" t="s">
        <v>7591</v>
      </c>
      <c r="F165" s="40" t="s">
        <v>7096</v>
      </c>
      <c r="G165" s="35" t="s">
        <v>9496</v>
      </c>
      <c r="H165" s="40" t="s">
        <v>9489</v>
      </c>
      <c r="I165" s="35" t="s">
        <v>10040</v>
      </c>
      <c r="J165" s="35" t="s">
        <v>10041</v>
      </c>
      <c r="K165" s="35" t="s">
        <v>110</v>
      </c>
      <c r="L165" s="35" t="s">
        <v>110</v>
      </c>
      <c r="M165" s="35" t="s">
        <v>111</v>
      </c>
      <c r="N165" s="35"/>
      <c r="O165" s="3"/>
    </row>
    <row r="166">
      <c r="A166" s="35" t="s">
        <v>10042</v>
      </c>
      <c r="B166" s="39">
        <v>46030.30259259259</v>
      </c>
      <c r="C166" s="35" t="s">
        <v>9967</v>
      </c>
      <c r="D166" s="40" t="s">
        <v>7096</v>
      </c>
      <c r="E166" s="35" t="s">
        <v>9488</v>
      </c>
      <c r="F166" s="40" t="s">
        <v>9489</v>
      </c>
      <c r="G166" s="35" t="s">
        <v>9496</v>
      </c>
      <c r="H166" s="40" t="s">
        <v>9489</v>
      </c>
      <c r="I166" s="35" t="s">
        <v>10043</v>
      </c>
      <c r="J166" s="35" t="s">
        <v>10044</v>
      </c>
      <c r="K166" s="35" t="s">
        <v>110</v>
      </c>
      <c r="L166" s="35" t="s">
        <v>110</v>
      </c>
      <c r="M166" s="35" t="s">
        <v>111</v>
      </c>
      <c r="N166" s="35"/>
      <c r="O166" s="3"/>
    </row>
    <row r="167">
      <c r="A167" s="35" t="s">
        <v>10045</v>
      </c>
      <c r="B167" s="39">
        <v>46030.41234953704</v>
      </c>
      <c r="C167" s="35" t="s">
        <v>9496</v>
      </c>
      <c r="D167" s="40" t="s">
        <v>9489</v>
      </c>
      <c r="E167" s="35" t="s">
        <v>9967</v>
      </c>
      <c r="F167" s="40" t="s">
        <v>7096</v>
      </c>
      <c r="G167" s="35" t="s">
        <v>9488</v>
      </c>
      <c r="H167" s="40" t="s">
        <v>9489</v>
      </c>
      <c r="I167" s="35" t="s">
        <v>10043</v>
      </c>
      <c r="J167" s="35" t="s">
        <v>10046</v>
      </c>
      <c r="K167" s="35" t="s">
        <v>110</v>
      </c>
      <c r="L167" s="35" t="s">
        <v>110</v>
      </c>
      <c r="M167" s="35" t="s">
        <v>111</v>
      </c>
      <c r="N167" s="35"/>
      <c r="O167" s="3"/>
    </row>
    <row r="168">
      <c r="A168" s="35" t="s">
        <v>10047</v>
      </c>
      <c r="B168" s="39">
        <v>46031.32525462963</v>
      </c>
      <c r="C168" s="35" t="s">
        <v>9967</v>
      </c>
      <c r="D168" s="40" t="s">
        <v>7096</v>
      </c>
      <c r="E168" s="35" t="s">
        <v>9496</v>
      </c>
      <c r="F168" s="40" t="s">
        <v>9489</v>
      </c>
      <c r="G168" s="35" t="s">
        <v>9488</v>
      </c>
      <c r="H168" s="40" t="s">
        <v>9489</v>
      </c>
      <c r="I168" s="35" t="s">
        <v>10043</v>
      </c>
      <c r="J168" s="35" t="s">
        <v>10048</v>
      </c>
      <c r="K168" s="35" t="s">
        <v>110</v>
      </c>
      <c r="L168" s="35" t="s">
        <v>110</v>
      </c>
      <c r="M168" s="35" t="s">
        <v>111</v>
      </c>
      <c r="N168" s="35"/>
      <c r="O168" s="3"/>
    </row>
    <row r="169">
      <c r="A169" s="35" t="s">
        <v>10049</v>
      </c>
      <c r="B169" s="39">
        <v>46031.33583333333</v>
      </c>
      <c r="C169" s="35" t="s">
        <v>9488</v>
      </c>
      <c r="D169" s="40" t="s">
        <v>9489</v>
      </c>
      <c r="E169" s="35" t="s">
        <v>9967</v>
      </c>
      <c r="F169" s="40" t="s">
        <v>7096</v>
      </c>
      <c r="G169" s="35" t="s">
        <v>9496</v>
      </c>
      <c r="H169" s="40" t="s">
        <v>9489</v>
      </c>
      <c r="I169" s="35" t="s">
        <v>10043</v>
      </c>
      <c r="J169" s="35" t="s">
        <v>10050</v>
      </c>
      <c r="K169" s="35" t="s">
        <v>110</v>
      </c>
      <c r="L169" s="35" t="s">
        <v>110</v>
      </c>
      <c r="M169" s="35" t="s">
        <v>111</v>
      </c>
      <c r="N169" s="35"/>
      <c r="O169" s="3"/>
    </row>
    <row r="170">
      <c r="A170" s="35" t="s">
        <v>10051</v>
      </c>
      <c r="B170" s="39">
        <v>46031.50282407408</v>
      </c>
      <c r="C170" s="35" t="s">
        <v>9967</v>
      </c>
      <c r="D170" s="40" t="s">
        <v>7096</v>
      </c>
      <c r="E170" s="35" t="s">
        <v>9488</v>
      </c>
      <c r="F170" s="40" t="s">
        <v>9489</v>
      </c>
      <c r="G170" s="35" t="s">
        <v>9496</v>
      </c>
      <c r="H170" s="40" t="s">
        <v>9489</v>
      </c>
      <c r="I170" s="35" t="s">
        <v>10043</v>
      </c>
      <c r="J170" s="35" t="s">
        <v>10052</v>
      </c>
      <c r="K170" s="35" t="s">
        <v>110</v>
      </c>
      <c r="L170" s="35" t="s">
        <v>110</v>
      </c>
      <c r="M170" s="35" t="s">
        <v>111</v>
      </c>
      <c r="N170" s="35"/>
      <c r="O170" s="3"/>
    </row>
    <row r="171">
      <c r="A171" s="35" t="s">
        <v>10053</v>
      </c>
      <c r="B171" s="39">
        <v>46031.62712962963</v>
      </c>
      <c r="C171" s="35" t="s">
        <v>9488</v>
      </c>
      <c r="D171" s="40" t="s">
        <v>9489</v>
      </c>
      <c r="E171" s="35" t="s">
        <v>9967</v>
      </c>
      <c r="F171" s="40" t="s">
        <v>7096</v>
      </c>
      <c r="G171" s="35" t="s">
        <v>9496</v>
      </c>
      <c r="H171" s="40" t="s">
        <v>9489</v>
      </c>
      <c r="I171" s="35" t="s">
        <v>10043</v>
      </c>
      <c r="J171" s="35" t="s">
        <v>10054</v>
      </c>
      <c r="K171" s="35" t="s">
        <v>110</v>
      </c>
      <c r="L171" s="35" t="s">
        <v>110</v>
      </c>
      <c r="M171" s="35" t="s">
        <v>111</v>
      </c>
      <c r="N171" s="35"/>
      <c r="O171" s="3"/>
    </row>
    <row r="172">
      <c r="A172" s="35" t="s">
        <v>10055</v>
      </c>
      <c r="B172" s="39">
        <v>46034.531909722224</v>
      </c>
      <c r="C172" s="35" t="s">
        <v>9967</v>
      </c>
      <c r="D172" s="40" t="s">
        <v>7096</v>
      </c>
      <c r="E172" s="35" t="s">
        <v>9488</v>
      </c>
      <c r="F172" s="40" t="s">
        <v>9489</v>
      </c>
      <c r="G172" s="35" t="s">
        <v>9496</v>
      </c>
      <c r="H172" s="40" t="s">
        <v>9489</v>
      </c>
      <c r="I172" s="35" t="s">
        <v>10043</v>
      </c>
      <c r="J172" s="35" t="s">
        <v>10056</v>
      </c>
      <c r="K172" s="35" t="s">
        <v>110</v>
      </c>
      <c r="L172" s="35" t="s">
        <v>110</v>
      </c>
      <c r="M172" s="35" t="s">
        <v>111</v>
      </c>
      <c r="N172" s="35"/>
      <c r="O172" s="3"/>
    </row>
    <row r="173">
      <c r="A173" s="35" t="s">
        <v>10057</v>
      </c>
      <c r="B173" s="39">
        <v>46034.60146990741</v>
      </c>
      <c r="C173" s="35" t="s">
        <v>9967</v>
      </c>
      <c r="D173" s="40" t="s">
        <v>7096</v>
      </c>
      <c r="E173" s="35" t="s">
        <v>9488</v>
      </c>
      <c r="F173" s="40" t="s">
        <v>9489</v>
      </c>
      <c r="G173" s="35" t="s">
        <v>9496</v>
      </c>
      <c r="H173" s="40" t="s">
        <v>9489</v>
      </c>
      <c r="I173" s="35" t="s">
        <v>10043</v>
      </c>
      <c r="J173" s="35" t="s">
        <v>10058</v>
      </c>
      <c r="K173" s="35" t="s">
        <v>110</v>
      </c>
      <c r="L173" s="35" t="s">
        <v>110</v>
      </c>
      <c r="M173" s="35" t="s">
        <v>111</v>
      </c>
      <c r="N173" s="35"/>
      <c r="O173" s="3"/>
    </row>
    <row r="174">
      <c r="A174" s="35" t="s">
        <v>10059</v>
      </c>
      <c r="B174" s="39">
        <v>46034.626539351855</v>
      </c>
      <c r="C174" s="35" t="s">
        <v>9488</v>
      </c>
      <c r="D174" s="40" t="s">
        <v>9489</v>
      </c>
      <c r="E174" s="35" t="s">
        <v>9967</v>
      </c>
      <c r="F174" s="40" t="s">
        <v>7096</v>
      </c>
      <c r="G174" s="35" t="s">
        <v>9496</v>
      </c>
      <c r="H174" s="40" t="s">
        <v>9489</v>
      </c>
      <c r="I174" s="35" t="s">
        <v>10043</v>
      </c>
      <c r="J174" s="35" t="s">
        <v>10060</v>
      </c>
      <c r="K174" s="35" t="s">
        <v>110</v>
      </c>
      <c r="L174" s="35" t="s">
        <v>110</v>
      </c>
      <c r="M174" s="35" t="s">
        <v>111</v>
      </c>
      <c r="N174" s="35"/>
      <c r="O174" s="3"/>
    </row>
    <row r="175">
      <c r="A175" s="35" t="s">
        <v>10061</v>
      </c>
      <c r="B175" s="39">
        <v>46013.45835648148</v>
      </c>
      <c r="C175" s="35" t="s">
        <v>9814</v>
      </c>
      <c r="D175" s="40" t="s">
        <v>9815</v>
      </c>
      <c r="E175" s="35" t="s">
        <v>8223</v>
      </c>
      <c r="F175" s="40" t="s">
        <v>7095</v>
      </c>
      <c r="G175" s="35" t="s">
        <v>10062</v>
      </c>
      <c r="H175" s="35" t="s">
        <v>9987</v>
      </c>
      <c r="I175" s="35" t="s">
        <v>9817</v>
      </c>
      <c r="J175" s="35" t="s">
        <v>9818</v>
      </c>
      <c r="K175" s="35" t="s">
        <v>163</v>
      </c>
      <c r="L175" s="35" t="s">
        <v>163</v>
      </c>
      <c r="M175" s="35" t="s">
        <v>430</v>
      </c>
      <c r="N175" s="35"/>
      <c r="O175" s="3"/>
    </row>
    <row r="176">
      <c r="A176" s="35" t="s">
        <v>10063</v>
      </c>
      <c r="B176" s="39">
        <v>46012.43870370371</v>
      </c>
      <c r="C176" s="35" t="s">
        <v>10001</v>
      </c>
      <c r="D176" s="40" t="s">
        <v>7097</v>
      </c>
      <c r="E176" s="35" t="s">
        <v>9488</v>
      </c>
      <c r="F176" s="40" t="s">
        <v>9489</v>
      </c>
      <c r="G176" s="35"/>
      <c r="H176" s="35"/>
      <c r="I176" s="35" t="s">
        <v>10064</v>
      </c>
      <c r="J176" s="35" t="s">
        <v>10065</v>
      </c>
      <c r="K176" s="35" t="s">
        <v>6807</v>
      </c>
      <c r="L176" s="35" t="s">
        <v>6807</v>
      </c>
      <c r="M176" s="35" t="s">
        <v>572</v>
      </c>
      <c r="N176" s="35"/>
      <c r="O176" s="3"/>
    </row>
    <row r="177">
      <c r="A177" s="35" t="s">
        <v>10066</v>
      </c>
      <c r="B177" s="39">
        <v>46010.54465277778</v>
      </c>
      <c r="C177" s="35" t="s">
        <v>10067</v>
      </c>
      <c r="D177" s="40" t="s">
        <v>7097</v>
      </c>
      <c r="E177" s="35" t="s">
        <v>9488</v>
      </c>
      <c r="F177" s="40" t="s">
        <v>9489</v>
      </c>
      <c r="G177" s="35"/>
      <c r="H177" s="35"/>
      <c r="I177" s="35" t="s">
        <v>10002</v>
      </c>
      <c r="J177" s="35" t="s">
        <v>10003</v>
      </c>
      <c r="K177" s="35" t="s">
        <v>6807</v>
      </c>
      <c r="L177" s="35" t="s">
        <v>6807</v>
      </c>
      <c r="M177" s="35" t="s">
        <v>572</v>
      </c>
      <c r="N177" s="35"/>
      <c r="O177" s="3"/>
    </row>
    <row r="178">
      <c r="A178" s="35" t="s">
        <v>10068</v>
      </c>
      <c r="B178" s="39">
        <v>46009.66747685186</v>
      </c>
      <c r="C178" s="35" t="s">
        <v>9704</v>
      </c>
      <c r="D178" s="40" t="s">
        <v>9489</v>
      </c>
      <c r="E178" s="35" t="s">
        <v>10069</v>
      </c>
      <c r="F178" s="35" t="s">
        <v>9980</v>
      </c>
      <c r="G178" s="35"/>
      <c r="H178" s="35"/>
      <c r="I178" s="35" t="s">
        <v>10070</v>
      </c>
      <c r="J178" s="35" t="s">
        <v>10071</v>
      </c>
      <c r="K178" s="35" t="s">
        <v>163</v>
      </c>
      <c r="L178" s="35" t="s">
        <v>163</v>
      </c>
      <c r="M178" s="35" t="s">
        <v>430</v>
      </c>
      <c r="N178" s="35"/>
      <c r="O178" s="3"/>
    </row>
    <row r="179">
      <c r="A179" s="35" t="s">
        <v>10072</v>
      </c>
      <c r="B179" s="39">
        <v>46009.43094907407</v>
      </c>
      <c r="C179" s="35" t="s">
        <v>9704</v>
      </c>
      <c r="D179" s="40" t="s">
        <v>9489</v>
      </c>
      <c r="E179" s="35" t="s">
        <v>10073</v>
      </c>
      <c r="F179" s="40" t="s">
        <v>7095</v>
      </c>
      <c r="G179" s="35" t="s">
        <v>9488</v>
      </c>
      <c r="H179" s="40" t="s">
        <v>9489</v>
      </c>
      <c r="I179" s="35" t="s">
        <v>9499</v>
      </c>
      <c r="J179" s="35" t="s">
        <v>10074</v>
      </c>
      <c r="K179" s="35" t="s">
        <v>163</v>
      </c>
      <c r="L179" s="35" t="s">
        <v>163</v>
      </c>
      <c r="M179" s="35" t="s">
        <v>430</v>
      </c>
      <c r="N179" s="35"/>
      <c r="O179" s="3"/>
    </row>
    <row r="180">
      <c r="A180" s="35" t="s">
        <v>10075</v>
      </c>
      <c r="B180" s="39">
        <v>46009.66846064814</v>
      </c>
      <c r="C180" s="35" t="s">
        <v>9974</v>
      </c>
      <c r="D180" s="40" t="s">
        <v>7095</v>
      </c>
      <c r="E180" s="35" t="s">
        <v>10076</v>
      </c>
      <c r="F180" s="35" t="s">
        <v>9980</v>
      </c>
      <c r="G180" s="35" t="s">
        <v>10077</v>
      </c>
      <c r="H180" s="35" t="s">
        <v>9980</v>
      </c>
      <c r="I180" s="35" t="s">
        <v>10078</v>
      </c>
      <c r="J180" s="35" t="s">
        <v>10079</v>
      </c>
      <c r="K180" s="35" t="s">
        <v>163</v>
      </c>
      <c r="L180" s="35" t="s">
        <v>163</v>
      </c>
      <c r="M180" s="35" t="s">
        <v>430</v>
      </c>
      <c r="N180" s="35"/>
      <c r="O180" s="3"/>
    </row>
    <row r="181">
      <c r="A181" s="35" t="s">
        <v>10080</v>
      </c>
      <c r="B181" s="39">
        <v>46013.528807870374</v>
      </c>
      <c r="C181" s="35" t="s">
        <v>9488</v>
      </c>
      <c r="D181" s="40" t="s">
        <v>9489</v>
      </c>
      <c r="E181" s="35" t="s">
        <v>9974</v>
      </c>
      <c r="F181" s="40" t="s">
        <v>7095</v>
      </c>
      <c r="G181" s="35" t="s">
        <v>10081</v>
      </c>
      <c r="H181" s="35" t="s">
        <v>9980</v>
      </c>
      <c r="I181" s="35" t="s">
        <v>10082</v>
      </c>
      <c r="J181" s="35" t="s">
        <v>10083</v>
      </c>
      <c r="K181" s="35" t="s">
        <v>163</v>
      </c>
      <c r="L181" s="35" t="s">
        <v>163</v>
      </c>
      <c r="M181" s="35" t="s">
        <v>430</v>
      </c>
      <c r="N181" s="35"/>
      <c r="O181" s="3"/>
    </row>
    <row r="182">
      <c r="A182" s="35" t="s">
        <v>10084</v>
      </c>
      <c r="B182" s="39">
        <v>46014.35671296297</v>
      </c>
      <c r="C182" s="35" t="s">
        <v>9974</v>
      </c>
      <c r="D182" s="40" t="s">
        <v>7095</v>
      </c>
      <c r="E182" s="35" t="s">
        <v>9488</v>
      </c>
      <c r="F182" s="40" t="s">
        <v>9489</v>
      </c>
      <c r="G182" s="35" t="s">
        <v>10081</v>
      </c>
      <c r="H182" s="35" t="s">
        <v>9980</v>
      </c>
      <c r="I182" s="35" t="s">
        <v>10078</v>
      </c>
      <c r="J182" s="35" t="s">
        <v>10085</v>
      </c>
      <c r="K182" s="35" t="s">
        <v>163</v>
      </c>
      <c r="L182" s="35" t="s">
        <v>163</v>
      </c>
      <c r="M182" s="35" t="s">
        <v>430</v>
      </c>
      <c r="N182" s="35"/>
      <c r="O182" s="3"/>
    </row>
    <row r="183">
      <c r="A183" s="35" t="s">
        <v>10086</v>
      </c>
      <c r="B183" s="39">
        <v>46014.36122685185</v>
      </c>
      <c r="C183" s="35" t="s">
        <v>9974</v>
      </c>
      <c r="D183" s="40" t="s">
        <v>7095</v>
      </c>
      <c r="E183" s="35" t="s">
        <v>9488</v>
      </c>
      <c r="F183" s="40" t="s">
        <v>9489</v>
      </c>
      <c r="G183" s="35"/>
      <c r="H183" s="35"/>
      <c r="I183" s="35" t="s">
        <v>10087</v>
      </c>
      <c r="J183" s="35" t="s">
        <v>10088</v>
      </c>
      <c r="K183" s="35" t="s">
        <v>163</v>
      </c>
      <c r="L183" s="35" t="s">
        <v>163</v>
      </c>
      <c r="M183" s="35" t="s">
        <v>430</v>
      </c>
      <c r="N183" s="35"/>
      <c r="O183" s="3"/>
    </row>
    <row r="184">
      <c r="A184" s="35" t="s">
        <v>10089</v>
      </c>
      <c r="B184" s="39">
        <v>46006.50005787037</v>
      </c>
      <c r="C184" s="35" t="s">
        <v>9814</v>
      </c>
      <c r="D184" s="40" t="s">
        <v>9815</v>
      </c>
      <c r="E184" s="35" t="s">
        <v>10090</v>
      </c>
      <c r="F184" s="40" t="s">
        <v>7097</v>
      </c>
      <c r="G184" s="35" t="s">
        <v>10091</v>
      </c>
      <c r="H184" s="35" t="s">
        <v>10092</v>
      </c>
      <c r="I184" s="35" t="s">
        <v>9817</v>
      </c>
      <c r="J184" s="35" t="s">
        <v>9818</v>
      </c>
      <c r="K184" s="35" t="s">
        <v>6807</v>
      </c>
      <c r="L184" s="35" t="s">
        <v>6807</v>
      </c>
      <c r="M184" s="35" t="s">
        <v>572</v>
      </c>
      <c r="N184" s="35"/>
      <c r="O184" s="3"/>
    </row>
    <row r="185">
      <c r="A185" s="35" t="s">
        <v>10093</v>
      </c>
      <c r="B185" s="39">
        <v>46006.50052083333</v>
      </c>
      <c r="C185" s="35" t="s">
        <v>9627</v>
      </c>
      <c r="D185" s="40" t="s">
        <v>9489</v>
      </c>
      <c r="E185" s="35" t="s">
        <v>7156</v>
      </c>
      <c r="F185" s="40" t="s">
        <v>9489</v>
      </c>
      <c r="G185" s="35" t="s">
        <v>10094</v>
      </c>
      <c r="H185" s="35" t="s">
        <v>10092</v>
      </c>
      <c r="I185" s="35" t="s">
        <v>10095</v>
      </c>
      <c r="J185" s="35" t="s">
        <v>10096</v>
      </c>
      <c r="K185" s="35" t="s">
        <v>6807</v>
      </c>
      <c r="L185" s="35" t="s">
        <v>6807</v>
      </c>
      <c r="M185" s="35" t="s">
        <v>572</v>
      </c>
      <c r="N185" s="35"/>
      <c r="O185" s="3"/>
    </row>
    <row r="186">
      <c r="A186" s="35" t="s">
        <v>10097</v>
      </c>
      <c r="B186" s="39">
        <v>46002.389340277776</v>
      </c>
      <c r="C186" s="35" t="s">
        <v>9627</v>
      </c>
      <c r="D186" s="40" t="s">
        <v>9489</v>
      </c>
      <c r="E186" s="35" t="s">
        <v>7156</v>
      </c>
      <c r="F186" s="40" t="s">
        <v>9489</v>
      </c>
      <c r="G186" s="35" t="s">
        <v>10098</v>
      </c>
      <c r="H186" s="35" t="s">
        <v>10099</v>
      </c>
      <c r="I186" s="35" t="s">
        <v>10100</v>
      </c>
      <c r="J186" s="35" t="s">
        <v>10101</v>
      </c>
      <c r="K186" s="35" t="s">
        <v>6807</v>
      </c>
      <c r="L186" s="35" t="s">
        <v>6807</v>
      </c>
      <c r="M186" s="35" t="s">
        <v>572</v>
      </c>
      <c r="N186" s="35"/>
      <c r="O186" s="3"/>
    </row>
    <row r="187">
      <c r="A187" s="35" t="s">
        <v>10102</v>
      </c>
      <c r="B187" s="39">
        <v>46002.38905092592</v>
      </c>
      <c r="C187" s="35" t="s">
        <v>9496</v>
      </c>
      <c r="D187" s="40" t="s">
        <v>9489</v>
      </c>
      <c r="E187" s="35" t="s">
        <v>10103</v>
      </c>
      <c r="F187" s="35" t="s">
        <v>10099</v>
      </c>
      <c r="G187" s="35"/>
      <c r="H187" s="35"/>
      <c r="I187" s="35" t="s">
        <v>10104</v>
      </c>
      <c r="J187" s="35" t="s">
        <v>10105</v>
      </c>
      <c r="K187" s="35" t="s">
        <v>6807</v>
      </c>
      <c r="L187" s="35" t="s">
        <v>6807</v>
      </c>
      <c r="M187" s="35" t="s">
        <v>572</v>
      </c>
      <c r="N187" s="35"/>
      <c r="O187" s="3"/>
    </row>
    <row r="188">
      <c r="A188" s="35" t="s">
        <v>10106</v>
      </c>
      <c r="B188" s="39">
        <v>46002.387615740736</v>
      </c>
      <c r="C188" s="35" t="s">
        <v>9627</v>
      </c>
      <c r="D188" s="40" t="s">
        <v>9489</v>
      </c>
      <c r="E188" s="35" t="s">
        <v>7156</v>
      </c>
      <c r="F188" s="40" t="s">
        <v>9489</v>
      </c>
      <c r="G188" s="35" t="s">
        <v>10098</v>
      </c>
      <c r="H188" s="35" t="s">
        <v>10099</v>
      </c>
      <c r="I188" s="35" t="s">
        <v>10107</v>
      </c>
      <c r="J188" s="35" t="s">
        <v>10108</v>
      </c>
      <c r="K188" s="35" t="s">
        <v>6807</v>
      </c>
      <c r="L188" s="35" t="s">
        <v>6807</v>
      </c>
      <c r="M188" s="35" t="s">
        <v>572</v>
      </c>
      <c r="N188" s="35"/>
      <c r="O188" s="3"/>
    </row>
    <row r="189">
      <c r="A189" s="35" t="s">
        <v>10109</v>
      </c>
      <c r="B189" s="39">
        <v>46002.38581018518</v>
      </c>
      <c r="C189" s="35" t="s">
        <v>9496</v>
      </c>
      <c r="D189" s="40" t="s">
        <v>9489</v>
      </c>
      <c r="E189" s="35" t="s">
        <v>10103</v>
      </c>
      <c r="F189" s="35" t="s">
        <v>10099</v>
      </c>
      <c r="G189" s="35"/>
      <c r="H189" s="35"/>
      <c r="I189" s="35" t="s">
        <v>10110</v>
      </c>
      <c r="J189" s="35" t="s">
        <v>10111</v>
      </c>
      <c r="K189" s="35" t="s">
        <v>6807</v>
      </c>
      <c r="L189" s="35" t="s">
        <v>6807</v>
      </c>
      <c r="M189" s="35" t="s">
        <v>572</v>
      </c>
      <c r="N189" s="35"/>
      <c r="O189" s="3"/>
    </row>
    <row r="190">
      <c r="A190" s="35" t="s">
        <v>10112</v>
      </c>
      <c r="B190" s="39">
        <v>46002.32722222222</v>
      </c>
      <c r="C190" s="35" t="s">
        <v>9496</v>
      </c>
      <c r="D190" s="40" t="s">
        <v>9489</v>
      </c>
      <c r="E190" s="35" t="s">
        <v>10113</v>
      </c>
      <c r="F190" s="35" t="s">
        <v>10092</v>
      </c>
      <c r="G190" s="35" t="s">
        <v>10114</v>
      </c>
      <c r="H190" s="35" t="s">
        <v>10099</v>
      </c>
      <c r="I190" s="35" t="s">
        <v>10115</v>
      </c>
      <c r="J190" s="35" t="s">
        <v>10116</v>
      </c>
      <c r="K190" s="35" t="s">
        <v>6807</v>
      </c>
      <c r="L190" s="35" t="s">
        <v>6807</v>
      </c>
      <c r="M190" s="35" t="s">
        <v>572</v>
      </c>
      <c r="N190" s="35"/>
      <c r="O190" s="3"/>
    </row>
    <row r="191">
      <c r="A191" s="35" t="s">
        <v>10117</v>
      </c>
      <c r="B191" s="39">
        <v>46006.58015046296</v>
      </c>
      <c r="C191" s="35" t="s">
        <v>10001</v>
      </c>
      <c r="D191" s="40" t="s">
        <v>7097</v>
      </c>
      <c r="E191" s="35" t="s">
        <v>10118</v>
      </c>
      <c r="F191" s="40" t="s">
        <v>9489</v>
      </c>
      <c r="G191" s="35" t="s">
        <v>10067</v>
      </c>
      <c r="H191" s="40" t="s">
        <v>7097</v>
      </c>
      <c r="I191" s="35" t="s">
        <v>10119</v>
      </c>
      <c r="J191" s="35" t="s">
        <v>10120</v>
      </c>
      <c r="K191" s="35" t="s">
        <v>6807</v>
      </c>
      <c r="L191" s="35" t="s">
        <v>6807</v>
      </c>
      <c r="M191" s="35" t="s">
        <v>572</v>
      </c>
      <c r="N191" s="35"/>
      <c r="O191" s="3"/>
    </row>
    <row r="192">
      <c r="A192" s="35" t="s">
        <v>10121</v>
      </c>
      <c r="B192" s="39">
        <v>46009.33333333333</v>
      </c>
      <c r="C192" s="35" t="s">
        <v>9488</v>
      </c>
      <c r="D192" s="40" t="s">
        <v>9489</v>
      </c>
      <c r="E192" s="35" t="s">
        <v>10001</v>
      </c>
      <c r="F192" s="40" t="s">
        <v>7097</v>
      </c>
      <c r="G192" s="35" t="s">
        <v>10122</v>
      </c>
      <c r="H192" s="35" t="s">
        <v>10099</v>
      </c>
      <c r="I192" s="35" t="s">
        <v>10115</v>
      </c>
      <c r="J192" s="35" t="s">
        <v>10123</v>
      </c>
      <c r="K192" s="35" t="s">
        <v>6807</v>
      </c>
      <c r="L192" s="35" t="s">
        <v>6807</v>
      </c>
      <c r="M192" s="35" t="s">
        <v>572</v>
      </c>
      <c r="N192" s="35"/>
      <c r="O192" s="3"/>
    </row>
    <row r="193">
      <c r="A193" s="35" t="s">
        <v>10124</v>
      </c>
      <c r="B193" s="39">
        <v>46009.35005787037</v>
      </c>
      <c r="C193" s="35" t="s">
        <v>10001</v>
      </c>
      <c r="D193" s="40" t="s">
        <v>7097</v>
      </c>
      <c r="E193" s="35" t="s">
        <v>9488</v>
      </c>
      <c r="F193" s="40" t="s">
        <v>9489</v>
      </c>
      <c r="G193" s="35" t="s">
        <v>10122</v>
      </c>
      <c r="H193" s="35" t="s">
        <v>10099</v>
      </c>
      <c r="I193" s="35" t="s">
        <v>10125</v>
      </c>
      <c r="J193" s="35" t="s">
        <v>10126</v>
      </c>
      <c r="K193" s="35" t="s">
        <v>6807</v>
      </c>
      <c r="L193" s="35" t="s">
        <v>6807</v>
      </c>
      <c r="M193" s="35" t="s">
        <v>572</v>
      </c>
      <c r="N193" s="35"/>
      <c r="O193" s="3"/>
    </row>
    <row r="194">
      <c r="A194" s="35" t="s">
        <v>10127</v>
      </c>
      <c r="B194" s="39">
        <v>46009.35800925926</v>
      </c>
      <c r="C194" s="35" t="s">
        <v>9488</v>
      </c>
      <c r="D194" s="40" t="s">
        <v>9489</v>
      </c>
      <c r="E194" s="35" t="s">
        <v>10001</v>
      </c>
      <c r="F194" s="40" t="s">
        <v>7097</v>
      </c>
      <c r="G194" s="35" t="s">
        <v>10122</v>
      </c>
      <c r="H194" s="35" t="s">
        <v>10099</v>
      </c>
      <c r="I194" s="35" t="s">
        <v>10128</v>
      </c>
      <c r="J194" s="35" t="s">
        <v>10129</v>
      </c>
      <c r="K194" s="35" t="s">
        <v>6807</v>
      </c>
      <c r="L194" s="35" t="s">
        <v>6807</v>
      </c>
      <c r="M194" s="35" t="s">
        <v>572</v>
      </c>
      <c r="N194" s="35"/>
      <c r="O194" s="3"/>
    </row>
    <row r="195">
      <c r="A195" s="35" t="s">
        <v>10130</v>
      </c>
      <c r="B195" s="39">
        <v>46009.39645833333</v>
      </c>
      <c r="C195" s="35" t="s">
        <v>10001</v>
      </c>
      <c r="D195" s="40" t="s">
        <v>7097</v>
      </c>
      <c r="E195" s="35" t="s">
        <v>9488</v>
      </c>
      <c r="F195" s="40" t="s">
        <v>9489</v>
      </c>
      <c r="G195" s="35" t="s">
        <v>10122</v>
      </c>
      <c r="H195" s="35" t="s">
        <v>10099</v>
      </c>
      <c r="I195" s="35" t="s">
        <v>10125</v>
      </c>
      <c r="J195" s="35" t="s">
        <v>10131</v>
      </c>
      <c r="K195" s="35" t="s">
        <v>6807</v>
      </c>
      <c r="L195" s="35" t="s">
        <v>6807</v>
      </c>
      <c r="M195" s="35" t="s">
        <v>572</v>
      </c>
      <c r="N195" s="35"/>
      <c r="O195" s="3"/>
    </row>
    <row r="196">
      <c r="A196" s="35" t="s">
        <v>10132</v>
      </c>
      <c r="B196" s="39">
        <v>46042.321018518516</v>
      </c>
      <c r="C196" s="35" t="s">
        <v>10001</v>
      </c>
      <c r="D196" s="40" t="s">
        <v>7097</v>
      </c>
      <c r="E196" s="35" t="s">
        <v>9488</v>
      </c>
      <c r="F196" s="40" t="s">
        <v>9489</v>
      </c>
      <c r="G196" s="35" t="s">
        <v>10067</v>
      </c>
      <c r="H196" s="40" t="s">
        <v>7097</v>
      </c>
      <c r="I196" s="35" t="s">
        <v>10125</v>
      </c>
      <c r="J196" s="35" t="s">
        <v>10133</v>
      </c>
      <c r="K196" s="35" t="s">
        <v>6807</v>
      </c>
      <c r="L196" s="35" t="s">
        <v>6807</v>
      </c>
      <c r="M196" s="35" t="s">
        <v>572</v>
      </c>
      <c r="N196" s="35"/>
      <c r="O196" s="3"/>
    </row>
    <row r="197">
      <c r="A197" s="35" t="s">
        <v>10134</v>
      </c>
      <c r="B197" s="39">
        <v>46042.43388888889</v>
      </c>
      <c r="C197" s="35" t="s">
        <v>9488</v>
      </c>
      <c r="D197" s="40" t="s">
        <v>9489</v>
      </c>
      <c r="E197" s="35" t="s">
        <v>10001</v>
      </c>
      <c r="F197" s="40" t="s">
        <v>7097</v>
      </c>
      <c r="G197" s="35" t="s">
        <v>10135</v>
      </c>
      <c r="H197" s="35" t="s">
        <v>10092</v>
      </c>
      <c r="I197" s="35" t="s">
        <v>10128</v>
      </c>
      <c r="J197" s="35" t="s">
        <v>10136</v>
      </c>
      <c r="K197" s="35" t="s">
        <v>6807</v>
      </c>
      <c r="L197" s="35" t="s">
        <v>6807</v>
      </c>
      <c r="M197" s="35" t="s">
        <v>572</v>
      </c>
      <c r="N197" s="35"/>
      <c r="O197" s="3"/>
    </row>
    <row r="198">
      <c r="A198" s="35" t="s">
        <v>10137</v>
      </c>
      <c r="B198" s="39">
        <v>46042.59137731481</v>
      </c>
      <c r="C198" s="35" t="s">
        <v>10001</v>
      </c>
      <c r="D198" s="40" t="s">
        <v>7097</v>
      </c>
      <c r="E198" s="35" t="s">
        <v>10138</v>
      </c>
      <c r="F198" s="35" t="s">
        <v>10139</v>
      </c>
      <c r="G198" s="35" t="s">
        <v>10135</v>
      </c>
      <c r="H198" s="35" t="s">
        <v>10092</v>
      </c>
      <c r="I198" s="35" t="s">
        <v>10125</v>
      </c>
      <c r="J198" s="35" t="s">
        <v>10140</v>
      </c>
      <c r="K198" s="35" t="s">
        <v>6807</v>
      </c>
      <c r="L198" s="35" t="s">
        <v>6807</v>
      </c>
      <c r="M198" s="35" t="s">
        <v>572</v>
      </c>
      <c r="N198" s="35"/>
      <c r="O198" s="3"/>
    </row>
    <row r="199">
      <c r="A199" s="35" t="s">
        <v>10141</v>
      </c>
      <c r="B199" s="39">
        <v>46042.5996875</v>
      </c>
      <c r="C199" s="35" t="s">
        <v>9488</v>
      </c>
      <c r="D199" s="40" t="s">
        <v>9489</v>
      </c>
      <c r="E199" s="35" t="s">
        <v>10001</v>
      </c>
      <c r="F199" s="40" t="s">
        <v>7097</v>
      </c>
      <c r="G199" s="35" t="s">
        <v>10142</v>
      </c>
      <c r="H199" s="35" t="s">
        <v>10143</v>
      </c>
      <c r="I199" s="35" t="s">
        <v>10128</v>
      </c>
      <c r="J199" s="35" t="s">
        <v>10144</v>
      </c>
      <c r="K199" s="35" t="s">
        <v>6807</v>
      </c>
      <c r="L199" s="35" t="s">
        <v>6807</v>
      </c>
      <c r="M199" s="35" t="s">
        <v>572</v>
      </c>
      <c r="N199" s="35"/>
      <c r="O199" s="3"/>
    </row>
    <row r="200">
      <c r="A200" s="35" t="s">
        <v>10145</v>
      </c>
      <c r="B200" s="39">
        <v>45986.07797453704</v>
      </c>
      <c r="C200" s="35" t="s">
        <v>9496</v>
      </c>
      <c r="D200" s="40" t="s">
        <v>9489</v>
      </c>
      <c r="E200" s="35" t="s">
        <v>10146</v>
      </c>
      <c r="F200" s="35" t="s">
        <v>10147</v>
      </c>
      <c r="G200" s="35"/>
      <c r="H200" s="35"/>
      <c r="I200" s="35" t="s">
        <v>10148</v>
      </c>
      <c r="J200" s="35" t="s">
        <v>10149</v>
      </c>
      <c r="K200" s="35" t="s">
        <v>187</v>
      </c>
      <c r="L200" s="35" t="s">
        <v>187</v>
      </c>
      <c r="M200" s="35" t="s">
        <v>188</v>
      </c>
      <c r="N200" s="35"/>
      <c r="O200" s="3"/>
    </row>
    <row r="201">
      <c r="A201" s="35" t="s">
        <v>10150</v>
      </c>
      <c r="B201" s="39">
        <v>45986.07445601852</v>
      </c>
      <c r="C201" s="35" t="s">
        <v>9496</v>
      </c>
      <c r="D201" s="40" t="s">
        <v>9489</v>
      </c>
      <c r="E201" s="35" t="s">
        <v>10151</v>
      </c>
      <c r="F201" s="35" t="s">
        <v>10036</v>
      </c>
      <c r="G201" s="35"/>
      <c r="H201" s="35"/>
      <c r="I201" s="35" t="s">
        <v>10152</v>
      </c>
      <c r="J201" s="35" t="s">
        <v>10153</v>
      </c>
      <c r="K201" s="35" t="s">
        <v>110</v>
      </c>
      <c r="L201" s="35" t="s">
        <v>110</v>
      </c>
      <c r="M201" s="35" t="s">
        <v>111</v>
      </c>
      <c r="N201" s="35"/>
      <c r="O201" s="3"/>
    </row>
    <row r="202">
      <c r="A202" s="35" t="s">
        <v>10154</v>
      </c>
      <c r="B202" s="39">
        <v>46043.418217592596</v>
      </c>
      <c r="C202" s="35" t="s">
        <v>10155</v>
      </c>
      <c r="D202" s="40" t="s">
        <v>7100</v>
      </c>
      <c r="E202" s="35" t="s">
        <v>9488</v>
      </c>
      <c r="F202" s="40" t="s">
        <v>9489</v>
      </c>
      <c r="G202" s="35"/>
      <c r="H202" s="35"/>
      <c r="I202" s="35" t="s">
        <v>10156</v>
      </c>
      <c r="J202" s="35" t="s">
        <v>10157</v>
      </c>
      <c r="K202" s="35" t="s">
        <v>125</v>
      </c>
      <c r="L202" s="35" t="s">
        <v>125</v>
      </c>
      <c r="M202" s="35" t="s">
        <v>126</v>
      </c>
      <c r="N202" s="35"/>
      <c r="O202" s="3"/>
    </row>
    <row r="203">
      <c r="A203" s="35" t="s">
        <v>10158</v>
      </c>
      <c r="B203" s="39">
        <v>46043.39587962963</v>
      </c>
      <c r="C203" s="35" t="s">
        <v>10159</v>
      </c>
      <c r="D203" s="40" t="s">
        <v>7100</v>
      </c>
      <c r="E203" s="35" t="s">
        <v>9488</v>
      </c>
      <c r="F203" s="40" t="s">
        <v>9489</v>
      </c>
      <c r="G203" s="35"/>
      <c r="H203" s="35"/>
      <c r="I203" s="35" t="s">
        <v>10156</v>
      </c>
      <c r="J203" s="35" t="s">
        <v>10157</v>
      </c>
      <c r="K203" s="35" t="s">
        <v>125</v>
      </c>
      <c r="L203" s="35" t="s">
        <v>125</v>
      </c>
      <c r="M203" s="35" t="s">
        <v>126</v>
      </c>
      <c r="N203" s="35"/>
      <c r="O203" s="3"/>
    </row>
    <row r="204">
      <c r="A204" s="35" t="s">
        <v>10160</v>
      </c>
      <c r="B204" s="39">
        <v>46035.364537037036</v>
      </c>
      <c r="C204" s="35" t="s">
        <v>10161</v>
      </c>
      <c r="D204" s="40" t="s">
        <v>7100</v>
      </c>
      <c r="E204" s="35" t="s">
        <v>9488</v>
      </c>
      <c r="F204" s="40" t="s">
        <v>9489</v>
      </c>
      <c r="G204" s="35"/>
      <c r="H204" s="35"/>
      <c r="I204" s="35" t="s">
        <v>10156</v>
      </c>
      <c r="J204" s="35" t="s">
        <v>10157</v>
      </c>
      <c r="K204" s="35" t="s">
        <v>125</v>
      </c>
      <c r="L204" s="35" t="s">
        <v>125</v>
      </c>
      <c r="M204" s="35" t="s">
        <v>126</v>
      </c>
      <c r="N204" s="35"/>
      <c r="O204" s="3"/>
    </row>
    <row r="205">
      <c r="A205" s="35" t="s">
        <v>10162</v>
      </c>
      <c r="B205" s="39">
        <v>46034.627280092594</v>
      </c>
      <c r="C205" s="35" t="s">
        <v>10159</v>
      </c>
      <c r="D205" s="40" t="s">
        <v>7100</v>
      </c>
      <c r="E205" s="35" t="s">
        <v>9488</v>
      </c>
      <c r="F205" s="40" t="s">
        <v>9489</v>
      </c>
      <c r="G205" s="35"/>
      <c r="H205" s="35"/>
      <c r="I205" s="35" t="s">
        <v>10156</v>
      </c>
      <c r="J205" s="35" t="s">
        <v>10157</v>
      </c>
      <c r="K205" s="35" t="s">
        <v>125</v>
      </c>
      <c r="L205" s="35" t="s">
        <v>125</v>
      </c>
      <c r="M205" s="35" t="s">
        <v>126</v>
      </c>
      <c r="N205" s="35"/>
      <c r="O205" s="3"/>
    </row>
    <row r="206">
      <c r="A206" s="35" t="s">
        <v>10163</v>
      </c>
      <c r="B206" s="39">
        <v>46030.62760416667</v>
      </c>
      <c r="C206" s="35" t="s">
        <v>9488</v>
      </c>
      <c r="D206" s="40" t="s">
        <v>9489</v>
      </c>
      <c r="E206" s="35" t="s">
        <v>10164</v>
      </c>
      <c r="F206" s="35" t="s">
        <v>10165</v>
      </c>
      <c r="G206" s="35" t="s">
        <v>9496</v>
      </c>
      <c r="H206" s="40" t="s">
        <v>9489</v>
      </c>
      <c r="I206" s="35" t="s">
        <v>10166</v>
      </c>
      <c r="J206" s="35" t="s">
        <v>10167</v>
      </c>
      <c r="K206" s="35" t="s">
        <v>6752</v>
      </c>
      <c r="L206" s="35" t="s">
        <v>6752</v>
      </c>
      <c r="M206" s="35" t="s">
        <v>319</v>
      </c>
      <c r="N206" s="35"/>
      <c r="O206" s="3"/>
    </row>
    <row r="207">
      <c r="A207" s="35" t="s">
        <v>10168</v>
      </c>
      <c r="B207" s="39">
        <v>46030.47976851852</v>
      </c>
      <c r="C207" s="35" t="s">
        <v>10155</v>
      </c>
      <c r="D207" s="40" t="s">
        <v>7100</v>
      </c>
      <c r="E207" s="35" t="s">
        <v>9488</v>
      </c>
      <c r="F207" s="40" t="s">
        <v>9489</v>
      </c>
      <c r="G207" s="35"/>
      <c r="H207" s="35"/>
      <c r="I207" s="35" t="s">
        <v>10156</v>
      </c>
      <c r="J207" s="35" t="s">
        <v>10157</v>
      </c>
      <c r="K207" s="35" t="s">
        <v>125</v>
      </c>
      <c r="L207" s="35" t="s">
        <v>125</v>
      </c>
      <c r="M207" s="35" t="s">
        <v>126</v>
      </c>
      <c r="N207" s="35"/>
      <c r="O207" s="3"/>
    </row>
    <row r="208">
      <c r="A208" s="35" t="s">
        <v>10169</v>
      </c>
      <c r="B208" s="39">
        <v>46023.385462962964</v>
      </c>
      <c r="C208" s="35" t="s">
        <v>9527</v>
      </c>
      <c r="D208" s="40" t="s">
        <v>9489</v>
      </c>
      <c r="E208" s="35" t="s">
        <v>10170</v>
      </c>
      <c r="F208" s="35" t="s">
        <v>10171</v>
      </c>
      <c r="G208" s="35"/>
      <c r="H208" s="35"/>
      <c r="I208" s="35" t="s">
        <v>10172</v>
      </c>
      <c r="J208" s="35" t="s">
        <v>10173</v>
      </c>
      <c r="K208" s="35" t="s">
        <v>193</v>
      </c>
      <c r="L208" s="35" t="s">
        <v>193</v>
      </c>
      <c r="M208" s="35" t="s">
        <v>544</v>
      </c>
      <c r="N208" s="35"/>
      <c r="O208" s="3"/>
    </row>
    <row r="209">
      <c r="A209" s="35" t="s">
        <v>10174</v>
      </c>
      <c r="B209" s="39">
        <v>46021.59248842593</v>
      </c>
      <c r="C209" s="35" t="s">
        <v>9496</v>
      </c>
      <c r="D209" s="40" t="s">
        <v>9489</v>
      </c>
      <c r="E209" s="35" t="s">
        <v>10175</v>
      </c>
      <c r="F209" s="35" t="s">
        <v>10176</v>
      </c>
      <c r="G209" s="35"/>
      <c r="H209" s="35"/>
      <c r="I209" s="35" t="s">
        <v>10177</v>
      </c>
      <c r="J209" s="35" t="s">
        <v>10178</v>
      </c>
      <c r="K209" s="35" t="s">
        <v>193</v>
      </c>
      <c r="L209" s="35" t="s">
        <v>193</v>
      </c>
      <c r="M209" s="35" t="s">
        <v>544</v>
      </c>
      <c r="N209" s="35"/>
      <c r="O209" s="3"/>
    </row>
    <row r="210">
      <c r="A210" s="35" t="s">
        <v>10179</v>
      </c>
      <c r="B210" s="39">
        <v>46021.385462962964</v>
      </c>
      <c r="C210" s="35" t="s">
        <v>9527</v>
      </c>
      <c r="D210" s="40" t="s">
        <v>9489</v>
      </c>
      <c r="E210" s="35" t="s">
        <v>10180</v>
      </c>
      <c r="F210" s="35" t="s">
        <v>10181</v>
      </c>
      <c r="G210" s="35"/>
      <c r="H210" s="35"/>
      <c r="I210" s="35" t="s">
        <v>10182</v>
      </c>
      <c r="J210" s="35" t="s">
        <v>10183</v>
      </c>
      <c r="K210" s="35" t="s">
        <v>125</v>
      </c>
      <c r="L210" s="35" t="s">
        <v>125</v>
      </c>
      <c r="M210" s="35" t="s">
        <v>126</v>
      </c>
      <c r="N210" s="35"/>
      <c r="O210" s="3"/>
    </row>
    <row r="211">
      <c r="A211" s="35" t="s">
        <v>10184</v>
      </c>
      <c r="B211" s="39">
        <v>46021.40699074074</v>
      </c>
      <c r="C211" s="35" t="s">
        <v>10159</v>
      </c>
      <c r="D211" s="40" t="s">
        <v>7100</v>
      </c>
      <c r="E211" s="35" t="s">
        <v>10185</v>
      </c>
      <c r="F211" s="40" t="s">
        <v>9489</v>
      </c>
      <c r="G211" s="35"/>
      <c r="H211" s="35"/>
      <c r="I211" s="35" t="s">
        <v>10186</v>
      </c>
      <c r="J211" s="35" t="s">
        <v>10187</v>
      </c>
      <c r="K211" s="35" t="s">
        <v>125</v>
      </c>
      <c r="L211" s="35" t="s">
        <v>125</v>
      </c>
      <c r="M211" s="35" t="s">
        <v>126</v>
      </c>
      <c r="N211" s="35"/>
      <c r="O211" s="3"/>
    </row>
    <row r="212">
      <c r="A212" s="35" t="s">
        <v>10188</v>
      </c>
      <c r="B212" s="39">
        <v>46014.406539351854</v>
      </c>
      <c r="C212" s="35" t="s">
        <v>10155</v>
      </c>
      <c r="D212" s="40" t="s">
        <v>7100</v>
      </c>
      <c r="E212" s="35" t="s">
        <v>9488</v>
      </c>
      <c r="F212" s="40" t="s">
        <v>9489</v>
      </c>
      <c r="G212" s="35"/>
      <c r="H212" s="35"/>
      <c r="I212" s="35" t="s">
        <v>10189</v>
      </c>
      <c r="J212" s="35" t="s">
        <v>10190</v>
      </c>
      <c r="K212" s="35" t="s">
        <v>125</v>
      </c>
      <c r="L212" s="35" t="s">
        <v>125</v>
      </c>
      <c r="M212" s="35" t="s">
        <v>126</v>
      </c>
      <c r="N212" s="35"/>
      <c r="O212" s="3"/>
    </row>
    <row r="213">
      <c r="A213" s="35" t="s">
        <v>10191</v>
      </c>
      <c r="B213" s="39">
        <v>46014.050416666665</v>
      </c>
      <c r="C213" s="35" t="s">
        <v>10155</v>
      </c>
      <c r="D213" s="40" t="s">
        <v>7100</v>
      </c>
      <c r="E213" s="35" t="s">
        <v>9488</v>
      </c>
      <c r="F213" s="40" t="s">
        <v>9489</v>
      </c>
      <c r="G213" s="35"/>
      <c r="H213" s="35"/>
      <c r="I213" s="35" t="s">
        <v>10192</v>
      </c>
      <c r="J213" s="35" t="s">
        <v>10157</v>
      </c>
      <c r="K213" s="35" t="s">
        <v>125</v>
      </c>
      <c r="L213" s="35" t="s">
        <v>125</v>
      </c>
      <c r="M213" s="35" t="s">
        <v>126</v>
      </c>
      <c r="N213" s="35"/>
      <c r="O213" s="3"/>
    </row>
    <row r="214">
      <c r="A214" s="35" t="s">
        <v>10193</v>
      </c>
      <c r="B214" s="39">
        <v>46013.63277777778</v>
      </c>
      <c r="C214" s="35" t="s">
        <v>10194</v>
      </c>
      <c r="D214" s="40" t="s">
        <v>7100</v>
      </c>
      <c r="E214" s="35" t="s">
        <v>9488</v>
      </c>
      <c r="F214" s="40" t="s">
        <v>9489</v>
      </c>
      <c r="G214" s="35"/>
      <c r="H214" s="35"/>
      <c r="I214" s="35" t="s">
        <v>10192</v>
      </c>
      <c r="J214" s="35" t="s">
        <v>10195</v>
      </c>
      <c r="K214" s="35" t="s">
        <v>125</v>
      </c>
      <c r="L214" s="35" t="s">
        <v>125</v>
      </c>
      <c r="M214" s="35" t="s">
        <v>126</v>
      </c>
      <c r="N214" s="35"/>
      <c r="O214" s="3"/>
    </row>
    <row r="215">
      <c r="A215" s="35" t="s">
        <v>10196</v>
      </c>
      <c r="B215" s="39">
        <v>46010.425520833334</v>
      </c>
      <c r="C215" s="35" t="s">
        <v>10197</v>
      </c>
      <c r="D215" s="40" t="s">
        <v>7101</v>
      </c>
      <c r="E215" s="35" t="s">
        <v>10198</v>
      </c>
      <c r="F215" s="35" t="s">
        <v>10171</v>
      </c>
      <c r="G215" s="35"/>
      <c r="H215" s="35"/>
      <c r="I215" s="35" t="s">
        <v>10199</v>
      </c>
      <c r="J215" s="35" t="s">
        <v>10200</v>
      </c>
      <c r="K215" s="35" t="s">
        <v>193</v>
      </c>
      <c r="L215" s="35" t="s">
        <v>193</v>
      </c>
      <c r="M215" s="35" t="s">
        <v>544</v>
      </c>
      <c r="N215" s="35"/>
      <c r="O215" s="3"/>
    </row>
    <row r="216">
      <c r="A216" s="35" t="s">
        <v>10201</v>
      </c>
      <c r="B216" s="39">
        <v>46009.311689814815</v>
      </c>
      <c r="C216" s="35" t="s">
        <v>10159</v>
      </c>
      <c r="D216" s="40" t="s">
        <v>7100</v>
      </c>
      <c r="E216" s="35" t="s">
        <v>9488</v>
      </c>
      <c r="F216" s="40" t="s">
        <v>9489</v>
      </c>
      <c r="G216" s="35"/>
      <c r="H216" s="35"/>
      <c r="I216" s="35" t="s">
        <v>10156</v>
      </c>
      <c r="J216" s="35" t="s">
        <v>10157</v>
      </c>
      <c r="K216" s="35" t="s">
        <v>125</v>
      </c>
      <c r="L216" s="35" t="s">
        <v>125</v>
      </c>
      <c r="M216" s="35" t="s">
        <v>126</v>
      </c>
      <c r="N216" s="35"/>
      <c r="O216" s="3"/>
    </row>
    <row r="217">
      <c r="A217" s="35" t="s">
        <v>10202</v>
      </c>
      <c r="B217" s="39">
        <v>46007.41121527778</v>
      </c>
      <c r="C217" s="35" t="s">
        <v>10159</v>
      </c>
      <c r="D217" s="40" t="s">
        <v>7100</v>
      </c>
      <c r="E217" s="35" t="s">
        <v>9488</v>
      </c>
      <c r="F217" s="40" t="s">
        <v>9489</v>
      </c>
      <c r="G217" s="35"/>
      <c r="H217" s="35"/>
      <c r="I217" s="35" t="s">
        <v>10192</v>
      </c>
      <c r="J217" s="35" t="s">
        <v>10157</v>
      </c>
      <c r="K217" s="35" t="s">
        <v>125</v>
      </c>
      <c r="L217" s="35" t="s">
        <v>125</v>
      </c>
      <c r="M217" s="35" t="s">
        <v>126</v>
      </c>
      <c r="N217" s="35"/>
      <c r="O217" s="3"/>
    </row>
    <row r="218">
      <c r="A218" s="35" t="s">
        <v>10203</v>
      </c>
      <c r="B218" s="39">
        <v>46007.4125</v>
      </c>
      <c r="C218" s="35" t="s">
        <v>10159</v>
      </c>
      <c r="D218" s="40" t="s">
        <v>7100</v>
      </c>
      <c r="E218" s="35" t="s">
        <v>9488</v>
      </c>
      <c r="F218" s="40" t="s">
        <v>9489</v>
      </c>
      <c r="G218" s="35"/>
      <c r="H218" s="35"/>
      <c r="I218" s="35" t="s">
        <v>10192</v>
      </c>
      <c r="J218" s="35" t="s">
        <v>10157</v>
      </c>
      <c r="K218" s="35" t="s">
        <v>125</v>
      </c>
      <c r="L218" s="35" t="s">
        <v>125</v>
      </c>
      <c r="M218" s="35" t="s">
        <v>126</v>
      </c>
      <c r="N218" s="35"/>
      <c r="O218" s="3"/>
    </row>
    <row r="219">
      <c r="A219" s="35" t="s">
        <v>10204</v>
      </c>
      <c r="B219" s="39">
        <v>46006.442777777775</v>
      </c>
      <c r="C219" s="35" t="s">
        <v>9488</v>
      </c>
      <c r="D219" s="40" t="s">
        <v>9489</v>
      </c>
      <c r="E219" s="35" t="s">
        <v>10205</v>
      </c>
      <c r="F219" s="35" t="s">
        <v>10206</v>
      </c>
      <c r="G219" s="35"/>
      <c r="H219" s="35"/>
      <c r="I219" s="35" t="s">
        <v>7167</v>
      </c>
      <c r="J219" s="35" t="s">
        <v>10207</v>
      </c>
      <c r="K219" s="35" t="s">
        <v>205</v>
      </c>
      <c r="L219" s="35" t="s">
        <v>205</v>
      </c>
      <c r="M219" s="35" t="s">
        <v>206</v>
      </c>
      <c r="N219" s="35"/>
      <c r="O219" s="3"/>
    </row>
    <row r="220">
      <c r="A220" s="35" t="s">
        <v>10208</v>
      </c>
      <c r="B220" s="39">
        <v>46002.59724537037</v>
      </c>
      <c r="C220" s="35" t="s">
        <v>10194</v>
      </c>
      <c r="D220" s="40" t="s">
        <v>7100</v>
      </c>
      <c r="E220" s="35" t="s">
        <v>9488</v>
      </c>
      <c r="F220" s="40" t="s">
        <v>9489</v>
      </c>
      <c r="G220" s="35"/>
      <c r="H220" s="35"/>
      <c r="I220" s="35" t="s">
        <v>10156</v>
      </c>
      <c r="J220" s="35" t="s">
        <v>10157</v>
      </c>
      <c r="K220" s="35" t="s">
        <v>125</v>
      </c>
      <c r="L220" s="35" t="s">
        <v>125</v>
      </c>
      <c r="M220" s="35" t="s">
        <v>126</v>
      </c>
      <c r="N220" s="35"/>
      <c r="O220" s="3"/>
    </row>
    <row r="221">
      <c r="A221" s="35" t="s">
        <v>10209</v>
      </c>
      <c r="B221" s="39">
        <v>46002.33528935185</v>
      </c>
      <c r="C221" s="35" t="s">
        <v>9496</v>
      </c>
      <c r="D221" s="40" t="s">
        <v>9489</v>
      </c>
      <c r="E221" s="35" t="s">
        <v>10210</v>
      </c>
      <c r="F221" s="35" t="s">
        <v>10211</v>
      </c>
      <c r="G221" s="35"/>
      <c r="H221" s="35"/>
      <c r="I221" s="35" t="s">
        <v>10212</v>
      </c>
      <c r="J221" s="35" t="s">
        <v>10213</v>
      </c>
      <c r="K221" s="35" t="s">
        <v>6752</v>
      </c>
      <c r="L221" s="35" t="s">
        <v>6752</v>
      </c>
      <c r="M221" s="35" t="s">
        <v>319</v>
      </c>
      <c r="N221" s="35"/>
      <c r="O221" s="3"/>
    </row>
    <row r="222">
      <c r="A222" s="35" t="s">
        <v>10214</v>
      </c>
      <c r="B222" s="39">
        <v>46002.331238425926</v>
      </c>
      <c r="C222" s="35" t="s">
        <v>9496</v>
      </c>
      <c r="D222" s="40" t="s">
        <v>9489</v>
      </c>
      <c r="E222" s="35" t="s">
        <v>10215</v>
      </c>
      <c r="F222" s="35" t="s">
        <v>10216</v>
      </c>
      <c r="G222" s="35"/>
      <c r="H222" s="35"/>
      <c r="I222" s="35" t="s">
        <v>10217</v>
      </c>
      <c r="J222" s="35" t="s">
        <v>10218</v>
      </c>
      <c r="K222" s="35" t="s">
        <v>6752</v>
      </c>
      <c r="L222" s="35" t="s">
        <v>6752</v>
      </c>
      <c r="M222" s="35" t="s">
        <v>319</v>
      </c>
      <c r="N222" s="35"/>
      <c r="O222" s="3"/>
    </row>
    <row r="223">
      <c r="A223" s="35" t="s">
        <v>10219</v>
      </c>
      <c r="B223" s="39">
        <v>45994.680625</v>
      </c>
      <c r="C223" s="35" t="s">
        <v>9597</v>
      </c>
      <c r="D223" s="40" t="s">
        <v>9489</v>
      </c>
      <c r="E223" s="35" t="s">
        <v>10159</v>
      </c>
      <c r="F223" s="40" t="s">
        <v>7100</v>
      </c>
      <c r="G223" s="35" t="s">
        <v>9675</v>
      </c>
      <c r="H223" s="40" t="s">
        <v>9489</v>
      </c>
      <c r="I223" s="35" t="s">
        <v>10220</v>
      </c>
      <c r="J223" s="35" t="s">
        <v>10221</v>
      </c>
      <c r="K223" s="35" t="s">
        <v>125</v>
      </c>
      <c r="L223" s="35" t="s">
        <v>125</v>
      </c>
      <c r="M223" s="35" t="s">
        <v>126</v>
      </c>
      <c r="N223" s="35"/>
      <c r="O223" s="3"/>
    </row>
    <row r="224">
      <c r="A224" s="35" t="s">
        <v>10222</v>
      </c>
      <c r="B224" s="39">
        <v>45986.08015046296</v>
      </c>
      <c r="C224" s="35" t="s">
        <v>9496</v>
      </c>
      <c r="D224" s="40" t="s">
        <v>9489</v>
      </c>
      <c r="E224" s="35" t="s">
        <v>10223</v>
      </c>
      <c r="F224" s="35" t="s">
        <v>10171</v>
      </c>
      <c r="G224" s="35"/>
      <c r="H224" s="35"/>
      <c r="I224" s="35" t="s">
        <v>10224</v>
      </c>
      <c r="J224" s="35" t="s">
        <v>10225</v>
      </c>
      <c r="K224" s="35" t="s">
        <v>193</v>
      </c>
      <c r="L224" s="35" t="s">
        <v>193</v>
      </c>
      <c r="M224" s="35" t="s">
        <v>544</v>
      </c>
      <c r="N224" s="35"/>
      <c r="O224" s="3"/>
    </row>
    <row r="225">
      <c r="A225" s="35" t="s">
        <v>10226</v>
      </c>
      <c r="B225" s="39">
        <v>45986.077418981484</v>
      </c>
      <c r="C225" s="35" t="s">
        <v>9496</v>
      </c>
      <c r="D225" s="40" t="s">
        <v>9489</v>
      </c>
      <c r="E225" s="35" t="s">
        <v>10227</v>
      </c>
      <c r="F225" s="35" t="s">
        <v>10206</v>
      </c>
      <c r="G225" s="35"/>
      <c r="H225" s="35"/>
      <c r="I225" s="35" t="s">
        <v>10228</v>
      </c>
      <c r="J225" s="35" t="s">
        <v>10229</v>
      </c>
      <c r="K225" s="35" t="s">
        <v>205</v>
      </c>
      <c r="L225" s="35" t="s">
        <v>205</v>
      </c>
      <c r="M225" s="35" t="s">
        <v>206</v>
      </c>
      <c r="N225" s="35"/>
      <c r="O225" s="3"/>
    </row>
    <row r="226">
      <c r="A226" s="35" t="s">
        <v>10230</v>
      </c>
      <c r="B226" s="39">
        <v>45986.07638888889</v>
      </c>
      <c r="C226" s="35" t="s">
        <v>9496</v>
      </c>
      <c r="D226" s="40" t="s">
        <v>9489</v>
      </c>
      <c r="E226" s="35" t="s">
        <v>10231</v>
      </c>
      <c r="F226" s="35" t="s">
        <v>10181</v>
      </c>
      <c r="G226" s="35"/>
      <c r="H226" s="35"/>
      <c r="I226" s="35" t="s">
        <v>10232</v>
      </c>
      <c r="J226" s="35" t="s">
        <v>10233</v>
      </c>
      <c r="K226" s="35" t="s">
        <v>125</v>
      </c>
      <c r="L226" s="35" t="s">
        <v>125</v>
      </c>
      <c r="M226" s="35" t="s">
        <v>126</v>
      </c>
      <c r="N226" s="35"/>
      <c r="O226" s="3"/>
    </row>
    <row r="227">
      <c r="A227" s="35" t="s">
        <v>10234</v>
      </c>
      <c r="B227" s="39">
        <v>45986.07591435185</v>
      </c>
      <c r="C227" s="35" t="s">
        <v>9496</v>
      </c>
      <c r="D227" s="40" t="s">
        <v>9489</v>
      </c>
      <c r="E227" s="35" t="s">
        <v>10210</v>
      </c>
      <c r="F227" s="35" t="s">
        <v>10211</v>
      </c>
      <c r="G227" s="35"/>
      <c r="H227" s="35"/>
      <c r="I227" s="35" t="s">
        <v>10235</v>
      </c>
      <c r="J227" s="35" t="s">
        <v>10236</v>
      </c>
      <c r="K227" s="35" t="s">
        <v>6752</v>
      </c>
      <c r="L227" s="35" t="s">
        <v>6752</v>
      </c>
      <c r="M227" s="35" t="s">
        <v>319</v>
      </c>
      <c r="N227" s="35"/>
      <c r="O227" s="3"/>
    </row>
    <row r="228">
      <c r="A228" s="35" t="s">
        <v>10237</v>
      </c>
      <c r="B228" s="39">
        <v>46040.63693287037</v>
      </c>
      <c r="C228" s="35" t="s">
        <v>10238</v>
      </c>
      <c r="D228" s="40" t="s">
        <v>7106</v>
      </c>
      <c r="E228" s="35" t="s">
        <v>9488</v>
      </c>
      <c r="F228" s="40" t="s">
        <v>9489</v>
      </c>
      <c r="G228" s="35"/>
      <c r="H228" s="35"/>
      <c r="I228" s="35" t="s">
        <v>10239</v>
      </c>
      <c r="J228" s="35" t="s">
        <v>10240</v>
      </c>
      <c r="K228" s="35" t="s">
        <v>122</v>
      </c>
      <c r="L228" s="35" t="s">
        <v>122</v>
      </c>
      <c r="M228" s="35" t="s">
        <v>123</v>
      </c>
      <c r="N228" s="35"/>
      <c r="O228" s="3"/>
    </row>
    <row r="229">
      <c r="A229" s="35" t="s">
        <v>10241</v>
      </c>
      <c r="B229" s="39">
        <v>46040.63244212963</v>
      </c>
      <c r="C229" s="35" t="s">
        <v>10242</v>
      </c>
      <c r="D229" s="40" t="s">
        <v>7106</v>
      </c>
      <c r="E229" s="35" t="s">
        <v>9488</v>
      </c>
      <c r="F229" s="40" t="s">
        <v>9489</v>
      </c>
      <c r="G229" s="35"/>
      <c r="H229" s="35"/>
      <c r="I229" s="35" t="s">
        <v>10239</v>
      </c>
      <c r="J229" s="35" t="s">
        <v>10243</v>
      </c>
      <c r="K229" s="35" t="s">
        <v>122</v>
      </c>
      <c r="L229" s="35" t="s">
        <v>122</v>
      </c>
      <c r="M229" s="35" t="s">
        <v>123</v>
      </c>
      <c r="N229" s="35"/>
      <c r="O229" s="3"/>
    </row>
    <row r="230">
      <c r="A230" s="35" t="s">
        <v>10244</v>
      </c>
      <c r="B230" s="39">
        <v>46040.62703703703</v>
      </c>
      <c r="C230" s="35" t="s">
        <v>10245</v>
      </c>
      <c r="D230" s="40" t="s">
        <v>7106</v>
      </c>
      <c r="E230" s="35" t="s">
        <v>9488</v>
      </c>
      <c r="F230" s="40" t="s">
        <v>9489</v>
      </c>
      <c r="G230" s="35"/>
      <c r="H230" s="35"/>
      <c r="I230" s="35" t="s">
        <v>10239</v>
      </c>
      <c r="J230" s="35" t="s">
        <v>10243</v>
      </c>
      <c r="K230" s="35" t="s">
        <v>122</v>
      </c>
      <c r="L230" s="35" t="s">
        <v>122</v>
      </c>
      <c r="M230" s="35" t="s">
        <v>123</v>
      </c>
      <c r="N230" s="35"/>
      <c r="O230" s="3"/>
    </row>
    <row r="231">
      <c r="A231" s="35" t="s">
        <v>10246</v>
      </c>
      <c r="B231" s="39">
        <v>46040.589791666665</v>
      </c>
      <c r="C231" s="35" t="s">
        <v>10247</v>
      </c>
      <c r="D231" s="40" t="s">
        <v>7106</v>
      </c>
      <c r="E231" s="35" t="s">
        <v>9488</v>
      </c>
      <c r="F231" s="40" t="s">
        <v>9489</v>
      </c>
      <c r="G231" s="35"/>
      <c r="H231" s="35"/>
      <c r="I231" s="35" t="s">
        <v>10239</v>
      </c>
      <c r="J231" s="35" t="s">
        <v>10243</v>
      </c>
      <c r="K231" s="35" t="s">
        <v>122</v>
      </c>
      <c r="L231" s="35" t="s">
        <v>122</v>
      </c>
      <c r="M231" s="35" t="s">
        <v>123</v>
      </c>
      <c r="N231" s="35"/>
      <c r="O231" s="3"/>
    </row>
    <row r="232">
      <c r="A232" s="35" t="s">
        <v>10248</v>
      </c>
      <c r="B232" s="39">
        <v>46038.60422453703</v>
      </c>
      <c r="C232" s="35" t="s">
        <v>9556</v>
      </c>
      <c r="D232" s="40" t="s">
        <v>9489</v>
      </c>
      <c r="E232" s="35" t="s">
        <v>10249</v>
      </c>
      <c r="F232" s="40" t="s">
        <v>10250</v>
      </c>
      <c r="G232" s="35" t="s">
        <v>9488</v>
      </c>
      <c r="H232" s="40" t="s">
        <v>9489</v>
      </c>
      <c r="I232" s="35" t="s">
        <v>10251</v>
      </c>
      <c r="J232" s="35" t="s">
        <v>10252</v>
      </c>
      <c r="K232" s="35" t="s">
        <v>107</v>
      </c>
      <c r="L232" s="35" t="s">
        <v>107</v>
      </c>
      <c r="M232" s="35" t="s">
        <v>242</v>
      </c>
      <c r="N232" s="35"/>
      <c r="O232" s="3"/>
    </row>
    <row r="233">
      <c r="A233" s="35" t="s">
        <v>10253</v>
      </c>
      <c r="B233" s="39">
        <v>46042.6078125</v>
      </c>
      <c r="C233" s="35" t="s">
        <v>9556</v>
      </c>
      <c r="D233" s="40" t="s">
        <v>9489</v>
      </c>
      <c r="E233" s="35" t="s">
        <v>10249</v>
      </c>
      <c r="F233" s="40" t="s">
        <v>10250</v>
      </c>
      <c r="G233" s="35" t="s">
        <v>9488</v>
      </c>
      <c r="H233" s="40" t="s">
        <v>9489</v>
      </c>
      <c r="I233" s="35" t="s">
        <v>10254</v>
      </c>
      <c r="J233" s="35" t="s">
        <v>10255</v>
      </c>
      <c r="K233" s="35" t="s">
        <v>107</v>
      </c>
      <c r="L233" s="35" t="s">
        <v>107</v>
      </c>
      <c r="M233" s="35" t="s">
        <v>242</v>
      </c>
      <c r="N233" s="35"/>
      <c r="O233" s="3"/>
    </row>
    <row r="234">
      <c r="A234" s="35" t="s">
        <v>10256</v>
      </c>
      <c r="B234" s="39">
        <v>46042.6175462963</v>
      </c>
      <c r="C234" s="35" t="s">
        <v>10257</v>
      </c>
      <c r="D234" s="40" t="s">
        <v>10250</v>
      </c>
      <c r="E234" s="35" t="s">
        <v>9556</v>
      </c>
      <c r="F234" s="40" t="s">
        <v>9489</v>
      </c>
      <c r="G234" s="35" t="s">
        <v>9488</v>
      </c>
      <c r="H234" s="40" t="s">
        <v>9489</v>
      </c>
      <c r="I234" s="35" t="s">
        <v>10254</v>
      </c>
      <c r="J234" s="35" t="s">
        <v>10258</v>
      </c>
      <c r="K234" s="35" t="s">
        <v>107</v>
      </c>
      <c r="L234" s="35" t="s">
        <v>107</v>
      </c>
      <c r="M234" s="35" t="s">
        <v>242</v>
      </c>
      <c r="N234" s="35"/>
      <c r="O234" s="3"/>
    </row>
    <row r="235">
      <c r="A235" s="35" t="s">
        <v>10259</v>
      </c>
      <c r="B235" s="39">
        <v>46042.62391203704</v>
      </c>
      <c r="C235" s="35" t="s">
        <v>9556</v>
      </c>
      <c r="D235" s="40" t="s">
        <v>9489</v>
      </c>
      <c r="E235" s="35" t="s">
        <v>10257</v>
      </c>
      <c r="F235" s="40" t="s">
        <v>10250</v>
      </c>
      <c r="G235" s="35" t="s">
        <v>9488</v>
      </c>
      <c r="H235" s="40" t="s">
        <v>9489</v>
      </c>
      <c r="I235" s="35" t="s">
        <v>10254</v>
      </c>
      <c r="J235" s="35" t="s">
        <v>10260</v>
      </c>
      <c r="K235" s="35" t="s">
        <v>107</v>
      </c>
      <c r="L235" s="35" t="s">
        <v>107</v>
      </c>
      <c r="M235" s="35" t="s">
        <v>242</v>
      </c>
      <c r="N235" s="35"/>
      <c r="O235" s="3"/>
    </row>
    <row r="236">
      <c r="A236" s="35" t="s">
        <v>10261</v>
      </c>
      <c r="B236" s="39">
        <v>46038.48762731481</v>
      </c>
      <c r="C236" s="35" t="s">
        <v>9488</v>
      </c>
      <c r="D236" s="40" t="s">
        <v>9489</v>
      </c>
      <c r="E236" s="35" t="s">
        <v>10262</v>
      </c>
      <c r="F236" s="40" t="s">
        <v>7106</v>
      </c>
      <c r="G236" s="35" t="s">
        <v>9496</v>
      </c>
      <c r="H236" s="40" t="s">
        <v>9489</v>
      </c>
      <c r="I236" s="35" t="s">
        <v>10263</v>
      </c>
      <c r="J236" s="35" t="s">
        <v>10264</v>
      </c>
      <c r="K236" s="35" t="s">
        <v>122</v>
      </c>
      <c r="L236" s="35" t="s">
        <v>122</v>
      </c>
      <c r="M236" s="35" t="s">
        <v>123</v>
      </c>
      <c r="N236" s="35"/>
      <c r="O236" s="3"/>
    </row>
    <row r="237">
      <c r="A237" s="35" t="s">
        <v>10265</v>
      </c>
      <c r="B237" s="39">
        <v>46037.649618055555</v>
      </c>
      <c r="C237" s="35" t="s">
        <v>10247</v>
      </c>
      <c r="D237" s="40" t="s">
        <v>7106</v>
      </c>
      <c r="E237" s="35" t="s">
        <v>9488</v>
      </c>
      <c r="F237" s="40" t="s">
        <v>9489</v>
      </c>
      <c r="G237" s="35" t="s">
        <v>9496</v>
      </c>
      <c r="H237" s="40" t="s">
        <v>9489</v>
      </c>
      <c r="I237" s="35" t="s">
        <v>10266</v>
      </c>
      <c r="J237" s="35" t="s">
        <v>10267</v>
      </c>
      <c r="K237" s="35" t="s">
        <v>122</v>
      </c>
      <c r="L237" s="35" t="s">
        <v>122</v>
      </c>
      <c r="M237" s="35" t="s">
        <v>123</v>
      </c>
      <c r="N237" s="35"/>
      <c r="O237" s="3"/>
    </row>
    <row r="238">
      <c r="A238" s="35" t="s">
        <v>10268</v>
      </c>
      <c r="B238" s="39">
        <v>46035.43984953704</v>
      </c>
      <c r="C238" s="35" t="s">
        <v>10269</v>
      </c>
      <c r="D238" s="40" t="s">
        <v>7105</v>
      </c>
      <c r="E238" s="35" t="s">
        <v>7288</v>
      </c>
      <c r="F238" s="40" t="s">
        <v>9489</v>
      </c>
      <c r="G238" s="35"/>
      <c r="H238" s="35"/>
      <c r="I238" s="35" t="s">
        <v>10270</v>
      </c>
      <c r="J238" s="35" t="s">
        <v>10271</v>
      </c>
      <c r="K238" s="35" t="s">
        <v>128</v>
      </c>
      <c r="L238" s="35" t="s">
        <v>128</v>
      </c>
      <c r="M238" s="35" t="s">
        <v>301</v>
      </c>
      <c r="N238" s="35"/>
      <c r="O238" s="3"/>
    </row>
    <row r="239">
      <c r="A239" s="35" t="s">
        <v>10272</v>
      </c>
      <c r="B239" s="39">
        <v>46035.35815972222</v>
      </c>
      <c r="C239" s="35" t="s">
        <v>10273</v>
      </c>
      <c r="D239" s="40" t="s">
        <v>7105</v>
      </c>
      <c r="E239" s="35" t="s">
        <v>7288</v>
      </c>
      <c r="F239" s="40" t="s">
        <v>9489</v>
      </c>
      <c r="G239" s="35"/>
      <c r="H239" s="35"/>
      <c r="I239" s="35" t="s">
        <v>10274</v>
      </c>
      <c r="J239" s="35" t="s">
        <v>10275</v>
      </c>
      <c r="K239" s="35" t="s">
        <v>128</v>
      </c>
      <c r="L239" s="35" t="s">
        <v>128</v>
      </c>
      <c r="M239" s="35" t="s">
        <v>301</v>
      </c>
      <c r="N239" s="35"/>
      <c r="O239" s="3"/>
    </row>
    <row r="240">
      <c r="A240" s="35" t="s">
        <v>10276</v>
      </c>
      <c r="B240" s="39">
        <v>46031.59649305556</v>
      </c>
      <c r="C240" s="35" t="s">
        <v>10273</v>
      </c>
      <c r="D240" s="40" t="s">
        <v>7105</v>
      </c>
      <c r="E240" s="35" t="s">
        <v>9488</v>
      </c>
      <c r="F240" s="40" t="s">
        <v>9489</v>
      </c>
      <c r="G240" s="35"/>
      <c r="H240" s="35"/>
      <c r="I240" s="35" t="s">
        <v>10277</v>
      </c>
      <c r="J240" s="35" t="s">
        <v>10278</v>
      </c>
      <c r="K240" s="35" t="s">
        <v>128</v>
      </c>
      <c r="L240" s="35" t="s">
        <v>128</v>
      </c>
      <c r="M240" s="35" t="s">
        <v>301</v>
      </c>
      <c r="N240" s="35"/>
      <c r="O240" s="3"/>
    </row>
    <row r="241">
      <c r="A241" s="35" t="s">
        <v>10279</v>
      </c>
      <c r="B241" s="39">
        <v>46034.58503472222</v>
      </c>
      <c r="C241" s="35" t="s">
        <v>10280</v>
      </c>
      <c r="D241" s="40" t="s">
        <v>9489</v>
      </c>
      <c r="E241" s="35" t="s">
        <v>10281</v>
      </c>
      <c r="F241" s="35" t="s">
        <v>10282</v>
      </c>
      <c r="G241" s="35"/>
      <c r="H241" s="35"/>
      <c r="I241" s="35" t="s">
        <v>10283</v>
      </c>
      <c r="J241" s="35" t="s">
        <v>10284</v>
      </c>
      <c r="K241" s="35" t="s">
        <v>128</v>
      </c>
      <c r="L241" s="35" t="s">
        <v>128</v>
      </c>
      <c r="M241" s="35" t="s">
        <v>301</v>
      </c>
      <c r="N241" s="35"/>
      <c r="O241" s="3"/>
    </row>
    <row r="242">
      <c r="A242" s="35" t="s">
        <v>10285</v>
      </c>
      <c r="B242" s="39">
        <v>46035.35949074074</v>
      </c>
      <c r="C242" s="35" t="s">
        <v>10273</v>
      </c>
      <c r="D242" s="40" t="s">
        <v>7105</v>
      </c>
      <c r="E242" s="35" t="s">
        <v>10280</v>
      </c>
      <c r="F242" s="40" t="s">
        <v>9489</v>
      </c>
      <c r="G242" s="35" t="s">
        <v>10286</v>
      </c>
      <c r="H242" s="35" t="s">
        <v>10282</v>
      </c>
      <c r="I242" s="35" t="s">
        <v>10283</v>
      </c>
      <c r="J242" s="35" t="s">
        <v>10287</v>
      </c>
      <c r="K242" s="35" t="s">
        <v>128</v>
      </c>
      <c r="L242" s="35" t="s">
        <v>128</v>
      </c>
      <c r="M242" s="35" t="s">
        <v>301</v>
      </c>
      <c r="N242" s="35"/>
      <c r="O242" s="3"/>
    </row>
    <row r="243">
      <c r="A243" s="35" t="s">
        <v>10288</v>
      </c>
      <c r="B243" s="39">
        <v>46035.45979166667</v>
      </c>
      <c r="C243" s="35" t="s">
        <v>10280</v>
      </c>
      <c r="D243" s="40" t="s">
        <v>9489</v>
      </c>
      <c r="E243" s="35" t="s">
        <v>10273</v>
      </c>
      <c r="F243" s="40" t="s">
        <v>7105</v>
      </c>
      <c r="G243" s="35" t="s">
        <v>10286</v>
      </c>
      <c r="H243" s="35" t="s">
        <v>10282</v>
      </c>
      <c r="I243" s="35" t="s">
        <v>10283</v>
      </c>
      <c r="J243" s="35" t="s">
        <v>10289</v>
      </c>
      <c r="K243" s="35" t="s">
        <v>128</v>
      </c>
      <c r="L243" s="35" t="s">
        <v>128</v>
      </c>
      <c r="M243" s="35" t="s">
        <v>301</v>
      </c>
      <c r="N243" s="35"/>
      <c r="O243" s="3"/>
    </row>
    <row r="244">
      <c r="A244" s="35" t="s">
        <v>10290</v>
      </c>
      <c r="B244" s="39">
        <v>46035.52039351852</v>
      </c>
      <c r="C244" s="35" t="s">
        <v>10273</v>
      </c>
      <c r="D244" s="40" t="s">
        <v>7105</v>
      </c>
      <c r="E244" s="35" t="s">
        <v>10280</v>
      </c>
      <c r="F244" s="40" t="s">
        <v>9489</v>
      </c>
      <c r="G244" s="35" t="s">
        <v>10286</v>
      </c>
      <c r="H244" s="35" t="s">
        <v>10282</v>
      </c>
      <c r="I244" s="35" t="s">
        <v>10283</v>
      </c>
      <c r="J244" s="35" t="s">
        <v>10291</v>
      </c>
      <c r="K244" s="35" t="s">
        <v>128</v>
      </c>
      <c r="L244" s="35" t="s">
        <v>128</v>
      </c>
      <c r="M244" s="35" t="s">
        <v>301</v>
      </c>
      <c r="N244" s="35"/>
      <c r="O244" s="3"/>
    </row>
    <row r="245">
      <c r="A245" s="35" t="s">
        <v>10292</v>
      </c>
      <c r="B245" s="39">
        <v>46035.5811574074</v>
      </c>
      <c r="C245" s="35" t="s">
        <v>10293</v>
      </c>
      <c r="D245" s="40" t="s">
        <v>7105</v>
      </c>
      <c r="E245" s="35" t="s">
        <v>10273</v>
      </c>
      <c r="F245" s="40" t="s">
        <v>7105</v>
      </c>
      <c r="G245" s="35" t="s">
        <v>10294</v>
      </c>
      <c r="H245" s="40" t="s">
        <v>9489</v>
      </c>
      <c r="I245" s="35" t="s">
        <v>10283</v>
      </c>
      <c r="J245" s="35" t="s">
        <v>10295</v>
      </c>
      <c r="K245" s="35" t="s">
        <v>128</v>
      </c>
      <c r="L245" s="35" t="s">
        <v>128</v>
      </c>
      <c r="M245" s="35" t="s">
        <v>301</v>
      </c>
      <c r="N245" s="35"/>
      <c r="O245" s="3"/>
    </row>
    <row r="246">
      <c r="A246" s="35" t="s">
        <v>10296</v>
      </c>
      <c r="B246" s="39">
        <v>46035.58215277777</v>
      </c>
      <c r="C246" s="35" t="s">
        <v>10280</v>
      </c>
      <c r="D246" s="40" t="s">
        <v>9489</v>
      </c>
      <c r="E246" s="35" t="s">
        <v>10293</v>
      </c>
      <c r="F246" s="40" t="s">
        <v>7105</v>
      </c>
      <c r="G246" s="35" t="s">
        <v>10297</v>
      </c>
      <c r="H246" s="35" t="s">
        <v>10298</v>
      </c>
      <c r="I246" s="35" t="s">
        <v>10283</v>
      </c>
      <c r="J246" s="35" t="s">
        <v>10299</v>
      </c>
      <c r="K246" s="35" t="s">
        <v>128</v>
      </c>
      <c r="L246" s="35" t="s">
        <v>128</v>
      </c>
      <c r="M246" s="35" t="s">
        <v>301</v>
      </c>
      <c r="N246" s="35"/>
      <c r="O246" s="3"/>
    </row>
    <row r="247">
      <c r="A247" s="35" t="s">
        <v>10300</v>
      </c>
      <c r="B247" s="39">
        <v>46037.67957175926</v>
      </c>
      <c r="C247" s="35" t="s">
        <v>10273</v>
      </c>
      <c r="D247" s="40" t="s">
        <v>7105</v>
      </c>
      <c r="E247" s="35" t="s">
        <v>10280</v>
      </c>
      <c r="F247" s="40" t="s">
        <v>9489</v>
      </c>
      <c r="G247" s="35" t="s">
        <v>10301</v>
      </c>
      <c r="H247" s="35" t="s">
        <v>10298</v>
      </c>
      <c r="I247" s="35" t="s">
        <v>10283</v>
      </c>
      <c r="J247" s="35" t="s">
        <v>10302</v>
      </c>
      <c r="K247" s="35" t="s">
        <v>128</v>
      </c>
      <c r="L247" s="35" t="s">
        <v>128</v>
      </c>
      <c r="M247" s="35" t="s">
        <v>301</v>
      </c>
      <c r="N247" s="35"/>
      <c r="O247" s="3"/>
    </row>
    <row r="248">
      <c r="A248" s="35" t="s">
        <v>10303</v>
      </c>
      <c r="B248" s="39">
        <v>46038.37489583333</v>
      </c>
      <c r="C248" s="35" t="s">
        <v>10280</v>
      </c>
      <c r="D248" s="40" t="s">
        <v>9489</v>
      </c>
      <c r="E248" s="35" t="s">
        <v>10273</v>
      </c>
      <c r="F248" s="40" t="s">
        <v>7105</v>
      </c>
      <c r="G248" s="35" t="s">
        <v>10301</v>
      </c>
      <c r="H248" s="35" t="s">
        <v>10298</v>
      </c>
      <c r="I248" s="35" t="s">
        <v>10283</v>
      </c>
      <c r="J248" s="35" t="s">
        <v>10304</v>
      </c>
      <c r="K248" s="35" t="s">
        <v>128</v>
      </c>
      <c r="L248" s="35" t="s">
        <v>128</v>
      </c>
      <c r="M248" s="35" t="s">
        <v>301</v>
      </c>
      <c r="N248" s="35"/>
      <c r="O248" s="3"/>
    </row>
    <row r="249">
      <c r="A249" s="35" t="s">
        <v>10305</v>
      </c>
      <c r="B249" s="39">
        <v>46031.579317129625</v>
      </c>
      <c r="C249" s="35" t="s">
        <v>10273</v>
      </c>
      <c r="D249" s="40" t="s">
        <v>7105</v>
      </c>
      <c r="E249" s="35" t="s">
        <v>10306</v>
      </c>
      <c r="F249" s="35" t="s">
        <v>10282</v>
      </c>
      <c r="G249" s="35"/>
      <c r="H249" s="35"/>
      <c r="I249" s="35" t="s">
        <v>10307</v>
      </c>
      <c r="J249" s="35" t="s">
        <v>10308</v>
      </c>
      <c r="K249" s="35" t="s">
        <v>128</v>
      </c>
      <c r="L249" s="35" t="s">
        <v>128</v>
      </c>
      <c r="M249" s="35" t="s">
        <v>301</v>
      </c>
      <c r="N249" s="35"/>
      <c r="O249" s="3"/>
    </row>
    <row r="250">
      <c r="A250" s="35" t="s">
        <v>10309</v>
      </c>
      <c r="B250" s="39">
        <v>46031.59799768518</v>
      </c>
      <c r="C250" s="35" t="s">
        <v>9488</v>
      </c>
      <c r="D250" s="40" t="s">
        <v>9489</v>
      </c>
      <c r="E250" s="35" t="s">
        <v>10273</v>
      </c>
      <c r="F250" s="40" t="s">
        <v>7105</v>
      </c>
      <c r="G250" s="35" t="s">
        <v>10310</v>
      </c>
      <c r="H250" s="40" t="s">
        <v>7105</v>
      </c>
      <c r="I250" s="35" t="s">
        <v>10311</v>
      </c>
      <c r="J250" s="35" t="s">
        <v>10312</v>
      </c>
      <c r="K250" s="35" t="s">
        <v>128</v>
      </c>
      <c r="L250" s="35" t="s">
        <v>128</v>
      </c>
      <c r="M250" s="35" t="s">
        <v>301</v>
      </c>
      <c r="N250" s="35"/>
      <c r="O250" s="3"/>
    </row>
    <row r="251">
      <c r="A251" s="35" t="s">
        <v>10313</v>
      </c>
      <c r="B251" s="39">
        <v>46034.45824074074</v>
      </c>
      <c r="C251" s="35" t="s">
        <v>10310</v>
      </c>
      <c r="D251" s="40" t="s">
        <v>7105</v>
      </c>
      <c r="E251" s="35" t="s">
        <v>9488</v>
      </c>
      <c r="F251" s="40" t="s">
        <v>9489</v>
      </c>
      <c r="G251" s="35" t="s">
        <v>10273</v>
      </c>
      <c r="H251" s="40" t="s">
        <v>7105</v>
      </c>
      <c r="I251" s="35" t="s">
        <v>10311</v>
      </c>
      <c r="J251" s="35" t="s">
        <v>10314</v>
      </c>
      <c r="K251" s="35" t="s">
        <v>128</v>
      </c>
      <c r="L251" s="35" t="s">
        <v>128</v>
      </c>
      <c r="M251" s="35" t="s">
        <v>301</v>
      </c>
      <c r="N251" s="35"/>
      <c r="O251" s="3"/>
    </row>
    <row r="252">
      <c r="A252" s="35" t="s">
        <v>10315</v>
      </c>
      <c r="B252" s="39">
        <v>46034.63700231482</v>
      </c>
      <c r="C252" s="35" t="s">
        <v>9488</v>
      </c>
      <c r="D252" s="40" t="s">
        <v>9489</v>
      </c>
      <c r="E252" s="35" t="s">
        <v>10310</v>
      </c>
      <c r="F252" s="40" t="s">
        <v>7105</v>
      </c>
      <c r="G252" s="35" t="s">
        <v>10273</v>
      </c>
      <c r="H252" s="40" t="s">
        <v>7105</v>
      </c>
      <c r="I252" s="35" t="s">
        <v>10311</v>
      </c>
      <c r="J252" s="35" t="s">
        <v>10316</v>
      </c>
      <c r="K252" s="35" t="s">
        <v>128</v>
      </c>
      <c r="L252" s="35" t="s">
        <v>128</v>
      </c>
      <c r="M252" s="35" t="s">
        <v>301</v>
      </c>
      <c r="N252" s="35"/>
      <c r="O252" s="3"/>
    </row>
    <row r="253">
      <c r="A253" s="35" t="s">
        <v>10317</v>
      </c>
      <c r="B253" s="39">
        <v>46030.44388888888</v>
      </c>
      <c r="C253" s="35" t="s">
        <v>10273</v>
      </c>
      <c r="D253" s="40" t="s">
        <v>7105</v>
      </c>
      <c r="E253" s="35" t="s">
        <v>10318</v>
      </c>
      <c r="F253" s="35" t="s">
        <v>10282</v>
      </c>
      <c r="G253" s="35"/>
      <c r="H253" s="35"/>
      <c r="I253" s="35" t="s">
        <v>10319</v>
      </c>
      <c r="J253" s="35" t="s">
        <v>10320</v>
      </c>
      <c r="K253" s="35" t="s">
        <v>128</v>
      </c>
      <c r="L253" s="35" t="s">
        <v>128</v>
      </c>
      <c r="M253" s="35" t="s">
        <v>301</v>
      </c>
      <c r="N253" s="35"/>
      <c r="O253" s="3"/>
    </row>
    <row r="254">
      <c r="A254" s="35" t="s">
        <v>10321</v>
      </c>
      <c r="B254" s="39">
        <v>46028.656180555554</v>
      </c>
      <c r="C254" s="35" t="s">
        <v>10245</v>
      </c>
      <c r="D254" s="40" t="s">
        <v>7106</v>
      </c>
      <c r="E254" s="35" t="s">
        <v>9488</v>
      </c>
      <c r="F254" s="40" t="s">
        <v>9489</v>
      </c>
      <c r="G254" s="35"/>
      <c r="H254" s="35"/>
      <c r="I254" s="35" t="s">
        <v>10322</v>
      </c>
      <c r="J254" s="35" t="s">
        <v>10243</v>
      </c>
      <c r="K254" s="35" t="s">
        <v>122</v>
      </c>
      <c r="L254" s="35" t="s">
        <v>122</v>
      </c>
      <c r="M254" s="35" t="s">
        <v>123</v>
      </c>
      <c r="N254" s="35"/>
      <c r="O254" s="3"/>
    </row>
    <row r="255">
      <c r="A255" s="35" t="s">
        <v>10323</v>
      </c>
      <c r="B255" s="39">
        <v>46027.44952546296</v>
      </c>
      <c r="C255" s="35" t="s">
        <v>10238</v>
      </c>
      <c r="D255" s="40" t="s">
        <v>7106</v>
      </c>
      <c r="E255" s="35" t="s">
        <v>9488</v>
      </c>
      <c r="F255" s="40" t="s">
        <v>9489</v>
      </c>
      <c r="G255" s="35"/>
      <c r="H255" s="35"/>
      <c r="I255" s="35" t="s">
        <v>10324</v>
      </c>
      <c r="J255" s="35" t="s">
        <v>10325</v>
      </c>
      <c r="K255" s="35" t="s">
        <v>122</v>
      </c>
      <c r="L255" s="35" t="s">
        <v>122</v>
      </c>
      <c r="M255" s="35" t="s">
        <v>123</v>
      </c>
      <c r="N255" s="35"/>
      <c r="O255" s="3"/>
    </row>
    <row r="256">
      <c r="A256" s="35" t="s">
        <v>10326</v>
      </c>
      <c r="B256" s="39">
        <v>46022.38552083333</v>
      </c>
      <c r="C256" s="35" t="s">
        <v>9527</v>
      </c>
      <c r="D256" s="40" t="s">
        <v>9489</v>
      </c>
      <c r="E256" s="35" t="s">
        <v>10327</v>
      </c>
      <c r="F256" s="35" t="s">
        <v>10282</v>
      </c>
      <c r="G256" s="35"/>
      <c r="H256" s="35"/>
      <c r="I256" s="35" t="s">
        <v>10328</v>
      </c>
      <c r="J256" s="35" t="s">
        <v>10329</v>
      </c>
      <c r="K256" s="35" t="s">
        <v>128</v>
      </c>
      <c r="L256" s="35" t="s">
        <v>128</v>
      </c>
      <c r="M256" s="35" t="s">
        <v>301</v>
      </c>
      <c r="N256" s="35"/>
      <c r="O256" s="3"/>
    </row>
    <row r="257">
      <c r="A257" s="35" t="s">
        <v>10330</v>
      </c>
      <c r="B257" s="39">
        <v>46034.56349537037</v>
      </c>
      <c r="C257" s="35" t="s">
        <v>10293</v>
      </c>
      <c r="D257" s="40" t="s">
        <v>7105</v>
      </c>
      <c r="E257" s="35" t="s">
        <v>10331</v>
      </c>
      <c r="F257" s="35" t="s">
        <v>10282</v>
      </c>
      <c r="G257" s="35" t="s">
        <v>10332</v>
      </c>
      <c r="H257" s="40" t="s">
        <v>9489</v>
      </c>
      <c r="I257" s="35" t="s">
        <v>10333</v>
      </c>
      <c r="J257" s="35" t="s">
        <v>10334</v>
      </c>
      <c r="K257" s="35" t="s">
        <v>128</v>
      </c>
      <c r="L257" s="35" t="s">
        <v>128</v>
      </c>
      <c r="M257" s="35" t="s">
        <v>301</v>
      </c>
      <c r="N257" s="35"/>
      <c r="O257" s="3"/>
    </row>
    <row r="258">
      <c r="A258" s="35" t="s">
        <v>10335</v>
      </c>
      <c r="B258" s="39">
        <v>46021.385462962964</v>
      </c>
      <c r="C258" s="35" t="s">
        <v>9527</v>
      </c>
      <c r="D258" s="40" t="s">
        <v>9489</v>
      </c>
      <c r="E258" s="35" t="s">
        <v>10336</v>
      </c>
      <c r="F258" s="35" t="s">
        <v>10337</v>
      </c>
      <c r="G258" s="35"/>
      <c r="H258" s="35"/>
      <c r="I258" s="35" t="s">
        <v>10338</v>
      </c>
      <c r="J258" s="35" t="s">
        <v>10339</v>
      </c>
      <c r="K258" s="35" t="s">
        <v>107</v>
      </c>
      <c r="L258" s="35" t="s">
        <v>107</v>
      </c>
      <c r="M258" s="35" t="s">
        <v>242</v>
      </c>
      <c r="N258" s="35"/>
      <c r="O258" s="3"/>
    </row>
    <row r="259">
      <c r="A259" s="35" t="s">
        <v>10340</v>
      </c>
      <c r="B259" s="39">
        <v>46008.586006944446</v>
      </c>
      <c r="C259" s="35" t="s">
        <v>9556</v>
      </c>
      <c r="D259" s="40" t="s">
        <v>9489</v>
      </c>
      <c r="E259" s="35" t="s">
        <v>10341</v>
      </c>
      <c r="F259" s="40" t="s">
        <v>10342</v>
      </c>
      <c r="G259" s="35" t="s">
        <v>9534</v>
      </c>
      <c r="H259" s="40" t="s">
        <v>9489</v>
      </c>
      <c r="I259" s="35" t="s">
        <v>10343</v>
      </c>
      <c r="J259" s="35" t="s">
        <v>10344</v>
      </c>
      <c r="K259" s="35" t="s">
        <v>107</v>
      </c>
      <c r="L259" s="35" t="s">
        <v>107</v>
      </c>
      <c r="M259" s="35" t="s">
        <v>242</v>
      </c>
      <c r="N259" s="35"/>
      <c r="O259" s="3"/>
    </row>
    <row r="260">
      <c r="A260" s="35" t="s">
        <v>10345</v>
      </c>
      <c r="B260" s="39">
        <v>46008.592557870375</v>
      </c>
      <c r="C260" s="35" t="s">
        <v>10341</v>
      </c>
      <c r="D260" s="40" t="s">
        <v>10342</v>
      </c>
      <c r="E260" s="35" t="s">
        <v>9556</v>
      </c>
      <c r="F260" s="40" t="s">
        <v>9489</v>
      </c>
      <c r="G260" s="35" t="s">
        <v>9534</v>
      </c>
      <c r="H260" s="40" t="s">
        <v>9489</v>
      </c>
      <c r="I260" s="35" t="s">
        <v>10346</v>
      </c>
      <c r="J260" s="35" t="s">
        <v>10347</v>
      </c>
      <c r="K260" s="35" t="s">
        <v>107</v>
      </c>
      <c r="L260" s="35" t="s">
        <v>107</v>
      </c>
      <c r="M260" s="35" t="s">
        <v>242</v>
      </c>
      <c r="N260" s="35"/>
      <c r="O260" s="3"/>
    </row>
    <row r="261">
      <c r="A261" s="35" t="s">
        <v>10348</v>
      </c>
      <c r="B261" s="39">
        <v>46008.59732638889</v>
      </c>
      <c r="C261" s="35" t="s">
        <v>9556</v>
      </c>
      <c r="D261" s="40" t="s">
        <v>9489</v>
      </c>
      <c r="E261" s="35" t="s">
        <v>10341</v>
      </c>
      <c r="F261" s="40" t="s">
        <v>10342</v>
      </c>
      <c r="G261" s="35" t="s">
        <v>9534</v>
      </c>
      <c r="H261" s="40" t="s">
        <v>9489</v>
      </c>
      <c r="I261" s="35" t="s">
        <v>10349</v>
      </c>
      <c r="J261" s="35" t="s">
        <v>10350</v>
      </c>
      <c r="K261" s="35" t="s">
        <v>107</v>
      </c>
      <c r="L261" s="35" t="s">
        <v>107</v>
      </c>
      <c r="M261" s="35" t="s">
        <v>242</v>
      </c>
      <c r="N261" s="35"/>
      <c r="O261" s="3"/>
    </row>
    <row r="262">
      <c r="A262" s="35" t="s">
        <v>10351</v>
      </c>
      <c r="B262" s="39">
        <v>46003.293495370366</v>
      </c>
      <c r="C262" s="35" t="s">
        <v>9488</v>
      </c>
      <c r="D262" s="40" t="s">
        <v>9489</v>
      </c>
      <c r="E262" s="35" t="s">
        <v>7583</v>
      </c>
      <c r="F262" s="40" t="s">
        <v>7105</v>
      </c>
      <c r="G262" s="35"/>
      <c r="H262" s="35"/>
      <c r="I262" s="35" t="s">
        <v>10352</v>
      </c>
      <c r="J262" s="35" t="s">
        <v>10353</v>
      </c>
      <c r="K262" s="35" t="s">
        <v>128</v>
      </c>
      <c r="L262" s="35" t="s">
        <v>128</v>
      </c>
      <c r="M262" s="35" t="s">
        <v>301</v>
      </c>
      <c r="N262" s="35"/>
      <c r="O262" s="3"/>
    </row>
    <row r="263">
      <c r="A263" s="35" t="s">
        <v>10354</v>
      </c>
      <c r="B263" s="39">
        <v>46002.58962962963</v>
      </c>
      <c r="C263" s="35" t="s">
        <v>10273</v>
      </c>
      <c r="D263" s="40" t="s">
        <v>7105</v>
      </c>
      <c r="E263" s="35" t="s">
        <v>9675</v>
      </c>
      <c r="F263" s="40" t="s">
        <v>9489</v>
      </c>
      <c r="G263" s="35"/>
      <c r="H263" s="35"/>
      <c r="I263" s="35" t="s">
        <v>10355</v>
      </c>
      <c r="J263" s="35" t="s">
        <v>10356</v>
      </c>
      <c r="K263" s="35" t="s">
        <v>128</v>
      </c>
      <c r="L263" s="35" t="s">
        <v>128</v>
      </c>
      <c r="M263" s="35" t="s">
        <v>301</v>
      </c>
      <c r="N263" s="35"/>
      <c r="O263" s="3"/>
    </row>
    <row r="264">
      <c r="A264" s="35" t="s">
        <v>10357</v>
      </c>
      <c r="B264" s="39">
        <v>46002.58273148148</v>
      </c>
      <c r="C264" s="35" t="s">
        <v>10273</v>
      </c>
      <c r="D264" s="40" t="s">
        <v>7105</v>
      </c>
      <c r="E264" s="35" t="s">
        <v>10358</v>
      </c>
      <c r="F264" s="35" t="s">
        <v>10282</v>
      </c>
      <c r="G264" s="35"/>
      <c r="H264" s="35"/>
      <c r="I264" s="35" t="s">
        <v>10359</v>
      </c>
      <c r="J264" s="35" t="s">
        <v>10360</v>
      </c>
      <c r="K264" s="35" t="s">
        <v>128</v>
      </c>
      <c r="L264" s="35" t="s">
        <v>128</v>
      </c>
      <c r="M264" s="35" t="s">
        <v>301</v>
      </c>
      <c r="N264" s="35"/>
      <c r="O264" s="3"/>
    </row>
    <row r="265">
      <c r="A265" s="35" t="s">
        <v>10361</v>
      </c>
      <c r="B265" s="39">
        <v>46002.62435185185</v>
      </c>
      <c r="C265" s="35" t="s">
        <v>9488</v>
      </c>
      <c r="D265" s="40" t="s">
        <v>9489</v>
      </c>
      <c r="E265" s="35" t="s">
        <v>10273</v>
      </c>
      <c r="F265" s="40" t="s">
        <v>7105</v>
      </c>
      <c r="G265" s="35" t="s">
        <v>9496</v>
      </c>
      <c r="H265" s="40" t="s">
        <v>9489</v>
      </c>
      <c r="I265" s="35" t="s">
        <v>10362</v>
      </c>
      <c r="J265" s="35" t="s">
        <v>10363</v>
      </c>
      <c r="K265" s="35" t="s">
        <v>128</v>
      </c>
      <c r="L265" s="35" t="s">
        <v>128</v>
      </c>
      <c r="M265" s="35" t="s">
        <v>301</v>
      </c>
      <c r="N265" s="35"/>
      <c r="O265" s="3"/>
    </row>
    <row r="266">
      <c r="A266" s="35" t="s">
        <v>10364</v>
      </c>
      <c r="B266" s="39">
        <v>46003.293171296296</v>
      </c>
      <c r="C266" s="35" t="s">
        <v>10273</v>
      </c>
      <c r="D266" s="40" t="s">
        <v>7105</v>
      </c>
      <c r="E266" s="35" t="s">
        <v>9488</v>
      </c>
      <c r="F266" s="40" t="s">
        <v>9489</v>
      </c>
      <c r="G266" s="35" t="s">
        <v>9496</v>
      </c>
      <c r="H266" s="40" t="s">
        <v>9489</v>
      </c>
      <c r="I266" s="35" t="s">
        <v>10362</v>
      </c>
      <c r="J266" s="35" t="s">
        <v>10365</v>
      </c>
      <c r="K266" s="35" t="s">
        <v>128</v>
      </c>
      <c r="L266" s="35" t="s">
        <v>128</v>
      </c>
      <c r="M266" s="35" t="s">
        <v>301</v>
      </c>
      <c r="N266" s="35"/>
      <c r="O266" s="3"/>
    </row>
    <row r="267">
      <c r="A267" s="35" t="s">
        <v>10366</v>
      </c>
      <c r="B267" s="39">
        <v>46006.42563657407</v>
      </c>
      <c r="C267" s="35" t="s">
        <v>9488</v>
      </c>
      <c r="D267" s="40" t="s">
        <v>9489</v>
      </c>
      <c r="E267" s="35" t="s">
        <v>10273</v>
      </c>
      <c r="F267" s="40" t="s">
        <v>7105</v>
      </c>
      <c r="G267" s="35" t="s">
        <v>9496</v>
      </c>
      <c r="H267" s="40" t="s">
        <v>9489</v>
      </c>
      <c r="I267" s="35" t="s">
        <v>10362</v>
      </c>
      <c r="J267" s="35" t="s">
        <v>10367</v>
      </c>
      <c r="K267" s="35" t="s">
        <v>128</v>
      </c>
      <c r="L267" s="35" t="s">
        <v>128</v>
      </c>
      <c r="M267" s="35" t="s">
        <v>301</v>
      </c>
      <c r="N267" s="35"/>
      <c r="O267" s="3"/>
    </row>
    <row r="268">
      <c r="A268" s="35" t="s">
        <v>10368</v>
      </c>
      <c r="B268" s="39">
        <v>46009.28775462963</v>
      </c>
      <c r="C268" s="35" t="s">
        <v>10273</v>
      </c>
      <c r="D268" s="40" t="s">
        <v>7105</v>
      </c>
      <c r="E268" s="35" t="s">
        <v>9488</v>
      </c>
      <c r="F268" s="40" t="s">
        <v>9489</v>
      </c>
      <c r="G268" s="35" t="s">
        <v>9496</v>
      </c>
      <c r="H268" s="40" t="s">
        <v>9489</v>
      </c>
      <c r="I268" s="35" t="s">
        <v>10362</v>
      </c>
      <c r="J268" s="35" t="s">
        <v>10369</v>
      </c>
      <c r="K268" s="35" t="s">
        <v>128</v>
      </c>
      <c r="L268" s="35" t="s">
        <v>128</v>
      </c>
      <c r="M268" s="35" t="s">
        <v>301</v>
      </c>
      <c r="N268" s="35"/>
      <c r="O268" s="3"/>
    </row>
    <row r="269">
      <c r="A269" s="35" t="s">
        <v>10370</v>
      </c>
      <c r="B269" s="39">
        <v>46010.48898148148</v>
      </c>
      <c r="C269" s="35" t="s">
        <v>9488</v>
      </c>
      <c r="D269" s="40" t="s">
        <v>9489</v>
      </c>
      <c r="E269" s="35" t="s">
        <v>10273</v>
      </c>
      <c r="F269" s="40" t="s">
        <v>7105</v>
      </c>
      <c r="G269" s="35" t="s">
        <v>9496</v>
      </c>
      <c r="H269" s="40" t="s">
        <v>9489</v>
      </c>
      <c r="I269" s="35" t="s">
        <v>10362</v>
      </c>
      <c r="J269" s="35" t="s">
        <v>10371</v>
      </c>
      <c r="K269" s="35" t="s">
        <v>128</v>
      </c>
      <c r="L269" s="35" t="s">
        <v>128</v>
      </c>
      <c r="M269" s="35" t="s">
        <v>301</v>
      </c>
      <c r="N269" s="35"/>
      <c r="O269" s="3"/>
    </row>
    <row r="270">
      <c r="A270" s="35" t="s">
        <v>10372</v>
      </c>
      <c r="B270" s="39">
        <v>46010.520104166666</v>
      </c>
      <c r="C270" s="35" t="s">
        <v>10273</v>
      </c>
      <c r="D270" s="40" t="s">
        <v>7105</v>
      </c>
      <c r="E270" s="35" t="s">
        <v>9488</v>
      </c>
      <c r="F270" s="40" t="s">
        <v>9489</v>
      </c>
      <c r="G270" s="35" t="s">
        <v>9496</v>
      </c>
      <c r="H270" s="40" t="s">
        <v>9489</v>
      </c>
      <c r="I270" s="35" t="s">
        <v>10362</v>
      </c>
      <c r="J270" s="35" t="s">
        <v>10373</v>
      </c>
      <c r="K270" s="35" t="s">
        <v>128</v>
      </c>
      <c r="L270" s="35" t="s">
        <v>128</v>
      </c>
      <c r="M270" s="35" t="s">
        <v>301</v>
      </c>
      <c r="N270" s="35"/>
      <c r="O270" s="3"/>
    </row>
    <row r="271">
      <c r="A271" s="35" t="s">
        <v>10374</v>
      </c>
      <c r="B271" s="39">
        <v>46010.55403935185</v>
      </c>
      <c r="C271" s="35" t="s">
        <v>9488</v>
      </c>
      <c r="D271" s="40" t="s">
        <v>9489</v>
      </c>
      <c r="E271" s="35" t="s">
        <v>10273</v>
      </c>
      <c r="F271" s="40" t="s">
        <v>7105</v>
      </c>
      <c r="G271" s="35" t="s">
        <v>9496</v>
      </c>
      <c r="H271" s="40" t="s">
        <v>9489</v>
      </c>
      <c r="I271" s="35" t="s">
        <v>10362</v>
      </c>
      <c r="J271" s="35" t="s">
        <v>10375</v>
      </c>
      <c r="K271" s="35" t="s">
        <v>128</v>
      </c>
      <c r="L271" s="35" t="s">
        <v>128</v>
      </c>
      <c r="M271" s="35" t="s">
        <v>301</v>
      </c>
      <c r="N271" s="35"/>
      <c r="O271" s="3"/>
    </row>
    <row r="272">
      <c r="A272" s="35" t="s">
        <v>10376</v>
      </c>
      <c r="B272" s="39">
        <v>46010.59298611111</v>
      </c>
      <c r="C272" s="35" t="s">
        <v>10273</v>
      </c>
      <c r="D272" s="40" t="s">
        <v>7105</v>
      </c>
      <c r="E272" s="35" t="s">
        <v>9488</v>
      </c>
      <c r="F272" s="40" t="s">
        <v>9489</v>
      </c>
      <c r="G272" s="35"/>
      <c r="H272" s="35"/>
      <c r="I272" s="35" t="s">
        <v>10362</v>
      </c>
      <c r="J272" s="35" t="s">
        <v>10377</v>
      </c>
      <c r="K272" s="35" t="s">
        <v>128</v>
      </c>
      <c r="L272" s="35" t="s">
        <v>128</v>
      </c>
      <c r="M272" s="35" t="s">
        <v>301</v>
      </c>
      <c r="N272" s="35"/>
      <c r="O272" s="3"/>
    </row>
    <row r="273">
      <c r="A273" s="35" t="s">
        <v>10378</v>
      </c>
      <c r="B273" s="39">
        <v>46010.59532407408</v>
      </c>
      <c r="C273" s="35" t="s">
        <v>9488</v>
      </c>
      <c r="D273" s="40" t="s">
        <v>9489</v>
      </c>
      <c r="E273" s="35" t="s">
        <v>10273</v>
      </c>
      <c r="F273" s="40" t="s">
        <v>7105</v>
      </c>
      <c r="G273" s="35"/>
      <c r="H273" s="35"/>
      <c r="I273" s="35" t="s">
        <v>10362</v>
      </c>
      <c r="J273" s="35" t="s">
        <v>10379</v>
      </c>
      <c r="K273" s="35" t="s">
        <v>128</v>
      </c>
      <c r="L273" s="35" t="s">
        <v>128</v>
      </c>
      <c r="M273" s="35" t="s">
        <v>301</v>
      </c>
      <c r="N273" s="35"/>
      <c r="O273" s="3"/>
    </row>
    <row r="274">
      <c r="A274" s="35" t="s">
        <v>10380</v>
      </c>
      <c r="B274" s="39">
        <v>46013.30403935185</v>
      </c>
      <c r="C274" s="35" t="s">
        <v>10273</v>
      </c>
      <c r="D274" s="40" t="s">
        <v>7105</v>
      </c>
      <c r="E274" s="35" t="s">
        <v>9488</v>
      </c>
      <c r="F274" s="40" t="s">
        <v>9489</v>
      </c>
      <c r="G274" s="35"/>
      <c r="H274" s="35"/>
      <c r="I274" s="35" t="s">
        <v>10362</v>
      </c>
      <c r="J274" s="35" t="s">
        <v>10381</v>
      </c>
      <c r="K274" s="35" t="s">
        <v>128</v>
      </c>
      <c r="L274" s="35" t="s">
        <v>128</v>
      </c>
      <c r="M274" s="35" t="s">
        <v>301</v>
      </c>
      <c r="N274" s="35"/>
      <c r="O274" s="3"/>
    </row>
    <row r="275">
      <c r="A275" s="35" t="s">
        <v>10382</v>
      </c>
      <c r="B275" s="39">
        <v>46013.42847222222</v>
      </c>
      <c r="C275" s="35" t="s">
        <v>9488</v>
      </c>
      <c r="D275" s="40" t="s">
        <v>9489</v>
      </c>
      <c r="E275" s="35" t="s">
        <v>10383</v>
      </c>
      <c r="F275" s="35" t="s">
        <v>10298</v>
      </c>
      <c r="G275" s="35"/>
      <c r="H275" s="35"/>
      <c r="I275" s="35" t="s">
        <v>10362</v>
      </c>
      <c r="J275" s="35" t="s">
        <v>10384</v>
      </c>
      <c r="K275" s="35" t="s">
        <v>128</v>
      </c>
      <c r="L275" s="35" t="s">
        <v>128</v>
      </c>
      <c r="M275" s="35" t="s">
        <v>301</v>
      </c>
      <c r="N275" s="35"/>
      <c r="O275" s="3"/>
    </row>
    <row r="276">
      <c r="A276" s="35" t="s">
        <v>10385</v>
      </c>
      <c r="B276" s="39">
        <v>46013.510879629626</v>
      </c>
      <c r="C276" s="35" t="s">
        <v>10273</v>
      </c>
      <c r="D276" s="40" t="s">
        <v>7105</v>
      </c>
      <c r="E276" s="35" t="s">
        <v>9488</v>
      </c>
      <c r="F276" s="40" t="s">
        <v>9489</v>
      </c>
      <c r="G276" s="35" t="s">
        <v>9496</v>
      </c>
      <c r="H276" s="40" t="s">
        <v>9489</v>
      </c>
      <c r="I276" s="35" t="s">
        <v>10362</v>
      </c>
      <c r="J276" s="35" t="s">
        <v>10386</v>
      </c>
      <c r="K276" s="35" t="s">
        <v>128</v>
      </c>
      <c r="L276" s="35" t="s">
        <v>128</v>
      </c>
      <c r="M276" s="35" t="s">
        <v>301</v>
      </c>
      <c r="N276" s="35"/>
      <c r="O276" s="3"/>
    </row>
    <row r="277">
      <c r="A277" s="35" t="s">
        <v>10387</v>
      </c>
      <c r="B277" s="39">
        <v>46014.29232638889</v>
      </c>
      <c r="C277" s="35" t="s">
        <v>10273</v>
      </c>
      <c r="D277" s="40" t="s">
        <v>7105</v>
      </c>
      <c r="E277" s="35" t="s">
        <v>9488</v>
      </c>
      <c r="F277" s="40" t="s">
        <v>9489</v>
      </c>
      <c r="G277" s="35" t="s">
        <v>9496</v>
      </c>
      <c r="H277" s="40" t="s">
        <v>9489</v>
      </c>
      <c r="I277" s="35" t="s">
        <v>10362</v>
      </c>
      <c r="J277" s="35" t="s">
        <v>10388</v>
      </c>
      <c r="K277" s="35" t="s">
        <v>128</v>
      </c>
      <c r="L277" s="35" t="s">
        <v>128</v>
      </c>
      <c r="M277" s="35" t="s">
        <v>301</v>
      </c>
      <c r="N277" s="35"/>
      <c r="O277" s="3"/>
    </row>
    <row r="278">
      <c r="A278" s="35" t="s">
        <v>10389</v>
      </c>
      <c r="B278" s="39">
        <v>46028.509305555555</v>
      </c>
      <c r="C278" s="35" t="s">
        <v>10273</v>
      </c>
      <c r="D278" s="40" t="s">
        <v>7105</v>
      </c>
      <c r="E278" s="35" t="s">
        <v>9488</v>
      </c>
      <c r="F278" s="40" t="s">
        <v>9489</v>
      </c>
      <c r="G278" s="35" t="s">
        <v>9496</v>
      </c>
      <c r="H278" s="40" t="s">
        <v>9489</v>
      </c>
      <c r="I278" s="35" t="s">
        <v>10362</v>
      </c>
      <c r="J278" s="35" t="s">
        <v>10390</v>
      </c>
      <c r="K278" s="35" t="s">
        <v>128</v>
      </c>
      <c r="L278" s="35" t="s">
        <v>128</v>
      </c>
      <c r="M278" s="35" t="s">
        <v>301</v>
      </c>
      <c r="N278" s="35"/>
      <c r="O278" s="3"/>
    </row>
    <row r="279">
      <c r="A279" s="35" t="s">
        <v>10391</v>
      </c>
      <c r="B279" s="39">
        <v>46028.610625</v>
      </c>
      <c r="C279" s="35" t="s">
        <v>9488</v>
      </c>
      <c r="D279" s="40" t="s">
        <v>9489</v>
      </c>
      <c r="E279" s="35" t="s">
        <v>10273</v>
      </c>
      <c r="F279" s="40" t="s">
        <v>7105</v>
      </c>
      <c r="G279" s="35" t="s">
        <v>9496</v>
      </c>
      <c r="H279" s="40" t="s">
        <v>9489</v>
      </c>
      <c r="I279" s="35" t="s">
        <v>10362</v>
      </c>
      <c r="J279" s="35" t="s">
        <v>10392</v>
      </c>
      <c r="K279" s="35" t="s">
        <v>128</v>
      </c>
      <c r="L279" s="35" t="s">
        <v>128</v>
      </c>
      <c r="M279" s="35" t="s">
        <v>301</v>
      </c>
      <c r="N279" s="35"/>
      <c r="O279" s="3"/>
    </row>
    <row r="280">
      <c r="A280" s="35" t="s">
        <v>10393</v>
      </c>
      <c r="B280" s="39">
        <v>46029.292604166665</v>
      </c>
      <c r="C280" s="35" t="s">
        <v>10273</v>
      </c>
      <c r="D280" s="40" t="s">
        <v>7105</v>
      </c>
      <c r="E280" s="35" t="s">
        <v>9488</v>
      </c>
      <c r="F280" s="40" t="s">
        <v>9489</v>
      </c>
      <c r="G280" s="35" t="s">
        <v>9496</v>
      </c>
      <c r="H280" s="40" t="s">
        <v>9489</v>
      </c>
      <c r="I280" s="35" t="s">
        <v>10362</v>
      </c>
      <c r="J280" s="35" t="s">
        <v>10394</v>
      </c>
      <c r="K280" s="35" t="s">
        <v>128</v>
      </c>
      <c r="L280" s="35" t="s">
        <v>128</v>
      </c>
      <c r="M280" s="35" t="s">
        <v>301</v>
      </c>
      <c r="N280" s="35"/>
      <c r="O280" s="3"/>
    </row>
    <row r="281">
      <c r="A281" s="35" t="s">
        <v>10395</v>
      </c>
      <c r="B281" s="39">
        <v>46002.38266203704</v>
      </c>
      <c r="C281" s="35" t="s">
        <v>9496</v>
      </c>
      <c r="D281" s="40" t="s">
        <v>9489</v>
      </c>
      <c r="E281" s="35" t="s">
        <v>10297</v>
      </c>
      <c r="F281" s="35" t="s">
        <v>10298</v>
      </c>
      <c r="G281" s="35"/>
      <c r="H281" s="35"/>
      <c r="I281" s="35" t="s">
        <v>10396</v>
      </c>
      <c r="J281" s="35" t="s">
        <v>10397</v>
      </c>
      <c r="K281" s="35" t="s">
        <v>128</v>
      </c>
      <c r="L281" s="35" t="s">
        <v>128</v>
      </c>
      <c r="M281" s="35" t="s">
        <v>301</v>
      </c>
      <c r="N281" s="35"/>
      <c r="O281" s="3"/>
    </row>
    <row r="282">
      <c r="A282" s="35" t="s">
        <v>10398</v>
      </c>
      <c r="B282" s="39">
        <v>46002.39587962963</v>
      </c>
      <c r="C282" s="35" t="s">
        <v>10273</v>
      </c>
      <c r="D282" s="40" t="s">
        <v>7105</v>
      </c>
      <c r="E282" s="35" t="s">
        <v>9496</v>
      </c>
      <c r="F282" s="40" t="s">
        <v>9489</v>
      </c>
      <c r="G282" s="35" t="s">
        <v>9488</v>
      </c>
      <c r="H282" s="40" t="s">
        <v>9489</v>
      </c>
      <c r="I282" s="35" t="s">
        <v>10399</v>
      </c>
      <c r="J282" s="35" t="s">
        <v>10400</v>
      </c>
      <c r="K282" s="35" t="s">
        <v>128</v>
      </c>
      <c r="L282" s="35" t="s">
        <v>128</v>
      </c>
      <c r="M282" s="35" t="s">
        <v>301</v>
      </c>
      <c r="N282" s="35"/>
      <c r="O282" s="3"/>
    </row>
    <row r="283">
      <c r="A283" s="35" t="s">
        <v>10401</v>
      </c>
      <c r="B283" s="39">
        <v>46001.85606481481</v>
      </c>
      <c r="C283" s="35" t="s">
        <v>10242</v>
      </c>
      <c r="D283" s="40" t="s">
        <v>7106</v>
      </c>
      <c r="E283" s="35" t="s">
        <v>9488</v>
      </c>
      <c r="F283" s="40" t="s">
        <v>9489</v>
      </c>
      <c r="G283" s="35"/>
      <c r="H283" s="35"/>
      <c r="I283" s="35" t="s">
        <v>10402</v>
      </c>
      <c r="J283" s="35" t="s">
        <v>10243</v>
      </c>
      <c r="K283" s="35" t="s">
        <v>122</v>
      </c>
      <c r="L283" s="35" t="s">
        <v>122</v>
      </c>
      <c r="M283" s="35" t="s">
        <v>123</v>
      </c>
      <c r="N283" s="35"/>
      <c r="O283" s="3"/>
    </row>
    <row r="284">
      <c r="A284" s="35" t="s">
        <v>10403</v>
      </c>
      <c r="B284" s="39">
        <v>46001.771319444444</v>
      </c>
      <c r="C284" s="35" t="s">
        <v>10238</v>
      </c>
      <c r="D284" s="40" t="s">
        <v>7106</v>
      </c>
      <c r="E284" s="35" t="s">
        <v>9488</v>
      </c>
      <c r="F284" s="40" t="s">
        <v>9489</v>
      </c>
      <c r="G284" s="35"/>
      <c r="H284" s="35"/>
      <c r="I284" s="35" t="s">
        <v>10402</v>
      </c>
      <c r="J284" s="35" t="s">
        <v>10240</v>
      </c>
      <c r="K284" s="35" t="s">
        <v>122</v>
      </c>
      <c r="L284" s="35" t="s">
        <v>122</v>
      </c>
      <c r="M284" s="35" t="s">
        <v>123</v>
      </c>
      <c r="N284" s="35"/>
      <c r="O284" s="3"/>
    </row>
    <row r="285">
      <c r="A285" s="35" t="s">
        <v>10404</v>
      </c>
      <c r="B285" s="39">
        <v>46001.76866898148</v>
      </c>
      <c r="C285" s="35" t="s">
        <v>10247</v>
      </c>
      <c r="D285" s="40" t="s">
        <v>7106</v>
      </c>
      <c r="E285" s="35" t="s">
        <v>9488</v>
      </c>
      <c r="F285" s="40" t="s">
        <v>9489</v>
      </c>
      <c r="G285" s="35"/>
      <c r="H285" s="35"/>
      <c r="I285" s="35" t="s">
        <v>10405</v>
      </c>
      <c r="J285" s="35" t="s">
        <v>10243</v>
      </c>
      <c r="K285" s="35" t="s">
        <v>122</v>
      </c>
      <c r="L285" s="35" t="s">
        <v>122</v>
      </c>
      <c r="M285" s="35" t="s">
        <v>123</v>
      </c>
      <c r="N285" s="35"/>
      <c r="O285" s="3"/>
    </row>
    <row r="286">
      <c r="A286" s="35" t="s">
        <v>10406</v>
      </c>
      <c r="B286" s="39">
        <v>46001.630578703705</v>
      </c>
      <c r="C286" s="35" t="s">
        <v>9488</v>
      </c>
      <c r="D286" s="40" t="s">
        <v>9489</v>
      </c>
      <c r="E286" s="35" t="s">
        <v>10407</v>
      </c>
      <c r="F286" s="35" t="s">
        <v>10408</v>
      </c>
      <c r="G286" s="35"/>
      <c r="H286" s="35"/>
      <c r="I286" s="35" t="s">
        <v>10409</v>
      </c>
      <c r="J286" s="35" t="s">
        <v>10410</v>
      </c>
      <c r="K286" s="35" t="s">
        <v>122</v>
      </c>
      <c r="L286" s="35" t="s">
        <v>122</v>
      </c>
      <c r="M286" s="35" t="s">
        <v>123</v>
      </c>
      <c r="N286" s="35"/>
      <c r="O286" s="3"/>
    </row>
    <row r="287">
      <c r="A287" s="35" t="s">
        <v>10411</v>
      </c>
      <c r="B287" s="39">
        <v>46001.6053125</v>
      </c>
      <c r="C287" s="35" t="s">
        <v>9496</v>
      </c>
      <c r="D287" s="40" t="s">
        <v>9489</v>
      </c>
      <c r="E287" s="35" t="s">
        <v>10412</v>
      </c>
      <c r="F287" s="35" t="s">
        <v>9828</v>
      </c>
      <c r="G287" s="35"/>
      <c r="H287" s="35"/>
      <c r="I287" s="35" t="s">
        <v>10413</v>
      </c>
      <c r="J287" s="35" t="s">
        <v>10414</v>
      </c>
      <c r="K287" s="35" t="s">
        <v>122</v>
      </c>
      <c r="L287" s="35" t="s">
        <v>122</v>
      </c>
      <c r="M287" s="35" t="s">
        <v>123</v>
      </c>
      <c r="N287" s="35"/>
      <c r="O287" s="3"/>
    </row>
    <row r="288">
      <c r="A288" s="35" t="s">
        <v>10415</v>
      </c>
      <c r="B288" s="39">
        <v>46001.56252314815</v>
      </c>
      <c r="C288" s="35" t="s">
        <v>9814</v>
      </c>
      <c r="D288" s="40" t="s">
        <v>9815</v>
      </c>
      <c r="E288" s="35" t="s">
        <v>9826</v>
      </c>
      <c r="F288" s="40" t="s">
        <v>7106</v>
      </c>
      <c r="G288" s="35" t="s">
        <v>8030</v>
      </c>
      <c r="H288" s="40" t="s">
        <v>9489</v>
      </c>
      <c r="I288" s="35" t="s">
        <v>9817</v>
      </c>
      <c r="J288" s="35" t="s">
        <v>9818</v>
      </c>
      <c r="K288" s="35" t="s">
        <v>122</v>
      </c>
      <c r="L288" s="35" t="s">
        <v>122</v>
      </c>
      <c r="M288" s="35" t="s">
        <v>123</v>
      </c>
      <c r="N288" s="35"/>
      <c r="O288" s="3"/>
    </row>
    <row r="289">
      <c r="A289" s="35" t="s">
        <v>10416</v>
      </c>
      <c r="B289" s="39">
        <v>46000.43298611111</v>
      </c>
      <c r="C289" s="35" t="s">
        <v>9556</v>
      </c>
      <c r="D289" s="40" t="s">
        <v>9489</v>
      </c>
      <c r="E289" s="35" t="s">
        <v>10417</v>
      </c>
      <c r="F289" s="35" t="s">
        <v>10418</v>
      </c>
      <c r="G289" s="35"/>
      <c r="H289" s="35"/>
      <c r="I289" s="35" t="s">
        <v>10419</v>
      </c>
      <c r="J289" s="35" t="s">
        <v>10420</v>
      </c>
      <c r="K289" s="35" t="s">
        <v>107</v>
      </c>
      <c r="L289" s="35" t="s">
        <v>107</v>
      </c>
      <c r="M289" s="35" t="s">
        <v>242</v>
      </c>
      <c r="N289" s="35"/>
      <c r="O289" s="3"/>
    </row>
    <row r="290">
      <c r="A290" s="35" t="s">
        <v>10421</v>
      </c>
      <c r="B290" s="39">
        <v>45987.12195601852</v>
      </c>
      <c r="C290" s="35" t="s">
        <v>9496</v>
      </c>
      <c r="D290" s="40" t="s">
        <v>9489</v>
      </c>
      <c r="E290" s="35" t="s">
        <v>10412</v>
      </c>
      <c r="F290" s="35" t="s">
        <v>9828</v>
      </c>
      <c r="G290" s="35"/>
      <c r="H290" s="35"/>
      <c r="I290" s="35" t="s">
        <v>10422</v>
      </c>
      <c r="J290" s="35" t="s">
        <v>10423</v>
      </c>
      <c r="K290" s="35" t="s">
        <v>122</v>
      </c>
      <c r="L290" s="35" t="s">
        <v>122</v>
      </c>
      <c r="M290" s="35" t="s">
        <v>123</v>
      </c>
      <c r="N290" s="35"/>
      <c r="O290" s="3"/>
    </row>
    <row r="291">
      <c r="A291" s="35" t="s">
        <v>10424</v>
      </c>
      <c r="B291" s="39">
        <v>45987.12168981481</v>
      </c>
      <c r="C291" s="35" t="s">
        <v>9496</v>
      </c>
      <c r="D291" s="40" t="s">
        <v>9489</v>
      </c>
      <c r="E291" s="35" t="s">
        <v>10412</v>
      </c>
      <c r="F291" s="35" t="s">
        <v>9828</v>
      </c>
      <c r="G291" s="35"/>
      <c r="H291" s="35"/>
      <c r="I291" s="35" t="s">
        <v>10425</v>
      </c>
      <c r="J291" s="35" t="s">
        <v>10426</v>
      </c>
      <c r="K291" s="35" t="s">
        <v>122</v>
      </c>
      <c r="L291" s="35" t="s">
        <v>122</v>
      </c>
      <c r="M291" s="35" t="s">
        <v>123</v>
      </c>
      <c r="N291" s="35"/>
      <c r="O291" s="3"/>
    </row>
    <row r="292">
      <c r="A292" s="35" t="s">
        <v>10427</v>
      </c>
      <c r="B292" s="39">
        <v>45986.43712962963</v>
      </c>
      <c r="C292" s="35" t="s">
        <v>9496</v>
      </c>
      <c r="D292" s="40" t="s">
        <v>9489</v>
      </c>
      <c r="E292" s="35" t="s">
        <v>10412</v>
      </c>
      <c r="F292" s="35" t="s">
        <v>9828</v>
      </c>
      <c r="G292" s="35"/>
      <c r="H292" s="35"/>
      <c r="I292" s="35" t="s">
        <v>10428</v>
      </c>
      <c r="J292" s="35" t="s">
        <v>10429</v>
      </c>
      <c r="K292" s="35" t="s">
        <v>122</v>
      </c>
      <c r="L292" s="35" t="s">
        <v>122</v>
      </c>
      <c r="M292" s="35" t="s">
        <v>123</v>
      </c>
      <c r="N292" s="35"/>
      <c r="O292" s="3"/>
    </row>
    <row r="293">
      <c r="A293" s="35" t="s">
        <v>10430</v>
      </c>
      <c r="B293" s="39">
        <v>45986.13108796296</v>
      </c>
      <c r="C293" s="35" t="s">
        <v>9496</v>
      </c>
      <c r="D293" s="40" t="s">
        <v>9489</v>
      </c>
      <c r="E293" s="35" t="s">
        <v>10431</v>
      </c>
      <c r="F293" s="35" t="s">
        <v>10408</v>
      </c>
      <c r="G293" s="35"/>
      <c r="H293" s="35"/>
      <c r="I293" s="35" t="s">
        <v>10432</v>
      </c>
      <c r="J293" s="35" t="s">
        <v>10433</v>
      </c>
      <c r="K293" s="35" t="s">
        <v>122</v>
      </c>
      <c r="L293" s="35" t="s">
        <v>122</v>
      </c>
      <c r="M293" s="35" t="s">
        <v>123</v>
      </c>
      <c r="N293" s="35"/>
      <c r="O293" s="3"/>
    </row>
    <row r="294">
      <c r="A294" s="35" t="s">
        <v>10434</v>
      </c>
      <c r="B294" s="39">
        <v>45986.436377314814</v>
      </c>
      <c r="C294" s="35" t="s">
        <v>9488</v>
      </c>
      <c r="D294" s="40" t="s">
        <v>9489</v>
      </c>
      <c r="E294" s="35" t="s">
        <v>9496</v>
      </c>
      <c r="F294" s="40" t="s">
        <v>9489</v>
      </c>
      <c r="G294" s="35" t="s">
        <v>10435</v>
      </c>
      <c r="H294" s="40" t="s">
        <v>7106</v>
      </c>
      <c r="I294" s="35" t="s">
        <v>10436</v>
      </c>
      <c r="J294" s="35" t="s">
        <v>10437</v>
      </c>
      <c r="K294" s="35" t="s">
        <v>122</v>
      </c>
      <c r="L294" s="35" t="s">
        <v>122</v>
      </c>
      <c r="M294" s="35" t="s">
        <v>123</v>
      </c>
      <c r="N294" s="35"/>
      <c r="O294" s="3"/>
    </row>
    <row r="295">
      <c r="A295" s="35" t="s">
        <v>10438</v>
      </c>
      <c r="B295" s="39">
        <v>46001.76788194444</v>
      </c>
      <c r="C295" s="35" t="s">
        <v>10247</v>
      </c>
      <c r="D295" s="40" t="s">
        <v>7106</v>
      </c>
      <c r="E295" s="35" t="s">
        <v>10439</v>
      </c>
      <c r="F295" s="35" t="s">
        <v>9828</v>
      </c>
      <c r="G295" s="35" t="s">
        <v>10242</v>
      </c>
      <c r="H295" s="40" t="s">
        <v>7106</v>
      </c>
      <c r="I295" s="35" t="s">
        <v>10436</v>
      </c>
      <c r="J295" s="35" t="s">
        <v>10440</v>
      </c>
      <c r="K295" s="35" t="s">
        <v>122</v>
      </c>
      <c r="L295" s="35" t="s">
        <v>122</v>
      </c>
      <c r="M295" s="35" t="s">
        <v>123</v>
      </c>
      <c r="N295" s="35"/>
      <c r="O295" s="3"/>
    </row>
    <row r="296">
      <c r="A296" s="35" t="s">
        <v>10441</v>
      </c>
      <c r="B296" s="39">
        <v>46027.4455787037</v>
      </c>
      <c r="C296" s="35" t="s">
        <v>9488</v>
      </c>
      <c r="D296" s="40" t="s">
        <v>9489</v>
      </c>
      <c r="E296" s="35" t="s">
        <v>10247</v>
      </c>
      <c r="F296" s="40" t="s">
        <v>7106</v>
      </c>
      <c r="G296" s="35" t="s">
        <v>10442</v>
      </c>
      <c r="H296" s="35" t="s">
        <v>9828</v>
      </c>
      <c r="I296" s="35" t="s">
        <v>10436</v>
      </c>
      <c r="J296" s="35" t="s">
        <v>10443</v>
      </c>
      <c r="K296" s="35" t="s">
        <v>122</v>
      </c>
      <c r="L296" s="35" t="s">
        <v>122</v>
      </c>
      <c r="M296" s="35" t="s">
        <v>123</v>
      </c>
      <c r="N296" s="35"/>
      <c r="O296" s="3"/>
    </row>
    <row r="297">
      <c r="A297" s="35" t="s">
        <v>10444</v>
      </c>
      <c r="B297" s="39">
        <v>46027.784432870365</v>
      </c>
      <c r="C297" s="35" t="s">
        <v>10247</v>
      </c>
      <c r="D297" s="40" t="s">
        <v>7106</v>
      </c>
      <c r="E297" s="35" t="s">
        <v>9488</v>
      </c>
      <c r="F297" s="40" t="s">
        <v>9489</v>
      </c>
      <c r="G297" s="35" t="s">
        <v>10445</v>
      </c>
      <c r="H297" s="35" t="s">
        <v>9828</v>
      </c>
      <c r="I297" s="35" t="s">
        <v>10436</v>
      </c>
      <c r="J297" s="35" t="s">
        <v>10446</v>
      </c>
      <c r="K297" s="35" t="s">
        <v>122</v>
      </c>
      <c r="L297" s="35" t="s">
        <v>122</v>
      </c>
      <c r="M297" s="35" t="s">
        <v>123</v>
      </c>
      <c r="N297" s="35"/>
      <c r="O297" s="3"/>
    </row>
    <row r="298">
      <c r="A298" s="35" t="s">
        <v>10447</v>
      </c>
      <c r="B298" s="39">
        <v>46028.37810185185</v>
      </c>
      <c r="C298" s="35" t="s">
        <v>9488</v>
      </c>
      <c r="D298" s="40" t="s">
        <v>9489</v>
      </c>
      <c r="E298" s="35" t="s">
        <v>10247</v>
      </c>
      <c r="F298" s="40" t="s">
        <v>7106</v>
      </c>
      <c r="G298" s="35" t="s">
        <v>10445</v>
      </c>
      <c r="H298" s="35" t="s">
        <v>9828</v>
      </c>
      <c r="I298" s="35" t="s">
        <v>10436</v>
      </c>
      <c r="J298" s="35" t="s">
        <v>10448</v>
      </c>
      <c r="K298" s="35" t="s">
        <v>122</v>
      </c>
      <c r="L298" s="35" t="s">
        <v>122</v>
      </c>
      <c r="M298" s="35" t="s">
        <v>123</v>
      </c>
      <c r="N298" s="35"/>
      <c r="O298" s="3"/>
    </row>
    <row r="299">
      <c r="A299" s="35" t="s">
        <v>10449</v>
      </c>
      <c r="B299" s="39">
        <v>45986.07623842593</v>
      </c>
      <c r="C299" s="35" t="s">
        <v>9496</v>
      </c>
      <c r="D299" s="40" t="s">
        <v>9489</v>
      </c>
      <c r="E299" s="35" t="s">
        <v>10450</v>
      </c>
      <c r="F299" s="35" t="s">
        <v>10282</v>
      </c>
      <c r="G299" s="35"/>
      <c r="H299" s="35"/>
      <c r="I299" s="35" t="s">
        <v>10451</v>
      </c>
      <c r="J299" s="35" t="s">
        <v>10452</v>
      </c>
      <c r="K299" s="35" t="s">
        <v>128</v>
      </c>
      <c r="L299" s="35" t="s">
        <v>128</v>
      </c>
      <c r="M299" s="35" t="s">
        <v>301</v>
      </c>
      <c r="N299" s="35"/>
      <c r="O299" s="3"/>
    </row>
    <row r="300">
      <c r="A300" s="35" t="s">
        <v>10453</v>
      </c>
      <c r="B300" s="39">
        <v>46043.46450231482</v>
      </c>
      <c r="C300" s="35" t="s">
        <v>10454</v>
      </c>
      <c r="D300" s="40" t="s">
        <v>7109</v>
      </c>
      <c r="E300" s="35" t="s">
        <v>10455</v>
      </c>
      <c r="F300" s="35" t="s">
        <v>10456</v>
      </c>
      <c r="G300" s="35"/>
      <c r="H300" s="35"/>
      <c r="I300" s="35" t="s">
        <v>7576</v>
      </c>
      <c r="J300" s="35" t="s">
        <v>10457</v>
      </c>
      <c r="K300" s="35" t="s">
        <v>131</v>
      </c>
      <c r="L300" s="35" t="s">
        <v>131</v>
      </c>
      <c r="M300" s="35" t="s">
        <v>132</v>
      </c>
      <c r="N300" s="35"/>
      <c r="O300" s="3"/>
    </row>
    <row r="301">
      <c r="A301" s="35" t="s">
        <v>10458</v>
      </c>
      <c r="B301" s="39">
        <v>46043.46716435185</v>
      </c>
      <c r="C301" s="35" t="s">
        <v>9488</v>
      </c>
      <c r="D301" s="40" t="s">
        <v>9489</v>
      </c>
      <c r="E301" s="35" t="s">
        <v>10454</v>
      </c>
      <c r="F301" s="40" t="s">
        <v>7109</v>
      </c>
      <c r="G301" s="35"/>
      <c r="H301" s="35"/>
      <c r="I301" s="35" t="s">
        <v>10459</v>
      </c>
      <c r="J301" s="35" t="s">
        <v>10460</v>
      </c>
      <c r="K301" s="35" t="s">
        <v>131</v>
      </c>
      <c r="L301" s="35" t="s">
        <v>131</v>
      </c>
      <c r="M301" s="35" t="s">
        <v>132</v>
      </c>
      <c r="N301" s="35"/>
      <c r="O301" s="3"/>
    </row>
    <row r="302">
      <c r="A302" s="35" t="s">
        <v>10461</v>
      </c>
      <c r="B302" s="39">
        <v>46042.47201388889</v>
      </c>
      <c r="C302" s="35" t="s">
        <v>10462</v>
      </c>
      <c r="D302" s="40" t="s">
        <v>7110</v>
      </c>
      <c r="E302" s="35" t="s">
        <v>9488</v>
      </c>
      <c r="F302" s="40" t="s">
        <v>9489</v>
      </c>
      <c r="G302" s="35"/>
      <c r="H302" s="35"/>
      <c r="I302" s="35" t="s">
        <v>10463</v>
      </c>
      <c r="J302" s="35" t="s">
        <v>9725</v>
      </c>
      <c r="K302" s="35" t="s">
        <v>139</v>
      </c>
      <c r="L302" s="35" t="s">
        <v>139</v>
      </c>
      <c r="M302" s="35" t="s">
        <v>361</v>
      </c>
      <c r="N302" s="35"/>
      <c r="O302" s="3"/>
    </row>
    <row r="303">
      <c r="A303" s="35" t="s">
        <v>10464</v>
      </c>
      <c r="B303" s="39">
        <v>46041.53125</v>
      </c>
      <c r="C303" s="35" t="s">
        <v>10465</v>
      </c>
      <c r="D303" s="40" t="s">
        <v>7109</v>
      </c>
      <c r="E303" s="35" t="s">
        <v>7288</v>
      </c>
      <c r="F303" s="40" t="s">
        <v>9489</v>
      </c>
      <c r="G303" s="35"/>
      <c r="H303" s="35"/>
      <c r="I303" s="35" t="s">
        <v>10466</v>
      </c>
      <c r="J303" s="35" t="s">
        <v>10467</v>
      </c>
      <c r="K303" s="35" t="s">
        <v>131</v>
      </c>
      <c r="L303" s="35" t="s">
        <v>131</v>
      </c>
      <c r="M303" s="35" t="s">
        <v>132</v>
      </c>
      <c r="N303" s="35"/>
      <c r="O303" s="3"/>
    </row>
    <row r="304">
      <c r="A304" s="35" t="s">
        <v>10468</v>
      </c>
      <c r="B304" s="39">
        <v>46041.397511574076</v>
      </c>
      <c r="C304" s="35" t="s">
        <v>10462</v>
      </c>
      <c r="D304" s="40" t="s">
        <v>7110</v>
      </c>
      <c r="E304" s="35" t="s">
        <v>9488</v>
      </c>
      <c r="F304" s="40" t="s">
        <v>9489</v>
      </c>
      <c r="G304" s="35"/>
      <c r="H304" s="35"/>
      <c r="I304" s="35" t="s">
        <v>10463</v>
      </c>
      <c r="J304" s="35"/>
      <c r="K304" s="35" t="s">
        <v>139</v>
      </c>
      <c r="L304" s="35" t="s">
        <v>139</v>
      </c>
      <c r="M304" s="35" t="s">
        <v>361</v>
      </c>
      <c r="N304" s="35"/>
      <c r="O304" s="3"/>
    </row>
    <row r="305">
      <c r="A305" s="35" t="s">
        <v>10469</v>
      </c>
      <c r="B305" s="39">
        <v>46041.34313657407</v>
      </c>
      <c r="C305" s="35" t="s">
        <v>10470</v>
      </c>
      <c r="D305" s="40" t="s">
        <v>7110</v>
      </c>
      <c r="E305" s="35" t="s">
        <v>9488</v>
      </c>
      <c r="F305" s="40" t="s">
        <v>9489</v>
      </c>
      <c r="G305" s="35"/>
      <c r="H305" s="35"/>
      <c r="I305" s="35" t="s">
        <v>10471</v>
      </c>
      <c r="J305" s="35" t="s">
        <v>9725</v>
      </c>
      <c r="K305" s="35" t="s">
        <v>139</v>
      </c>
      <c r="L305" s="35" t="s">
        <v>139</v>
      </c>
      <c r="M305" s="35" t="s">
        <v>361</v>
      </c>
      <c r="N305" s="35"/>
      <c r="O305" s="3"/>
    </row>
    <row r="306">
      <c r="A306" s="35" t="s">
        <v>10472</v>
      </c>
      <c r="B306" s="39">
        <v>46041.28534722222</v>
      </c>
      <c r="C306" s="35" t="s">
        <v>10465</v>
      </c>
      <c r="D306" s="40" t="s">
        <v>7109</v>
      </c>
      <c r="E306" s="35" t="s">
        <v>7288</v>
      </c>
      <c r="F306" s="40" t="s">
        <v>9489</v>
      </c>
      <c r="G306" s="35"/>
      <c r="H306" s="35"/>
      <c r="I306" s="35" t="s">
        <v>10473</v>
      </c>
      <c r="J306" s="35" t="s">
        <v>10474</v>
      </c>
      <c r="K306" s="35" t="s">
        <v>131</v>
      </c>
      <c r="L306" s="35" t="s">
        <v>131</v>
      </c>
      <c r="M306" s="35" t="s">
        <v>132</v>
      </c>
      <c r="N306" s="35"/>
      <c r="O306" s="3"/>
    </row>
    <row r="307">
      <c r="A307" s="35" t="s">
        <v>10475</v>
      </c>
      <c r="B307" s="39">
        <v>46038.54305555555</v>
      </c>
      <c r="C307" s="35" t="s">
        <v>9488</v>
      </c>
      <c r="D307" s="40" t="s">
        <v>9489</v>
      </c>
      <c r="E307" s="35" t="s">
        <v>10476</v>
      </c>
      <c r="F307" s="40" t="s">
        <v>7110</v>
      </c>
      <c r="G307" s="35" t="s">
        <v>9496</v>
      </c>
      <c r="H307" s="40" t="s">
        <v>9489</v>
      </c>
      <c r="I307" s="35" t="s">
        <v>10477</v>
      </c>
      <c r="J307" s="35" t="s">
        <v>10478</v>
      </c>
      <c r="K307" s="35" t="s">
        <v>139</v>
      </c>
      <c r="L307" s="35" t="s">
        <v>139</v>
      </c>
      <c r="M307" s="35" t="s">
        <v>361</v>
      </c>
      <c r="N307" s="35"/>
      <c r="O307" s="3"/>
    </row>
    <row r="308">
      <c r="A308" s="35" t="s">
        <v>10479</v>
      </c>
      <c r="B308" s="39">
        <v>46038.53119212963</v>
      </c>
      <c r="C308" s="35" t="s">
        <v>10480</v>
      </c>
      <c r="D308" s="40" t="s">
        <v>7109</v>
      </c>
      <c r="E308" s="35" t="s">
        <v>7288</v>
      </c>
      <c r="F308" s="40" t="s">
        <v>9489</v>
      </c>
      <c r="G308" s="35"/>
      <c r="H308" s="35"/>
      <c r="I308" s="35" t="s">
        <v>10481</v>
      </c>
      <c r="J308" s="35" t="s">
        <v>10482</v>
      </c>
      <c r="K308" s="35" t="s">
        <v>131</v>
      </c>
      <c r="L308" s="35" t="s">
        <v>131</v>
      </c>
      <c r="M308" s="35" t="s">
        <v>132</v>
      </c>
      <c r="N308" s="35"/>
      <c r="O308" s="3"/>
    </row>
    <row r="309">
      <c r="A309" s="35" t="s">
        <v>10483</v>
      </c>
      <c r="B309" s="39">
        <v>46038.524733796294</v>
      </c>
      <c r="C309" s="35" t="s">
        <v>10454</v>
      </c>
      <c r="D309" s="40" t="s">
        <v>7109</v>
      </c>
      <c r="E309" s="35" t="s">
        <v>7288</v>
      </c>
      <c r="F309" s="40" t="s">
        <v>9489</v>
      </c>
      <c r="G309" s="35"/>
      <c r="H309" s="35"/>
      <c r="I309" s="35" t="s">
        <v>10481</v>
      </c>
      <c r="J309" s="35" t="s">
        <v>10484</v>
      </c>
      <c r="K309" s="35" t="s">
        <v>131</v>
      </c>
      <c r="L309" s="35" t="s">
        <v>131</v>
      </c>
      <c r="M309" s="35" t="s">
        <v>132</v>
      </c>
      <c r="N309" s="35"/>
      <c r="O309" s="3"/>
    </row>
    <row r="310">
      <c r="A310" s="35" t="s">
        <v>10485</v>
      </c>
      <c r="B310" s="39">
        <v>46038.51513888889</v>
      </c>
      <c r="C310" s="35" t="s">
        <v>9488</v>
      </c>
      <c r="D310" s="40" t="s">
        <v>9489</v>
      </c>
      <c r="E310" s="35" t="s">
        <v>10486</v>
      </c>
      <c r="F310" s="40" t="s">
        <v>8055</v>
      </c>
      <c r="G310" s="35"/>
      <c r="H310" s="35"/>
      <c r="I310" s="35" t="s">
        <v>10487</v>
      </c>
      <c r="J310" s="35" t="s">
        <v>10488</v>
      </c>
      <c r="K310" s="35" t="s">
        <v>101</v>
      </c>
      <c r="L310" s="35" t="s">
        <v>101</v>
      </c>
      <c r="M310" s="35" t="s">
        <v>511</v>
      </c>
      <c r="N310" s="35"/>
      <c r="O310" s="3"/>
    </row>
    <row r="311">
      <c r="A311" s="35" t="s">
        <v>10489</v>
      </c>
      <c r="B311" s="39">
        <v>46038.53259259259</v>
      </c>
      <c r="C311" s="35" t="s">
        <v>10486</v>
      </c>
      <c r="D311" s="40" t="s">
        <v>8055</v>
      </c>
      <c r="E311" s="35" t="s">
        <v>9488</v>
      </c>
      <c r="F311" s="40" t="s">
        <v>9489</v>
      </c>
      <c r="G311" s="35"/>
      <c r="H311" s="35"/>
      <c r="I311" s="35" t="s">
        <v>10490</v>
      </c>
      <c r="J311" s="35" t="s">
        <v>10491</v>
      </c>
      <c r="K311" s="35" t="s">
        <v>101</v>
      </c>
      <c r="L311" s="35" t="s">
        <v>101</v>
      </c>
      <c r="M311" s="35" t="s">
        <v>511</v>
      </c>
      <c r="N311" s="35"/>
      <c r="O311" s="3"/>
    </row>
    <row r="312">
      <c r="A312" s="35" t="s">
        <v>10492</v>
      </c>
      <c r="B312" s="39">
        <v>46038.53717592593</v>
      </c>
      <c r="C312" s="35" t="s">
        <v>9488</v>
      </c>
      <c r="D312" s="40" t="s">
        <v>9489</v>
      </c>
      <c r="E312" s="35" t="s">
        <v>10486</v>
      </c>
      <c r="F312" s="40" t="s">
        <v>8055</v>
      </c>
      <c r="G312" s="35"/>
      <c r="H312" s="35"/>
      <c r="I312" s="35" t="s">
        <v>10493</v>
      </c>
      <c r="J312" s="35" t="s">
        <v>10494</v>
      </c>
      <c r="K312" s="35" t="s">
        <v>101</v>
      </c>
      <c r="L312" s="35" t="s">
        <v>101</v>
      </c>
      <c r="M312" s="35" t="s">
        <v>511</v>
      </c>
      <c r="N312" s="35"/>
      <c r="O312" s="3"/>
    </row>
    <row r="313">
      <c r="A313" s="35" t="s">
        <v>10495</v>
      </c>
      <c r="B313" s="39">
        <v>46038.50885416666</v>
      </c>
      <c r="C313" s="35" t="s">
        <v>9488</v>
      </c>
      <c r="D313" s="40" t="s">
        <v>9489</v>
      </c>
      <c r="E313" s="35" t="s">
        <v>10496</v>
      </c>
      <c r="F313" s="40" t="s">
        <v>7109</v>
      </c>
      <c r="G313" s="35" t="s">
        <v>9496</v>
      </c>
      <c r="H313" s="40" t="s">
        <v>9489</v>
      </c>
      <c r="I313" s="35" t="s">
        <v>10497</v>
      </c>
      <c r="J313" s="35" t="s">
        <v>10498</v>
      </c>
      <c r="K313" s="35" t="s">
        <v>131</v>
      </c>
      <c r="L313" s="35" t="s">
        <v>131</v>
      </c>
      <c r="M313" s="35" t="s">
        <v>132</v>
      </c>
      <c r="N313" s="35"/>
      <c r="O313" s="3"/>
    </row>
    <row r="314">
      <c r="A314" s="35" t="s">
        <v>10499</v>
      </c>
      <c r="B314" s="39">
        <v>46038.5262037037</v>
      </c>
      <c r="C314" s="35" t="s">
        <v>10454</v>
      </c>
      <c r="D314" s="40" t="s">
        <v>7109</v>
      </c>
      <c r="E314" s="35" t="s">
        <v>9488</v>
      </c>
      <c r="F314" s="40" t="s">
        <v>9489</v>
      </c>
      <c r="G314" s="35" t="s">
        <v>10500</v>
      </c>
      <c r="H314" s="35" t="s">
        <v>10501</v>
      </c>
      <c r="I314" s="35" t="s">
        <v>10502</v>
      </c>
      <c r="J314" s="35" t="s">
        <v>10503</v>
      </c>
      <c r="K314" s="35" t="s">
        <v>131</v>
      </c>
      <c r="L314" s="35" t="s">
        <v>131</v>
      </c>
      <c r="M314" s="35" t="s">
        <v>132</v>
      </c>
      <c r="N314" s="35"/>
      <c r="O314" s="3"/>
    </row>
    <row r="315">
      <c r="A315" s="35" t="s">
        <v>10504</v>
      </c>
      <c r="B315" s="39">
        <v>46037.38104166667</v>
      </c>
      <c r="C315" s="35" t="s">
        <v>10454</v>
      </c>
      <c r="D315" s="40" t="s">
        <v>7109</v>
      </c>
      <c r="E315" s="35" t="s">
        <v>7288</v>
      </c>
      <c r="F315" s="40" t="s">
        <v>9489</v>
      </c>
      <c r="G315" s="35"/>
      <c r="H315" s="35"/>
      <c r="I315" s="35" t="s">
        <v>10505</v>
      </c>
      <c r="J315" s="35" t="s">
        <v>10506</v>
      </c>
      <c r="K315" s="35" t="s">
        <v>131</v>
      </c>
      <c r="L315" s="35" t="s">
        <v>131</v>
      </c>
      <c r="M315" s="35" t="s">
        <v>132</v>
      </c>
      <c r="N315" s="35"/>
      <c r="O315" s="3"/>
    </row>
    <row r="316">
      <c r="A316" s="35" t="s">
        <v>10507</v>
      </c>
      <c r="B316" s="39">
        <v>46036.38550925926</v>
      </c>
      <c r="C316" s="35" t="s">
        <v>9527</v>
      </c>
      <c r="D316" s="40" t="s">
        <v>9489</v>
      </c>
      <c r="E316" s="35" t="s">
        <v>10508</v>
      </c>
      <c r="F316" s="35" t="s">
        <v>10456</v>
      </c>
      <c r="G316" s="35"/>
      <c r="H316" s="35"/>
      <c r="I316" s="35" t="s">
        <v>10509</v>
      </c>
      <c r="J316" s="35" t="s">
        <v>10510</v>
      </c>
      <c r="K316" s="35" t="s">
        <v>131</v>
      </c>
      <c r="L316" s="35" t="s">
        <v>131</v>
      </c>
      <c r="M316" s="35" t="s">
        <v>132</v>
      </c>
      <c r="N316" s="35"/>
      <c r="O316" s="3"/>
    </row>
    <row r="317">
      <c r="A317" s="35" t="s">
        <v>10511</v>
      </c>
      <c r="B317" s="39">
        <v>46036.38550925926</v>
      </c>
      <c r="C317" s="35" t="s">
        <v>9527</v>
      </c>
      <c r="D317" s="40" t="s">
        <v>9489</v>
      </c>
      <c r="E317" s="35" t="s">
        <v>10512</v>
      </c>
      <c r="F317" s="35" t="s">
        <v>10456</v>
      </c>
      <c r="G317" s="35"/>
      <c r="H317" s="35"/>
      <c r="I317" s="35" t="s">
        <v>10509</v>
      </c>
      <c r="J317" s="35" t="s">
        <v>10513</v>
      </c>
      <c r="K317" s="35" t="s">
        <v>131</v>
      </c>
      <c r="L317" s="35" t="s">
        <v>131</v>
      </c>
      <c r="M317" s="35" t="s">
        <v>132</v>
      </c>
      <c r="N317" s="35"/>
      <c r="O317" s="3"/>
    </row>
    <row r="318">
      <c r="A318" s="35" t="s">
        <v>10514</v>
      </c>
      <c r="B318" s="39">
        <v>46036.36960648149</v>
      </c>
      <c r="C318" s="35" t="s">
        <v>9496</v>
      </c>
      <c r="D318" s="40" t="s">
        <v>9489</v>
      </c>
      <c r="E318" s="35" t="s">
        <v>10515</v>
      </c>
      <c r="F318" s="40" t="s">
        <v>7107</v>
      </c>
      <c r="G318" s="35" t="s">
        <v>9488</v>
      </c>
      <c r="H318" s="40" t="s">
        <v>9489</v>
      </c>
      <c r="I318" s="35" t="s">
        <v>10516</v>
      </c>
      <c r="J318" s="35" t="s">
        <v>10517</v>
      </c>
      <c r="K318" s="35" t="s">
        <v>113</v>
      </c>
      <c r="L318" s="35" t="s">
        <v>113</v>
      </c>
      <c r="M318" s="35" t="s">
        <v>406</v>
      </c>
      <c r="N318" s="35"/>
      <c r="O318" s="3"/>
    </row>
    <row r="319">
      <c r="A319" s="35" t="s">
        <v>10518</v>
      </c>
      <c r="B319" s="39">
        <v>46035.527245370366</v>
      </c>
      <c r="C319" s="35" t="s">
        <v>10486</v>
      </c>
      <c r="D319" s="40" t="s">
        <v>8055</v>
      </c>
      <c r="E319" s="35" t="s">
        <v>10519</v>
      </c>
      <c r="F319" s="40" t="s">
        <v>9489</v>
      </c>
      <c r="G319" s="35" t="s">
        <v>10520</v>
      </c>
      <c r="H319" s="40" t="s">
        <v>9489</v>
      </c>
      <c r="I319" s="35" t="s">
        <v>10521</v>
      </c>
      <c r="J319" s="35" t="s">
        <v>10522</v>
      </c>
      <c r="K319" s="35" t="s">
        <v>101</v>
      </c>
      <c r="L319" s="35" t="s">
        <v>101</v>
      </c>
      <c r="M319" s="35" t="s">
        <v>511</v>
      </c>
      <c r="N319" s="35"/>
      <c r="O319" s="3"/>
    </row>
    <row r="320">
      <c r="A320" s="35" t="s">
        <v>10523</v>
      </c>
      <c r="B320" s="39">
        <v>46035.536828703705</v>
      </c>
      <c r="C320" s="35" t="s">
        <v>9488</v>
      </c>
      <c r="D320" s="40" t="s">
        <v>9489</v>
      </c>
      <c r="E320" s="35" t="s">
        <v>10486</v>
      </c>
      <c r="F320" s="40" t="s">
        <v>8055</v>
      </c>
      <c r="G320" s="35" t="s">
        <v>10520</v>
      </c>
      <c r="H320" s="40" t="s">
        <v>9489</v>
      </c>
      <c r="I320" s="35" t="s">
        <v>10524</v>
      </c>
      <c r="J320" s="35" t="s">
        <v>10525</v>
      </c>
      <c r="K320" s="35" t="s">
        <v>101</v>
      </c>
      <c r="L320" s="35" t="s">
        <v>101</v>
      </c>
      <c r="M320" s="35" t="s">
        <v>511</v>
      </c>
      <c r="N320" s="35"/>
      <c r="O320" s="3"/>
    </row>
    <row r="321">
      <c r="A321" s="35" t="s">
        <v>10526</v>
      </c>
      <c r="B321" s="39">
        <v>46030.64765046297</v>
      </c>
      <c r="C321" s="35" t="s">
        <v>9488</v>
      </c>
      <c r="D321" s="40" t="s">
        <v>9489</v>
      </c>
      <c r="E321" s="35" t="s">
        <v>10496</v>
      </c>
      <c r="F321" s="40" t="s">
        <v>7109</v>
      </c>
      <c r="G321" s="35" t="s">
        <v>9496</v>
      </c>
      <c r="H321" s="40" t="s">
        <v>9489</v>
      </c>
      <c r="I321" s="35" t="s">
        <v>10527</v>
      </c>
      <c r="J321" s="35" t="s">
        <v>10528</v>
      </c>
      <c r="K321" s="35" t="s">
        <v>131</v>
      </c>
      <c r="L321" s="35" t="s">
        <v>131</v>
      </c>
      <c r="M321" s="35" t="s">
        <v>132</v>
      </c>
      <c r="N321" s="35"/>
      <c r="O321" s="3"/>
    </row>
    <row r="322">
      <c r="A322" s="35" t="s">
        <v>10529</v>
      </c>
      <c r="B322" s="39">
        <v>46031.604108796295</v>
      </c>
      <c r="C322" s="35" t="s">
        <v>10454</v>
      </c>
      <c r="D322" s="40" t="s">
        <v>7109</v>
      </c>
      <c r="E322" s="35" t="s">
        <v>9488</v>
      </c>
      <c r="F322" s="40" t="s">
        <v>9489</v>
      </c>
      <c r="G322" s="35" t="s">
        <v>10500</v>
      </c>
      <c r="H322" s="35" t="s">
        <v>10501</v>
      </c>
      <c r="I322" s="35" t="s">
        <v>10530</v>
      </c>
      <c r="J322" s="35" t="s">
        <v>10531</v>
      </c>
      <c r="K322" s="35" t="s">
        <v>131</v>
      </c>
      <c r="L322" s="35" t="s">
        <v>131</v>
      </c>
      <c r="M322" s="35" t="s">
        <v>132</v>
      </c>
      <c r="N322" s="35"/>
      <c r="O322" s="3"/>
    </row>
    <row r="323">
      <c r="A323" s="35" t="s">
        <v>10532</v>
      </c>
      <c r="B323" s="39">
        <v>46031.60822916667</v>
      </c>
      <c r="C323" s="35" t="s">
        <v>9488</v>
      </c>
      <c r="D323" s="40" t="s">
        <v>9489</v>
      </c>
      <c r="E323" s="35" t="s">
        <v>10533</v>
      </c>
      <c r="F323" s="35" t="s">
        <v>10501</v>
      </c>
      <c r="G323" s="35" t="s">
        <v>10500</v>
      </c>
      <c r="H323" s="35" t="s">
        <v>10501</v>
      </c>
      <c r="I323" s="35" t="s">
        <v>10530</v>
      </c>
      <c r="J323" s="35" t="s">
        <v>10534</v>
      </c>
      <c r="K323" s="35" t="s">
        <v>131</v>
      </c>
      <c r="L323" s="35" t="s">
        <v>131</v>
      </c>
      <c r="M323" s="35" t="s">
        <v>132</v>
      </c>
      <c r="N323" s="35"/>
      <c r="O323" s="3"/>
    </row>
    <row r="324">
      <c r="A324" s="35" t="s">
        <v>10535</v>
      </c>
      <c r="B324" s="39">
        <v>46031.60865740741</v>
      </c>
      <c r="C324" s="35" t="s">
        <v>9627</v>
      </c>
      <c r="D324" s="40" t="s">
        <v>9489</v>
      </c>
      <c r="E324" s="35" t="s">
        <v>7288</v>
      </c>
      <c r="F324" s="40" t="s">
        <v>9489</v>
      </c>
      <c r="G324" s="35" t="s">
        <v>10536</v>
      </c>
      <c r="H324" s="35" t="s">
        <v>10501</v>
      </c>
      <c r="I324" s="35" t="s">
        <v>10537</v>
      </c>
      <c r="J324" s="35" t="s">
        <v>10538</v>
      </c>
      <c r="K324" s="35" t="s">
        <v>131</v>
      </c>
      <c r="L324" s="35" t="s">
        <v>131</v>
      </c>
      <c r="M324" s="35" t="s">
        <v>132</v>
      </c>
      <c r="N324" s="35"/>
      <c r="O324" s="3"/>
    </row>
    <row r="325">
      <c r="A325" s="35" t="s">
        <v>10539</v>
      </c>
      <c r="B325" s="39">
        <v>46034.18366898148</v>
      </c>
      <c r="C325" s="35" t="s">
        <v>10540</v>
      </c>
      <c r="D325" s="40" t="s">
        <v>9489</v>
      </c>
      <c r="E325" s="35" t="s">
        <v>7288</v>
      </c>
      <c r="F325" s="40" t="s">
        <v>9489</v>
      </c>
      <c r="G325" s="35" t="s">
        <v>10541</v>
      </c>
      <c r="H325" s="35" t="s">
        <v>10501</v>
      </c>
      <c r="I325" s="35" t="s">
        <v>10537</v>
      </c>
      <c r="J325" s="35" t="s">
        <v>10542</v>
      </c>
      <c r="K325" s="35" t="s">
        <v>131</v>
      </c>
      <c r="L325" s="35" t="s">
        <v>131</v>
      </c>
      <c r="M325" s="35" t="s">
        <v>132</v>
      </c>
      <c r="N325" s="35"/>
      <c r="O325" s="3"/>
    </row>
    <row r="326">
      <c r="A326" s="35" t="s">
        <v>10543</v>
      </c>
      <c r="B326" s="39">
        <v>46034.183703703704</v>
      </c>
      <c r="C326" s="35" t="s">
        <v>10540</v>
      </c>
      <c r="D326" s="40" t="s">
        <v>9489</v>
      </c>
      <c r="E326" s="35" t="s">
        <v>7288</v>
      </c>
      <c r="F326" s="40" t="s">
        <v>9489</v>
      </c>
      <c r="G326" s="35" t="s">
        <v>10536</v>
      </c>
      <c r="H326" s="35" t="s">
        <v>10501</v>
      </c>
      <c r="I326" s="35" t="s">
        <v>10537</v>
      </c>
      <c r="J326" s="35" t="s">
        <v>10544</v>
      </c>
      <c r="K326" s="35" t="s">
        <v>131</v>
      </c>
      <c r="L326" s="35" t="s">
        <v>131</v>
      </c>
      <c r="M326" s="35" t="s">
        <v>132</v>
      </c>
      <c r="N326" s="35"/>
      <c r="O326" s="3"/>
    </row>
    <row r="327">
      <c r="A327" s="35" t="s">
        <v>10545</v>
      </c>
      <c r="B327" s="39">
        <v>46036.61857638889</v>
      </c>
      <c r="C327" s="35" t="s">
        <v>10454</v>
      </c>
      <c r="D327" s="40" t="s">
        <v>7109</v>
      </c>
      <c r="E327" s="35" t="s">
        <v>10540</v>
      </c>
      <c r="F327" s="40" t="s">
        <v>9489</v>
      </c>
      <c r="G327" s="35" t="s">
        <v>10546</v>
      </c>
      <c r="H327" s="35" t="s">
        <v>10456</v>
      </c>
      <c r="I327" s="35" t="s">
        <v>10537</v>
      </c>
      <c r="J327" s="35" t="s">
        <v>10547</v>
      </c>
      <c r="K327" s="35" t="s">
        <v>131</v>
      </c>
      <c r="L327" s="35" t="s">
        <v>131</v>
      </c>
      <c r="M327" s="35" t="s">
        <v>132</v>
      </c>
      <c r="N327" s="35"/>
      <c r="O327" s="3"/>
    </row>
    <row r="328">
      <c r="A328" s="35" t="s">
        <v>10548</v>
      </c>
      <c r="B328" s="39">
        <v>46042.47460648148</v>
      </c>
      <c r="C328" s="35" t="s">
        <v>10540</v>
      </c>
      <c r="D328" s="40" t="s">
        <v>9489</v>
      </c>
      <c r="E328" s="35" t="s">
        <v>8124</v>
      </c>
      <c r="F328" s="40" t="s">
        <v>7109</v>
      </c>
      <c r="G328" s="35" t="s">
        <v>10549</v>
      </c>
      <c r="H328" s="35" t="s">
        <v>10501</v>
      </c>
      <c r="I328" s="35" t="s">
        <v>10537</v>
      </c>
      <c r="J328" s="35" t="s">
        <v>10550</v>
      </c>
      <c r="K328" s="35" t="s">
        <v>131</v>
      </c>
      <c r="L328" s="35" t="s">
        <v>131</v>
      </c>
      <c r="M328" s="35" t="s">
        <v>132</v>
      </c>
      <c r="N328" s="35"/>
      <c r="O328" s="3"/>
    </row>
    <row r="329">
      <c r="A329" s="35" t="s">
        <v>10551</v>
      </c>
      <c r="B329" s="39">
        <v>46042.4747337963</v>
      </c>
      <c r="C329" s="35" t="s">
        <v>10540</v>
      </c>
      <c r="D329" s="40" t="s">
        <v>9489</v>
      </c>
      <c r="E329" s="35" t="s">
        <v>7288</v>
      </c>
      <c r="F329" s="40" t="s">
        <v>9489</v>
      </c>
      <c r="G329" s="35" t="s">
        <v>10536</v>
      </c>
      <c r="H329" s="35" t="s">
        <v>10501</v>
      </c>
      <c r="I329" s="35" t="s">
        <v>10537</v>
      </c>
      <c r="J329" s="35" t="s">
        <v>10552</v>
      </c>
      <c r="K329" s="35" t="s">
        <v>131</v>
      </c>
      <c r="L329" s="35" t="s">
        <v>131</v>
      </c>
      <c r="M329" s="35" t="s">
        <v>132</v>
      </c>
      <c r="N329" s="35"/>
      <c r="O329" s="3"/>
    </row>
    <row r="330">
      <c r="A330" s="35" t="s">
        <v>10553</v>
      </c>
      <c r="B330" s="39">
        <v>46029.593576388885</v>
      </c>
      <c r="C330" s="35" t="s">
        <v>10454</v>
      </c>
      <c r="D330" s="40" t="s">
        <v>7109</v>
      </c>
      <c r="E330" s="35" t="s">
        <v>7288</v>
      </c>
      <c r="F330" s="40" t="s">
        <v>9489</v>
      </c>
      <c r="G330" s="35"/>
      <c r="H330" s="35"/>
      <c r="I330" s="35" t="s">
        <v>10554</v>
      </c>
      <c r="J330" s="35" t="s">
        <v>10555</v>
      </c>
      <c r="K330" s="35" t="s">
        <v>131</v>
      </c>
      <c r="L330" s="35" t="s">
        <v>131</v>
      </c>
      <c r="M330" s="35" t="s">
        <v>132</v>
      </c>
      <c r="N330" s="35"/>
      <c r="O330" s="3"/>
    </row>
    <row r="331">
      <c r="A331" s="35" t="s">
        <v>10556</v>
      </c>
      <c r="B331" s="39">
        <v>46028.581238425926</v>
      </c>
      <c r="C331" s="35" t="s">
        <v>10486</v>
      </c>
      <c r="D331" s="40" t="s">
        <v>8055</v>
      </c>
      <c r="E331" s="35" t="s">
        <v>10557</v>
      </c>
      <c r="F331" s="35" t="s">
        <v>10558</v>
      </c>
      <c r="G331" s="35" t="s">
        <v>10559</v>
      </c>
      <c r="H331" s="40" t="s">
        <v>8055</v>
      </c>
      <c r="I331" s="35" t="s">
        <v>10560</v>
      </c>
      <c r="J331" s="41" t="s">
        <v>10561</v>
      </c>
      <c r="K331" s="35" t="s">
        <v>101</v>
      </c>
      <c r="L331" s="35" t="s">
        <v>101</v>
      </c>
      <c r="M331" s="35" t="s">
        <v>511</v>
      </c>
      <c r="N331" s="35"/>
      <c r="O331" s="3"/>
    </row>
    <row r="332">
      <c r="A332" s="35" t="s">
        <v>10562</v>
      </c>
      <c r="B332" s="39">
        <v>46028.582824074074</v>
      </c>
      <c r="C332" s="35" t="s">
        <v>10280</v>
      </c>
      <c r="D332" s="40" t="s">
        <v>9489</v>
      </c>
      <c r="E332" s="35" t="s">
        <v>10486</v>
      </c>
      <c r="F332" s="40" t="s">
        <v>8055</v>
      </c>
      <c r="G332" s="35" t="s">
        <v>10563</v>
      </c>
      <c r="H332" s="35" t="s">
        <v>10558</v>
      </c>
      <c r="I332" s="35" t="s">
        <v>10564</v>
      </c>
      <c r="J332" s="35" t="s">
        <v>10565</v>
      </c>
      <c r="K332" s="35" t="s">
        <v>101</v>
      </c>
      <c r="L332" s="35" t="s">
        <v>101</v>
      </c>
      <c r="M332" s="35" t="s">
        <v>511</v>
      </c>
      <c r="N332" s="35"/>
      <c r="O332" s="3"/>
    </row>
    <row r="333">
      <c r="A333" s="35" t="s">
        <v>10566</v>
      </c>
      <c r="B333" s="39">
        <v>46028.63741898148</v>
      </c>
      <c r="C333" s="35" t="s">
        <v>10486</v>
      </c>
      <c r="D333" s="40" t="s">
        <v>8055</v>
      </c>
      <c r="E333" s="35" t="s">
        <v>10567</v>
      </c>
      <c r="F333" s="35" t="s">
        <v>10568</v>
      </c>
      <c r="G333" s="35" t="s">
        <v>10563</v>
      </c>
      <c r="H333" s="35" t="s">
        <v>10558</v>
      </c>
      <c r="I333" s="35" t="s">
        <v>10560</v>
      </c>
      <c r="J333" s="35" t="s">
        <v>10569</v>
      </c>
      <c r="K333" s="35" t="s">
        <v>101</v>
      </c>
      <c r="L333" s="35" t="s">
        <v>101</v>
      </c>
      <c r="M333" s="35" t="s">
        <v>511</v>
      </c>
      <c r="N333" s="35"/>
      <c r="O333" s="3"/>
    </row>
    <row r="334">
      <c r="A334" s="35" t="s">
        <v>10570</v>
      </c>
      <c r="B334" s="39">
        <v>46029.32947916667</v>
      </c>
      <c r="C334" s="35" t="s">
        <v>10571</v>
      </c>
      <c r="D334" s="40" t="s">
        <v>8055</v>
      </c>
      <c r="E334" s="35" t="s">
        <v>10572</v>
      </c>
      <c r="F334" s="35" t="s">
        <v>10558</v>
      </c>
      <c r="G334" s="35" t="s">
        <v>10573</v>
      </c>
      <c r="H334" s="35" t="s">
        <v>10568</v>
      </c>
      <c r="I334" s="35" t="s">
        <v>10560</v>
      </c>
      <c r="J334" s="35" t="s">
        <v>10574</v>
      </c>
      <c r="K334" s="35" t="s">
        <v>101</v>
      </c>
      <c r="L334" s="35" t="s">
        <v>101</v>
      </c>
      <c r="M334" s="35" t="s">
        <v>511</v>
      </c>
      <c r="N334" s="35"/>
      <c r="O334" s="3"/>
    </row>
    <row r="335">
      <c r="A335" s="35" t="s">
        <v>10575</v>
      </c>
      <c r="B335" s="39">
        <v>46029.33106481482</v>
      </c>
      <c r="C335" s="35" t="s">
        <v>10280</v>
      </c>
      <c r="D335" s="40" t="s">
        <v>9489</v>
      </c>
      <c r="E335" s="35" t="s">
        <v>10571</v>
      </c>
      <c r="F335" s="40" t="s">
        <v>8055</v>
      </c>
      <c r="G335" s="35" t="s">
        <v>10576</v>
      </c>
      <c r="H335" s="35" t="s">
        <v>10558</v>
      </c>
      <c r="I335" s="35" t="s">
        <v>10564</v>
      </c>
      <c r="J335" s="35" t="s">
        <v>10577</v>
      </c>
      <c r="K335" s="35" t="s">
        <v>101</v>
      </c>
      <c r="L335" s="35" t="s">
        <v>101</v>
      </c>
      <c r="M335" s="35" t="s">
        <v>511</v>
      </c>
      <c r="N335" s="35"/>
      <c r="O335" s="3"/>
    </row>
    <row r="336">
      <c r="A336" s="35" t="s">
        <v>10578</v>
      </c>
      <c r="B336" s="39">
        <v>46030.43834490741</v>
      </c>
      <c r="C336" s="35" t="s">
        <v>10579</v>
      </c>
      <c r="D336" s="40" t="s">
        <v>9489</v>
      </c>
      <c r="E336" s="35" t="s">
        <v>10580</v>
      </c>
      <c r="F336" s="40" t="s">
        <v>8055</v>
      </c>
      <c r="G336" s="35" t="s">
        <v>10581</v>
      </c>
      <c r="H336" s="35" t="s">
        <v>10558</v>
      </c>
      <c r="I336" s="35" t="s">
        <v>10564</v>
      </c>
      <c r="J336" s="35" t="s">
        <v>10582</v>
      </c>
      <c r="K336" s="35" t="s">
        <v>101</v>
      </c>
      <c r="L336" s="35" t="s">
        <v>101</v>
      </c>
      <c r="M336" s="35" t="s">
        <v>511</v>
      </c>
      <c r="N336" s="35"/>
      <c r="O336" s="3"/>
    </row>
    <row r="337">
      <c r="A337" s="35" t="s">
        <v>10583</v>
      </c>
      <c r="B337" s="39">
        <v>46027.51700231481</v>
      </c>
      <c r="C337" s="35" t="s">
        <v>10480</v>
      </c>
      <c r="D337" s="40" t="s">
        <v>7109</v>
      </c>
      <c r="E337" s="35" t="s">
        <v>10584</v>
      </c>
      <c r="F337" s="35" t="s">
        <v>10501</v>
      </c>
      <c r="G337" s="35"/>
      <c r="H337" s="35"/>
      <c r="I337" s="35" t="s">
        <v>7961</v>
      </c>
      <c r="J337" s="35" t="s">
        <v>10585</v>
      </c>
      <c r="K337" s="35" t="s">
        <v>131</v>
      </c>
      <c r="L337" s="35" t="s">
        <v>131</v>
      </c>
      <c r="M337" s="35" t="s">
        <v>132</v>
      </c>
      <c r="N337" s="35"/>
      <c r="O337" s="3"/>
    </row>
    <row r="338">
      <c r="A338" s="35" t="s">
        <v>10586</v>
      </c>
      <c r="B338" s="39">
        <v>46027.54106481481</v>
      </c>
      <c r="C338" s="35" t="s">
        <v>9488</v>
      </c>
      <c r="D338" s="40" t="s">
        <v>9489</v>
      </c>
      <c r="E338" s="35" t="s">
        <v>10480</v>
      </c>
      <c r="F338" s="40" t="s">
        <v>7109</v>
      </c>
      <c r="G338" s="35" t="s">
        <v>10587</v>
      </c>
      <c r="H338" s="35" t="s">
        <v>10501</v>
      </c>
      <c r="I338" s="35" t="s">
        <v>10588</v>
      </c>
      <c r="J338" s="35" t="s">
        <v>10589</v>
      </c>
      <c r="K338" s="35" t="s">
        <v>131</v>
      </c>
      <c r="L338" s="35" t="s">
        <v>131</v>
      </c>
      <c r="M338" s="35" t="s">
        <v>132</v>
      </c>
      <c r="N338" s="35"/>
      <c r="O338" s="3"/>
    </row>
    <row r="339">
      <c r="A339" s="35" t="s">
        <v>10590</v>
      </c>
      <c r="B339" s="39">
        <v>46027.50002314815</v>
      </c>
      <c r="C339" s="35" t="s">
        <v>9814</v>
      </c>
      <c r="D339" s="40" t="s">
        <v>9815</v>
      </c>
      <c r="E339" s="35" t="s">
        <v>10591</v>
      </c>
      <c r="F339" s="40" t="s">
        <v>7109</v>
      </c>
      <c r="G339" s="35" t="s">
        <v>10592</v>
      </c>
      <c r="H339" s="35" t="s">
        <v>10501</v>
      </c>
      <c r="I339" s="35" t="s">
        <v>9817</v>
      </c>
      <c r="J339" s="35" t="s">
        <v>9818</v>
      </c>
      <c r="K339" s="35" t="s">
        <v>131</v>
      </c>
      <c r="L339" s="35" t="s">
        <v>131</v>
      </c>
      <c r="M339" s="35" t="s">
        <v>132</v>
      </c>
      <c r="N339" s="35"/>
      <c r="O339" s="3"/>
    </row>
    <row r="340">
      <c r="A340" s="35" t="s">
        <v>10593</v>
      </c>
      <c r="B340" s="39">
        <v>46027.33403935185</v>
      </c>
      <c r="C340" s="35" t="s">
        <v>10486</v>
      </c>
      <c r="D340" s="40" t="s">
        <v>8055</v>
      </c>
      <c r="E340" s="35" t="s">
        <v>10594</v>
      </c>
      <c r="F340" s="40" t="s">
        <v>9489</v>
      </c>
      <c r="G340" s="35" t="s">
        <v>10595</v>
      </c>
      <c r="H340" s="35" t="s">
        <v>10568</v>
      </c>
      <c r="I340" s="35" t="s">
        <v>10596</v>
      </c>
      <c r="J340" s="35" t="s">
        <v>10597</v>
      </c>
      <c r="K340" s="35" t="s">
        <v>101</v>
      </c>
      <c r="L340" s="35" t="s">
        <v>101</v>
      </c>
      <c r="M340" s="35" t="s">
        <v>511</v>
      </c>
      <c r="N340" s="35"/>
      <c r="O340" s="3"/>
    </row>
    <row r="341">
      <c r="A341" s="35" t="s">
        <v>10598</v>
      </c>
      <c r="B341" s="39">
        <v>46027.426157407404</v>
      </c>
      <c r="C341" s="35" t="s">
        <v>9488</v>
      </c>
      <c r="D341" s="40" t="s">
        <v>9489</v>
      </c>
      <c r="E341" s="35" t="s">
        <v>10486</v>
      </c>
      <c r="F341" s="40" t="s">
        <v>8055</v>
      </c>
      <c r="G341" s="35" t="s">
        <v>10599</v>
      </c>
      <c r="H341" s="35" t="s">
        <v>10568</v>
      </c>
      <c r="I341" s="35" t="s">
        <v>10600</v>
      </c>
      <c r="J341" s="35" t="s">
        <v>10601</v>
      </c>
      <c r="K341" s="35" t="s">
        <v>101</v>
      </c>
      <c r="L341" s="35" t="s">
        <v>101</v>
      </c>
      <c r="M341" s="35" t="s">
        <v>511</v>
      </c>
      <c r="N341" s="35"/>
      <c r="O341" s="3"/>
    </row>
    <row r="342">
      <c r="A342" s="35" t="s">
        <v>10602</v>
      </c>
      <c r="B342" s="39">
        <v>46029.6937962963</v>
      </c>
      <c r="C342" s="35" t="s">
        <v>10486</v>
      </c>
      <c r="D342" s="40" t="s">
        <v>8055</v>
      </c>
      <c r="E342" s="35" t="s">
        <v>9488</v>
      </c>
      <c r="F342" s="40" t="s">
        <v>9489</v>
      </c>
      <c r="G342" s="35" t="s">
        <v>10599</v>
      </c>
      <c r="H342" s="35" t="s">
        <v>10568</v>
      </c>
      <c r="I342" s="35" t="s">
        <v>10603</v>
      </c>
      <c r="J342" s="35" t="s">
        <v>10604</v>
      </c>
      <c r="K342" s="35" t="s">
        <v>101</v>
      </c>
      <c r="L342" s="35" t="s">
        <v>101</v>
      </c>
      <c r="M342" s="35" t="s">
        <v>511</v>
      </c>
      <c r="N342" s="35"/>
      <c r="O342" s="3"/>
    </row>
    <row r="343">
      <c r="A343" s="35" t="s">
        <v>10605</v>
      </c>
      <c r="B343" s="39">
        <v>46029.82927083333</v>
      </c>
      <c r="C343" s="35" t="s">
        <v>9488</v>
      </c>
      <c r="D343" s="40" t="s">
        <v>9489</v>
      </c>
      <c r="E343" s="35" t="s">
        <v>10486</v>
      </c>
      <c r="F343" s="40" t="s">
        <v>8055</v>
      </c>
      <c r="G343" s="35" t="s">
        <v>10599</v>
      </c>
      <c r="H343" s="35" t="s">
        <v>10568</v>
      </c>
      <c r="I343" s="35" t="s">
        <v>10600</v>
      </c>
      <c r="J343" s="35" t="s">
        <v>10606</v>
      </c>
      <c r="K343" s="35" t="s">
        <v>101</v>
      </c>
      <c r="L343" s="35" t="s">
        <v>101</v>
      </c>
      <c r="M343" s="35" t="s">
        <v>511</v>
      </c>
      <c r="N343" s="35"/>
      <c r="O343" s="3"/>
    </row>
    <row r="344">
      <c r="A344" s="35" t="s">
        <v>10607</v>
      </c>
      <c r="B344" s="39">
        <v>46034.35836805556</v>
      </c>
      <c r="C344" s="35" t="s">
        <v>10486</v>
      </c>
      <c r="D344" s="40" t="s">
        <v>8055</v>
      </c>
      <c r="E344" s="35" t="s">
        <v>9488</v>
      </c>
      <c r="F344" s="40" t="s">
        <v>9489</v>
      </c>
      <c r="G344" s="35" t="s">
        <v>10608</v>
      </c>
      <c r="H344" s="40" t="s">
        <v>9489</v>
      </c>
      <c r="I344" s="35" t="s">
        <v>10603</v>
      </c>
      <c r="J344" s="35" t="s">
        <v>10609</v>
      </c>
      <c r="K344" s="35" t="s">
        <v>101</v>
      </c>
      <c r="L344" s="35" t="s">
        <v>101</v>
      </c>
      <c r="M344" s="35" t="s">
        <v>511</v>
      </c>
      <c r="N344" s="35"/>
      <c r="O344" s="3"/>
    </row>
    <row r="345">
      <c r="A345" s="35" t="s">
        <v>10610</v>
      </c>
      <c r="B345" s="39">
        <v>46034.358715277776</v>
      </c>
      <c r="C345" s="35" t="s">
        <v>9627</v>
      </c>
      <c r="D345" s="40" t="s">
        <v>9489</v>
      </c>
      <c r="E345" s="35" t="s">
        <v>7897</v>
      </c>
      <c r="F345" s="40" t="s">
        <v>8055</v>
      </c>
      <c r="G345" s="35" t="s">
        <v>10611</v>
      </c>
      <c r="H345" s="40" t="s">
        <v>9489</v>
      </c>
      <c r="I345" s="35" t="s">
        <v>10612</v>
      </c>
      <c r="J345" s="35" t="s">
        <v>10613</v>
      </c>
      <c r="K345" s="35" t="s">
        <v>101</v>
      </c>
      <c r="L345" s="35" t="s">
        <v>101</v>
      </c>
      <c r="M345" s="35" t="s">
        <v>511</v>
      </c>
      <c r="N345" s="35"/>
      <c r="O345" s="3"/>
    </row>
    <row r="346">
      <c r="A346" s="35" t="s">
        <v>10614</v>
      </c>
      <c r="B346" s="39">
        <v>46034.41841435185</v>
      </c>
      <c r="C346" s="35" t="s">
        <v>9488</v>
      </c>
      <c r="D346" s="40" t="s">
        <v>9489</v>
      </c>
      <c r="E346" s="35" t="s">
        <v>9627</v>
      </c>
      <c r="F346" s="40" t="s">
        <v>9489</v>
      </c>
      <c r="G346" s="35" t="s">
        <v>10615</v>
      </c>
      <c r="H346" s="35" t="s">
        <v>10558</v>
      </c>
      <c r="I346" s="35" t="s">
        <v>10612</v>
      </c>
      <c r="J346" s="35" t="s">
        <v>10616</v>
      </c>
      <c r="K346" s="35" t="s">
        <v>101</v>
      </c>
      <c r="L346" s="35" t="s">
        <v>101</v>
      </c>
      <c r="M346" s="35" t="s">
        <v>511</v>
      </c>
      <c r="N346" s="35"/>
      <c r="O346" s="3"/>
    </row>
    <row r="347">
      <c r="A347" s="35" t="s">
        <v>10617</v>
      </c>
      <c r="B347" s="39">
        <v>46035.35128472222</v>
      </c>
      <c r="C347" s="35" t="s">
        <v>10618</v>
      </c>
      <c r="D347" s="40" t="s">
        <v>9489</v>
      </c>
      <c r="E347" s="35" t="s">
        <v>7897</v>
      </c>
      <c r="F347" s="40" t="s">
        <v>8055</v>
      </c>
      <c r="G347" s="35" t="s">
        <v>10611</v>
      </c>
      <c r="H347" s="40" t="s">
        <v>9489</v>
      </c>
      <c r="I347" s="35" t="s">
        <v>10612</v>
      </c>
      <c r="J347" s="35" t="s">
        <v>10619</v>
      </c>
      <c r="K347" s="35" t="s">
        <v>101</v>
      </c>
      <c r="L347" s="35" t="s">
        <v>101</v>
      </c>
      <c r="M347" s="35" t="s">
        <v>511</v>
      </c>
      <c r="N347" s="35"/>
      <c r="O347" s="3"/>
    </row>
    <row r="348">
      <c r="A348" s="35" t="s">
        <v>10620</v>
      </c>
      <c r="B348" s="39">
        <v>46035.52150462963</v>
      </c>
      <c r="C348" s="35" t="s">
        <v>10486</v>
      </c>
      <c r="D348" s="40" t="s">
        <v>8055</v>
      </c>
      <c r="E348" s="35" t="s">
        <v>10519</v>
      </c>
      <c r="F348" s="40" t="s">
        <v>9489</v>
      </c>
      <c r="G348" s="35" t="s">
        <v>10520</v>
      </c>
      <c r="H348" s="40" t="s">
        <v>9489</v>
      </c>
      <c r="I348" s="35" t="s">
        <v>10621</v>
      </c>
      <c r="J348" s="35" t="s">
        <v>10622</v>
      </c>
      <c r="K348" s="35" t="s">
        <v>101</v>
      </c>
      <c r="L348" s="35" t="s">
        <v>101</v>
      </c>
      <c r="M348" s="35" t="s">
        <v>511</v>
      </c>
      <c r="N348" s="35"/>
      <c r="O348" s="3"/>
    </row>
    <row r="349">
      <c r="A349" s="35" t="s">
        <v>10623</v>
      </c>
      <c r="B349" s="39">
        <v>46027.2993287037</v>
      </c>
      <c r="C349" s="35" t="s">
        <v>10454</v>
      </c>
      <c r="D349" s="40" t="s">
        <v>7109</v>
      </c>
      <c r="E349" s="35" t="s">
        <v>7288</v>
      </c>
      <c r="F349" s="40" t="s">
        <v>9489</v>
      </c>
      <c r="G349" s="35"/>
      <c r="H349" s="35"/>
      <c r="I349" s="35" t="s">
        <v>10624</v>
      </c>
      <c r="J349" s="35" t="s">
        <v>10625</v>
      </c>
      <c r="K349" s="35" t="s">
        <v>131</v>
      </c>
      <c r="L349" s="35" t="s">
        <v>131</v>
      </c>
      <c r="M349" s="35" t="s">
        <v>132</v>
      </c>
      <c r="N349" s="35"/>
      <c r="O349" s="3"/>
    </row>
    <row r="350">
      <c r="A350" s="35" t="s">
        <v>10626</v>
      </c>
      <c r="B350" s="39">
        <v>46027.25</v>
      </c>
      <c r="C350" s="35" t="s">
        <v>9488</v>
      </c>
      <c r="D350" s="40" t="s">
        <v>9489</v>
      </c>
      <c r="E350" s="35" t="s">
        <v>10486</v>
      </c>
      <c r="F350" s="40" t="s">
        <v>8055</v>
      </c>
      <c r="G350" s="35"/>
      <c r="H350" s="35"/>
      <c r="I350" s="35" t="s">
        <v>10627</v>
      </c>
      <c r="J350" s="35" t="s">
        <v>10628</v>
      </c>
      <c r="K350" s="35" t="s">
        <v>101</v>
      </c>
      <c r="L350" s="35" t="s">
        <v>101</v>
      </c>
      <c r="M350" s="35" t="s">
        <v>511</v>
      </c>
      <c r="N350" s="35"/>
      <c r="O350" s="3"/>
    </row>
    <row r="351">
      <c r="A351" s="35" t="s">
        <v>10629</v>
      </c>
      <c r="B351" s="39">
        <v>46024.290127314816</v>
      </c>
      <c r="C351" s="35" t="s">
        <v>10630</v>
      </c>
      <c r="D351" s="40" t="s">
        <v>8055</v>
      </c>
      <c r="E351" s="35" t="s">
        <v>10631</v>
      </c>
      <c r="F351" s="35" t="s">
        <v>10558</v>
      </c>
      <c r="G351" s="35" t="s">
        <v>10632</v>
      </c>
      <c r="H351" s="40" t="s">
        <v>8055</v>
      </c>
      <c r="I351" s="35" t="s">
        <v>10633</v>
      </c>
      <c r="J351" s="35" t="s">
        <v>10634</v>
      </c>
      <c r="K351" s="35" t="s">
        <v>101</v>
      </c>
      <c r="L351" s="35" t="s">
        <v>101</v>
      </c>
      <c r="M351" s="35" t="s">
        <v>511</v>
      </c>
      <c r="N351" s="35"/>
      <c r="O351" s="3"/>
    </row>
    <row r="352">
      <c r="A352" s="35" t="s">
        <v>10635</v>
      </c>
      <c r="B352" s="39">
        <v>46024.29047453703</v>
      </c>
      <c r="C352" s="35" t="s">
        <v>9627</v>
      </c>
      <c r="D352" s="40" t="s">
        <v>9489</v>
      </c>
      <c r="E352" s="35" t="s">
        <v>10636</v>
      </c>
      <c r="F352" s="40" t="s">
        <v>8055</v>
      </c>
      <c r="G352" s="35" t="s">
        <v>10637</v>
      </c>
      <c r="H352" s="35" t="s">
        <v>10558</v>
      </c>
      <c r="I352" s="35" t="s">
        <v>10638</v>
      </c>
      <c r="J352" s="35" t="s">
        <v>10639</v>
      </c>
      <c r="K352" s="35" t="s">
        <v>101</v>
      </c>
      <c r="L352" s="35" t="s">
        <v>101</v>
      </c>
      <c r="M352" s="35" t="s">
        <v>511</v>
      </c>
      <c r="N352" s="35"/>
      <c r="O352" s="3"/>
    </row>
    <row r="353">
      <c r="A353" s="35" t="s">
        <v>10640</v>
      </c>
      <c r="B353" s="39">
        <v>46022.40584490741</v>
      </c>
      <c r="C353" s="35" t="s">
        <v>10630</v>
      </c>
      <c r="D353" s="40" t="s">
        <v>8055</v>
      </c>
      <c r="E353" s="35" t="s">
        <v>10631</v>
      </c>
      <c r="F353" s="35" t="s">
        <v>10558</v>
      </c>
      <c r="G353" s="35" t="s">
        <v>10632</v>
      </c>
      <c r="H353" s="40" t="s">
        <v>8055</v>
      </c>
      <c r="I353" s="35" t="s">
        <v>10641</v>
      </c>
      <c r="J353" s="35" t="s">
        <v>10642</v>
      </c>
      <c r="K353" s="35" t="s">
        <v>101</v>
      </c>
      <c r="L353" s="35" t="s">
        <v>101</v>
      </c>
      <c r="M353" s="35" t="s">
        <v>511</v>
      </c>
      <c r="N353" s="35"/>
      <c r="O353" s="3"/>
    </row>
    <row r="354">
      <c r="A354" s="35" t="s">
        <v>10643</v>
      </c>
      <c r="B354" s="39">
        <v>46022.40628472222</v>
      </c>
      <c r="C354" s="35" t="s">
        <v>9627</v>
      </c>
      <c r="D354" s="40" t="s">
        <v>9489</v>
      </c>
      <c r="E354" s="35" t="s">
        <v>10636</v>
      </c>
      <c r="F354" s="40" t="s">
        <v>8055</v>
      </c>
      <c r="G354" s="35" t="s">
        <v>10637</v>
      </c>
      <c r="H354" s="35" t="s">
        <v>10558</v>
      </c>
      <c r="I354" s="35" t="s">
        <v>10644</v>
      </c>
      <c r="J354" s="35" t="s">
        <v>10645</v>
      </c>
      <c r="K354" s="35" t="s">
        <v>101</v>
      </c>
      <c r="L354" s="35" t="s">
        <v>101</v>
      </c>
      <c r="M354" s="35" t="s">
        <v>511</v>
      </c>
      <c r="N354" s="35"/>
      <c r="O354" s="3"/>
    </row>
    <row r="355">
      <c r="A355" s="35" t="s">
        <v>10646</v>
      </c>
      <c r="B355" s="39">
        <v>46027.124872685185</v>
      </c>
      <c r="C355" s="35" t="s">
        <v>10618</v>
      </c>
      <c r="D355" s="40" t="s">
        <v>9489</v>
      </c>
      <c r="E355" s="35" t="s">
        <v>10636</v>
      </c>
      <c r="F355" s="40" t="s">
        <v>8055</v>
      </c>
      <c r="G355" s="35" t="s">
        <v>10637</v>
      </c>
      <c r="H355" s="35" t="s">
        <v>10558</v>
      </c>
      <c r="I355" s="35" t="s">
        <v>10644</v>
      </c>
      <c r="J355" s="35" t="s">
        <v>10647</v>
      </c>
      <c r="K355" s="35" t="s">
        <v>101</v>
      </c>
      <c r="L355" s="35" t="s">
        <v>101</v>
      </c>
      <c r="M355" s="35" t="s">
        <v>511</v>
      </c>
      <c r="N355" s="35"/>
      <c r="O355" s="3"/>
    </row>
    <row r="356">
      <c r="A356" s="35" t="s">
        <v>10648</v>
      </c>
      <c r="B356" s="39">
        <v>46015.54104166667</v>
      </c>
      <c r="C356" s="35" t="s">
        <v>10630</v>
      </c>
      <c r="D356" s="40" t="s">
        <v>8055</v>
      </c>
      <c r="E356" s="35" t="s">
        <v>10649</v>
      </c>
      <c r="F356" s="35" t="s">
        <v>10558</v>
      </c>
      <c r="G356" s="35" t="s">
        <v>10650</v>
      </c>
      <c r="H356" s="40" t="s">
        <v>9489</v>
      </c>
      <c r="I356" s="35" t="s">
        <v>10651</v>
      </c>
      <c r="J356" s="35" t="s">
        <v>10652</v>
      </c>
      <c r="K356" s="35" t="s">
        <v>101</v>
      </c>
      <c r="L356" s="35" t="s">
        <v>101</v>
      </c>
      <c r="M356" s="35" t="s">
        <v>511</v>
      </c>
      <c r="N356" s="35"/>
      <c r="O356" s="3"/>
    </row>
    <row r="357">
      <c r="A357" s="35" t="s">
        <v>10653</v>
      </c>
      <c r="B357" s="39">
        <v>46015.542349537034</v>
      </c>
      <c r="C357" s="35" t="s">
        <v>10630</v>
      </c>
      <c r="D357" s="40" t="s">
        <v>8055</v>
      </c>
      <c r="E357" s="35" t="s">
        <v>10654</v>
      </c>
      <c r="F357" s="35" t="s">
        <v>10558</v>
      </c>
      <c r="G357" s="35" t="s">
        <v>10650</v>
      </c>
      <c r="H357" s="40" t="s">
        <v>9489</v>
      </c>
      <c r="I357" s="35" t="s">
        <v>10651</v>
      </c>
      <c r="J357" s="35" t="s">
        <v>10655</v>
      </c>
      <c r="K357" s="35" t="s">
        <v>101</v>
      </c>
      <c r="L357" s="35" t="s">
        <v>101</v>
      </c>
      <c r="M357" s="35" t="s">
        <v>511</v>
      </c>
      <c r="N357" s="35"/>
      <c r="O357" s="3"/>
    </row>
    <row r="358">
      <c r="A358" s="35" t="s">
        <v>10656</v>
      </c>
      <c r="B358" s="39">
        <v>46015.65502314815</v>
      </c>
      <c r="C358" s="35" t="s">
        <v>10486</v>
      </c>
      <c r="D358" s="40" t="s">
        <v>8055</v>
      </c>
      <c r="E358" s="35" t="s">
        <v>10657</v>
      </c>
      <c r="F358" s="35" t="s">
        <v>10558</v>
      </c>
      <c r="G358" s="35" t="s">
        <v>10650</v>
      </c>
      <c r="H358" s="40" t="s">
        <v>9489</v>
      </c>
      <c r="I358" s="35" t="s">
        <v>10658</v>
      </c>
      <c r="J358" s="35" t="s">
        <v>10659</v>
      </c>
      <c r="K358" s="35" t="s">
        <v>101</v>
      </c>
      <c r="L358" s="35" t="s">
        <v>101</v>
      </c>
      <c r="M358" s="35" t="s">
        <v>511</v>
      </c>
      <c r="N358" s="35"/>
      <c r="O358" s="3"/>
    </row>
    <row r="359">
      <c r="A359" s="35" t="s">
        <v>10660</v>
      </c>
      <c r="B359" s="39">
        <v>46017.33861111111</v>
      </c>
      <c r="C359" s="35" t="s">
        <v>10661</v>
      </c>
      <c r="D359" s="40" t="s">
        <v>9489</v>
      </c>
      <c r="E359" s="35" t="s">
        <v>10486</v>
      </c>
      <c r="F359" s="40" t="s">
        <v>8055</v>
      </c>
      <c r="G359" s="35" t="s">
        <v>10662</v>
      </c>
      <c r="H359" s="35" t="s">
        <v>10558</v>
      </c>
      <c r="I359" s="35" t="s">
        <v>10658</v>
      </c>
      <c r="J359" s="35" t="s">
        <v>10663</v>
      </c>
      <c r="K359" s="35" t="s">
        <v>101</v>
      </c>
      <c r="L359" s="35" t="s">
        <v>101</v>
      </c>
      <c r="M359" s="35" t="s">
        <v>511</v>
      </c>
      <c r="N359" s="35"/>
      <c r="O359" s="3"/>
    </row>
    <row r="360">
      <c r="A360" s="35" t="s">
        <v>10664</v>
      </c>
      <c r="B360" s="39">
        <v>46017.71116898148</v>
      </c>
      <c r="C360" s="35" t="s">
        <v>10661</v>
      </c>
      <c r="D360" s="40" t="s">
        <v>9489</v>
      </c>
      <c r="E360" s="35" t="s">
        <v>10486</v>
      </c>
      <c r="F360" s="40" t="s">
        <v>8055</v>
      </c>
      <c r="G360" s="35" t="s">
        <v>10662</v>
      </c>
      <c r="H360" s="35" t="s">
        <v>10558</v>
      </c>
      <c r="I360" s="35" t="s">
        <v>10658</v>
      </c>
      <c r="J360" s="35" t="s">
        <v>10665</v>
      </c>
      <c r="K360" s="35" t="s">
        <v>101</v>
      </c>
      <c r="L360" s="35" t="s">
        <v>101</v>
      </c>
      <c r="M360" s="35" t="s">
        <v>511</v>
      </c>
      <c r="N360" s="35"/>
      <c r="O360" s="3"/>
    </row>
    <row r="361">
      <c r="A361" s="35" t="s">
        <v>10666</v>
      </c>
      <c r="B361" s="39">
        <v>46020.296319444446</v>
      </c>
      <c r="C361" s="35" t="s">
        <v>10630</v>
      </c>
      <c r="D361" s="40" t="s">
        <v>8055</v>
      </c>
      <c r="E361" s="35" t="s">
        <v>10667</v>
      </c>
      <c r="F361" s="35" t="s">
        <v>10568</v>
      </c>
      <c r="G361" s="35" t="s">
        <v>10668</v>
      </c>
      <c r="H361" s="35" t="s">
        <v>10558</v>
      </c>
      <c r="I361" s="35" t="s">
        <v>10651</v>
      </c>
      <c r="J361" s="35" t="s">
        <v>10669</v>
      </c>
      <c r="K361" s="35" t="s">
        <v>101</v>
      </c>
      <c r="L361" s="35" t="s">
        <v>101</v>
      </c>
      <c r="M361" s="35" t="s">
        <v>511</v>
      </c>
      <c r="N361" s="35"/>
      <c r="O361" s="3"/>
    </row>
    <row r="362">
      <c r="A362" s="35" t="s">
        <v>10670</v>
      </c>
      <c r="B362" s="39">
        <v>46020.47150462963</v>
      </c>
      <c r="C362" s="35" t="s">
        <v>10486</v>
      </c>
      <c r="D362" s="40" t="s">
        <v>8055</v>
      </c>
      <c r="E362" s="35" t="s">
        <v>10671</v>
      </c>
      <c r="F362" s="35" t="s">
        <v>10558</v>
      </c>
      <c r="G362" s="35" t="s">
        <v>10668</v>
      </c>
      <c r="H362" s="35" t="s">
        <v>10558</v>
      </c>
      <c r="I362" s="35" t="s">
        <v>10651</v>
      </c>
      <c r="J362" s="35" t="s">
        <v>10672</v>
      </c>
      <c r="K362" s="35" t="s">
        <v>101</v>
      </c>
      <c r="L362" s="35" t="s">
        <v>101</v>
      </c>
      <c r="M362" s="35" t="s">
        <v>511</v>
      </c>
      <c r="N362" s="35"/>
      <c r="O362" s="3"/>
    </row>
    <row r="363">
      <c r="A363" s="35" t="s">
        <v>10673</v>
      </c>
      <c r="B363" s="39">
        <v>46021.63528935185</v>
      </c>
      <c r="C363" s="35" t="s">
        <v>10661</v>
      </c>
      <c r="D363" s="40" t="s">
        <v>9489</v>
      </c>
      <c r="E363" s="35" t="s">
        <v>10486</v>
      </c>
      <c r="F363" s="40" t="s">
        <v>8055</v>
      </c>
      <c r="G363" s="35" t="s">
        <v>10662</v>
      </c>
      <c r="H363" s="35" t="s">
        <v>10558</v>
      </c>
      <c r="I363" s="35" t="s">
        <v>10658</v>
      </c>
      <c r="J363" s="35" t="s">
        <v>10674</v>
      </c>
      <c r="K363" s="35" t="s">
        <v>101</v>
      </c>
      <c r="L363" s="35" t="s">
        <v>101</v>
      </c>
      <c r="M363" s="35" t="s">
        <v>511</v>
      </c>
      <c r="N363" s="35"/>
      <c r="O363" s="3"/>
    </row>
    <row r="364">
      <c r="A364" s="35" t="s">
        <v>10675</v>
      </c>
      <c r="B364" s="39">
        <v>46021.687581018516</v>
      </c>
      <c r="C364" s="35" t="s">
        <v>9496</v>
      </c>
      <c r="D364" s="40" t="s">
        <v>9489</v>
      </c>
      <c r="E364" s="35" t="s">
        <v>7374</v>
      </c>
      <c r="F364" s="40" t="s">
        <v>9489</v>
      </c>
      <c r="G364" s="35" t="s">
        <v>10676</v>
      </c>
      <c r="H364" s="35" t="s">
        <v>10558</v>
      </c>
      <c r="I364" s="35" t="s">
        <v>10658</v>
      </c>
      <c r="J364" s="35" t="s">
        <v>10677</v>
      </c>
      <c r="K364" s="35" t="s">
        <v>101</v>
      </c>
      <c r="L364" s="35" t="s">
        <v>101</v>
      </c>
      <c r="M364" s="35" t="s">
        <v>511</v>
      </c>
      <c r="N364" s="35"/>
      <c r="O364" s="3"/>
    </row>
    <row r="365">
      <c r="A365" s="35" t="s">
        <v>10678</v>
      </c>
      <c r="B365" s="39">
        <v>46022.40405092592</v>
      </c>
      <c r="C365" s="35" t="s">
        <v>10661</v>
      </c>
      <c r="D365" s="40" t="s">
        <v>9489</v>
      </c>
      <c r="E365" s="35" t="s">
        <v>9496</v>
      </c>
      <c r="F365" s="40" t="s">
        <v>9489</v>
      </c>
      <c r="G365" s="35" t="s">
        <v>10676</v>
      </c>
      <c r="H365" s="35" t="s">
        <v>10558</v>
      </c>
      <c r="I365" s="35" t="s">
        <v>10658</v>
      </c>
      <c r="J365" s="35" t="s">
        <v>10679</v>
      </c>
      <c r="K365" s="35" t="s">
        <v>101</v>
      </c>
      <c r="L365" s="35" t="s">
        <v>101</v>
      </c>
      <c r="M365" s="35" t="s">
        <v>511</v>
      </c>
      <c r="N365" s="35"/>
      <c r="O365" s="3"/>
    </row>
    <row r="366">
      <c r="A366" s="35" t="s">
        <v>10680</v>
      </c>
      <c r="B366" s="39">
        <v>46022.406875</v>
      </c>
      <c r="C366" s="35" t="s">
        <v>10630</v>
      </c>
      <c r="D366" s="40" t="s">
        <v>8055</v>
      </c>
      <c r="E366" s="35" t="s">
        <v>10681</v>
      </c>
      <c r="F366" s="40" t="s">
        <v>9489</v>
      </c>
      <c r="G366" s="35" t="s">
        <v>10682</v>
      </c>
      <c r="H366" s="35" t="s">
        <v>10558</v>
      </c>
      <c r="I366" s="35" t="s">
        <v>10651</v>
      </c>
      <c r="J366" s="35" t="s">
        <v>10683</v>
      </c>
      <c r="K366" s="35" t="s">
        <v>101</v>
      </c>
      <c r="L366" s="35" t="s">
        <v>101</v>
      </c>
      <c r="M366" s="35" t="s">
        <v>511</v>
      </c>
      <c r="N366" s="35"/>
      <c r="O366" s="3"/>
    </row>
    <row r="367">
      <c r="A367" s="35" t="s">
        <v>10684</v>
      </c>
      <c r="B367" s="39">
        <v>46022.47032407408</v>
      </c>
      <c r="C367" s="35" t="s">
        <v>10661</v>
      </c>
      <c r="D367" s="40" t="s">
        <v>9489</v>
      </c>
      <c r="E367" s="35" t="s">
        <v>10630</v>
      </c>
      <c r="F367" s="40" t="s">
        <v>8055</v>
      </c>
      <c r="G367" s="35" t="s">
        <v>10685</v>
      </c>
      <c r="H367" s="35" t="s">
        <v>10568</v>
      </c>
      <c r="I367" s="35" t="s">
        <v>10658</v>
      </c>
      <c r="J367" s="35" t="s">
        <v>10686</v>
      </c>
      <c r="K367" s="35" t="s">
        <v>101</v>
      </c>
      <c r="L367" s="35" t="s">
        <v>101</v>
      </c>
      <c r="M367" s="35" t="s">
        <v>511</v>
      </c>
      <c r="N367" s="35"/>
      <c r="O367" s="3"/>
    </row>
    <row r="368">
      <c r="A368" s="35" t="s">
        <v>10687</v>
      </c>
      <c r="B368" s="39">
        <v>46022.47552083334</v>
      </c>
      <c r="C368" s="35" t="s">
        <v>10486</v>
      </c>
      <c r="D368" s="40" t="s">
        <v>8055</v>
      </c>
      <c r="E368" s="35" t="s">
        <v>10688</v>
      </c>
      <c r="F368" s="35" t="s">
        <v>10558</v>
      </c>
      <c r="G368" s="35" t="s">
        <v>10689</v>
      </c>
      <c r="H368" s="35" t="s">
        <v>10558</v>
      </c>
      <c r="I368" s="35" t="s">
        <v>10658</v>
      </c>
      <c r="J368" s="35" t="s">
        <v>10690</v>
      </c>
      <c r="K368" s="35" t="s">
        <v>101</v>
      </c>
      <c r="L368" s="35" t="s">
        <v>101</v>
      </c>
      <c r="M368" s="35" t="s">
        <v>511</v>
      </c>
      <c r="N368" s="35"/>
      <c r="O368" s="3"/>
    </row>
    <row r="369">
      <c r="A369" s="35" t="s">
        <v>10691</v>
      </c>
      <c r="B369" s="39">
        <v>46022.47829861111</v>
      </c>
      <c r="C369" s="35" t="s">
        <v>10661</v>
      </c>
      <c r="D369" s="40" t="s">
        <v>9489</v>
      </c>
      <c r="E369" s="35" t="s">
        <v>10486</v>
      </c>
      <c r="F369" s="40" t="s">
        <v>8055</v>
      </c>
      <c r="G369" s="35" t="s">
        <v>10692</v>
      </c>
      <c r="H369" s="35" t="s">
        <v>10558</v>
      </c>
      <c r="I369" s="35" t="s">
        <v>10658</v>
      </c>
      <c r="J369" s="35" t="s">
        <v>10693</v>
      </c>
      <c r="K369" s="35" t="s">
        <v>101</v>
      </c>
      <c r="L369" s="35" t="s">
        <v>101</v>
      </c>
      <c r="M369" s="35" t="s">
        <v>511</v>
      </c>
      <c r="N369" s="35"/>
      <c r="O369" s="3"/>
    </row>
    <row r="370">
      <c r="A370" s="35" t="s">
        <v>10694</v>
      </c>
      <c r="B370" s="39">
        <v>46022.48211805556</v>
      </c>
      <c r="C370" s="35" t="s">
        <v>10630</v>
      </c>
      <c r="D370" s="40" t="s">
        <v>8055</v>
      </c>
      <c r="E370" s="35" t="s">
        <v>10695</v>
      </c>
      <c r="F370" s="35" t="s">
        <v>10568</v>
      </c>
      <c r="G370" s="35" t="s">
        <v>10696</v>
      </c>
      <c r="H370" s="35" t="s">
        <v>10568</v>
      </c>
      <c r="I370" s="35" t="s">
        <v>10651</v>
      </c>
      <c r="J370" s="35" t="s">
        <v>10697</v>
      </c>
      <c r="K370" s="35" t="s">
        <v>101</v>
      </c>
      <c r="L370" s="35" t="s">
        <v>101</v>
      </c>
      <c r="M370" s="35" t="s">
        <v>511</v>
      </c>
      <c r="N370" s="35"/>
      <c r="O370" s="3"/>
    </row>
    <row r="371">
      <c r="A371" s="35" t="s">
        <v>10698</v>
      </c>
      <c r="B371" s="39">
        <v>46023.816041666665</v>
      </c>
      <c r="C371" s="35" t="s">
        <v>10661</v>
      </c>
      <c r="D371" s="40" t="s">
        <v>9489</v>
      </c>
      <c r="E371" s="35" t="s">
        <v>10630</v>
      </c>
      <c r="F371" s="40" t="s">
        <v>8055</v>
      </c>
      <c r="G371" s="35" t="s">
        <v>10699</v>
      </c>
      <c r="H371" s="35" t="s">
        <v>10558</v>
      </c>
      <c r="I371" s="35" t="s">
        <v>10658</v>
      </c>
      <c r="J371" s="35" t="s">
        <v>10700</v>
      </c>
      <c r="K371" s="35" t="s">
        <v>101</v>
      </c>
      <c r="L371" s="35" t="s">
        <v>101</v>
      </c>
      <c r="M371" s="35" t="s">
        <v>511</v>
      </c>
      <c r="N371" s="35"/>
      <c r="O371" s="3"/>
    </row>
    <row r="372">
      <c r="A372" s="35" t="s">
        <v>10701</v>
      </c>
      <c r="B372" s="39">
        <v>46024.3343287037</v>
      </c>
      <c r="C372" s="35" t="s">
        <v>10702</v>
      </c>
      <c r="D372" s="40" t="s">
        <v>8055</v>
      </c>
      <c r="E372" s="35" t="s">
        <v>10703</v>
      </c>
      <c r="F372" s="35" t="s">
        <v>10558</v>
      </c>
      <c r="G372" s="35" t="s">
        <v>10696</v>
      </c>
      <c r="H372" s="35" t="s">
        <v>10568</v>
      </c>
      <c r="I372" s="35" t="s">
        <v>10651</v>
      </c>
      <c r="J372" s="35" t="s">
        <v>10704</v>
      </c>
      <c r="K372" s="35" t="s">
        <v>101</v>
      </c>
      <c r="L372" s="35" t="s">
        <v>101</v>
      </c>
      <c r="M372" s="35" t="s">
        <v>511</v>
      </c>
      <c r="N372" s="35"/>
      <c r="O372" s="3"/>
    </row>
    <row r="373">
      <c r="A373" s="35" t="s">
        <v>10705</v>
      </c>
      <c r="B373" s="39">
        <v>46024.3575925926</v>
      </c>
      <c r="C373" s="35" t="s">
        <v>10661</v>
      </c>
      <c r="D373" s="40" t="s">
        <v>9489</v>
      </c>
      <c r="E373" s="35" t="s">
        <v>10702</v>
      </c>
      <c r="F373" s="40" t="s">
        <v>8055</v>
      </c>
      <c r="G373" s="35" t="s">
        <v>10706</v>
      </c>
      <c r="H373" s="35" t="s">
        <v>10558</v>
      </c>
      <c r="I373" s="35" t="s">
        <v>10658</v>
      </c>
      <c r="J373" s="35" t="s">
        <v>10707</v>
      </c>
      <c r="K373" s="35" t="s">
        <v>101</v>
      </c>
      <c r="L373" s="35" t="s">
        <v>101</v>
      </c>
      <c r="M373" s="35" t="s">
        <v>511</v>
      </c>
      <c r="N373" s="35"/>
      <c r="O373" s="3"/>
    </row>
    <row r="374">
      <c r="A374" s="35" t="s">
        <v>10708</v>
      </c>
      <c r="B374" s="39">
        <v>46027.31452546296</v>
      </c>
      <c r="C374" s="35" t="s">
        <v>10486</v>
      </c>
      <c r="D374" s="40" t="s">
        <v>8055</v>
      </c>
      <c r="E374" s="35" t="s">
        <v>10709</v>
      </c>
      <c r="F374" s="35" t="s">
        <v>10568</v>
      </c>
      <c r="G374" s="35" t="s">
        <v>10692</v>
      </c>
      <c r="H374" s="35" t="s">
        <v>10558</v>
      </c>
      <c r="I374" s="35" t="s">
        <v>10651</v>
      </c>
      <c r="J374" s="35" t="s">
        <v>10710</v>
      </c>
      <c r="K374" s="35" t="s">
        <v>101</v>
      </c>
      <c r="L374" s="35" t="s">
        <v>101</v>
      </c>
      <c r="M374" s="35" t="s">
        <v>511</v>
      </c>
      <c r="N374" s="35"/>
      <c r="O374" s="3"/>
    </row>
    <row r="375">
      <c r="A375" s="35" t="s">
        <v>10711</v>
      </c>
      <c r="B375" s="39">
        <v>46027.331932870366</v>
      </c>
      <c r="C375" s="35" t="s">
        <v>10486</v>
      </c>
      <c r="D375" s="40" t="s">
        <v>8055</v>
      </c>
      <c r="E375" s="35" t="s">
        <v>10594</v>
      </c>
      <c r="F375" s="40" t="s">
        <v>9489</v>
      </c>
      <c r="G375" s="35" t="s">
        <v>10712</v>
      </c>
      <c r="H375" s="35" t="s">
        <v>10558</v>
      </c>
      <c r="I375" s="35" t="s">
        <v>10651</v>
      </c>
      <c r="J375" s="35" t="s">
        <v>10713</v>
      </c>
      <c r="K375" s="35" t="s">
        <v>101</v>
      </c>
      <c r="L375" s="35" t="s">
        <v>101</v>
      </c>
      <c r="M375" s="35" t="s">
        <v>511</v>
      </c>
      <c r="N375" s="35"/>
      <c r="O375" s="3"/>
    </row>
    <row r="376">
      <c r="A376" s="35" t="s">
        <v>10714</v>
      </c>
      <c r="B376" s="39">
        <v>46027.35356481481</v>
      </c>
      <c r="C376" s="35" t="s">
        <v>10661</v>
      </c>
      <c r="D376" s="40" t="s">
        <v>9489</v>
      </c>
      <c r="E376" s="35" t="s">
        <v>10486</v>
      </c>
      <c r="F376" s="40" t="s">
        <v>8055</v>
      </c>
      <c r="G376" s="35" t="s">
        <v>10715</v>
      </c>
      <c r="H376" s="35" t="s">
        <v>10568</v>
      </c>
      <c r="I376" s="35" t="s">
        <v>10658</v>
      </c>
      <c r="J376" s="35" t="s">
        <v>10716</v>
      </c>
      <c r="K376" s="35" t="s">
        <v>101</v>
      </c>
      <c r="L376" s="35" t="s">
        <v>101</v>
      </c>
      <c r="M376" s="35" t="s">
        <v>511</v>
      </c>
      <c r="N376" s="35"/>
      <c r="O376" s="3"/>
    </row>
    <row r="377">
      <c r="A377" s="35" t="s">
        <v>10717</v>
      </c>
      <c r="B377" s="39">
        <v>46027.41998842593</v>
      </c>
      <c r="C377" s="35" t="s">
        <v>10661</v>
      </c>
      <c r="D377" s="40" t="s">
        <v>9489</v>
      </c>
      <c r="E377" s="35" t="s">
        <v>10486</v>
      </c>
      <c r="F377" s="40" t="s">
        <v>8055</v>
      </c>
      <c r="G377" s="35" t="s">
        <v>10715</v>
      </c>
      <c r="H377" s="35" t="s">
        <v>10568</v>
      </c>
      <c r="I377" s="35" t="s">
        <v>10658</v>
      </c>
      <c r="J377" s="35" t="s">
        <v>10718</v>
      </c>
      <c r="K377" s="35" t="s">
        <v>101</v>
      </c>
      <c r="L377" s="35" t="s">
        <v>101</v>
      </c>
      <c r="M377" s="35" t="s">
        <v>511</v>
      </c>
      <c r="N377" s="35"/>
      <c r="O377" s="3"/>
    </row>
    <row r="378">
      <c r="A378" s="35" t="s">
        <v>10719</v>
      </c>
      <c r="B378" s="39">
        <v>46028.606203703705</v>
      </c>
      <c r="C378" s="35" t="s">
        <v>10630</v>
      </c>
      <c r="D378" s="40" t="s">
        <v>8055</v>
      </c>
      <c r="E378" s="35" t="s">
        <v>10667</v>
      </c>
      <c r="F378" s="35" t="s">
        <v>10568</v>
      </c>
      <c r="G378" s="35" t="s">
        <v>10720</v>
      </c>
      <c r="H378" s="35" t="s">
        <v>10568</v>
      </c>
      <c r="I378" s="35" t="s">
        <v>10651</v>
      </c>
      <c r="J378" s="35" t="s">
        <v>10721</v>
      </c>
      <c r="K378" s="35" t="s">
        <v>101</v>
      </c>
      <c r="L378" s="35" t="s">
        <v>101</v>
      </c>
      <c r="M378" s="35" t="s">
        <v>511</v>
      </c>
      <c r="N378" s="35"/>
      <c r="O378" s="3"/>
    </row>
    <row r="379">
      <c r="A379" s="35" t="s">
        <v>10722</v>
      </c>
      <c r="B379" s="39">
        <v>46028.61033564815</v>
      </c>
      <c r="C379" s="35" t="s">
        <v>10486</v>
      </c>
      <c r="D379" s="40" t="s">
        <v>8055</v>
      </c>
      <c r="E379" s="35" t="s">
        <v>10671</v>
      </c>
      <c r="F379" s="35" t="s">
        <v>10558</v>
      </c>
      <c r="G379" s="35" t="s">
        <v>10720</v>
      </c>
      <c r="H379" s="35" t="s">
        <v>10568</v>
      </c>
      <c r="I379" s="35" t="s">
        <v>10651</v>
      </c>
      <c r="J379" s="35" t="s">
        <v>10723</v>
      </c>
      <c r="K379" s="35" t="s">
        <v>101</v>
      </c>
      <c r="L379" s="35" t="s">
        <v>101</v>
      </c>
      <c r="M379" s="35" t="s">
        <v>511</v>
      </c>
      <c r="N379" s="35"/>
      <c r="O379" s="3"/>
    </row>
    <row r="380">
      <c r="A380" s="35" t="s">
        <v>10724</v>
      </c>
      <c r="B380" s="39">
        <v>46028.622928240744</v>
      </c>
      <c r="C380" s="35" t="s">
        <v>10661</v>
      </c>
      <c r="D380" s="40" t="s">
        <v>9489</v>
      </c>
      <c r="E380" s="35" t="s">
        <v>10486</v>
      </c>
      <c r="F380" s="40" t="s">
        <v>8055</v>
      </c>
      <c r="G380" s="35" t="s">
        <v>10725</v>
      </c>
      <c r="H380" s="35" t="s">
        <v>10558</v>
      </c>
      <c r="I380" s="35" t="s">
        <v>10658</v>
      </c>
      <c r="J380" s="35" t="s">
        <v>10726</v>
      </c>
      <c r="K380" s="35" t="s">
        <v>101</v>
      </c>
      <c r="L380" s="35" t="s">
        <v>101</v>
      </c>
      <c r="M380" s="35" t="s">
        <v>511</v>
      </c>
      <c r="N380" s="35"/>
      <c r="O380" s="3"/>
    </row>
    <row r="381">
      <c r="A381" s="35" t="s">
        <v>10727</v>
      </c>
      <c r="B381" s="39">
        <v>46036.33196759259</v>
      </c>
      <c r="C381" s="35" t="s">
        <v>10486</v>
      </c>
      <c r="D381" s="40" t="s">
        <v>8055</v>
      </c>
      <c r="E381" s="35" t="s">
        <v>10671</v>
      </c>
      <c r="F381" s="35" t="s">
        <v>10558</v>
      </c>
      <c r="G381" s="35" t="s">
        <v>10720</v>
      </c>
      <c r="H381" s="35" t="s">
        <v>10568</v>
      </c>
      <c r="I381" s="35" t="s">
        <v>10651</v>
      </c>
      <c r="J381" s="35" t="s">
        <v>10728</v>
      </c>
      <c r="K381" s="35" t="s">
        <v>101</v>
      </c>
      <c r="L381" s="35" t="s">
        <v>101</v>
      </c>
      <c r="M381" s="35" t="s">
        <v>511</v>
      </c>
      <c r="N381" s="35"/>
      <c r="O381" s="3"/>
    </row>
    <row r="382">
      <c r="A382" s="35" t="s">
        <v>10729</v>
      </c>
      <c r="B382" s="39">
        <v>46036.33237268518</v>
      </c>
      <c r="C382" s="35" t="s">
        <v>9627</v>
      </c>
      <c r="D382" s="40" t="s">
        <v>9489</v>
      </c>
      <c r="E382" s="35" t="s">
        <v>7897</v>
      </c>
      <c r="F382" s="40" t="s">
        <v>8055</v>
      </c>
      <c r="G382" s="35" t="s">
        <v>10730</v>
      </c>
      <c r="H382" s="35" t="s">
        <v>10558</v>
      </c>
      <c r="I382" s="35" t="s">
        <v>10731</v>
      </c>
      <c r="J382" s="35" t="s">
        <v>10732</v>
      </c>
      <c r="K382" s="35" t="s">
        <v>101</v>
      </c>
      <c r="L382" s="35" t="s">
        <v>101</v>
      </c>
      <c r="M382" s="35" t="s">
        <v>511</v>
      </c>
      <c r="N382" s="35"/>
      <c r="O382" s="3"/>
    </row>
    <row r="383">
      <c r="A383" s="35" t="s">
        <v>10733</v>
      </c>
      <c r="B383" s="39">
        <v>46036.33861111111</v>
      </c>
      <c r="C383" s="35" t="s">
        <v>10630</v>
      </c>
      <c r="D383" s="40" t="s">
        <v>8055</v>
      </c>
      <c r="E383" s="35" t="s">
        <v>10734</v>
      </c>
      <c r="F383" s="35" t="s">
        <v>10558</v>
      </c>
      <c r="G383" s="35" t="s">
        <v>10720</v>
      </c>
      <c r="H383" s="35" t="s">
        <v>10568</v>
      </c>
      <c r="I383" s="35" t="s">
        <v>10651</v>
      </c>
      <c r="J383" s="35" t="s">
        <v>10735</v>
      </c>
      <c r="K383" s="35" t="s">
        <v>101</v>
      </c>
      <c r="L383" s="35" t="s">
        <v>101</v>
      </c>
      <c r="M383" s="35" t="s">
        <v>511</v>
      </c>
      <c r="N383" s="35"/>
      <c r="O383" s="3"/>
    </row>
    <row r="384">
      <c r="A384" s="35" t="s">
        <v>10736</v>
      </c>
      <c r="B384" s="39">
        <v>46036.34162037037</v>
      </c>
      <c r="C384" s="35" t="s">
        <v>10486</v>
      </c>
      <c r="D384" s="40" t="s">
        <v>8055</v>
      </c>
      <c r="E384" s="35" t="s">
        <v>10737</v>
      </c>
      <c r="F384" s="35" t="s">
        <v>10558</v>
      </c>
      <c r="G384" s="35" t="s">
        <v>10720</v>
      </c>
      <c r="H384" s="35" t="s">
        <v>10568</v>
      </c>
      <c r="I384" s="35" t="s">
        <v>10651</v>
      </c>
      <c r="J384" s="35" t="s">
        <v>10738</v>
      </c>
      <c r="K384" s="35" t="s">
        <v>101</v>
      </c>
      <c r="L384" s="35" t="s">
        <v>101</v>
      </c>
      <c r="M384" s="35" t="s">
        <v>511</v>
      </c>
      <c r="N384" s="35"/>
      <c r="O384" s="3"/>
    </row>
    <row r="385">
      <c r="A385" s="35" t="s">
        <v>10739</v>
      </c>
      <c r="B385" s="39">
        <v>46015.374085648145</v>
      </c>
      <c r="C385" s="35" t="s">
        <v>10486</v>
      </c>
      <c r="D385" s="40" t="s">
        <v>8055</v>
      </c>
      <c r="E385" s="35" t="s">
        <v>10740</v>
      </c>
      <c r="F385" s="40" t="s">
        <v>9489</v>
      </c>
      <c r="G385" s="35"/>
      <c r="H385" s="35"/>
      <c r="I385" s="35" t="s">
        <v>10741</v>
      </c>
      <c r="J385" s="35" t="s">
        <v>10742</v>
      </c>
      <c r="K385" s="35" t="s">
        <v>101</v>
      </c>
      <c r="L385" s="35" t="s">
        <v>101</v>
      </c>
      <c r="M385" s="35" t="s">
        <v>511</v>
      </c>
      <c r="N385" s="35"/>
      <c r="O385" s="3"/>
    </row>
    <row r="386">
      <c r="A386" s="35" t="s">
        <v>10743</v>
      </c>
      <c r="B386" s="39">
        <v>46015.37443287037</v>
      </c>
      <c r="C386" s="35" t="s">
        <v>9627</v>
      </c>
      <c r="D386" s="40" t="s">
        <v>9489</v>
      </c>
      <c r="E386" s="35" t="s">
        <v>7897</v>
      </c>
      <c r="F386" s="40" t="s">
        <v>8055</v>
      </c>
      <c r="G386" s="35" t="s">
        <v>10611</v>
      </c>
      <c r="H386" s="40" t="s">
        <v>9489</v>
      </c>
      <c r="I386" s="35" t="s">
        <v>10744</v>
      </c>
      <c r="J386" s="35" t="s">
        <v>10745</v>
      </c>
      <c r="K386" s="35" t="s">
        <v>101</v>
      </c>
      <c r="L386" s="35" t="s">
        <v>101</v>
      </c>
      <c r="M386" s="35" t="s">
        <v>511</v>
      </c>
      <c r="N386" s="35"/>
      <c r="O386" s="3"/>
    </row>
    <row r="387">
      <c r="A387" s="35" t="s">
        <v>10746</v>
      </c>
      <c r="B387" s="39">
        <v>46015.38375</v>
      </c>
      <c r="C387" s="35" t="s">
        <v>10661</v>
      </c>
      <c r="D387" s="40" t="s">
        <v>9489</v>
      </c>
      <c r="E387" s="35" t="s">
        <v>9627</v>
      </c>
      <c r="F387" s="40" t="s">
        <v>9489</v>
      </c>
      <c r="G387" s="35" t="s">
        <v>10747</v>
      </c>
      <c r="H387" s="35" t="s">
        <v>10558</v>
      </c>
      <c r="I387" s="35" t="s">
        <v>10744</v>
      </c>
      <c r="J387" s="35" t="s">
        <v>10748</v>
      </c>
      <c r="K387" s="35" t="s">
        <v>101</v>
      </c>
      <c r="L387" s="35" t="s">
        <v>101</v>
      </c>
      <c r="M387" s="35" t="s">
        <v>511</v>
      </c>
      <c r="N387" s="35"/>
      <c r="O387" s="3"/>
    </row>
    <row r="388">
      <c r="A388" s="35" t="s">
        <v>10749</v>
      </c>
      <c r="B388" s="39">
        <v>46015.39037037037</v>
      </c>
      <c r="C388" s="35" t="s">
        <v>9488</v>
      </c>
      <c r="D388" s="40" t="s">
        <v>9489</v>
      </c>
      <c r="E388" s="35" t="s">
        <v>10661</v>
      </c>
      <c r="F388" s="40" t="s">
        <v>9489</v>
      </c>
      <c r="G388" s="35" t="s">
        <v>10750</v>
      </c>
      <c r="H388" s="35" t="s">
        <v>10568</v>
      </c>
      <c r="I388" s="35" t="s">
        <v>10744</v>
      </c>
      <c r="J388" s="35" t="s">
        <v>10751</v>
      </c>
      <c r="K388" s="35" t="s">
        <v>101</v>
      </c>
      <c r="L388" s="35" t="s">
        <v>101</v>
      </c>
      <c r="M388" s="35" t="s">
        <v>511</v>
      </c>
      <c r="N388" s="35"/>
      <c r="O388" s="3"/>
    </row>
    <row r="389">
      <c r="A389" s="35" t="s">
        <v>10752</v>
      </c>
      <c r="B389" s="39">
        <v>46015.39127314815</v>
      </c>
      <c r="C389" s="35" t="s">
        <v>10486</v>
      </c>
      <c r="D389" s="40" t="s">
        <v>8055</v>
      </c>
      <c r="E389" s="35" t="s">
        <v>10753</v>
      </c>
      <c r="F389" s="40" t="s">
        <v>9489</v>
      </c>
      <c r="G389" s="35" t="s">
        <v>10754</v>
      </c>
      <c r="H389" s="40" t="s">
        <v>9489</v>
      </c>
      <c r="I389" s="35" t="s">
        <v>10755</v>
      </c>
      <c r="J389" s="35" t="s">
        <v>10756</v>
      </c>
      <c r="K389" s="35" t="s">
        <v>101</v>
      </c>
      <c r="L389" s="35" t="s">
        <v>101</v>
      </c>
      <c r="M389" s="35" t="s">
        <v>511</v>
      </c>
      <c r="N389" s="35"/>
      <c r="O389" s="3"/>
    </row>
    <row r="390">
      <c r="A390" s="35" t="s">
        <v>10757</v>
      </c>
      <c r="B390" s="39">
        <v>46015.393275462964</v>
      </c>
      <c r="C390" s="35" t="s">
        <v>10486</v>
      </c>
      <c r="D390" s="40" t="s">
        <v>8055</v>
      </c>
      <c r="E390" s="35" t="s">
        <v>10758</v>
      </c>
      <c r="F390" s="40" t="s">
        <v>9489</v>
      </c>
      <c r="G390" s="35" t="s">
        <v>10759</v>
      </c>
      <c r="H390" s="40" t="s">
        <v>9489</v>
      </c>
      <c r="I390" s="35" t="s">
        <v>10755</v>
      </c>
      <c r="J390" s="35" t="s">
        <v>10760</v>
      </c>
      <c r="K390" s="35" t="s">
        <v>101</v>
      </c>
      <c r="L390" s="35" t="s">
        <v>101</v>
      </c>
      <c r="M390" s="35" t="s">
        <v>511</v>
      </c>
      <c r="N390" s="35"/>
      <c r="O390" s="3"/>
    </row>
    <row r="391">
      <c r="A391" s="35" t="s">
        <v>10761</v>
      </c>
      <c r="B391" s="39">
        <v>46015.928518518514</v>
      </c>
      <c r="C391" s="35" t="s">
        <v>9496</v>
      </c>
      <c r="D391" s="40" t="s">
        <v>9489</v>
      </c>
      <c r="E391" s="35" t="s">
        <v>10486</v>
      </c>
      <c r="F391" s="40" t="s">
        <v>8055</v>
      </c>
      <c r="G391" s="35" t="s">
        <v>10762</v>
      </c>
      <c r="H391" s="40" t="s">
        <v>9489</v>
      </c>
      <c r="I391" s="35" t="s">
        <v>10744</v>
      </c>
      <c r="J391" s="35" t="s">
        <v>10763</v>
      </c>
      <c r="K391" s="35" t="s">
        <v>101</v>
      </c>
      <c r="L391" s="35" t="s">
        <v>101</v>
      </c>
      <c r="M391" s="35" t="s">
        <v>511</v>
      </c>
      <c r="N391" s="35"/>
      <c r="O391" s="3"/>
    </row>
    <row r="392">
      <c r="A392" s="35" t="s">
        <v>10764</v>
      </c>
      <c r="B392" s="39">
        <v>46017.353379629625</v>
      </c>
      <c r="C392" s="35" t="s">
        <v>10486</v>
      </c>
      <c r="D392" s="40" t="s">
        <v>8055</v>
      </c>
      <c r="E392" s="35" t="s">
        <v>9496</v>
      </c>
      <c r="F392" s="40" t="s">
        <v>9489</v>
      </c>
      <c r="G392" s="35" t="s">
        <v>10762</v>
      </c>
      <c r="H392" s="40" t="s">
        <v>9489</v>
      </c>
      <c r="I392" s="35" t="s">
        <v>10755</v>
      </c>
      <c r="J392" s="35" t="s">
        <v>10765</v>
      </c>
      <c r="K392" s="35" t="s">
        <v>101</v>
      </c>
      <c r="L392" s="35" t="s">
        <v>101</v>
      </c>
      <c r="M392" s="35" t="s">
        <v>511</v>
      </c>
      <c r="N392" s="35"/>
      <c r="O392" s="3"/>
    </row>
    <row r="393">
      <c r="A393" s="35" t="s">
        <v>10766</v>
      </c>
      <c r="B393" s="39">
        <v>46017.408125</v>
      </c>
      <c r="C393" s="35" t="s">
        <v>10661</v>
      </c>
      <c r="D393" s="40" t="s">
        <v>9489</v>
      </c>
      <c r="E393" s="35" t="s">
        <v>10486</v>
      </c>
      <c r="F393" s="40" t="s">
        <v>8055</v>
      </c>
      <c r="G393" s="35" t="s">
        <v>10767</v>
      </c>
      <c r="H393" s="40" t="s">
        <v>9489</v>
      </c>
      <c r="I393" s="35" t="s">
        <v>10744</v>
      </c>
      <c r="J393" s="35" t="s">
        <v>10768</v>
      </c>
      <c r="K393" s="35" t="s">
        <v>101</v>
      </c>
      <c r="L393" s="35" t="s">
        <v>101</v>
      </c>
      <c r="M393" s="35" t="s">
        <v>511</v>
      </c>
      <c r="N393" s="35"/>
      <c r="O393" s="3"/>
    </row>
    <row r="394">
      <c r="A394" s="35" t="s">
        <v>10769</v>
      </c>
      <c r="B394" s="39">
        <v>46017.44054398148</v>
      </c>
      <c r="C394" s="35" t="s">
        <v>10486</v>
      </c>
      <c r="D394" s="40" t="s">
        <v>8055</v>
      </c>
      <c r="E394" s="35" t="s">
        <v>10770</v>
      </c>
      <c r="F394" s="40" t="s">
        <v>9489</v>
      </c>
      <c r="G394" s="35" t="s">
        <v>10767</v>
      </c>
      <c r="H394" s="40" t="s">
        <v>9489</v>
      </c>
      <c r="I394" s="35" t="s">
        <v>10744</v>
      </c>
      <c r="J394" s="35" t="s">
        <v>10771</v>
      </c>
      <c r="K394" s="35" t="s">
        <v>101</v>
      </c>
      <c r="L394" s="35" t="s">
        <v>101</v>
      </c>
      <c r="M394" s="35" t="s">
        <v>511</v>
      </c>
      <c r="N394" s="35"/>
      <c r="O394" s="3"/>
    </row>
    <row r="395">
      <c r="A395" s="35" t="s">
        <v>10772</v>
      </c>
      <c r="B395" s="39">
        <v>46017.47039351852</v>
      </c>
      <c r="C395" s="35" t="s">
        <v>9496</v>
      </c>
      <c r="D395" s="40" t="s">
        <v>9489</v>
      </c>
      <c r="E395" s="35" t="s">
        <v>10486</v>
      </c>
      <c r="F395" s="40" t="s">
        <v>8055</v>
      </c>
      <c r="G395" s="35" t="s">
        <v>10773</v>
      </c>
      <c r="H395" s="40" t="s">
        <v>9489</v>
      </c>
      <c r="I395" s="35" t="s">
        <v>10744</v>
      </c>
      <c r="J395" s="35" t="s">
        <v>10774</v>
      </c>
      <c r="K395" s="35" t="s">
        <v>101</v>
      </c>
      <c r="L395" s="35" t="s">
        <v>101</v>
      </c>
      <c r="M395" s="35" t="s">
        <v>511</v>
      </c>
      <c r="N395" s="35"/>
      <c r="O395" s="3"/>
    </row>
    <row r="396">
      <c r="A396" s="35" t="s">
        <v>10775</v>
      </c>
      <c r="B396" s="39">
        <v>46017.470625</v>
      </c>
      <c r="C396" s="35" t="s">
        <v>9496</v>
      </c>
      <c r="D396" s="40" t="s">
        <v>9489</v>
      </c>
      <c r="E396" s="35" t="s">
        <v>10486</v>
      </c>
      <c r="F396" s="40" t="s">
        <v>8055</v>
      </c>
      <c r="G396" s="35" t="s">
        <v>10773</v>
      </c>
      <c r="H396" s="40" t="s">
        <v>9489</v>
      </c>
      <c r="I396" s="35" t="s">
        <v>10744</v>
      </c>
      <c r="J396" s="35" t="s">
        <v>10776</v>
      </c>
      <c r="K396" s="35" t="s">
        <v>101</v>
      </c>
      <c r="L396" s="35" t="s">
        <v>101</v>
      </c>
      <c r="M396" s="35" t="s">
        <v>511</v>
      </c>
      <c r="N396" s="35"/>
      <c r="O396" s="3"/>
    </row>
    <row r="397">
      <c r="A397" s="35" t="s">
        <v>10777</v>
      </c>
      <c r="B397" s="39">
        <v>46020.60849537037</v>
      </c>
      <c r="C397" s="35" t="s">
        <v>10486</v>
      </c>
      <c r="D397" s="40" t="s">
        <v>8055</v>
      </c>
      <c r="E397" s="35" t="s">
        <v>9496</v>
      </c>
      <c r="F397" s="40" t="s">
        <v>9489</v>
      </c>
      <c r="G397" s="35" t="s">
        <v>10773</v>
      </c>
      <c r="H397" s="40" t="s">
        <v>9489</v>
      </c>
      <c r="I397" s="35" t="s">
        <v>10755</v>
      </c>
      <c r="J397" s="35" t="s">
        <v>10778</v>
      </c>
      <c r="K397" s="35" t="s">
        <v>101</v>
      </c>
      <c r="L397" s="35" t="s">
        <v>101</v>
      </c>
      <c r="M397" s="35" t="s">
        <v>511</v>
      </c>
      <c r="N397" s="35"/>
      <c r="O397" s="3"/>
    </row>
    <row r="398">
      <c r="A398" s="35" t="s">
        <v>10779</v>
      </c>
      <c r="B398" s="39">
        <v>46021.608715277776</v>
      </c>
      <c r="C398" s="35" t="s">
        <v>10618</v>
      </c>
      <c r="D398" s="40" t="s">
        <v>9489</v>
      </c>
      <c r="E398" s="35" t="s">
        <v>7897</v>
      </c>
      <c r="F398" s="40" t="s">
        <v>8055</v>
      </c>
      <c r="G398" s="35" t="s">
        <v>10780</v>
      </c>
      <c r="H398" s="35" t="s">
        <v>10568</v>
      </c>
      <c r="I398" s="35" t="s">
        <v>10744</v>
      </c>
      <c r="J398" s="35" t="s">
        <v>10781</v>
      </c>
      <c r="K398" s="35" t="s">
        <v>101</v>
      </c>
      <c r="L398" s="35" t="s">
        <v>101</v>
      </c>
      <c r="M398" s="35" t="s">
        <v>511</v>
      </c>
      <c r="N398" s="35"/>
      <c r="O398" s="3"/>
    </row>
    <row r="399">
      <c r="A399" s="35" t="s">
        <v>10782</v>
      </c>
      <c r="B399" s="39">
        <v>46021.60885416667</v>
      </c>
      <c r="C399" s="35" t="s">
        <v>10618</v>
      </c>
      <c r="D399" s="40" t="s">
        <v>9489</v>
      </c>
      <c r="E399" s="35" t="s">
        <v>7897</v>
      </c>
      <c r="F399" s="40" t="s">
        <v>8055</v>
      </c>
      <c r="G399" s="35" t="s">
        <v>10783</v>
      </c>
      <c r="H399" s="35" t="s">
        <v>10568</v>
      </c>
      <c r="I399" s="35" t="s">
        <v>10744</v>
      </c>
      <c r="J399" s="35" t="s">
        <v>10784</v>
      </c>
      <c r="K399" s="35" t="s">
        <v>101</v>
      </c>
      <c r="L399" s="35" t="s">
        <v>101</v>
      </c>
      <c r="M399" s="35" t="s">
        <v>511</v>
      </c>
      <c r="N399" s="35"/>
      <c r="O399" s="3"/>
    </row>
    <row r="400">
      <c r="A400" s="35" t="s">
        <v>10785</v>
      </c>
      <c r="B400" s="39">
        <v>46029.28648148148</v>
      </c>
      <c r="C400" s="35" t="s">
        <v>10618</v>
      </c>
      <c r="D400" s="40" t="s">
        <v>9489</v>
      </c>
      <c r="E400" s="35" t="s">
        <v>7897</v>
      </c>
      <c r="F400" s="40" t="s">
        <v>8055</v>
      </c>
      <c r="G400" s="35" t="s">
        <v>10786</v>
      </c>
      <c r="H400" s="35" t="s">
        <v>10568</v>
      </c>
      <c r="I400" s="35" t="s">
        <v>10744</v>
      </c>
      <c r="J400" s="35" t="s">
        <v>10787</v>
      </c>
      <c r="K400" s="35" t="s">
        <v>101</v>
      </c>
      <c r="L400" s="35" t="s">
        <v>101</v>
      </c>
      <c r="M400" s="35" t="s">
        <v>511</v>
      </c>
      <c r="N400" s="35"/>
      <c r="O400" s="3"/>
    </row>
    <row r="401">
      <c r="A401" s="35" t="s">
        <v>10788</v>
      </c>
      <c r="B401" s="39">
        <v>46013.56171296297</v>
      </c>
      <c r="C401" s="35" t="s">
        <v>9488</v>
      </c>
      <c r="D401" s="40" t="s">
        <v>9489</v>
      </c>
      <c r="E401" s="35" t="s">
        <v>10789</v>
      </c>
      <c r="F401" s="35" t="s">
        <v>10558</v>
      </c>
      <c r="G401" s="35"/>
      <c r="H401" s="35"/>
      <c r="I401" s="35" t="s">
        <v>7463</v>
      </c>
      <c r="J401" s="35" t="s">
        <v>10790</v>
      </c>
      <c r="K401" s="35" t="s">
        <v>101</v>
      </c>
      <c r="L401" s="35" t="s">
        <v>101</v>
      </c>
      <c r="M401" s="35" t="s">
        <v>511</v>
      </c>
      <c r="N401" s="35"/>
      <c r="O401" s="3"/>
    </row>
    <row r="402">
      <c r="A402" s="35" t="s">
        <v>10791</v>
      </c>
      <c r="B402" s="39">
        <v>46007.64334490741</v>
      </c>
      <c r="C402" s="35" t="s">
        <v>9488</v>
      </c>
      <c r="D402" s="40" t="s">
        <v>9489</v>
      </c>
      <c r="E402" s="35" t="s">
        <v>10792</v>
      </c>
      <c r="F402" s="35" t="s">
        <v>10793</v>
      </c>
      <c r="G402" s="35"/>
      <c r="H402" s="35"/>
      <c r="I402" s="35" t="s">
        <v>10794</v>
      </c>
      <c r="J402" s="35" t="s">
        <v>10795</v>
      </c>
      <c r="K402" s="35" t="s">
        <v>139</v>
      </c>
      <c r="L402" s="35" t="s">
        <v>139</v>
      </c>
      <c r="M402" s="35" t="s">
        <v>361</v>
      </c>
      <c r="N402" s="35"/>
      <c r="O402" s="3"/>
    </row>
    <row r="403">
      <c r="A403" s="35" t="s">
        <v>10796</v>
      </c>
      <c r="B403" s="39">
        <v>46006.76629629629</v>
      </c>
      <c r="C403" s="35" t="s">
        <v>10486</v>
      </c>
      <c r="D403" s="40" t="s">
        <v>8055</v>
      </c>
      <c r="E403" s="35" t="s">
        <v>9488</v>
      </c>
      <c r="F403" s="40" t="s">
        <v>9489</v>
      </c>
      <c r="G403" s="35"/>
      <c r="H403" s="35"/>
      <c r="I403" s="35" t="s">
        <v>10797</v>
      </c>
      <c r="J403" s="35" t="s">
        <v>9725</v>
      </c>
      <c r="K403" s="35" t="s">
        <v>101</v>
      </c>
      <c r="L403" s="35" t="s">
        <v>101</v>
      </c>
      <c r="M403" s="35" t="s">
        <v>511</v>
      </c>
      <c r="N403" s="35"/>
      <c r="O403" s="3"/>
    </row>
    <row r="404">
      <c r="A404" s="35" t="s">
        <v>10798</v>
      </c>
      <c r="B404" s="39">
        <v>46006.76600694444</v>
      </c>
      <c r="C404" s="35" t="s">
        <v>10486</v>
      </c>
      <c r="D404" s="40" t="s">
        <v>8055</v>
      </c>
      <c r="E404" s="35" t="s">
        <v>10799</v>
      </c>
      <c r="F404" s="35" t="s">
        <v>10558</v>
      </c>
      <c r="G404" s="35"/>
      <c r="H404" s="35"/>
      <c r="I404" s="35" t="s">
        <v>7477</v>
      </c>
      <c r="J404" s="35" t="s">
        <v>10800</v>
      </c>
      <c r="K404" s="35" t="s">
        <v>101</v>
      </c>
      <c r="L404" s="35" t="s">
        <v>101</v>
      </c>
      <c r="M404" s="35" t="s">
        <v>511</v>
      </c>
      <c r="N404" s="35"/>
      <c r="O404" s="3"/>
    </row>
    <row r="405">
      <c r="A405" s="35" t="s">
        <v>10801</v>
      </c>
      <c r="B405" s="39">
        <v>46006.716469907406</v>
      </c>
      <c r="C405" s="35" t="s">
        <v>10486</v>
      </c>
      <c r="D405" s="40" t="s">
        <v>8055</v>
      </c>
      <c r="E405" s="35" t="s">
        <v>10802</v>
      </c>
      <c r="F405" s="40" t="s">
        <v>9489</v>
      </c>
      <c r="G405" s="35"/>
      <c r="H405" s="35"/>
      <c r="I405" s="35" t="s">
        <v>10803</v>
      </c>
      <c r="J405" s="35" t="s">
        <v>10804</v>
      </c>
      <c r="K405" s="35" t="s">
        <v>101</v>
      </c>
      <c r="L405" s="35" t="s">
        <v>101</v>
      </c>
      <c r="M405" s="35" t="s">
        <v>511</v>
      </c>
      <c r="N405" s="35"/>
      <c r="O405" s="3"/>
    </row>
    <row r="406">
      <c r="A406" s="35" t="s">
        <v>10805</v>
      </c>
      <c r="B406" s="39">
        <v>46006.71980324074</v>
      </c>
      <c r="C406" s="35" t="s">
        <v>10486</v>
      </c>
      <c r="D406" s="40" t="s">
        <v>8055</v>
      </c>
      <c r="E406" s="35" t="s">
        <v>10802</v>
      </c>
      <c r="F406" s="40" t="s">
        <v>9489</v>
      </c>
      <c r="G406" s="35"/>
      <c r="H406" s="35"/>
      <c r="I406" s="35" t="s">
        <v>10806</v>
      </c>
      <c r="J406" s="35" t="s">
        <v>10807</v>
      </c>
      <c r="K406" s="35" t="s">
        <v>101</v>
      </c>
      <c r="L406" s="35" t="s">
        <v>101</v>
      </c>
      <c r="M406" s="35" t="s">
        <v>511</v>
      </c>
      <c r="N406" s="35"/>
      <c r="O406" s="3"/>
    </row>
    <row r="407">
      <c r="A407" s="35" t="s">
        <v>10808</v>
      </c>
      <c r="B407" s="39">
        <v>46006.73630787037</v>
      </c>
      <c r="C407" s="35" t="s">
        <v>9488</v>
      </c>
      <c r="D407" s="40" t="s">
        <v>9489</v>
      </c>
      <c r="E407" s="35" t="s">
        <v>10486</v>
      </c>
      <c r="F407" s="40" t="s">
        <v>8055</v>
      </c>
      <c r="G407" s="35" t="s">
        <v>10809</v>
      </c>
      <c r="H407" s="40" t="s">
        <v>9489</v>
      </c>
      <c r="I407" s="35" t="s">
        <v>10810</v>
      </c>
      <c r="J407" s="35" t="s">
        <v>10811</v>
      </c>
      <c r="K407" s="35" t="s">
        <v>101</v>
      </c>
      <c r="L407" s="35" t="s">
        <v>101</v>
      </c>
      <c r="M407" s="35" t="s">
        <v>511</v>
      </c>
      <c r="N407" s="35"/>
      <c r="O407" s="3"/>
    </row>
    <row r="408">
      <c r="A408" s="35" t="s">
        <v>10812</v>
      </c>
      <c r="B408" s="39">
        <v>46006.74104166667</v>
      </c>
      <c r="C408" s="35" t="s">
        <v>10486</v>
      </c>
      <c r="D408" s="40" t="s">
        <v>8055</v>
      </c>
      <c r="E408" s="35" t="s">
        <v>9488</v>
      </c>
      <c r="F408" s="40" t="s">
        <v>9489</v>
      </c>
      <c r="G408" s="35" t="s">
        <v>10809</v>
      </c>
      <c r="H408" s="40" t="s">
        <v>9489</v>
      </c>
      <c r="I408" s="35" t="s">
        <v>10806</v>
      </c>
      <c r="J408" s="35" t="s">
        <v>10813</v>
      </c>
      <c r="K408" s="35" t="s">
        <v>101</v>
      </c>
      <c r="L408" s="35" t="s">
        <v>101</v>
      </c>
      <c r="M408" s="35" t="s">
        <v>511</v>
      </c>
      <c r="N408" s="35"/>
      <c r="O408" s="3"/>
    </row>
    <row r="409">
      <c r="A409" s="35" t="s">
        <v>10814</v>
      </c>
      <c r="B409" s="39">
        <v>46006.75042824074</v>
      </c>
      <c r="C409" s="35" t="s">
        <v>9488</v>
      </c>
      <c r="D409" s="40" t="s">
        <v>9489</v>
      </c>
      <c r="E409" s="35" t="s">
        <v>10486</v>
      </c>
      <c r="F409" s="40" t="s">
        <v>8055</v>
      </c>
      <c r="G409" s="35" t="s">
        <v>10809</v>
      </c>
      <c r="H409" s="40" t="s">
        <v>9489</v>
      </c>
      <c r="I409" s="35" t="s">
        <v>10810</v>
      </c>
      <c r="J409" s="35" t="s">
        <v>10815</v>
      </c>
      <c r="K409" s="35" t="s">
        <v>101</v>
      </c>
      <c r="L409" s="35" t="s">
        <v>101</v>
      </c>
      <c r="M409" s="35" t="s">
        <v>511</v>
      </c>
      <c r="N409" s="35"/>
      <c r="O409" s="3"/>
    </row>
    <row r="410">
      <c r="A410" s="35" t="s">
        <v>10816</v>
      </c>
      <c r="B410" s="39">
        <v>46006.76663194444</v>
      </c>
      <c r="C410" s="35" t="s">
        <v>10486</v>
      </c>
      <c r="D410" s="40" t="s">
        <v>8055</v>
      </c>
      <c r="E410" s="35" t="s">
        <v>9488</v>
      </c>
      <c r="F410" s="40" t="s">
        <v>9489</v>
      </c>
      <c r="G410" s="35" t="s">
        <v>10809</v>
      </c>
      <c r="H410" s="40" t="s">
        <v>9489</v>
      </c>
      <c r="I410" s="35" t="s">
        <v>10806</v>
      </c>
      <c r="J410" s="35" t="s">
        <v>10817</v>
      </c>
      <c r="K410" s="35" t="s">
        <v>101</v>
      </c>
      <c r="L410" s="35" t="s">
        <v>101</v>
      </c>
      <c r="M410" s="35" t="s">
        <v>511</v>
      </c>
      <c r="N410" s="35"/>
      <c r="O410" s="3"/>
    </row>
    <row r="411">
      <c r="A411" s="35" t="s">
        <v>10818</v>
      </c>
      <c r="B411" s="39">
        <v>46006.63579861111</v>
      </c>
      <c r="C411" s="35" t="s">
        <v>10486</v>
      </c>
      <c r="D411" s="40" t="s">
        <v>8055</v>
      </c>
      <c r="E411" s="35" t="s">
        <v>10819</v>
      </c>
      <c r="F411" s="35" t="s">
        <v>10558</v>
      </c>
      <c r="G411" s="35" t="s">
        <v>10820</v>
      </c>
      <c r="H411" s="40" t="s">
        <v>8055</v>
      </c>
      <c r="I411" s="35" t="s">
        <v>10821</v>
      </c>
      <c r="J411" s="35" t="s">
        <v>10822</v>
      </c>
      <c r="K411" s="35" t="s">
        <v>101</v>
      </c>
      <c r="L411" s="35" t="s">
        <v>101</v>
      </c>
      <c r="M411" s="35" t="s">
        <v>511</v>
      </c>
      <c r="N411" s="35"/>
      <c r="O411" s="3"/>
    </row>
    <row r="412">
      <c r="A412" s="35" t="s">
        <v>10823</v>
      </c>
      <c r="B412" s="39">
        <v>46006.772268518514</v>
      </c>
      <c r="C412" s="35" t="s">
        <v>10280</v>
      </c>
      <c r="D412" s="40" t="s">
        <v>9489</v>
      </c>
      <c r="E412" s="35" t="s">
        <v>10486</v>
      </c>
      <c r="F412" s="40" t="s">
        <v>8055</v>
      </c>
      <c r="G412" s="35" t="s">
        <v>10824</v>
      </c>
      <c r="H412" s="35" t="s">
        <v>10558</v>
      </c>
      <c r="I412" s="35" t="s">
        <v>10825</v>
      </c>
      <c r="J412" s="35" t="s">
        <v>10826</v>
      </c>
      <c r="K412" s="35" t="s">
        <v>101</v>
      </c>
      <c r="L412" s="35" t="s">
        <v>101</v>
      </c>
      <c r="M412" s="35" t="s">
        <v>511</v>
      </c>
      <c r="N412" s="35"/>
      <c r="O412" s="3"/>
    </row>
    <row r="413">
      <c r="A413" s="35" t="s">
        <v>10827</v>
      </c>
      <c r="B413" s="39">
        <v>46007.25546296296</v>
      </c>
      <c r="C413" s="35" t="s">
        <v>10571</v>
      </c>
      <c r="D413" s="40" t="s">
        <v>8055</v>
      </c>
      <c r="E413" s="35" t="s">
        <v>10280</v>
      </c>
      <c r="F413" s="40" t="s">
        <v>9489</v>
      </c>
      <c r="G413" s="35" t="s">
        <v>10828</v>
      </c>
      <c r="H413" s="35" t="s">
        <v>10558</v>
      </c>
      <c r="I413" s="35" t="s">
        <v>10829</v>
      </c>
      <c r="J413" s="35" t="s">
        <v>10830</v>
      </c>
      <c r="K413" s="35" t="s">
        <v>101</v>
      </c>
      <c r="L413" s="35" t="s">
        <v>101</v>
      </c>
      <c r="M413" s="35" t="s">
        <v>511</v>
      </c>
      <c r="N413" s="35"/>
      <c r="O413" s="3"/>
    </row>
    <row r="414">
      <c r="A414" s="35" t="s">
        <v>10831</v>
      </c>
      <c r="B414" s="39">
        <v>46006.60949074074</v>
      </c>
      <c r="C414" s="35" t="s">
        <v>10486</v>
      </c>
      <c r="D414" s="40" t="s">
        <v>8055</v>
      </c>
      <c r="E414" s="35" t="s">
        <v>9534</v>
      </c>
      <c r="F414" s="40" t="s">
        <v>9489</v>
      </c>
      <c r="G414" s="35"/>
      <c r="H414" s="35"/>
      <c r="I414" s="35" t="s">
        <v>10832</v>
      </c>
      <c r="J414" s="35" t="s">
        <v>10833</v>
      </c>
      <c r="K414" s="35" t="s">
        <v>101</v>
      </c>
      <c r="L414" s="35" t="s">
        <v>101</v>
      </c>
      <c r="M414" s="35" t="s">
        <v>511</v>
      </c>
      <c r="N414" s="35"/>
      <c r="O414" s="3"/>
    </row>
    <row r="415">
      <c r="A415" s="35" t="s">
        <v>10834</v>
      </c>
      <c r="B415" s="39">
        <v>46006.670590277776</v>
      </c>
      <c r="C415" s="35" t="s">
        <v>9488</v>
      </c>
      <c r="D415" s="40" t="s">
        <v>9489</v>
      </c>
      <c r="E415" s="35" t="s">
        <v>10486</v>
      </c>
      <c r="F415" s="40" t="s">
        <v>8055</v>
      </c>
      <c r="G415" s="35" t="s">
        <v>9496</v>
      </c>
      <c r="H415" s="40" t="s">
        <v>9489</v>
      </c>
      <c r="I415" s="35" t="s">
        <v>10835</v>
      </c>
      <c r="J415" s="35" t="s">
        <v>10836</v>
      </c>
      <c r="K415" s="35" t="s">
        <v>101</v>
      </c>
      <c r="L415" s="35" t="s">
        <v>101</v>
      </c>
      <c r="M415" s="35" t="s">
        <v>511</v>
      </c>
      <c r="N415" s="35"/>
      <c r="O415" s="3"/>
    </row>
    <row r="416">
      <c r="A416" s="35" t="s">
        <v>10837</v>
      </c>
      <c r="B416" s="39">
        <v>46006.56252314815</v>
      </c>
      <c r="C416" s="35" t="s">
        <v>9814</v>
      </c>
      <c r="D416" s="40" t="s">
        <v>9815</v>
      </c>
      <c r="E416" s="35" t="s">
        <v>7897</v>
      </c>
      <c r="F416" s="40" t="s">
        <v>8055</v>
      </c>
      <c r="G416" s="35" t="s">
        <v>7504</v>
      </c>
      <c r="H416" s="40" t="s">
        <v>9489</v>
      </c>
      <c r="I416" s="35" t="s">
        <v>9817</v>
      </c>
      <c r="J416" s="35" t="s">
        <v>9818</v>
      </c>
      <c r="K416" s="35" t="s">
        <v>101</v>
      </c>
      <c r="L416" s="35" t="s">
        <v>101</v>
      </c>
      <c r="M416" s="35" t="s">
        <v>511</v>
      </c>
      <c r="N416" s="35"/>
      <c r="O416" s="3"/>
    </row>
    <row r="417">
      <c r="A417" s="35" t="s">
        <v>10838</v>
      </c>
      <c r="B417" s="39">
        <v>46006.385601851856</v>
      </c>
      <c r="C417" s="35" t="s">
        <v>9527</v>
      </c>
      <c r="D417" s="40" t="s">
        <v>9489</v>
      </c>
      <c r="E417" s="35" t="s">
        <v>10512</v>
      </c>
      <c r="F417" s="35" t="s">
        <v>10456</v>
      </c>
      <c r="G417" s="35"/>
      <c r="H417" s="35"/>
      <c r="I417" s="35" t="s">
        <v>10509</v>
      </c>
      <c r="J417" s="35" t="s">
        <v>10839</v>
      </c>
      <c r="K417" s="35" t="s">
        <v>131</v>
      </c>
      <c r="L417" s="35" t="s">
        <v>131</v>
      </c>
      <c r="M417" s="35" t="s">
        <v>132</v>
      </c>
      <c r="N417" s="35"/>
      <c r="O417" s="3"/>
    </row>
    <row r="418">
      <c r="A418" s="35" t="s">
        <v>10840</v>
      </c>
      <c r="B418" s="39">
        <v>46006.385601851856</v>
      </c>
      <c r="C418" s="35" t="s">
        <v>9527</v>
      </c>
      <c r="D418" s="40" t="s">
        <v>9489</v>
      </c>
      <c r="E418" s="35" t="s">
        <v>10508</v>
      </c>
      <c r="F418" s="35" t="s">
        <v>10456</v>
      </c>
      <c r="G418" s="35"/>
      <c r="H418" s="35"/>
      <c r="I418" s="35" t="s">
        <v>10509</v>
      </c>
      <c r="J418" s="35" t="s">
        <v>10841</v>
      </c>
      <c r="K418" s="35" t="s">
        <v>131</v>
      </c>
      <c r="L418" s="35" t="s">
        <v>131</v>
      </c>
      <c r="M418" s="35" t="s">
        <v>132</v>
      </c>
      <c r="N418" s="35"/>
      <c r="O418" s="3"/>
    </row>
    <row r="419">
      <c r="A419" s="35" t="s">
        <v>10842</v>
      </c>
      <c r="B419" s="39">
        <v>46003.62430555555</v>
      </c>
      <c r="C419" s="35" t="s">
        <v>9488</v>
      </c>
      <c r="D419" s="40" t="s">
        <v>9489</v>
      </c>
      <c r="E419" s="35" t="s">
        <v>10843</v>
      </c>
      <c r="F419" s="40" t="s">
        <v>8055</v>
      </c>
      <c r="G419" s="35"/>
      <c r="H419" s="35"/>
      <c r="I419" s="35" t="s">
        <v>10844</v>
      </c>
      <c r="J419" s="35" t="s">
        <v>10353</v>
      </c>
      <c r="K419" s="35" t="s">
        <v>101</v>
      </c>
      <c r="L419" s="35" t="s">
        <v>101</v>
      </c>
      <c r="M419" s="35" t="s">
        <v>511</v>
      </c>
      <c r="N419" s="35"/>
      <c r="O419" s="3"/>
    </row>
    <row r="420">
      <c r="A420" s="35" t="s">
        <v>10845</v>
      </c>
      <c r="B420" s="39">
        <v>46003.62423611111</v>
      </c>
      <c r="C420" s="35" t="s">
        <v>10486</v>
      </c>
      <c r="D420" s="40" t="s">
        <v>8055</v>
      </c>
      <c r="E420" s="35" t="s">
        <v>9488</v>
      </c>
      <c r="F420" s="40" t="s">
        <v>9489</v>
      </c>
      <c r="G420" s="35"/>
      <c r="H420" s="35"/>
      <c r="I420" s="35" t="s">
        <v>10405</v>
      </c>
      <c r="J420" s="35" t="s">
        <v>9725</v>
      </c>
      <c r="K420" s="35" t="s">
        <v>101</v>
      </c>
      <c r="L420" s="35" t="s">
        <v>101</v>
      </c>
      <c r="M420" s="35" t="s">
        <v>511</v>
      </c>
      <c r="N420" s="35"/>
      <c r="O420" s="3"/>
    </row>
    <row r="421">
      <c r="A421" s="35" t="s">
        <v>10846</v>
      </c>
      <c r="B421" s="39">
        <v>46002.60545138889</v>
      </c>
      <c r="C421" s="35" t="s">
        <v>10480</v>
      </c>
      <c r="D421" s="40" t="s">
        <v>7109</v>
      </c>
      <c r="E421" s="35" t="s">
        <v>7288</v>
      </c>
      <c r="F421" s="40" t="s">
        <v>9489</v>
      </c>
      <c r="G421" s="35"/>
      <c r="H421" s="35"/>
      <c r="I421" s="35" t="s">
        <v>10847</v>
      </c>
      <c r="J421" s="35" t="s">
        <v>10848</v>
      </c>
      <c r="K421" s="35" t="s">
        <v>131</v>
      </c>
      <c r="L421" s="35" t="s">
        <v>131</v>
      </c>
      <c r="M421" s="35" t="s">
        <v>132</v>
      </c>
      <c r="N421" s="35"/>
      <c r="O421" s="3"/>
    </row>
    <row r="422">
      <c r="A422" s="35" t="s">
        <v>10849</v>
      </c>
      <c r="B422" s="39">
        <v>46002.597604166665</v>
      </c>
      <c r="C422" s="35" t="s">
        <v>10480</v>
      </c>
      <c r="D422" s="40" t="s">
        <v>7109</v>
      </c>
      <c r="E422" s="35" t="s">
        <v>7288</v>
      </c>
      <c r="F422" s="40" t="s">
        <v>9489</v>
      </c>
      <c r="G422" s="35"/>
      <c r="H422" s="35"/>
      <c r="I422" s="35" t="s">
        <v>10850</v>
      </c>
      <c r="J422" s="35" t="s">
        <v>10851</v>
      </c>
      <c r="K422" s="35" t="s">
        <v>131</v>
      </c>
      <c r="L422" s="35" t="s">
        <v>131</v>
      </c>
      <c r="M422" s="35" t="s">
        <v>132</v>
      </c>
      <c r="N422" s="35"/>
      <c r="O422" s="3"/>
    </row>
    <row r="423">
      <c r="A423" s="35" t="s">
        <v>10852</v>
      </c>
      <c r="B423" s="39">
        <v>46002.474756944444</v>
      </c>
      <c r="C423" s="35" t="s">
        <v>9496</v>
      </c>
      <c r="D423" s="40" t="s">
        <v>9489</v>
      </c>
      <c r="E423" s="35" t="s">
        <v>10853</v>
      </c>
      <c r="F423" s="35" t="s">
        <v>10456</v>
      </c>
      <c r="G423" s="35"/>
      <c r="H423" s="35"/>
      <c r="I423" s="35" t="s">
        <v>10854</v>
      </c>
      <c r="J423" s="35" t="s">
        <v>10855</v>
      </c>
      <c r="K423" s="35" t="s">
        <v>131</v>
      </c>
      <c r="L423" s="35" t="s">
        <v>131</v>
      </c>
      <c r="M423" s="35" t="s">
        <v>132</v>
      </c>
      <c r="N423" s="35"/>
      <c r="O423" s="3"/>
    </row>
    <row r="424">
      <c r="A424" s="35" t="s">
        <v>10856</v>
      </c>
      <c r="B424" s="39">
        <v>46000.60969907408</v>
      </c>
      <c r="C424" s="35" t="s">
        <v>10661</v>
      </c>
      <c r="D424" s="40" t="s">
        <v>9489</v>
      </c>
      <c r="E424" s="35" t="s">
        <v>10857</v>
      </c>
      <c r="F424" s="40" t="s">
        <v>8055</v>
      </c>
      <c r="G424" s="35" t="s">
        <v>10858</v>
      </c>
      <c r="H424" s="40" t="s">
        <v>9489</v>
      </c>
      <c r="I424" s="35" t="s">
        <v>10859</v>
      </c>
      <c r="J424" s="35" t="s">
        <v>10860</v>
      </c>
      <c r="K424" s="35" t="s">
        <v>101</v>
      </c>
      <c r="L424" s="35" t="s">
        <v>101</v>
      </c>
      <c r="M424" s="35" t="s">
        <v>511</v>
      </c>
      <c r="N424" s="35"/>
      <c r="O424" s="3"/>
    </row>
    <row r="425">
      <c r="A425" s="35" t="s">
        <v>10861</v>
      </c>
      <c r="B425" s="39">
        <v>46001.32162037037</v>
      </c>
      <c r="C425" s="35" t="s">
        <v>10486</v>
      </c>
      <c r="D425" s="40" t="s">
        <v>8055</v>
      </c>
      <c r="E425" s="35" t="s">
        <v>10862</v>
      </c>
      <c r="F425" s="35" t="s">
        <v>10568</v>
      </c>
      <c r="G425" s="35" t="s">
        <v>10858</v>
      </c>
      <c r="H425" s="40" t="s">
        <v>9489</v>
      </c>
      <c r="I425" s="35" t="s">
        <v>10863</v>
      </c>
      <c r="J425" s="35" t="s">
        <v>10864</v>
      </c>
      <c r="K425" s="35" t="s">
        <v>101</v>
      </c>
      <c r="L425" s="35" t="s">
        <v>101</v>
      </c>
      <c r="M425" s="35" t="s">
        <v>511</v>
      </c>
      <c r="N425" s="35"/>
      <c r="O425" s="3"/>
    </row>
    <row r="426">
      <c r="A426" s="35" t="s">
        <v>10865</v>
      </c>
      <c r="B426" s="39">
        <v>46001.354571759264</v>
      </c>
      <c r="C426" s="35" t="s">
        <v>10661</v>
      </c>
      <c r="D426" s="40" t="s">
        <v>9489</v>
      </c>
      <c r="E426" s="35" t="s">
        <v>10486</v>
      </c>
      <c r="F426" s="40" t="s">
        <v>8055</v>
      </c>
      <c r="G426" s="35" t="s">
        <v>10866</v>
      </c>
      <c r="H426" s="35" t="s">
        <v>10558</v>
      </c>
      <c r="I426" s="35" t="s">
        <v>10867</v>
      </c>
      <c r="J426" s="35" t="s">
        <v>10868</v>
      </c>
      <c r="K426" s="35" t="s">
        <v>101</v>
      </c>
      <c r="L426" s="35" t="s">
        <v>101</v>
      </c>
      <c r="M426" s="35" t="s">
        <v>511</v>
      </c>
      <c r="N426" s="35"/>
      <c r="O426" s="3"/>
    </row>
    <row r="427">
      <c r="A427" s="35" t="s">
        <v>10869</v>
      </c>
      <c r="B427" s="39">
        <v>45996.52290509259</v>
      </c>
      <c r="C427" s="35" t="s">
        <v>10486</v>
      </c>
      <c r="D427" s="40" t="s">
        <v>8055</v>
      </c>
      <c r="E427" s="35" t="s">
        <v>10870</v>
      </c>
      <c r="F427" s="35" t="s">
        <v>10558</v>
      </c>
      <c r="G427" s="35"/>
      <c r="H427" s="35"/>
      <c r="I427" s="35" t="s">
        <v>7382</v>
      </c>
      <c r="J427" s="35" t="s">
        <v>10871</v>
      </c>
      <c r="K427" s="35" t="s">
        <v>101</v>
      </c>
      <c r="L427" s="35" t="s">
        <v>101</v>
      </c>
      <c r="M427" s="35" t="s">
        <v>511</v>
      </c>
      <c r="N427" s="35"/>
      <c r="O427" s="3"/>
    </row>
    <row r="428">
      <c r="A428" s="35" t="s">
        <v>10872</v>
      </c>
      <c r="B428" s="39">
        <v>45996.30621527778</v>
      </c>
      <c r="C428" s="35" t="s">
        <v>10486</v>
      </c>
      <c r="D428" s="40" t="s">
        <v>8055</v>
      </c>
      <c r="E428" s="35" t="s">
        <v>10873</v>
      </c>
      <c r="F428" s="35" t="s">
        <v>10558</v>
      </c>
      <c r="G428" s="35"/>
      <c r="H428" s="35"/>
      <c r="I428" s="35" t="s">
        <v>7376</v>
      </c>
      <c r="J428" s="35" t="s">
        <v>10874</v>
      </c>
      <c r="K428" s="35" t="s">
        <v>101</v>
      </c>
      <c r="L428" s="35" t="s">
        <v>101</v>
      </c>
      <c r="M428" s="35" t="s">
        <v>511</v>
      </c>
      <c r="N428" s="35"/>
      <c r="O428" s="3"/>
    </row>
    <row r="429">
      <c r="A429" s="35" t="s">
        <v>10875</v>
      </c>
      <c r="B429" s="39">
        <v>45995.74431712963</v>
      </c>
      <c r="C429" s="35" t="s">
        <v>10486</v>
      </c>
      <c r="D429" s="40" t="s">
        <v>8055</v>
      </c>
      <c r="E429" s="35" t="s">
        <v>10876</v>
      </c>
      <c r="F429" s="40" t="s">
        <v>9489</v>
      </c>
      <c r="G429" s="35"/>
      <c r="H429" s="35"/>
      <c r="I429" s="35" t="s">
        <v>10877</v>
      </c>
      <c r="J429" s="35" t="s">
        <v>10878</v>
      </c>
      <c r="K429" s="35" t="s">
        <v>101</v>
      </c>
      <c r="L429" s="35" t="s">
        <v>101</v>
      </c>
      <c r="M429" s="35" t="s">
        <v>511</v>
      </c>
      <c r="N429" s="35"/>
      <c r="O429" s="3"/>
    </row>
    <row r="430">
      <c r="A430" s="35" t="s">
        <v>10879</v>
      </c>
      <c r="B430" s="39">
        <v>45995.61724537037</v>
      </c>
      <c r="C430" s="35" t="s">
        <v>10486</v>
      </c>
      <c r="D430" s="40" t="s">
        <v>8055</v>
      </c>
      <c r="E430" s="35" t="s">
        <v>10880</v>
      </c>
      <c r="F430" s="35" t="s">
        <v>10558</v>
      </c>
      <c r="G430" s="35"/>
      <c r="H430" s="35"/>
      <c r="I430" s="35" t="s">
        <v>10881</v>
      </c>
      <c r="J430" s="35" t="s">
        <v>10882</v>
      </c>
      <c r="K430" s="35" t="s">
        <v>101</v>
      </c>
      <c r="L430" s="35" t="s">
        <v>101</v>
      </c>
      <c r="M430" s="35" t="s">
        <v>511</v>
      </c>
      <c r="N430" s="35"/>
      <c r="O430" s="3"/>
    </row>
    <row r="431">
      <c r="A431" s="35" t="s">
        <v>10883</v>
      </c>
      <c r="B431" s="39">
        <v>45995.51576388889</v>
      </c>
      <c r="C431" s="35" t="s">
        <v>10486</v>
      </c>
      <c r="D431" s="40" t="s">
        <v>8055</v>
      </c>
      <c r="E431" s="35" t="s">
        <v>10884</v>
      </c>
      <c r="F431" s="40" t="s">
        <v>9489</v>
      </c>
      <c r="G431" s="35"/>
      <c r="H431" s="35"/>
      <c r="I431" s="35" t="s">
        <v>10885</v>
      </c>
      <c r="J431" s="35" t="s">
        <v>10886</v>
      </c>
      <c r="K431" s="35" t="s">
        <v>101</v>
      </c>
      <c r="L431" s="35" t="s">
        <v>101</v>
      </c>
      <c r="M431" s="35" t="s">
        <v>511</v>
      </c>
      <c r="N431" s="35"/>
      <c r="O431" s="3"/>
    </row>
    <row r="432">
      <c r="A432" s="35" t="s">
        <v>10887</v>
      </c>
      <c r="B432" s="39">
        <v>45995.516180555554</v>
      </c>
      <c r="C432" s="35" t="s">
        <v>9627</v>
      </c>
      <c r="D432" s="40" t="s">
        <v>9489</v>
      </c>
      <c r="E432" s="35" t="s">
        <v>7897</v>
      </c>
      <c r="F432" s="40" t="s">
        <v>8055</v>
      </c>
      <c r="G432" s="35" t="s">
        <v>10888</v>
      </c>
      <c r="H432" s="40" t="s">
        <v>9489</v>
      </c>
      <c r="I432" s="35" t="s">
        <v>10889</v>
      </c>
      <c r="J432" s="35" t="s">
        <v>10890</v>
      </c>
      <c r="K432" s="35" t="s">
        <v>101</v>
      </c>
      <c r="L432" s="35" t="s">
        <v>101</v>
      </c>
      <c r="M432" s="35" t="s">
        <v>511</v>
      </c>
      <c r="N432" s="35"/>
      <c r="O432" s="3"/>
    </row>
    <row r="433">
      <c r="A433" s="35" t="s">
        <v>10891</v>
      </c>
      <c r="B433" s="39">
        <v>45995.52722222223</v>
      </c>
      <c r="C433" s="35" t="s">
        <v>9488</v>
      </c>
      <c r="D433" s="40" t="s">
        <v>9489</v>
      </c>
      <c r="E433" s="35" t="s">
        <v>9627</v>
      </c>
      <c r="F433" s="40" t="s">
        <v>9489</v>
      </c>
      <c r="G433" s="35" t="s">
        <v>10892</v>
      </c>
      <c r="H433" s="35" t="s">
        <v>10558</v>
      </c>
      <c r="I433" s="35" t="s">
        <v>10889</v>
      </c>
      <c r="J433" s="35" t="s">
        <v>10893</v>
      </c>
      <c r="K433" s="35" t="s">
        <v>101</v>
      </c>
      <c r="L433" s="35" t="s">
        <v>101</v>
      </c>
      <c r="M433" s="35" t="s">
        <v>511</v>
      </c>
      <c r="N433" s="35"/>
      <c r="O433" s="3"/>
    </row>
    <row r="434">
      <c r="A434" s="35" t="s">
        <v>10894</v>
      </c>
      <c r="B434" s="39">
        <v>45999.26988425926</v>
      </c>
      <c r="C434" s="35" t="s">
        <v>10486</v>
      </c>
      <c r="D434" s="40" t="s">
        <v>8055</v>
      </c>
      <c r="E434" s="35" t="s">
        <v>10884</v>
      </c>
      <c r="F434" s="40" t="s">
        <v>9489</v>
      </c>
      <c r="G434" s="35"/>
      <c r="H434" s="35"/>
      <c r="I434" s="35" t="s">
        <v>10895</v>
      </c>
      <c r="J434" s="35" t="s">
        <v>10896</v>
      </c>
      <c r="K434" s="35" t="s">
        <v>101</v>
      </c>
      <c r="L434" s="35" t="s">
        <v>101</v>
      </c>
      <c r="M434" s="35" t="s">
        <v>511</v>
      </c>
      <c r="N434" s="35"/>
      <c r="O434" s="3"/>
    </row>
    <row r="435">
      <c r="A435" s="35" t="s">
        <v>10897</v>
      </c>
      <c r="B435" s="39">
        <v>45995.50001157407</v>
      </c>
      <c r="C435" s="35" t="s">
        <v>9814</v>
      </c>
      <c r="D435" s="40" t="s">
        <v>9815</v>
      </c>
      <c r="E435" s="35" t="s">
        <v>7897</v>
      </c>
      <c r="F435" s="40" t="s">
        <v>8055</v>
      </c>
      <c r="G435" s="35" t="s">
        <v>10898</v>
      </c>
      <c r="H435" s="40" t="s">
        <v>9489</v>
      </c>
      <c r="I435" s="35" t="s">
        <v>10899</v>
      </c>
      <c r="J435" s="35" t="s">
        <v>10900</v>
      </c>
      <c r="K435" s="35" t="s">
        <v>101</v>
      </c>
      <c r="L435" s="35" t="s">
        <v>101</v>
      </c>
      <c r="M435" s="35" t="s">
        <v>511</v>
      </c>
      <c r="N435" s="35"/>
      <c r="O435" s="3"/>
    </row>
    <row r="436">
      <c r="A436" s="35" t="s">
        <v>10901</v>
      </c>
      <c r="B436" s="39">
        <v>45995.32200231482</v>
      </c>
      <c r="C436" s="35" t="s">
        <v>10486</v>
      </c>
      <c r="D436" s="40" t="s">
        <v>8055</v>
      </c>
      <c r="E436" s="35" t="s">
        <v>10902</v>
      </c>
      <c r="F436" s="40" t="s">
        <v>9489</v>
      </c>
      <c r="G436" s="35"/>
      <c r="H436" s="35"/>
      <c r="I436" s="35" t="s">
        <v>10903</v>
      </c>
      <c r="J436" s="35" t="s">
        <v>10904</v>
      </c>
      <c r="K436" s="35" t="s">
        <v>101</v>
      </c>
      <c r="L436" s="35" t="s">
        <v>101</v>
      </c>
      <c r="M436" s="35" t="s">
        <v>511</v>
      </c>
      <c r="N436" s="35"/>
      <c r="O436" s="3"/>
    </row>
    <row r="437">
      <c r="A437" s="35" t="s">
        <v>10905</v>
      </c>
      <c r="B437" s="39">
        <v>45995.32482638889</v>
      </c>
      <c r="C437" s="35" t="s">
        <v>10280</v>
      </c>
      <c r="D437" s="40" t="s">
        <v>9489</v>
      </c>
      <c r="E437" s="35" t="s">
        <v>10486</v>
      </c>
      <c r="F437" s="40" t="s">
        <v>8055</v>
      </c>
      <c r="G437" s="35" t="s">
        <v>10906</v>
      </c>
      <c r="H437" s="40" t="s">
        <v>9489</v>
      </c>
      <c r="I437" s="35" t="s">
        <v>10907</v>
      </c>
      <c r="J437" s="35" t="s">
        <v>10908</v>
      </c>
      <c r="K437" s="35" t="s">
        <v>101</v>
      </c>
      <c r="L437" s="35" t="s">
        <v>101</v>
      </c>
      <c r="M437" s="35" t="s">
        <v>511</v>
      </c>
      <c r="N437" s="35"/>
      <c r="O437" s="3"/>
    </row>
    <row r="438">
      <c r="A438" s="35" t="s">
        <v>10909</v>
      </c>
      <c r="B438" s="39">
        <v>45995.25577546297</v>
      </c>
      <c r="C438" s="35" t="s">
        <v>10486</v>
      </c>
      <c r="D438" s="40" t="s">
        <v>8055</v>
      </c>
      <c r="E438" s="35" t="s">
        <v>10910</v>
      </c>
      <c r="F438" s="40" t="s">
        <v>9489</v>
      </c>
      <c r="G438" s="35"/>
      <c r="H438" s="35"/>
      <c r="I438" s="35" t="s">
        <v>10911</v>
      </c>
      <c r="J438" s="35" t="s">
        <v>10912</v>
      </c>
      <c r="K438" s="35" t="s">
        <v>101</v>
      </c>
      <c r="L438" s="35" t="s">
        <v>101</v>
      </c>
      <c r="M438" s="35" t="s">
        <v>511</v>
      </c>
      <c r="N438" s="35"/>
      <c r="O438" s="3"/>
    </row>
    <row r="439">
      <c r="A439" s="35" t="s">
        <v>10913</v>
      </c>
      <c r="B439" s="39">
        <v>45994.66021990741</v>
      </c>
      <c r="C439" s="35" t="s">
        <v>10280</v>
      </c>
      <c r="D439" s="40" t="s">
        <v>9489</v>
      </c>
      <c r="E439" s="35" t="s">
        <v>10914</v>
      </c>
      <c r="F439" s="35" t="s">
        <v>10568</v>
      </c>
      <c r="G439" s="35"/>
      <c r="H439" s="35"/>
      <c r="I439" s="35" t="s">
        <v>10915</v>
      </c>
      <c r="J439" s="35" t="s">
        <v>10916</v>
      </c>
      <c r="K439" s="35" t="s">
        <v>101</v>
      </c>
      <c r="L439" s="35" t="s">
        <v>101</v>
      </c>
      <c r="M439" s="35" t="s">
        <v>511</v>
      </c>
      <c r="N439" s="35"/>
      <c r="O439" s="3"/>
    </row>
    <row r="440">
      <c r="A440" s="35" t="s">
        <v>10917</v>
      </c>
      <c r="B440" s="39">
        <v>45994.608576388884</v>
      </c>
      <c r="C440" s="35" t="s">
        <v>10486</v>
      </c>
      <c r="D440" s="40" t="s">
        <v>8055</v>
      </c>
      <c r="E440" s="35" t="s">
        <v>10918</v>
      </c>
      <c r="F440" s="40" t="s">
        <v>9489</v>
      </c>
      <c r="G440" s="35"/>
      <c r="H440" s="35"/>
      <c r="I440" s="35" t="s">
        <v>10806</v>
      </c>
      <c r="J440" s="35" t="s">
        <v>10919</v>
      </c>
      <c r="K440" s="35" t="s">
        <v>101</v>
      </c>
      <c r="L440" s="35" t="s">
        <v>101</v>
      </c>
      <c r="M440" s="35" t="s">
        <v>511</v>
      </c>
      <c r="N440" s="35"/>
      <c r="O440" s="3"/>
    </row>
    <row r="441">
      <c r="A441" s="35" t="s">
        <v>10920</v>
      </c>
      <c r="B441" s="39">
        <v>45994.60936342593</v>
      </c>
      <c r="C441" s="35" t="s">
        <v>9627</v>
      </c>
      <c r="D441" s="40" t="s">
        <v>9489</v>
      </c>
      <c r="E441" s="35" t="s">
        <v>7897</v>
      </c>
      <c r="F441" s="40" t="s">
        <v>8055</v>
      </c>
      <c r="G441" s="35" t="s">
        <v>10921</v>
      </c>
      <c r="H441" s="40" t="s">
        <v>9489</v>
      </c>
      <c r="I441" s="35" t="s">
        <v>10922</v>
      </c>
      <c r="J441" s="35" t="s">
        <v>10923</v>
      </c>
      <c r="K441" s="35" t="s">
        <v>101</v>
      </c>
      <c r="L441" s="35" t="s">
        <v>101</v>
      </c>
      <c r="M441" s="35" t="s">
        <v>511</v>
      </c>
      <c r="N441" s="35"/>
      <c r="O441" s="3"/>
    </row>
    <row r="442">
      <c r="A442" s="35" t="s">
        <v>10924</v>
      </c>
      <c r="B442" s="39">
        <v>45994.61796296296</v>
      </c>
      <c r="C442" s="35" t="s">
        <v>10486</v>
      </c>
      <c r="D442" s="40" t="s">
        <v>8055</v>
      </c>
      <c r="E442" s="35" t="s">
        <v>10925</v>
      </c>
      <c r="F442" s="40" t="s">
        <v>9489</v>
      </c>
      <c r="G442" s="35"/>
      <c r="H442" s="35"/>
      <c r="I442" s="35" t="s">
        <v>10806</v>
      </c>
      <c r="J442" s="35" t="s">
        <v>10926</v>
      </c>
      <c r="K442" s="35" t="s">
        <v>101</v>
      </c>
      <c r="L442" s="35" t="s">
        <v>101</v>
      </c>
      <c r="M442" s="35" t="s">
        <v>511</v>
      </c>
      <c r="N442" s="35"/>
      <c r="O442" s="3"/>
    </row>
    <row r="443">
      <c r="A443" s="35" t="s">
        <v>10927</v>
      </c>
      <c r="B443" s="39">
        <v>45994.64650462963</v>
      </c>
      <c r="C443" s="35" t="s">
        <v>10280</v>
      </c>
      <c r="D443" s="40" t="s">
        <v>9489</v>
      </c>
      <c r="E443" s="35" t="s">
        <v>10486</v>
      </c>
      <c r="F443" s="40" t="s">
        <v>8055</v>
      </c>
      <c r="G443" s="35" t="s">
        <v>9488</v>
      </c>
      <c r="H443" s="40" t="s">
        <v>9489</v>
      </c>
      <c r="I443" s="35" t="s">
        <v>10810</v>
      </c>
      <c r="J443" s="35" t="s">
        <v>10928</v>
      </c>
      <c r="K443" s="35" t="s">
        <v>101</v>
      </c>
      <c r="L443" s="35" t="s">
        <v>101</v>
      </c>
      <c r="M443" s="35" t="s">
        <v>511</v>
      </c>
      <c r="N443" s="35"/>
      <c r="O443" s="3"/>
    </row>
    <row r="444">
      <c r="A444" s="35" t="s">
        <v>10929</v>
      </c>
      <c r="B444" s="39">
        <v>45994.65091435185</v>
      </c>
      <c r="C444" s="35" t="s">
        <v>10486</v>
      </c>
      <c r="D444" s="40" t="s">
        <v>8055</v>
      </c>
      <c r="E444" s="35" t="s">
        <v>10280</v>
      </c>
      <c r="F444" s="40" t="s">
        <v>9489</v>
      </c>
      <c r="G444" s="35" t="s">
        <v>9488</v>
      </c>
      <c r="H444" s="40" t="s">
        <v>9489</v>
      </c>
      <c r="I444" s="35" t="s">
        <v>10806</v>
      </c>
      <c r="J444" s="35" t="s">
        <v>10930</v>
      </c>
      <c r="K444" s="35" t="s">
        <v>101</v>
      </c>
      <c r="L444" s="35" t="s">
        <v>101</v>
      </c>
      <c r="M444" s="35" t="s">
        <v>511</v>
      </c>
      <c r="N444" s="35"/>
      <c r="O444" s="3"/>
    </row>
    <row r="445">
      <c r="A445" s="35" t="s">
        <v>10931</v>
      </c>
      <c r="B445" s="39">
        <v>45994.65363425926</v>
      </c>
      <c r="C445" s="35" t="s">
        <v>10280</v>
      </c>
      <c r="D445" s="40" t="s">
        <v>9489</v>
      </c>
      <c r="E445" s="35" t="s">
        <v>10486</v>
      </c>
      <c r="F445" s="40" t="s">
        <v>8055</v>
      </c>
      <c r="G445" s="35" t="s">
        <v>9488</v>
      </c>
      <c r="H445" s="40" t="s">
        <v>9489</v>
      </c>
      <c r="I445" s="35" t="s">
        <v>10810</v>
      </c>
      <c r="J445" s="35" t="s">
        <v>10932</v>
      </c>
      <c r="K445" s="35" t="s">
        <v>101</v>
      </c>
      <c r="L445" s="35" t="s">
        <v>101</v>
      </c>
      <c r="M445" s="35" t="s">
        <v>511</v>
      </c>
      <c r="N445" s="35"/>
      <c r="O445" s="3"/>
    </row>
    <row r="446">
      <c r="A446" s="35" t="s">
        <v>10933</v>
      </c>
      <c r="B446" s="39">
        <v>45994.65771990741</v>
      </c>
      <c r="C446" s="35" t="s">
        <v>10486</v>
      </c>
      <c r="D446" s="40" t="s">
        <v>8055</v>
      </c>
      <c r="E446" s="35" t="s">
        <v>10280</v>
      </c>
      <c r="F446" s="40" t="s">
        <v>9489</v>
      </c>
      <c r="G446" s="35" t="s">
        <v>9488</v>
      </c>
      <c r="H446" s="40" t="s">
        <v>9489</v>
      </c>
      <c r="I446" s="35" t="s">
        <v>10810</v>
      </c>
      <c r="J446" s="35" t="s">
        <v>10934</v>
      </c>
      <c r="K446" s="35" t="s">
        <v>101</v>
      </c>
      <c r="L446" s="35" t="s">
        <v>101</v>
      </c>
      <c r="M446" s="35" t="s">
        <v>511</v>
      </c>
      <c r="N446" s="35"/>
      <c r="O446" s="3"/>
    </row>
    <row r="447">
      <c r="A447" s="35" t="s">
        <v>10935</v>
      </c>
      <c r="B447" s="39">
        <v>45995.35008101852</v>
      </c>
      <c r="C447" s="35" t="s">
        <v>10936</v>
      </c>
      <c r="D447" s="40" t="s">
        <v>9489</v>
      </c>
      <c r="E447" s="35" t="s">
        <v>10486</v>
      </c>
      <c r="F447" s="40" t="s">
        <v>8055</v>
      </c>
      <c r="G447" s="35" t="s">
        <v>10937</v>
      </c>
      <c r="H447" s="40" t="s">
        <v>9489</v>
      </c>
      <c r="I447" s="35" t="s">
        <v>10810</v>
      </c>
      <c r="J447" s="35" t="s">
        <v>10938</v>
      </c>
      <c r="K447" s="35" t="s">
        <v>101</v>
      </c>
      <c r="L447" s="35" t="s">
        <v>101</v>
      </c>
      <c r="M447" s="35" t="s">
        <v>511</v>
      </c>
      <c r="N447" s="35"/>
      <c r="O447" s="3"/>
    </row>
    <row r="448">
      <c r="A448" s="35" t="s">
        <v>10939</v>
      </c>
      <c r="B448" s="39">
        <v>45995.69158564815</v>
      </c>
      <c r="C448" s="35" t="s">
        <v>9488</v>
      </c>
      <c r="D448" s="40" t="s">
        <v>9489</v>
      </c>
      <c r="E448" s="35" t="s">
        <v>10936</v>
      </c>
      <c r="F448" s="40" t="s">
        <v>9489</v>
      </c>
      <c r="G448" s="35" t="s">
        <v>10940</v>
      </c>
      <c r="H448" s="35" t="s">
        <v>10558</v>
      </c>
      <c r="I448" s="35" t="s">
        <v>10810</v>
      </c>
      <c r="J448" s="35" t="s">
        <v>10941</v>
      </c>
      <c r="K448" s="35" t="s">
        <v>101</v>
      </c>
      <c r="L448" s="35" t="s">
        <v>101</v>
      </c>
      <c r="M448" s="35" t="s">
        <v>511</v>
      </c>
      <c r="N448" s="35"/>
      <c r="O448" s="3"/>
    </row>
    <row r="449">
      <c r="A449" s="35" t="s">
        <v>10942</v>
      </c>
      <c r="B449" s="39">
        <v>45995.743055555555</v>
      </c>
      <c r="C449" s="35" t="s">
        <v>10486</v>
      </c>
      <c r="D449" s="40" t="s">
        <v>8055</v>
      </c>
      <c r="E449" s="35" t="s">
        <v>10876</v>
      </c>
      <c r="F449" s="40" t="s">
        <v>9489</v>
      </c>
      <c r="G449" s="35" t="s">
        <v>10943</v>
      </c>
      <c r="H449" s="35" t="s">
        <v>10568</v>
      </c>
      <c r="I449" s="35" t="s">
        <v>10810</v>
      </c>
      <c r="J449" s="35" t="s">
        <v>10944</v>
      </c>
      <c r="K449" s="35" t="s">
        <v>101</v>
      </c>
      <c r="L449" s="35" t="s">
        <v>101</v>
      </c>
      <c r="M449" s="35" t="s">
        <v>511</v>
      </c>
      <c r="N449" s="35"/>
      <c r="O449" s="3"/>
    </row>
    <row r="450">
      <c r="A450" s="35" t="s">
        <v>10945</v>
      </c>
      <c r="B450" s="39">
        <v>45995.75703703704</v>
      </c>
      <c r="C450" s="35" t="s">
        <v>9488</v>
      </c>
      <c r="D450" s="40" t="s">
        <v>9489</v>
      </c>
      <c r="E450" s="35" t="s">
        <v>10486</v>
      </c>
      <c r="F450" s="40" t="s">
        <v>8055</v>
      </c>
      <c r="G450" s="35" t="s">
        <v>10946</v>
      </c>
      <c r="H450" s="35" t="s">
        <v>10568</v>
      </c>
      <c r="I450" s="35" t="s">
        <v>10810</v>
      </c>
      <c r="J450" s="35" t="s">
        <v>10947</v>
      </c>
      <c r="K450" s="35" t="s">
        <v>101</v>
      </c>
      <c r="L450" s="35" t="s">
        <v>101</v>
      </c>
      <c r="M450" s="35" t="s">
        <v>511</v>
      </c>
      <c r="N450" s="35"/>
      <c r="O450" s="3"/>
    </row>
    <row r="451">
      <c r="A451" s="35" t="s">
        <v>10948</v>
      </c>
      <c r="B451" s="39">
        <v>45996.2899537037</v>
      </c>
      <c r="C451" s="35" t="s">
        <v>10949</v>
      </c>
      <c r="D451" s="40" t="s">
        <v>8055</v>
      </c>
      <c r="E451" s="35" t="s">
        <v>10950</v>
      </c>
      <c r="F451" s="35" t="s">
        <v>10568</v>
      </c>
      <c r="G451" s="35" t="s">
        <v>10951</v>
      </c>
      <c r="H451" s="35" t="s">
        <v>10568</v>
      </c>
      <c r="I451" s="35" t="s">
        <v>10806</v>
      </c>
      <c r="J451" s="35" t="s">
        <v>10952</v>
      </c>
      <c r="K451" s="35" t="s">
        <v>101</v>
      </c>
      <c r="L451" s="35" t="s">
        <v>101</v>
      </c>
      <c r="M451" s="35" t="s">
        <v>511</v>
      </c>
      <c r="N451" s="35"/>
      <c r="O451" s="3"/>
    </row>
    <row r="452">
      <c r="A452" s="35" t="s">
        <v>10953</v>
      </c>
      <c r="B452" s="39">
        <v>45996.302141203705</v>
      </c>
      <c r="C452" s="35" t="s">
        <v>10486</v>
      </c>
      <c r="D452" s="40" t="s">
        <v>8055</v>
      </c>
      <c r="E452" s="35" t="s">
        <v>10954</v>
      </c>
      <c r="F452" s="35" t="s">
        <v>10558</v>
      </c>
      <c r="G452" s="35" t="s">
        <v>10955</v>
      </c>
      <c r="H452" s="35" t="s">
        <v>10568</v>
      </c>
      <c r="I452" s="35" t="s">
        <v>10806</v>
      </c>
      <c r="J452" s="35" t="s">
        <v>10956</v>
      </c>
      <c r="K452" s="35" t="s">
        <v>101</v>
      </c>
      <c r="L452" s="35" t="s">
        <v>101</v>
      </c>
      <c r="M452" s="35" t="s">
        <v>511</v>
      </c>
      <c r="N452" s="35"/>
      <c r="O452" s="3"/>
    </row>
    <row r="453">
      <c r="A453" s="35" t="s">
        <v>10957</v>
      </c>
      <c r="B453" s="39">
        <v>45996.30850694445</v>
      </c>
      <c r="C453" s="35" t="s">
        <v>9488</v>
      </c>
      <c r="D453" s="40" t="s">
        <v>9489</v>
      </c>
      <c r="E453" s="35" t="s">
        <v>10486</v>
      </c>
      <c r="F453" s="40" t="s">
        <v>8055</v>
      </c>
      <c r="G453" s="35" t="s">
        <v>10958</v>
      </c>
      <c r="H453" s="35" t="s">
        <v>10558</v>
      </c>
      <c r="I453" s="35" t="s">
        <v>10810</v>
      </c>
      <c r="J453" s="35" t="s">
        <v>10959</v>
      </c>
      <c r="K453" s="35" t="s">
        <v>101</v>
      </c>
      <c r="L453" s="35" t="s">
        <v>101</v>
      </c>
      <c r="M453" s="35" t="s">
        <v>511</v>
      </c>
      <c r="N453" s="35"/>
      <c r="O453" s="3"/>
    </row>
    <row r="454">
      <c r="A454" s="35" t="s">
        <v>10960</v>
      </c>
      <c r="B454" s="39">
        <v>45996.31116898148</v>
      </c>
      <c r="C454" s="35" t="s">
        <v>10486</v>
      </c>
      <c r="D454" s="40" t="s">
        <v>8055</v>
      </c>
      <c r="E454" s="35" t="s">
        <v>9488</v>
      </c>
      <c r="F454" s="40" t="s">
        <v>9489</v>
      </c>
      <c r="G454" s="35" t="s">
        <v>10958</v>
      </c>
      <c r="H454" s="35" t="s">
        <v>10558</v>
      </c>
      <c r="I454" s="35" t="s">
        <v>10806</v>
      </c>
      <c r="J454" s="35" t="s">
        <v>10961</v>
      </c>
      <c r="K454" s="35" t="s">
        <v>101</v>
      </c>
      <c r="L454" s="35" t="s">
        <v>101</v>
      </c>
      <c r="M454" s="35" t="s">
        <v>511</v>
      </c>
      <c r="N454" s="35"/>
      <c r="O454" s="3"/>
    </row>
    <row r="455">
      <c r="A455" s="35" t="s">
        <v>10962</v>
      </c>
      <c r="B455" s="39">
        <v>45996.34929398148</v>
      </c>
      <c r="C455" s="35" t="s">
        <v>10963</v>
      </c>
      <c r="D455" s="40" t="s">
        <v>9489</v>
      </c>
      <c r="E455" s="35" t="s">
        <v>10486</v>
      </c>
      <c r="F455" s="40" t="s">
        <v>8055</v>
      </c>
      <c r="G455" s="35" t="s">
        <v>10964</v>
      </c>
      <c r="H455" s="35" t="s">
        <v>10568</v>
      </c>
      <c r="I455" s="35" t="s">
        <v>10810</v>
      </c>
      <c r="J455" s="35" t="s">
        <v>10965</v>
      </c>
      <c r="K455" s="35" t="s">
        <v>101</v>
      </c>
      <c r="L455" s="35" t="s">
        <v>101</v>
      </c>
      <c r="M455" s="35" t="s">
        <v>511</v>
      </c>
      <c r="N455" s="35"/>
      <c r="O455" s="3"/>
    </row>
    <row r="456">
      <c r="A456" s="35" t="s">
        <v>10966</v>
      </c>
      <c r="B456" s="39">
        <v>45996.35600694444</v>
      </c>
      <c r="C456" s="35" t="s">
        <v>9488</v>
      </c>
      <c r="D456" s="40" t="s">
        <v>9489</v>
      </c>
      <c r="E456" s="35" t="s">
        <v>10963</v>
      </c>
      <c r="F456" s="40" t="s">
        <v>9489</v>
      </c>
      <c r="G456" s="35" t="s">
        <v>10967</v>
      </c>
      <c r="H456" s="35" t="s">
        <v>10558</v>
      </c>
      <c r="I456" s="35" t="s">
        <v>10810</v>
      </c>
      <c r="J456" s="35" t="s">
        <v>10968</v>
      </c>
      <c r="K456" s="35" t="s">
        <v>101</v>
      </c>
      <c r="L456" s="35" t="s">
        <v>101</v>
      </c>
      <c r="M456" s="35" t="s">
        <v>511</v>
      </c>
      <c r="N456" s="35"/>
      <c r="O456" s="3"/>
    </row>
    <row r="457">
      <c r="A457" s="35" t="s">
        <v>10969</v>
      </c>
      <c r="B457" s="39">
        <v>45996.43783564815</v>
      </c>
      <c r="C457" s="35" t="s">
        <v>10486</v>
      </c>
      <c r="D457" s="40" t="s">
        <v>8055</v>
      </c>
      <c r="E457" s="35" t="s">
        <v>10970</v>
      </c>
      <c r="F457" s="40" t="s">
        <v>9489</v>
      </c>
      <c r="G457" s="35" t="s">
        <v>10971</v>
      </c>
      <c r="H457" s="35" t="s">
        <v>10558</v>
      </c>
      <c r="I457" s="35" t="s">
        <v>10806</v>
      </c>
      <c r="J457" s="35" t="s">
        <v>10972</v>
      </c>
      <c r="K457" s="35" t="s">
        <v>101</v>
      </c>
      <c r="L457" s="35" t="s">
        <v>101</v>
      </c>
      <c r="M457" s="35" t="s">
        <v>511</v>
      </c>
      <c r="N457" s="35"/>
      <c r="O457" s="3"/>
    </row>
    <row r="458">
      <c r="A458" s="35" t="s">
        <v>10973</v>
      </c>
      <c r="B458" s="39">
        <v>45996.51751157407</v>
      </c>
      <c r="C458" s="35" t="s">
        <v>10486</v>
      </c>
      <c r="D458" s="40" t="s">
        <v>8055</v>
      </c>
      <c r="E458" s="35" t="s">
        <v>10970</v>
      </c>
      <c r="F458" s="40" t="s">
        <v>9489</v>
      </c>
      <c r="G458" s="35" t="s">
        <v>10971</v>
      </c>
      <c r="H458" s="35" t="s">
        <v>10558</v>
      </c>
      <c r="I458" s="35" t="s">
        <v>10806</v>
      </c>
      <c r="J458" s="35" t="s">
        <v>10974</v>
      </c>
      <c r="K458" s="35" t="s">
        <v>101</v>
      </c>
      <c r="L458" s="35" t="s">
        <v>101</v>
      </c>
      <c r="M458" s="35" t="s">
        <v>511</v>
      </c>
      <c r="N458" s="35"/>
      <c r="O458" s="3"/>
    </row>
    <row r="459">
      <c r="A459" s="35" t="s">
        <v>10975</v>
      </c>
      <c r="B459" s="39">
        <v>45996.52767361111</v>
      </c>
      <c r="C459" s="35" t="s">
        <v>10486</v>
      </c>
      <c r="D459" s="40" t="s">
        <v>8055</v>
      </c>
      <c r="E459" s="35" t="s">
        <v>10970</v>
      </c>
      <c r="F459" s="40" t="s">
        <v>9489</v>
      </c>
      <c r="G459" s="35" t="s">
        <v>10976</v>
      </c>
      <c r="H459" s="40" t="s">
        <v>9489</v>
      </c>
      <c r="I459" s="35" t="s">
        <v>10806</v>
      </c>
      <c r="J459" s="35" t="s">
        <v>10977</v>
      </c>
      <c r="K459" s="35" t="s">
        <v>101</v>
      </c>
      <c r="L459" s="35" t="s">
        <v>101</v>
      </c>
      <c r="M459" s="35" t="s">
        <v>511</v>
      </c>
      <c r="N459" s="35"/>
      <c r="O459" s="3"/>
    </row>
    <row r="460">
      <c r="A460" s="35" t="s">
        <v>10978</v>
      </c>
      <c r="B460" s="39">
        <v>45999.320868055554</v>
      </c>
      <c r="C460" s="35" t="s">
        <v>10618</v>
      </c>
      <c r="D460" s="40" t="s">
        <v>9489</v>
      </c>
      <c r="E460" s="35" t="s">
        <v>7897</v>
      </c>
      <c r="F460" s="40" t="s">
        <v>8055</v>
      </c>
      <c r="G460" s="35" t="s">
        <v>10979</v>
      </c>
      <c r="H460" s="35" t="s">
        <v>10568</v>
      </c>
      <c r="I460" s="35" t="s">
        <v>10922</v>
      </c>
      <c r="J460" s="35" t="s">
        <v>10980</v>
      </c>
      <c r="K460" s="35" t="s">
        <v>101</v>
      </c>
      <c r="L460" s="35" t="s">
        <v>101</v>
      </c>
      <c r="M460" s="35" t="s">
        <v>511</v>
      </c>
      <c r="N460" s="35"/>
      <c r="O460" s="3"/>
    </row>
    <row r="461">
      <c r="A461" s="35" t="s">
        <v>10981</v>
      </c>
      <c r="B461" s="39">
        <v>46001.487291666665</v>
      </c>
      <c r="C461" s="35" t="s">
        <v>10486</v>
      </c>
      <c r="D461" s="40" t="s">
        <v>8055</v>
      </c>
      <c r="E461" s="35" t="s">
        <v>9488</v>
      </c>
      <c r="F461" s="40" t="s">
        <v>9489</v>
      </c>
      <c r="G461" s="35"/>
      <c r="H461" s="35"/>
      <c r="I461" s="35" t="s">
        <v>10806</v>
      </c>
      <c r="J461" s="35" t="s">
        <v>10982</v>
      </c>
      <c r="K461" s="35" t="s">
        <v>101</v>
      </c>
      <c r="L461" s="35" t="s">
        <v>101</v>
      </c>
      <c r="M461" s="35" t="s">
        <v>511</v>
      </c>
      <c r="N461" s="35"/>
      <c r="O461" s="3"/>
    </row>
    <row r="462">
      <c r="A462" s="35" t="s">
        <v>10983</v>
      </c>
      <c r="B462" s="39">
        <v>46002.42685185185</v>
      </c>
      <c r="C462" s="35" t="s">
        <v>9488</v>
      </c>
      <c r="D462" s="40" t="s">
        <v>9489</v>
      </c>
      <c r="E462" s="35" t="s">
        <v>10486</v>
      </c>
      <c r="F462" s="40" t="s">
        <v>8055</v>
      </c>
      <c r="G462" s="35"/>
      <c r="H462" s="35"/>
      <c r="I462" s="35" t="s">
        <v>10810</v>
      </c>
      <c r="J462" s="35" t="s">
        <v>10984</v>
      </c>
      <c r="K462" s="35" t="s">
        <v>101</v>
      </c>
      <c r="L462" s="35" t="s">
        <v>101</v>
      </c>
      <c r="M462" s="35" t="s">
        <v>511</v>
      </c>
      <c r="N462" s="35"/>
      <c r="O462" s="3"/>
    </row>
    <row r="463">
      <c r="A463" s="35" t="s">
        <v>10985</v>
      </c>
      <c r="B463" s="39">
        <v>45994.27947916667</v>
      </c>
      <c r="C463" s="35" t="s">
        <v>10486</v>
      </c>
      <c r="D463" s="40" t="s">
        <v>8055</v>
      </c>
      <c r="E463" s="35" t="s">
        <v>10876</v>
      </c>
      <c r="F463" s="40" t="s">
        <v>9489</v>
      </c>
      <c r="G463" s="35"/>
      <c r="H463" s="35"/>
      <c r="I463" s="35" t="s">
        <v>10986</v>
      </c>
      <c r="J463" s="35" t="s">
        <v>10987</v>
      </c>
      <c r="K463" s="35" t="s">
        <v>101</v>
      </c>
      <c r="L463" s="35" t="s">
        <v>101</v>
      </c>
      <c r="M463" s="35" t="s">
        <v>511</v>
      </c>
      <c r="N463" s="35"/>
      <c r="O463" s="3"/>
    </row>
    <row r="464">
      <c r="A464" s="35" t="s">
        <v>10988</v>
      </c>
      <c r="B464" s="39">
        <v>45994.435324074075</v>
      </c>
      <c r="C464" s="35" t="s">
        <v>10936</v>
      </c>
      <c r="D464" s="40" t="s">
        <v>9489</v>
      </c>
      <c r="E464" s="35" t="s">
        <v>10486</v>
      </c>
      <c r="F464" s="40" t="s">
        <v>8055</v>
      </c>
      <c r="G464" s="35" t="s">
        <v>9488</v>
      </c>
      <c r="H464" s="40" t="s">
        <v>9489</v>
      </c>
      <c r="I464" s="35" t="s">
        <v>10989</v>
      </c>
      <c r="J464" s="35" t="s">
        <v>10990</v>
      </c>
      <c r="K464" s="35" t="s">
        <v>101</v>
      </c>
      <c r="L464" s="35" t="s">
        <v>101</v>
      </c>
      <c r="M464" s="35" t="s">
        <v>511</v>
      </c>
      <c r="N464" s="35"/>
      <c r="O464" s="3"/>
    </row>
    <row r="465">
      <c r="A465" s="35" t="s">
        <v>10991</v>
      </c>
      <c r="B465" s="39">
        <v>45994.27019675926</v>
      </c>
      <c r="C465" s="35" t="s">
        <v>10992</v>
      </c>
      <c r="D465" s="40" t="s">
        <v>7110</v>
      </c>
      <c r="E465" s="35" t="s">
        <v>7288</v>
      </c>
      <c r="F465" s="40" t="s">
        <v>9489</v>
      </c>
      <c r="G465" s="35"/>
      <c r="H465" s="35"/>
      <c r="I465" s="35" t="s">
        <v>10993</v>
      </c>
      <c r="J465" s="35" t="s">
        <v>10994</v>
      </c>
      <c r="K465" s="35" t="s">
        <v>139</v>
      </c>
      <c r="L465" s="35" t="s">
        <v>139</v>
      </c>
      <c r="M465" s="35" t="s">
        <v>361</v>
      </c>
      <c r="N465" s="35"/>
      <c r="O465" s="3"/>
    </row>
    <row r="466">
      <c r="A466" s="35" t="s">
        <v>10995</v>
      </c>
      <c r="B466" s="39">
        <v>45993.6734837963</v>
      </c>
      <c r="C466" s="35" t="s">
        <v>10462</v>
      </c>
      <c r="D466" s="40" t="s">
        <v>7110</v>
      </c>
      <c r="E466" s="35" t="s">
        <v>9488</v>
      </c>
      <c r="F466" s="40" t="s">
        <v>9489</v>
      </c>
      <c r="G466" s="35"/>
      <c r="H466" s="35"/>
      <c r="I466" s="35" t="s">
        <v>10996</v>
      </c>
      <c r="J466" s="35" t="s">
        <v>9725</v>
      </c>
      <c r="K466" s="35" t="s">
        <v>139</v>
      </c>
      <c r="L466" s="35" t="s">
        <v>139</v>
      </c>
      <c r="M466" s="35" t="s">
        <v>361</v>
      </c>
      <c r="N466" s="35"/>
      <c r="O466" s="3"/>
    </row>
    <row r="467">
      <c r="A467" s="35" t="s">
        <v>10997</v>
      </c>
      <c r="B467" s="39">
        <v>45993.66763888889</v>
      </c>
      <c r="C467" s="35" t="s">
        <v>10470</v>
      </c>
      <c r="D467" s="40" t="s">
        <v>7110</v>
      </c>
      <c r="E467" s="35" t="s">
        <v>9488</v>
      </c>
      <c r="F467" s="40" t="s">
        <v>9489</v>
      </c>
      <c r="G467" s="35"/>
      <c r="H467" s="35"/>
      <c r="I467" s="35" t="s">
        <v>10998</v>
      </c>
      <c r="J467" s="35" t="s">
        <v>9725</v>
      </c>
      <c r="K467" s="35" t="s">
        <v>139</v>
      </c>
      <c r="L467" s="35" t="s">
        <v>139</v>
      </c>
      <c r="M467" s="35" t="s">
        <v>361</v>
      </c>
      <c r="N467" s="35"/>
      <c r="O467" s="3"/>
    </row>
    <row r="468">
      <c r="A468" s="35" t="s">
        <v>10999</v>
      </c>
      <c r="B468" s="39">
        <v>45987.37423611111</v>
      </c>
      <c r="C468" s="35" t="s">
        <v>9488</v>
      </c>
      <c r="D468" s="40" t="s">
        <v>9489</v>
      </c>
      <c r="E468" s="35" t="s">
        <v>11000</v>
      </c>
      <c r="F468" s="40" t="s">
        <v>7110</v>
      </c>
      <c r="G468" s="35"/>
      <c r="H468" s="35"/>
      <c r="I468" s="35" t="s">
        <v>11001</v>
      </c>
      <c r="J468" s="35" t="s">
        <v>11002</v>
      </c>
      <c r="K468" s="35" t="s">
        <v>139</v>
      </c>
      <c r="L468" s="35" t="s">
        <v>139</v>
      </c>
      <c r="M468" s="35" t="s">
        <v>361</v>
      </c>
      <c r="N468" s="35"/>
      <c r="O468" s="3"/>
    </row>
    <row r="469">
      <c r="A469" s="35" t="s">
        <v>11003</v>
      </c>
      <c r="B469" s="39">
        <v>45986.36584490741</v>
      </c>
      <c r="C469" s="35" t="s">
        <v>10936</v>
      </c>
      <c r="D469" s="40" t="s">
        <v>9489</v>
      </c>
      <c r="E469" s="35" t="s">
        <v>11004</v>
      </c>
      <c r="F469" s="35" t="s">
        <v>10568</v>
      </c>
      <c r="G469" s="35"/>
      <c r="H469" s="35"/>
      <c r="I469" s="35" t="s">
        <v>11005</v>
      </c>
      <c r="J469" s="35" t="s">
        <v>11006</v>
      </c>
      <c r="K469" s="35" t="s">
        <v>101</v>
      </c>
      <c r="L469" s="35" t="s">
        <v>101</v>
      </c>
      <c r="M469" s="35" t="s">
        <v>511</v>
      </c>
      <c r="N469" s="35"/>
      <c r="O469" s="3"/>
    </row>
    <row r="470">
      <c r="A470" s="35" t="s">
        <v>11007</v>
      </c>
      <c r="B470" s="39">
        <v>45986.1193287037</v>
      </c>
      <c r="C470" s="35" t="s">
        <v>9496</v>
      </c>
      <c r="D470" s="40" t="s">
        <v>9489</v>
      </c>
      <c r="E470" s="35" t="s">
        <v>9757</v>
      </c>
      <c r="F470" s="40" t="s">
        <v>9489</v>
      </c>
      <c r="G470" s="35" t="s">
        <v>11008</v>
      </c>
      <c r="H470" s="35" t="s">
        <v>10793</v>
      </c>
      <c r="I470" s="35" t="s">
        <v>11009</v>
      </c>
      <c r="J470" s="35" t="s">
        <v>11010</v>
      </c>
      <c r="K470" s="35" t="s">
        <v>139</v>
      </c>
      <c r="L470" s="35" t="s">
        <v>139</v>
      </c>
      <c r="M470" s="35" t="s">
        <v>361</v>
      </c>
      <c r="N470" s="35"/>
      <c r="O470" s="3"/>
    </row>
    <row r="471">
      <c r="A471" s="35" t="s">
        <v>11011</v>
      </c>
      <c r="B471" s="39">
        <v>45986.39618055556</v>
      </c>
      <c r="C471" s="35" t="s">
        <v>10470</v>
      </c>
      <c r="D471" s="40" t="s">
        <v>7110</v>
      </c>
      <c r="E471" s="35" t="s">
        <v>11012</v>
      </c>
      <c r="F471" s="40" t="s">
        <v>9489</v>
      </c>
      <c r="G471" s="35" t="s">
        <v>11013</v>
      </c>
      <c r="H471" s="35" t="s">
        <v>10793</v>
      </c>
      <c r="I471" s="35" t="s">
        <v>11009</v>
      </c>
      <c r="J471" s="35" t="s">
        <v>11014</v>
      </c>
      <c r="K471" s="35" t="s">
        <v>139</v>
      </c>
      <c r="L471" s="35" t="s">
        <v>139</v>
      </c>
      <c r="M471" s="35" t="s">
        <v>361</v>
      </c>
      <c r="N471" s="35"/>
      <c r="O471" s="3"/>
    </row>
    <row r="472">
      <c r="A472" s="35" t="s">
        <v>11015</v>
      </c>
      <c r="B472" s="39">
        <v>45986.41983796297</v>
      </c>
      <c r="C472" s="35" t="s">
        <v>9757</v>
      </c>
      <c r="D472" s="40" t="s">
        <v>9489</v>
      </c>
      <c r="E472" s="35" t="s">
        <v>10470</v>
      </c>
      <c r="F472" s="40" t="s">
        <v>7110</v>
      </c>
      <c r="G472" s="35" t="s">
        <v>11016</v>
      </c>
      <c r="H472" s="35" t="s">
        <v>11017</v>
      </c>
      <c r="I472" s="35" t="s">
        <v>11009</v>
      </c>
      <c r="J472" s="35" t="s">
        <v>11018</v>
      </c>
      <c r="K472" s="35" t="s">
        <v>139</v>
      </c>
      <c r="L472" s="35" t="s">
        <v>139</v>
      </c>
      <c r="M472" s="35" t="s">
        <v>361</v>
      </c>
      <c r="N472" s="35"/>
      <c r="O472" s="3"/>
    </row>
    <row r="473">
      <c r="A473" s="35" t="s">
        <v>11019</v>
      </c>
      <c r="B473" s="39">
        <v>45987.37123842593</v>
      </c>
      <c r="C473" s="35" t="s">
        <v>9757</v>
      </c>
      <c r="D473" s="40" t="s">
        <v>9489</v>
      </c>
      <c r="E473" s="35" t="s">
        <v>10470</v>
      </c>
      <c r="F473" s="40" t="s">
        <v>7110</v>
      </c>
      <c r="G473" s="35" t="s">
        <v>11016</v>
      </c>
      <c r="H473" s="35" t="s">
        <v>11017</v>
      </c>
      <c r="I473" s="35" t="s">
        <v>11009</v>
      </c>
      <c r="J473" s="35" t="s">
        <v>11020</v>
      </c>
      <c r="K473" s="35" t="s">
        <v>139</v>
      </c>
      <c r="L473" s="35" t="s">
        <v>139</v>
      </c>
      <c r="M473" s="35" t="s">
        <v>361</v>
      </c>
      <c r="N473" s="35"/>
      <c r="O473" s="3"/>
    </row>
    <row r="474">
      <c r="A474" s="35" t="s">
        <v>11021</v>
      </c>
      <c r="B474" s="39">
        <v>45987.374085648145</v>
      </c>
      <c r="C474" s="35" t="s">
        <v>10470</v>
      </c>
      <c r="D474" s="40" t="s">
        <v>7110</v>
      </c>
      <c r="E474" s="35" t="s">
        <v>9757</v>
      </c>
      <c r="F474" s="40" t="s">
        <v>9489</v>
      </c>
      <c r="G474" s="35" t="s">
        <v>11016</v>
      </c>
      <c r="H474" s="35" t="s">
        <v>11017</v>
      </c>
      <c r="I474" s="35" t="s">
        <v>11009</v>
      </c>
      <c r="J474" s="35" t="s">
        <v>11022</v>
      </c>
      <c r="K474" s="35" t="s">
        <v>139</v>
      </c>
      <c r="L474" s="35" t="s">
        <v>139</v>
      </c>
      <c r="M474" s="35" t="s">
        <v>361</v>
      </c>
      <c r="N474" s="35"/>
      <c r="O474" s="3"/>
    </row>
    <row r="475">
      <c r="A475" s="35" t="s">
        <v>11023</v>
      </c>
      <c r="B475" s="39">
        <v>45987.42145833334</v>
      </c>
      <c r="C475" s="35" t="s">
        <v>9757</v>
      </c>
      <c r="D475" s="40" t="s">
        <v>9489</v>
      </c>
      <c r="E475" s="35" t="s">
        <v>10470</v>
      </c>
      <c r="F475" s="40" t="s">
        <v>7110</v>
      </c>
      <c r="G475" s="35" t="s">
        <v>11016</v>
      </c>
      <c r="H475" s="35" t="s">
        <v>11017</v>
      </c>
      <c r="I475" s="35" t="s">
        <v>11009</v>
      </c>
      <c r="J475" s="35" t="s">
        <v>11024</v>
      </c>
      <c r="K475" s="35" t="s">
        <v>139</v>
      </c>
      <c r="L475" s="35" t="s">
        <v>139</v>
      </c>
      <c r="M475" s="35" t="s">
        <v>361</v>
      </c>
      <c r="N475" s="35"/>
      <c r="O475" s="3"/>
    </row>
    <row r="476">
      <c r="A476" s="35" t="s">
        <v>11025</v>
      </c>
      <c r="B476" s="39">
        <v>45987.55143518519</v>
      </c>
      <c r="C476" s="35" t="s">
        <v>9496</v>
      </c>
      <c r="D476" s="40" t="s">
        <v>9489</v>
      </c>
      <c r="E476" s="35" t="s">
        <v>9757</v>
      </c>
      <c r="F476" s="40" t="s">
        <v>9489</v>
      </c>
      <c r="G476" s="35" t="s">
        <v>11026</v>
      </c>
      <c r="H476" s="35" t="s">
        <v>10793</v>
      </c>
      <c r="I476" s="35" t="s">
        <v>11009</v>
      </c>
      <c r="J476" s="35" t="s">
        <v>11027</v>
      </c>
      <c r="K476" s="35" t="s">
        <v>139</v>
      </c>
      <c r="L476" s="35" t="s">
        <v>139</v>
      </c>
      <c r="M476" s="35" t="s">
        <v>361</v>
      </c>
      <c r="N476" s="35"/>
      <c r="O476" s="3"/>
    </row>
    <row r="477">
      <c r="A477" s="35" t="s">
        <v>11028</v>
      </c>
      <c r="B477" s="39">
        <v>45987.636342592596</v>
      </c>
      <c r="C477" s="35" t="s">
        <v>10470</v>
      </c>
      <c r="D477" s="40" t="s">
        <v>7110</v>
      </c>
      <c r="E477" s="35" t="s">
        <v>11012</v>
      </c>
      <c r="F477" s="40" t="s">
        <v>9489</v>
      </c>
      <c r="G477" s="35" t="s">
        <v>11029</v>
      </c>
      <c r="H477" s="35" t="s">
        <v>10793</v>
      </c>
      <c r="I477" s="35" t="s">
        <v>11009</v>
      </c>
      <c r="J477" s="35" t="s">
        <v>11030</v>
      </c>
      <c r="K477" s="35" t="s">
        <v>139</v>
      </c>
      <c r="L477" s="35" t="s">
        <v>139</v>
      </c>
      <c r="M477" s="35" t="s">
        <v>361</v>
      </c>
      <c r="N477" s="35"/>
      <c r="O477" s="3"/>
    </row>
    <row r="478">
      <c r="A478" s="35" t="s">
        <v>11031</v>
      </c>
      <c r="B478" s="39">
        <v>45987.64239583333</v>
      </c>
      <c r="C478" s="35" t="s">
        <v>9496</v>
      </c>
      <c r="D478" s="40" t="s">
        <v>9489</v>
      </c>
      <c r="E478" s="35" t="s">
        <v>11032</v>
      </c>
      <c r="F478" s="40" t="s">
        <v>7110</v>
      </c>
      <c r="G478" s="35" t="s">
        <v>11033</v>
      </c>
      <c r="H478" s="35" t="s">
        <v>11017</v>
      </c>
      <c r="I478" s="35" t="s">
        <v>11009</v>
      </c>
      <c r="J478" s="35" t="s">
        <v>11034</v>
      </c>
      <c r="K478" s="35" t="s">
        <v>139</v>
      </c>
      <c r="L478" s="35" t="s">
        <v>139</v>
      </c>
      <c r="M478" s="35" t="s">
        <v>361</v>
      </c>
      <c r="N478" s="35"/>
      <c r="O478" s="3"/>
    </row>
    <row r="479">
      <c r="A479" s="35" t="s">
        <v>11035</v>
      </c>
      <c r="B479" s="39">
        <v>45993.577303240745</v>
      </c>
      <c r="C479" s="35" t="s">
        <v>9488</v>
      </c>
      <c r="D479" s="40" t="s">
        <v>9489</v>
      </c>
      <c r="E479" s="35" t="s">
        <v>9496</v>
      </c>
      <c r="F479" s="40" t="s">
        <v>9489</v>
      </c>
      <c r="G479" s="35" t="s">
        <v>11036</v>
      </c>
      <c r="H479" s="35" t="s">
        <v>10793</v>
      </c>
      <c r="I479" s="35" t="s">
        <v>11009</v>
      </c>
      <c r="J479" s="35" t="s">
        <v>11037</v>
      </c>
      <c r="K479" s="35" t="s">
        <v>139</v>
      </c>
      <c r="L479" s="35" t="s">
        <v>139</v>
      </c>
      <c r="M479" s="35" t="s">
        <v>361</v>
      </c>
      <c r="N479" s="35"/>
      <c r="O479" s="3"/>
    </row>
    <row r="480">
      <c r="A480" s="35" t="s">
        <v>11038</v>
      </c>
      <c r="B480" s="39">
        <v>45993.65503472222</v>
      </c>
      <c r="C480" s="35" t="s">
        <v>9488</v>
      </c>
      <c r="D480" s="40" t="s">
        <v>9489</v>
      </c>
      <c r="E480" s="35" t="s">
        <v>9496</v>
      </c>
      <c r="F480" s="40" t="s">
        <v>9489</v>
      </c>
      <c r="G480" s="35" t="s">
        <v>11036</v>
      </c>
      <c r="H480" s="35" t="s">
        <v>10793</v>
      </c>
      <c r="I480" s="35" t="s">
        <v>11009</v>
      </c>
      <c r="J480" s="35" t="s">
        <v>11039</v>
      </c>
      <c r="K480" s="35" t="s">
        <v>139</v>
      </c>
      <c r="L480" s="35" t="s">
        <v>139</v>
      </c>
      <c r="M480" s="35" t="s">
        <v>361</v>
      </c>
      <c r="N480" s="35"/>
      <c r="O480" s="3"/>
    </row>
    <row r="481">
      <c r="A481" s="35" t="s">
        <v>11040</v>
      </c>
      <c r="B481" s="39">
        <v>45986.118055555555</v>
      </c>
      <c r="C481" s="35" t="s">
        <v>9496</v>
      </c>
      <c r="D481" s="40" t="s">
        <v>9489</v>
      </c>
      <c r="E481" s="35" t="s">
        <v>11041</v>
      </c>
      <c r="F481" s="35" t="s">
        <v>11017</v>
      </c>
      <c r="G481" s="35"/>
      <c r="H481" s="35"/>
      <c r="I481" s="35" t="s">
        <v>11042</v>
      </c>
      <c r="J481" s="35" t="s">
        <v>11043</v>
      </c>
      <c r="K481" s="35" t="s">
        <v>139</v>
      </c>
      <c r="L481" s="35" t="s">
        <v>139</v>
      </c>
      <c r="M481" s="35" t="s">
        <v>361</v>
      </c>
      <c r="N481" s="35"/>
      <c r="O481" s="3"/>
    </row>
    <row r="482">
      <c r="A482" s="35" t="s">
        <v>11044</v>
      </c>
      <c r="B482" s="39">
        <v>45986.10122685185</v>
      </c>
      <c r="C482" s="35" t="s">
        <v>9496</v>
      </c>
      <c r="D482" s="40" t="s">
        <v>9489</v>
      </c>
      <c r="E482" s="35" t="s">
        <v>11045</v>
      </c>
      <c r="F482" s="35" t="s">
        <v>10501</v>
      </c>
      <c r="G482" s="35"/>
      <c r="H482" s="35"/>
      <c r="I482" s="35" t="s">
        <v>11046</v>
      </c>
      <c r="J482" s="35" t="s">
        <v>11047</v>
      </c>
      <c r="K482" s="35" t="s">
        <v>131</v>
      </c>
      <c r="L482" s="35" t="s">
        <v>131</v>
      </c>
      <c r="M482" s="35" t="s">
        <v>132</v>
      </c>
      <c r="N482" s="35"/>
      <c r="O482" s="3"/>
    </row>
    <row r="483">
      <c r="A483" s="35" t="s">
        <v>11048</v>
      </c>
      <c r="B483" s="39">
        <v>45986.32724537037</v>
      </c>
      <c r="C483" s="35" t="s">
        <v>10480</v>
      </c>
      <c r="D483" s="40" t="s">
        <v>7109</v>
      </c>
      <c r="E483" s="35" t="s">
        <v>9496</v>
      </c>
      <c r="F483" s="40" t="s">
        <v>9489</v>
      </c>
      <c r="G483" s="35" t="s">
        <v>11049</v>
      </c>
      <c r="H483" s="35" t="s">
        <v>10456</v>
      </c>
      <c r="I483" s="35" t="s">
        <v>11050</v>
      </c>
      <c r="J483" s="35" t="s">
        <v>11051</v>
      </c>
      <c r="K483" s="35" t="s">
        <v>131</v>
      </c>
      <c r="L483" s="35" t="s">
        <v>131</v>
      </c>
      <c r="M483" s="35" t="s">
        <v>132</v>
      </c>
      <c r="N483" s="35"/>
      <c r="O483" s="3"/>
    </row>
    <row r="484">
      <c r="A484" s="35" t="s">
        <v>11052</v>
      </c>
      <c r="B484" s="39">
        <v>45986.441157407404</v>
      </c>
      <c r="C484" s="35" t="s">
        <v>9488</v>
      </c>
      <c r="D484" s="40" t="s">
        <v>9489</v>
      </c>
      <c r="E484" s="35" t="s">
        <v>10480</v>
      </c>
      <c r="F484" s="40" t="s">
        <v>7109</v>
      </c>
      <c r="G484" s="35" t="s">
        <v>11053</v>
      </c>
      <c r="H484" s="35" t="s">
        <v>10456</v>
      </c>
      <c r="I484" s="35" t="s">
        <v>11050</v>
      </c>
      <c r="J484" s="35" t="s">
        <v>11054</v>
      </c>
      <c r="K484" s="35" t="s">
        <v>131</v>
      </c>
      <c r="L484" s="35" t="s">
        <v>131</v>
      </c>
      <c r="M484" s="35" t="s">
        <v>132</v>
      </c>
      <c r="N484" s="35"/>
      <c r="O484" s="3"/>
    </row>
    <row r="485">
      <c r="A485" s="35" t="s">
        <v>11055</v>
      </c>
      <c r="B485" s="39">
        <v>46002.58787037037</v>
      </c>
      <c r="C485" s="35" t="s">
        <v>9488</v>
      </c>
      <c r="D485" s="40" t="s">
        <v>9489</v>
      </c>
      <c r="E485" s="35" t="s">
        <v>10480</v>
      </c>
      <c r="F485" s="40" t="s">
        <v>7109</v>
      </c>
      <c r="G485" s="35" t="s">
        <v>11053</v>
      </c>
      <c r="H485" s="35" t="s">
        <v>10456</v>
      </c>
      <c r="I485" s="35" t="s">
        <v>11050</v>
      </c>
      <c r="J485" s="35" t="s">
        <v>11056</v>
      </c>
      <c r="K485" s="35" t="s">
        <v>131</v>
      </c>
      <c r="L485" s="35" t="s">
        <v>131</v>
      </c>
      <c r="M485" s="35" t="s">
        <v>132</v>
      </c>
      <c r="N485" s="35"/>
      <c r="O485" s="3"/>
    </row>
    <row r="486">
      <c r="A486" s="35" t="s">
        <v>11057</v>
      </c>
      <c r="B486" s="39">
        <v>45986.09903935185</v>
      </c>
      <c r="C486" s="35" t="s">
        <v>9496</v>
      </c>
      <c r="D486" s="40" t="s">
        <v>9489</v>
      </c>
      <c r="E486" s="35" t="s">
        <v>11058</v>
      </c>
      <c r="F486" s="35" t="s">
        <v>10456</v>
      </c>
      <c r="G486" s="35"/>
      <c r="H486" s="35"/>
      <c r="I486" s="35" t="s">
        <v>11059</v>
      </c>
      <c r="J486" s="35" t="s">
        <v>11060</v>
      </c>
      <c r="K486" s="35" t="s">
        <v>131</v>
      </c>
      <c r="L486" s="35" t="s">
        <v>131</v>
      </c>
      <c r="M486" s="35" t="s">
        <v>132</v>
      </c>
      <c r="N486" s="35"/>
      <c r="O486" s="3"/>
    </row>
    <row r="487">
      <c r="A487" s="35" t="s">
        <v>11061</v>
      </c>
      <c r="B487" s="39">
        <v>45986.077199074076</v>
      </c>
      <c r="C487" s="35" t="s">
        <v>9496</v>
      </c>
      <c r="D487" s="40" t="s">
        <v>9489</v>
      </c>
      <c r="E487" s="35" t="s">
        <v>11062</v>
      </c>
      <c r="F487" s="35" t="s">
        <v>10568</v>
      </c>
      <c r="G487" s="35"/>
      <c r="H487" s="35"/>
      <c r="I487" s="35" t="s">
        <v>11063</v>
      </c>
      <c r="J487" s="35" t="s">
        <v>11064</v>
      </c>
      <c r="K487" s="35" t="s">
        <v>101</v>
      </c>
      <c r="L487" s="35" t="s">
        <v>101</v>
      </c>
      <c r="M487" s="35" t="s">
        <v>511</v>
      </c>
      <c r="N487" s="35"/>
      <c r="O487" s="3"/>
    </row>
    <row r="488">
      <c r="A488" s="35" t="s">
        <v>11065</v>
      </c>
      <c r="B488" s="39">
        <v>45986.07561342593</v>
      </c>
      <c r="C488" s="35" t="s">
        <v>9496</v>
      </c>
      <c r="D488" s="40" t="s">
        <v>9489</v>
      </c>
      <c r="E488" s="35" t="s">
        <v>11066</v>
      </c>
      <c r="F488" s="35" t="s">
        <v>11067</v>
      </c>
      <c r="G488" s="35"/>
      <c r="H488" s="35"/>
      <c r="I488" s="35" t="s">
        <v>11068</v>
      </c>
      <c r="J488" s="35" t="s">
        <v>11069</v>
      </c>
      <c r="K488" s="35" t="s">
        <v>113</v>
      </c>
      <c r="L488" s="35" t="s">
        <v>113</v>
      </c>
      <c r="M488" s="35" t="s">
        <v>406</v>
      </c>
      <c r="N488" s="35"/>
      <c r="O488" s="3"/>
    </row>
    <row r="489">
      <c r="A489" s="35" t="s">
        <v>11070</v>
      </c>
      <c r="B489" s="39">
        <v>45980.48767361111</v>
      </c>
      <c r="C489" s="35" t="s">
        <v>10486</v>
      </c>
      <c r="D489" s="40" t="s">
        <v>8055</v>
      </c>
      <c r="E489" s="35" t="s">
        <v>10880</v>
      </c>
      <c r="F489" s="35" t="s">
        <v>10558</v>
      </c>
      <c r="G489" s="35"/>
      <c r="H489" s="35"/>
      <c r="I489" s="35" t="s">
        <v>7354</v>
      </c>
      <c r="J489" s="35" t="s">
        <v>11071</v>
      </c>
      <c r="K489" s="35" t="s">
        <v>101</v>
      </c>
      <c r="L489" s="35" t="s">
        <v>101</v>
      </c>
      <c r="M489" s="35" t="s">
        <v>511</v>
      </c>
      <c r="N489" s="35"/>
      <c r="O489" s="3"/>
    </row>
    <row r="490">
      <c r="A490" s="35" t="s">
        <v>11072</v>
      </c>
      <c r="B490" s="39">
        <v>45985.42344907408</v>
      </c>
      <c r="C490" s="35" t="s">
        <v>10936</v>
      </c>
      <c r="D490" s="40" t="s">
        <v>9489</v>
      </c>
      <c r="E490" s="35" t="s">
        <v>10486</v>
      </c>
      <c r="F490" s="40" t="s">
        <v>8055</v>
      </c>
      <c r="G490" s="35" t="s">
        <v>11073</v>
      </c>
      <c r="H490" s="35" t="s">
        <v>10558</v>
      </c>
      <c r="I490" s="35" t="s">
        <v>11074</v>
      </c>
      <c r="J490" s="35" t="s">
        <v>11075</v>
      </c>
      <c r="K490" s="35" t="s">
        <v>101</v>
      </c>
      <c r="L490" s="35" t="s">
        <v>101</v>
      </c>
      <c r="M490" s="35" t="s">
        <v>511</v>
      </c>
      <c r="N490" s="35"/>
      <c r="O490" s="3"/>
    </row>
    <row r="491">
      <c r="A491" s="35" t="s">
        <v>11076</v>
      </c>
      <c r="B491" s="39">
        <v>45980.4143287037</v>
      </c>
      <c r="C491" s="35" t="s">
        <v>9496</v>
      </c>
      <c r="D491" s="40" t="s">
        <v>9489</v>
      </c>
      <c r="E491" s="35" t="s">
        <v>11077</v>
      </c>
      <c r="F491" s="35" t="s">
        <v>10558</v>
      </c>
      <c r="G491" s="35"/>
      <c r="H491" s="35"/>
      <c r="I491" s="35" t="s">
        <v>11078</v>
      </c>
      <c r="J491" s="35" t="s">
        <v>11079</v>
      </c>
      <c r="K491" s="35" t="s">
        <v>101</v>
      </c>
      <c r="L491" s="35" t="s">
        <v>101</v>
      </c>
      <c r="M491" s="35" t="s">
        <v>511</v>
      </c>
      <c r="N491" s="35"/>
      <c r="O491" s="3"/>
    </row>
    <row r="492">
      <c r="A492" s="35" t="s">
        <v>11080</v>
      </c>
      <c r="B492" s="39">
        <v>45980.419074074074</v>
      </c>
      <c r="C492" s="35" t="s">
        <v>10936</v>
      </c>
      <c r="D492" s="40" t="s">
        <v>9489</v>
      </c>
      <c r="E492" s="35" t="s">
        <v>9496</v>
      </c>
      <c r="F492" s="40" t="s">
        <v>9489</v>
      </c>
      <c r="G492" s="35" t="s">
        <v>11081</v>
      </c>
      <c r="H492" s="35" t="s">
        <v>10558</v>
      </c>
      <c r="I492" s="35" t="s">
        <v>11078</v>
      </c>
      <c r="J492" s="35" t="s">
        <v>11082</v>
      </c>
      <c r="K492" s="35" t="s">
        <v>101</v>
      </c>
      <c r="L492" s="35" t="s">
        <v>101</v>
      </c>
      <c r="M492" s="35" t="s">
        <v>511</v>
      </c>
      <c r="N492" s="35"/>
      <c r="O492" s="3"/>
    </row>
    <row r="493">
      <c r="A493" s="35" t="s">
        <v>11083</v>
      </c>
      <c r="B493" s="39">
        <v>46043.41916666667</v>
      </c>
      <c r="C493" s="35" t="s">
        <v>9496</v>
      </c>
      <c r="D493" s="40" t="s">
        <v>9489</v>
      </c>
      <c r="E493" s="35" t="s">
        <v>11084</v>
      </c>
      <c r="F493" s="35" t="s">
        <v>11085</v>
      </c>
      <c r="G493" s="35"/>
      <c r="H493" s="35"/>
      <c r="I493" s="35" t="s">
        <v>11086</v>
      </c>
      <c r="J493" s="35" t="s">
        <v>11087</v>
      </c>
      <c r="K493" s="35" t="s">
        <v>196</v>
      </c>
      <c r="L493" s="35" t="s">
        <v>196</v>
      </c>
      <c r="M493" s="35" t="s">
        <v>197</v>
      </c>
      <c r="N493" s="35"/>
      <c r="O493" s="3"/>
    </row>
    <row r="494">
      <c r="A494" s="35" t="s">
        <v>11088</v>
      </c>
      <c r="B494" s="39">
        <v>46043.41832175926</v>
      </c>
      <c r="C494" s="35" t="s">
        <v>9496</v>
      </c>
      <c r="D494" s="40" t="s">
        <v>9489</v>
      </c>
      <c r="E494" s="35" t="s">
        <v>11084</v>
      </c>
      <c r="F494" s="35" t="s">
        <v>11085</v>
      </c>
      <c r="G494" s="35"/>
      <c r="H494" s="35"/>
      <c r="I494" s="35" t="s">
        <v>11089</v>
      </c>
      <c r="J494" s="35" t="s">
        <v>11090</v>
      </c>
      <c r="K494" s="35" t="s">
        <v>196</v>
      </c>
      <c r="L494" s="35" t="s">
        <v>196</v>
      </c>
      <c r="M494" s="35" t="s">
        <v>197</v>
      </c>
      <c r="N494" s="35"/>
      <c r="O494" s="3"/>
    </row>
    <row r="495">
      <c r="A495" s="35" t="s">
        <v>11091</v>
      </c>
      <c r="B495" s="39">
        <v>46038.57879629629</v>
      </c>
      <c r="C495" s="35" t="s">
        <v>9496</v>
      </c>
      <c r="D495" s="40" t="s">
        <v>9489</v>
      </c>
      <c r="E495" s="35" t="s">
        <v>11092</v>
      </c>
      <c r="F495" s="35" t="s">
        <v>11093</v>
      </c>
      <c r="G495" s="35" t="s">
        <v>11094</v>
      </c>
      <c r="H495" s="40" t="s">
        <v>11095</v>
      </c>
      <c r="I495" s="35" t="s">
        <v>11096</v>
      </c>
      <c r="J495" s="35" t="s">
        <v>11097</v>
      </c>
      <c r="K495" s="35" t="s">
        <v>196</v>
      </c>
      <c r="L495" s="35" t="s">
        <v>196</v>
      </c>
      <c r="M495" s="35" t="s">
        <v>197</v>
      </c>
      <c r="N495" s="35"/>
      <c r="O495" s="3"/>
    </row>
    <row r="496">
      <c r="A496" s="35" t="s">
        <v>11098</v>
      </c>
      <c r="B496" s="39">
        <v>46043.38994212963</v>
      </c>
      <c r="C496" s="35" t="s">
        <v>9496</v>
      </c>
      <c r="D496" s="40" t="s">
        <v>9489</v>
      </c>
      <c r="E496" s="35" t="s">
        <v>11099</v>
      </c>
      <c r="F496" s="40" t="s">
        <v>9489</v>
      </c>
      <c r="G496" s="35" t="s">
        <v>11094</v>
      </c>
      <c r="H496" s="40" t="s">
        <v>11095</v>
      </c>
      <c r="I496" s="35" t="s">
        <v>11096</v>
      </c>
      <c r="J496" s="35" t="s">
        <v>11100</v>
      </c>
      <c r="K496" s="35" t="s">
        <v>196</v>
      </c>
      <c r="L496" s="35" t="s">
        <v>196</v>
      </c>
      <c r="M496" s="35" t="s">
        <v>197</v>
      </c>
      <c r="N496" s="35"/>
      <c r="O496" s="3"/>
    </row>
    <row r="497">
      <c r="A497" s="35" t="s">
        <v>11101</v>
      </c>
      <c r="B497" s="39">
        <v>46036.61158564815</v>
      </c>
      <c r="C497" s="35" t="s">
        <v>9488</v>
      </c>
      <c r="D497" s="40" t="s">
        <v>9489</v>
      </c>
      <c r="E497" s="35" t="s">
        <v>7806</v>
      </c>
      <c r="F497" s="40" t="s">
        <v>7113</v>
      </c>
      <c r="G497" s="35" t="s">
        <v>9496</v>
      </c>
      <c r="H497" s="40" t="s">
        <v>9489</v>
      </c>
      <c r="I497" s="35" t="s">
        <v>11102</v>
      </c>
      <c r="J497" s="35" t="s">
        <v>11103</v>
      </c>
      <c r="K497" s="35" t="s">
        <v>157</v>
      </c>
      <c r="L497" s="35" t="s">
        <v>157</v>
      </c>
      <c r="M497" s="35" t="s">
        <v>158</v>
      </c>
      <c r="N497" s="35"/>
      <c r="O497" s="3"/>
    </row>
    <row r="498">
      <c r="A498" s="35" t="s">
        <v>11104</v>
      </c>
      <c r="B498" s="39">
        <v>46035.556180555555</v>
      </c>
      <c r="C498" s="35" t="s">
        <v>9488</v>
      </c>
      <c r="D498" s="40" t="s">
        <v>9489</v>
      </c>
      <c r="E498" s="35" t="s">
        <v>7643</v>
      </c>
      <c r="F498" s="40" t="s">
        <v>7111</v>
      </c>
      <c r="G498" s="35" t="s">
        <v>9496</v>
      </c>
      <c r="H498" s="40" t="s">
        <v>9489</v>
      </c>
      <c r="I498" s="35" t="s">
        <v>11105</v>
      </c>
      <c r="J498" s="35" t="s">
        <v>11106</v>
      </c>
      <c r="K498" s="35" t="s">
        <v>184</v>
      </c>
      <c r="L498" s="35" t="s">
        <v>184</v>
      </c>
      <c r="M498" s="35" t="s">
        <v>478</v>
      </c>
      <c r="N498" s="35"/>
      <c r="O498" s="3"/>
    </row>
    <row r="499">
      <c r="A499" s="35" t="s">
        <v>11107</v>
      </c>
      <c r="B499" s="39">
        <v>46035.753020833334</v>
      </c>
      <c r="C499" s="35" t="s">
        <v>11108</v>
      </c>
      <c r="D499" s="40" t="s">
        <v>7111</v>
      </c>
      <c r="E499" s="35" t="s">
        <v>9488</v>
      </c>
      <c r="F499" s="40" t="s">
        <v>9489</v>
      </c>
      <c r="G499" s="35" t="s">
        <v>9496</v>
      </c>
      <c r="H499" s="40" t="s">
        <v>9489</v>
      </c>
      <c r="I499" s="35" t="s">
        <v>11109</v>
      </c>
      <c r="J499" s="35" t="s">
        <v>11110</v>
      </c>
      <c r="K499" s="35" t="s">
        <v>184</v>
      </c>
      <c r="L499" s="35" t="s">
        <v>184</v>
      </c>
      <c r="M499" s="35" t="s">
        <v>478</v>
      </c>
      <c r="N499" s="35"/>
      <c r="O499" s="3"/>
    </row>
    <row r="500">
      <c r="A500" s="35" t="s">
        <v>11111</v>
      </c>
      <c r="B500" s="39">
        <v>46036.48105324074</v>
      </c>
      <c r="C500" s="35" t="s">
        <v>11108</v>
      </c>
      <c r="D500" s="40" t="s">
        <v>7111</v>
      </c>
      <c r="E500" s="35" t="s">
        <v>9488</v>
      </c>
      <c r="F500" s="40" t="s">
        <v>9489</v>
      </c>
      <c r="G500" s="35"/>
      <c r="H500" s="35"/>
      <c r="I500" s="35" t="s">
        <v>11109</v>
      </c>
      <c r="J500" s="35" t="s">
        <v>11112</v>
      </c>
      <c r="K500" s="35" t="s">
        <v>184</v>
      </c>
      <c r="L500" s="35" t="s">
        <v>184</v>
      </c>
      <c r="M500" s="35" t="s">
        <v>478</v>
      </c>
      <c r="N500" s="35"/>
      <c r="O500" s="3"/>
    </row>
    <row r="501">
      <c r="A501" s="35" t="s">
        <v>11113</v>
      </c>
      <c r="B501" s="39">
        <v>46036.593206018515</v>
      </c>
      <c r="C501" s="35" t="s">
        <v>9488</v>
      </c>
      <c r="D501" s="40" t="s">
        <v>9489</v>
      </c>
      <c r="E501" s="35" t="s">
        <v>11108</v>
      </c>
      <c r="F501" s="40" t="s">
        <v>7111</v>
      </c>
      <c r="G501" s="35"/>
      <c r="H501" s="35"/>
      <c r="I501" s="35" t="s">
        <v>11114</v>
      </c>
      <c r="J501" s="35" t="s">
        <v>11115</v>
      </c>
      <c r="K501" s="35" t="s">
        <v>184</v>
      </c>
      <c r="L501" s="35" t="s">
        <v>184</v>
      </c>
      <c r="M501" s="35" t="s">
        <v>478</v>
      </c>
      <c r="N501" s="35"/>
      <c r="O501" s="3"/>
    </row>
    <row r="502">
      <c r="A502" s="35" t="s">
        <v>11116</v>
      </c>
      <c r="B502" s="39">
        <v>46036.619988425926</v>
      </c>
      <c r="C502" s="35" t="s">
        <v>11108</v>
      </c>
      <c r="D502" s="40" t="s">
        <v>7111</v>
      </c>
      <c r="E502" s="35" t="s">
        <v>9488</v>
      </c>
      <c r="F502" s="40" t="s">
        <v>9489</v>
      </c>
      <c r="G502" s="35"/>
      <c r="H502" s="35"/>
      <c r="I502" s="35" t="s">
        <v>11109</v>
      </c>
      <c r="J502" s="35" t="s">
        <v>11117</v>
      </c>
      <c r="K502" s="35" t="s">
        <v>184</v>
      </c>
      <c r="L502" s="35" t="s">
        <v>184</v>
      </c>
      <c r="M502" s="35" t="s">
        <v>478</v>
      </c>
      <c r="N502" s="35"/>
      <c r="O502" s="3"/>
    </row>
    <row r="503">
      <c r="A503" s="35" t="s">
        <v>11118</v>
      </c>
      <c r="B503" s="39">
        <v>46037.37100694445</v>
      </c>
      <c r="C503" s="35" t="s">
        <v>9488</v>
      </c>
      <c r="D503" s="40" t="s">
        <v>9489</v>
      </c>
      <c r="E503" s="35" t="s">
        <v>11108</v>
      </c>
      <c r="F503" s="40" t="s">
        <v>7111</v>
      </c>
      <c r="G503" s="35"/>
      <c r="H503" s="35"/>
      <c r="I503" s="35" t="s">
        <v>11114</v>
      </c>
      <c r="J503" s="35" t="s">
        <v>11119</v>
      </c>
      <c r="K503" s="35" t="s">
        <v>184</v>
      </c>
      <c r="L503" s="35" t="s">
        <v>184</v>
      </c>
      <c r="M503" s="35" t="s">
        <v>478</v>
      </c>
      <c r="N503" s="35"/>
      <c r="O503" s="3"/>
    </row>
    <row r="504">
      <c r="A504" s="35" t="s">
        <v>11120</v>
      </c>
      <c r="B504" s="39">
        <v>46038.29540509259</v>
      </c>
      <c r="C504" s="35" t="s">
        <v>11108</v>
      </c>
      <c r="D504" s="40" t="s">
        <v>7111</v>
      </c>
      <c r="E504" s="35" t="s">
        <v>9488</v>
      </c>
      <c r="F504" s="40" t="s">
        <v>9489</v>
      </c>
      <c r="G504" s="35"/>
      <c r="H504" s="35"/>
      <c r="I504" s="35" t="s">
        <v>11109</v>
      </c>
      <c r="J504" s="35" t="s">
        <v>11121</v>
      </c>
      <c r="K504" s="35" t="s">
        <v>184</v>
      </c>
      <c r="L504" s="35" t="s">
        <v>184</v>
      </c>
      <c r="M504" s="35" t="s">
        <v>478</v>
      </c>
      <c r="N504" s="35"/>
      <c r="O504" s="3"/>
    </row>
    <row r="505">
      <c r="A505" s="35" t="s">
        <v>11122</v>
      </c>
      <c r="B505" s="39">
        <v>46038.45767361111</v>
      </c>
      <c r="C505" s="35" t="s">
        <v>9488</v>
      </c>
      <c r="D505" s="40" t="s">
        <v>9489</v>
      </c>
      <c r="E505" s="35" t="s">
        <v>11108</v>
      </c>
      <c r="F505" s="40" t="s">
        <v>7111</v>
      </c>
      <c r="G505" s="35"/>
      <c r="H505" s="35"/>
      <c r="I505" s="35" t="s">
        <v>11114</v>
      </c>
      <c r="J505" s="35" t="s">
        <v>11123</v>
      </c>
      <c r="K505" s="35" t="s">
        <v>184</v>
      </c>
      <c r="L505" s="35" t="s">
        <v>184</v>
      </c>
      <c r="M505" s="35" t="s">
        <v>478</v>
      </c>
      <c r="N505" s="35"/>
      <c r="O505" s="3"/>
    </row>
    <row r="506">
      <c r="A506" s="35" t="s">
        <v>11124</v>
      </c>
      <c r="B506" s="39">
        <v>46042.51559027778</v>
      </c>
      <c r="C506" s="35" t="s">
        <v>9488</v>
      </c>
      <c r="D506" s="40" t="s">
        <v>9489</v>
      </c>
      <c r="E506" s="35" t="s">
        <v>11108</v>
      </c>
      <c r="F506" s="40" t="s">
        <v>7111</v>
      </c>
      <c r="G506" s="35"/>
      <c r="H506" s="35"/>
      <c r="I506" s="35" t="s">
        <v>11114</v>
      </c>
      <c r="J506" s="35" t="s">
        <v>11125</v>
      </c>
      <c r="K506" s="35" t="s">
        <v>184</v>
      </c>
      <c r="L506" s="35" t="s">
        <v>184</v>
      </c>
      <c r="M506" s="35" t="s">
        <v>478</v>
      </c>
      <c r="N506" s="35"/>
      <c r="O506" s="3"/>
    </row>
    <row r="507">
      <c r="A507" s="35" t="s">
        <v>11126</v>
      </c>
      <c r="B507" s="39">
        <v>46042.53329861111</v>
      </c>
      <c r="C507" s="35" t="s">
        <v>11108</v>
      </c>
      <c r="D507" s="40" t="s">
        <v>7111</v>
      </c>
      <c r="E507" s="35" t="s">
        <v>9488</v>
      </c>
      <c r="F507" s="40" t="s">
        <v>9489</v>
      </c>
      <c r="G507" s="35"/>
      <c r="H507" s="35"/>
      <c r="I507" s="35" t="s">
        <v>11109</v>
      </c>
      <c r="J507" s="35" t="s">
        <v>11127</v>
      </c>
      <c r="K507" s="35" t="s">
        <v>184</v>
      </c>
      <c r="L507" s="35" t="s">
        <v>184</v>
      </c>
      <c r="M507" s="35" t="s">
        <v>478</v>
      </c>
      <c r="N507" s="35"/>
      <c r="O507" s="3"/>
    </row>
    <row r="508">
      <c r="A508" s="35" t="s">
        <v>11128</v>
      </c>
      <c r="B508" s="39">
        <v>46042.53673611111</v>
      </c>
      <c r="C508" s="35" t="s">
        <v>9488</v>
      </c>
      <c r="D508" s="40" t="s">
        <v>9489</v>
      </c>
      <c r="E508" s="35" t="s">
        <v>11108</v>
      </c>
      <c r="F508" s="40" t="s">
        <v>7111</v>
      </c>
      <c r="G508" s="35"/>
      <c r="H508" s="35"/>
      <c r="I508" s="35" t="s">
        <v>11114</v>
      </c>
      <c r="J508" s="35" t="s">
        <v>11129</v>
      </c>
      <c r="K508" s="35" t="s">
        <v>184</v>
      </c>
      <c r="L508" s="35" t="s">
        <v>184</v>
      </c>
      <c r="M508" s="35" t="s">
        <v>478</v>
      </c>
      <c r="N508" s="35"/>
      <c r="O508" s="3"/>
    </row>
    <row r="509">
      <c r="A509" s="35" t="s">
        <v>11130</v>
      </c>
      <c r="B509" s="39">
        <v>46042.560428240744</v>
      </c>
      <c r="C509" s="35" t="s">
        <v>9488</v>
      </c>
      <c r="D509" s="40" t="s">
        <v>9489</v>
      </c>
      <c r="E509" s="35" t="s">
        <v>11108</v>
      </c>
      <c r="F509" s="40" t="s">
        <v>7111</v>
      </c>
      <c r="G509" s="35"/>
      <c r="H509" s="35"/>
      <c r="I509" s="35" t="s">
        <v>11114</v>
      </c>
      <c r="J509" s="35" t="s">
        <v>11131</v>
      </c>
      <c r="K509" s="35" t="s">
        <v>184</v>
      </c>
      <c r="L509" s="35" t="s">
        <v>184</v>
      </c>
      <c r="M509" s="35" t="s">
        <v>478</v>
      </c>
      <c r="N509" s="35"/>
      <c r="O509" s="3"/>
    </row>
    <row r="510">
      <c r="A510" s="35" t="s">
        <v>11132</v>
      </c>
      <c r="B510" s="39">
        <v>46043.31935185185</v>
      </c>
      <c r="C510" s="35" t="s">
        <v>11108</v>
      </c>
      <c r="D510" s="40" t="s">
        <v>7111</v>
      </c>
      <c r="E510" s="35" t="s">
        <v>9488</v>
      </c>
      <c r="F510" s="40" t="s">
        <v>9489</v>
      </c>
      <c r="G510" s="35"/>
      <c r="H510" s="35"/>
      <c r="I510" s="35" t="s">
        <v>11109</v>
      </c>
      <c r="J510" s="35" t="s">
        <v>11133</v>
      </c>
      <c r="K510" s="35" t="s">
        <v>184</v>
      </c>
      <c r="L510" s="35" t="s">
        <v>184</v>
      </c>
      <c r="M510" s="35" t="s">
        <v>478</v>
      </c>
      <c r="N510" s="35"/>
      <c r="O510" s="3"/>
    </row>
    <row r="511">
      <c r="A511" s="35" t="s">
        <v>11134</v>
      </c>
      <c r="B511" s="39">
        <v>46043.3299537037</v>
      </c>
      <c r="C511" s="35" t="s">
        <v>11108</v>
      </c>
      <c r="D511" s="40" t="s">
        <v>7111</v>
      </c>
      <c r="E511" s="35" t="s">
        <v>9488</v>
      </c>
      <c r="F511" s="40" t="s">
        <v>9489</v>
      </c>
      <c r="G511" s="35"/>
      <c r="H511" s="35"/>
      <c r="I511" s="35" t="s">
        <v>11109</v>
      </c>
      <c r="J511" s="35" t="s">
        <v>11135</v>
      </c>
      <c r="K511" s="35" t="s">
        <v>184</v>
      </c>
      <c r="L511" s="35" t="s">
        <v>184</v>
      </c>
      <c r="M511" s="35" t="s">
        <v>478</v>
      </c>
      <c r="N511" s="35"/>
      <c r="O511" s="3"/>
    </row>
    <row r="512">
      <c r="A512" s="35" t="s">
        <v>11136</v>
      </c>
      <c r="B512" s="39">
        <v>46043.331562499996</v>
      </c>
      <c r="C512" s="35" t="s">
        <v>11108</v>
      </c>
      <c r="D512" s="40" t="s">
        <v>7111</v>
      </c>
      <c r="E512" s="35" t="s">
        <v>9488</v>
      </c>
      <c r="F512" s="40" t="s">
        <v>9489</v>
      </c>
      <c r="G512" s="35"/>
      <c r="H512" s="35"/>
      <c r="I512" s="35" t="s">
        <v>11109</v>
      </c>
      <c r="J512" s="35" t="s">
        <v>11137</v>
      </c>
      <c r="K512" s="35" t="s">
        <v>184</v>
      </c>
      <c r="L512" s="35" t="s">
        <v>184</v>
      </c>
      <c r="M512" s="35" t="s">
        <v>478</v>
      </c>
      <c r="N512" s="35"/>
      <c r="O512" s="3"/>
    </row>
    <row r="513">
      <c r="A513" s="35" t="s">
        <v>11138</v>
      </c>
      <c r="B513" s="39">
        <v>46043.45118055555</v>
      </c>
      <c r="C513" s="35" t="s">
        <v>9488</v>
      </c>
      <c r="D513" s="40" t="s">
        <v>9489</v>
      </c>
      <c r="E513" s="35" t="s">
        <v>11108</v>
      </c>
      <c r="F513" s="40" t="s">
        <v>7111</v>
      </c>
      <c r="G513" s="35"/>
      <c r="H513" s="35"/>
      <c r="I513" s="35" t="s">
        <v>11114</v>
      </c>
      <c r="J513" s="35" t="s">
        <v>11139</v>
      </c>
      <c r="K513" s="35" t="s">
        <v>184</v>
      </c>
      <c r="L513" s="35" t="s">
        <v>184</v>
      </c>
      <c r="M513" s="35" t="s">
        <v>478</v>
      </c>
      <c r="N513" s="35"/>
      <c r="O513" s="3"/>
    </row>
    <row r="514">
      <c r="A514" s="35" t="s">
        <v>11140</v>
      </c>
      <c r="B514" s="39">
        <v>46035.510775462964</v>
      </c>
      <c r="C514" s="35" t="s">
        <v>11141</v>
      </c>
      <c r="D514" s="40" t="s">
        <v>7112</v>
      </c>
      <c r="E514" s="35" t="s">
        <v>11142</v>
      </c>
      <c r="F514" s="40" t="s">
        <v>9489</v>
      </c>
      <c r="G514" s="35" t="s">
        <v>11143</v>
      </c>
      <c r="H514" s="40" t="s">
        <v>7112</v>
      </c>
      <c r="I514" s="35" t="s">
        <v>11144</v>
      </c>
      <c r="J514" s="35" t="s">
        <v>11145</v>
      </c>
      <c r="K514" s="35" t="s">
        <v>6769</v>
      </c>
      <c r="L514" s="35" t="s">
        <v>6769</v>
      </c>
      <c r="M514" s="35" t="s">
        <v>312</v>
      </c>
      <c r="N514" s="35"/>
      <c r="O514" s="3"/>
    </row>
    <row r="515">
      <c r="A515" s="35" t="s">
        <v>11146</v>
      </c>
      <c r="B515" s="39">
        <v>46035.619374999995</v>
      </c>
      <c r="C515" s="35" t="s">
        <v>11147</v>
      </c>
      <c r="D515" s="40" t="s">
        <v>9489</v>
      </c>
      <c r="E515" s="35" t="s">
        <v>11141</v>
      </c>
      <c r="F515" s="40" t="s">
        <v>7112</v>
      </c>
      <c r="G515" s="35" t="s">
        <v>11148</v>
      </c>
      <c r="H515" s="35" t="s">
        <v>11149</v>
      </c>
      <c r="I515" s="35" t="s">
        <v>11150</v>
      </c>
      <c r="J515" s="35" t="s">
        <v>11151</v>
      </c>
      <c r="K515" s="35" t="s">
        <v>6769</v>
      </c>
      <c r="L515" s="35" t="s">
        <v>6769</v>
      </c>
      <c r="M515" s="35" t="s">
        <v>312</v>
      </c>
      <c r="N515" s="35"/>
      <c r="O515" s="3"/>
    </row>
    <row r="516">
      <c r="A516" s="35" t="s">
        <v>11152</v>
      </c>
      <c r="B516" s="39">
        <v>46035.62421296297</v>
      </c>
      <c r="C516" s="35" t="s">
        <v>11141</v>
      </c>
      <c r="D516" s="40" t="s">
        <v>7112</v>
      </c>
      <c r="E516" s="35" t="s">
        <v>11147</v>
      </c>
      <c r="F516" s="40" t="s">
        <v>9489</v>
      </c>
      <c r="G516" s="35" t="s">
        <v>11148</v>
      </c>
      <c r="H516" s="35" t="s">
        <v>11149</v>
      </c>
      <c r="I516" s="35" t="s">
        <v>11144</v>
      </c>
      <c r="J516" s="35" t="s">
        <v>11153</v>
      </c>
      <c r="K516" s="35" t="s">
        <v>6769</v>
      </c>
      <c r="L516" s="35" t="s">
        <v>6769</v>
      </c>
      <c r="M516" s="35" t="s">
        <v>312</v>
      </c>
      <c r="N516" s="35"/>
      <c r="O516" s="3"/>
    </row>
    <row r="517">
      <c r="A517" s="35" t="s">
        <v>11154</v>
      </c>
      <c r="B517" s="39">
        <v>46035.640868055554</v>
      </c>
      <c r="C517" s="35" t="s">
        <v>11147</v>
      </c>
      <c r="D517" s="40" t="s">
        <v>9489</v>
      </c>
      <c r="E517" s="35" t="s">
        <v>11141</v>
      </c>
      <c r="F517" s="40" t="s">
        <v>7112</v>
      </c>
      <c r="G517" s="35" t="s">
        <v>11148</v>
      </c>
      <c r="H517" s="35" t="s">
        <v>11149</v>
      </c>
      <c r="I517" s="35" t="s">
        <v>11150</v>
      </c>
      <c r="J517" s="35" t="s">
        <v>11155</v>
      </c>
      <c r="K517" s="35" t="s">
        <v>6769</v>
      </c>
      <c r="L517" s="35" t="s">
        <v>6769</v>
      </c>
      <c r="M517" s="35" t="s">
        <v>312</v>
      </c>
      <c r="N517" s="35"/>
      <c r="O517" s="3"/>
    </row>
    <row r="518">
      <c r="A518" s="35" t="s">
        <v>11156</v>
      </c>
      <c r="B518" s="39">
        <v>46035.646620370375</v>
      </c>
      <c r="C518" s="35" t="s">
        <v>11141</v>
      </c>
      <c r="D518" s="40" t="s">
        <v>7112</v>
      </c>
      <c r="E518" s="35" t="s">
        <v>11147</v>
      </c>
      <c r="F518" s="40" t="s">
        <v>9489</v>
      </c>
      <c r="G518" s="35" t="s">
        <v>11148</v>
      </c>
      <c r="H518" s="35" t="s">
        <v>11149</v>
      </c>
      <c r="I518" s="35" t="s">
        <v>11144</v>
      </c>
      <c r="J518" s="35" t="s">
        <v>11157</v>
      </c>
      <c r="K518" s="35" t="s">
        <v>6769</v>
      </c>
      <c r="L518" s="35" t="s">
        <v>6769</v>
      </c>
      <c r="M518" s="35" t="s">
        <v>312</v>
      </c>
      <c r="N518" s="35"/>
      <c r="O518" s="3"/>
    </row>
    <row r="519">
      <c r="A519" s="35" t="s">
        <v>11158</v>
      </c>
      <c r="B519" s="39">
        <v>46035.65590277778</v>
      </c>
      <c r="C519" s="35" t="s">
        <v>11147</v>
      </c>
      <c r="D519" s="40" t="s">
        <v>9489</v>
      </c>
      <c r="E519" s="35" t="s">
        <v>11141</v>
      </c>
      <c r="F519" s="40" t="s">
        <v>7112</v>
      </c>
      <c r="G519" s="35" t="s">
        <v>11148</v>
      </c>
      <c r="H519" s="35" t="s">
        <v>11149</v>
      </c>
      <c r="I519" s="35" t="s">
        <v>11150</v>
      </c>
      <c r="J519" s="35" t="s">
        <v>11159</v>
      </c>
      <c r="K519" s="35" t="s">
        <v>6769</v>
      </c>
      <c r="L519" s="35" t="s">
        <v>6769</v>
      </c>
      <c r="M519" s="35" t="s">
        <v>312</v>
      </c>
      <c r="N519" s="35"/>
      <c r="O519" s="3"/>
    </row>
    <row r="520">
      <c r="A520" s="35" t="s">
        <v>11160</v>
      </c>
      <c r="B520" s="39">
        <v>46034.56748842592</v>
      </c>
      <c r="C520" s="35" t="s">
        <v>11161</v>
      </c>
      <c r="D520" s="40" t="s">
        <v>7114</v>
      </c>
      <c r="E520" s="35" t="s">
        <v>9488</v>
      </c>
      <c r="F520" s="40" t="s">
        <v>9489</v>
      </c>
      <c r="G520" s="35"/>
      <c r="H520" s="35"/>
      <c r="I520" s="35" t="s">
        <v>11162</v>
      </c>
      <c r="J520" s="35"/>
      <c r="K520" s="35" t="s">
        <v>98</v>
      </c>
      <c r="L520" s="35" t="s">
        <v>98</v>
      </c>
      <c r="M520" s="35" t="s">
        <v>99</v>
      </c>
      <c r="N520" s="35"/>
      <c r="O520" s="3"/>
    </row>
    <row r="521">
      <c r="A521" s="35" t="s">
        <v>11163</v>
      </c>
      <c r="B521" s="39">
        <v>46034.56706018519</v>
      </c>
      <c r="C521" s="35" t="s">
        <v>11161</v>
      </c>
      <c r="D521" s="40" t="s">
        <v>7114</v>
      </c>
      <c r="E521" s="35" t="s">
        <v>11164</v>
      </c>
      <c r="F521" s="35" t="s">
        <v>11165</v>
      </c>
      <c r="G521" s="35"/>
      <c r="H521" s="35"/>
      <c r="I521" s="35" t="s">
        <v>11166</v>
      </c>
      <c r="J521" s="35" t="s">
        <v>11167</v>
      </c>
      <c r="K521" s="35" t="s">
        <v>98</v>
      </c>
      <c r="L521" s="35" t="s">
        <v>98</v>
      </c>
      <c r="M521" s="35" t="s">
        <v>99</v>
      </c>
      <c r="N521" s="35"/>
      <c r="O521" s="3"/>
    </row>
    <row r="522">
      <c r="A522" s="35" t="s">
        <v>11168</v>
      </c>
      <c r="B522" s="39">
        <v>46034.577002314814</v>
      </c>
      <c r="C522" s="35" t="s">
        <v>9488</v>
      </c>
      <c r="D522" s="40" t="s">
        <v>9489</v>
      </c>
      <c r="E522" s="35" t="s">
        <v>11161</v>
      </c>
      <c r="F522" s="40" t="s">
        <v>7114</v>
      </c>
      <c r="G522" s="35" t="s">
        <v>11169</v>
      </c>
      <c r="H522" s="35" t="s">
        <v>11165</v>
      </c>
      <c r="I522" s="35" t="s">
        <v>11170</v>
      </c>
      <c r="J522" s="35" t="s">
        <v>11171</v>
      </c>
      <c r="K522" s="35" t="s">
        <v>98</v>
      </c>
      <c r="L522" s="35" t="s">
        <v>98</v>
      </c>
      <c r="M522" s="35" t="s">
        <v>99</v>
      </c>
      <c r="N522" s="35"/>
      <c r="O522" s="3"/>
    </row>
    <row r="523">
      <c r="A523" s="35" t="s">
        <v>11172</v>
      </c>
      <c r="B523" s="39">
        <v>46031.35815972222</v>
      </c>
      <c r="C523" s="35" t="s">
        <v>11141</v>
      </c>
      <c r="D523" s="40" t="s">
        <v>7112</v>
      </c>
      <c r="E523" s="35" t="s">
        <v>9488</v>
      </c>
      <c r="F523" s="40" t="s">
        <v>9489</v>
      </c>
      <c r="G523" s="35"/>
      <c r="H523" s="35"/>
      <c r="I523" s="35" t="s">
        <v>11173</v>
      </c>
      <c r="J523" s="35" t="s">
        <v>11174</v>
      </c>
      <c r="K523" s="35" t="s">
        <v>6769</v>
      </c>
      <c r="L523" s="35" t="s">
        <v>6769</v>
      </c>
      <c r="M523" s="35" t="s">
        <v>312</v>
      </c>
      <c r="N523" s="35"/>
      <c r="O523" s="3"/>
    </row>
    <row r="524">
      <c r="A524" s="35" t="s">
        <v>11175</v>
      </c>
      <c r="B524" s="39">
        <v>46030.50439814814</v>
      </c>
      <c r="C524" s="35" t="s">
        <v>11176</v>
      </c>
      <c r="D524" s="40" t="s">
        <v>7113</v>
      </c>
      <c r="E524" s="35" t="s">
        <v>9488</v>
      </c>
      <c r="F524" s="40" t="s">
        <v>9489</v>
      </c>
      <c r="G524" s="35"/>
      <c r="H524" s="35"/>
      <c r="I524" s="35" t="s">
        <v>11177</v>
      </c>
      <c r="J524" s="35" t="s">
        <v>9725</v>
      </c>
      <c r="K524" s="35" t="s">
        <v>157</v>
      </c>
      <c r="L524" s="35" t="s">
        <v>157</v>
      </c>
      <c r="M524" s="35" t="s">
        <v>158</v>
      </c>
      <c r="N524" s="35"/>
      <c r="O524" s="3"/>
    </row>
    <row r="525">
      <c r="A525" s="35" t="s">
        <v>11178</v>
      </c>
      <c r="B525" s="39">
        <v>46030.34924768518</v>
      </c>
      <c r="C525" s="35" t="s">
        <v>11141</v>
      </c>
      <c r="D525" s="40" t="s">
        <v>7112</v>
      </c>
      <c r="E525" s="35" t="s">
        <v>9488</v>
      </c>
      <c r="F525" s="40" t="s">
        <v>9489</v>
      </c>
      <c r="G525" s="35"/>
      <c r="H525" s="35"/>
      <c r="I525" s="35" t="s">
        <v>11179</v>
      </c>
      <c r="J525" s="35" t="s">
        <v>9725</v>
      </c>
      <c r="K525" s="35" t="s">
        <v>6769</v>
      </c>
      <c r="L525" s="35" t="s">
        <v>6769</v>
      </c>
      <c r="M525" s="35" t="s">
        <v>312</v>
      </c>
      <c r="N525" s="35"/>
      <c r="O525" s="3"/>
    </row>
    <row r="526">
      <c r="A526" s="35" t="s">
        <v>11180</v>
      </c>
      <c r="B526" s="39">
        <v>46030.34846064815</v>
      </c>
      <c r="C526" s="35" t="s">
        <v>11141</v>
      </c>
      <c r="D526" s="40" t="s">
        <v>7112</v>
      </c>
      <c r="E526" s="35" t="s">
        <v>11181</v>
      </c>
      <c r="F526" s="35" t="s">
        <v>11182</v>
      </c>
      <c r="G526" s="35"/>
      <c r="H526" s="35"/>
      <c r="I526" s="35" t="s">
        <v>7603</v>
      </c>
      <c r="J526" s="35" t="s">
        <v>11183</v>
      </c>
      <c r="K526" s="35" t="s">
        <v>6769</v>
      </c>
      <c r="L526" s="35" t="s">
        <v>6769</v>
      </c>
      <c r="M526" s="35" t="s">
        <v>312</v>
      </c>
      <c r="N526" s="35"/>
      <c r="O526" s="3"/>
    </row>
    <row r="527">
      <c r="A527" s="35" t="s">
        <v>11184</v>
      </c>
      <c r="B527" s="39">
        <v>46029.64555555556</v>
      </c>
      <c r="C527" s="35" t="s">
        <v>11141</v>
      </c>
      <c r="D527" s="40" t="s">
        <v>7112</v>
      </c>
      <c r="E527" s="35" t="s">
        <v>9488</v>
      </c>
      <c r="F527" s="40" t="s">
        <v>9489</v>
      </c>
      <c r="G527" s="35" t="s">
        <v>11185</v>
      </c>
      <c r="H527" s="35" t="s">
        <v>11182</v>
      </c>
      <c r="I527" s="35" t="s">
        <v>11186</v>
      </c>
      <c r="J527" s="35" t="s">
        <v>11187</v>
      </c>
      <c r="K527" s="35" t="s">
        <v>6769</v>
      </c>
      <c r="L527" s="35" t="s">
        <v>6769</v>
      </c>
      <c r="M527" s="35" t="s">
        <v>312</v>
      </c>
      <c r="N527" s="35"/>
      <c r="O527" s="3"/>
    </row>
    <row r="528">
      <c r="A528" s="35" t="s">
        <v>11188</v>
      </c>
      <c r="B528" s="39">
        <v>46029.83185185185</v>
      </c>
      <c r="C528" s="35" t="s">
        <v>9488</v>
      </c>
      <c r="D528" s="40" t="s">
        <v>9489</v>
      </c>
      <c r="E528" s="35" t="s">
        <v>11141</v>
      </c>
      <c r="F528" s="40" t="s">
        <v>7112</v>
      </c>
      <c r="G528" s="35" t="s">
        <v>11185</v>
      </c>
      <c r="H528" s="35" t="s">
        <v>11182</v>
      </c>
      <c r="I528" s="35" t="s">
        <v>11189</v>
      </c>
      <c r="J528" s="35" t="s">
        <v>11190</v>
      </c>
      <c r="K528" s="35" t="s">
        <v>6769</v>
      </c>
      <c r="L528" s="35" t="s">
        <v>6769</v>
      </c>
      <c r="M528" s="35" t="s">
        <v>312</v>
      </c>
      <c r="N528" s="35"/>
      <c r="O528" s="3"/>
    </row>
    <row r="529">
      <c r="A529" s="35" t="s">
        <v>11191</v>
      </c>
      <c r="B529" s="39">
        <v>46030.34894675926</v>
      </c>
      <c r="C529" s="35" t="s">
        <v>11141</v>
      </c>
      <c r="D529" s="40" t="s">
        <v>7112</v>
      </c>
      <c r="E529" s="35" t="s">
        <v>9488</v>
      </c>
      <c r="F529" s="40" t="s">
        <v>9489</v>
      </c>
      <c r="G529" s="35" t="s">
        <v>11185</v>
      </c>
      <c r="H529" s="35" t="s">
        <v>11182</v>
      </c>
      <c r="I529" s="35" t="s">
        <v>11192</v>
      </c>
      <c r="J529" s="35" t="s">
        <v>11193</v>
      </c>
      <c r="K529" s="35" t="s">
        <v>6769</v>
      </c>
      <c r="L529" s="35" t="s">
        <v>6769</v>
      </c>
      <c r="M529" s="35" t="s">
        <v>312</v>
      </c>
      <c r="N529" s="35"/>
      <c r="O529" s="3"/>
    </row>
    <row r="530">
      <c r="A530" s="35" t="s">
        <v>11194</v>
      </c>
      <c r="B530" s="39">
        <v>46023.385462962964</v>
      </c>
      <c r="C530" s="35" t="s">
        <v>9527</v>
      </c>
      <c r="D530" s="40" t="s">
        <v>9489</v>
      </c>
      <c r="E530" s="35" t="s">
        <v>11195</v>
      </c>
      <c r="F530" s="35" t="s">
        <v>11085</v>
      </c>
      <c r="G530" s="35"/>
      <c r="H530" s="35"/>
      <c r="I530" s="35" t="s">
        <v>11196</v>
      </c>
      <c r="J530" s="35" t="s">
        <v>11197</v>
      </c>
      <c r="K530" s="35" t="s">
        <v>196</v>
      </c>
      <c r="L530" s="35" t="s">
        <v>196</v>
      </c>
      <c r="M530" s="35" t="s">
        <v>197</v>
      </c>
      <c r="N530" s="35"/>
      <c r="O530" s="3"/>
    </row>
    <row r="531">
      <c r="A531" s="35" t="s">
        <v>11198</v>
      </c>
      <c r="B531" s="39">
        <v>46022.38552083333</v>
      </c>
      <c r="C531" s="35" t="s">
        <v>9527</v>
      </c>
      <c r="D531" s="40" t="s">
        <v>9489</v>
      </c>
      <c r="E531" s="35" t="s">
        <v>11199</v>
      </c>
      <c r="F531" s="35" t="s">
        <v>11149</v>
      </c>
      <c r="G531" s="35"/>
      <c r="H531" s="35"/>
      <c r="I531" s="35" t="s">
        <v>11200</v>
      </c>
      <c r="J531" s="35" t="s">
        <v>11201</v>
      </c>
      <c r="K531" s="35" t="s">
        <v>6769</v>
      </c>
      <c r="L531" s="35" t="s">
        <v>6769</v>
      </c>
      <c r="M531" s="35" t="s">
        <v>312</v>
      </c>
      <c r="N531" s="35"/>
      <c r="O531" s="3"/>
    </row>
    <row r="532">
      <c r="A532" s="35" t="s">
        <v>11202</v>
      </c>
      <c r="B532" s="39">
        <v>46027.375289351854</v>
      </c>
      <c r="C532" s="35" t="s">
        <v>11141</v>
      </c>
      <c r="D532" s="40" t="s">
        <v>7112</v>
      </c>
      <c r="E532" s="35" t="s">
        <v>9527</v>
      </c>
      <c r="F532" s="40" t="s">
        <v>9489</v>
      </c>
      <c r="G532" s="35" t="s">
        <v>11203</v>
      </c>
      <c r="H532" s="40" t="s">
        <v>9489</v>
      </c>
      <c r="I532" s="35" t="s">
        <v>11204</v>
      </c>
      <c r="J532" s="35" t="s">
        <v>11205</v>
      </c>
      <c r="K532" s="35" t="s">
        <v>6769</v>
      </c>
      <c r="L532" s="35" t="s">
        <v>6769</v>
      </c>
      <c r="M532" s="35" t="s">
        <v>312</v>
      </c>
      <c r="N532" s="35"/>
      <c r="O532" s="3"/>
    </row>
    <row r="533">
      <c r="A533" s="35" t="s">
        <v>11206</v>
      </c>
      <c r="B533" s="39">
        <v>46027.40315972222</v>
      </c>
      <c r="C533" s="35" t="s">
        <v>11147</v>
      </c>
      <c r="D533" s="40" t="s">
        <v>9489</v>
      </c>
      <c r="E533" s="35" t="s">
        <v>11141</v>
      </c>
      <c r="F533" s="40" t="s">
        <v>7112</v>
      </c>
      <c r="G533" s="35" t="s">
        <v>11207</v>
      </c>
      <c r="H533" s="40" t="s">
        <v>9489</v>
      </c>
      <c r="I533" s="35" t="s">
        <v>11208</v>
      </c>
      <c r="J533" s="35" t="s">
        <v>11209</v>
      </c>
      <c r="K533" s="35" t="s">
        <v>6769</v>
      </c>
      <c r="L533" s="35" t="s">
        <v>6769</v>
      </c>
      <c r="M533" s="35" t="s">
        <v>312</v>
      </c>
      <c r="N533" s="35"/>
      <c r="O533" s="3"/>
    </row>
    <row r="534">
      <c r="A534" s="35" t="s">
        <v>11210</v>
      </c>
      <c r="B534" s="39">
        <v>46007.63570601852</v>
      </c>
      <c r="C534" s="35" t="s">
        <v>11143</v>
      </c>
      <c r="D534" s="40" t="s">
        <v>7112</v>
      </c>
      <c r="E534" s="35" t="s">
        <v>9488</v>
      </c>
      <c r="F534" s="40" t="s">
        <v>9489</v>
      </c>
      <c r="G534" s="35"/>
      <c r="H534" s="35"/>
      <c r="I534" s="35" t="s">
        <v>11179</v>
      </c>
      <c r="J534" s="35"/>
      <c r="K534" s="35" t="s">
        <v>6769</v>
      </c>
      <c r="L534" s="35" t="s">
        <v>6769</v>
      </c>
      <c r="M534" s="35" t="s">
        <v>312</v>
      </c>
      <c r="N534" s="35"/>
      <c r="O534" s="3"/>
    </row>
    <row r="535">
      <c r="A535" s="35" t="s">
        <v>11211</v>
      </c>
      <c r="B535" s="39">
        <v>46007.635046296295</v>
      </c>
      <c r="C535" s="35" t="s">
        <v>11141</v>
      </c>
      <c r="D535" s="40" t="s">
        <v>7112</v>
      </c>
      <c r="E535" s="35" t="s">
        <v>9488</v>
      </c>
      <c r="F535" s="40" t="s">
        <v>9489</v>
      </c>
      <c r="G535" s="35"/>
      <c r="H535" s="35"/>
      <c r="I535" s="35" t="s">
        <v>11179</v>
      </c>
      <c r="J535" s="35" t="s">
        <v>9725</v>
      </c>
      <c r="K535" s="35" t="s">
        <v>6769</v>
      </c>
      <c r="L535" s="35" t="s">
        <v>6769</v>
      </c>
      <c r="M535" s="35" t="s">
        <v>312</v>
      </c>
      <c r="N535" s="35"/>
      <c r="O535" s="3"/>
    </row>
    <row r="536">
      <c r="A536" s="35" t="s">
        <v>11212</v>
      </c>
      <c r="B536" s="39">
        <v>46007.33158564815</v>
      </c>
      <c r="C536" s="35" t="s">
        <v>11108</v>
      </c>
      <c r="D536" s="40" t="s">
        <v>7111</v>
      </c>
      <c r="E536" s="35" t="s">
        <v>11213</v>
      </c>
      <c r="F536" s="40" t="s">
        <v>9489</v>
      </c>
      <c r="G536" s="35"/>
      <c r="H536" s="35"/>
      <c r="I536" s="35" t="s">
        <v>11214</v>
      </c>
      <c r="J536" s="35" t="s">
        <v>11215</v>
      </c>
      <c r="K536" s="35" t="s">
        <v>184</v>
      </c>
      <c r="L536" s="35" t="s">
        <v>184</v>
      </c>
      <c r="M536" s="35" t="s">
        <v>478</v>
      </c>
      <c r="N536" s="35"/>
      <c r="O536" s="3"/>
    </row>
    <row r="537">
      <c r="A537" s="35" t="s">
        <v>11216</v>
      </c>
      <c r="B537" s="39">
        <v>46006.64121527778</v>
      </c>
      <c r="C537" s="35" t="s">
        <v>11143</v>
      </c>
      <c r="D537" s="40" t="s">
        <v>7112</v>
      </c>
      <c r="E537" s="35" t="s">
        <v>9488</v>
      </c>
      <c r="F537" s="40" t="s">
        <v>9489</v>
      </c>
      <c r="G537" s="35"/>
      <c r="H537" s="35"/>
      <c r="I537" s="35" t="s">
        <v>10405</v>
      </c>
      <c r="J537" s="35"/>
      <c r="K537" s="35" t="s">
        <v>6769</v>
      </c>
      <c r="L537" s="35" t="s">
        <v>6769</v>
      </c>
      <c r="M537" s="35" t="s">
        <v>312</v>
      </c>
      <c r="N537" s="35"/>
      <c r="O537" s="3"/>
    </row>
    <row r="538">
      <c r="A538" s="35" t="s">
        <v>11217</v>
      </c>
      <c r="B538" s="39">
        <v>46006.620717592596</v>
      </c>
      <c r="C538" s="35" t="s">
        <v>11141</v>
      </c>
      <c r="D538" s="40" t="s">
        <v>7112</v>
      </c>
      <c r="E538" s="35" t="s">
        <v>9488</v>
      </c>
      <c r="F538" s="40" t="s">
        <v>9489</v>
      </c>
      <c r="G538" s="35"/>
      <c r="H538" s="35"/>
      <c r="I538" s="35" t="s">
        <v>11218</v>
      </c>
      <c r="J538" s="35" t="s">
        <v>9725</v>
      </c>
      <c r="K538" s="35" t="s">
        <v>6769</v>
      </c>
      <c r="L538" s="35" t="s">
        <v>6769</v>
      </c>
      <c r="M538" s="35" t="s">
        <v>312</v>
      </c>
      <c r="N538" s="35"/>
      <c r="O538" s="3"/>
    </row>
    <row r="539">
      <c r="A539" s="35" t="s">
        <v>11219</v>
      </c>
      <c r="B539" s="39">
        <v>46006.6069675926</v>
      </c>
      <c r="C539" s="35" t="s">
        <v>9488</v>
      </c>
      <c r="D539" s="40" t="s">
        <v>9489</v>
      </c>
      <c r="E539" s="35" t="s">
        <v>11220</v>
      </c>
      <c r="F539" s="35" t="s">
        <v>11149</v>
      </c>
      <c r="G539" s="35"/>
      <c r="H539" s="35"/>
      <c r="I539" s="35" t="s">
        <v>11221</v>
      </c>
      <c r="J539" s="35" t="s">
        <v>11222</v>
      </c>
      <c r="K539" s="35" t="s">
        <v>6769</v>
      </c>
      <c r="L539" s="35" t="s">
        <v>6769</v>
      </c>
      <c r="M539" s="35" t="s">
        <v>312</v>
      </c>
      <c r="N539" s="35"/>
      <c r="O539" s="3"/>
    </row>
    <row r="540">
      <c r="A540" s="35" t="s">
        <v>11223</v>
      </c>
      <c r="B540" s="39">
        <v>46006.619201388894</v>
      </c>
      <c r="C540" s="35" t="s">
        <v>11141</v>
      </c>
      <c r="D540" s="40" t="s">
        <v>7112</v>
      </c>
      <c r="E540" s="35" t="s">
        <v>9488</v>
      </c>
      <c r="F540" s="40" t="s">
        <v>9489</v>
      </c>
      <c r="G540" s="35" t="s">
        <v>11224</v>
      </c>
      <c r="H540" s="35" t="s">
        <v>11149</v>
      </c>
      <c r="I540" s="35" t="s">
        <v>11225</v>
      </c>
      <c r="J540" s="35" t="s">
        <v>11226</v>
      </c>
      <c r="K540" s="35" t="s">
        <v>6769</v>
      </c>
      <c r="L540" s="35" t="s">
        <v>6769</v>
      </c>
      <c r="M540" s="35" t="s">
        <v>312</v>
      </c>
      <c r="N540" s="35"/>
      <c r="O540" s="3"/>
    </row>
    <row r="541">
      <c r="A541" s="35" t="s">
        <v>11227</v>
      </c>
      <c r="B541" s="39">
        <v>46007.62886574074</v>
      </c>
      <c r="C541" s="35" t="s">
        <v>9488</v>
      </c>
      <c r="D541" s="40" t="s">
        <v>9489</v>
      </c>
      <c r="E541" s="35" t="s">
        <v>11141</v>
      </c>
      <c r="F541" s="40" t="s">
        <v>7112</v>
      </c>
      <c r="G541" s="35" t="s">
        <v>11224</v>
      </c>
      <c r="H541" s="35" t="s">
        <v>11149</v>
      </c>
      <c r="I541" s="35" t="s">
        <v>11228</v>
      </c>
      <c r="J541" s="35" t="s">
        <v>11229</v>
      </c>
      <c r="K541" s="35" t="s">
        <v>6769</v>
      </c>
      <c r="L541" s="35" t="s">
        <v>6769</v>
      </c>
      <c r="M541" s="35" t="s">
        <v>312</v>
      </c>
      <c r="N541" s="35"/>
      <c r="O541" s="3"/>
    </row>
    <row r="542">
      <c r="A542" s="35" t="s">
        <v>11230</v>
      </c>
      <c r="B542" s="39">
        <v>46002.67386574074</v>
      </c>
      <c r="C542" s="35" t="s">
        <v>9496</v>
      </c>
      <c r="D542" s="40" t="s">
        <v>9489</v>
      </c>
      <c r="E542" s="35" t="s">
        <v>11231</v>
      </c>
      <c r="F542" s="35" t="s">
        <v>11149</v>
      </c>
      <c r="G542" s="35"/>
      <c r="H542" s="35"/>
      <c r="I542" s="35" t="s">
        <v>11232</v>
      </c>
      <c r="J542" s="35" t="s">
        <v>11233</v>
      </c>
      <c r="K542" s="35" t="s">
        <v>6769</v>
      </c>
      <c r="L542" s="35" t="s">
        <v>6769</v>
      </c>
      <c r="M542" s="35" t="s">
        <v>312</v>
      </c>
      <c r="N542" s="35"/>
      <c r="O542" s="3"/>
    </row>
    <row r="543">
      <c r="A543" s="35" t="s">
        <v>11234</v>
      </c>
      <c r="B543" s="39">
        <v>46001.65403935185</v>
      </c>
      <c r="C543" s="35" t="s">
        <v>11235</v>
      </c>
      <c r="D543" s="40" t="s">
        <v>7114</v>
      </c>
      <c r="E543" s="35" t="s">
        <v>9488</v>
      </c>
      <c r="F543" s="40" t="s">
        <v>9489</v>
      </c>
      <c r="G543" s="35"/>
      <c r="H543" s="35"/>
      <c r="I543" s="35" t="s">
        <v>11236</v>
      </c>
      <c r="J543" s="35" t="s">
        <v>11237</v>
      </c>
      <c r="K543" s="35" t="s">
        <v>98</v>
      </c>
      <c r="L543" s="35" t="s">
        <v>98</v>
      </c>
      <c r="M543" s="35" t="s">
        <v>99</v>
      </c>
      <c r="N543" s="35"/>
      <c r="O543" s="3"/>
    </row>
    <row r="544">
      <c r="A544" s="35" t="s">
        <v>11238</v>
      </c>
      <c r="B544" s="39">
        <v>46001.56582175926</v>
      </c>
      <c r="C544" s="35" t="s">
        <v>11239</v>
      </c>
      <c r="D544" s="40" t="s">
        <v>7114</v>
      </c>
      <c r="E544" s="35" t="s">
        <v>9488</v>
      </c>
      <c r="F544" s="40" t="s">
        <v>9489</v>
      </c>
      <c r="G544" s="35"/>
      <c r="H544" s="35"/>
      <c r="I544" s="35" t="s">
        <v>11240</v>
      </c>
      <c r="J544" s="35" t="s">
        <v>11241</v>
      </c>
      <c r="K544" s="35" t="s">
        <v>98</v>
      </c>
      <c r="L544" s="35" t="s">
        <v>98</v>
      </c>
      <c r="M544" s="35" t="s">
        <v>99</v>
      </c>
      <c r="N544" s="35"/>
      <c r="O544" s="3"/>
    </row>
    <row r="545">
      <c r="A545" s="35" t="s">
        <v>11242</v>
      </c>
      <c r="B545" s="39">
        <v>46000.5958912037</v>
      </c>
      <c r="C545" s="35" t="s">
        <v>9496</v>
      </c>
      <c r="D545" s="40" t="s">
        <v>9489</v>
      </c>
      <c r="E545" s="35" t="s">
        <v>11243</v>
      </c>
      <c r="F545" s="35" t="s">
        <v>11244</v>
      </c>
      <c r="G545" s="35"/>
      <c r="H545" s="35"/>
      <c r="I545" s="35" t="s">
        <v>11245</v>
      </c>
      <c r="J545" s="35" t="s">
        <v>11246</v>
      </c>
      <c r="K545" s="35" t="s">
        <v>157</v>
      </c>
      <c r="L545" s="35" t="s">
        <v>157</v>
      </c>
      <c r="M545" s="35" t="s">
        <v>158</v>
      </c>
      <c r="N545" s="35"/>
      <c r="O545" s="3"/>
    </row>
    <row r="546">
      <c r="A546" s="35" t="s">
        <v>11247</v>
      </c>
      <c r="B546" s="39">
        <v>46000.55079861111</v>
      </c>
      <c r="C546" s="35" t="s">
        <v>11161</v>
      </c>
      <c r="D546" s="40" t="s">
        <v>7114</v>
      </c>
      <c r="E546" s="35" t="s">
        <v>9488</v>
      </c>
      <c r="F546" s="40" t="s">
        <v>9489</v>
      </c>
      <c r="G546" s="35"/>
      <c r="H546" s="35"/>
      <c r="I546" s="35" t="s">
        <v>11240</v>
      </c>
      <c r="J546" s="35" t="s">
        <v>11241</v>
      </c>
      <c r="K546" s="35" t="s">
        <v>98</v>
      </c>
      <c r="L546" s="35" t="s">
        <v>98</v>
      </c>
      <c r="M546" s="35" t="s">
        <v>99</v>
      </c>
      <c r="N546" s="35"/>
      <c r="O546" s="3"/>
    </row>
    <row r="547">
      <c r="A547" s="35" t="s">
        <v>11248</v>
      </c>
      <c r="B547" s="39">
        <v>45993.951944444445</v>
      </c>
      <c r="C547" s="35" t="s">
        <v>11235</v>
      </c>
      <c r="D547" s="40" t="s">
        <v>7114</v>
      </c>
      <c r="E547" s="35" t="s">
        <v>9488</v>
      </c>
      <c r="F547" s="40" t="s">
        <v>9489</v>
      </c>
      <c r="G547" s="35"/>
      <c r="H547" s="35"/>
      <c r="I547" s="35" t="s">
        <v>11240</v>
      </c>
      <c r="J547" s="35" t="s">
        <v>11237</v>
      </c>
      <c r="K547" s="35" t="s">
        <v>98</v>
      </c>
      <c r="L547" s="35" t="s">
        <v>98</v>
      </c>
      <c r="M547" s="35" t="s">
        <v>99</v>
      </c>
      <c r="N547" s="35"/>
      <c r="O547" s="3"/>
    </row>
    <row r="548">
      <c r="A548" s="35" t="s">
        <v>11249</v>
      </c>
      <c r="B548" s="39">
        <v>45987.11875</v>
      </c>
      <c r="C548" s="35" t="s">
        <v>9496</v>
      </c>
      <c r="D548" s="40" t="s">
        <v>9489</v>
      </c>
      <c r="E548" s="35" t="s">
        <v>11250</v>
      </c>
      <c r="F548" s="35" t="s">
        <v>11251</v>
      </c>
      <c r="G548" s="35"/>
      <c r="H548" s="35"/>
      <c r="I548" s="35" t="s">
        <v>11252</v>
      </c>
      <c r="J548" s="35" t="s">
        <v>11253</v>
      </c>
      <c r="K548" s="35" t="s">
        <v>98</v>
      </c>
      <c r="L548" s="35" t="s">
        <v>98</v>
      </c>
      <c r="M548" s="35" t="s">
        <v>99</v>
      </c>
      <c r="N548" s="35"/>
      <c r="O548" s="3"/>
    </row>
    <row r="549">
      <c r="A549" s="35" t="s">
        <v>11254</v>
      </c>
      <c r="B549" s="39">
        <v>45986.43777777778</v>
      </c>
      <c r="C549" s="35" t="s">
        <v>9496</v>
      </c>
      <c r="D549" s="40" t="s">
        <v>9489</v>
      </c>
      <c r="E549" s="35" t="s">
        <v>11250</v>
      </c>
      <c r="F549" s="35" t="s">
        <v>11251</v>
      </c>
      <c r="G549" s="35"/>
      <c r="H549" s="35"/>
      <c r="I549" s="35" t="s">
        <v>10110</v>
      </c>
      <c r="J549" s="35" t="s">
        <v>11255</v>
      </c>
      <c r="K549" s="35" t="s">
        <v>98</v>
      </c>
      <c r="L549" s="35" t="s">
        <v>98</v>
      </c>
      <c r="M549" s="35" t="s">
        <v>99</v>
      </c>
      <c r="N549" s="35"/>
      <c r="O549" s="3"/>
    </row>
    <row r="550">
      <c r="A550" s="35" t="s">
        <v>11256</v>
      </c>
      <c r="B550" s="39">
        <v>45986.141805555555</v>
      </c>
      <c r="C550" s="35" t="s">
        <v>9496</v>
      </c>
      <c r="D550" s="40" t="s">
        <v>9489</v>
      </c>
      <c r="E550" s="35" t="s">
        <v>11257</v>
      </c>
      <c r="F550" s="35" t="s">
        <v>11165</v>
      </c>
      <c r="G550" s="35"/>
      <c r="H550" s="35"/>
      <c r="I550" s="35" t="s">
        <v>9942</v>
      </c>
      <c r="J550" s="35" t="s">
        <v>11258</v>
      </c>
      <c r="K550" s="35" t="s">
        <v>98</v>
      </c>
      <c r="L550" s="35" t="s">
        <v>98</v>
      </c>
      <c r="M550" s="35" t="s">
        <v>99</v>
      </c>
      <c r="N550" s="35"/>
      <c r="O550" s="3"/>
    </row>
    <row r="551">
      <c r="A551" s="35" t="s">
        <v>11259</v>
      </c>
      <c r="B551" s="39">
        <v>45986.43717592592</v>
      </c>
      <c r="C551" s="35" t="s">
        <v>9488</v>
      </c>
      <c r="D551" s="40" t="s">
        <v>9489</v>
      </c>
      <c r="E551" s="35" t="s">
        <v>9496</v>
      </c>
      <c r="F551" s="40" t="s">
        <v>9489</v>
      </c>
      <c r="G551" s="35" t="s">
        <v>11260</v>
      </c>
      <c r="H551" s="40" t="s">
        <v>7114</v>
      </c>
      <c r="I551" s="35" t="s">
        <v>9946</v>
      </c>
      <c r="J551" s="35" t="s">
        <v>11261</v>
      </c>
      <c r="K551" s="35" t="s">
        <v>98</v>
      </c>
      <c r="L551" s="35" t="s">
        <v>98</v>
      </c>
      <c r="M551" s="35" t="s">
        <v>99</v>
      </c>
      <c r="N551" s="35"/>
      <c r="O551" s="3"/>
    </row>
    <row r="552">
      <c r="A552" s="35" t="s">
        <v>11262</v>
      </c>
      <c r="B552" s="39">
        <v>45986.5555787037</v>
      </c>
      <c r="C552" s="35" t="s">
        <v>11235</v>
      </c>
      <c r="D552" s="40" t="s">
        <v>7114</v>
      </c>
      <c r="E552" s="35" t="s">
        <v>9534</v>
      </c>
      <c r="F552" s="40" t="s">
        <v>9489</v>
      </c>
      <c r="G552" s="35" t="s">
        <v>11263</v>
      </c>
      <c r="H552" s="40" t="s">
        <v>7114</v>
      </c>
      <c r="I552" s="35" t="s">
        <v>9946</v>
      </c>
      <c r="J552" s="35" t="s">
        <v>11264</v>
      </c>
      <c r="K552" s="35" t="s">
        <v>98</v>
      </c>
      <c r="L552" s="35" t="s">
        <v>98</v>
      </c>
      <c r="M552" s="35" t="s">
        <v>99</v>
      </c>
      <c r="N552" s="35"/>
      <c r="O552" s="3"/>
    </row>
    <row r="553">
      <c r="A553" s="35" t="s">
        <v>11265</v>
      </c>
      <c r="B553" s="39">
        <v>45986.59373842593</v>
      </c>
      <c r="C553" s="35" t="s">
        <v>11161</v>
      </c>
      <c r="D553" s="40" t="s">
        <v>7114</v>
      </c>
      <c r="E553" s="35" t="s">
        <v>11266</v>
      </c>
      <c r="F553" s="35" t="s">
        <v>11165</v>
      </c>
      <c r="G553" s="35" t="s">
        <v>11267</v>
      </c>
      <c r="H553" s="40" t="s">
        <v>7114</v>
      </c>
      <c r="I553" s="35" t="s">
        <v>9946</v>
      </c>
      <c r="J553" s="35" t="s">
        <v>11268</v>
      </c>
      <c r="K553" s="35" t="s">
        <v>98</v>
      </c>
      <c r="L553" s="35" t="s">
        <v>98</v>
      </c>
      <c r="M553" s="35" t="s">
        <v>99</v>
      </c>
      <c r="N553" s="35"/>
      <c r="O553" s="3"/>
    </row>
    <row r="554">
      <c r="A554" s="35" t="s">
        <v>11269</v>
      </c>
      <c r="B554" s="39">
        <v>45986.66763888889</v>
      </c>
      <c r="C554" s="35" t="s">
        <v>11235</v>
      </c>
      <c r="D554" s="40" t="s">
        <v>7114</v>
      </c>
      <c r="E554" s="35" t="s">
        <v>11270</v>
      </c>
      <c r="F554" s="35" t="s">
        <v>11165</v>
      </c>
      <c r="G554" s="35" t="s">
        <v>11267</v>
      </c>
      <c r="H554" s="40" t="s">
        <v>7114</v>
      </c>
      <c r="I554" s="35" t="s">
        <v>9946</v>
      </c>
      <c r="J554" s="35" t="s">
        <v>11271</v>
      </c>
      <c r="K554" s="35" t="s">
        <v>98</v>
      </c>
      <c r="L554" s="35" t="s">
        <v>98</v>
      </c>
      <c r="M554" s="35" t="s">
        <v>99</v>
      </c>
      <c r="N554" s="35"/>
      <c r="O554" s="3"/>
    </row>
    <row r="555">
      <c r="A555" s="35" t="s">
        <v>11272</v>
      </c>
      <c r="B555" s="39">
        <v>45986.68025462963</v>
      </c>
      <c r="C555" s="35" t="s">
        <v>7288</v>
      </c>
      <c r="D555" s="40" t="s">
        <v>9489</v>
      </c>
      <c r="E555" s="35" t="s">
        <v>11235</v>
      </c>
      <c r="F555" s="40" t="s">
        <v>7114</v>
      </c>
      <c r="G555" s="35" t="s">
        <v>11273</v>
      </c>
      <c r="H555" s="35" t="s">
        <v>11165</v>
      </c>
      <c r="I555" s="35" t="s">
        <v>9946</v>
      </c>
      <c r="J555" s="35" t="s">
        <v>11274</v>
      </c>
      <c r="K555" s="35" t="s">
        <v>98</v>
      </c>
      <c r="L555" s="35" t="s">
        <v>98</v>
      </c>
      <c r="M555" s="35" t="s">
        <v>99</v>
      </c>
      <c r="N555" s="35"/>
      <c r="O555" s="3"/>
    </row>
    <row r="556">
      <c r="A556" s="35" t="s">
        <v>11275</v>
      </c>
      <c r="B556" s="39">
        <v>45986.68335648148</v>
      </c>
      <c r="C556" s="35" t="s">
        <v>9488</v>
      </c>
      <c r="D556" s="40" t="s">
        <v>9489</v>
      </c>
      <c r="E556" s="35" t="s">
        <v>11235</v>
      </c>
      <c r="F556" s="40" t="s">
        <v>7114</v>
      </c>
      <c r="G556" s="35" t="s">
        <v>11273</v>
      </c>
      <c r="H556" s="35" t="s">
        <v>11165</v>
      </c>
      <c r="I556" s="35" t="s">
        <v>9946</v>
      </c>
      <c r="J556" s="35" t="s">
        <v>11276</v>
      </c>
      <c r="K556" s="35" t="s">
        <v>98</v>
      </c>
      <c r="L556" s="35" t="s">
        <v>98</v>
      </c>
      <c r="M556" s="35" t="s">
        <v>99</v>
      </c>
      <c r="N556" s="35"/>
      <c r="O556" s="3"/>
    </row>
    <row r="557">
      <c r="A557" s="35" t="s">
        <v>11277</v>
      </c>
      <c r="B557" s="39">
        <v>45986.68954861111</v>
      </c>
      <c r="C557" s="35" t="s">
        <v>9488</v>
      </c>
      <c r="D557" s="40" t="s">
        <v>9489</v>
      </c>
      <c r="E557" s="35" t="s">
        <v>11235</v>
      </c>
      <c r="F557" s="40" t="s">
        <v>7114</v>
      </c>
      <c r="G557" s="35" t="s">
        <v>11273</v>
      </c>
      <c r="H557" s="35" t="s">
        <v>11165</v>
      </c>
      <c r="I557" s="35" t="s">
        <v>9946</v>
      </c>
      <c r="J557" s="35" t="s">
        <v>11278</v>
      </c>
      <c r="K557" s="35" t="s">
        <v>98</v>
      </c>
      <c r="L557" s="35" t="s">
        <v>98</v>
      </c>
      <c r="M557" s="35" t="s">
        <v>99</v>
      </c>
      <c r="N557" s="35"/>
      <c r="O557" s="3"/>
    </row>
    <row r="558">
      <c r="A558" s="35" t="s">
        <v>11279</v>
      </c>
      <c r="B558" s="39">
        <v>45993.659791666665</v>
      </c>
      <c r="C558" s="35" t="s">
        <v>9488</v>
      </c>
      <c r="D558" s="40" t="s">
        <v>9489</v>
      </c>
      <c r="E558" s="35" t="s">
        <v>11235</v>
      </c>
      <c r="F558" s="40" t="s">
        <v>7114</v>
      </c>
      <c r="G558" s="35" t="s">
        <v>11273</v>
      </c>
      <c r="H558" s="35" t="s">
        <v>11165</v>
      </c>
      <c r="I558" s="35" t="s">
        <v>9946</v>
      </c>
      <c r="J558" s="35" t="s">
        <v>11280</v>
      </c>
      <c r="K558" s="35" t="s">
        <v>98</v>
      </c>
      <c r="L558" s="35" t="s">
        <v>98</v>
      </c>
      <c r="M558" s="35" t="s">
        <v>99</v>
      </c>
      <c r="N558" s="35"/>
      <c r="O558" s="3"/>
    </row>
    <row r="559">
      <c r="A559" s="35" t="s">
        <v>11281</v>
      </c>
      <c r="B559" s="39">
        <v>45986.120046296295</v>
      </c>
      <c r="C559" s="35" t="s">
        <v>9496</v>
      </c>
      <c r="D559" s="40" t="s">
        <v>9489</v>
      </c>
      <c r="E559" s="35" t="s">
        <v>11282</v>
      </c>
      <c r="F559" s="35" t="s">
        <v>11149</v>
      </c>
      <c r="G559" s="35"/>
      <c r="H559" s="35"/>
      <c r="I559" s="35" t="s">
        <v>11283</v>
      </c>
      <c r="J559" s="35" t="s">
        <v>11284</v>
      </c>
      <c r="K559" s="35" t="s">
        <v>6769</v>
      </c>
      <c r="L559" s="35" t="s">
        <v>6769</v>
      </c>
      <c r="M559" s="35" t="s">
        <v>312</v>
      </c>
      <c r="N559" s="35"/>
      <c r="O559" s="3"/>
    </row>
    <row r="560">
      <c r="A560" s="35" t="s">
        <v>11285</v>
      </c>
      <c r="B560" s="39">
        <v>45986.07778935185</v>
      </c>
      <c r="C560" s="35" t="s">
        <v>9496</v>
      </c>
      <c r="D560" s="40" t="s">
        <v>9489</v>
      </c>
      <c r="E560" s="35" t="s">
        <v>11286</v>
      </c>
      <c r="F560" s="35" t="s">
        <v>11287</v>
      </c>
      <c r="G560" s="35"/>
      <c r="H560" s="35"/>
      <c r="I560" s="35" t="s">
        <v>11288</v>
      </c>
      <c r="J560" s="35" t="s">
        <v>11289</v>
      </c>
      <c r="K560" s="35" t="s">
        <v>184</v>
      </c>
      <c r="L560" s="35" t="s">
        <v>184</v>
      </c>
      <c r="M560" s="35" t="s">
        <v>478</v>
      </c>
      <c r="N560" s="35"/>
      <c r="O560" s="3"/>
    </row>
    <row r="561">
      <c r="A561" s="35" t="s">
        <v>11290</v>
      </c>
      <c r="B561" s="39">
        <v>45986.07665509259</v>
      </c>
      <c r="C561" s="35" t="s">
        <v>9496</v>
      </c>
      <c r="D561" s="40" t="s">
        <v>9489</v>
      </c>
      <c r="E561" s="35" t="s">
        <v>11243</v>
      </c>
      <c r="F561" s="35" t="s">
        <v>11244</v>
      </c>
      <c r="G561" s="35"/>
      <c r="H561" s="35"/>
      <c r="I561" s="35" t="s">
        <v>11291</v>
      </c>
      <c r="J561" s="35" t="s">
        <v>11292</v>
      </c>
      <c r="K561" s="35" t="s">
        <v>157</v>
      </c>
      <c r="L561" s="35" t="s">
        <v>157</v>
      </c>
      <c r="M561" s="35" t="s">
        <v>158</v>
      </c>
      <c r="N561" s="35"/>
      <c r="O561" s="3"/>
    </row>
    <row r="562">
      <c r="A562" s="35" t="s">
        <v>11293</v>
      </c>
      <c r="B562" s="39">
        <v>45986.07415509259</v>
      </c>
      <c r="C562" s="35" t="s">
        <v>9496</v>
      </c>
      <c r="D562" s="40" t="s">
        <v>9489</v>
      </c>
      <c r="E562" s="35" t="s">
        <v>11286</v>
      </c>
      <c r="F562" s="35" t="s">
        <v>11287</v>
      </c>
      <c r="G562" s="35"/>
      <c r="H562" s="35"/>
      <c r="I562" s="35" t="s">
        <v>11294</v>
      </c>
      <c r="J562" s="35" t="s">
        <v>11295</v>
      </c>
      <c r="K562" s="35" t="s">
        <v>184</v>
      </c>
      <c r="L562" s="35" t="s">
        <v>184</v>
      </c>
      <c r="M562" s="35" t="s">
        <v>478</v>
      </c>
      <c r="N562" s="35"/>
      <c r="O562" s="3"/>
    </row>
    <row r="563">
      <c r="A563" s="35" t="s">
        <v>11296</v>
      </c>
      <c r="B563" s="39">
        <v>46042.51868055556</v>
      </c>
      <c r="C563" s="35" t="s">
        <v>9496</v>
      </c>
      <c r="D563" s="40" t="s">
        <v>9489</v>
      </c>
      <c r="E563" s="35" t="s">
        <v>11297</v>
      </c>
      <c r="F563" s="35" t="s">
        <v>11298</v>
      </c>
      <c r="G563" s="35"/>
      <c r="H563" s="35"/>
      <c r="I563" s="35" t="s">
        <v>11299</v>
      </c>
      <c r="J563" s="35" t="s">
        <v>11300</v>
      </c>
      <c r="K563" s="35" t="s">
        <v>202</v>
      </c>
      <c r="L563" s="35" t="s">
        <v>202</v>
      </c>
      <c r="M563" s="35" t="s">
        <v>203</v>
      </c>
      <c r="N563" s="35"/>
      <c r="O563" s="3"/>
    </row>
    <row r="564">
      <c r="A564" s="35" t="s">
        <v>11301</v>
      </c>
      <c r="B564" s="39">
        <v>46036.3597337963</v>
      </c>
      <c r="C564" s="35" t="s">
        <v>9496</v>
      </c>
      <c r="D564" s="40" t="s">
        <v>9489</v>
      </c>
      <c r="E564" s="35" t="s">
        <v>11297</v>
      </c>
      <c r="F564" s="35" t="s">
        <v>11298</v>
      </c>
      <c r="G564" s="35"/>
      <c r="H564" s="35"/>
      <c r="I564" s="35" t="s">
        <v>11302</v>
      </c>
      <c r="J564" s="35" t="s">
        <v>11303</v>
      </c>
      <c r="K564" s="35" t="s">
        <v>202</v>
      </c>
      <c r="L564" s="35" t="s">
        <v>202</v>
      </c>
      <c r="M564" s="35" t="s">
        <v>203</v>
      </c>
      <c r="N564" s="35"/>
      <c r="O564" s="3"/>
    </row>
    <row r="565">
      <c r="A565" s="35" t="s">
        <v>11304</v>
      </c>
      <c r="B565" s="39">
        <v>46034.58850694445</v>
      </c>
      <c r="C565" s="35" t="s">
        <v>10963</v>
      </c>
      <c r="D565" s="40" t="s">
        <v>9489</v>
      </c>
      <c r="E565" s="35" t="s">
        <v>11305</v>
      </c>
      <c r="F565" s="40" t="s">
        <v>7119</v>
      </c>
      <c r="G565" s="35" t="s">
        <v>9488</v>
      </c>
      <c r="H565" s="40" t="s">
        <v>9489</v>
      </c>
      <c r="I565" s="35" t="s">
        <v>11306</v>
      </c>
      <c r="J565" s="35" t="s">
        <v>11307</v>
      </c>
      <c r="K565" s="35" t="s">
        <v>6930</v>
      </c>
      <c r="L565" s="35" t="s">
        <v>6930</v>
      </c>
      <c r="M565" s="35" t="s">
        <v>500</v>
      </c>
      <c r="N565" s="35"/>
      <c r="O565" s="3"/>
    </row>
    <row r="566">
      <c r="A566" s="35" t="s">
        <v>11308</v>
      </c>
      <c r="B566" s="39">
        <v>46034.627488425926</v>
      </c>
      <c r="C566" s="35" t="s">
        <v>9488</v>
      </c>
      <c r="D566" s="40" t="s">
        <v>9489</v>
      </c>
      <c r="E566" s="35" t="s">
        <v>10963</v>
      </c>
      <c r="F566" s="40" t="s">
        <v>9489</v>
      </c>
      <c r="G566" s="35" t="s">
        <v>11305</v>
      </c>
      <c r="H566" s="40" t="s">
        <v>7119</v>
      </c>
      <c r="I566" s="35" t="s">
        <v>11309</v>
      </c>
      <c r="J566" s="35" t="s">
        <v>11310</v>
      </c>
      <c r="K566" s="35" t="s">
        <v>6930</v>
      </c>
      <c r="L566" s="35" t="s">
        <v>6930</v>
      </c>
      <c r="M566" s="35" t="s">
        <v>500</v>
      </c>
      <c r="N566" s="35"/>
      <c r="O566" s="3"/>
    </row>
    <row r="567">
      <c r="A567" s="35" t="s">
        <v>11311</v>
      </c>
      <c r="B567" s="39">
        <v>46006.445138888885</v>
      </c>
      <c r="C567" s="35" t="s">
        <v>9488</v>
      </c>
      <c r="D567" s="40" t="s">
        <v>9489</v>
      </c>
      <c r="E567" s="35" t="s">
        <v>11312</v>
      </c>
      <c r="F567" s="35" t="s">
        <v>11313</v>
      </c>
      <c r="G567" s="35"/>
      <c r="H567" s="35"/>
      <c r="I567" s="35" t="s">
        <v>7189</v>
      </c>
      <c r="J567" s="35" t="s">
        <v>11314</v>
      </c>
      <c r="K567" s="35" t="s">
        <v>178</v>
      </c>
      <c r="L567" s="35" t="s">
        <v>178</v>
      </c>
      <c r="M567" s="35" t="s">
        <v>179</v>
      </c>
      <c r="N567" s="35"/>
      <c r="O567" s="3"/>
    </row>
    <row r="568">
      <c r="A568" s="35" t="s">
        <v>11315</v>
      </c>
      <c r="B568" s="39">
        <v>46002.334016203706</v>
      </c>
      <c r="C568" s="35" t="s">
        <v>9496</v>
      </c>
      <c r="D568" s="40" t="s">
        <v>9489</v>
      </c>
      <c r="E568" s="35" t="s">
        <v>11316</v>
      </c>
      <c r="F568" s="35" t="s">
        <v>11317</v>
      </c>
      <c r="G568" s="35" t="s">
        <v>11318</v>
      </c>
      <c r="H568" s="40" t="s">
        <v>7117</v>
      </c>
      <c r="I568" s="35" t="s">
        <v>11319</v>
      </c>
      <c r="J568" s="35" t="s">
        <v>11320</v>
      </c>
      <c r="K568" s="35" t="s">
        <v>178</v>
      </c>
      <c r="L568" s="35" t="s">
        <v>178</v>
      </c>
      <c r="M568" s="35" t="s">
        <v>179</v>
      </c>
      <c r="N568" s="35"/>
      <c r="O568" s="3"/>
    </row>
    <row r="569">
      <c r="A569" s="35" t="s">
        <v>11321</v>
      </c>
      <c r="B569" s="39">
        <v>46002.37556712963</v>
      </c>
      <c r="C569" s="35" t="s">
        <v>11322</v>
      </c>
      <c r="D569" s="40" t="s">
        <v>7117</v>
      </c>
      <c r="E569" s="35" t="s">
        <v>9675</v>
      </c>
      <c r="F569" s="40" t="s">
        <v>9489</v>
      </c>
      <c r="G569" s="35" t="s">
        <v>11318</v>
      </c>
      <c r="H569" s="40" t="s">
        <v>7117</v>
      </c>
      <c r="I569" s="35" t="s">
        <v>11319</v>
      </c>
      <c r="J569" s="35" t="s">
        <v>11323</v>
      </c>
      <c r="K569" s="35" t="s">
        <v>178</v>
      </c>
      <c r="L569" s="35" t="s">
        <v>178</v>
      </c>
      <c r="M569" s="35" t="s">
        <v>179</v>
      </c>
      <c r="N569" s="35"/>
      <c r="O569" s="3"/>
    </row>
    <row r="570">
      <c r="A570" s="35" t="s">
        <v>11324</v>
      </c>
      <c r="B570" s="39">
        <v>45986.079409722224</v>
      </c>
      <c r="C570" s="35" t="s">
        <v>9496</v>
      </c>
      <c r="D570" s="40" t="s">
        <v>9489</v>
      </c>
      <c r="E570" s="35" t="s">
        <v>11325</v>
      </c>
      <c r="F570" s="35" t="s">
        <v>11326</v>
      </c>
      <c r="G570" s="35" t="s">
        <v>9597</v>
      </c>
      <c r="H570" s="40" t="s">
        <v>9489</v>
      </c>
      <c r="I570" s="35" t="s">
        <v>11327</v>
      </c>
      <c r="J570" s="35" t="s">
        <v>11328</v>
      </c>
      <c r="K570" s="35" t="s">
        <v>160</v>
      </c>
      <c r="L570" s="35" t="s">
        <v>160</v>
      </c>
      <c r="M570" s="35" t="s">
        <v>440</v>
      </c>
      <c r="N570" s="35"/>
      <c r="O570" s="3"/>
    </row>
    <row r="571">
      <c r="A571" s="35" t="s">
        <v>11329</v>
      </c>
      <c r="B571" s="39">
        <v>45986.07938657407</v>
      </c>
      <c r="C571" s="35" t="s">
        <v>9496</v>
      </c>
      <c r="D571" s="40" t="s">
        <v>9489</v>
      </c>
      <c r="E571" s="35" t="s">
        <v>11330</v>
      </c>
      <c r="F571" s="35" t="s">
        <v>11331</v>
      </c>
      <c r="G571" s="35"/>
      <c r="H571" s="35"/>
      <c r="I571" s="35" t="s">
        <v>11332</v>
      </c>
      <c r="J571" s="35" t="s">
        <v>11333</v>
      </c>
      <c r="K571" s="35" t="s">
        <v>151</v>
      </c>
      <c r="L571" s="35" t="s">
        <v>151</v>
      </c>
      <c r="M571" s="35" t="s">
        <v>370</v>
      </c>
      <c r="N571" s="35"/>
      <c r="O571" s="3"/>
    </row>
    <row r="572">
      <c r="A572" s="35" t="s">
        <v>11334</v>
      </c>
      <c r="B572" s="39">
        <v>45986.07616898148</v>
      </c>
      <c r="C572" s="35" t="s">
        <v>9496</v>
      </c>
      <c r="D572" s="40" t="s">
        <v>9489</v>
      </c>
      <c r="E572" s="35" t="s">
        <v>11335</v>
      </c>
      <c r="F572" s="35" t="s">
        <v>11313</v>
      </c>
      <c r="G572" s="35"/>
      <c r="H572" s="35"/>
      <c r="I572" s="35" t="s">
        <v>11336</v>
      </c>
      <c r="J572" s="35" t="s">
        <v>11337</v>
      </c>
      <c r="K572" s="35" t="s">
        <v>178</v>
      </c>
      <c r="L572" s="35" t="s">
        <v>178</v>
      </c>
      <c r="M572" s="35" t="s">
        <v>179</v>
      </c>
      <c r="N572" s="35"/>
      <c r="O572" s="3"/>
    </row>
    <row r="573">
      <c r="A573" s="35" t="s">
        <v>11338</v>
      </c>
      <c r="B573" s="39">
        <v>46042.38552083333</v>
      </c>
      <c r="C573" s="35" t="s">
        <v>9527</v>
      </c>
      <c r="D573" s="40" t="s">
        <v>9489</v>
      </c>
      <c r="E573" s="35" t="s">
        <v>11339</v>
      </c>
      <c r="F573" s="35" t="s">
        <v>11340</v>
      </c>
      <c r="G573" s="35"/>
      <c r="H573" s="35"/>
      <c r="I573" s="35" t="s">
        <v>11341</v>
      </c>
      <c r="J573" s="35" t="s">
        <v>11342</v>
      </c>
      <c r="K573" s="35" t="s">
        <v>116</v>
      </c>
      <c r="L573" s="35" t="s">
        <v>116</v>
      </c>
      <c r="M573" s="35" t="s">
        <v>117</v>
      </c>
      <c r="N573" s="35"/>
      <c r="O573" s="3"/>
    </row>
    <row r="574">
      <c r="A574" s="35" t="s">
        <v>11343</v>
      </c>
      <c r="B574" s="39">
        <v>46007.63827546296</v>
      </c>
      <c r="C574" s="35" t="s">
        <v>11344</v>
      </c>
      <c r="D574" s="40" t="s">
        <v>7120</v>
      </c>
      <c r="E574" s="35" t="s">
        <v>7288</v>
      </c>
      <c r="F574" s="40" t="s">
        <v>9489</v>
      </c>
      <c r="G574" s="35"/>
      <c r="H574" s="35"/>
      <c r="I574" s="35" t="s">
        <v>11345</v>
      </c>
      <c r="J574" s="35" t="s">
        <v>11346</v>
      </c>
      <c r="K574" s="35" t="s">
        <v>116</v>
      </c>
      <c r="L574" s="35" t="s">
        <v>116</v>
      </c>
      <c r="M574" s="35" t="s">
        <v>117</v>
      </c>
      <c r="N574" s="35"/>
      <c r="O574" s="3"/>
    </row>
    <row r="575">
      <c r="A575" s="35" t="s">
        <v>11347</v>
      </c>
      <c r="B575" s="39">
        <v>46001.52394675926</v>
      </c>
      <c r="C575" s="35" t="s">
        <v>11348</v>
      </c>
      <c r="D575" s="40" t="s">
        <v>7120</v>
      </c>
      <c r="E575" s="35" t="s">
        <v>11349</v>
      </c>
      <c r="F575" s="35" t="s">
        <v>11340</v>
      </c>
      <c r="G575" s="35"/>
      <c r="H575" s="35"/>
      <c r="I575" s="35" t="s">
        <v>11350</v>
      </c>
      <c r="J575" s="35" t="s">
        <v>11351</v>
      </c>
      <c r="K575" s="35" t="s">
        <v>116</v>
      </c>
      <c r="L575" s="35" t="s">
        <v>116</v>
      </c>
      <c r="M575" s="35" t="s">
        <v>117</v>
      </c>
      <c r="N575" s="35"/>
      <c r="O575" s="3"/>
    </row>
    <row r="576">
      <c r="A576" s="35" t="s">
        <v>11352</v>
      </c>
      <c r="B576" s="39">
        <v>45986.11130787037</v>
      </c>
      <c r="C576" s="35" t="s">
        <v>9496</v>
      </c>
      <c r="D576" s="40" t="s">
        <v>9489</v>
      </c>
      <c r="E576" s="35" t="s">
        <v>11353</v>
      </c>
      <c r="F576" s="35" t="s">
        <v>11354</v>
      </c>
      <c r="G576" s="35"/>
      <c r="H576" s="35"/>
      <c r="I576" s="35" t="s">
        <v>11355</v>
      </c>
      <c r="J576" s="35" t="s">
        <v>11356</v>
      </c>
      <c r="K576" s="35" t="s">
        <v>116</v>
      </c>
      <c r="L576" s="35" t="s">
        <v>116</v>
      </c>
      <c r="M576" s="35" t="s">
        <v>117</v>
      </c>
      <c r="N576" s="35"/>
      <c r="O576" s="3"/>
    </row>
    <row r="577">
      <c r="A577" s="35" t="s">
        <v>11357</v>
      </c>
      <c r="B577" s="39">
        <v>45986.43251157408</v>
      </c>
      <c r="C577" s="35" t="s">
        <v>9488</v>
      </c>
      <c r="D577" s="40" t="s">
        <v>9489</v>
      </c>
      <c r="E577" s="35" t="s">
        <v>9496</v>
      </c>
      <c r="F577" s="40" t="s">
        <v>9489</v>
      </c>
      <c r="G577" s="35" t="s">
        <v>7484</v>
      </c>
      <c r="H577" s="40" t="s">
        <v>7120</v>
      </c>
      <c r="I577" s="35" t="s">
        <v>11355</v>
      </c>
      <c r="J577" s="35" t="s">
        <v>11358</v>
      </c>
      <c r="K577" s="35" t="s">
        <v>116</v>
      </c>
      <c r="L577" s="35" t="s">
        <v>116</v>
      </c>
      <c r="M577" s="35" t="s">
        <v>117</v>
      </c>
      <c r="N577" s="35"/>
      <c r="O577" s="3"/>
    </row>
    <row r="578">
      <c r="A578" s="35" t="s">
        <v>11359</v>
      </c>
      <c r="B578" s="39">
        <v>45986.85927083333</v>
      </c>
      <c r="C578" s="35" t="s">
        <v>11348</v>
      </c>
      <c r="D578" s="40" t="s">
        <v>7120</v>
      </c>
      <c r="E578" s="35" t="s">
        <v>9488</v>
      </c>
      <c r="F578" s="40" t="s">
        <v>9489</v>
      </c>
      <c r="G578" s="35" t="s">
        <v>9496</v>
      </c>
      <c r="H578" s="40" t="s">
        <v>9489</v>
      </c>
      <c r="I578" s="35" t="s">
        <v>11355</v>
      </c>
      <c r="J578" s="35" t="s">
        <v>11360</v>
      </c>
      <c r="K578" s="35" t="s">
        <v>116</v>
      </c>
      <c r="L578" s="35" t="s">
        <v>116</v>
      </c>
      <c r="M578" s="35" t="s">
        <v>117</v>
      </c>
      <c r="N578" s="35"/>
      <c r="O578" s="3"/>
    </row>
    <row r="579">
      <c r="A579" s="35" t="s">
        <v>11361</v>
      </c>
      <c r="B579" s="39">
        <v>45993.57491898148</v>
      </c>
      <c r="C579" s="35" t="s">
        <v>9488</v>
      </c>
      <c r="D579" s="40" t="s">
        <v>9489</v>
      </c>
      <c r="E579" s="35" t="s">
        <v>7484</v>
      </c>
      <c r="F579" s="40" t="s">
        <v>7120</v>
      </c>
      <c r="G579" s="35" t="s">
        <v>9496</v>
      </c>
      <c r="H579" s="40" t="s">
        <v>9489</v>
      </c>
      <c r="I579" s="35" t="s">
        <v>11355</v>
      </c>
      <c r="J579" s="35" t="s">
        <v>11362</v>
      </c>
      <c r="K579" s="35" t="s">
        <v>116</v>
      </c>
      <c r="L579" s="35" t="s">
        <v>116</v>
      </c>
      <c r="M579" s="35" t="s">
        <v>117</v>
      </c>
      <c r="N579" s="35"/>
      <c r="O579" s="3"/>
    </row>
    <row r="580">
      <c r="A580" s="35" t="s">
        <v>11363</v>
      </c>
      <c r="B580" s="39">
        <v>46001.479479166665</v>
      </c>
      <c r="C580" s="35" t="s">
        <v>9488</v>
      </c>
      <c r="D580" s="40" t="s">
        <v>9489</v>
      </c>
      <c r="E580" s="35" t="s">
        <v>7484</v>
      </c>
      <c r="F580" s="40" t="s">
        <v>7120</v>
      </c>
      <c r="G580" s="35" t="s">
        <v>9496</v>
      </c>
      <c r="H580" s="40" t="s">
        <v>9489</v>
      </c>
      <c r="I580" s="35" t="s">
        <v>11355</v>
      </c>
      <c r="J580" s="35" t="s">
        <v>11364</v>
      </c>
      <c r="K580" s="35" t="s">
        <v>116</v>
      </c>
      <c r="L580" s="35" t="s">
        <v>116</v>
      </c>
      <c r="M580" s="35" t="s">
        <v>117</v>
      </c>
      <c r="N580" s="35"/>
      <c r="O580" s="3"/>
    </row>
    <row r="581">
      <c r="A581" s="35" t="s">
        <v>11365</v>
      </c>
      <c r="B581" s="39">
        <v>46001.486030092594</v>
      </c>
      <c r="C581" s="35" t="s">
        <v>11348</v>
      </c>
      <c r="D581" s="40" t="s">
        <v>7120</v>
      </c>
      <c r="E581" s="35" t="s">
        <v>9488</v>
      </c>
      <c r="F581" s="40" t="s">
        <v>9489</v>
      </c>
      <c r="G581" s="35" t="s">
        <v>11366</v>
      </c>
      <c r="H581" s="35" t="s">
        <v>11340</v>
      </c>
      <c r="I581" s="35" t="s">
        <v>11355</v>
      </c>
      <c r="J581" s="35" t="s">
        <v>11367</v>
      </c>
      <c r="K581" s="35" t="s">
        <v>116</v>
      </c>
      <c r="L581" s="35" t="s">
        <v>116</v>
      </c>
      <c r="M581" s="35" t="s">
        <v>117</v>
      </c>
      <c r="N581" s="35"/>
      <c r="O581" s="3"/>
    </row>
    <row r="582">
      <c r="A582" s="35" t="s">
        <v>11368</v>
      </c>
      <c r="B582" s="39">
        <v>46001.52190972222</v>
      </c>
      <c r="C582" s="35" t="s">
        <v>11344</v>
      </c>
      <c r="D582" s="40" t="s">
        <v>7120</v>
      </c>
      <c r="E582" s="35" t="s">
        <v>7484</v>
      </c>
      <c r="F582" s="40" t="s">
        <v>7120</v>
      </c>
      <c r="G582" s="35" t="s">
        <v>9675</v>
      </c>
      <c r="H582" s="40" t="s">
        <v>9489</v>
      </c>
      <c r="I582" s="35" t="s">
        <v>11355</v>
      </c>
      <c r="J582" s="35" t="s">
        <v>11369</v>
      </c>
      <c r="K582" s="35" t="s">
        <v>116</v>
      </c>
      <c r="L582" s="35" t="s">
        <v>116</v>
      </c>
      <c r="M582" s="35" t="s">
        <v>117</v>
      </c>
      <c r="N582" s="35"/>
      <c r="O582" s="3"/>
    </row>
    <row r="583">
      <c r="A583" s="35" t="s">
        <v>11370</v>
      </c>
      <c r="B583" s="39">
        <v>46001.52383101852</v>
      </c>
      <c r="C583" s="35" t="s">
        <v>11348</v>
      </c>
      <c r="D583" s="40" t="s">
        <v>7120</v>
      </c>
      <c r="E583" s="35" t="s">
        <v>11344</v>
      </c>
      <c r="F583" s="40" t="s">
        <v>7120</v>
      </c>
      <c r="G583" s="35" t="s">
        <v>9675</v>
      </c>
      <c r="H583" s="40" t="s">
        <v>9489</v>
      </c>
      <c r="I583" s="35" t="s">
        <v>11355</v>
      </c>
      <c r="J583" s="35" t="s">
        <v>11371</v>
      </c>
      <c r="K583" s="35" t="s">
        <v>116</v>
      </c>
      <c r="L583" s="35" t="s">
        <v>116</v>
      </c>
      <c r="M583" s="35" t="s">
        <v>117</v>
      </c>
      <c r="N583" s="35"/>
      <c r="O583" s="3"/>
    </row>
    <row r="584">
      <c r="A584" s="35" t="s">
        <v>11372</v>
      </c>
      <c r="B584" s="39">
        <v>46001.54550925926</v>
      </c>
      <c r="C584" s="35" t="s">
        <v>9488</v>
      </c>
      <c r="D584" s="40" t="s">
        <v>9489</v>
      </c>
      <c r="E584" s="35" t="s">
        <v>7484</v>
      </c>
      <c r="F584" s="40" t="s">
        <v>7120</v>
      </c>
      <c r="G584" s="35" t="s">
        <v>11373</v>
      </c>
      <c r="H584" s="35" t="s">
        <v>11354</v>
      </c>
      <c r="I584" s="35" t="s">
        <v>11355</v>
      </c>
      <c r="J584" s="35" t="s">
        <v>11374</v>
      </c>
      <c r="K584" s="35" t="s">
        <v>116</v>
      </c>
      <c r="L584" s="35" t="s">
        <v>116</v>
      </c>
      <c r="M584" s="35" t="s">
        <v>117</v>
      </c>
      <c r="N584" s="35"/>
      <c r="O584" s="3"/>
    </row>
    <row r="585">
      <c r="A585" s="35" t="s">
        <v>11375</v>
      </c>
      <c r="B585" s="39">
        <v>46007.56910879629</v>
      </c>
      <c r="C585" s="35" t="s">
        <v>9488</v>
      </c>
      <c r="D585" s="40" t="s">
        <v>9489</v>
      </c>
      <c r="E585" s="35" t="s">
        <v>7484</v>
      </c>
      <c r="F585" s="40" t="s">
        <v>7120</v>
      </c>
      <c r="G585" s="35" t="s">
        <v>11373</v>
      </c>
      <c r="H585" s="35" t="s">
        <v>11354</v>
      </c>
      <c r="I585" s="35" t="s">
        <v>11355</v>
      </c>
      <c r="J585" s="35" t="s">
        <v>11376</v>
      </c>
      <c r="K585" s="35" t="s">
        <v>116</v>
      </c>
      <c r="L585" s="35" t="s">
        <v>116</v>
      </c>
      <c r="M585" s="35" t="s">
        <v>117</v>
      </c>
      <c r="N585" s="35"/>
      <c r="O585" s="3"/>
    </row>
    <row r="586">
      <c r="A586" s="35" t="s">
        <v>11377</v>
      </c>
      <c r="B586" s="39">
        <v>46007.56905092593</v>
      </c>
      <c r="C586" s="35" t="s">
        <v>11348</v>
      </c>
      <c r="D586" s="40" t="s">
        <v>7120</v>
      </c>
      <c r="E586" s="35" t="s">
        <v>9488</v>
      </c>
      <c r="F586" s="40" t="s">
        <v>9489</v>
      </c>
      <c r="G586" s="35" t="s">
        <v>11373</v>
      </c>
      <c r="H586" s="35" t="s">
        <v>11354</v>
      </c>
      <c r="I586" s="35" t="s">
        <v>11355</v>
      </c>
      <c r="J586" s="35" t="s">
        <v>11378</v>
      </c>
      <c r="K586" s="35" t="s">
        <v>116</v>
      </c>
      <c r="L586" s="35" t="s">
        <v>116</v>
      </c>
      <c r="M586" s="35" t="s">
        <v>117</v>
      </c>
      <c r="N586" s="35"/>
      <c r="O586" s="3"/>
    </row>
    <row r="587">
      <c r="A587" s="35" t="s">
        <v>11379</v>
      </c>
      <c r="B587" s="39">
        <v>46007.57033564815</v>
      </c>
      <c r="C587" s="35" t="s">
        <v>11348</v>
      </c>
      <c r="D587" s="40" t="s">
        <v>7120</v>
      </c>
      <c r="E587" s="35" t="s">
        <v>9488</v>
      </c>
      <c r="F587" s="40" t="s">
        <v>9489</v>
      </c>
      <c r="G587" s="35" t="s">
        <v>11373</v>
      </c>
      <c r="H587" s="35" t="s">
        <v>11354</v>
      </c>
      <c r="I587" s="35" t="s">
        <v>11355</v>
      </c>
      <c r="J587" s="35" t="s">
        <v>11380</v>
      </c>
      <c r="K587" s="35" t="s">
        <v>116</v>
      </c>
      <c r="L587" s="35" t="s">
        <v>116</v>
      </c>
      <c r="M587" s="35" t="s">
        <v>117</v>
      </c>
      <c r="N587" s="35"/>
      <c r="O587" s="3"/>
    </row>
    <row r="588">
      <c r="A588" s="35" t="s">
        <v>11381</v>
      </c>
      <c r="B588" s="39">
        <v>46007.62028935185</v>
      </c>
      <c r="C588" s="35" t="s">
        <v>9488</v>
      </c>
      <c r="D588" s="40" t="s">
        <v>9489</v>
      </c>
      <c r="E588" s="35" t="s">
        <v>7484</v>
      </c>
      <c r="F588" s="40" t="s">
        <v>7120</v>
      </c>
      <c r="G588" s="35" t="s">
        <v>11373</v>
      </c>
      <c r="H588" s="35" t="s">
        <v>11354</v>
      </c>
      <c r="I588" s="35" t="s">
        <v>11355</v>
      </c>
      <c r="J588" s="35" t="s">
        <v>11382</v>
      </c>
      <c r="K588" s="35" t="s">
        <v>116</v>
      </c>
      <c r="L588" s="35" t="s">
        <v>116</v>
      </c>
      <c r="M588" s="35" t="s">
        <v>117</v>
      </c>
      <c r="N588" s="35"/>
      <c r="O588" s="3"/>
    </row>
    <row r="589">
      <c r="A589" s="35" t="s">
        <v>11383</v>
      </c>
      <c r="B589" s="39">
        <v>46007.63390046296</v>
      </c>
      <c r="C589" s="35" t="s">
        <v>11348</v>
      </c>
      <c r="D589" s="40" t="s">
        <v>7120</v>
      </c>
      <c r="E589" s="35" t="s">
        <v>9488</v>
      </c>
      <c r="F589" s="40" t="s">
        <v>9489</v>
      </c>
      <c r="G589" s="35" t="s">
        <v>11373</v>
      </c>
      <c r="H589" s="35" t="s">
        <v>11354</v>
      </c>
      <c r="I589" s="35" t="s">
        <v>11355</v>
      </c>
      <c r="J589" s="35" t="s">
        <v>11384</v>
      </c>
      <c r="K589" s="35" t="s">
        <v>116</v>
      </c>
      <c r="L589" s="35" t="s">
        <v>116</v>
      </c>
      <c r="M589" s="35" t="s">
        <v>117</v>
      </c>
      <c r="N589" s="35"/>
      <c r="O589" s="3"/>
    </row>
    <row r="590">
      <c r="A590" s="35" t="s">
        <v>11385</v>
      </c>
      <c r="B590" s="39">
        <v>46007.63685185185</v>
      </c>
      <c r="C590" s="35" t="s">
        <v>9488</v>
      </c>
      <c r="D590" s="40" t="s">
        <v>9489</v>
      </c>
      <c r="E590" s="35" t="s">
        <v>7484</v>
      </c>
      <c r="F590" s="40" t="s">
        <v>7120</v>
      </c>
      <c r="G590" s="35" t="s">
        <v>11373</v>
      </c>
      <c r="H590" s="35" t="s">
        <v>11354</v>
      </c>
      <c r="I590" s="35" t="s">
        <v>11355</v>
      </c>
      <c r="J590" s="35" t="s">
        <v>11386</v>
      </c>
      <c r="K590" s="35" t="s">
        <v>116</v>
      </c>
      <c r="L590" s="35" t="s">
        <v>116</v>
      </c>
      <c r="M590" s="35" t="s">
        <v>117</v>
      </c>
      <c r="N590" s="35"/>
      <c r="O590" s="3"/>
    </row>
    <row r="591">
      <c r="A591" s="35" t="s">
        <v>11387</v>
      </c>
      <c r="B591" s="39">
        <v>46044.25806712963</v>
      </c>
      <c r="C591" s="35" t="s">
        <v>9967</v>
      </c>
      <c r="D591" s="40" t="s">
        <v>7096</v>
      </c>
      <c r="E591" s="35" t="s">
        <v>9488</v>
      </c>
      <c r="F591" s="40" t="s">
        <v>9489</v>
      </c>
      <c r="G591" s="35"/>
      <c r="H591" s="35"/>
      <c r="I591" s="35" t="s">
        <v>9971</v>
      </c>
      <c r="J591" s="35" t="s">
        <v>11388</v>
      </c>
      <c r="K591" s="35" t="s">
        <v>110</v>
      </c>
      <c r="L591" s="35" t="s">
        <v>110</v>
      </c>
      <c r="M591" s="35" t="s">
        <v>111</v>
      </c>
      <c r="N591" s="35"/>
      <c r="O591" s="3"/>
    </row>
    <row r="592">
      <c r="A592" s="35" t="s">
        <v>11389</v>
      </c>
      <c r="B592" s="39">
        <v>46044.37912037037</v>
      </c>
      <c r="C592" s="35" t="s">
        <v>11141</v>
      </c>
      <c r="D592" s="40" t="s">
        <v>7112</v>
      </c>
      <c r="E592" s="35" t="s">
        <v>11390</v>
      </c>
      <c r="F592" s="40" t="s">
        <v>9489</v>
      </c>
      <c r="G592" s="35" t="s">
        <v>11391</v>
      </c>
      <c r="H592" s="35" t="s">
        <v>11149</v>
      </c>
      <c r="I592" s="35" t="s">
        <v>11392</v>
      </c>
      <c r="J592" s="35" t="s">
        <v>11393</v>
      </c>
      <c r="K592" s="35" t="s">
        <v>6769</v>
      </c>
      <c r="L592" s="35" t="s">
        <v>6769</v>
      </c>
      <c r="M592" s="35" t="s">
        <v>312</v>
      </c>
      <c r="N592" s="35"/>
      <c r="O592" s="3"/>
    </row>
    <row r="593">
      <c r="A593" s="35" t="s">
        <v>11394</v>
      </c>
      <c r="B593" s="39">
        <v>46044.38092592593</v>
      </c>
      <c r="C593" s="35" t="s">
        <v>9488</v>
      </c>
      <c r="D593" s="40" t="s">
        <v>9489</v>
      </c>
      <c r="E593" s="35" t="s">
        <v>11141</v>
      </c>
      <c r="F593" s="40" t="s">
        <v>7112</v>
      </c>
      <c r="G593" s="35" t="s">
        <v>11391</v>
      </c>
      <c r="H593" s="35" t="s">
        <v>11149</v>
      </c>
      <c r="I593" s="35" t="s">
        <v>10095</v>
      </c>
      <c r="J593" s="35" t="s">
        <v>11395</v>
      </c>
      <c r="K593" s="35" t="s">
        <v>6769</v>
      </c>
      <c r="L593" s="35" t="s">
        <v>6769</v>
      </c>
      <c r="M593" s="35" t="s">
        <v>312</v>
      </c>
      <c r="N593" s="35"/>
      <c r="O593" s="3"/>
    </row>
    <row r="594">
      <c r="A594" s="35" t="s">
        <v>11396</v>
      </c>
      <c r="B594" s="39">
        <v>46044.38313657408</v>
      </c>
      <c r="C594" s="35" t="s">
        <v>11141</v>
      </c>
      <c r="D594" s="40" t="s">
        <v>7112</v>
      </c>
      <c r="E594" s="35" t="s">
        <v>9488</v>
      </c>
      <c r="F594" s="40" t="s">
        <v>9489</v>
      </c>
      <c r="G594" s="35" t="s">
        <v>11391</v>
      </c>
      <c r="H594" s="35" t="s">
        <v>11149</v>
      </c>
      <c r="I594" s="35" t="s">
        <v>11392</v>
      </c>
      <c r="J594" s="35" t="s">
        <v>11397</v>
      </c>
      <c r="K594" s="35" t="s">
        <v>6769</v>
      </c>
      <c r="L594" s="35" t="s">
        <v>6769</v>
      </c>
      <c r="M594" s="35" t="s">
        <v>312</v>
      </c>
      <c r="N594" s="35"/>
      <c r="O594" s="3"/>
    </row>
    <row r="595">
      <c r="A595" s="35" t="s">
        <v>11398</v>
      </c>
      <c r="B595" s="39">
        <v>46044.46530092593</v>
      </c>
      <c r="C595" s="35" t="s">
        <v>10155</v>
      </c>
      <c r="D595" s="40" t="s">
        <v>7100</v>
      </c>
      <c r="E595" s="35" t="s">
        <v>9488</v>
      </c>
      <c r="F595" s="40" t="s">
        <v>9489</v>
      </c>
      <c r="G595" s="35"/>
      <c r="H595" s="35"/>
      <c r="I595" s="35" t="s">
        <v>11399</v>
      </c>
      <c r="J595" s="35" t="s">
        <v>10157</v>
      </c>
      <c r="K595" s="35" t="s">
        <v>125</v>
      </c>
      <c r="L595" s="35" t="s">
        <v>125</v>
      </c>
      <c r="M595" s="35" t="s">
        <v>126</v>
      </c>
      <c r="N595" s="35"/>
      <c r="O595" s="3"/>
    </row>
    <row r="596">
      <c r="A596" s="35" t="s">
        <v>11400</v>
      </c>
      <c r="B596" s="39">
        <v>46044.54069444444</v>
      </c>
      <c r="C596" s="35" t="s">
        <v>9488</v>
      </c>
      <c r="D596" s="40" t="s">
        <v>9489</v>
      </c>
      <c r="E596" s="35" t="s">
        <v>8269</v>
      </c>
      <c r="F596" s="40" t="s">
        <v>7100</v>
      </c>
      <c r="G596" s="35"/>
      <c r="H596" s="35"/>
      <c r="I596" s="35" t="s">
        <v>11401</v>
      </c>
      <c r="J596" s="35" t="s">
        <v>11402</v>
      </c>
      <c r="K596" s="35" t="s">
        <v>125</v>
      </c>
      <c r="L596" s="35" t="s">
        <v>125</v>
      </c>
      <c r="M596" s="35" t="s">
        <v>126</v>
      </c>
      <c r="N596" s="35"/>
      <c r="O596" s="3"/>
    </row>
    <row r="597">
      <c r="A597" s="35" t="s">
        <v>11403</v>
      </c>
      <c r="B597" s="39">
        <v>46044.57256944444</v>
      </c>
      <c r="C597" s="35" t="s">
        <v>9488</v>
      </c>
      <c r="D597" s="40" t="s">
        <v>9489</v>
      </c>
      <c r="E597" s="35" t="s">
        <v>8269</v>
      </c>
      <c r="F597" s="40" t="s">
        <v>7100</v>
      </c>
      <c r="G597" s="35"/>
      <c r="H597" s="35"/>
      <c r="I597" s="35" t="s">
        <v>11404</v>
      </c>
      <c r="J597" s="35" t="s">
        <v>11405</v>
      </c>
      <c r="K597" s="35" t="s">
        <v>125</v>
      </c>
      <c r="L597" s="35" t="s">
        <v>125</v>
      </c>
      <c r="M597" s="35" t="s">
        <v>126</v>
      </c>
      <c r="N597" s="35"/>
      <c r="O597" s="3"/>
    </row>
    <row r="598">
      <c r="A598" s="35" t="s">
        <v>11406</v>
      </c>
      <c r="B598" s="39">
        <v>46044.58324074074</v>
      </c>
      <c r="C598" s="35" t="s">
        <v>9488</v>
      </c>
      <c r="D598" s="40" t="s">
        <v>9489</v>
      </c>
      <c r="E598" s="35" t="s">
        <v>11407</v>
      </c>
      <c r="F598" s="40" t="s">
        <v>7101</v>
      </c>
      <c r="G598" s="35" t="s">
        <v>9496</v>
      </c>
      <c r="H598" s="40" t="s">
        <v>9489</v>
      </c>
      <c r="I598" s="35" t="s">
        <v>11408</v>
      </c>
      <c r="J598" s="35" t="s">
        <v>11409</v>
      </c>
      <c r="K598" s="35" t="s">
        <v>193</v>
      </c>
      <c r="L598" s="35" t="s">
        <v>193</v>
      </c>
      <c r="M598" s="35" t="s">
        <v>544</v>
      </c>
      <c r="N598" s="35"/>
      <c r="O598" s="3"/>
    </row>
    <row r="599">
      <c r="A599" s="35" t="s">
        <v>11410</v>
      </c>
      <c r="B599" s="39">
        <v>46044.60594907407</v>
      </c>
      <c r="C599" s="35" t="s">
        <v>9597</v>
      </c>
      <c r="D599" s="40" t="s">
        <v>9489</v>
      </c>
      <c r="E599" s="35" t="s">
        <v>11411</v>
      </c>
      <c r="F599" s="35" t="s">
        <v>11412</v>
      </c>
      <c r="G599" s="35"/>
      <c r="H599" s="35"/>
      <c r="I599" s="35" t="s">
        <v>11413</v>
      </c>
      <c r="J599" s="35" t="s">
        <v>11414</v>
      </c>
      <c r="K599" s="35" t="s">
        <v>151</v>
      </c>
      <c r="L599" s="35" t="s">
        <v>151</v>
      </c>
      <c r="M599" s="35" t="s">
        <v>370</v>
      </c>
      <c r="N599" s="35"/>
      <c r="O599" s="3"/>
    </row>
    <row r="600">
      <c r="A600" s="35" t="s">
        <v>11415</v>
      </c>
      <c r="B600" s="39">
        <v>46044.62637731481</v>
      </c>
      <c r="C600" s="35" t="s">
        <v>9488</v>
      </c>
      <c r="D600" s="40" t="s">
        <v>9489</v>
      </c>
      <c r="E600" s="35" t="s">
        <v>9496</v>
      </c>
      <c r="F600" s="40" t="s">
        <v>9489</v>
      </c>
      <c r="G600" s="35" t="s">
        <v>10515</v>
      </c>
      <c r="H600" s="40" t="s">
        <v>7107</v>
      </c>
      <c r="I600" s="35" t="s">
        <v>10516</v>
      </c>
      <c r="J600" s="35" t="s">
        <v>11416</v>
      </c>
      <c r="K600" s="35" t="s">
        <v>113</v>
      </c>
      <c r="L600" s="35" t="s">
        <v>113</v>
      </c>
      <c r="M600" s="35" t="s">
        <v>406</v>
      </c>
      <c r="N600" s="35"/>
      <c r="O600" s="3"/>
    </row>
    <row r="601">
      <c r="A601" s="35" t="s">
        <v>11417</v>
      </c>
      <c r="B601" s="39">
        <v>46044.62194444444</v>
      </c>
      <c r="C601" s="35" t="s">
        <v>9488</v>
      </c>
      <c r="D601" s="40" t="s">
        <v>9489</v>
      </c>
      <c r="E601" s="35" t="s">
        <v>9597</v>
      </c>
      <c r="F601" s="40" t="s">
        <v>9489</v>
      </c>
      <c r="G601" s="35" t="s">
        <v>11418</v>
      </c>
      <c r="H601" s="40" t="s">
        <v>7115</v>
      </c>
      <c r="I601" s="35" t="s">
        <v>11419</v>
      </c>
      <c r="J601" s="35" t="s">
        <v>11420</v>
      </c>
      <c r="K601" s="35" t="s">
        <v>151</v>
      </c>
      <c r="L601" s="35" t="s">
        <v>151</v>
      </c>
      <c r="M601" s="35" t="s">
        <v>370</v>
      </c>
      <c r="N601" s="35"/>
      <c r="O601" s="3"/>
    </row>
    <row r="602">
      <c r="A602" s="35" t="s">
        <v>11421</v>
      </c>
      <c r="B602" s="39">
        <v>46044.62737268519</v>
      </c>
      <c r="C602" s="35" t="s">
        <v>9488</v>
      </c>
      <c r="D602" s="40" t="s">
        <v>9489</v>
      </c>
      <c r="E602" s="35" t="s">
        <v>9496</v>
      </c>
      <c r="F602" s="40" t="s">
        <v>9489</v>
      </c>
      <c r="G602" s="35" t="s">
        <v>10515</v>
      </c>
      <c r="H602" s="40" t="s">
        <v>7107</v>
      </c>
      <c r="I602" s="35" t="s">
        <v>10516</v>
      </c>
      <c r="J602" s="35" t="s">
        <v>11422</v>
      </c>
      <c r="K602" s="35" t="s">
        <v>113</v>
      </c>
      <c r="L602" s="35" t="s">
        <v>113</v>
      </c>
      <c r="M602" s="35" t="s">
        <v>406</v>
      </c>
      <c r="N602" s="35"/>
      <c r="O602" s="3"/>
    </row>
    <row r="603">
      <c r="A603" s="35" t="s">
        <v>11423</v>
      </c>
      <c r="B603" s="39">
        <v>46044.693078703705</v>
      </c>
      <c r="C603" s="35" t="s">
        <v>9488</v>
      </c>
      <c r="D603" s="40" t="s">
        <v>9489</v>
      </c>
      <c r="E603" s="35" t="s">
        <v>9496</v>
      </c>
      <c r="F603" s="40" t="s">
        <v>9489</v>
      </c>
      <c r="G603" s="35" t="s">
        <v>10515</v>
      </c>
      <c r="H603" s="40" t="s">
        <v>7107</v>
      </c>
      <c r="I603" s="35" t="s">
        <v>10516</v>
      </c>
      <c r="J603" s="35" t="s">
        <v>11424</v>
      </c>
      <c r="K603" s="35" t="s">
        <v>113</v>
      </c>
      <c r="L603" s="35" t="s">
        <v>113</v>
      </c>
      <c r="M603" s="35" t="s">
        <v>406</v>
      </c>
      <c r="N603" s="35"/>
      <c r="O603" s="3"/>
    </row>
    <row r="604">
      <c r="A604" s="35" t="s">
        <v>11425</v>
      </c>
      <c r="B604" s="39">
        <v>46044.70657407407</v>
      </c>
      <c r="C604" s="35" t="s">
        <v>9518</v>
      </c>
      <c r="D604" s="40" t="s">
        <v>7080</v>
      </c>
      <c r="E604" s="35" t="s">
        <v>9488</v>
      </c>
      <c r="F604" s="40" t="s">
        <v>9489</v>
      </c>
      <c r="G604" s="35"/>
      <c r="H604" s="35"/>
      <c r="I604" s="35" t="s">
        <v>11426</v>
      </c>
      <c r="J604" s="35" t="s">
        <v>11427</v>
      </c>
      <c r="K604" s="35" t="s">
        <v>166</v>
      </c>
      <c r="L604" s="35" t="s">
        <v>166</v>
      </c>
      <c r="M604" s="35" t="s">
        <v>167</v>
      </c>
      <c r="N604" s="35"/>
      <c r="O604" s="3"/>
    </row>
    <row r="605">
      <c r="A605" s="35" t="s">
        <v>11428</v>
      </c>
      <c r="B605" s="39">
        <v>46044.70568287037</v>
      </c>
      <c r="C605" s="35" t="s">
        <v>11429</v>
      </c>
      <c r="D605" s="40" t="s">
        <v>11095</v>
      </c>
      <c r="E605" s="35" t="s">
        <v>11430</v>
      </c>
      <c r="F605" s="40" t="s">
        <v>9489</v>
      </c>
      <c r="G605" s="35" t="s">
        <v>11431</v>
      </c>
      <c r="H605" s="40" t="s">
        <v>11095</v>
      </c>
      <c r="I605" s="35" t="s">
        <v>11432</v>
      </c>
      <c r="J605" s="35" t="s">
        <v>11433</v>
      </c>
      <c r="K605" s="35" t="s">
        <v>196</v>
      </c>
      <c r="L605" s="35" t="s">
        <v>196</v>
      </c>
      <c r="M605" s="35" t="s">
        <v>197</v>
      </c>
      <c r="N605" s="35"/>
      <c r="O605" s="3"/>
    </row>
    <row r="606">
      <c r="A606" s="35" t="s">
        <v>11434</v>
      </c>
      <c r="B606" s="39">
        <v>46044.714224537034</v>
      </c>
      <c r="C606" s="35" t="s">
        <v>9488</v>
      </c>
      <c r="D606" s="40" t="s">
        <v>9489</v>
      </c>
      <c r="E606" s="35" t="s">
        <v>7734</v>
      </c>
      <c r="F606" s="40" t="s">
        <v>7080</v>
      </c>
      <c r="G606" s="35"/>
      <c r="H606" s="35"/>
      <c r="I606" s="35" t="s">
        <v>11435</v>
      </c>
      <c r="J606" s="35" t="s">
        <v>11436</v>
      </c>
      <c r="K606" s="35" t="s">
        <v>166</v>
      </c>
      <c r="L606" s="35" t="s">
        <v>166</v>
      </c>
      <c r="M606" s="35" t="s">
        <v>167</v>
      </c>
      <c r="N606" s="35"/>
      <c r="O606" s="3"/>
    </row>
    <row r="607">
      <c r="A607" s="35" t="s">
        <v>11437</v>
      </c>
      <c r="B607" s="39">
        <v>46045.38547453703</v>
      </c>
      <c r="C607" s="35" t="s">
        <v>9527</v>
      </c>
      <c r="D607" s="40" t="s">
        <v>9489</v>
      </c>
      <c r="E607" s="35" t="s">
        <v>9752</v>
      </c>
      <c r="F607" s="35" t="s">
        <v>9753</v>
      </c>
      <c r="G607" s="35"/>
      <c r="H607" s="35"/>
      <c r="I607" s="35" t="s">
        <v>9754</v>
      </c>
      <c r="J607" s="35" t="s">
        <v>11438</v>
      </c>
      <c r="K607" s="35" t="s">
        <v>6608</v>
      </c>
      <c r="L607" s="35" t="s">
        <v>6608</v>
      </c>
      <c r="M607" s="35" t="s">
        <v>294</v>
      </c>
      <c r="N607" s="35"/>
      <c r="O607" s="3"/>
    </row>
    <row r="608">
      <c r="A608" s="35" t="s">
        <v>11439</v>
      </c>
      <c r="B608" s="39">
        <v>46045.4725</v>
      </c>
      <c r="C608" s="35" t="s">
        <v>9487</v>
      </c>
      <c r="D608" s="40" t="s">
        <v>7081</v>
      </c>
      <c r="E608" s="35" t="s">
        <v>9488</v>
      </c>
      <c r="F608" s="40" t="s">
        <v>9489</v>
      </c>
      <c r="G608" s="35"/>
      <c r="H608" s="35"/>
      <c r="I608" s="35" t="s">
        <v>7546</v>
      </c>
      <c r="J608" s="35" t="s">
        <v>11440</v>
      </c>
      <c r="K608" s="35" t="s">
        <v>119</v>
      </c>
      <c r="L608" s="35" t="s">
        <v>119</v>
      </c>
      <c r="M608" s="35" t="s">
        <v>251</v>
      </c>
      <c r="N608" s="35"/>
      <c r="O608" s="3"/>
    </row>
    <row r="609">
      <c r="A609" s="35" t="s">
        <v>11441</v>
      </c>
      <c r="B609" s="39">
        <v>46045.4775</v>
      </c>
      <c r="C609" s="35" t="s">
        <v>9488</v>
      </c>
      <c r="D609" s="40" t="s">
        <v>9489</v>
      </c>
      <c r="E609" s="35" t="s">
        <v>9487</v>
      </c>
      <c r="F609" s="40" t="s">
        <v>7081</v>
      </c>
      <c r="G609" s="35"/>
      <c r="H609" s="35"/>
      <c r="I609" s="35" t="s">
        <v>11442</v>
      </c>
      <c r="J609" s="35" t="s">
        <v>11443</v>
      </c>
      <c r="K609" s="35" t="s">
        <v>119</v>
      </c>
      <c r="L609" s="35" t="s">
        <v>119</v>
      </c>
      <c r="M609" s="35" t="s">
        <v>251</v>
      </c>
      <c r="N609" s="35"/>
      <c r="O609" s="3"/>
    </row>
    <row r="610">
      <c r="A610" s="35" t="s">
        <v>11444</v>
      </c>
      <c r="B610" s="39">
        <v>46045.49055555556</v>
      </c>
      <c r="C610" s="35" t="s">
        <v>10194</v>
      </c>
      <c r="D610" s="40" t="s">
        <v>7100</v>
      </c>
      <c r="E610" s="35" t="s">
        <v>11390</v>
      </c>
      <c r="F610" s="40" t="s">
        <v>9489</v>
      </c>
      <c r="G610" s="35"/>
      <c r="H610" s="35"/>
      <c r="I610" s="35" t="s">
        <v>11445</v>
      </c>
      <c r="J610" s="35" t="s">
        <v>11446</v>
      </c>
      <c r="K610" s="35" t="s">
        <v>125</v>
      </c>
      <c r="L610" s="35" t="s">
        <v>125</v>
      </c>
      <c r="M610" s="35" t="s">
        <v>126</v>
      </c>
      <c r="N610" s="35"/>
      <c r="O610" s="3"/>
    </row>
    <row r="611">
      <c r="A611" s="35" t="s">
        <v>11447</v>
      </c>
      <c r="B611" s="39">
        <v>46045.49763888889</v>
      </c>
      <c r="C611" s="35" t="s">
        <v>9488</v>
      </c>
      <c r="D611" s="40" t="s">
        <v>9489</v>
      </c>
      <c r="E611" s="35" t="s">
        <v>10194</v>
      </c>
      <c r="F611" s="40" t="s">
        <v>7100</v>
      </c>
      <c r="G611" s="35"/>
      <c r="H611" s="35"/>
      <c r="I611" s="35" t="s">
        <v>11448</v>
      </c>
      <c r="J611" s="35" t="s">
        <v>11449</v>
      </c>
      <c r="K611" s="35" t="s">
        <v>125</v>
      </c>
      <c r="L611" s="35" t="s">
        <v>125</v>
      </c>
      <c r="M611" s="35" t="s">
        <v>126</v>
      </c>
      <c r="N611" s="35"/>
      <c r="O611" s="3"/>
    </row>
    <row r="612">
      <c r="A612" s="35" t="s">
        <v>11450</v>
      </c>
      <c r="B612" s="39">
        <v>46045.501064814816</v>
      </c>
      <c r="C612" s="35" t="s">
        <v>10194</v>
      </c>
      <c r="D612" s="40" t="s">
        <v>7100</v>
      </c>
      <c r="E612" s="35" t="s">
        <v>9488</v>
      </c>
      <c r="F612" s="40" t="s">
        <v>9489</v>
      </c>
      <c r="G612" s="35"/>
      <c r="H612" s="35"/>
      <c r="I612" s="35" t="s">
        <v>11448</v>
      </c>
      <c r="J612" s="35" t="s">
        <v>11451</v>
      </c>
      <c r="K612" s="35" t="s">
        <v>125</v>
      </c>
      <c r="L612" s="35" t="s">
        <v>125</v>
      </c>
      <c r="M612" s="35" t="s">
        <v>126</v>
      </c>
      <c r="N612" s="35"/>
      <c r="O612" s="3"/>
    </row>
    <row r="613">
      <c r="A613" s="35" t="s">
        <v>11452</v>
      </c>
      <c r="B613" s="39">
        <v>46048.377650462964</v>
      </c>
      <c r="C613" s="35" t="s">
        <v>11453</v>
      </c>
      <c r="D613" s="40" t="s">
        <v>7090</v>
      </c>
      <c r="E613" s="35" t="s">
        <v>10661</v>
      </c>
      <c r="F613" s="40" t="s">
        <v>9489</v>
      </c>
      <c r="G613" s="35" t="s">
        <v>10118</v>
      </c>
      <c r="H613" s="40" t="s">
        <v>9489</v>
      </c>
      <c r="I613" s="35" t="s">
        <v>11454</v>
      </c>
      <c r="J613" s="35" t="s">
        <v>11455</v>
      </c>
      <c r="K613" s="35" t="s">
        <v>199</v>
      </c>
      <c r="L613" s="35" t="s">
        <v>199</v>
      </c>
      <c r="M613" s="35" t="s">
        <v>272</v>
      </c>
      <c r="N613" s="35"/>
      <c r="O613" s="3"/>
    </row>
    <row r="614">
      <c r="A614" s="35" t="s">
        <v>11456</v>
      </c>
      <c r="B614" s="39">
        <v>46048.405428240745</v>
      </c>
      <c r="C614" s="35" t="s">
        <v>9488</v>
      </c>
      <c r="D614" s="40" t="s">
        <v>9489</v>
      </c>
      <c r="E614" s="35" t="s">
        <v>9860</v>
      </c>
      <c r="F614" s="40" t="s">
        <v>7089</v>
      </c>
      <c r="G614" s="35" t="s">
        <v>9897</v>
      </c>
      <c r="H614" s="35" t="s">
        <v>9886</v>
      </c>
      <c r="I614" s="35" t="s">
        <v>9890</v>
      </c>
      <c r="J614" s="35" t="s">
        <v>11457</v>
      </c>
      <c r="K614" s="35" t="s">
        <v>142</v>
      </c>
      <c r="L614" s="35" t="s">
        <v>142</v>
      </c>
      <c r="M614" s="35" t="s">
        <v>143</v>
      </c>
      <c r="N614" s="35"/>
      <c r="O614" s="3"/>
    </row>
    <row r="615">
      <c r="A615" s="35" t="s">
        <v>11458</v>
      </c>
      <c r="B615" s="39">
        <v>46048.40991898148</v>
      </c>
      <c r="C615" s="35" t="s">
        <v>9488</v>
      </c>
      <c r="D615" s="40" t="s">
        <v>9489</v>
      </c>
      <c r="E615" s="35" t="s">
        <v>9860</v>
      </c>
      <c r="F615" s="40" t="s">
        <v>7089</v>
      </c>
      <c r="G615" s="35" t="s">
        <v>9897</v>
      </c>
      <c r="H615" s="35" t="s">
        <v>9886</v>
      </c>
      <c r="I615" s="35" t="s">
        <v>9890</v>
      </c>
      <c r="J615" s="35" t="s">
        <v>11459</v>
      </c>
      <c r="K615" s="35" t="s">
        <v>142</v>
      </c>
      <c r="L615" s="35" t="s">
        <v>142</v>
      </c>
      <c r="M615" s="35" t="s">
        <v>143</v>
      </c>
      <c r="N615" s="35"/>
      <c r="O615" s="3"/>
    </row>
    <row r="616">
      <c r="A616" s="35" t="s">
        <v>11460</v>
      </c>
      <c r="B616" s="39">
        <v>46048.54232638889</v>
      </c>
      <c r="C616" s="35" t="s">
        <v>11161</v>
      </c>
      <c r="D616" s="40" t="s">
        <v>7114</v>
      </c>
      <c r="E616" s="35" t="s">
        <v>9488</v>
      </c>
      <c r="F616" s="40" t="s">
        <v>9489</v>
      </c>
      <c r="G616" s="35"/>
      <c r="H616" s="35"/>
      <c r="I616" s="35" t="s">
        <v>11461</v>
      </c>
      <c r="J616" s="35" t="s">
        <v>11462</v>
      </c>
      <c r="K616" s="35" t="s">
        <v>98</v>
      </c>
      <c r="L616" s="35" t="s">
        <v>98</v>
      </c>
      <c r="M616" s="35" t="s">
        <v>99</v>
      </c>
      <c r="N616" s="35"/>
      <c r="O616" s="3"/>
    </row>
    <row r="617">
      <c r="A617" s="35" t="s">
        <v>11463</v>
      </c>
      <c r="B617" s="39">
        <v>46048.54096064815</v>
      </c>
      <c r="C617" s="35" t="s">
        <v>11464</v>
      </c>
      <c r="D617" s="40" t="s">
        <v>7114</v>
      </c>
      <c r="E617" s="35" t="s">
        <v>9488</v>
      </c>
      <c r="F617" s="40" t="s">
        <v>9489</v>
      </c>
      <c r="G617" s="35"/>
      <c r="H617" s="35"/>
      <c r="I617" s="35" t="s">
        <v>11465</v>
      </c>
      <c r="J617" s="35" t="s">
        <v>11462</v>
      </c>
      <c r="K617" s="35" t="s">
        <v>98</v>
      </c>
      <c r="L617" s="35" t="s">
        <v>98</v>
      </c>
      <c r="M617" s="35" t="s">
        <v>99</v>
      </c>
      <c r="N617" s="35"/>
      <c r="O617" s="3"/>
    </row>
    <row r="618">
      <c r="A618" s="35" t="s">
        <v>11466</v>
      </c>
      <c r="B618" s="39">
        <v>46048.53409722222</v>
      </c>
      <c r="C618" s="35" t="s">
        <v>11239</v>
      </c>
      <c r="D618" s="40" t="s">
        <v>7114</v>
      </c>
      <c r="E618" s="35" t="s">
        <v>11467</v>
      </c>
      <c r="F618" s="35" t="s">
        <v>11251</v>
      </c>
      <c r="G618" s="35" t="s">
        <v>11468</v>
      </c>
      <c r="H618" s="35" t="s">
        <v>11251</v>
      </c>
      <c r="I618" s="35" t="s">
        <v>11170</v>
      </c>
      <c r="J618" s="35" t="s">
        <v>11469</v>
      </c>
      <c r="K618" s="35" t="s">
        <v>98</v>
      </c>
      <c r="L618" s="35" t="s">
        <v>98</v>
      </c>
      <c r="M618" s="35" t="s">
        <v>99</v>
      </c>
      <c r="N618" s="35"/>
      <c r="O618" s="3"/>
    </row>
    <row r="619">
      <c r="A619" s="35" t="s">
        <v>11470</v>
      </c>
      <c r="B619" s="39">
        <v>46048.5420949074</v>
      </c>
      <c r="C619" s="35" t="s">
        <v>9488</v>
      </c>
      <c r="D619" s="40" t="s">
        <v>9489</v>
      </c>
      <c r="E619" s="35" t="s">
        <v>11239</v>
      </c>
      <c r="F619" s="40" t="s">
        <v>7114</v>
      </c>
      <c r="G619" s="35" t="s">
        <v>11471</v>
      </c>
      <c r="H619" s="35" t="s">
        <v>11165</v>
      </c>
      <c r="I619" s="35" t="s">
        <v>11170</v>
      </c>
      <c r="J619" s="35" t="s">
        <v>11472</v>
      </c>
      <c r="K619" s="35" t="s">
        <v>98</v>
      </c>
      <c r="L619" s="35" t="s">
        <v>98</v>
      </c>
      <c r="M619" s="35" t="s">
        <v>99</v>
      </c>
      <c r="N619" s="35"/>
      <c r="O619" s="3"/>
    </row>
    <row r="620">
      <c r="A620" s="35" t="s">
        <v>11473</v>
      </c>
      <c r="B620" s="39">
        <v>46048.546689814815</v>
      </c>
      <c r="C620" s="35" t="s">
        <v>9488</v>
      </c>
      <c r="D620" s="40" t="s">
        <v>9489</v>
      </c>
      <c r="E620" s="35" t="s">
        <v>11235</v>
      </c>
      <c r="F620" s="40" t="s">
        <v>7114</v>
      </c>
      <c r="G620" s="35"/>
      <c r="H620" s="35"/>
      <c r="I620" s="35" t="s">
        <v>11474</v>
      </c>
      <c r="J620" s="35" t="s">
        <v>11475</v>
      </c>
      <c r="K620" s="35" t="s">
        <v>98</v>
      </c>
      <c r="L620" s="35" t="s">
        <v>98</v>
      </c>
      <c r="M620" s="35" t="s">
        <v>99</v>
      </c>
      <c r="N620" s="35"/>
      <c r="O620" s="3"/>
    </row>
    <row r="621">
      <c r="A621" s="35" t="s">
        <v>11476</v>
      </c>
      <c r="B621" s="39">
        <v>46048.584398148145</v>
      </c>
      <c r="C621" s="35" t="s">
        <v>9488</v>
      </c>
      <c r="D621" s="40" t="s">
        <v>9489</v>
      </c>
      <c r="E621" s="35" t="s">
        <v>9884</v>
      </c>
      <c r="F621" s="40" t="s">
        <v>7089</v>
      </c>
      <c r="G621" s="35" t="s">
        <v>11477</v>
      </c>
      <c r="H621" s="40" t="s">
        <v>9489</v>
      </c>
      <c r="I621" s="35" t="s">
        <v>11478</v>
      </c>
      <c r="J621" s="35" t="s">
        <v>11479</v>
      </c>
      <c r="K621" s="35" t="s">
        <v>142</v>
      </c>
      <c r="L621" s="35" t="s">
        <v>142</v>
      </c>
      <c r="M621" s="35" t="s">
        <v>143</v>
      </c>
      <c r="N621" s="35"/>
      <c r="O621" s="3"/>
    </row>
    <row r="622">
      <c r="A622" s="35" t="s">
        <v>11480</v>
      </c>
      <c r="B622" s="39">
        <v>46048.58598379629</v>
      </c>
      <c r="C622" s="35" t="s">
        <v>10661</v>
      </c>
      <c r="D622" s="40" t="s">
        <v>9489</v>
      </c>
      <c r="E622" s="35" t="s">
        <v>11453</v>
      </c>
      <c r="F622" s="40" t="s">
        <v>7090</v>
      </c>
      <c r="G622" s="35" t="s">
        <v>10118</v>
      </c>
      <c r="H622" s="40" t="s">
        <v>9489</v>
      </c>
      <c r="I622" s="35" t="s">
        <v>11481</v>
      </c>
      <c r="J622" s="35" t="s">
        <v>11482</v>
      </c>
      <c r="K622" s="35" t="s">
        <v>199</v>
      </c>
      <c r="L622" s="35" t="s">
        <v>199</v>
      </c>
      <c r="M622" s="35" t="s">
        <v>272</v>
      </c>
      <c r="N622" s="35"/>
      <c r="O622" s="3"/>
    </row>
    <row r="623">
      <c r="A623" s="35" t="s">
        <v>11483</v>
      </c>
      <c r="B623" s="39">
        <v>46048.589467592596</v>
      </c>
      <c r="C623" s="35" t="s">
        <v>10661</v>
      </c>
      <c r="D623" s="40" t="s">
        <v>9489</v>
      </c>
      <c r="E623" s="35" t="s">
        <v>11453</v>
      </c>
      <c r="F623" s="40" t="s">
        <v>7090</v>
      </c>
      <c r="G623" s="35" t="s">
        <v>10118</v>
      </c>
      <c r="H623" s="40" t="s">
        <v>9489</v>
      </c>
      <c r="I623" s="35" t="s">
        <v>11481</v>
      </c>
      <c r="J623" s="35" t="s">
        <v>11484</v>
      </c>
      <c r="K623" s="35" t="s">
        <v>199</v>
      </c>
      <c r="L623" s="35" t="s">
        <v>199</v>
      </c>
      <c r="M623" s="35" t="s">
        <v>272</v>
      </c>
      <c r="N623" s="35"/>
      <c r="O623" s="3"/>
    </row>
    <row r="624">
      <c r="A624" s="35" t="s">
        <v>11485</v>
      </c>
      <c r="B624" s="39">
        <v>46048.60597222223</v>
      </c>
      <c r="C624" s="35" t="s">
        <v>9488</v>
      </c>
      <c r="D624" s="40" t="s">
        <v>9489</v>
      </c>
      <c r="E624" s="35" t="s">
        <v>10486</v>
      </c>
      <c r="F624" s="40" t="s">
        <v>8055</v>
      </c>
      <c r="G624" s="35"/>
      <c r="H624" s="35"/>
      <c r="I624" s="35"/>
      <c r="J624" s="35" t="s">
        <v>11486</v>
      </c>
      <c r="K624" s="35" t="s">
        <v>101</v>
      </c>
      <c r="L624" s="35" t="s">
        <v>101</v>
      </c>
      <c r="M624" s="35" t="s">
        <v>511</v>
      </c>
      <c r="N624" s="35"/>
      <c r="O624" s="3"/>
    </row>
    <row r="625">
      <c r="A625" s="35" t="s">
        <v>11487</v>
      </c>
      <c r="B625" s="39">
        <v>46048.602534722224</v>
      </c>
      <c r="C625" s="35" t="s">
        <v>11141</v>
      </c>
      <c r="D625" s="40" t="s">
        <v>7112</v>
      </c>
      <c r="E625" s="35" t="s">
        <v>11147</v>
      </c>
      <c r="F625" s="40" t="s">
        <v>9489</v>
      </c>
      <c r="G625" s="35" t="s">
        <v>11148</v>
      </c>
      <c r="H625" s="35" t="s">
        <v>11149</v>
      </c>
      <c r="I625" s="35" t="s">
        <v>11144</v>
      </c>
      <c r="J625" s="35" t="s">
        <v>11488</v>
      </c>
      <c r="K625" s="35" t="s">
        <v>6769</v>
      </c>
      <c r="L625" s="35" t="s">
        <v>6769</v>
      </c>
      <c r="M625" s="35" t="s">
        <v>312</v>
      </c>
      <c r="N625" s="35"/>
      <c r="O625" s="3"/>
    </row>
    <row r="626">
      <c r="A626" s="35" t="s">
        <v>11489</v>
      </c>
      <c r="B626" s="39">
        <v>46048.60606481481</v>
      </c>
      <c r="C626" s="35" t="s">
        <v>11453</v>
      </c>
      <c r="D626" s="40" t="s">
        <v>7090</v>
      </c>
      <c r="E626" s="35" t="s">
        <v>10770</v>
      </c>
      <c r="F626" s="40" t="s">
        <v>9489</v>
      </c>
      <c r="G626" s="35" t="s">
        <v>10118</v>
      </c>
      <c r="H626" s="40" t="s">
        <v>9489</v>
      </c>
      <c r="I626" s="35" t="s">
        <v>11481</v>
      </c>
      <c r="J626" s="35" t="s">
        <v>11490</v>
      </c>
      <c r="K626" s="35" t="s">
        <v>199</v>
      </c>
      <c r="L626" s="35" t="s">
        <v>199</v>
      </c>
      <c r="M626" s="35" t="s">
        <v>272</v>
      </c>
      <c r="N626" s="35"/>
      <c r="O626" s="3"/>
    </row>
    <row r="627">
      <c r="A627" s="35" t="s">
        <v>11491</v>
      </c>
      <c r="B627" s="39">
        <v>46048.60766203704</v>
      </c>
      <c r="C627" s="35" t="s">
        <v>9488</v>
      </c>
      <c r="D627" s="40" t="s">
        <v>9489</v>
      </c>
      <c r="E627" s="35" t="s">
        <v>10486</v>
      </c>
      <c r="F627" s="40" t="s">
        <v>8055</v>
      </c>
      <c r="G627" s="35"/>
      <c r="H627" s="35"/>
      <c r="I627" s="35" t="s">
        <v>11492</v>
      </c>
      <c r="J627" s="35" t="s">
        <v>11493</v>
      </c>
      <c r="K627" s="35" t="s">
        <v>101</v>
      </c>
      <c r="L627" s="35" t="s">
        <v>101</v>
      </c>
      <c r="M627" s="35" t="s">
        <v>511</v>
      </c>
      <c r="N627" s="35"/>
      <c r="O627" s="3"/>
    </row>
    <row r="628">
      <c r="A628" s="35" t="s">
        <v>11494</v>
      </c>
      <c r="B628" s="39">
        <v>46048.62700231481</v>
      </c>
      <c r="C628" s="35" t="s">
        <v>10486</v>
      </c>
      <c r="D628" s="40" t="s">
        <v>8055</v>
      </c>
      <c r="E628" s="35" t="s">
        <v>9488</v>
      </c>
      <c r="F628" s="40" t="s">
        <v>9489</v>
      </c>
      <c r="G628" s="35"/>
      <c r="H628" s="35"/>
      <c r="I628" s="35" t="s">
        <v>11495</v>
      </c>
      <c r="J628" s="35" t="s">
        <v>11496</v>
      </c>
      <c r="K628" s="35" t="s">
        <v>101</v>
      </c>
      <c r="L628" s="35" t="s">
        <v>101</v>
      </c>
      <c r="M628" s="35" t="s">
        <v>511</v>
      </c>
      <c r="N628" s="35"/>
      <c r="O628" s="3"/>
    </row>
    <row r="629">
      <c r="A629" s="35" t="s">
        <v>11497</v>
      </c>
      <c r="B629" s="39">
        <v>46048.642905092594</v>
      </c>
      <c r="C629" s="35" t="s">
        <v>9488</v>
      </c>
      <c r="D629" s="40" t="s">
        <v>9489</v>
      </c>
      <c r="E629" s="35" t="s">
        <v>10486</v>
      </c>
      <c r="F629" s="40" t="s">
        <v>8055</v>
      </c>
      <c r="G629" s="35"/>
      <c r="H629" s="35"/>
      <c r="I629" s="35" t="s">
        <v>11498</v>
      </c>
      <c r="J629" s="35" t="s">
        <v>11499</v>
      </c>
      <c r="K629" s="35" t="s">
        <v>101</v>
      </c>
      <c r="L629" s="35" t="s">
        <v>101</v>
      </c>
      <c r="M629" s="35" t="s">
        <v>511</v>
      </c>
      <c r="N629" s="35"/>
      <c r="O629" s="3"/>
    </row>
    <row r="630">
      <c r="A630" s="35" t="s">
        <v>11500</v>
      </c>
      <c r="B630" s="39">
        <v>46048.69877314815</v>
      </c>
      <c r="C630" s="35" t="s">
        <v>9884</v>
      </c>
      <c r="D630" s="40" t="s">
        <v>7089</v>
      </c>
      <c r="E630" s="35" t="s">
        <v>11501</v>
      </c>
      <c r="F630" s="40" t="s">
        <v>7089</v>
      </c>
      <c r="G630" s="35" t="s">
        <v>11502</v>
      </c>
      <c r="H630" s="35" t="s">
        <v>9886</v>
      </c>
      <c r="I630" s="35" t="s">
        <v>11503</v>
      </c>
      <c r="J630" s="35" t="s">
        <v>11504</v>
      </c>
      <c r="K630" s="35" t="s">
        <v>142</v>
      </c>
      <c r="L630" s="35" t="s">
        <v>142</v>
      </c>
      <c r="M630" s="35" t="s">
        <v>143</v>
      </c>
      <c r="N630" s="35"/>
      <c r="O630" s="3"/>
    </row>
    <row r="631">
      <c r="A631" s="35" t="s">
        <v>11505</v>
      </c>
      <c r="B631" s="39">
        <v>46048.718576388885</v>
      </c>
      <c r="C631" s="35" t="s">
        <v>9488</v>
      </c>
      <c r="D631" s="40" t="s">
        <v>9489</v>
      </c>
      <c r="E631" s="35" t="s">
        <v>9496</v>
      </c>
      <c r="F631" s="40" t="s">
        <v>9489</v>
      </c>
      <c r="G631" s="35" t="s">
        <v>9502</v>
      </c>
      <c r="H631" s="35" t="s">
        <v>9498</v>
      </c>
      <c r="I631" s="35" t="s">
        <v>9503</v>
      </c>
      <c r="J631" s="35" t="s">
        <v>11506</v>
      </c>
      <c r="K631" s="35" t="s">
        <v>6450</v>
      </c>
      <c r="L631" s="35" t="s">
        <v>6450</v>
      </c>
      <c r="M631" s="35" t="s">
        <v>552</v>
      </c>
      <c r="N631" s="35"/>
      <c r="O631" s="3"/>
    </row>
    <row r="632">
      <c r="A632" s="35" t="s">
        <v>11507</v>
      </c>
      <c r="B632" s="39">
        <v>46048.712430555555</v>
      </c>
      <c r="C632" s="35" t="s">
        <v>11508</v>
      </c>
      <c r="D632" s="40" t="s">
        <v>7118</v>
      </c>
      <c r="E632" s="35" t="s">
        <v>7288</v>
      </c>
      <c r="F632" s="40" t="s">
        <v>9489</v>
      </c>
      <c r="G632" s="35"/>
      <c r="H632" s="35"/>
      <c r="I632" s="35" t="s">
        <v>11509</v>
      </c>
      <c r="J632" s="35" t="s">
        <v>11510</v>
      </c>
      <c r="K632" s="35" t="s">
        <v>160</v>
      </c>
      <c r="L632" s="35" t="s">
        <v>160</v>
      </c>
      <c r="M632" s="35" t="s">
        <v>440</v>
      </c>
      <c r="N632" s="35"/>
      <c r="O632" s="3"/>
    </row>
    <row r="633">
      <c r="A633" s="35" t="s">
        <v>11511</v>
      </c>
      <c r="B633" s="39">
        <v>46048.725115740745</v>
      </c>
      <c r="C633" s="35" t="s">
        <v>9488</v>
      </c>
      <c r="D633" s="40" t="s">
        <v>9489</v>
      </c>
      <c r="E633" s="35" t="s">
        <v>9864</v>
      </c>
      <c r="F633" s="40" t="s">
        <v>7089</v>
      </c>
      <c r="G633" s="35"/>
      <c r="H633" s="35"/>
      <c r="I633" s="35" t="s">
        <v>11512</v>
      </c>
      <c r="J633" s="35" t="s">
        <v>11513</v>
      </c>
      <c r="K633" s="35" t="s">
        <v>142</v>
      </c>
      <c r="L633" s="35" t="s">
        <v>142</v>
      </c>
      <c r="M633" s="35" t="s">
        <v>143</v>
      </c>
      <c r="N633" s="35"/>
      <c r="O633" s="3"/>
    </row>
    <row r="634">
      <c r="A634" s="35" t="s">
        <v>11514</v>
      </c>
      <c r="B634" s="39">
        <v>46048.74793981481</v>
      </c>
      <c r="C634" s="35" t="s">
        <v>11235</v>
      </c>
      <c r="D634" s="40" t="s">
        <v>7114</v>
      </c>
      <c r="E634" s="35" t="s">
        <v>9488</v>
      </c>
      <c r="F634" s="40" t="s">
        <v>9489</v>
      </c>
      <c r="G634" s="35"/>
      <c r="H634" s="35"/>
      <c r="I634" s="35" t="s">
        <v>11474</v>
      </c>
      <c r="J634" s="35" t="s">
        <v>11515</v>
      </c>
      <c r="K634" s="35" t="s">
        <v>98</v>
      </c>
      <c r="L634" s="35" t="s">
        <v>98</v>
      </c>
      <c r="M634" s="35" t="s">
        <v>99</v>
      </c>
      <c r="N634" s="35"/>
      <c r="O634" s="3"/>
    </row>
    <row r="635">
      <c r="A635" s="35" t="s">
        <v>11516</v>
      </c>
      <c r="B635" s="39">
        <v>46048.87322916667</v>
      </c>
      <c r="C635" s="35" t="s">
        <v>10661</v>
      </c>
      <c r="D635" s="40" t="s">
        <v>9489</v>
      </c>
      <c r="E635" s="35" t="s">
        <v>11453</v>
      </c>
      <c r="F635" s="40" t="s">
        <v>7090</v>
      </c>
      <c r="G635" s="35" t="s">
        <v>10118</v>
      </c>
      <c r="H635" s="40" t="s">
        <v>9489</v>
      </c>
      <c r="I635" s="35" t="s">
        <v>11481</v>
      </c>
      <c r="J635" s="35" t="s">
        <v>11517</v>
      </c>
      <c r="K635" s="35" t="s">
        <v>199</v>
      </c>
      <c r="L635" s="35" t="s">
        <v>199</v>
      </c>
      <c r="M635" s="35" t="s">
        <v>272</v>
      </c>
      <c r="N635" s="35"/>
      <c r="O635" s="3"/>
    </row>
    <row r="636">
      <c r="A636" s="35" t="s">
        <v>11518</v>
      </c>
      <c r="B636" s="39">
        <v>46049.306597222225</v>
      </c>
      <c r="C636" s="35" t="s">
        <v>9860</v>
      </c>
      <c r="D636" s="40" t="s">
        <v>7089</v>
      </c>
      <c r="E636" s="35" t="s">
        <v>11519</v>
      </c>
      <c r="F636" s="40" t="s">
        <v>7089</v>
      </c>
      <c r="G636" s="35" t="s">
        <v>11502</v>
      </c>
      <c r="H636" s="35" t="s">
        <v>9886</v>
      </c>
      <c r="I636" s="35" t="s">
        <v>11520</v>
      </c>
      <c r="J636" s="35" t="s">
        <v>11521</v>
      </c>
      <c r="K636" s="35" t="s">
        <v>142</v>
      </c>
      <c r="L636" s="35" t="s">
        <v>142</v>
      </c>
      <c r="M636" s="35" t="s">
        <v>143</v>
      </c>
      <c r="N636" s="35"/>
      <c r="O636" s="3"/>
    </row>
    <row r="637">
      <c r="A637" s="35" t="s">
        <v>11522</v>
      </c>
      <c r="B637" s="39">
        <v>46049.43318287037</v>
      </c>
      <c r="C637" s="35" t="s">
        <v>10661</v>
      </c>
      <c r="D637" s="40" t="s">
        <v>9489</v>
      </c>
      <c r="E637" s="35" t="s">
        <v>11453</v>
      </c>
      <c r="F637" s="40" t="s">
        <v>7090</v>
      </c>
      <c r="G637" s="35" t="s">
        <v>10118</v>
      </c>
      <c r="H637" s="40" t="s">
        <v>9489</v>
      </c>
      <c r="I637" s="35" t="s">
        <v>11481</v>
      </c>
      <c r="J637" s="35" t="s">
        <v>11523</v>
      </c>
      <c r="K637" s="35" t="s">
        <v>199</v>
      </c>
      <c r="L637" s="35" t="s">
        <v>199</v>
      </c>
      <c r="M637" s="35" t="s">
        <v>272</v>
      </c>
      <c r="N637" s="35"/>
      <c r="O637" s="3"/>
    </row>
    <row r="638">
      <c r="A638" s="35" t="s">
        <v>11524</v>
      </c>
      <c r="B638" s="39">
        <v>46049.45395833333</v>
      </c>
      <c r="C638" s="35" t="s">
        <v>11147</v>
      </c>
      <c r="D638" s="40" t="s">
        <v>9489</v>
      </c>
      <c r="E638" s="35" t="s">
        <v>11141</v>
      </c>
      <c r="F638" s="40" t="s">
        <v>7112</v>
      </c>
      <c r="G638" s="35" t="s">
        <v>11148</v>
      </c>
      <c r="H638" s="35" t="s">
        <v>11149</v>
      </c>
      <c r="I638" s="35" t="s">
        <v>11150</v>
      </c>
      <c r="J638" s="35" t="s">
        <v>11525</v>
      </c>
      <c r="K638" s="35" t="s">
        <v>6769</v>
      </c>
      <c r="L638" s="35" t="s">
        <v>6769</v>
      </c>
      <c r="M638" s="35" t="s">
        <v>312</v>
      </c>
      <c r="N638" s="35"/>
      <c r="O638" s="3"/>
    </row>
    <row r="639">
      <c r="A639" s="35" t="s">
        <v>11526</v>
      </c>
      <c r="B639" s="39">
        <v>46049.54341435185</v>
      </c>
      <c r="C639" s="35" t="s">
        <v>9488</v>
      </c>
      <c r="D639" s="40" t="s">
        <v>9489</v>
      </c>
      <c r="E639" s="35" t="s">
        <v>11508</v>
      </c>
      <c r="F639" s="40" t="s">
        <v>7118</v>
      </c>
      <c r="G639" s="35" t="s">
        <v>11527</v>
      </c>
      <c r="H639" s="40" t="s">
        <v>9489</v>
      </c>
      <c r="I639" s="35" t="s">
        <v>11528</v>
      </c>
      <c r="J639" s="35" t="s">
        <v>11529</v>
      </c>
      <c r="K639" s="35" t="s">
        <v>160</v>
      </c>
      <c r="L639" s="35" t="s">
        <v>160</v>
      </c>
      <c r="M639" s="35" t="s">
        <v>440</v>
      </c>
      <c r="N639" s="35"/>
      <c r="O639" s="3"/>
    </row>
    <row r="640">
      <c r="A640" s="35" t="s">
        <v>11530</v>
      </c>
      <c r="B640" s="39">
        <v>46049.55334490741</v>
      </c>
      <c r="C640" s="35" t="s">
        <v>9488</v>
      </c>
      <c r="D640" s="40" t="s">
        <v>9489</v>
      </c>
      <c r="E640" s="35" t="s">
        <v>7734</v>
      </c>
      <c r="F640" s="40" t="s">
        <v>7080</v>
      </c>
      <c r="G640" s="35"/>
      <c r="H640" s="35"/>
      <c r="I640" s="35" t="s">
        <v>11435</v>
      </c>
      <c r="J640" s="35" t="s">
        <v>11531</v>
      </c>
      <c r="K640" s="35" t="s">
        <v>166</v>
      </c>
      <c r="L640" s="35" t="s">
        <v>166</v>
      </c>
      <c r="M640" s="35" t="s">
        <v>167</v>
      </c>
      <c r="N640" s="35"/>
      <c r="O640" s="3"/>
    </row>
    <row r="641">
      <c r="A641" s="35" t="s">
        <v>11532</v>
      </c>
      <c r="B641" s="39">
        <v>46049.5450925926</v>
      </c>
      <c r="C641" s="35" t="s">
        <v>9496</v>
      </c>
      <c r="D641" s="40" t="s">
        <v>9489</v>
      </c>
      <c r="E641" s="35" t="s">
        <v>7374</v>
      </c>
      <c r="F641" s="40" t="s">
        <v>9489</v>
      </c>
      <c r="G641" s="35" t="s">
        <v>11533</v>
      </c>
      <c r="H641" s="35" t="s">
        <v>11534</v>
      </c>
      <c r="I641" s="35" t="s">
        <v>11481</v>
      </c>
      <c r="J641" s="35" t="s">
        <v>11535</v>
      </c>
      <c r="K641" s="35" t="s">
        <v>199</v>
      </c>
      <c r="L641" s="35" t="s">
        <v>199</v>
      </c>
      <c r="M641" s="35" t="s">
        <v>272</v>
      </c>
      <c r="N641" s="35"/>
      <c r="O641" s="3"/>
    </row>
    <row r="642">
      <c r="A642" s="35" t="s">
        <v>11536</v>
      </c>
      <c r="B642" s="39">
        <v>46049.54671296296</v>
      </c>
      <c r="C642" s="35" t="s">
        <v>10661</v>
      </c>
      <c r="D642" s="40" t="s">
        <v>9489</v>
      </c>
      <c r="E642" s="35" t="s">
        <v>9496</v>
      </c>
      <c r="F642" s="40" t="s">
        <v>9489</v>
      </c>
      <c r="G642" s="35" t="s">
        <v>11533</v>
      </c>
      <c r="H642" s="35" t="s">
        <v>11534</v>
      </c>
      <c r="I642" s="35" t="s">
        <v>11481</v>
      </c>
      <c r="J642" s="35" t="s">
        <v>11537</v>
      </c>
      <c r="K642" s="35" t="s">
        <v>199</v>
      </c>
      <c r="L642" s="35" t="s">
        <v>199</v>
      </c>
      <c r="M642" s="35" t="s">
        <v>272</v>
      </c>
      <c r="N642" s="35"/>
      <c r="O642" s="3"/>
    </row>
    <row r="643">
      <c r="A643" s="35" t="s">
        <v>11538</v>
      </c>
      <c r="B643" s="39">
        <v>46049.54425925926</v>
      </c>
      <c r="C643" s="35" t="s">
        <v>9488</v>
      </c>
      <c r="D643" s="40" t="s">
        <v>9489</v>
      </c>
      <c r="E643" s="35" t="s">
        <v>11508</v>
      </c>
      <c r="F643" s="40" t="s">
        <v>7118</v>
      </c>
      <c r="G643" s="35" t="s">
        <v>11527</v>
      </c>
      <c r="H643" s="40" t="s">
        <v>9489</v>
      </c>
      <c r="I643" s="35" t="s">
        <v>11528</v>
      </c>
      <c r="J643" s="35" t="s">
        <v>11539</v>
      </c>
      <c r="K643" s="35" t="s">
        <v>160</v>
      </c>
      <c r="L643" s="35" t="s">
        <v>160</v>
      </c>
      <c r="M643" s="35" t="s">
        <v>440</v>
      </c>
      <c r="N643" s="35"/>
      <c r="O643" s="3"/>
    </row>
    <row r="644">
      <c r="A644" s="35" t="s">
        <v>11540</v>
      </c>
      <c r="B644" s="39">
        <v>46049.54466435185</v>
      </c>
      <c r="C644" s="35" t="s">
        <v>9627</v>
      </c>
      <c r="D644" s="40" t="s">
        <v>9489</v>
      </c>
      <c r="E644" s="35" t="s">
        <v>7288</v>
      </c>
      <c r="F644" s="40" t="s">
        <v>9489</v>
      </c>
      <c r="G644" s="35" t="s">
        <v>11541</v>
      </c>
      <c r="H644" s="40" t="s">
        <v>7118</v>
      </c>
      <c r="I644" s="35" t="s">
        <v>11542</v>
      </c>
      <c r="J644" s="35" t="s">
        <v>11543</v>
      </c>
      <c r="K644" s="35" t="s">
        <v>160</v>
      </c>
      <c r="L644" s="35" t="s">
        <v>160</v>
      </c>
      <c r="M644" s="35" t="s">
        <v>440</v>
      </c>
      <c r="N644" s="35"/>
      <c r="O644" s="3"/>
    </row>
    <row r="645">
      <c r="A645" s="35" t="s">
        <v>11544</v>
      </c>
      <c r="B645" s="39">
        <v>46049.56153935185</v>
      </c>
      <c r="C645" s="35" t="s">
        <v>11545</v>
      </c>
      <c r="D645" s="40" t="s">
        <v>9489</v>
      </c>
      <c r="E645" s="35" t="s">
        <v>7288</v>
      </c>
      <c r="F645" s="40" t="s">
        <v>9489</v>
      </c>
      <c r="G645" s="35" t="s">
        <v>11546</v>
      </c>
      <c r="H645" s="40" t="s">
        <v>7118</v>
      </c>
      <c r="I645" s="35" t="s">
        <v>11542</v>
      </c>
      <c r="J645" s="35" t="s">
        <v>11547</v>
      </c>
      <c r="K645" s="35" t="s">
        <v>160</v>
      </c>
      <c r="L645" s="35" t="s">
        <v>160</v>
      </c>
      <c r="M645" s="35" t="s">
        <v>440</v>
      </c>
      <c r="N645" s="35"/>
      <c r="O645" s="3"/>
    </row>
    <row r="646">
      <c r="A646" s="35" t="s">
        <v>11548</v>
      </c>
      <c r="B646" s="39">
        <v>46049.561585648145</v>
      </c>
      <c r="C646" s="35" t="s">
        <v>11545</v>
      </c>
      <c r="D646" s="40" t="s">
        <v>9489</v>
      </c>
      <c r="E646" s="35" t="s">
        <v>7288</v>
      </c>
      <c r="F646" s="40" t="s">
        <v>9489</v>
      </c>
      <c r="G646" s="35" t="s">
        <v>11541</v>
      </c>
      <c r="H646" s="40" t="s">
        <v>7118</v>
      </c>
      <c r="I646" s="35" t="s">
        <v>11542</v>
      </c>
      <c r="J646" s="35" t="s">
        <v>11549</v>
      </c>
      <c r="K646" s="35" t="s">
        <v>160</v>
      </c>
      <c r="L646" s="35" t="s">
        <v>160</v>
      </c>
      <c r="M646" s="35" t="s">
        <v>440</v>
      </c>
      <c r="N646" s="35"/>
      <c r="O646" s="3"/>
    </row>
    <row r="647">
      <c r="A647" s="35" t="s">
        <v>11550</v>
      </c>
      <c r="B647" s="39">
        <v>46049.57462962963</v>
      </c>
      <c r="C647" s="35" t="s">
        <v>9488</v>
      </c>
      <c r="D647" s="40" t="s">
        <v>9489</v>
      </c>
      <c r="E647" s="35" t="s">
        <v>10496</v>
      </c>
      <c r="F647" s="40" t="s">
        <v>7109</v>
      </c>
      <c r="G647" s="35" t="s">
        <v>9496</v>
      </c>
      <c r="H647" s="40" t="s">
        <v>9489</v>
      </c>
      <c r="I647" s="35" t="s">
        <v>11551</v>
      </c>
      <c r="J647" s="35" t="s">
        <v>11552</v>
      </c>
      <c r="K647" s="35" t="s">
        <v>131</v>
      </c>
      <c r="L647" s="35" t="s">
        <v>131</v>
      </c>
      <c r="M647" s="35" t="s">
        <v>132</v>
      </c>
      <c r="N647" s="35"/>
      <c r="O647" s="3"/>
    </row>
    <row r="648">
      <c r="A648" s="35" t="s">
        <v>11553</v>
      </c>
      <c r="B648" s="39">
        <v>46049.57814814815</v>
      </c>
      <c r="C648" s="35" t="s">
        <v>9488</v>
      </c>
      <c r="D648" s="40" t="s">
        <v>9489</v>
      </c>
      <c r="E648" s="35" t="s">
        <v>11554</v>
      </c>
      <c r="F648" s="35" t="s">
        <v>7098</v>
      </c>
      <c r="G648" s="35" t="s">
        <v>9496</v>
      </c>
      <c r="H648" s="40" t="s">
        <v>9489</v>
      </c>
      <c r="I648" s="35" t="s">
        <v>11551</v>
      </c>
      <c r="J648" s="35" t="s">
        <v>11555</v>
      </c>
      <c r="K648" s="35" t="s">
        <v>6785</v>
      </c>
      <c r="L648" s="35" t="s">
        <v>6785</v>
      </c>
      <c r="M648" s="35" t="s">
        <v>601</v>
      </c>
      <c r="N648" s="35"/>
      <c r="O648" s="3"/>
    </row>
    <row r="649">
      <c r="A649" s="35" t="s">
        <v>11556</v>
      </c>
      <c r="B649" s="39">
        <v>46049.57486111111</v>
      </c>
      <c r="C649" s="35" t="s">
        <v>9488</v>
      </c>
      <c r="D649" s="40" t="s">
        <v>9489</v>
      </c>
      <c r="E649" s="35" t="s">
        <v>10496</v>
      </c>
      <c r="F649" s="40" t="s">
        <v>7109</v>
      </c>
      <c r="G649" s="35" t="s">
        <v>9496</v>
      </c>
      <c r="H649" s="40" t="s">
        <v>9489</v>
      </c>
      <c r="I649" s="35" t="s">
        <v>11551</v>
      </c>
      <c r="J649" s="35" t="s">
        <v>11557</v>
      </c>
      <c r="K649" s="35" t="s">
        <v>131</v>
      </c>
      <c r="L649" s="35" t="s">
        <v>131</v>
      </c>
      <c r="M649" s="35" t="s">
        <v>132</v>
      </c>
      <c r="N649" s="35"/>
      <c r="O649" s="3"/>
    </row>
    <row r="650">
      <c r="A650" s="35" t="s">
        <v>11558</v>
      </c>
      <c r="B650" s="39">
        <v>46049.59012731482</v>
      </c>
      <c r="C650" s="35" t="s">
        <v>9518</v>
      </c>
      <c r="D650" s="40" t="s">
        <v>7080</v>
      </c>
      <c r="E650" s="35" t="s">
        <v>9488</v>
      </c>
      <c r="F650" s="40" t="s">
        <v>9489</v>
      </c>
      <c r="G650" s="35"/>
      <c r="H650" s="35"/>
      <c r="I650" s="35" t="s">
        <v>11559</v>
      </c>
      <c r="J650" s="35" t="s">
        <v>11560</v>
      </c>
      <c r="K650" s="35" t="s">
        <v>166</v>
      </c>
      <c r="L650" s="35" t="s">
        <v>166</v>
      </c>
      <c r="M650" s="35" t="s">
        <v>167</v>
      </c>
      <c r="N650" s="35"/>
      <c r="O650" s="3"/>
    </row>
    <row r="651">
      <c r="A651" s="35" t="s">
        <v>11561</v>
      </c>
      <c r="B651" s="39">
        <v>46049.591574074075</v>
      </c>
      <c r="C651" s="35" t="s">
        <v>9488</v>
      </c>
      <c r="D651" s="40" t="s">
        <v>9489</v>
      </c>
      <c r="E651" s="35" t="s">
        <v>11407</v>
      </c>
      <c r="F651" s="40" t="s">
        <v>7101</v>
      </c>
      <c r="G651" s="35" t="s">
        <v>9496</v>
      </c>
      <c r="H651" s="40" t="s">
        <v>9489</v>
      </c>
      <c r="I651" s="35" t="s">
        <v>11562</v>
      </c>
      <c r="J651" s="35" t="s">
        <v>11563</v>
      </c>
      <c r="K651" s="35" t="s">
        <v>193</v>
      </c>
      <c r="L651" s="35" t="s">
        <v>193</v>
      </c>
      <c r="M651" s="35" t="s">
        <v>544</v>
      </c>
      <c r="N651" s="35"/>
      <c r="O651" s="3"/>
    </row>
    <row r="652">
      <c r="A652" s="35" t="s">
        <v>11564</v>
      </c>
      <c r="B652" s="39">
        <v>46049.603113425925</v>
      </c>
      <c r="C652" s="35" t="s">
        <v>9488</v>
      </c>
      <c r="D652" s="40" t="s">
        <v>9489</v>
      </c>
      <c r="E652" s="35" t="s">
        <v>9518</v>
      </c>
      <c r="F652" s="40" t="s">
        <v>7080</v>
      </c>
      <c r="G652" s="35"/>
      <c r="H652" s="35"/>
      <c r="I652" s="35" t="s">
        <v>11435</v>
      </c>
      <c r="J652" s="35" t="s">
        <v>11565</v>
      </c>
      <c r="K652" s="35" t="s">
        <v>166</v>
      </c>
      <c r="L652" s="35" t="s">
        <v>166</v>
      </c>
      <c r="M652" s="35" t="s">
        <v>167</v>
      </c>
      <c r="N652" s="35"/>
      <c r="O652" s="3"/>
    </row>
    <row r="653">
      <c r="A653" s="35" t="s">
        <v>11566</v>
      </c>
      <c r="B653" s="39">
        <v>46049.60600694444</v>
      </c>
      <c r="C653" s="35" t="s">
        <v>9488</v>
      </c>
      <c r="D653" s="40" t="s">
        <v>9489</v>
      </c>
      <c r="E653" s="35" t="s">
        <v>8106</v>
      </c>
      <c r="F653" s="40" t="s">
        <v>7100</v>
      </c>
      <c r="G653" s="35"/>
      <c r="H653" s="35"/>
      <c r="I653" s="35" t="s">
        <v>11567</v>
      </c>
      <c r="J653" s="35" t="s">
        <v>11568</v>
      </c>
      <c r="K653" s="35" t="s">
        <v>125</v>
      </c>
      <c r="L653" s="35" t="s">
        <v>125</v>
      </c>
      <c r="M653" s="35" t="s">
        <v>126</v>
      </c>
      <c r="N653" s="35"/>
      <c r="O653" s="3"/>
    </row>
    <row r="654">
      <c r="A654" s="35" t="s">
        <v>11569</v>
      </c>
      <c r="B654" s="39">
        <v>46049.60947916667</v>
      </c>
      <c r="C654" s="35" t="s">
        <v>9488</v>
      </c>
      <c r="D654" s="40" t="s">
        <v>9489</v>
      </c>
      <c r="E654" s="35" t="s">
        <v>7781</v>
      </c>
      <c r="F654" s="40" t="s">
        <v>7100</v>
      </c>
      <c r="G654" s="35"/>
      <c r="H654" s="35"/>
      <c r="I654" s="35" t="s">
        <v>11567</v>
      </c>
      <c r="J654" s="35" t="s">
        <v>11570</v>
      </c>
      <c r="K654" s="35" t="s">
        <v>125</v>
      </c>
      <c r="L654" s="35" t="s">
        <v>125</v>
      </c>
      <c r="M654" s="35" t="s">
        <v>126</v>
      </c>
      <c r="N654" s="35"/>
      <c r="O654" s="3"/>
    </row>
    <row r="655">
      <c r="A655" s="35" t="s">
        <v>11571</v>
      </c>
      <c r="B655" s="39">
        <v>46049.62269675926</v>
      </c>
      <c r="C655" s="35" t="s">
        <v>9488</v>
      </c>
      <c r="D655" s="40" t="s">
        <v>9489</v>
      </c>
      <c r="E655" s="35" t="s">
        <v>9518</v>
      </c>
      <c r="F655" s="40" t="s">
        <v>7080</v>
      </c>
      <c r="G655" s="35"/>
      <c r="H655" s="35"/>
      <c r="I655" s="35" t="s">
        <v>11435</v>
      </c>
      <c r="J655" s="35" t="s">
        <v>11572</v>
      </c>
      <c r="K655" s="35" t="s">
        <v>166</v>
      </c>
      <c r="L655" s="35" t="s">
        <v>166</v>
      </c>
      <c r="M655" s="35" t="s">
        <v>167</v>
      </c>
      <c r="N655" s="35"/>
      <c r="O655" s="3"/>
    </row>
    <row r="656">
      <c r="A656" s="35" t="s">
        <v>11573</v>
      </c>
      <c r="B656" s="39">
        <v>46049.625625</v>
      </c>
      <c r="C656" s="35" t="s">
        <v>9518</v>
      </c>
      <c r="D656" s="40" t="s">
        <v>7080</v>
      </c>
      <c r="E656" s="35" t="s">
        <v>9488</v>
      </c>
      <c r="F656" s="40" t="s">
        <v>9489</v>
      </c>
      <c r="G656" s="35"/>
      <c r="H656" s="35"/>
      <c r="I656" s="35" t="s">
        <v>11559</v>
      </c>
      <c r="J656" s="35" t="s">
        <v>11574</v>
      </c>
      <c r="K656" s="35" t="s">
        <v>166</v>
      </c>
      <c r="L656" s="35" t="s">
        <v>166</v>
      </c>
      <c r="M656" s="35" t="s">
        <v>167</v>
      </c>
      <c r="N656" s="35"/>
      <c r="O656" s="3"/>
    </row>
    <row r="657">
      <c r="A657" s="35" t="s">
        <v>11575</v>
      </c>
      <c r="B657" s="39">
        <v>46049.63012731481</v>
      </c>
      <c r="C657" s="35" t="s">
        <v>11508</v>
      </c>
      <c r="D657" s="40" t="s">
        <v>7118</v>
      </c>
      <c r="E657" s="35" t="s">
        <v>11545</v>
      </c>
      <c r="F657" s="40" t="s">
        <v>9489</v>
      </c>
      <c r="G657" s="35" t="s">
        <v>7288</v>
      </c>
      <c r="H657" s="40" t="s">
        <v>9489</v>
      </c>
      <c r="I657" s="35" t="s">
        <v>11542</v>
      </c>
      <c r="J657" s="35" t="s">
        <v>11576</v>
      </c>
      <c r="K657" s="35" t="s">
        <v>160</v>
      </c>
      <c r="L657" s="35" t="s">
        <v>160</v>
      </c>
      <c r="M657" s="35" t="s">
        <v>440</v>
      </c>
      <c r="N657" s="35"/>
      <c r="O657" s="3"/>
    </row>
    <row r="658">
      <c r="A658" s="35" t="s">
        <v>11577</v>
      </c>
      <c r="B658" s="39">
        <v>46049.63050925926</v>
      </c>
      <c r="C658" s="35" t="s">
        <v>9627</v>
      </c>
      <c r="D658" s="40" t="s">
        <v>9489</v>
      </c>
      <c r="E658" s="35" t="s">
        <v>7288</v>
      </c>
      <c r="F658" s="40" t="s">
        <v>9489</v>
      </c>
      <c r="G658" s="35" t="s">
        <v>11541</v>
      </c>
      <c r="H658" s="40" t="s">
        <v>7118</v>
      </c>
      <c r="I658" s="35" t="s">
        <v>11542</v>
      </c>
      <c r="J658" s="35" t="s">
        <v>11578</v>
      </c>
      <c r="K658" s="35" t="s">
        <v>160</v>
      </c>
      <c r="L658" s="35" t="s">
        <v>160</v>
      </c>
      <c r="M658" s="35" t="s">
        <v>440</v>
      </c>
      <c r="N658" s="35"/>
      <c r="O658" s="3"/>
    </row>
    <row r="659">
      <c r="A659" s="35" t="s">
        <v>11579</v>
      </c>
      <c r="B659" s="39">
        <v>46049.647777777776</v>
      </c>
      <c r="C659" s="35" t="s">
        <v>9598</v>
      </c>
      <c r="D659" s="40" t="s">
        <v>7079</v>
      </c>
      <c r="E659" s="35" t="s">
        <v>9597</v>
      </c>
      <c r="F659" s="40" t="s">
        <v>9489</v>
      </c>
      <c r="G659" s="35" t="s">
        <v>9614</v>
      </c>
      <c r="H659" s="40" t="s">
        <v>9489</v>
      </c>
      <c r="I659" s="35" t="s">
        <v>9603</v>
      </c>
      <c r="J659" s="35" t="s">
        <v>11580</v>
      </c>
      <c r="K659" s="35" t="s">
        <v>6450</v>
      </c>
      <c r="L659" s="35" t="s">
        <v>6450</v>
      </c>
      <c r="M659" s="35" t="s">
        <v>552</v>
      </c>
      <c r="N659" s="35"/>
      <c r="O659" s="3"/>
    </row>
    <row r="660">
      <c r="A660" s="35" t="s">
        <v>11581</v>
      </c>
      <c r="B660" s="39">
        <v>46049.65361111111</v>
      </c>
      <c r="C660" s="35" t="s">
        <v>9597</v>
      </c>
      <c r="D660" s="40" t="s">
        <v>9489</v>
      </c>
      <c r="E660" s="35" t="s">
        <v>9598</v>
      </c>
      <c r="F660" s="40" t="s">
        <v>7079</v>
      </c>
      <c r="G660" s="35" t="s">
        <v>9614</v>
      </c>
      <c r="H660" s="40" t="s">
        <v>9489</v>
      </c>
      <c r="I660" s="35" t="s">
        <v>9600</v>
      </c>
      <c r="J660" s="35" t="s">
        <v>11582</v>
      </c>
      <c r="K660" s="35" t="s">
        <v>6450</v>
      </c>
      <c r="L660" s="35" t="s">
        <v>6450</v>
      </c>
      <c r="M660" s="35" t="s">
        <v>552</v>
      </c>
      <c r="N660" s="35"/>
      <c r="O660" s="3"/>
    </row>
    <row r="661">
      <c r="A661" s="35" t="s">
        <v>11583</v>
      </c>
      <c r="B661" s="39">
        <v>46049.656909722224</v>
      </c>
      <c r="C661" s="35" t="s">
        <v>9598</v>
      </c>
      <c r="D661" s="40" t="s">
        <v>7079</v>
      </c>
      <c r="E661" s="35" t="s">
        <v>9597</v>
      </c>
      <c r="F661" s="40" t="s">
        <v>9489</v>
      </c>
      <c r="G661" s="35" t="s">
        <v>9614</v>
      </c>
      <c r="H661" s="40" t="s">
        <v>9489</v>
      </c>
      <c r="I661" s="35" t="s">
        <v>9603</v>
      </c>
      <c r="J661" s="35" t="s">
        <v>11584</v>
      </c>
      <c r="K661" s="35" t="s">
        <v>6450</v>
      </c>
      <c r="L661" s="35" t="s">
        <v>6450</v>
      </c>
      <c r="M661" s="35" t="s">
        <v>552</v>
      </c>
      <c r="N661" s="35"/>
      <c r="O661" s="3"/>
    </row>
    <row r="662">
      <c r="A662" s="35" t="s">
        <v>11585</v>
      </c>
      <c r="B662" s="39">
        <v>46049.71303240741</v>
      </c>
      <c r="C662" s="35" t="s">
        <v>10540</v>
      </c>
      <c r="D662" s="40" t="s">
        <v>9489</v>
      </c>
      <c r="E662" s="35" t="s">
        <v>8124</v>
      </c>
      <c r="F662" s="40" t="s">
        <v>7109</v>
      </c>
      <c r="G662" s="35" t="s">
        <v>10549</v>
      </c>
      <c r="H662" s="35" t="s">
        <v>10501</v>
      </c>
      <c r="I662" s="35" t="s">
        <v>10537</v>
      </c>
      <c r="J662" s="35" t="s">
        <v>11586</v>
      </c>
      <c r="K662" s="35" t="s">
        <v>131</v>
      </c>
      <c r="L662" s="35" t="s">
        <v>131</v>
      </c>
      <c r="M662" s="35" t="s">
        <v>132</v>
      </c>
      <c r="N662" s="35"/>
      <c r="O662" s="3"/>
    </row>
    <row r="663">
      <c r="A663" s="35" t="s">
        <v>11587</v>
      </c>
      <c r="B663" s="39">
        <v>46050.344918981486</v>
      </c>
      <c r="C663" s="35" t="s">
        <v>10486</v>
      </c>
      <c r="D663" s="40" t="s">
        <v>8055</v>
      </c>
      <c r="E663" s="35" t="s">
        <v>9488</v>
      </c>
      <c r="F663" s="40" t="s">
        <v>9489</v>
      </c>
      <c r="G663" s="35"/>
      <c r="H663" s="35"/>
      <c r="I663" s="35" t="s">
        <v>11495</v>
      </c>
      <c r="J663" s="35" t="s">
        <v>11588</v>
      </c>
      <c r="K663" s="35" t="s">
        <v>101</v>
      </c>
      <c r="L663" s="35" t="s">
        <v>101</v>
      </c>
      <c r="M663" s="35" t="s">
        <v>511</v>
      </c>
      <c r="N663" s="35"/>
      <c r="O663" s="3"/>
    </row>
    <row r="664">
      <c r="A664" s="35" t="s">
        <v>11589</v>
      </c>
      <c r="B664" s="39">
        <v>46050.345543981486</v>
      </c>
      <c r="C664" s="35" t="s">
        <v>9488</v>
      </c>
      <c r="D664" s="40" t="s">
        <v>9489</v>
      </c>
      <c r="E664" s="35" t="s">
        <v>10486</v>
      </c>
      <c r="F664" s="40" t="s">
        <v>8055</v>
      </c>
      <c r="G664" s="35"/>
      <c r="H664" s="35"/>
      <c r="I664" s="35" t="s">
        <v>11498</v>
      </c>
      <c r="J664" s="35" t="s">
        <v>11590</v>
      </c>
      <c r="K664" s="35" t="s">
        <v>101</v>
      </c>
      <c r="L664" s="35" t="s">
        <v>101</v>
      </c>
      <c r="M664" s="35" t="s">
        <v>511</v>
      </c>
      <c r="N664" s="35"/>
      <c r="O664" s="3"/>
    </row>
    <row r="665">
      <c r="A665" s="35" t="s">
        <v>11591</v>
      </c>
      <c r="B665" s="39">
        <v>46050.34663194444</v>
      </c>
      <c r="C665" s="35" t="s">
        <v>9488</v>
      </c>
      <c r="D665" s="40" t="s">
        <v>9489</v>
      </c>
      <c r="E665" s="35" t="s">
        <v>10486</v>
      </c>
      <c r="F665" s="40" t="s">
        <v>8055</v>
      </c>
      <c r="G665" s="35"/>
      <c r="H665" s="35"/>
      <c r="I665" s="35" t="s">
        <v>11498</v>
      </c>
      <c r="J665" s="35" t="s">
        <v>11592</v>
      </c>
      <c r="K665" s="35" t="s">
        <v>101</v>
      </c>
      <c r="L665" s="35" t="s">
        <v>101</v>
      </c>
      <c r="M665" s="35" t="s">
        <v>511</v>
      </c>
      <c r="N665" s="35"/>
      <c r="O665" s="3"/>
    </row>
    <row r="666">
      <c r="A666" s="35" t="s">
        <v>11593</v>
      </c>
      <c r="B666" s="39">
        <v>46050.352060185185</v>
      </c>
      <c r="C666" s="35" t="s">
        <v>10486</v>
      </c>
      <c r="D666" s="40" t="s">
        <v>8055</v>
      </c>
      <c r="E666" s="35" t="s">
        <v>9488</v>
      </c>
      <c r="F666" s="40" t="s">
        <v>9489</v>
      </c>
      <c r="G666" s="35"/>
      <c r="H666" s="35"/>
      <c r="I666" s="35" t="s">
        <v>11495</v>
      </c>
      <c r="J666" s="35" t="s">
        <v>11594</v>
      </c>
      <c r="K666" s="35" t="s">
        <v>101</v>
      </c>
      <c r="L666" s="35" t="s">
        <v>101</v>
      </c>
      <c r="M666" s="35" t="s">
        <v>511</v>
      </c>
      <c r="N666" s="35"/>
      <c r="O666" s="3"/>
    </row>
    <row r="667">
      <c r="A667" s="35" t="s">
        <v>11595</v>
      </c>
      <c r="B667" s="39">
        <v>46050.40130787037</v>
      </c>
      <c r="C667" s="35" t="s">
        <v>11545</v>
      </c>
      <c r="D667" s="40" t="s">
        <v>9489</v>
      </c>
      <c r="E667" s="35" t="s">
        <v>11541</v>
      </c>
      <c r="F667" s="40" t="s">
        <v>7118</v>
      </c>
      <c r="G667" s="35" t="s">
        <v>9488</v>
      </c>
      <c r="H667" s="40" t="s">
        <v>9489</v>
      </c>
      <c r="I667" s="35" t="s">
        <v>11542</v>
      </c>
      <c r="J667" s="35" t="s">
        <v>11596</v>
      </c>
      <c r="K667" s="35" t="s">
        <v>160</v>
      </c>
      <c r="L667" s="35" t="s">
        <v>160</v>
      </c>
      <c r="M667" s="35" t="s">
        <v>440</v>
      </c>
      <c r="N667" s="35"/>
      <c r="O667" s="3"/>
    </row>
    <row r="668">
      <c r="A668" s="35" t="s">
        <v>11597</v>
      </c>
      <c r="B668" s="39">
        <v>46050.40137731482</v>
      </c>
      <c r="C668" s="35" t="s">
        <v>11545</v>
      </c>
      <c r="D668" s="40" t="s">
        <v>9489</v>
      </c>
      <c r="E668" s="35" t="s">
        <v>7288</v>
      </c>
      <c r="F668" s="40" t="s">
        <v>9489</v>
      </c>
      <c r="G668" s="35" t="s">
        <v>11541</v>
      </c>
      <c r="H668" s="40" t="s">
        <v>7118</v>
      </c>
      <c r="I668" s="35" t="s">
        <v>11542</v>
      </c>
      <c r="J668" s="35" t="s">
        <v>11549</v>
      </c>
      <c r="K668" s="35" t="s">
        <v>160</v>
      </c>
      <c r="L668" s="35" t="s">
        <v>160</v>
      </c>
      <c r="M668" s="35" t="s">
        <v>440</v>
      </c>
      <c r="N668" s="35"/>
      <c r="O668" s="3"/>
    </row>
    <row r="669">
      <c r="A669" s="35" t="s">
        <v>11598</v>
      </c>
      <c r="B669" s="39">
        <v>46050.43054398148</v>
      </c>
      <c r="C669" s="35" t="s">
        <v>9763</v>
      </c>
      <c r="D669" s="40" t="s">
        <v>7086</v>
      </c>
      <c r="E669" s="35" t="s">
        <v>9488</v>
      </c>
      <c r="F669" s="40" t="s">
        <v>9489</v>
      </c>
      <c r="G669" s="35" t="s">
        <v>9757</v>
      </c>
      <c r="H669" s="40" t="s">
        <v>9489</v>
      </c>
      <c r="I669" s="35" t="s">
        <v>9765</v>
      </c>
      <c r="J669" s="35" t="s">
        <v>11599</v>
      </c>
      <c r="K669" s="35" t="s">
        <v>208</v>
      </c>
      <c r="L669" s="35" t="s">
        <v>208</v>
      </c>
      <c r="M669" s="35" t="s">
        <v>209</v>
      </c>
      <c r="N669" s="35"/>
      <c r="O669" s="3"/>
    </row>
    <row r="670">
      <c r="A670" s="35" t="s">
        <v>11600</v>
      </c>
      <c r="B670" s="39">
        <v>46050.44395833333</v>
      </c>
      <c r="C670" s="35" t="s">
        <v>9757</v>
      </c>
      <c r="D670" s="40" t="s">
        <v>9489</v>
      </c>
      <c r="E670" s="35" t="s">
        <v>9763</v>
      </c>
      <c r="F670" s="40" t="s">
        <v>7086</v>
      </c>
      <c r="G670" s="35" t="s">
        <v>9488</v>
      </c>
      <c r="H670" s="40" t="s">
        <v>9489</v>
      </c>
      <c r="I670" s="35" t="s">
        <v>9768</v>
      </c>
      <c r="J670" s="35" t="s">
        <v>11601</v>
      </c>
      <c r="K670" s="35" t="s">
        <v>208</v>
      </c>
      <c r="L670" s="35" t="s">
        <v>208</v>
      </c>
      <c r="M670" s="35" t="s">
        <v>209</v>
      </c>
      <c r="N670" s="35"/>
      <c r="O670" s="3"/>
    </row>
    <row r="671">
      <c r="A671" s="35" t="s">
        <v>11602</v>
      </c>
      <c r="B671" s="39">
        <v>46050.449583333335</v>
      </c>
      <c r="C671" s="35" t="s">
        <v>9488</v>
      </c>
      <c r="D671" s="40" t="s">
        <v>9489</v>
      </c>
      <c r="E671" s="35" t="s">
        <v>9757</v>
      </c>
      <c r="F671" s="40" t="s">
        <v>9489</v>
      </c>
      <c r="G671" s="35" t="s">
        <v>9763</v>
      </c>
      <c r="H671" s="40" t="s">
        <v>7086</v>
      </c>
      <c r="I671" s="35" t="s">
        <v>9768</v>
      </c>
      <c r="J671" s="35" t="s">
        <v>11603</v>
      </c>
      <c r="K671" s="35" t="s">
        <v>208</v>
      </c>
      <c r="L671" s="35" t="s">
        <v>208</v>
      </c>
      <c r="M671" s="35" t="s">
        <v>209</v>
      </c>
      <c r="N671" s="35"/>
      <c r="O671" s="3"/>
    </row>
    <row r="672">
      <c r="A672" s="35" t="s">
        <v>11604</v>
      </c>
      <c r="B672" s="39">
        <v>46050.45342592592</v>
      </c>
      <c r="C672" s="35" t="s">
        <v>9488</v>
      </c>
      <c r="D672" s="40" t="s">
        <v>9489</v>
      </c>
      <c r="E672" s="35" t="s">
        <v>9757</v>
      </c>
      <c r="F672" s="40" t="s">
        <v>9489</v>
      </c>
      <c r="G672" s="35" t="s">
        <v>9763</v>
      </c>
      <c r="H672" s="40" t="s">
        <v>7086</v>
      </c>
      <c r="I672" s="35" t="s">
        <v>9768</v>
      </c>
      <c r="J672" s="35" t="s">
        <v>11605</v>
      </c>
      <c r="K672" s="35" t="s">
        <v>208</v>
      </c>
      <c r="L672" s="35" t="s">
        <v>208</v>
      </c>
      <c r="M672" s="35" t="s">
        <v>209</v>
      </c>
      <c r="N672" s="35"/>
      <c r="O672" s="3"/>
    </row>
    <row r="673">
      <c r="A673" s="35" t="s">
        <v>11606</v>
      </c>
      <c r="B673" s="39">
        <v>46050.460069444445</v>
      </c>
      <c r="C673" s="35" t="s">
        <v>9488</v>
      </c>
      <c r="D673" s="40" t="s">
        <v>9489</v>
      </c>
      <c r="E673" s="35" t="s">
        <v>10486</v>
      </c>
      <c r="F673" s="40" t="s">
        <v>8055</v>
      </c>
      <c r="G673" s="35"/>
      <c r="H673" s="35"/>
      <c r="I673" s="35" t="s">
        <v>11498</v>
      </c>
      <c r="J673" s="35" t="s">
        <v>11607</v>
      </c>
      <c r="K673" s="35" t="s">
        <v>101</v>
      </c>
      <c r="L673" s="35" t="s">
        <v>101</v>
      </c>
      <c r="M673" s="35" t="s">
        <v>511</v>
      </c>
      <c r="N673" s="35"/>
      <c r="O673" s="3"/>
    </row>
    <row r="674">
      <c r="A674" s="35" t="s">
        <v>11608</v>
      </c>
      <c r="B674" s="39">
        <v>46050.454664351855</v>
      </c>
      <c r="C674" s="35" t="s">
        <v>11344</v>
      </c>
      <c r="D674" s="40" t="s">
        <v>7120</v>
      </c>
      <c r="E674" s="35" t="s">
        <v>7288</v>
      </c>
      <c r="F674" s="40" t="s">
        <v>9489</v>
      </c>
      <c r="G674" s="35"/>
      <c r="H674" s="35"/>
      <c r="I674" s="35" t="s">
        <v>11609</v>
      </c>
      <c r="J674" s="35" t="s">
        <v>11610</v>
      </c>
      <c r="K674" s="35" t="s">
        <v>116</v>
      </c>
      <c r="L674" s="35" t="s">
        <v>116</v>
      </c>
      <c r="M674" s="35" t="s">
        <v>117</v>
      </c>
      <c r="N674" s="35"/>
      <c r="O674" s="3"/>
    </row>
    <row r="675">
      <c r="A675" s="35" t="s">
        <v>11611</v>
      </c>
      <c r="B675" s="39">
        <v>46050.46392361111</v>
      </c>
      <c r="C675" s="35" t="s">
        <v>9518</v>
      </c>
      <c r="D675" s="40" t="s">
        <v>7080</v>
      </c>
      <c r="E675" s="35" t="s">
        <v>11390</v>
      </c>
      <c r="F675" s="40" t="s">
        <v>9489</v>
      </c>
      <c r="G675" s="35"/>
      <c r="H675" s="35"/>
      <c r="I675" s="35" t="s">
        <v>11612</v>
      </c>
      <c r="J675" s="35" t="s">
        <v>11613</v>
      </c>
      <c r="K675" s="35" t="s">
        <v>166</v>
      </c>
      <c r="L675" s="35" t="s">
        <v>166</v>
      </c>
      <c r="M675" s="35" t="s">
        <v>167</v>
      </c>
      <c r="N675" s="35"/>
      <c r="O675" s="3"/>
    </row>
    <row r="676">
      <c r="A676" s="35" t="s">
        <v>11614</v>
      </c>
      <c r="B676" s="39">
        <v>46050.46417824074</v>
      </c>
      <c r="C676" s="35" t="s">
        <v>9488</v>
      </c>
      <c r="D676" s="40" t="s">
        <v>9489</v>
      </c>
      <c r="E676" s="35" t="s">
        <v>11344</v>
      </c>
      <c r="F676" s="40" t="s">
        <v>7120</v>
      </c>
      <c r="G676" s="35"/>
      <c r="H676" s="35"/>
      <c r="I676" s="35" t="s">
        <v>11615</v>
      </c>
      <c r="J676" s="35" t="s">
        <v>11616</v>
      </c>
      <c r="K676" s="35" t="s">
        <v>116</v>
      </c>
      <c r="L676" s="35" t="s">
        <v>116</v>
      </c>
      <c r="M676" s="35" t="s">
        <v>117</v>
      </c>
      <c r="N676" s="35"/>
      <c r="O676" s="3"/>
    </row>
    <row r="677">
      <c r="A677" s="35" t="s">
        <v>11617</v>
      </c>
      <c r="B677" s="39">
        <v>46050.478900462964</v>
      </c>
      <c r="C677" s="35" t="s">
        <v>9763</v>
      </c>
      <c r="D677" s="40" t="s">
        <v>7086</v>
      </c>
      <c r="E677" s="35" t="s">
        <v>11618</v>
      </c>
      <c r="F677" s="40" t="s">
        <v>9489</v>
      </c>
      <c r="G677" s="35" t="s">
        <v>9763</v>
      </c>
      <c r="H677" s="40" t="s">
        <v>7086</v>
      </c>
      <c r="I677" s="35" t="s">
        <v>9765</v>
      </c>
      <c r="J677" s="35" t="s">
        <v>11619</v>
      </c>
      <c r="K677" s="35" t="s">
        <v>208</v>
      </c>
      <c r="L677" s="35" t="s">
        <v>208</v>
      </c>
      <c r="M677" s="35" t="s">
        <v>209</v>
      </c>
      <c r="N677" s="35"/>
      <c r="O677" s="3"/>
    </row>
    <row r="678">
      <c r="A678" s="35" t="s">
        <v>11620</v>
      </c>
      <c r="B678" s="39">
        <v>46050.48152777778</v>
      </c>
      <c r="C678" s="35" t="s">
        <v>11344</v>
      </c>
      <c r="D678" s="40" t="s">
        <v>7120</v>
      </c>
      <c r="E678" s="35" t="s">
        <v>7288</v>
      </c>
      <c r="F678" s="40" t="s">
        <v>9489</v>
      </c>
      <c r="G678" s="35"/>
      <c r="H678" s="35"/>
      <c r="I678" s="35" t="s">
        <v>11609</v>
      </c>
      <c r="J678" s="35" t="s">
        <v>11621</v>
      </c>
      <c r="K678" s="35" t="s">
        <v>116</v>
      </c>
      <c r="L678" s="35" t="s">
        <v>116</v>
      </c>
      <c r="M678" s="35" t="s">
        <v>117</v>
      </c>
      <c r="N678" s="35"/>
      <c r="O678" s="3"/>
    </row>
    <row r="679">
      <c r="A679" s="35" t="s">
        <v>11622</v>
      </c>
      <c r="B679" s="39">
        <v>46050.495717592596</v>
      </c>
      <c r="C679" s="35" t="s">
        <v>11147</v>
      </c>
      <c r="D679" s="40" t="s">
        <v>9489</v>
      </c>
      <c r="E679" s="35" t="s">
        <v>11429</v>
      </c>
      <c r="F679" s="40" t="s">
        <v>11095</v>
      </c>
      <c r="G679" s="35" t="s">
        <v>11623</v>
      </c>
      <c r="H679" s="35" t="s">
        <v>11085</v>
      </c>
      <c r="I679" s="35" t="s">
        <v>11624</v>
      </c>
      <c r="J679" s="35" t="s">
        <v>11625</v>
      </c>
      <c r="K679" s="35" t="s">
        <v>196</v>
      </c>
      <c r="L679" s="35" t="s">
        <v>196</v>
      </c>
      <c r="M679" s="35" t="s">
        <v>197</v>
      </c>
      <c r="N679" s="35"/>
      <c r="O679" s="3"/>
    </row>
    <row r="680">
      <c r="A680" s="35" t="s">
        <v>11626</v>
      </c>
      <c r="B680" s="39">
        <v>46050.54179398148</v>
      </c>
      <c r="C680" s="35" t="s">
        <v>10486</v>
      </c>
      <c r="D680" s="40" t="s">
        <v>8055</v>
      </c>
      <c r="E680" s="35" t="s">
        <v>9488</v>
      </c>
      <c r="F680" s="40" t="s">
        <v>9489</v>
      </c>
      <c r="G680" s="35"/>
      <c r="H680" s="35"/>
      <c r="I680" s="35" t="s">
        <v>11495</v>
      </c>
      <c r="J680" s="35" t="s">
        <v>11627</v>
      </c>
      <c r="K680" s="35" t="s">
        <v>101</v>
      </c>
      <c r="L680" s="35" t="s">
        <v>101</v>
      </c>
      <c r="M680" s="35" t="s">
        <v>511</v>
      </c>
      <c r="N680" s="35"/>
      <c r="O680" s="3"/>
    </row>
    <row r="681">
      <c r="A681" s="35" t="s">
        <v>11628</v>
      </c>
      <c r="B681" s="39">
        <v>46050.543125</v>
      </c>
      <c r="C681" s="35" t="s">
        <v>9488</v>
      </c>
      <c r="D681" s="40" t="s">
        <v>9489</v>
      </c>
      <c r="E681" s="35" t="s">
        <v>10486</v>
      </c>
      <c r="F681" s="40" t="s">
        <v>8055</v>
      </c>
      <c r="G681" s="35"/>
      <c r="H681" s="35"/>
      <c r="I681" s="35" t="s">
        <v>11498</v>
      </c>
      <c r="J681" s="35" t="s">
        <v>11629</v>
      </c>
      <c r="K681" s="35" t="s">
        <v>101</v>
      </c>
      <c r="L681" s="35" t="s">
        <v>101</v>
      </c>
      <c r="M681" s="35" t="s">
        <v>511</v>
      </c>
      <c r="N681" s="35"/>
      <c r="O681" s="3"/>
    </row>
    <row r="682">
      <c r="A682" s="35" t="s">
        <v>11630</v>
      </c>
      <c r="B682" s="39">
        <v>46050.54452546296</v>
      </c>
      <c r="C682" s="35" t="s">
        <v>9488</v>
      </c>
      <c r="D682" s="40" t="s">
        <v>9489</v>
      </c>
      <c r="E682" s="35" t="s">
        <v>9998</v>
      </c>
      <c r="F682" s="40" t="s">
        <v>7094</v>
      </c>
      <c r="G682" s="35"/>
      <c r="H682" s="35"/>
      <c r="I682" s="35" t="s">
        <v>11631</v>
      </c>
      <c r="J682" s="35" t="s">
        <v>11632</v>
      </c>
      <c r="K682" s="35" t="s">
        <v>187</v>
      </c>
      <c r="L682" s="35" t="s">
        <v>187</v>
      </c>
      <c r="M682" s="35" t="s">
        <v>188</v>
      </c>
      <c r="N682" s="35"/>
      <c r="O682" s="3"/>
    </row>
    <row r="683">
      <c r="A683" s="35" t="s">
        <v>11633</v>
      </c>
      <c r="B683" s="39">
        <v>46050.54673611111</v>
      </c>
      <c r="C683" s="35" t="s">
        <v>9998</v>
      </c>
      <c r="D683" s="40" t="s">
        <v>7094</v>
      </c>
      <c r="E683" s="35" t="s">
        <v>11634</v>
      </c>
      <c r="F683" s="40" t="s">
        <v>9489</v>
      </c>
      <c r="G683" s="35"/>
      <c r="H683" s="35"/>
      <c r="I683" s="35" t="s">
        <v>11635</v>
      </c>
      <c r="J683" s="35" t="s">
        <v>11636</v>
      </c>
      <c r="K683" s="35" t="s">
        <v>187</v>
      </c>
      <c r="L683" s="35" t="s">
        <v>187</v>
      </c>
      <c r="M683" s="35" t="s">
        <v>188</v>
      </c>
      <c r="N683" s="35"/>
      <c r="O683" s="3"/>
    </row>
    <row r="684">
      <c r="A684" s="35" t="s">
        <v>11637</v>
      </c>
      <c r="B684" s="39">
        <v>46050.54922453704</v>
      </c>
      <c r="C684" s="35" t="s">
        <v>9488</v>
      </c>
      <c r="D684" s="40" t="s">
        <v>9489</v>
      </c>
      <c r="E684" s="35" t="s">
        <v>9998</v>
      </c>
      <c r="F684" s="40" t="s">
        <v>7094</v>
      </c>
      <c r="G684" s="35"/>
      <c r="H684" s="35"/>
      <c r="I684" s="35" t="s">
        <v>11638</v>
      </c>
      <c r="J684" s="35" t="s">
        <v>11639</v>
      </c>
      <c r="K684" s="35" t="s">
        <v>187</v>
      </c>
      <c r="L684" s="35" t="s">
        <v>187</v>
      </c>
      <c r="M684" s="35" t="s">
        <v>188</v>
      </c>
      <c r="N684" s="35"/>
      <c r="O684" s="3"/>
    </row>
    <row r="685">
      <c r="A685" s="35" t="s">
        <v>11640</v>
      </c>
      <c r="B685" s="39">
        <v>46050.547534722224</v>
      </c>
      <c r="C685" s="35" t="s">
        <v>10486</v>
      </c>
      <c r="D685" s="40" t="s">
        <v>8055</v>
      </c>
      <c r="E685" s="35" t="s">
        <v>11641</v>
      </c>
      <c r="F685" s="35" t="s">
        <v>10558</v>
      </c>
      <c r="G685" s="35"/>
      <c r="H685" s="35"/>
      <c r="I685" s="35" t="s">
        <v>7737</v>
      </c>
      <c r="J685" s="35" t="s">
        <v>11642</v>
      </c>
      <c r="K685" s="35" t="s">
        <v>101</v>
      </c>
      <c r="L685" s="35" t="s">
        <v>101</v>
      </c>
      <c r="M685" s="35" t="s">
        <v>511</v>
      </c>
      <c r="N685" s="35"/>
      <c r="O685" s="3"/>
    </row>
    <row r="686">
      <c r="A686" s="35" t="s">
        <v>11643</v>
      </c>
      <c r="B686" s="39">
        <v>46050.549421296295</v>
      </c>
      <c r="C686" s="35" t="s">
        <v>10486</v>
      </c>
      <c r="D686" s="40" t="s">
        <v>8055</v>
      </c>
      <c r="E686" s="35" t="s">
        <v>9488</v>
      </c>
      <c r="F686" s="40" t="s">
        <v>9489</v>
      </c>
      <c r="G686" s="35"/>
      <c r="H686" s="35"/>
      <c r="I686" s="35" t="s">
        <v>11495</v>
      </c>
      <c r="J686" s="35" t="s">
        <v>11644</v>
      </c>
      <c r="K686" s="35" t="s">
        <v>101</v>
      </c>
      <c r="L686" s="35" t="s">
        <v>101</v>
      </c>
      <c r="M686" s="35" t="s">
        <v>511</v>
      </c>
      <c r="N686" s="35"/>
      <c r="O686" s="3"/>
    </row>
    <row r="687">
      <c r="A687" s="35" t="s">
        <v>11645</v>
      </c>
      <c r="B687" s="39">
        <v>46050.55190972222</v>
      </c>
      <c r="C687" s="35" t="s">
        <v>9488</v>
      </c>
      <c r="D687" s="40" t="s">
        <v>9489</v>
      </c>
      <c r="E687" s="35" t="s">
        <v>10486</v>
      </c>
      <c r="F687" s="40" t="s">
        <v>8055</v>
      </c>
      <c r="G687" s="35"/>
      <c r="H687" s="35"/>
      <c r="I687" s="35" t="s">
        <v>11498</v>
      </c>
      <c r="J687" s="35" t="s">
        <v>11646</v>
      </c>
      <c r="K687" s="35" t="s">
        <v>101</v>
      </c>
      <c r="L687" s="35" t="s">
        <v>101</v>
      </c>
      <c r="M687" s="35" t="s">
        <v>511</v>
      </c>
      <c r="N687" s="35"/>
      <c r="O687" s="3"/>
    </row>
    <row r="688">
      <c r="A688" s="35" t="s">
        <v>11647</v>
      </c>
      <c r="B688" s="39">
        <v>46050.55465277778</v>
      </c>
      <c r="C688" s="35" t="s">
        <v>10486</v>
      </c>
      <c r="D688" s="40" t="s">
        <v>8055</v>
      </c>
      <c r="E688" s="35" t="s">
        <v>9488</v>
      </c>
      <c r="F688" s="40" t="s">
        <v>9489</v>
      </c>
      <c r="G688" s="35"/>
      <c r="H688" s="35"/>
      <c r="I688" s="35" t="s">
        <v>7724</v>
      </c>
      <c r="J688" s="35" t="s">
        <v>11648</v>
      </c>
      <c r="K688" s="35" t="s">
        <v>101</v>
      </c>
      <c r="L688" s="35" t="s">
        <v>101</v>
      </c>
      <c r="M688" s="35" t="s">
        <v>511</v>
      </c>
      <c r="N688" s="35"/>
      <c r="O688" s="3"/>
    </row>
    <row r="689">
      <c r="A689" s="35" t="s">
        <v>11649</v>
      </c>
      <c r="B689" s="39">
        <v>46050.572106481486</v>
      </c>
      <c r="C689" s="35" t="s">
        <v>11650</v>
      </c>
      <c r="D689" s="40" t="s">
        <v>7116</v>
      </c>
      <c r="E689" s="35" t="s">
        <v>11390</v>
      </c>
      <c r="F689" s="40" t="s">
        <v>9489</v>
      </c>
      <c r="G689" s="35"/>
      <c r="H689" s="35"/>
      <c r="I689" s="35" t="s">
        <v>11651</v>
      </c>
      <c r="J689" s="35" t="s">
        <v>11652</v>
      </c>
      <c r="K689" s="35" t="s">
        <v>202</v>
      </c>
      <c r="L689" s="35" t="s">
        <v>202</v>
      </c>
      <c r="M689" s="35" t="s">
        <v>203</v>
      </c>
      <c r="N689" s="35"/>
      <c r="O689" s="3"/>
    </row>
    <row r="690">
      <c r="A690" s="35" t="s">
        <v>11653</v>
      </c>
      <c r="B690" s="39">
        <v>46050.58532407407</v>
      </c>
      <c r="C690" s="35" t="s">
        <v>11147</v>
      </c>
      <c r="D690" s="40" t="s">
        <v>9489</v>
      </c>
      <c r="E690" s="35" t="s">
        <v>11141</v>
      </c>
      <c r="F690" s="40" t="s">
        <v>7112</v>
      </c>
      <c r="G690" s="35" t="s">
        <v>11148</v>
      </c>
      <c r="H690" s="35" t="s">
        <v>11149</v>
      </c>
      <c r="I690" s="35" t="s">
        <v>11150</v>
      </c>
      <c r="J690" s="35" t="s">
        <v>11654</v>
      </c>
      <c r="K690" s="35" t="s">
        <v>6769</v>
      </c>
      <c r="L690" s="35" t="s">
        <v>6769</v>
      </c>
      <c r="M690" s="35" t="s">
        <v>312</v>
      </c>
      <c r="N690" s="35"/>
      <c r="O690" s="3"/>
    </row>
    <row r="691">
      <c r="A691" s="35" t="s">
        <v>11655</v>
      </c>
      <c r="B691" s="39">
        <v>46050.594722222224</v>
      </c>
      <c r="C691" s="35" t="s">
        <v>11141</v>
      </c>
      <c r="D691" s="40" t="s">
        <v>7112</v>
      </c>
      <c r="E691" s="35" t="s">
        <v>11147</v>
      </c>
      <c r="F691" s="40" t="s">
        <v>9489</v>
      </c>
      <c r="G691" s="35" t="s">
        <v>11148</v>
      </c>
      <c r="H691" s="35" t="s">
        <v>11149</v>
      </c>
      <c r="I691" s="35" t="s">
        <v>11144</v>
      </c>
      <c r="J691" s="35" t="s">
        <v>11656</v>
      </c>
      <c r="K691" s="35" t="s">
        <v>6769</v>
      </c>
      <c r="L691" s="35" t="s">
        <v>6769</v>
      </c>
      <c r="M691" s="35" t="s">
        <v>312</v>
      </c>
      <c r="N691" s="35"/>
      <c r="O691" s="3"/>
    </row>
    <row r="692">
      <c r="A692" s="35" t="s">
        <v>11657</v>
      </c>
      <c r="B692" s="39">
        <v>46050.62385416667</v>
      </c>
      <c r="C692" s="35" t="s">
        <v>11147</v>
      </c>
      <c r="D692" s="40" t="s">
        <v>9489</v>
      </c>
      <c r="E692" s="35" t="s">
        <v>11141</v>
      </c>
      <c r="F692" s="40" t="s">
        <v>7112</v>
      </c>
      <c r="G692" s="35" t="s">
        <v>11148</v>
      </c>
      <c r="H692" s="35" t="s">
        <v>11149</v>
      </c>
      <c r="I692" s="35" t="s">
        <v>11150</v>
      </c>
      <c r="J692" s="35" t="s">
        <v>11658</v>
      </c>
      <c r="K692" s="35" t="s">
        <v>6769</v>
      </c>
      <c r="L692" s="35" t="s">
        <v>6769</v>
      </c>
      <c r="M692" s="35" t="s">
        <v>312</v>
      </c>
      <c r="N692" s="35"/>
      <c r="O692" s="3"/>
    </row>
    <row r="693">
      <c r="A693" s="35" t="s">
        <v>11659</v>
      </c>
      <c r="B693" s="39">
        <v>46050.65696759259</v>
      </c>
      <c r="C693" s="35" t="s">
        <v>11660</v>
      </c>
      <c r="D693" s="40" t="s">
        <v>7089</v>
      </c>
      <c r="E693" s="35" t="s">
        <v>9884</v>
      </c>
      <c r="F693" s="40" t="s">
        <v>7089</v>
      </c>
      <c r="G693" s="35" t="s">
        <v>11661</v>
      </c>
      <c r="H693" s="35" t="s">
        <v>9886</v>
      </c>
      <c r="I693" s="35" t="s">
        <v>11503</v>
      </c>
      <c r="J693" s="35" t="s">
        <v>11662</v>
      </c>
      <c r="K693" s="35" t="s">
        <v>142</v>
      </c>
      <c r="L693" s="35" t="s">
        <v>142</v>
      </c>
      <c r="M693" s="35" t="s">
        <v>143</v>
      </c>
      <c r="N693" s="35"/>
      <c r="O693" s="3"/>
    </row>
    <row r="694">
      <c r="A694" s="35" t="s">
        <v>11663</v>
      </c>
      <c r="B694" s="39">
        <v>46050.73375</v>
      </c>
      <c r="C694" s="35" t="s">
        <v>11508</v>
      </c>
      <c r="D694" s="40" t="s">
        <v>7118</v>
      </c>
      <c r="E694" s="35" t="s">
        <v>11545</v>
      </c>
      <c r="F694" s="40" t="s">
        <v>9489</v>
      </c>
      <c r="G694" s="35" t="s">
        <v>9488</v>
      </c>
      <c r="H694" s="40" t="s">
        <v>9489</v>
      </c>
      <c r="I694" s="35" t="s">
        <v>11542</v>
      </c>
      <c r="J694" s="35" t="s">
        <v>11664</v>
      </c>
      <c r="K694" s="35" t="s">
        <v>160</v>
      </c>
      <c r="L694" s="35" t="s">
        <v>160</v>
      </c>
      <c r="M694" s="35" t="s">
        <v>440</v>
      </c>
      <c r="N694" s="35"/>
      <c r="O694" s="3"/>
    </row>
    <row r="695">
      <c r="A695" s="35" t="s">
        <v>11665</v>
      </c>
      <c r="B695" s="39">
        <v>46050.73415509259</v>
      </c>
      <c r="C695" s="35" t="s">
        <v>9627</v>
      </c>
      <c r="D695" s="40" t="s">
        <v>9489</v>
      </c>
      <c r="E695" s="35" t="s">
        <v>7288</v>
      </c>
      <c r="F695" s="40" t="s">
        <v>9489</v>
      </c>
      <c r="G695" s="35" t="s">
        <v>11541</v>
      </c>
      <c r="H695" s="40" t="s">
        <v>7118</v>
      </c>
      <c r="I695" s="35" t="s">
        <v>11542</v>
      </c>
      <c r="J695" s="35" t="s">
        <v>11578</v>
      </c>
      <c r="K695" s="35" t="s">
        <v>160</v>
      </c>
      <c r="L695" s="35" t="s">
        <v>160</v>
      </c>
      <c r="M695" s="35" t="s">
        <v>440</v>
      </c>
      <c r="N695" s="35"/>
      <c r="O695" s="3"/>
    </row>
    <row r="696">
      <c r="A696" s="35" t="s">
        <v>11666</v>
      </c>
      <c r="B696" s="39">
        <v>46050.76253472222</v>
      </c>
      <c r="C696" s="35" t="s">
        <v>11348</v>
      </c>
      <c r="D696" s="40" t="s">
        <v>7120</v>
      </c>
      <c r="E696" s="35" t="s">
        <v>9488</v>
      </c>
      <c r="F696" s="40" t="s">
        <v>9489</v>
      </c>
      <c r="G696" s="35" t="s">
        <v>11667</v>
      </c>
      <c r="H696" s="35" t="s">
        <v>11340</v>
      </c>
      <c r="I696" s="35" t="s">
        <v>11668</v>
      </c>
      <c r="J696" s="35" t="s">
        <v>11669</v>
      </c>
      <c r="K696" s="35" t="s">
        <v>116</v>
      </c>
      <c r="L696" s="35" t="s">
        <v>116</v>
      </c>
      <c r="M696" s="35" t="s">
        <v>117</v>
      </c>
      <c r="N696" s="35"/>
      <c r="O696" s="3"/>
    </row>
    <row r="697">
      <c r="A697" s="35" t="s">
        <v>11670</v>
      </c>
      <c r="B697" s="39">
        <v>46050.8759837963</v>
      </c>
      <c r="C697" s="35" t="s">
        <v>9488</v>
      </c>
      <c r="D697" s="40" t="s">
        <v>9489</v>
      </c>
      <c r="E697" s="35" t="s">
        <v>7484</v>
      </c>
      <c r="F697" s="40" t="s">
        <v>7120</v>
      </c>
      <c r="G697" s="35" t="s">
        <v>11667</v>
      </c>
      <c r="H697" s="35" t="s">
        <v>11340</v>
      </c>
      <c r="I697" s="35" t="s">
        <v>11668</v>
      </c>
      <c r="J697" s="35" t="s">
        <v>11671</v>
      </c>
      <c r="K697" s="35" t="s">
        <v>116</v>
      </c>
      <c r="L697" s="35" t="s">
        <v>116</v>
      </c>
      <c r="M697" s="35" t="s">
        <v>117</v>
      </c>
      <c r="N697" s="35"/>
      <c r="O697" s="3"/>
    </row>
    <row r="698">
      <c r="A698" s="35" t="s">
        <v>11672</v>
      </c>
      <c r="B698" s="39">
        <v>46050.93444444444</v>
      </c>
      <c r="C698" s="35" t="s">
        <v>9488</v>
      </c>
      <c r="D698" s="40" t="s">
        <v>9489</v>
      </c>
      <c r="E698" s="35" t="s">
        <v>9518</v>
      </c>
      <c r="F698" s="40" t="s">
        <v>7080</v>
      </c>
      <c r="G698" s="35"/>
      <c r="H698" s="35"/>
      <c r="I698" s="35" t="s">
        <v>11673</v>
      </c>
      <c r="J698" s="35" t="s">
        <v>11674</v>
      </c>
      <c r="K698" s="35" t="s">
        <v>166</v>
      </c>
      <c r="L698" s="35" t="s">
        <v>166</v>
      </c>
      <c r="M698" s="35" t="s">
        <v>167</v>
      </c>
      <c r="N698" s="35"/>
      <c r="O698" s="3"/>
    </row>
    <row r="699">
      <c r="A699" s="35" t="s">
        <v>11675</v>
      </c>
      <c r="B699" s="39">
        <v>46051.3106712963</v>
      </c>
      <c r="C699" s="35" t="s">
        <v>9884</v>
      </c>
      <c r="D699" s="40" t="s">
        <v>7089</v>
      </c>
      <c r="E699" s="35" t="s">
        <v>11676</v>
      </c>
      <c r="F699" s="40" t="s">
        <v>7089</v>
      </c>
      <c r="G699" s="35" t="s">
        <v>11677</v>
      </c>
      <c r="H699" s="35" t="s">
        <v>9886</v>
      </c>
      <c r="I699" s="35" t="s">
        <v>11503</v>
      </c>
      <c r="J699" s="35" t="s">
        <v>11678</v>
      </c>
      <c r="K699" s="35" t="s">
        <v>142</v>
      </c>
      <c r="L699" s="35" t="s">
        <v>142</v>
      </c>
      <c r="M699" s="35" t="s">
        <v>143</v>
      </c>
      <c r="N699" s="35"/>
      <c r="O699" s="3"/>
    </row>
    <row r="700">
      <c r="A700" s="35" t="s">
        <v>11679</v>
      </c>
      <c r="B700" s="39">
        <v>46051.3855787037</v>
      </c>
      <c r="C700" s="35" t="s">
        <v>9527</v>
      </c>
      <c r="D700" s="40" t="s">
        <v>9489</v>
      </c>
      <c r="E700" s="35" t="s">
        <v>9574</v>
      </c>
      <c r="F700" s="35" t="s">
        <v>9575</v>
      </c>
      <c r="G700" s="35"/>
      <c r="H700" s="35"/>
      <c r="I700" s="35" t="s">
        <v>9576</v>
      </c>
      <c r="J700" s="35" t="s">
        <v>11680</v>
      </c>
      <c r="K700" s="35" t="s">
        <v>119</v>
      </c>
      <c r="L700" s="35" t="s">
        <v>119</v>
      </c>
      <c r="M700" s="35" t="s">
        <v>251</v>
      </c>
      <c r="N700" s="35"/>
      <c r="O700" s="3"/>
    </row>
    <row r="701">
      <c r="A701" s="35" t="s">
        <v>11681</v>
      </c>
      <c r="B701" s="39">
        <v>46051.3855787037</v>
      </c>
      <c r="C701" s="35" t="s">
        <v>9527</v>
      </c>
      <c r="D701" s="40" t="s">
        <v>9489</v>
      </c>
      <c r="E701" s="35" t="s">
        <v>10336</v>
      </c>
      <c r="F701" s="35" t="s">
        <v>10337</v>
      </c>
      <c r="G701" s="35"/>
      <c r="H701" s="35"/>
      <c r="I701" s="35" t="s">
        <v>10338</v>
      </c>
      <c r="J701" s="35" t="s">
        <v>11682</v>
      </c>
      <c r="K701" s="35" t="s">
        <v>107</v>
      </c>
      <c r="L701" s="35" t="s">
        <v>107</v>
      </c>
      <c r="M701" s="35" t="s">
        <v>242</v>
      </c>
      <c r="N701" s="35"/>
      <c r="O701" s="3"/>
    </row>
    <row r="702">
      <c r="A702" s="35" t="s">
        <v>11683</v>
      </c>
      <c r="B702" s="39">
        <v>46051.43784722222</v>
      </c>
      <c r="C702" s="35" t="s">
        <v>9488</v>
      </c>
      <c r="D702" s="40" t="s">
        <v>9489</v>
      </c>
      <c r="E702" s="35" t="s">
        <v>9518</v>
      </c>
      <c r="F702" s="40" t="s">
        <v>7080</v>
      </c>
      <c r="G702" s="35"/>
      <c r="H702" s="35"/>
      <c r="I702" s="35" t="s">
        <v>11673</v>
      </c>
      <c r="J702" s="35" t="s">
        <v>11684</v>
      </c>
      <c r="K702" s="35" t="s">
        <v>166</v>
      </c>
      <c r="L702" s="35" t="s">
        <v>166</v>
      </c>
      <c r="M702" s="35" t="s">
        <v>167</v>
      </c>
      <c r="N702" s="35"/>
      <c r="O702" s="3"/>
    </row>
    <row r="703">
      <c r="A703" s="35" t="s">
        <v>11685</v>
      </c>
      <c r="B703" s="39">
        <v>46051.43488425926</v>
      </c>
      <c r="C703" s="35" t="s">
        <v>9884</v>
      </c>
      <c r="D703" s="40" t="s">
        <v>7089</v>
      </c>
      <c r="E703" s="35" t="s">
        <v>11660</v>
      </c>
      <c r="F703" s="40" t="s">
        <v>7089</v>
      </c>
      <c r="G703" s="35" t="s">
        <v>9864</v>
      </c>
      <c r="H703" s="40" t="s">
        <v>7089</v>
      </c>
      <c r="I703" s="35" t="s">
        <v>11503</v>
      </c>
      <c r="J703" s="35" t="s">
        <v>11686</v>
      </c>
      <c r="K703" s="35" t="s">
        <v>142</v>
      </c>
      <c r="L703" s="35" t="s">
        <v>142</v>
      </c>
      <c r="M703" s="35" t="s">
        <v>143</v>
      </c>
      <c r="N703" s="35"/>
      <c r="O703" s="3"/>
    </row>
    <row r="704">
      <c r="A704" s="35" t="s">
        <v>11687</v>
      </c>
      <c r="B704" s="39">
        <v>46051.49098379629</v>
      </c>
      <c r="C704" s="35" t="s">
        <v>9518</v>
      </c>
      <c r="D704" s="40" t="s">
        <v>7080</v>
      </c>
      <c r="E704" s="35" t="s">
        <v>9488</v>
      </c>
      <c r="F704" s="40" t="s">
        <v>9489</v>
      </c>
      <c r="G704" s="35"/>
      <c r="H704" s="35"/>
      <c r="I704" s="35" t="s">
        <v>11688</v>
      </c>
      <c r="J704" s="35" t="s">
        <v>11689</v>
      </c>
      <c r="K704" s="35" t="s">
        <v>166</v>
      </c>
      <c r="L704" s="35" t="s">
        <v>166</v>
      </c>
      <c r="M704" s="35" t="s">
        <v>167</v>
      </c>
      <c r="N704" s="35"/>
      <c r="O704" s="3"/>
    </row>
    <row r="705">
      <c r="A705" s="35" t="s">
        <v>11690</v>
      </c>
      <c r="B705" s="39">
        <v>46051.48905092593</v>
      </c>
      <c r="C705" s="35" t="s">
        <v>9556</v>
      </c>
      <c r="D705" s="40" t="s">
        <v>9489</v>
      </c>
      <c r="E705" s="35" t="s">
        <v>11691</v>
      </c>
      <c r="F705" s="40" t="s">
        <v>10250</v>
      </c>
      <c r="G705" s="35" t="s">
        <v>9488</v>
      </c>
      <c r="H705" s="40" t="s">
        <v>9489</v>
      </c>
      <c r="I705" s="35" t="s">
        <v>10254</v>
      </c>
      <c r="J705" s="35" t="s">
        <v>11692</v>
      </c>
      <c r="K705" s="35" t="s">
        <v>107</v>
      </c>
      <c r="L705" s="35" t="s">
        <v>107</v>
      </c>
      <c r="M705" s="35" t="s">
        <v>242</v>
      </c>
      <c r="N705" s="35"/>
      <c r="O705" s="3"/>
    </row>
    <row r="706">
      <c r="A706" s="35" t="s">
        <v>11693</v>
      </c>
      <c r="B706" s="39">
        <v>46051.48177083333</v>
      </c>
      <c r="C706" s="35" t="s">
        <v>10310</v>
      </c>
      <c r="D706" s="40" t="s">
        <v>7105</v>
      </c>
      <c r="E706" s="35" t="s">
        <v>9488</v>
      </c>
      <c r="F706" s="40" t="s">
        <v>9489</v>
      </c>
      <c r="G706" s="35"/>
      <c r="H706" s="35"/>
      <c r="I706" s="35" t="s">
        <v>10311</v>
      </c>
      <c r="J706" s="35" t="s">
        <v>11694</v>
      </c>
      <c r="K706" s="35" t="s">
        <v>128</v>
      </c>
      <c r="L706" s="35" t="s">
        <v>128</v>
      </c>
      <c r="M706" s="35" t="s">
        <v>301</v>
      </c>
      <c r="N706" s="35"/>
      <c r="O706" s="3"/>
    </row>
    <row r="707">
      <c r="A707" s="35" t="s">
        <v>11695</v>
      </c>
      <c r="B707" s="39">
        <v>46051.592951388884</v>
      </c>
      <c r="C707" s="35" t="s">
        <v>9488</v>
      </c>
      <c r="D707" s="40" t="s">
        <v>9489</v>
      </c>
      <c r="E707" s="35" t="s">
        <v>11696</v>
      </c>
      <c r="F707" s="40" t="s">
        <v>7115</v>
      </c>
      <c r="G707" s="35" t="s">
        <v>9597</v>
      </c>
      <c r="H707" s="40" t="s">
        <v>9489</v>
      </c>
      <c r="I707" s="35" t="s">
        <v>11697</v>
      </c>
      <c r="J707" s="35" t="s">
        <v>11698</v>
      </c>
      <c r="K707" s="35" t="s">
        <v>151</v>
      </c>
      <c r="L707" s="35" t="s">
        <v>151</v>
      </c>
      <c r="M707" s="35" t="s">
        <v>370</v>
      </c>
      <c r="N707" s="35"/>
      <c r="O707" s="3"/>
    </row>
    <row r="708">
      <c r="A708" s="35" t="s">
        <v>11699</v>
      </c>
      <c r="B708" s="39">
        <v>46051.59688657407</v>
      </c>
      <c r="C708" s="35" t="s">
        <v>9488</v>
      </c>
      <c r="D708" s="40" t="s">
        <v>9489</v>
      </c>
      <c r="E708" s="35" t="s">
        <v>11696</v>
      </c>
      <c r="F708" s="40" t="s">
        <v>7115</v>
      </c>
      <c r="G708" s="35" t="s">
        <v>11700</v>
      </c>
      <c r="H708" s="40" t="s">
        <v>9489</v>
      </c>
      <c r="I708" s="35" t="s">
        <v>11697</v>
      </c>
      <c r="J708" s="35" t="s">
        <v>11701</v>
      </c>
      <c r="K708" s="35" t="s">
        <v>151</v>
      </c>
      <c r="L708" s="35" t="s">
        <v>151</v>
      </c>
      <c r="M708" s="35" t="s">
        <v>370</v>
      </c>
      <c r="N708" s="35"/>
      <c r="O708" s="3"/>
    </row>
    <row r="709">
      <c r="A709" s="35" t="s">
        <v>11702</v>
      </c>
      <c r="B709" s="39">
        <v>46051.60822916667</v>
      </c>
      <c r="C709" s="35" t="s">
        <v>10245</v>
      </c>
      <c r="D709" s="40" t="s">
        <v>7106</v>
      </c>
      <c r="E709" s="35" t="s">
        <v>9488</v>
      </c>
      <c r="F709" s="40" t="s">
        <v>9489</v>
      </c>
      <c r="G709" s="35"/>
      <c r="H709" s="35"/>
      <c r="I709" s="35" t="s">
        <v>11703</v>
      </c>
      <c r="J709" s="35" t="s">
        <v>11704</v>
      </c>
      <c r="K709" s="35" t="s">
        <v>122</v>
      </c>
      <c r="L709" s="35" t="s">
        <v>122</v>
      </c>
      <c r="M709" s="35" t="s">
        <v>123</v>
      </c>
      <c r="N709" s="35"/>
      <c r="O709" s="3"/>
    </row>
    <row r="710">
      <c r="A710" s="35" t="s">
        <v>11705</v>
      </c>
      <c r="B710" s="39">
        <v>46051.63260416666</v>
      </c>
      <c r="C710" s="35" t="s">
        <v>9488</v>
      </c>
      <c r="D710" s="40" t="s">
        <v>9489</v>
      </c>
      <c r="E710" s="35" t="s">
        <v>11706</v>
      </c>
      <c r="F710" s="35" t="s">
        <v>10408</v>
      </c>
      <c r="G710" s="35"/>
      <c r="H710" s="35"/>
      <c r="I710" s="35" t="s">
        <v>7712</v>
      </c>
      <c r="J710" s="35" t="s">
        <v>11707</v>
      </c>
      <c r="K710" s="35" t="s">
        <v>122</v>
      </c>
      <c r="L710" s="35" t="s">
        <v>122</v>
      </c>
      <c r="M710" s="35" t="s">
        <v>123</v>
      </c>
      <c r="N710" s="35"/>
      <c r="O710" s="3"/>
    </row>
    <row r="711">
      <c r="A711" s="35" t="s">
        <v>11708</v>
      </c>
      <c r="B711" s="39">
        <v>46051.89185185185</v>
      </c>
      <c r="C711" s="35" t="s">
        <v>9488</v>
      </c>
      <c r="D711" s="40" t="s">
        <v>9489</v>
      </c>
      <c r="E711" s="35" t="s">
        <v>9763</v>
      </c>
      <c r="F711" s="40" t="s">
        <v>7086</v>
      </c>
      <c r="G711" s="35" t="s">
        <v>11709</v>
      </c>
      <c r="H711" s="35" t="s">
        <v>11710</v>
      </c>
      <c r="I711" s="35" t="s">
        <v>9768</v>
      </c>
      <c r="J711" s="35" t="s">
        <v>11711</v>
      </c>
      <c r="K711" s="35" t="s">
        <v>208</v>
      </c>
      <c r="L711" s="35" t="s">
        <v>208</v>
      </c>
      <c r="M711" s="35" t="s">
        <v>209</v>
      </c>
      <c r="N711" s="35"/>
      <c r="O711" s="3"/>
    </row>
    <row r="712">
      <c r="A712" s="35" t="s">
        <v>11712</v>
      </c>
      <c r="B712" s="39">
        <v>46051.9280787037</v>
      </c>
      <c r="C712" s="35" t="s">
        <v>9488</v>
      </c>
      <c r="D712" s="40" t="s">
        <v>9489</v>
      </c>
      <c r="E712" s="35" t="s">
        <v>9763</v>
      </c>
      <c r="F712" s="40" t="s">
        <v>7086</v>
      </c>
      <c r="G712" s="35" t="s">
        <v>11709</v>
      </c>
      <c r="H712" s="35" t="s">
        <v>11710</v>
      </c>
      <c r="I712" s="35" t="s">
        <v>9768</v>
      </c>
      <c r="J712" s="35" t="s">
        <v>11713</v>
      </c>
      <c r="K712" s="35" t="s">
        <v>208</v>
      </c>
      <c r="L712" s="35" t="s">
        <v>208</v>
      </c>
      <c r="M712" s="35" t="s">
        <v>209</v>
      </c>
      <c r="N712" s="35"/>
      <c r="O712" s="3"/>
    </row>
    <row r="713">
      <c r="A713" s="35" t="s">
        <v>11714</v>
      </c>
      <c r="B713" s="39">
        <v>46051.93688657407</v>
      </c>
      <c r="C713" s="35" t="s">
        <v>9488</v>
      </c>
      <c r="D713" s="40" t="s">
        <v>9489</v>
      </c>
      <c r="E713" s="35" t="s">
        <v>9763</v>
      </c>
      <c r="F713" s="40" t="s">
        <v>7086</v>
      </c>
      <c r="G713" s="35" t="s">
        <v>11709</v>
      </c>
      <c r="H713" s="35" t="s">
        <v>11710</v>
      </c>
      <c r="I713" s="35" t="s">
        <v>9768</v>
      </c>
      <c r="J713" s="35" t="s">
        <v>11715</v>
      </c>
      <c r="K713" s="35" t="s">
        <v>208</v>
      </c>
      <c r="L713" s="35" t="s">
        <v>208</v>
      </c>
      <c r="M713" s="35" t="s">
        <v>209</v>
      </c>
      <c r="N713" s="35"/>
      <c r="O713" s="3"/>
    </row>
    <row r="714">
      <c r="A714" s="35" t="s">
        <v>11716</v>
      </c>
      <c r="B714" s="39">
        <v>46051.94969907407</v>
      </c>
      <c r="C714" s="35" t="s">
        <v>9488</v>
      </c>
      <c r="D714" s="40" t="s">
        <v>9489</v>
      </c>
      <c r="E714" s="35" t="s">
        <v>9763</v>
      </c>
      <c r="F714" s="40" t="s">
        <v>7086</v>
      </c>
      <c r="G714" s="35" t="s">
        <v>11709</v>
      </c>
      <c r="H714" s="35" t="s">
        <v>11710</v>
      </c>
      <c r="I714" s="35" t="s">
        <v>9768</v>
      </c>
      <c r="J714" s="35" t="s">
        <v>11717</v>
      </c>
      <c r="K714" s="35" t="s">
        <v>208</v>
      </c>
      <c r="L714" s="35" t="s">
        <v>208</v>
      </c>
      <c r="M714" s="35" t="s">
        <v>209</v>
      </c>
      <c r="N714" s="35"/>
      <c r="O714" s="3"/>
    </row>
    <row r="715">
      <c r="A715" s="35" t="s">
        <v>11718</v>
      </c>
      <c r="B715" s="39">
        <v>46051.94987268519</v>
      </c>
      <c r="C715" s="35" t="s">
        <v>9488</v>
      </c>
      <c r="D715" s="40" t="s">
        <v>9489</v>
      </c>
      <c r="E715" s="35" t="s">
        <v>9763</v>
      </c>
      <c r="F715" s="40" t="s">
        <v>7086</v>
      </c>
      <c r="G715" s="35" t="s">
        <v>11709</v>
      </c>
      <c r="H715" s="35" t="s">
        <v>11710</v>
      </c>
      <c r="I715" s="35" t="s">
        <v>9768</v>
      </c>
      <c r="J715" s="35" t="s">
        <v>11719</v>
      </c>
      <c r="K715" s="35" t="s">
        <v>208</v>
      </c>
      <c r="L715" s="35" t="s">
        <v>208</v>
      </c>
      <c r="M715" s="35" t="s">
        <v>209</v>
      </c>
      <c r="N715" s="35"/>
      <c r="O715" s="3"/>
    </row>
    <row r="716">
      <c r="A716" s="35" t="s">
        <v>11720</v>
      </c>
      <c r="B716" s="39">
        <v>46052.33333333333</v>
      </c>
      <c r="C716" s="35" t="s">
        <v>9488</v>
      </c>
      <c r="D716" s="40" t="s">
        <v>9489</v>
      </c>
      <c r="E716" s="35" t="s">
        <v>9518</v>
      </c>
      <c r="F716" s="40" t="s">
        <v>7080</v>
      </c>
      <c r="G716" s="35"/>
      <c r="H716" s="35"/>
      <c r="I716" s="35" t="s">
        <v>11721</v>
      </c>
      <c r="J716" s="35" t="s">
        <v>11722</v>
      </c>
      <c r="K716" s="35" t="s">
        <v>166</v>
      </c>
      <c r="L716" s="35" t="s">
        <v>166</v>
      </c>
      <c r="M716" s="35" t="s">
        <v>167</v>
      </c>
      <c r="N716" s="35"/>
      <c r="O716" s="3"/>
    </row>
    <row r="717">
      <c r="A717" s="35" t="s">
        <v>11723</v>
      </c>
      <c r="B717" s="39">
        <v>46052.33333333333</v>
      </c>
      <c r="C717" s="35" t="s">
        <v>9488</v>
      </c>
      <c r="D717" s="40" t="s">
        <v>9489</v>
      </c>
      <c r="E717" s="35" t="s">
        <v>9763</v>
      </c>
      <c r="F717" s="40" t="s">
        <v>7086</v>
      </c>
      <c r="G717" s="35" t="s">
        <v>11709</v>
      </c>
      <c r="H717" s="35" t="s">
        <v>11710</v>
      </c>
      <c r="I717" s="35" t="s">
        <v>9768</v>
      </c>
      <c r="J717" s="35" t="s">
        <v>11724</v>
      </c>
      <c r="K717" s="35" t="s">
        <v>208</v>
      </c>
      <c r="L717" s="35" t="s">
        <v>208</v>
      </c>
      <c r="M717" s="35" t="s">
        <v>209</v>
      </c>
      <c r="N717" s="35"/>
      <c r="O717" s="3"/>
    </row>
    <row r="718">
      <c r="A718" s="35" t="s">
        <v>11725</v>
      </c>
      <c r="B718" s="39">
        <v>46052.34737268518</v>
      </c>
      <c r="C718" s="35" t="s">
        <v>11726</v>
      </c>
      <c r="D718" s="40" t="s">
        <v>7086</v>
      </c>
      <c r="E718" s="35" t="s">
        <v>9488</v>
      </c>
      <c r="F718" s="40" t="s">
        <v>9489</v>
      </c>
      <c r="G718" s="35"/>
      <c r="H718" s="35"/>
      <c r="I718" s="35" t="s">
        <v>11727</v>
      </c>
      <c r="J718" s="35" t="s">
        <v>11728</v>
      </c>
      <c r="K718" s="35" t="s">
        <v>208</v>
      </c>
      <c r="L718" s="35" t="s">
        <v>208</v>
      </c>
      <c r="M718" s="35" t="s">
        <v>209</v>
      </c>
      <c r="N718" s="35"/>
      <c r="O718" s="3"/>
    </row>
    <row r="719">
      <c r="A719" s="35" t="s">
        <v>11729</v>
      </c>
      <c r="B719" s="39">
        <v>46052.35674768519</v>
      </c>
      <c r="C719" s="35" t="s">
        <v>11730</v>
      </c>
      <c r="D719" s="40" t="s">
        <v>7100</v>
      </c>
      <c r="E719" s="35" t="s">
        <v>9488</v>
      </c>
      <c r="F719" s="40" t="s">
        <v>9489</v>
      </c>
      <c r="G719" s="35"/>
      <c r="H719" s="35"/>
      <c r="I719" s="35" t="s">
        <v>11731</v>
      </c>
      <c r="J719" s="35" t="s">
        <v>11732</v>
      </c>
      <c r="K719" s="35" t="s">
        <v>125</v>
      </c>
      <c r="L719" s="35" t="s">
        <v>125</v>
      </c>
      <c r="M719" s="35" t="s">
        <v>126</v>
      </c>
      <c r="N719" s="35"/>
      <c r="O719" s="3"/>
    </row>
    <row r="720">
      <c r="A720" s="35" t="s">
        <v>11733</v>
      </c>
      <c r="B720" s="39">
        <v>46052.38553240741</v>
      </c>
      <c r="C720" s="35" t="s">
        <v>9527</v>
      </c>
      <c r="D720" s="40" t="s">
        <v>9489</v>
      </c>
      <c r="E720" s="35" t="s">
        <v>11734</v>
      </c>
      <c r="F720" s="35" t="s">
        <v>9580</v>
      </c>
      <c r="G720" s="35"/>
      <c r="H720" s="35"/>
      <c r="I720" s="35" t="s">
        <v>11735</v>
      </c>
      <c r="J720" s="35" t="s">
        <v>11736</v>
      </c>
      <c r="K720" s="35" t="s">
        <v>166</v>
      </c>
      <c r="L720" s="35" t="s">
        <v>166</v>
      </c>
      <c r="M720" s="35" t="s">
        <v>167</v>
      </c>
      <c r="N720" s="35"/>
      <c r="O720" s="3"/>
    </row>
    <row r="721">
      <c r="A721" s="35" t="s">
        <v>11737</v>
      </c>
      <c r="B721" s="39">
        <v>46052.38553240741</v>
      </c>
      <c r="C721" s="35" t="s">
        <v>9527</v>
      </c>
      <c r="D721" s="40" t="s">
        <v>9489</v>
      </c>
      <c r="E721" s="35" t="s">
        <v>11738</v>
      </c>
      <c r="F721" s="35" t="s">
        <v>11710</v>
      </c>
      <c r="G721" s="35"/>
      <c r="H721" s="35"/>
      <c r="I721" s="35" t="s">
        <v>11739</v>
      </c>
      <c r="J721" s="35" t="s">
        <v>11740</v>
      </c>
      <c r="K721" s="35" t="s">
        <v>208</v>
      </c>
      <c r="L721" s="35" t="s">
        <v>208</v>
      </c>
      <c r="M721" s="35" t="s">
        <v>209</v>
      </c>
      <c r="N721" s="35"/>
      <c r="O721" s="3"/>
    </row>
    <row r="722">
      <c r="A722" s="35" t="s">
        <v>11741</v>
      </c>
      <c r="B722" s="39">
        <v>46052.38552083333</v>
      </c>
      <c r="C722" s="35" t="s">
        <v>9527</v>
      </c>
      <c r="D722" s="40" t="s">
        <v>9489</v>
      </c>
      <c r="E722" s="35" t="s">
        <v>9877</v>
      </c>
      <c r="F722" s="35" t="s">
        <v>9843</v>
      </c>
      <c r="G722" s="35"/>
      <c r="H722" s="35"/>
      <c r="I722" s="35" t="s">
        <v>9878</v>
      </c>
      <c r="J722" s="35" t="s">
        <v>11742</v>
      </c>
      <c r="K722" s="35" t="s">
        <v>199</v>
      </c>
      <c r="L722" s="35" t="s">
        <v>199</v>
      </c>
      <c r="M722" s="35" t="s">
        <v>272</v>
      </c>
      <c r="N722" s="35"/>
      <c r="O722" s="3"/>
    </row>
    <row r="723">
      <c r="A723" s="35" t="s">
        <v>11743</v>
      </c>
      <c r="B723" s="39">
        <v>46052.38552083333</v>
      </c>
      <c r="C723" s="35" t="s">
        <v>9527</v>
      </c>
      <c r="D723" s="40" t="s">
        <v>9489</v>
      </c>
      <c r="E723" s="35" t="s">
        <v>10327</v>
      </c>
      <c r="F723" s="35" t="s">
        <v>10282</v>
      </c>
      <c r="G723" s="35"/>
      <c r="H723" s="35"/>
      <c r="I723" s="35" t="s">
        <v>10328</v>
      </c>
      <c r="J723" s="35" t="s">
        <v>11744</v>
      </c>
      <c r="K723" s="35" t="s">
        <v>128</v>
      </c>
      <c r="L723" s="35" t="s">
        <v>128</v>
      </c>
      <c r="M723" s="35" t="s">
        <v>301</v>
      </c>
      <c r="N723" s="35"/>
      <c r="O723" s="3"/>
    </row>
    <row r="724">
      <c r="A724" s="35" t="s">
        <v>11745</v>
      </c>
      <c r="B724" s="39">
        <v>46052.38552083333</v>
      </c>
      <c r="C724" s="35" t="s">
        <v>9527</v>
      </c>
      <c r="D724" s="40" t="s">
        <v>9489</v>
      </c>
      <c r="E724" s="35" t="s">
        <v>11199</v>
      </c>
      <c r="F724" s="35" t="s">
        <v>11149</v>
      </c>
      <c r="G724" s="35"/>
      <c r="H724" s="35"/>
      <c r="I724" s="35" t="s">
        <v>11200</v>
      </c>
      <c r="J724" s="35" t="s">
        <v>11746</v>
      </c>
      <c r="K724" s="35" t="s">
        <v>6769</v>
      </c>
      <c r="L724" s="35" t="s">
        <v>6769</v>
      </c>
      <c r="M724" s="35" t="s">
        <v>312</v>
      </c>
      <c r="N724" s="35"/>
      <c r="O724" s="3"/>
    </row>
    <row r="725">
      <c r="A725" s="35" t="s">
        <v>11747</v>
      </c>
      <c r="B725" s="39">
        <v>46052.391793981486</v>
      </c>
      <c r="C725" s="35" t="s">
        <v>9974</v>
      </c>
      <c r="D725" s="40" t="s">
        <v>7095</v>
      </c>
      <c r="E725" s="35" t="s">
        <v>9488</v>
      </c>
      <c r="F725" s="40" t="s">
        <v>9489</v>
      </c>
      <c r="G725" s="35"/>
      <c r="H725" s="35"/>
      <c r="I725" s="35" t="s">
        <v>11748</v>
      </c>
      <c r="J725" s="35" t="s">
        <v>11749</v>
      </c>
      <c r="K725" s="35" t="s">
        <v>163</v>
      </c>
      <c r="L725" s="35" t="s">
        <v>163</v>
      </c>
      <c r="M725" s="35" t="s">
        <v>430</v>
      </c>
      <c r="N725" s="35"/>
      <c r="O725" s="3"/>
    </row>
    <row r="726">
      <c r="A726" s="35" t="s">
        <v>11750</v>
      </c>
      <c r="B726" s="39">
        <v>46052.43163194445</v>
      </c>
      <c r="C726" s="35" t="s">
        <v>9974</v>
      </c>
      <c r="D726" s="40" t="s">
        <v>7095</v>
      </c>
      <c r="E726" s="35" t="s">
        <v>9488</v>
      </c>
      <c r="F726" s="40" t="s">
        <v>9489</v>
      </c>
      <c r="G726" s="35"/>
      <c r="H726" s="35"/>
      <c r="I726" s="35" t="s">
        <v>11751</v>
      </c>
      <c r="J726" s="35" t="s">
        <v>11752</v>
      </c>
      <c r="K726" s="35" t="s">
        <v>163</v>
      </c>
      <c r="L726" s="35" t="s">
        <v>163</v>
      </c>
      <c r="M726" s="35" t="s">
        <v>430</v>
      </c>
      <c r="N726" s="35"/>
      <c r="O726" s="3"/>
    </row>
    <row r="727">
      <c r="A727" s="35" t="s">
        <v>11753</v>
      </c>
      <c r="B727" s="39">
        <v>46052.48053240741</v>
      </c>
      <c r="C727" s="35" t="s">
        <v>9488</v>
      </c>
      <c r="D727" s="40" t="s">
        <v>9489</v>
      </c>
      <c r="E727" s="35" t="s">
        <v>9974</v>
      </c>
      <c r="F727" s="40" t="s">
        <v>7095</v>
      </c>
      <c r="G727" s="35"/>
      <c r="H727" s="35"/>
      <c r="I727" s="35" t="s">
        <v>11754</v>
      </c>
      <c r="J727" s="35" t="s">
        <v>11755</v>
      </c>
      <c r="K727" s="35" t="s">
        <v>163</v>
      </c>
      <c r="L727" s="35" t="s">
        <v>163</v>
      </c>
      <c r="M727" s="35" t="s">
        <v>430</v>
      </c>
      <c r="N727" s="35"/>
      <c r="O727" s="3"/>
    </row>
    <row r="728">
      <c r="A728" s="35" t="s">
        <v>11756</v>
      </c>
      <c r="B728" s="39">
        <v>46052.529803240745</v>
      </c>
      <c r="C728" s="35" t="s">
        <v>9488</v>
      </c>
      <c r="D728" s="40" t="s">
        <v>9489</v>
      </c>
      <c r="E728" s="35" t="s">
        <v>9974</v>
      </c>
      <c r="F728" s="40" t="s">
        <v>7095</v>
      </c>
      <c r="G728" s="35"/>
      <c r="H728" s="35"/>
      <c r="I728" s="35" t="s">
        <v>11754</v>
      </c>
      <c r="J728" s="35" t="s">
        <v>11757</v>
      </c>
      <c r="K728" s="35" t="s">
        <v>163</v>
      </c>
      <c r="L728" s="35" t="s">
        <v>163</v>
      </c>
      <c r="M728" s="35" t="s">
        <v>430</v>
      </c>
      <c r="N728" s="35"/>
      <c r="O728" s="3"/>
    </row>
    <row r="729">
      <c r="A729" s="35" t="s">
        <v>11758</v>
      </c>
      <c r="B729" s="39">
        <v>46052.524606481486</v>
      </c>
      <c r="C729" s="35" t="s">
        <v>9488</v>
      </c>
      <c r="D729" s="40" t="s">
        <v>9489</v>
      </c>
      <c r="E729" s="35" t="s">
        <v>10486</v>
      </c>
      <c r="F729" s="40" t="s">
        <v>8055</v>
      </c>
      <c r="G729" s="35"/>
      <c r="H729" s="35"/>
      <c r="I729" s="35" t="s">
        <v>11759</v>
      </c>
      <c r="J729" s="35" t="s">
        <v>11760</v>
      </c>
      <c r="K729" s="35" t="s">
        <v>101</v>
      </c>
      <c r="L729" s="35" t="s">
        <v>101</v>
      </c>
      <c r="M729" s="35" t="s">
        <v>511</v>
      </c>
      <c r="N729" s="35"/>
      <c r="O729" s="3"/>
    </row>
    <row r="730">
      <c r="A730" s="35" t="s">
        <v>11761</v>
      </c>
      <c r="B730" s="39">
        <v>46052.57162037037</v>
      </c>
      <c r="C730" s="35" t="s">
        <v>9488</v>
      </c>
      <c r="D730" s="40" t="s">
        <v>9489</v>
      </c>
      <c r="E730" s="35" t="s">
        <v>9974</v>
      </c>
      <c r="F730" s="40" t="s">
        <v>7095</v>
      </c>
      <c r="G730" s="35"/>
      <c r="H730" s="35"/>
      <c r="I730" s="35" t="s">
        <v>11754</v>
      </c>
      <c r="J730" s="35" t="s">
        <v>11762</v>
      </c>
      <c r="K730" s="35" t="s">
        <v>163</v>
      </c>
      <c r="L730" s="35" t="s">
        <v>163</v>
      </c>
      <c r="M730" s="35" t="s">
        <v>430</v>
      </c>
      <c r="N730" s="35"/>
      <c r="O730" s="3"/>
    </row>
    <row r="731">
      <c r="A731" s="35" t="s">
        <v>11763</v>
      </c>
      <c r="B731" s="39">
        <v>46052.58105324074</v>
      </c>
      <c r="C731" s="35" t="s">
        <v>9974</v>
      </c>
      <c r="D731" s="40" t="s">
        <v>7095</v>
      </c>
      <c r="E731" s="35" t="s">
        <v>10758</v>
      </c>
      <c r="F731" s="40" t="s">
        <v>9489</v>
      </c>
      <c r="G731" s="35"/>
      <c r="H731" s="35"/>
      <c r="I731" s="35" t="s">
        <v>11764</v>
      </c>
      <c r="J731" s="35" t="s">
        <v>11765</v>
      </c>
      <c r="K731" s="35" t="s">
        <v>163</v>
      </c>
      <c r="L731" s="35" t="s">
        <v>163</v>
      </c>
      <c r="M731" s="35" t="s">
        <v>430</v>
      </c>
      <c r="N731" s="35"/>
      <c r="O731" s="3"/>
    </row>
    <row r="732">
      <c r="A732" s="35" t="s">
        <v>11766</v>
      </c>
      <c r="B732" s="39">
        <v>46052.63171296296</v>
      </c>
      <c r="C732" s="35" t="s">
        <v>10661</v>
      </c>
      <c r="D732" s="40" t="s">
        <v>9489</v>
      </c>
      <c r="E732" s="35" t="s">
        <v>9974</v>
      </c>
      <c r="F732" s="40" t="s">
        <v>7095</v>
      </c>
      <c r="G732" s="35" t="s">
        <v>9488</v>
      </c>
      <c r="H732" s="40" t="s">
        <v>9489</v>
      </c>
      <c r="I732" s="35" t="s">
        <v>11767</v>
      </c>
      <c r="J732" s="35" t="s">
        <v>11768</v>
      </c>
      <c r="K732" s="35" t="s">
        <v>163</v>
      </c>
      <c r="L732" s="35" t="s">
        <v>163</v>
      </c>
      <c r="M732" s="35" t="s">
        <v>430</v>
      </c>
      <c r="N732" s="35"/>
      <c r="O732" s="3"/>
    </row>
    <row r="733">
      <c r="A733" s="35" t="s">
        <v>11769</v>
      </c>
      <c r="B733" s="39">
        <v>46052.64703703704</v>
      </c>
      <c r="C733" s="35" t="s">
        <v>9488</v>
      </c>
      <c r="D733" s="40" t="s">
        <v>9489</v>
      </c>
      <c r="E733" s="35" t="s">
        <v>11770</v>
      </c>
      <c r="F733" s="40" t="s">
        <v>11771</v>
      </c>
      <c r="G733" s="35" t="s">
        <v>11772</v>
      </c>
      <c r="H733" s="35" t="s">
        <v>11773</v>
      </c>
      <c r="I733" s="35" t="s">
        <v>11774</v>
      </c>
      <c r="J733" s="35" t="s">
        <v>11775</v>
      </c>
      <c r="K733" s="35" t="s">
        <v>154</v>
      </c>
      <c r="L733" s="35" t="s">
        <v>154</v>
      </c>
      <c r="M733" s="35" t="s">
        <v>329</v>
      </c>
      <c r="N733" s="35"/>
      <c r="O733" s="3"/>
    </row>
    <row r="734">
      <c r="A734" s="35" t="s">
        <v>11776</v>
      </c>
      <c r="B734" s="39">
        <v>46052.660682870366</v>
      </c>
      <c r="C734" s="35" t="s">
        <v>9974</v>
      </c>
      <c r="D734" s="40" t="s">
        <v>7095</v>
      </c>
      <c r="E734" s="35" t="s">
        <v>10770</v>
      </c>
      <c r="F734" s="40" t="s">
        <v>9489</v>
      </c>
      <c r="G734" s="35" t="s">
        <v>9488</v>
      </c>
      <c r="H734" s="40" t="s">
        <v>9489</v>
      </c>
      <c r="I734" s="35" t="s">
        <v>11764</v>
      </c>
      <c r="J734" s="35" t="s">
        <v>11777</v>
      </c>
      <c r="K734" s="35" t="s">
        <v>163</v>
      </c>
      <c r="L734" s="35" t="s">
        <v>163</v>
      </c>
      <c r="M734" s="35" t="s">
        <v>430</v>
      </c>
      <c r="N734" s="35"/>
      <c r="O734" s="3"/>
    </row>
    <row r="735">
      <c r="A735" s="35" t="s">
        <v>11778</v>
      </c>
      <c r="B735" s="39">
        <v>46052.666354166664</v>
      </c>
      <c r="C735" s="35" t="s">
        <v>10661</v>
      </c>
      <c r="D735" s="40" t="s">
        <v>9489</v>
      </c>
      <c r="E735" s="35" t="s">
        <v>9974</v>
      </c>
      <c r="F735" s="40" t="s">
        <v>7095</v>
      </c>
      <c r="G735" s="35" t="s">
        <v>9488</v>
      </c>
      <c r="H735" s="40" t="s">
        <v>9489</v>
      </c>
      <c r="I735" s="35" t="s">
        <v>11767</v>
      </c>
      <c r="J735" s="35" t="s">
        <v>11779</v>
      </c>
      <c r="K735" s="35" t="s">
        <v>163</v>
      </c>
      <c r="L735" s="35" t="s">
        <v>163</v>
      </c>
      <c r="M735" s="35" t="s">
        <v>430</v>
      </c>
      <c r="N735" s="35"/>
      <c r="O735" s="3"/>
    </row>
    <row r="736">
      <c r="A736" s="35" t="s">
        <v>11780</v>
      </c>
      <c r="B736" s="39">
        <v>46052.678888888884</v>
      </c>
      <c r="C736" s="35" t="s">
        <v>11453</v>
      </c>
      <c r="D736" s="40" t="s">
        <v>7090</v>
      </c>
      <c r="E736" s="35" t="s">
        <v>11781</v>
      </c>
      <c r="F736" s="40" t="s">
        <v>9489</v>
      </c>
      <c r="G736" s="35" t="s">
        <v>11390</v>
      </c>
      <c r="H736" s="40" t="s">
        <v>9489</v>
      </c>
      <c r="I736" s="35" t="s">
        <v>11481</v>
      </c>
      <c r="J736" s="35" t="s">
        <v>11782</v>
      </c>
      <c r="K736" s="35" t="s">
        <v>199</v>
      </c>
      <c r="L736" s="35" t="s">
        <v>199</v>
      </c>
      <c r="M736" s="35" t="s">
        <v>272</v>
      </c>
      <c r="N736" s="35"/>
      <c r="O736" s="3"/>
    </row>
    <row r="737">
      <c r="A737" s="35" t="s">
        <v>11783</v>
      </c>
      <c r="B737" s="39">
        <v>46052.68488425926</v>
      </c>
      <c r="C737" s="35" t="s">
        <v>10661</v>
      </c>
      <c r="D737" s="40" t="s">
        <v>9489</v>
      </c>
      <c r="E737" s="35" t="s">
        <v>11453</v>
      </c>
      <c r="F737" s="40" t="s">
        <v>7090</v>
      </c>
      <c r="G737" s="35" t="s">
        <v>10118</v>
      </c>
      <c r="H737" s="40" t="s">
        <v>9489</v>
      </c>
      <c r="I737" s="35" t="s">
        <v>11481</v>
      </c>
      <c r="J737" s="35" t="s">
        <v>11784</v>
      </c>
      <c r="K737" s="35" t="s">
        <v>199</v>
      </c>
      <c r="L737" s="35" t="s">
        <v>199</v>
      </c>
      <c r="M737" s="35" t="s">
        <v>272</v>
      </c>
      <c r="N737" s="35"/>
      <c r="O737" s="3"/>
    </row>
    <row r="738">
      <c r="A738" s="35" t="s">
        <v>11785</v>
      </c>
      <c r="B738" s="39">
        <v>46052.884629629625</v>
      </c>
      <c r="C738" s="35" t="s">
        <v>10280</v>
      </c>
      <c r="D738" s="40" t="s">
        <v>9489</v>
      </c>
      <c r="E738" s="35" t="s">
        <v>9488</v>
      </c>
      <c r="F738" s="40" t="s">
        <v>9489</v>
      </c>
      <c r="G738" s="35" t="s">
        <v>11786</v>
      </c>
      <c r="H738" s="35" t="s">
        <v>9561</v>
      </c>
      <c r="I738" s="35" t="s">
        <v>9551</v>
      </c>
      <c r="J738" s="35" t="s">
        <v>11787</v>
      </c>
      <c r="K738" s="35" t="s">
        <v>119</v>
      </c>
      <c r="L738" s="35" t="s">
        <v>119</v>
      </c>
      <c r="M738" s="35" t="s">
        <v>251</v>
      </c>
      <c r="N738" s="35"/>
      <c r="O738" s="3"/>
    </row>
    <row r="739">
      <c r="A739" s="35" t="s">
        <v>11788</v>
      </c>
      <c r="B739" s="39">
        <v>46052.97083333333</v>
      </c>
      <c r="C739" s="35" t="s">
        <v>9487</v>
      </c>
      <c r="D739" s="40" t="s">
        <v>7081</v>
      </c>
      <c r="E739" s="35" t="s">
        <v>10294</v>
      </c>
      <c r="F739" s="40" t="s">
        <v>9489</v>
      </c>
      <c r="G739" s="35" t="s">
        <v>9496</v>
      </c>
      <c r="H739" s="40" t="s">
        <v>9489</v>
      </c>
      <c r="I739" s="35" t="s">
        <v>9548</v>
      </c>
      <c r="J739" s="35" t="s">
        <v>11789</v>
      </c>
      <c r="K739" s="35" t="s">
        <v>119</v>
      </c>
      <c r="L739" s="35" t="s">
        <v>119</v>
      </c>
      <c r="M739" s="35" t="s">
        <v>251</v>
      </c>
      <c r="N739" s="35"/>
      <c r="O739" s="3"/>
    </row>
    <row r="740">
      <c r="A740" s="35" t="s">
        <v>11790</v>
      </c>
      <c r="B740" s="39">
        <v>46055.30989583333</v>
      </c>
      <c r="C740" s="35" t="s">
        <v>9488</v>
      </c>
      <c r="D740" s="40" t="s">
        <v>9489</v>
      </c>
      <c r="E740" s="35" t="s">
        <v>11791</v>
      </c>
      <c r="F740" s="40" t="s">
        <v>7100</v>
      </c>
      <c r="G740" s="35"/>
      <c r="H740" s="35"/>
      <c r="I740" s="35" t="s">
        <v>11792</v>
      </c>
      <c r="J740" s="35" t="s">
        <v>11793</v>
      </c>
      <c r="K740" s="35" t="s">
        <v>125</v>
      </c>
      <c r="L740" s="35" t="s">
        <v>125</v>
      </c>
      <c r="M740" s="35" t="s">
        <v>126</v>
      </c>
      <c r="N740" s="35"/>
      <c r="O740" s="3"/>
    </row>
    <row r="741">
      <c r="A741" s="35" t="s">
        <v>11794</v>
      </c>
      <c r="B741" s="39">
        <v>46055.30983796297</v>
      </c>
      <c r="C741" s="35" t="s">
        <v>10159</v>
      </c>
      <c r="D741" s="40" t="s">
        <v>7100</v>
      </c>
      <c r="E741" s="35" t="s">
        <v>9488</v>
      </c>
      <c r="F741" s="40" t="s">
        <v>9489</v>
      </c>
      <c r="G741" s="35"/>
      <c r="H741" s="35"/>
      <c r="I741" s="35" t="s">
        <v>11795</v>
      </c>
      <c r="J741" s="35" t="s">
        <v>10157</v>
      </c>
      <c r="K741" s="35" t="s">
        <v>125</v>
      </c>
      <c r="L741" s="35" t="s">
        <v>125</v>
      </c>
      <c r="M741" s="35" t="s">
        <v>126</v>
      </c>
      <c r="N741" s="35"/>
      <c r="O741" s="3"/>
    </row>
    <row r="742">
      <c r="A742" s="35" t="s">
        <v>11796</v>
      </c>
      <c r="B742" s="39">
        <v>46055.31884259259</v>
      </c>
      <c r="C742" s="35" t="s">
        <v>9488</v>
      </c>
      <c r="D742" s="40" t="s">
        <v>9489</v>
      </c>
      <c r="E742" s="35" t="s">
        <v>11797</v>
      </c>
      <c r="F742" s="40" t="s">
        <v>7100</v>
      </c>
      <c r="G742" s="35"/>
      <c r="H742" s="35"/>
      <c r="I742" s="35" t="s">
        <v>11798</v>
      </c>
      <c r="J742" s="35" t="s">
        <v>11793</v>
      </c>
      <c r="K742" s="35" t="s">
        <v>125</v>
      </c>
      <c r="L742" s="35" t="s">
        <v>125</v>
      </c>
      <c r="M742" s="35" t="s">
        <v>126</v>
      </c>
      <c r="N742" s="35"/>
      <c r="O742" s="3"/>
    </row>
    <row r="743">
      <c r="A743" s="35" t="s">
        <v>11799</v>
      </c>
      <c r="B743" s="39">
        <v>46055.3675</v>
      </c>
      <c r="C743" s="35" t="s">
        <v>9488</v>
      </c>
      <c r="D743" s="40" t="s">
        <v>9489</v>
      </c>
      <c r="E743" s="35" t="s">
        <v>7583</v>
      </c>
      <c r="F743" s="40" t="s">
        <v>7105</v>
      </c>
      <c r="G743" s="35"/>
      <c r="H743" s="35"/>
      <c r="I743" s="35" t="s">
        <v>11800</v>
      </c>
      <c r="J743" s="35" t="s">
        <v>11793</v>
      </c>
      <c r="K743" s="35" t="s">
        <v>128</v>
      </c>
      <c r="L743" s="35" t="s">
        <v>128</v>
      </c>
      <c r="M743" s="35" t="s">
        <v>301</v>
      </c>
      <c r="N743" s="35"/>
      <c r="O743" s="3"/>
    </row>
    <row r="744">
      <c r="A744" s="35" t="s">
        <v>11801</v>
      </c>
      <c r="B744" s="39">
        <v>46055.367476851854</v>
      </c>
      <c r="C744" s="35" t="s">
        <v>10273</v>
      </c>
      <c r="D744" s="40" t="s">
        <v>7105</v>
      </c>
      <c r="E744" s="35" t="s">
        <v>11802</v>
      </c>
      <c r="F744" s="35" t="s">
        <v>10282</v>
      </c>
      <c r="G744" s="35"/>
      <c r="H744" s="35"/>
      <c r="I744" s="35" t="s">
        <v>7262</v>
      </c>
      <c r="J744" s="35" t="s">
        <v>11803</v>
      </c>
      <c r="K744" s="35" t="s">
        <v>128</v>
      </c>
      <c r="L744" s="35" t="s">
        <v>128</v>
      </c>
      <c r="M744" s="35" t="s">
        <v>301</v>
      </c>
      <c r="N744" s="35"/>
      <c r="O744" s="3"/>
    </row>
    <row r="745">
      <c r="A745" s="35" t="s">
        <v>11804</v>
      </c>
      <c r="B745" s="39">
        <v>46055.38565972222</v>
      </c>
      <c r="C745" s="35" t="s">
        <v>10280</v>
      </c>
      <c r="D745" s="40" t="s">
        <v>9489</v>
      </c>
      <c r="E745" s="35" t="s">
        <v>9487</v>
      </c>
      <c r="F745" s="40" t="s">
        <v>7081</v>
      </c>
      <c r="G745" s="35" t="s">
        <v>9534</v>
      </c>
      <c r="H745" s="40" t="s">
        <v>9489</v>
      </c>
      <c r="I745" s="35" t="s">
        <v>9551</v>
      </c>
      <c r="J745" s="35" t="s">
        <v>11805</v>
      </c>
      <c r="K745" s="35" t="s">
        <v>119</v>
      </c>
      <c r="L745" s="35" t="s">
        <v>119</v>
      </c>
      <c r="M745" s="35" t="s">
        <v>251</v>
      </c>
      <c r="N745" s="35"/>
      <c r="O745" s="3"/>
    </row>
    <row r="746">
      <c r="A746" s="35" t="s">
        <v>11806</v>
      </c>
      <c r="B746" s="39">
        <v>46055.38618055556</v>
      </c>
      <c r="C746" s="35" t="s">
        <v>9488</v>
      </c>
      <c r="D746" s="40" t="s">
        <v>9489</v>
      </c>
      <c r="E746" s="35" t="s">
        <v>11807</v>
      </c>
      <c r="F746" s="40" t="s">
        <v>7093</v>
      </c>
      <c r="G746" s="35"/>
      <c r="H746" s="35"/>
      <c r="I746" s="35" t="s">
        <v>11808</v>
      </c>
      <c r="J746" s="35" t="s">
        <v>11793</v>
      </c>
      <c r="K746" s="35" t="s">
        <v>154</v>
      </c>
      <c r="L746" s="35" t="s">
        <v>154</v>
      </c>
      <c r="M746" s="35" t="s">
        <v>329</v>
      </c>
      <c r="N746" s="35"/>
      <c r="O746" s="3"/>
    </row>
    <row r="747">
      <c r="A747" s="35" t="s">
        <v>11809</v>
      </c>
      <c r="B747" s="39">
        <v>46055.38353009259</v>
      </c>
      <c r="C747" s="35" t="s">
        <v>11810</v>
      </c>
      <c r="D747" s="40" t="s">
        <v>11771</v>
      </c>
      <c r="E747" s="35" t="s">
        <v>11811</v>
      </c>
      <c r="F747" s="35" t="s">
        <v>11812</v>
      </c>
      <c r="G747" s="35" t="s">
        <v>11813</v>
      </c>
      <c r="H747" s="35" t="s">
        <v>11773</v>
      </c>
      <c r="I747" s="35" t="s">
        <v>11814</v>
      </c>
      <c r="J747" s="35" t="s">
        <v>11815</v>
      </c>
      <c r="K747" s="35" t="s">
        <v>154</v>
      </c>
      <c r="L747" s="35" t="s">
        <v>154</v>
      </c>
      <c r="M747" s="35" t="s">
        <v>329</v>
      </c>
      <c r="N747" s="35"/>
      <c r="O747" s="3"/>
    </row>
    <row r="748">
      <c r="A748" s="35" t="s">
        <v>11816</v>
      </c>
      <c r="B748" s="39">
        <v>46055.39215277778</v>
      </c>
      <c r="C748" s="35" t="s">
        <v>11817</v>
      </c>
      <c r="D748" s="40" t="s">
        <v>11771</v>
      </c>
      <c r="E748" s="35" t="s">
        <v>11818</v>
      </c>
      <c r="F748" s="35" t="s">
        <v>11819</v>
      </c>
      <c r="G748" s="35" t="s">
        <v>11813</v>
      </c>
      <c r="H748" s="35" t="s">
        <v>11773</v>
      </c>
      <c r="I748" s="35" t="s">
        <v>11814</v>
      </c>
      <c r="J748" s="35" t="s">
        <v>11820</v>
      </c>
      <c r="K748" s="35" t="s">
        <v>154</v>
      </c>
      <c r="L748" s="35" t="s">
        <v>154</v>
      </c>
      <c r="M748" s="35" t="s">
        <v>329</v>
      </c>
      <c r="N748" s="35"/>
      <c r="O748" s="3"/>
    </row>
    <row r="749">
      <c r="A749" s="35" t="s">
        <v>11821</v>
      </c>
      <c r="B749" s="39">
        <v>46055.393796296295</v>
      </c>
      <c r="C749" s="35" t="s">
        <v>11810</v>
      </c>
      <c r="D749" s="40" t="s">
        <v>11771</v>
      </c>
      <c r="E749" s="35" t="s">
        <v>11822</v>
      </c>
      <c r="F749" s="35" t="s">
        <v>11819</v>
      </c>
      <c r="G749" s="35" t="s">
        <v>11813</v>
      </c>
      <c r="H749" s="35" t="s">
        <v>11773</v>
      </c>
      <c r="I749" s="35" t="s">
        <v>11814</v>
      </c>
      <c r="J749" s="35" t="s">
        <v>11823</v>
      </c>
      <c r="K749" s="35" t="s">
        <v>154</v>
      </c>
      <c r="L749" s="35" t="s">
        <v>154</v>
      </c>
      <c r="M749" s="35" t="s">
        <v>329</v>
      </c>
      <c r="N749" s="35"/>
      <c r="O749" s="3"/>
    </row>
    <row r="750">
      <c r="A750" s="35" t="s">
        <v>11824</v>
      </c>
      <c r="B750" s="39">
        <v>46055.41517361111</v>
      </c>
      <c r="C750" s="35" t="s">
        <v>9488</v>
      </c>
      <c r="D750" s="40" t="s">
        <v>9489</v>
      </c>
      <c r="E750" s="35" t="s">
        <v>7902</v>
      </c>
      <c r="F750" s="40" t="s">
        <v>7089</v>
      </c>
      <c r="G750" s="35"/>
      <c r="H750" s="35"/>
      <c r="I750" s="35" t="s">
        <v>11825</v>
      </c>
      <c r="J750" s="35" t="s">
        <v>11793</v>
      </c>
      <c r="K750" s="35" t="s">
        <v>142</v>
      </c>
      <c r="L750" s="35" t="s">
        <v>142</v>
      </c>
      <c r="M750" s="35" t="s">
        <v>143</v>
      </c>
      <c r="N750" s="35"/>
      <c r="O750" s="3"/>
    </row>
    <row r="751">
      <c r="A751" s="35" t="s">
        <v>11826</v>
      </c>
      <c r="B751" s="39">
        <v>46055.41315972222</v>
      </c>
      <c r="C751" s="35" t="s">
        <v>9488</v>
      </c>
      <c r="D751" s="40" t="s">
        <v>9489</v>
      </c>
      <c r="E751" s="35" t="s">
        <v>10273</v>
      </c>
      <c r="F751" s="40" t="s">
        <v>7105</v>
      </c>
      <c r="G751" s="35" t="s">
        <v>7156</v>
      </c>
      <c r="H751" s="40" t="s">
        <v>9489</v>
      </c>
      <c r="I751" s="35" t="s">
        <v>11827</v>
      </c>
      <c r="J751" s="35" t="s">
        <v>11828</v>
      </c>
      <c r="K751" s="35" t="s">
        <v>128</v>
      </c>
      <c r="L751" s="35" t="s">
        <v>128</v>
      </c>
      <c r="M751" s="35" t="s">
        <v>301</v>
      </c>
      <c r="N751" s="35"/>
      <c r="O751" s="3"/>
    </row>
    <row r="752">
      <c r="A752" s="35" t="s">
        <v>11829</v>
      </c>
      <c r="B752" s="39">
        <v>46055.53113425926</v>
      </c>
      <c r="C752" s="35" t="s">
        <v>10280</v>
      </c>
      <c r="D752" s="40" t="s">
        <v>9489</v>
      </c>
      <c r="E752" s="35" t="s">
        <v>11830</v>
      </c>
      <c r="F752" s="40" t="s">
        <v>7081</v>
      </c>
      <c r="G752" s="35" t="s">
        <v>11831</v>
      </c>
      <c r="H752" s="35" t="s">
        <v>9561</v>
      </c>
      <c r="I752" s="35" t="s">
        <v>11832</v>
      </c>
      <c r="J752" s="35" t="s">
        <v>11833</v>
      </c>
      <c r="K752" s="35" t="s">
        <v>119</v>
      </c>
      <c r="L752" s="35" t="s">
        <v>119</v>
      </c>
      <c r="M752" s="35" t="s">
        <v>251</v>
      </c>
      <c r="N752" s="35"/>
      <c r="O752" s="3"/>
    </row>
    <row r="753">
      <c r="A753" s="35" t="s">
        <v>11834</v>
      </c>
      <c r="B753" s="39">
        <v>46055.53157407408</v>
      </c>
      <c r="C753" s="35" t="s">
        <v>9597</v>
      </c>
      <c r="D753" s="40" t="s">
        <v>9489</v>
      </c>
      <c r="E753" s="35" t="s">
        <v>11835</v>
      </c>
      <c r="F753" s="40" t="s">
        <v>7109</v>
      </c>
      <c r="G753" s="35" t="s">
        <v>11836</v>
      </c>
      <c r="H753" s="35" t="s">
        <v>10456</v>
      </c>
      <c r="I753" s="35" t="s">
        <v>11837</v>
      </c>
      <c r="J753" s="35" t="s">
        <v>11838</v>
      </c>
      <c r="K753" s="35" t="s">
        <v>131</v>
      </c>
      <c r="L753" s="35" t="s">
        <v>131</v>
      </c>
      <c r="M753" s="35" t="s">
        <v>132</v>
      </c>
      <c r="N753" s="35"/>
      <c r="O753" s="3"/>
    </row>
    <row r="754">
      <c r="A754" s="35" t="s">
        <v>11839</v>
      </c>
      <c r="B754" s="39">
        <v>46055.651446759264</v>
      </c>
      <c r="C754" s="35" t="s">
        <v>9488</v>
      </c>
      <c r="D754" s="40" t="s">
        <v>9489</v>
      </c>
      <c r="E754" s="35" t="s">
        <v>11840</v>
      </c>
      <c r="F754" s="40" t="s">
        <v>7095</v>
      </c>
      <c r="G754" s="35"/>
      <c r="H754" s="35"/>
      <c r="I754" s="35" t="s">
        <v>11841</v>
      </c>
      <c r="J754" s="35" t="s">
        <v>11793</v>
      </c>
      <c r="K754" s="35" t="s">
        <v>163</v>
      </c>
      <c r="L754" s="35" t="s">
        <v>163</v>
      </c>
      <c r="M754" s="35" t="s">
        <v>430</v>
      </c>
      <c r="N754" s="35"/>
      <c r="O754" s="3"/>
    </row>
    <row r="755">
      <c r="A755" s="35" t="s">
        <v>11842</v>
      </c>
      <c r="B755" s="39">
        <v>46055.650185185186</v>
      </c>
      <c r="C755" s="35" t="s">
        <v>9974</v>
      </c>
      <c r="D755" s="40" t="s">
        <v>7095</v>
      </c>
      <c r="E755" s="35" t="s">
        <v>9488</v>
      </c>
      <c r="F755" s="40" t="s">
        <v>9489</v>
      </c>
      <c r="G755" s="35"/>
      <c r="H755" s="35"/>
      <c r="I755" s="35" t="s">
        <v>11843</v>
      </c>
      <c r="J755" s="35" t="s">
        <v>11844</v>
      </c>
      <c r="K755" s="35" t="s">
        <v>163</v>
      </c>
      <c r="L755" s="35" t="s">
        <v>163</v>
      </c>
      <c r="M755" s="35" t="s">
        <v>430</v>
      </c>
      <c r="N755" s="35"/>
      <c r="O755" s="3"/>
    </row>
    <row r="756">
      <c r="A756" s="35" t="s">
        <v>11845</v>
      </c>
      <c r="B756" s="39">
        <v>46055.7278125</v>
      </c>
      <c r="C756" s="35" t="s">
        <v>9488</v>
      </c>
      <c r="D756" s="40" t="s">
        <v>9489</v>
      </c>
      <c r="E756" s="35" t="s">
        <v>11846</v>
      </c>
      <c r="F756" s="40" t="s">
        <v>7105</v>
      </c>
      <c r="G756" s="35"/>
      <c r="H756" s="35"/>
      <c r="I756" s="35" t="s">
        <v>11847</v>
      </c>
      <c r="J756" s="35" t="s">
        <v>11793</v>
      </c>
      <c r="K756" s="35" t="s">
        <v>128</v>
      </c>
      <c r="L756" s="35" t="s">
        <v>128</v>
      </c>
      <c r="M756" s="35" t="s">
        <v>301</v>
      </c>
      <c r="N756" s="35"/>
      <c r="O756" s="3"/>
    </row>
    <row r="757">
      <c r="A757" s="35" t="s">
        <v>11848</v>
      </c>
      <c r="B757" s="39">
        <v>46055.72765046296</v>
      </c>
      <c r="C757" s="35" t="s">
        <v>10310</v>
      </c>
      <c r="D757" s="40" t="s">
        <v>7105</v>
      </c>
      <c r="E757" s="35" t="s">
        <v>9488</v>
      </c>
      <c r="F757" s="40" t="s">
        <v>9489</v>
      </c>
      <c r="G757" s="35" t="s">
        <v>10269</v>
      </c>
      <c r="H757" s="40" t="s">
        <v>7105</v>
      </c>
      <c r="I757" s="35" t="s">
        <v>10311</v>
      </c>
      <c r="J757" s="35" t="s">
        <v>11849</v>
      </c>
      <c r="K757" s="35" t="s">
        <v>128</v>
      </c>
      <c r="L757" s="35" t="s">
        <v>128</v>
      </c>
      <c r="M757" s="35" t="s">
        <v>301</v>
      </c>
      <c r="N757" s="35"/>
      <c r="O757" s="3"/>
    </row>
    <row r="758">
      <c r="A758" s="35" t="s">
        <v>11850</v>
      </c>
      <c r="B758" s="39">
        <v>46055.802500000005</v>
      </c>
      <c r="C758" s="35" t="s">
        <v>9488</v>
      </c>
      <c r="D758" s="40" t="s">
        <v>9489</v>
      </c>
      <c r="E758" s="35" t="s">
        <v>11851</v>
      </c>
      <c r="F758" s="40" t="s">
        <v>7081</v>
      </c>
      <c r="G758" s="35" t="s">
        <v>11852</v>
      </c>
      <c r="H758" s="35" t="s">
        <v>9561</v>
      </c>
      <c r="I758" s="35" t="s">
        <v>11832</v>
      </c>
      <c r="J758" s="35" t="s">
        <v>11853</v>
      </c>
      <c r="K758" s="35" t="s">
        <v>119</v>
      </c>
      <c r="L758" s="35" t="s">
        <v>119</v>
      </c>
      <c r="M758" s="35" t="s">
        <v>251</v>
      </c>
      <c r="N758" s="35"/>
      <c r="O758" s="3"/>
    </row>
    <row r="759">
      <c r="A759" s="35" t="s">
        <v>11854</v>
      </c>
      <c r="B759" s="39">
        <v>46055.81240740741</v>
      </c>
      <c r="C759" s="35" t="s">
        <v>9488</v>
      </c>
      <c r="D759" s="40" t="s">
        <v>9489</v>
      </c>
      <c r="E759" s="35" t="s">
        <v>10310</v>
      </c>
      <c r="F759" s="40" t="s">
        <v>7105</v>
      </c>
      <c r="G759" s="35" t="s">
        <v>10269</v>
      </c>
      <c r="H759" s="40" t="s">
        <v>7105</v>
      </c>
      <c r="I759" s="35" t="s">
        <v>10311</v>
      </c>
      <c r="J759" s="35" t="s">
        <v>11855</v>
      </c>
      <c r="K759" s="35" t="s">
        <v>128</v>
      </c>
      <c r="L759" s="35" t="s">
        <v>128</v>
      </c>
      <c r="M759" s="35" t="s">
        <v>301</v>
      </c>
      <c r="N759" s="35"/>
      <c r="O759" s="3"/>
    </row>
    <row r="760">
      <c r="A760" s="35" t="s">
        <v>11856</v>
      </c>
      <c r="B760" s="39">
        <v>46055.82480324074</v>
      </c>
      <c r="C760" s="35" t="s">
        <v>9488</v>
      </c>
      <c r="D760" s="40" t="s">
        <v>9489</v>
      </c>
      <c r="E760" s="35" t="s">
        <v>10310</v>
      </c>
      <c r="F760" s="40" t="s">
        <v>7105</v>
      </c>
      <c r="G760" s="35" t="s">
        <v>11857</v>
      </c>
      <c r="H760" s="40" t="s">
        <v>7105</v>
      </c>
      <c r="I760" s="35" t="s">
        <v>10311</v>
      </c>
      <c r="J760" s="35" t="s">
        <v>11858</v>
      </c>
      <c r="K760" s="35" t="s">
        <v>128</v>
      </c>
      <c r="L760" s="35" t="s">
        <v>128</v>
      </c>
      <c r="M760" s="35" t="s">
        <v>301</v>
      </c>
      <c r="N760" s="35"/>
      <c r="O760" s="3"/>
    </row>
    <row r="761">
      <c r="A761" s="35" t="s">
        <v>11859</v>
      </c>
      <c r="B761" s="39">
        <v>46055.825578703705</v>
      </c>
      <c r="C761" s="35" t="s">
        <v>9488</v>
      </c>
      <c r="D761" s="40" t="s">
        <v>9489</v>
      </c>
      <c r="E761" s="35" t="s">
        <v>10310</v>
      </c>
      <c r="F761" s="40" t="s">
        <v>7105</v>
      </c>
      <c r="G761" s="35" t="s">
        <v>11857</v>
      </c>
      <c r="H761" s="40" t="s">
        <v>7105</v>
      </c>
      <c r="I761" s="35" t="s">
        <v>10311</v>
      </c>
      <c r="J761" s="35" t="s">
        <v>11858</v>
      </c>
      <c r="K761" s="35" t="s">
        <v>128</v>
      </c>
      <c r="L761" s="35" t="s">
        <v>128</v>
      </c>
      <c r="M761" s="35" t="s">
        <v>301</v>
      </c>
      <c r="N761" s="35"/>
      <c r="O761" s="3"/>
    </row>
    <row r="762">
      <c r="A762" s="35" t="s">
        <v>11860</v>
      </c>
      <c r="B762" s="39">
        <v>46055.928495370375</v>
      </c>
      <c r="C762" s="35" t="s">
        <v>9488</v>
      </c>
      <c r="D762" s="40" t="s">
        <v>9489</v>
      </c>
      <c r="E762" s="35" t="s">
        <v>10310</v>
      </c>
      <c r="F762" s="40" t="s">
        <v>7105</v>
      </c>
      <c r="G762" s="35" t="s">
        <v>11857</v>
      </c>
      <c r="H762" s="40" t="s">
        <v>7105</v>
      </c>
      <c r="I762" s="35" t="s">
        <v>10311</v>
      </c>
      <c r="J762" s="35" t="s">
        <v>11861</v>
      </c>
      <c r="K762" s="35" t="s">
        <v>128</v>
      </c>
      <c r="L762" s="35" t="s">
        <v>128</v>
      </c>
      <c r="M762" s="35" t="s">
        <v>301</v>
      </c>
      <c r="N762" s="35"/>
      <c r="O762" s="3"/>
    </row>
    <row r="763">
      <c r="A763" s="35" t="s">
        <v>11862</v>
      </c>
      <c r="B763" s="39">
        <v>46056.25</v>
      </c>
      <c r="C763" s="35" t="s">
        <v>9488</v>
      </c>
      <c r="D763" s="40" t="s">
        <v>9489</v>
      </c>
      <c r="E763" s="35" t="s">
        <v>10310</v>
      </c>
      <c r="F763" s="40" t="s">
        <v>7105</v>
      </c>
      <c r="G763" s="35" t="s">
        <v>11857</v>
      </c>
      <c r="H763" s="40" t="s">
        <v>7105</v>
      </c>
      <c r="I763" s="35" t="s">
        <v>10311</v>
      </c>
      <c r="J763" s="35" t="s">
        <v>11863</v>
      </c>
      <c r="K763" s="35" t="s">
        <v>128</v>
      </c>
      <c r="L763" s="35" t="s">
        <v>128</v>
      </c>
      <c r="M763" s="35" t="s">
        <v>301</v>
      </c>
      <c r="N763" s="35"/>
      <c r="O763" s="3"/>
    </row>
    <row r="764">
      <c r="A764" s="35" t="s">
        <v>11864</v>
      </c>
      <c r="B764" s="39">
        <v>46056.381018518514</v>
      </c>
      <c r="C764" s="35" t="s">
        <v>10540</v>
      </c>
      <c r="D764" s="40" t="s">
        <v>9489</v>
      </c>
      <c r="E764" s="35" t="s">
        <v>8124</v>
      </c>
      <c r="F764" s="40" t="s">
        <v>7109</v>
      </c>
      <c r="G764" s="35" t="s">
        <v>10549</v>
      </c>
      <c r="H764" s="35" t="s">
        <v>10501</v>
      </c>
      <c r="I764" s="35" t="s">
        <v>10537</v>
      </c>
      <c r="J764" s="35" t="s">
        <v>11865</v>
      </c>
      <c r="K764" s="35" t="s">
        <v>131</v>
      </c>
      <c r="L764" s="35" t="s">
        <v>131</v>
      </c>
      <c r="M764" s="35" t="s">
        <v>132</v>
      </c>
      <c r="N764" s="35"/>
      <c r="O764" s="3"/>
    </row>
    <row r="765">
      <c r="A765" s="35" t="s">
        <v>11866</v>
      </c>
      <c r="B765" s="39">
        <v>46056.40329861111</v>
      </c>
      <c r="C765" s="35" t="s">
        <v>11108</v>
      </c>
      <c r="D765" s="40" t="s">
        <v>7111</v>
      </c>
      <c r="E765" s="35" t="s">
        <v>9488</v>
      </c>
      <c r="F765" s="40" t="s">
        <v>9489</v>
      </c>
      <c r="G765" s="35" t="s">
        <v>9865</v>
      </c>
      <c r="H765" s="40" t="s">
        <v>9489</v>
      </c>
      <c r="I765" s="35" t="s">
        <v>11214</v>
      </c>
      <c r="J765" s="35" t="s">
        <v>11867</v>
      </c>
      <c r="K765" s="35" t="s">
        <v>184</v>
      </c>
      <c r="L765" s="35" t="s">
        <v>184</v>
      </c>
      <c r="M765" s="35" t="s">
        <v>478</v>
      </c>
      <c r="N765" s="35"/>
      <c r="O765" s="3"/>
    </row>
    <row r="766">
      <c r="A766" s="35" t="s">
        <v>11868</v>
      </c>
      <c r="B766" s="39">
        <v>46056.41354166667</v>
      </c>
      <c r="C766" s="35" t="s">
        <v>9488</v>
      </c>
      <c r="D766" s="40" t="s">
        <v>9489</v>
      </c>
      <c r="E766" s="35" t="s">
        <v>11108</v>
      </c>
      <c r="F766" s="40" t="s">
        <v>7111</v>
      </c>
      <c r="G766" s="35" t="s">
        <v>9865</v>
      </c>
      <c r="H766" s="40" t="s">
        <v>9489</v>
      </c>
      <c r="I766" s="35" t="s">
        <v>11869</v>
      </c>
      <c r="J766" s="35" t="s">
        <v>11870</v>
      </c>
      <c r="K766" s="35" t="s">
        <v>184</v>
      </c>
      <c r="L766" s="35" t="s">
        <v>184</v>
      </c>
      <c r="M766" s="35" t="s">
        <v>478</v>
      </c>
      <c r="N766" s="35"/>
      <c r="O766" s="3"/>
    </row>
    <row r="767">
      <c r="A767" s="35" t="s">
        <v>11871</v>
      </c>
      <c r="B767" s="39">
        <v>46056.43266203704</v>
      </c>
      <c r="C767" s="35" t="s">
        <v>10310</v>
      </c>
      <c r="D767" s="40" t="s">
        <v>7105</v>
      </c>
      <c r="E767" s="35" t="s">
        <v>9488</v>
      </c>
      <c r="F767" s="40" t="s">
        <v>9489</v>
      </c>
      <c r="G767" s="35"/>
      <c r="H767" s="35"/>
      <c r="I767" s="35" t="s">
        <v>10311</v>
      </c>
      <c r="J767" s="35" t="s">
        <v>11872</v>
      </c>
      <c r="K767" s="35" t="s">
        <v>128</v>
      </c>
      <c r="L767" s="35" t="s">
        <v>128</v>
      </c>
      <c r="M767" s="35" t="s">
        <v>301</v>
      </c>
      <c r="N767" s="35"/>
      <c r="O767" s="3"/>
    </row>
    <row r="768">
      <c r="A768" s="35" t="s">
        <v>11873</v>
      </c>
      <c r="B768" s="39">
        <v>46056.4399537037</v>
      </c>
      <c r="C768" s="35" t="s">
        <v>10273</v>
      </c>
      <c r="D768" s="40" t="s">
        <v>7105</v>
      </c>
      <c r="E768" s="35" t="s">
        <v>7288</v>
      </c>
      <c r="F768" s="40" t="s">
        <v>9489</v>
      </c>
      <c r="G768" s="35"/>
      <c r="H768" s="35"/>
      <c r="I768" s="35" t="s">
        <v>11874</v>
      </c>
      <c r="J768" s="35" t="s">
        <v>11875</v>
      </c>
      <c r="K768" s="35" t="s">
        <v>128</v>
      </c>
      <c r="L768" s="35" t="s">
        <v>128</v>
      </c>
      <c r="M768" s="35" t="s">
        <v>301</v>
      </c>
      <c r="N768" s="35"/>
      <c r="O768" s="3"/>
    </row>
    <row r="769">
      <c r="A769" s="35" t="s">
        <v>11876</v>
      </c>
      <c r="B769" s="39">
        <v>46056.44372685185</v>
      </c>
      <c r="C769" s="35" t="s">
        <v>9488</v>
      </c>
      <c r="D769" s="40" t="s">
        <v>9489</v>
      </c>
      <c r="E769" s="35" t="s">
        <v>10310</v>
      </c>
      <c r="F769" s="40" t="s">
        <v>7105</v>
      </c>
      <c r="G769" s="35"/>
      <c r="H769" s="35"/>
      <c r="I769" s="35" t="s">
        <v>10311</v>
      </c>
      <c r="J769" s="35" t="s">
        <v>11877</v>
      </c>
      <c r="K769" s="35" t="s">
        <v>128</v>
      </c>
      <c r="L769" s="35" t="s">
        <v>128</v>
      </c>
      <c r="M769" s="35" t="s">
        <v>301</v>
      </c>
      <c r="N769" s="35"/>
      <c r="O769" s="3"/>
    </row>
    <row r="770">
      <c r="A770" s="35" t="s">
        <v>11878</v>
      </c>
      <c r="B770" s="39">
        <v>46056.474074074074</v>
      </c>
      <c r="C770" s="35" t="s">
        <v>9488</v>
      </c>
      <c r="D770" s="40" t="s">
        <v>9489</v>
      </c>
      <c r="E770" s="35" t="s">
        <v>11851</v>
      </c>
      <c r="F770" s="40" t="s">
        <v>7081</v>
      </c>
      <c r="G770" s="35" t="s">
        <v>11879</v>
      </c>
      <c r="H770" s="35" t="s">
        <v>9561</v>
      </c>
      <c r="I770" s="35" t="s">
        <v>11832</v>
      </c>
      <c r="J770" s="35" t="s">
        <v>11880</v>
      </c>
      <c r="K770" s="35" t="s">
        <v>119</v>
      </c>
      <c r="L770" s="35" t="s">
        <v>119</v>
      </c>
      <c r="M770" s="35" t="s">
        <v>251</v>
      </c>
      <c r="N770" s="35"/>
      <c r="O770" s="3"/>
    </row>
    <row r="771">
      <c r="A771" s="35" t="s">
        <v>11881</v>
      </c>
      <c r="B771" s="39">
        <v>46056.51121527777</v>
      </c>
      <c r="C771" s="35" t="s">
        <v>9488</v>
      </c>
      <c r="D771" s="40" t="s">
        <v>9489</v>
      </c>
      <c r="E771" s="35" t="s">
        <v>11851</v>
      </c>
      <c r="F771" s="40" t="s">
        <v>7081</v>
      </c>
      <c r="G771" s="35" t="s">
        <v>11879</v>
      </c>
      <c r="H771" s="35" t="s">
        <v>9561</v>
      </c>
      <c r="I771" s="35" t="s">
        <v>11832</v>
      </c>
      <c r="J771" s="35" t="s">
        <v>11882</v>
      </c>
      <c r="K771" s="35" t="s">
        <v>119</v>
      </c>
      <c r="L771" s="35" t="s">
        <v>119</v>
      </c>
      <c r="M771" s="35" t="s">
        <v>251</v>
      </c>
      <c r="N771" s="35"/>
      <c r="O771" s="3"/>
    </row>
    <row r="772">
      <c r="A772" s="35" t="s">
        <v>11883</v>
      </c>
      <c r="B772" s="39">
        <v>46056.51170138889</v>
      </c>
      <c r="C772" s="35" t="s">
        <v>9627</v>
      </c>
      <c r="D772" s="40" t="s">
        <v>9489</v>
      </c>
      <c r="E772" s="35" t="s">
        <v>7288</v>
      </c>
      <c r="F772" s="40" t="s">
        <v>9489</v>
      </c>
      <c r="G772" s="35" t="s">
        <v>11884</v>
      </c>
      <c r="H772" s="35" t="s">
        <v>9561</v>
      </c>
      <c r="I772" s="35" t="s">
        <v>11885</v>
      </c>
      <c r="J772" s="35" t="s">
        <v>11886</v>
      </c>
      <c r="K772" s="35" t="s">
        <v>119</v>
      </c>
      <c r="L772" s="35" t="s">
        <v>119</v>
      </c>
      <c r="M772" s="35" t="s">
        <v>251</v>
      </c>
      <c r="N772" s="35"/>
      <c r="O772" s="3"/>
    </row>
    <row r="773">
      <c r="A773" s="35" t="s">
        <v>11887</v>
      </c>
      <c r="B773" s="39">
        <v>46056.54375</v>
      </c>
      <c r="C773" s="35" t="s">
        <v>9488</v>
      </c>
      <c r="D773" s="40" t="s">
        <v>9489</v>
      </c>
      <c r="E773" s="35" t="s">
        <v>11888</v>
      </c>
      <c r="F773" s="35" t="s">
        <v>11889</v>
      </c>
      <c r="G773" s="35"/>
      <c r="H773" s="35"/>
      <c r="I773" s="35" t="s">
        <v>7211</v>
      </c>
      <c r="J773" s="35" t="s">
        <v>11890</v>
      </c>
      <c r="K773" s="35" t="s">
        <v>175</v>
      </c>
      <c r="L773" s="35" t="s">
        <v>175</v>
      </c>
      <c r="M773" s="35" t="s">
        <v>422</v>
      </c>
      <c r="N773" s="35"/>
      <c r="O773" s="3"/>
    </row>
    <row r="774">
      <c r="A774" s="35" t="s">
        <v>11891</v>
      </c>
      <c r="B774" s="39">
        <v>46056.56421296296</v>
      </c>
      <c r="C774" s="35" t="s">
        <v>9488</v>
      </c>
      <c r="D774" s="40" t="s">
        <v>9489</v>
      </c>
      <c r="E774" s="35" t="s">
        <v>9860</v>
      </c>
      <c r="F774" s="40" t="s">
        <v>7089</v>
      </c>
      <c r="G774" s="35"/>
      <c r="H774" s="35"/>
      <c r="I774" s="35"/>
      <c r="J774" s="35" t="s">
        <v>11486</v>
      </c>
      <c r="K774" s="35" t="s">
        <v>142</v>
      </c>
      <c r="L774" s="35" t="s">
        <v>142</v>
      </c>
      <c r="M774" s="35" t="s">
        <v>143</v>
      </c>
      <c r="N774" s="35"/>
      <c r="O774" s="3"/>
    </row>
    <row r="775">
      <c r="A775" s="35" t="s">
        <v>11892</v>
      </c>
      <c r="B775" s="39">
        <v>46056.58619212963</v>
      </c>
      <c r="C775" s="35" t="s">
        <v>9488</v>
      </c>
      <c r="D775" s="40" t="s">
        <v>9489</v>
      </c>
      <c r="E775" s="35" t="s">
        <v>9967</v>
      </c>
      <c r="F775" s="40" t="s">
        <v>7096</v>
      </c>
      <c r="G775" s="35"/>
      <c r="H775" s="35"/>
      <c r="I775" s="35" t="s">
        <v>11893</v>
      </c>
      <c r="J775" s="35" t="s">
        <v>11894</v>
      </c>
      <c r="K775" s="35" t="s">
        <v>110</v>
      </c>
      <c r="L775" s="35" t="s">
        <v>110</v>
      </c>
      <c r="M775" s="35" t="s">
        <v>111</v>
      </c>
      <c r="N775" s="35"/>
      <c r="O775" s="3"/>
    </row>
    <row r="776">
      <c r="A776" s="35" t="s">
        <v>11895</v>
      </c>
      <c r="B776" s="39">
        <v>46056.662766203706</v>
      </c>
      <c r="C776" s="35" t="s">
        <v>10486</v>
      </c>
      <c r="D776" s="40" t="s">
        <v>8055</v>
      </c>
      <c r="E776" s="35" t="s">
        <v>9488</v>
      </c>
      <c r="F776" s="40" t="s">
        <v>9489</v>
      </c>
      <c r="G776" s="35"/>
      <c r="H776" s="35"/>
      <c r="I776" s="35" t="s">
        <v>11495</v>
      </c>
      <c r="J776" s="35" t="s">
        <v>11896</v>
      </c>
      <c r="K776" s="35" t="s">
        <v>101</v>
      </c>
      <c r="L776" s="35" t="s">
        <v>101</v>
      </c>
      <c r="M776" s="35" t="s">
        <v>511</v>
      </c>
      <c r="N776" s="35"/>
      <c r="O776" s="3"/>
    </row>
    <row r="777">
      <c r="A777" s="35" t="s">
        <v>11897</v>
      </c>
      <c r="B777" s="39">
        <v>46056.66663194445</v>
      </c>
      <c r="C777" s="35" t="s">
        <v>9488</v>
      </c>
      <c r="D777" s="40" t="s">
        <v>9489</v>
      </c>
      <c r="E777" s="35" t="s">
        <v>10486</v>
      </c>
      <c r="F777" s="40" t="s">
        <v>8055</v>
      </c>
      <c r="G777" s="35"/>
      <c r="H777" s="35"/>
      <c r="I777" s="35" t="s">
        <v>11498</v>
      </c>
      <c r="J777" s="35" t="s">
        <v>11898</v>
      </c>
      <c r="K777" s="35" t="s">
        <v>101</v>
      </c>
      <c r="L777" s="35" t="s">
        <v>101</v>
      </c>
      <c r="M777" s="35" t="s">
        <v>511</v>
      </c>
      <c r="N777" s="35"/>
      <c r="O777" s="3"/>
    </row>
    <row r="778">
      <c r="A778" s="35" t="s">
        <v>11899</v>
      </c>
      <c r="B778" s="39">
        <v>46056.699166666665</v>
      </c>
      <c r="C778" s="35" t="s">
        <v>9488</v>
      </c>
      <c r="D778" s="40" t="s">
        <v>9489</v>
      </c>
      <c r="E778" s="35" t="s">
        <v>7374</v>
      </c>
      <c r="F778" s="40" t="s">
        <v>9489</v>
      </c>
      <c r="G778" s="35" t="s">
        <v>9974</v>
      </c>
      <c r="H778" s="40" t="s">
        <v>7095</v>
      </c>
      <c r="I778" s="35" t="s">
        <v>11767</v>
      </c>
      <c r="J778" s="35" t="s">
        <v>11900</v>
      </c>
      <c r="K778" s="35" t="s">
        <v>163</v>
      </c>
      <c r="L778" s="35" t="s">
        <v>163</v>
      </c>
      <c r="M778" s="35" t="s">
        <v>430</v>
      </c>
      <c r="N778" s="35"/>
      <c r="O778" s="3"/>
    </row>
    <row r="779">
      <c r="A779" s="35" t="s">
        <v>11901</v>
      </c>
      <c r="B779" s="39">
        <v>46057.34185185185</v>
      </c>
      <c r="C779" s="35" t="s">
        <v>11453</v>
      </c>
      <c r="D779" s="40" t="s">
        <v>7090</v>
      </c>
      <c r="E779" s="35" t="s">
        <v>9488</v>
      </c>
      <c r="F779" s="40" t="s">
        <v>9489</v>
      </c>
      <c r="G779" s="35"/>
      <c r="H779" s="35"/>
      <c r="I779" s="35" t="s">
        <v>11902</v>
      </c>
      <c r="J779" s="35" t="s">
        <v>11903</v>
      </c>
      <c r="K779" s="35" t="s">
        <v>199</v>
      </c>
      <c r="L779" s="35" t="s">
        <v>199</v>
      </c>
      <c r="M779" s="35" t="s">
        <v>272</v>
      </c>
      <c r="N779" s="35"/>
      <c r="O779" s="3"/>
    </row>
    <row r="780">
      <c r="A780" s="35" t="s">
        <v>11904</v>
      </c>
      <c r="B780" s="39">
        <v>46057.355937500004</v>
      </c>
      <c r="C780" s="35" t="s">
        <v>9974</v>
      </c>
      <c r="D780" s="40" t="s">
        <v>7095</v>
      </c>
      <c r="E780" s="35" t="s">
        <v>11905</v>
      </c>
      <c r="F780" s="40" t="s">
        <v>9489</v>
      </c>
      <c r="G780" s="35"/>
      <c r="H780" s="35"/>
      <c r="I780" s="35" t="s">
        <v>11764</v>
      </c>
      <c r="J780" s="35" t="s">
        <v>11906</v>
      </c>
      <c r="K780" s="35" t="s">
        <v>163</v>
      </c>
      <c r="L780" s="35" t="s">
        <v>163</v>
      </c>
      <c r="M780" s="35" t="s">
        <v>430</v>
      </c>
      <c r="N780" s="35"/>
      <c r="O780" s="3"/>
    </row>
    <row r="781">
      <c r="A781" s="35" t="s">
        <v>11907</v>
      </c>
      <c r="B781" s="39">
        <v>46057.4153125</v>
      </c>
      <c r="C781" s="35" t="s">
        <v>9488</v>
      </c>
      <c r="D781" s="40" t="s">
        <v>9489</v>
      </c>
      <c r="E781" s="35" t="s">
        <v>11453</v>
      </c>
      <c r="F781" s="40" t="s">
        <v>7090</v>
      </c>
      <c r="G781" s="35" t="s">
        <v>11147</v>
      </c>
      <c r="H781" s="40" t="s">
        <v>9489</v>
      </c>
      <c r="I781" s="35" t="s">
        <v>11908</v>
      </c>
      <c r="J781" s="35" t="s">
        <v>11909</v>
      </c>
      <c r="K781" s="35" t="s">
        <v>199</v>
      </c>
      <c r="L781" s="35" t="s">
        <v>199</v>
      </c>
      <c r="M781" s="35" t="s">
        <v>272</v>
      </c>
      <c r="N781" s="35"/>
      <c r="O781" s="3"/>
    </row>
    <row r="782">
      <c r="A782" s="35" t="s">
        <v>11910</v>
      </c>
      <c r="B782" s="39">
        <v>46057.4284375</v>
      </c>
      <c r="C782" s="35" t="s">
        <v>9488</v>
      </c>
      <c r="D782" s="40" t="s">
        <v>9489</v>
      </c>
      <c r="E782" s="35" t="s">
        <v>11453</v>
      </c>
      <c r="F782" s="40" t="s">
        <v>7090</v>
      </c>
      <c r="G782" s="35" t="s">
        <v>11147</v>
      </c>
      <c r="H782" s="40" t="s">
        <v>9489</v>
      </c>
      <c r="I782" s="35" t="s">
        <v>11908</v>
      </c>
      <c r="J782" s="35" t="s">
        <v>11911</v>
      </c>
      <c r="K782" s="35" t="s">
        <v>199</v>
      </c>
      <c r="L782" s="35" t="s">
        <v>199</v>
      </c>
      <c r="M782" s="35" t="s">
        <v>272</v>
      </c>
      <c r="N782" s="35"/>
      <c r="O782" s="3"/>
    </row>
    <row r="783">
      <c r="A783" s="35" t="s">
        <v>11912</v>
      </c>
      <c r="B783" s="39">
        <v>46057.49278935185</v>
      </c>
      <c r="C783" s="35" t="s">
        <v>11913</v>
      </c>
      <c r="D783" s="40" t="s">
        <v>11914</v>
      </c>
      <c r="E783" s="35" t="s">
        <v>11915</v>
      </c>
      <c r="F783" s="40" t="s">
        <v>9489</v>
      </c>
      <c r="G783" s="35" t="s">
        <v>11916</v>
      </c>
      <c r="H783" s="35" t="s">
        <v>11917</v>
      </c>
      <c r="I783" s="35" t="s">
        <v>11918</v>
      </c>
      <c r="J783" s="35" t="s">
        <v>11919</v>
      </c>
      <c r="K783" s="35" t="s">
        <v>202</v>
      </c>
      <c r="L783" s="35" t="s">
        <v>202</v>
      </c>
      <c r="M783" s="35" t="s">
        <v>203</v>
      </c>
      <c r="N783" s="35"/>
      <c r="O783" s="3"/>
    </row>
    <row r="784">
      <c r="A784" s="35" t="s">
        <v>11920</v>
      </c>
      <c r="B784" s="39">
        <v>46057.49763888889</v>
      </c>
      <c r="C784" s="35" t="s">
        <v>11915</v>
      </c>
      <c r="D784" s="40" t="s">
        <v>9489</v>
      </c>
      <c r="E784" s="35" t="s">
        <v>11913</v>
      </c>
      <c r="F784" s="40" t="s">
        <v>11914</v>
      </c>
      <c r="G784" s="35" t="s">
        <v>11916</v>
      </c>
      <c r="H784" s="35" t="s">
        <v>11917</v>
      </c>
      <c r="I784" s="35" t="s">
        <v>11918</v>
      </c>
      <c r="J784" s="35" t="s">
        <v>11921</v>
      </c>
      <c r="K784" s="35" t="s">
        <v>202</v>
      </c>
      <c r="L784" s="35" t="s">
        <v>202</v>
      </c>
      <c r="M784" s="35" t="s">
        <v>203</v>
      </c>
      <c r="N784" s="35"/>
      <c r="O784" s="3"/>
    </row>
    <row r="785">
      <c r="A785" s="35" t="s">
        <v>11922</v>
      </c>
      <c r="B785" s="39">
        <v>46057.55394675926</v>
      </c>
      <c r="C785" s="35" t="s">
        <v>9488</v>
      </c>
      <c r="D785" s="40" t="s">
        <v>9489</v>
      </c>
      <c r="E785" s="35" t="s">
        <v>9974</v>
      </c>
      <c r="F785" s="40" t="s">
        <v>7095</v>
      </c>
      <c r="G785" s="35" t="s">
        <v>11527</v>
      </c>
      <c r="H785" s="40" t="s">
        <v>9489</v>
      </c>
      <c r="I785" s="35" t="s">
        <v>11923</v>
      </c>
      <c r="J785" s="35" t="s">
        <v>11924</v>
      </c>
      <c r="K785" s="35" t="s">
        <v>163</v>
      </c>
      <c r="L785" s="35" t="s">
        <v>163</v>
      </c>
      <c r="M785" s="35" t="s">
        <v>430</v>
      </c>
      <c r="N785" s="35"/>
      <c r="O785" s="3"/>
    </row>
    <row r="786">
      <c r="A786" s="35" t="s">
        <v>11925</v>
      </c>
      <c r="B786" s="39">
        <v>46057.558854166666</v>
      </c>
      <c r="C786" s="35" t="s">
        <v>9488</v>
      </c>
      <c r="D786" s="40" t="s">
        <v>9489</v>
      </c>
      <c r="E786" s="35" t="s">
        <v>11453</v>
      </c>
      <c r="F786" s="40" t="s">
        <v>7090</v>
      </c>
      <c r="G786" s="35" t="s">
        <v>11147</v>
      </c>
      <c r="H786" s="40" t="s">
        <v>9489</v>
      </c>
      <c r="I786" s="35" t="s">
        <v>11908</v>
      </c>
      <c r="J786" s="35" t="s">
        <v>11926</v>
      </c>
      <c r="K786" s="35" t="s">
        <v>199</v>
      </c>
      <c r="L786" s="35" t="s">
        <v>199</v>
      </c>
      <c r="M786" s="35" t="s">
        <v>272</v>
      </c>
      <c r="N786" s="35"/>
      <c r="O786" s="3"/>
    </row>
    <row r="787">
      <c r="A787" s="35" t="s">
        <v>11927</v>
      </c>
      <c r="B787" s="39">
        <v>46057.55502314815</v>
      </c>
      <c r="C787" s="35" t="s">
        <v>9488</v>
      </c>
      <c r="D787" s="40" t="s">
        <v>9489</v>
      </c>
      <c r="E787" s="35" t="s">
        <v>9974</v>
      </c>
      <c r="F787" s="40" t="s">
        <v>7095</v>
      </c>
      <c r="G787" s="35" t="s">
        <v>11527</v>
      </c>
      <c r="H787" s="40" t="s">
        <v>9489</v>
      </c>
      <c r="I787" s="35" t="s">
        <v>11923</v>
      </c>
      <c r="J787" s="35" t="s">
        <v>11928</v>
      </c>
      <c r="K787" s="35" t="s">
        <v>163</v>
      </c>
      <c r="L787" s="35" t="s">
        <v>163</v>
      </c>
      <c r="M787" s="35" t="s">
        <v>430</v>
      </c>
      <c r="N787" s="35"/>
      <c r="O787" s="3"/>
    </row>
    <row r="788">
      <c r="A788" s="35" t="s">
        <v>11929</v>
      </c>
      <c r="B788" s="39">
        <v>46057.55541666667</v>
      </c>
      <c r="C788" s="35" t="s">
        <v>9627</v>
      </c>
      <c r="D788" s="40" t="s">
        <v>9489</v>
      </c>
      <c r="E788" s="35" t="s">
        <v>7288</v>
      </c>
      <c r="F788" s="40" t="s">
        <v>9489</v>
      </c>
      <c r="G788" s="35" t="s">
        <v>8223</v>
      </c>
      <c r="H788" s="40" t="s">
        <v>7095</v>
      </c>
      <c r="I788" s="35" t="s">
        <v>11930</v>
      </c>
      <c r="J788" s="35" t="s">
        <v>11931</v>
      </c>
      <c r="K788" s="35" t="s">
        <v>163</v>
      </c>
      <c r="L788" s="35" t="s">
        <v>163</v>
      </c>
      <c r="M788" s="35" t="s">
        <v>430</v>
      </c>
      <c r="N788" s="35"/>
      <c r="O788" s="3"/>
    </row>
    <row r="789">
      <c r="A789" s="35" t="s">
        <v>11932</v>
      </c>
      <c r="B789" s="39">
        <v>46057.611805555556</v>
      </c>
      <c r="C789" s="35" t="s">
        <v>9488</v>
      </c>
      <c r="D789" s="40" t="s">
        <v>9489</v>
      </c>
      <c r="E789" s="35" t="s">
        <v>11453</v>
      </c>
      <c r="F789" s="40" t="s">
        <v>7090</v>
      </c>
      <c r="G789" s="35" t="s">
        <v>11147</v>
      </c>
      <c r="H789" s="40" t="s">
        <v>9489</v>
      </c>
      <c r="I789" s="35" t="s">
        <v>11908</v>
      </c>
      <c r="J789" s="35" t="s">
        <v>11933</v>
      </c>
      <c r="K789" s="35" t="s">
        <v>199</v>
      </c>
      <c r="L789" s="35" t="s">
        <v>199</v>
      </c>
      <c r="M789" s="35" t="s">
        <v>272</v>
      </c>
      <c r="N789" s="35"/>
      <c r="O789" s="3"/>
    </row>
    <row r="790">
      <c r="A790" s="35" t="s">
        <v>11934</v>
      </c>
      <c r="B790" s="39">
        <v>46057.616319444445</v>
      </c>
      <c r="C790" s="35" t="s">
        <v>9488</v>
      </c>
      <c r="D790" s="40" t="s">
        <v>9489</v>
      </c>
      <c r="E790" s="35" t="s">
        <v>10480</v>
      </c>
      <c r="F790" s="40" t="s">
        <v>7109</v>
      </c>
      <c r="G790" s="35" t="s">
        <v>11935</v>
      </c>
      <c r="H790" s="35" t="s">
        <v>10501</v>
      </c>
      <c r="I790" s="35" t="s">
        <v>11936</v>
      </c>
      <c r="J790" s="35" t="s">
        <v>11937</v>
      </c>
      <c r="K790" s="35" t="s">
        <v>131</v>
      </c>
      <c r="L790" s="35" t="s">
        <v>131</v>
      </c>
      <c r="M790" s="35" t="s">
        <v>132</v>
      </c>
      <c r="N790" s="35"/>
      <c r="O790" s="3"/>
    </row>
    <row r="791">
      <c r="A791" s="35" t="s">
        <v>11938</v>
      </c>
      <c r="B791" s="39">
        <v>46057.626921296294</v>
      </c>
      <c r="C791" s="35" t="s">
        <v>9488</v>
      </c>
      <c r="D791" s="40" t="s">
        <v>9489</v>
      </c>
      <c r="E791" s="35" t="s">
        <v>10310</v>
      </c>
      <c r="F791" s="40" t="s">
        <v>7105</v>
      </c>
      <c r="G791" s="35"/>
      <c r="H791" s="35"/>
      <c r="I791" s="35"/>
      <c r="J791" s="35" t="s">
        <v>11486</v>
      </c>
      <c r="K791" s="35" t="s">
        <v>128</v>
      </c>
      <c r="L791" s="35" t="s">
        <v>128</v>
      </c>
      <c r="M791" s="35" t="s">
        <v>301</v>
      </c>
      <c r="N791" s="35"/>
      <c r="O791" s="3"/>
    </row>
    <row r="792">
      <c r="A792" s="35" t="s">
        <v>11939</v>
      </c>
      <c r="B792" s="39">
        <v>46062.33333333333</v>
      </c>
      <c r="C792" s="35" t="s">
        <v>9488</v>
      </c>
      <c r="D792" s="40" t="s">
        <v>9489</v>
      </c>
      <c r="E792" s="35" t="s">
        <v>10480</v>
      </c>
      <c r="F792" s="40" t="s">
        <v>7109</v>
      </c>
      <c r="G792" s="35" t="s">
        <v>11935</v>
      </c>
      <c r="H792" s="35" t="s">
        <v>10501</v>
      </c>
      <c r="I792" s="35" t="s">
        <v>11936</v>
      </c>
      <c r="J792" s="35" t="s">
        <v>11940</v>
      </c>
      <c r="K792" s="35" t="s">
        <v>131</v>
      </c>
      <c r="L792" s="35" t="s">
        <v>131</v>
      </c>
      <c r="M792" s="35" t="s">
        <v>132</v>
      </c>
      <c r="N792" s="35"/>
      <c r="O792" s="3"/>
    </row>
    <row r="793">
      <c r="A793" s="35" t="s">
        <v>11941</v>
      </c>
      <c r="B793" s="39">
        <v>46057.63292824074</v>
      </c>
      <c r="C793" s="35" t="s">
        <v>9488</v>
      </c>
      <c r="D793" s="40" t="s">
        <v>9489</v>
      </c>
      <c r="E793" s="35" t="s">
        <v>11942</v>
      </c>
      <c r="F793" s="40" t="s">
        <v>7105</v>
      </c>
      <c r="G793" s="35" t="s">
        <v>10273</v>
      </c>
      <c r="H793" s="40" t="s">
        <v>7105</v>
      </c>
      <c r="I793" s="35" t="s">
        <v>11943</v>
      </c>
      <c r="J793" s="35" t="s">
        <v>11944</v>
      </c>
      <c r="K793" s="35" t="s">
        <v>128</v>
      </c>
      <c r="L793" s="35" t="s">
        <v>128</v>
      </c>
      <c r="M793" s="35" t="s">
        <v>301</v>
      </c>
      <c r="N793" s="35"/>
      <c r="O793" s="3"/>
    </row>
    <row r="794">
      <c r="A794" s="35" t="s">
        <v>11945</v>
      </c>
      <c r="B794" s="39">
        <v>46057.63738425926</v>
      </c>
      <c r="C794" s="35" t="s">
        <v>10273</v>
      </c>
      <c r="D794" s="40" t="s">
        <v>7105</v>
      </c>
      <c r="E794" s="35" t="s">
        <v>9488</v>
      </c>
      <c r="F794" s="40" t="s">
        <v>9489</v>
      </c>
      <c r="G794" s="35"/>
      <c r="H794" s="35"/>
      <c r="I794" s="35" t="s">
        <v>11946</v>
      </c>
      <c r="J794" s="35" t="s">
        <v>11947</v>
      </c>
      <c r="K794" s="35" t="s">
        <v>128</v>
      </c>
      <c r="L794" s="35" t="s">
        <v>128</v>
      </c>
      <c r="M794" s="35" t="s">
        <v>301</v>
      </c>
      <c r="N794" s="35"/>
      <c r="O794" s="3"/>
    </row>
    <row r="795">
      <c r="A795" s="35" t="s">
        <v>11948</v>
      </c>
      <c r="B795" s="39">
        <v>46057.66055555556</v>
      </c>
      <c r="C795" s="35" t="s">
        <v>11147</v>
      </c>
      <c r="D795" s="40" t="s">
        <v>9489</v>
      </c>
      <c r="E795" s="35" t="s">
        <v>9488</v>
      </c>
      <c r="F795" s="40" t="s">
        <v>9489</v>
      </c>
      <c r="G795" s="35" t="s">
        <v>11453</v>
      </c>
      <c r="H795" s="40" t="s">
        <v>7090</v>
      </c>
      <c r="I795" s="35" t="s">
        <v>11908</v>
      </c>
      <c r="J795" s="35" t="s">
        <v>11949</v>
      </c>
      <c r="K795" s="35" t="s">
        <v>199</v>
      </c>
      <c r="L795" s="35" t="s">
        <v>199</v>
      </c>
      <c r="M795" s="35" t="s">
        <v>272</v>
      </c>
      <c r="N795" s="35"/>
      <c r="O795" s="3"/>
    </row>
    <row r="796">
      <c r="A796" s="35" t="s">
        <v>11950</v>
      </c>
      <c r="B796" s="39">
        <v>46058.25</v>
      </c>
      <c r="C796" s="35" t="s">
        <v>10280</v>
      </c>
      <c r="D796" s="40" t="s">
        <v>9489</v>
      </c>
      <c r="E796" s="35" t="s">
        <v>9487</v>
      </c>
      <c r="F796" s="40" t="s">
        <v>7081</v>
      </c>
      <c r="G796" s="35" t="s">
        <v>9534</v>
      </c>
      <c r="H796" s="40" t="s">
        <v>9489</v>
      </c>
      <c r="I796" s="35" t="s">
        <v>9551</v>
      </c>
      <c r="J796" s="35" t="s">
        <v>11951</v>
      </c>
      <c r="K796" s="35" t="s">
        <v>119</v>
      </c>
      <c r="L796" s="35" t="s">
        <v>251</v>
      </c>
      <c r="M796" s="35" t="s">
        <v>9537</v>
      </c>
      <c r="N796" s="35"/>
      <c r="O796" s="3"/>
    </row>
    <row r="797">
      <c r="A797" s="35" t="s">
        <v>11952</v>
      </c>
      <c r="B797" s="39">
        <v>46058.31842592593</v>
      </c>
      <c r="C797" s="35" t="s">
        <v>11650</v>
      </c>
      <c r="D797" s="40" t="s">
        <v>7116</v>
      </c>
      <c r="E797" s="35" t="s">
        <v>11953</v>
      </c>
      <c r="F797" s="35" t="s">
        <v>11954</v>
      </c>
      <c r="G797" s="35" t="s">
        <v>11955</v>
      </c>
      <c r="H797" s="40" t="s">
        <v>9489</v>
      </c>
      <c r="I797" s="35" t="s">
        <v>11956</v>
      </c>
      <c r="J797" s="35" t="s">
        <v>11957</v>
      </c>
      <c r="K797" s="35" t="s">
        <v>202</v>
      </c>
      <c r="L797" s="35" t="s">
        <v>203</v>
      </c>
      <c r="M797" s="35" t="s">
        <v>11912</v>
      </c>
      <c r="N797" s="35"/>
      <c r="O797" s="3"/>
    </row>
    <row r="798">
      <c r="A798" s="35" t="s">
        <v>11958</v>
      </c>
      <c r="B798" s="39">
        <v>46058.40136574074</v>
      </c>
      <c r="C798" s="35" t="s">
        <v>11322</v>
      </c>
      <c r="D798" s="40" t="s">
        <v>7117</v>
      </c>
      <c r="E798" s="35" t="s">
        <v>9675</v>
      </c>
      <c r="F798" s="40" t="s">
        <v>9489</v>
      </c>
      <c r="G798" s="35"/>
      <c r="H798" s="35"/>
      <c r="I798" s="35" t="s">
        <v>11959</v>
      </c>
      <c r="J798" s="35" t="s">
        <v>11960</v>
      </c>
      <c r="K798" s="35" t="s">
        <v>178</v>
      </c>
      <c r="L798" s="35" t="s">
        <v>179</v>
      </c>
      <c r="M798" s="35" t="s">
        <v>11958</v>
      </c>
      <c r="N798" s="35"/>
      <c r="O798" s="3"/>
    </row>
    <row r="799">
      <c r="A799" s="35" t="s">
        <v>11961</v>
      </c>
      <c r="B799" s="39">
        <v>46058.39934027778</v>
      </c>
      <c r="C799" s="35" t="s">
        <v>9488</v>
      </c>
      <c r="D799" s="40" t="s">
        <v>9489</v>
      </c>
      <c r="E799" s="35" t="s">
        <v>11962</v>
      </c>
      <c r="F799" s="35" t="s">
        <v>11317</v>
      </c>
      <c r="G799" s="35"/>
      <c r="H799" s="35"/>
      <c r="I799" s="35" t="s">
        <v>11963</v>
      </c>
      <c r="J799" s="35" t="s">
        <v>11964</v>
      </c>
      <c r="K799" s="35" t="s">
        <v>178</v>
      </c>
      <c r="L799" s="35" t="s">
        <v>179</v>
      </c>
      <c r="M799" s="35" t="s">
        <v>11961</v>
      </c>
      <c r="N799" s="35"/>
      <c r="O799" s="3"/>
    </row>
    <row r="800">
      <c r="A800" s="35" t="s">
        <v>11965</v>
      </c>
      <c r="B800" s="39">
        <v>46058.41755787037</v>
      </c>
      <c r="C800" s="35" t="s">
        <v>9488</v>
      </c>
      <c r="D800" s="40" t="s">
        <v>9489</v>
      </c>
      <c r="E800" s="35" t="s">
        <v>8142</v>
      </c>
      <c r="F800" s="40" t="s">
        <v>7117</v>
      </c>
      <c r="G800" s="35"/>
      <c r="H800" s="35"/>
      <c r="I800" s="35" t="s">
        <v>11966</v>
      </c>
      <c r="J800" s="35" t="s">
        <v>11967</v>
      </c>
      <c r="K800" s="35" t="s">
        <v>178</v>
      </c>
      <c r="L800" s="35" t="s">
        <v>179</v>
      </c>
      <c r="M800" s="35" t="s">
        <v>11968</v>
      </c>
      <c r="N800" s="35"/>
      <c r="O800" s="3"/>
    </row>
    <row r="801">
      <c r="A801" s="35" t="s">
        <v>11969</v>
      </c>
      <c r="B801" s="39">
        <v>46058.42196759259</v>
      </c>
      <c r="C801" s="35" t="s">
        <v>9488</v>
      </c>
      <c r="D801" s="40" t="s">
        <v>9489</v>
      </c>
      <c r="E801" s="35" t="s">
        <v>8142</v>
      </c>
      <c r="F801" s="40" t="s">
        <v>7117</v>
      </c>
      <c r="G801" s="35"/>
      <c r="H801" s="35"/>
      <c r="I801" s="35" t="s">
        <v>11966</v>
      </c>
      <c r="J801" s="35" t="s">
        <v>11970</v>
      </c>
      <c r="K801" s="35" t="s">
        <v>178</v>
      </c>
      <c r="L801" s="35" t="s">
        <v>179</v>
      </c>
      <c r="M801" s="35" t="s">
        <v>11971</v>
      </c>
      <c r="N801" s="35"/>
      <c r="O801" s="3"/>
    </row>
    <row r="802">
      <c r="A802" s="35" t="s">
        <v>11972</v>
      </c>
      <c r="B802" s="39">
        <v>46058.450162037036</v>
      </c>
      <c r="C802" s="35" t="s">
        <v>9974</v>
      </c>
      <c r="D802" s="40" t="s">
        <v>7095</v>
      </c>
      <c r="E802" s="35" t="s">
        <v>9488</v>
      </c>
      <c r="F802" s="40" t="s">
        <v>9489</v>
      </c>
      <c r="G802" s="35" t="s">
        <v>11527</v>
      </c>
      <c r="H802" s="40" t="s">
        <v>9489</v>
      </c>
      <c r="I802" s="35" t="s">
        <v>11973</v>
      </c>
      <c r="J802" s="35" t="s">
        <v>11974</v>
      </c>
      <c r="K802" s="35" t="s">
        <v>163</v>
      </c>
      <c r="L802" s="35" t="s">
        <v>430</v>
      </c>
      <c r="M802" s="35" t="s">
        <v>11842</v>
      </c>
      <c r="N802" s="35"/>
      <c r="O802" s="3"/>
    </row>
    <row r="803">
      <c r="A803" s="35" t="s">
        <v>11975</v>
      </c>
      <c r="B803" s="39">
        <v>46058.51954861111</v>
      </c>
      <c r="C803" s="35" t="s">
        <v>10001</v>
      </c>
      <c r="D803" s="40" t="s">
        <v>7097</v>
      </c>
      <c r="E803" s="35" t="s">
        <v>9488</v>
      </c>
      <c r="F803" s="40" t="s">
        <v>9489</v>
      </c>
      <c r="G803" s="35"/>
      <c r="H803" s="35"/>
      <c r="I803" s="35" t="s">
        <v>11976</v>
      </c>
      <c r="J803" s="35" t="s">
        <v>11977</v>
      </c>
      <c r="K803" s="35" t="s">
        <v>6807</v>
      </c>
      <c r="L803" s="35" t="s">
        <v>572</v>
      </c>
      <c r="M803" s="35" t="s">
        <v>11975</v>
      </c>
      <c r="N803" s="35"/>
      <c r="O803" s="3"/>
    </row>
    <row r="804">
      <c r="A804" s="35" t="s">
        <v>11978</v>
      </c>
      <c r="B804" s="39">
        <v>46058.53538194444</v>
      </c>
      <c r="C804" s="35" t="s">
        <v>9763</v>
      </c>
      <c r="D804" s="40" t="s">
        <v>7086</v>
      </c>
      <c r="E804" s="35" t="s">
        <v>9488</v>
      </c>
      <c r="F804" s="40" t="s">
        <v>9489</v>
      </c>
      <c r="G804" s="35" t="s">
        <v>11979</v>
      </c>
      <c r="H804" s="40" t="s">
        <v>7086</v>
      </c>
      <c r="I804" s="35" t="s">
        <v>11980</v>
      </c>
      <c r="J804" s="35" t="s">
        <v>11981</v>
      </c>
      <c r="K804" s="35" t="s">
        <v>208</v>
      </c>
      <c r="L804" s="35" t="s">
        <v>209</v>
      </c>
      <c r="M804" s="35" t="s">
        <v>11978</v>
      </c>
      <c r="N804" s="35"/>
      <c r="O804" s="3"/>
    </row>
    <row r="805">
      <c r="A805" s="35" t="s">
        <v>11982</v>
      </c>
      <c r="B805" s="39">
        <v>46058.63265046296</v>
      </c>
      <c r="C805" s="35" t="s">
        <v>9487</v>
      </c>
      <c r="D805" s="40" t="s">
        <v>7081</v>
      </c>
      <c r="E805" s="35" t="s">
        <v>9488</v>
      </c>
      <c r="F805" s="40" t="s">
        <v>9489</v>
      </c>
      <c r="G805" s="35"/>
      <c r="H805" s="35"/>
      <c r="I805" s="35" t="s">
        <v>11983</v>
      </c>
      <c r="J805" s="35" t="s">
        <v>11984</v>
      </c>
      <c r="K805" s="35" t="s">
        <v>119</v>
      </c>
      <c r="L805" s="35" t="s">
        <v>251</v>
      </c>
      <c r="M805" s="35" t="s">
        <v>11439</v>
      </c>
      <c r="N805" s="35"/>
      <c r="O805" s="3"/>
    </row>
    <row r="806">
      <c r="A806" s="35" t="s">
        <v>11985</v>
      </c>
      <c r="B806" s="39">
        <v>46058.63663194445</v>
      </c>
      <c r="C806" s="35" t="s">
        <v>9488</v>
      </c>
      <c r="D806" s="40" t="s">
        <v>9489</v>
      </c>
      <c r="E806" s="35" t="s">
        <v>10001</v>
      </c>
      <c r="F806" s="40" t="s">
        <v>7097</v>
      </c>
      <c r="G806" s="35"/>
      <c r="H806" s="35"/>
      <c r="I806" s="35" t="s">
        <v>11986</v>
      </c>
      <c r="J806" s="35" t="s">
        <v>11987</v>
      </c>
      <c r="K806" s="35" t="s">
        <v>6807</v>
      </c>
      <c r="L806" s="35" t="s">
        <v>572</v>
      </c>
      <c r="M806" s="35" t="s">
        <v>11975</v>
      </c>
      <c r="N806" s="35"/>
      <c r="O806" s="3"/>
    </row>
    <row r="807">
      <c r="A807" s="35" t="s">
        <v>11988</v>
      </c>
      <c r="B807" s="39">
        <v>46058.64262731481</v>
      </c>
      <c r="C807" s="35" t="s">
        <v>9488</v>
      </c>
      <c r="D807" s="40" t="s">
        <v>9489</v>
      </c>
      <c r="E807" s="35" t="s">
        <v>9487</v>
      </c>
      <c r="F807" s="40" t="s">
        <v>7081</v>
      </c>
      <c r="G807" s="35"/>
      <c r="H807" s="35"/>
      <c r="I807" s="35" t="s">
        <v>11442</v>
      </c>
      <c r="J807" s="35" t="s">
        <v>11989</v>
      </c>
      <c r="K807" s="35" t="s">
        <v>119</v>
      </c>
      <c r="L807" s="35" t="s">
        <v>251</v>
      </c>
      <c r="M807" s="35" t="s">
        <v>11439</v>
      </c>
      <c r="N807" s="35"/>
      <c r="O807" s="3"/>
    </row>
    <row r="808">
      <c r="A808" s="35" t="s">
        <v>11990</v>
      </c>
      <c r="B808" s="39">
        <v>46058.64126157407</v>
      </c>
      <c r="C808" s="35" t="s">
        <v>9488</v>
      </c>
      <c r="D808" s="40" t="s">
        <v>9489</v>
      </c>
      <c r="E808" s="35" t="s">
        <v>10001</v>
      </c>
      <c r="F808" s="40" t="s">
        <v>7097</v>
      </c>
      <c r="G808" s="35"/>
      <c r="H808" s="35"/>
      <c r="I808" s="35" t="s">
        <v>11986</v>
      </c>
      <c r="J808" s="35" t="s">
        <v>11991</v>
      </c>
      <c r="K808" s="35" t="s">
        <v>6807</v>
      </c>
      <c r="L808" s="35" t="s">
        <v>572</v>
      </c>
      <c r="M808" s="35" t="s">
        <v>11975</v>
      </c>
      <c r="N808" s="35"/>
      <c r="O808" s="3"/>
    </row>
    <row r="809">
      <c r="A809" s="35" t="s">
        <v>11992</v>
      </c>
      <c r="B809" s="39">
        <v>46058.67738425926</v>
      </c>
      <c r="C809" s="35" t="s">
        <v>10480</v>
      </c>
      <c r="D809" s="40" t="s">
        <v>7109</v>
      </c>
      <c r="E809" s="35" t="s">
        <v>7288</v>
      </c>
      <c r="F809" s="40" t="s">
        <v>9489</v>
      </c>
      <c r="G809" s="35"/>
      <c r="H809" s="35"/>
      <c r="I809" s="35" t="s">
        <v>11993</v>
      </c>
      <c r="J809" s="35" t="s">
        <v>11994</v>
      </c>
      <c r="K809" s="35" t="s">
        <v>131</v>
      </c>
      <c r="L809" s="35" t="s">
        <v>132</v>
      </c>
      <c r="M809" s="35" t="s">
        <v>11992</v>
      </c>
      <c r="N809" s="35"/>
      <c r="O809" s="3"/>
    </row>
    <row r="810">
      <c r="A810" s="35" t="s">
        <v>11995</v>
      </c>
      <c r="B810" s="39">
        <v>46058.67716435185</v>
      </c>
      <c r="C810" s="35" t="s">
        <v>9488</v>
      </c>
      <c r="D810" s="40" t="s">
        <v>9489</v>
      </c>
      <c r="E810" s="35" t="s">
        <v>10540</v>
      </c>
      <c r="F810" s="40" t="s">
        <v>9489</v>
      </c>
      <c r="G810" s="35" t="s">
        <v>11996</v>
      </c>
      <c r="H810" s="35" t="s">
        <v>10501</v>
      </c>
      <c r="I810" s="35" t="s">
        <v>10537</v>
      </c>
      <c r="J810" s="35" t="s">
        <v>11997</v>
      </c>
      <c r="K810" s="35" t="s">
        <v>131</v>
      </c>
      <c r="L810" s="35" t="s">
        <v>132</v>
      </c>
      <c r="M810" s="35" t="s">
        <v>11998</v>
      </c>
      <c r="N810" s="35"/>
      <c r="O810" s="3"/>
    </row>
    <row r="811">
      <c r="A811" s="35" t="s">
        <v>11999</v>
      </c>
      <c r="B811" s="39">
        <v>46058.677569444444</v>
      </c>
      <c r="C811" s="35" t="s">
        <v>9627</v>
      </c>
      <c r="D811" s="40" t="s">
        <v>9489</v>
      </c>
      <c r="E811" s="35" t="s">
        <v>7288</v>
      </c>
      <c r="F811" s="40" t="s">
        <v>9489</v>
      </c>
      <c r="G811" s="35" t="s">
        <v>12000</v>
      </c>
      <c r="H811" s="35" t="s">
        <v>10501</v>
      </c>
      <c r="I811" s="35" t="s">
        <v>12001</v>
      </c>
      <c r="J811" s="35" t="s">
        <v>12002</v>
      </c>
      <c r="K811" s="35" t="s">
        <v>131</v>
      </c>
      <c r="L811" s="35" t="s">
        <v>132</v>
      </c>
      <c r="M811" s="35" t="s">
        <v>11998</v>
      </c>
      <c r="N811" s="35"/>
      <c r="O811" s="3"/>
    </row>
    <row r="812">
      <c r="A812" s="35" t="s">
        <v>12003</v>
      </c>
      <c r="B812" s="39">
        <v>46058.689293981486</v>
      </c>
      <c r="C812" s="35" t="s">
        <v>9488</v>
      </c>
      <c r="D812" s="40" t="s">
        <v>9489</v>
      </c>
      <c r="E812" s="35" t="s">
        <v>12004</v>
      </c>
      <c r="F812" s="35" t="s">
        <v>12005</v>
      </c>
      <c r="G812" s="35" t="s">
        <v>9597</v>
      </c>
      <c r="H812" s="40" t="s">
        <v>9489</v>
      </c>
      <c r="I812" s="35" t="s">
        <v>12006</v>
      </c>
      <c r="J812" s="35" t="s">
        <v>12007</v>
      </c>
      <c r="K812" s="35" t="s">
        <v>154</v>
      </c>
      <c r="L812" s="35" t="s">
        <v>329</v>
      </c>
      <c r="M812" s="35" t="s">
        <v>12008</v>
      </c>
      <c r="N812" s="35"/>
      <c r="O812" s="3"/>
    </row>
    <row r="813">
      <c r="A813" s="35" t="s">
        <v>12009</v>
      </c>
      <c r="B813" s="39">
        <v>46058.69298611111</v>
      </c>
      <c r="C813" s="35" t="s">
        <v>9488</v>
      </c>
      <c r="D813" s="40" t="s">
        <v>9489</v>
      </c>
      <c r="E813" s="35" t="s">
        <v>12004</v>
      </c>
      <c r="F813" s="35" t="s">
        <v>12005</v>
      </c>
      <c r="G813" s="35" t="s">
        <v>9597</v>
      </c>
      <c r="H813" s="40" t="s">
        <v>9489</v>
      </c>
      <c r="I813" s="35" t="s">
        <v>12006</v>
      </c>
      <c r="J813" s="35" t="s">
        <v>12010</v>
      </c>
      <c r="K813" s="35" t="s">
        <v>154</v>
      </c>
      <c r="L813" s="35" t="s">
        <v>329</v>
      </c>
      <c r="M813" s="35" t="s">
        <v>12008</v>
      </c>
      <c r="N813" s="35"/>
      <c r="O813" s="3"/>
    </row>
    <row r="814">
      <c r="A814" s="35" t="s">
        <v>12011</v>
      </c>
      <c r="B814" s="39">
        <v>46058.694247685184</v>
      </c>
      <c r="C814" s="35" t="s">
        <v>9488</v>
      </c>
      <c r="D814" s="40" t="s">
        <v>9489</v>
      </c>
      <c r="E814" s="35" t="s">
        <v>12004</v>
      </c>
      <c r="F814" s="35" t="s">
        <v>12005</v>
      </c>
      <c r="G814" s="35" t="s">
        <v>9597</v>
      </c>
      <c r="H814" s="40" t="s">
        <v>9489</v>
      </c>
      <c r="I814" s="35" t="s">
        <v>12012</v>
      </c>
      <c r="J814" s="35" t="s">
        <v>12013</v>
      </c>
      <c r="K814" s="35" t="s">
        <v>154</v>
      </c>
      <c r="L814" s="35" t="s">
        <v>329</v>
      </c>
      <c r="M814" s="35" t="s">
        <v>12008</v>
      </c>
      <c r="N814" s="35"/>
      <c r="O814" s="3"/>
    </row>
    <row r="815">
      <c r="A815" s="35" t="s">
        <v>12014</v>
      </c>
      <c r="B815" s="39">
        <v>46059.35133101852</v>
      </c>
      <c r="C815" s="35" t="s">
        <v>10454</v>
      </c>
      <c r="D815" s="40" t="s">
        <v>7109</v>
      </c>
      <c r="E815" s="35" t="s">
        <v>9627</v>
      </c>
      <c r="F815" s="40" t="s">
        <v>9489</v>
      </c>
      <c r="G815" s="35" t="s">
        <v>12015</v>
      </c>
      <c r="H815" s="35" t="s">
        <v>10456</v>
      </c>
      <c r="I815" s="35" t="s">
        <v>12001</v>
      </c>
      <c r="J815" s="35" t="s">
        <v>12016</v>
      </c>
      <c r="K815" s="35" t="s">
        <v>131</v>
      </c>
      <c r="L815" s="35" t="s">
        <v>132</v>
      </c>
      <c r="M815" s="35" t="s">
        <v>11998</v>
      </c>
      <c r="N815" s="35"/>
      <c r="O815" s="3"/>
    </row>
    <row r="816">
      <c r="A816" s="35" t="s">
        <v>12017</v>
      </c>
      <c r="B816" s="39">
        <v>46059.40400462963</v>
      </c>
      <c r="C816" s="35" t="s">
        <v>10540</v>
      </c>
      <c r="D816" s="40" t="s">
        <v>9489</v>
      </c>
      <c r="E816" s="35" t="s">
        <v>8124</v>
      </c>
      <c r="F816" s="40" t="s">
        <v>7109</v>
      </c>
      <c r="G816" s="35" t="s">
        <v>12018</v>
      </c>
      <c r="H816" s="35" t="s">
        <v>10501</v>
      </c>
      <c r="I816" s="35" t="s">
        <v>12001</v>
      </c>
      <c r="J816" s="35" t="s">
        <v>12019</v>
      </c>
      <c r="K816" s="35" t="s">
        <v>131</v>
      </c>
      <c r="L816" s="35" t="s">
        <v>132</v>
      </c>
      <c r="M816" s="35" t="s">
        <v>11998</v>
      </c>
      <c r="N816" s="35"/>
      <c r="O816" s="3"/>
    </row>
    <row r="817">
      <c r="A817" s="35" t="s">
        <v>12020</v>
      </c>
      <c r="B817" s="39">
        <v>46059.40494212963</v>
      </c>
      <c r="C817" s="35" t="s">
        <v>10540</v>
      </c>
      <c r="D817" s="40" t="s">
        <v>9489</v>
      </c>
      <c r="E817" s="35" t="s">
        <v>7288</v>
      </c>
      <c r="F817" s="40" t="s">
        <v>9489</v>
      </c>
      <c r="G817" s="35" t="s">
        <v>12000</v>
      </c>
      <c r="H817" s="35" t="s">
        <v>10501</v>
      </c>
      <c r="I817" s="35" t="s">
        <v>12001</v>
      </c>
      <c r="J817" s="35" t="s">
        <v>12021</v>
      </c>
      <c r="K817" s="35" t="s">
        <v>131</v>
      </c>
      <c r="L817" s="35" t="s">
        <v>132</v>
      </c>
      <c r="M817" s="35" t="s">
        <v>11998</v>
      </c>
      <c r="N817" s="35"/>
      <c r="O817" s="3"/>
    </row>
    <row r="818">
      <c r="A818" s="35" t="s">
        <v>12022</v>
      </c>
      <c r="B818" s="39">
        <v>46059.41032407407</v>
      </c>
      <c r="C818" s="35" t="s">
        <v>9496</v>
      </c>
      <c r="D818" s="40" t="s">
        <v>9489</v>
      </c>
      <c r="E818" s="35" t="s">
        <v>12023</v>
      </c>
      <c r="F818" s="35" t="s">
        <v>12024</v>
      </c>
      <c r="G818" s="35"/>
      <c r="H818" s="35"/>
      <c r="I818" s="35" t="s">
        <v>12025</v>
      </c>
      <c r="J818" s="35" t="s">
        <v>12026</v>
      </c>
      <c r="K818" s="35" t="s">
        <v>169</v>
      </c>
      <c r="L818" s="35" t="s">
        <v>170</v>
      </c>
      <c r="M818" s="35" t="s">
        <v>12022</v>
      </c>
      <c r="N818" s="35"/>
      <c r="O818" s="3"/>
    </row>
    <row r="819">
      <c r="A819" s="35" t="s">
        <v>12027</v>
      </c>
      <c r="B819" s="39">
        <v>46059.41372685185</v>
      </c>
      <c r="C819" s="35" t="s">
        <v>10001</v>
      </c>
      <c r="D819" s="40" t="s">
        <v>7097</v>
      </c>
      <c r="E819" s="35" t="s">
        <v>9488</v>
      </c>
      <c r="F819" s="40" t="s">
        <v>9489</v>
      </c>
      <c r="G819" s="35"/>
      <c r="H819" s="35"/>
      <c r="I819" s="35" t="s">
        <v>12028</v>
      </c>
      <c r="J819" s="35" t="s">
        <v>12029</v>
      </c>
      <c r="K819" s="35" t="s">
        <v>6807</v>
      </c>
      <c r="L819" s="35" t="s">
        <v>572</v>
      </c>
      <c r="M819" s="35" t="s">
        <v>11975</v>
      </c>
      <c r="N819" s="35"/>
      <c r="O819" s="3"/>
    </row>
    <row r="820">
      <c r="A820" s="35" t="s">
        <v>12030</v>
      </c>
      <c r="B820" s="39">
        <v>46059.41122685185</v>
      </c>
      <c r="C820" s="35" t="s">
        <v>9496</v>
      </c>
      <c r="D820" s="40" t="s">
        <v>9489</v>
      </c>
      <c r="E820" s="35" t="s">
        <v>10540</v>
      </c>
      <c r="F820" s="40" t="s">
        <v>9489</v>
      </c>
      <c r="G820" s="35" t="s">
        <v>12031</v>
      </c>
      <c r="H820" s="35" t="s">
        <v>10456</v>
      </c>
      <c r="I820" s="35" t="s">
        <v>12001</v>
      </c>
      <c r="J820" s="35" t="s">
        <v>12032</v>
      </c>
      <c r="K820" s="35" t="s">
        <v>131</v>
      </c>
      <c r="L820" s="35" t="s">
        <v>132</v>
      </c>
      <c r="M820" s="35" t="s">
        <v>11998</v>
      </c>
      <c r="N820" s="35"/>
      <c r="O820" s="3"/>
    </row>
    <row r="821">
      <c r="A821" s="35" t="s">
        <v>12033</v>
      </c>
      <c r="B821" s="39">
        <v>46059.44965277778</v>
      </c>
      <c r="C821" s="35" t="s">
        <v>9488</v>
      </c>
      <c r="D821" s="40" t="s">
        <v>9489</v>
      </c>
      <c r="E821" s="35" t="s">
        <v>9496</v>
      </c>
      <c r="F821" s="40" t="s">
        <v>9489</v>
      </c>
      <c r="G821" s="35" t="s">
        <v>12034</v>
      </c>
      <c r="H821" s="40" t="s">
        <v>7085</v>
      </c>
      <c r="I821" s="35" t="s">
        <v>12035</v>
      </c>
      <c r="J821" s="35" t="s">
        <v>12036</v>
      </c>
      <c r="K821" s="35" t="s">
        <v>169</v>
      </c>
      <c r="L821" s="35" t="s">
        <v>170</v>
      </c>
      <c r="M821" s="35" t="s">
        <v>12022</v>
      </c>
      <c r="N821" s="35"/>
      <c r="O821" s="3"/>
    </row>
    <row r="822">
      <c r="A822" s="35" t="s">
        <v>12037</v>
      </c>
      <c r="B822" s="39">
        <v>46059.449953703705</v>
      </c>
      <c r="C822" s="35" t="s">
        <v>9488</v>
      </c>
      <c r="D822" s="40" t="s">
        <v>9489</v>
      </c>
      <c r="E822" s="35" t="s">
        <v>9496</v>
      </c>
      <c r="F822" s="40" t="s">
        <v>9489</v>
      </c>
      <c r="G822" s="35" t="s">
        <v>12034</v>
      </c>
      <c r="H822" s="40" t="s">
        <v>7085</v>
      </c>
      <c r="I822" s="35" t="s">
        <v>12035</v>
      </c>
      <c r="J822" s="35" t="s">
        <v>12038</v>
      </c>
      <c r="K822" s="35" t="s">
        <v>169</v>
      </c>
      <c r="L822" s="35" t="s">
        <v>170</v>
      </c>
      <c r="M822" s="35" t="s">
        <v>12022</v>
      </c>
      <c r="N822" s="35"/>
      <c r="O822" s="3"/>
    </row>
    <row r="823">
      <c r="A823" s="35" t="s">
        <v>12039</v>
      </c>
      <c r="B823" s="39">
        <v>46059.5003125</v>
      </c>
      <c r="C823" s="35" t="s">
        <v>9487</v>
      </c>
      <c r="D823" s="40" t="s">
        <v>7081</v>
      </c>
      <c r="E823" s="35" t="s">
        <v>9488</v>
      </c>
      <c r="F823" s="40" t="s">
        <v>9489</v>
      </c>
      <c r="G823" s="35"/>
      <c r="H823" s="35"/>
      <c r="I823" s="35" t="s">
        <v>12040</v>
      </c>
      <c r="J823" s="35" t="s">
        <v>12041</v>
      </c>
      <c r="K823" s="35" t="s">
        <v>119</v>
      </c>
      <c r="L823" s="35" t="s">
        <v>251</v>
      </c>
      <c r="M823" s="35" t="s">
        <v>11439</v>
      </c>
      <c r="N823" s="35"/>
      <c r="O823" s="3"/>
    </row>
    <row r="824">
      <c r="A824" s="35" t="s">
        <v>12042</v>
      </c>
      <c r="B824" s="39">
        <v>46059.50125</v>
      </c>
      <c r="C824" s="35" t="s">
        <v>9488</v>
      </c>
      <c r="D824" s="40" t="s">
        <v>9489</v>
      </c>
      <c r="E824" s="35" t="s">
        <v>9487</v>
      </c>
      <c r="F824" s="40" t="s">
        <v>7081</v>
      </c>
      <c r="G824" s="35"/>
      <c r="H824" s="35"/>
      <c r="I824" s="35" t="s">
        <v>12043</v>
      </c>
      <c r="J824" s="35" t="s">
        <v>12044</v>
      </c>
      <c r="K824" s="35" t="s">
        <v>119</v>
      </c>
      <c r="L824" s="35" t="s">
        <v>251</v>
      </c>
      <c r="M824" s="35" t="s">
        <v>11439</v>
      </c>
      <c r="N824" s="35"/>
      <c r="O824" s="3"/>
    </row>
    <row r="825">
      <c r="A825" s="35" t="s">
        <v>12045</v>
      </c>
      <c r="B825" s="39">
        <v>46059.63155092593</v>
      </c>
      <c r="C825" s="35" t="s">
        <v>9974</v>
      </c>
      <c r="D825" s="40" t="s">
        <v>7095</v>
      </c>
      <c r="E825" s="35" t="s">
        <v>12046</v>
      </c>
      <c r="F825" s="40" t="s">
        <v>9489</v>
      </c>
      <c r="G825" s="35"/>
      <c r="H825" s="35"/>
      <c r="I825" s="35" t="s">
        <v>12047</v>
      </c>
      <c r="J825" s="35" t="s">
        <v>12048</v>
      </c>
      <c r="K825" s="35" t="s">
        <v>163</v>
      </c>
      <c r="L825" s="35" t="s">
        <v>430</v>
      </c>
      <c r="M825" s="35" t="s">
        <v>12045</v>
      </c>
      <c r="N825" s="35"/>
      <c r="O825" s="3"/>
    </row>
    <row r="826">
      <c r="A826" s="35" t="s">
        <v>12049</v>
      </c>
      <c r="B826" s="39">
        <v>46059.63892361111</v>
      </c>
      <c r="C826" s="35" t="s">
        <v>10661</v>
      </c>
      <c r="D826" s="40" t="s">
        <v>9489</v>
      </c>
      <c r="E826" s="35" t="s">
        <v>9974</v>
      </c>
      <c r="F826" s="40" t="s">
        <v>7095</v>
      </c>
      <c r="G826" s="35" t="s">
        <v>9488</v>
      </c>
      <c r="H826" s="40" t="s">
        <v>9489</v>
      </c>
      <c r="I826" s="35" t="s">
        <v>12050</v>
      </c>
      <c r="J826" s="35" t="s">
        <v>12051</v>
      </c>
      <c r="K826" s="35" t="s">
        <v>163</v>
      </c>
      <c r="L826" s="35" t="s">
        <v>430</v>
      </c>
      <c r="M826" s="35" t="s">
        <v>12045</v>
      </c>
      <c r="N826" s="35"/>
      <c r="O826" s="3"/>
    </row>
    <row r="827">
      <c r="A827" s="35" t="s">
        <v>12052</v>
      </c>
      <c r="B827" s="39">
        <v>46059.674155092594</v>
      </c>
      <c r="C827" s="35" t="s">
        <v>10486</v>
      </c>
      <c r="D827" s="40" t="s">
        <v>8055</v>
      </c>
      <c r="E827" s="35" t="s">
        <v>12053</v>
      </c>
      <c r="F827" s="40" t="s">
        <v>8055</v>
      </c>
      <c r="G827" s="35" t="s">
        <v>12054</v>
      </c>
      <c r="H827" s="35" t="s">
        <v>12055</v>
      </c>
      <c r="I827" s="35" t="s">
        <v>12056</v>
      </c>
      <c r="J827" s="35" t="s">
        <v>12057</v>
      </c>
      <c r="K827" s="35" t="s">
        <v>101</v>
      </c>
      <c r="L827" s="35" t="s">
        <v>511</v>
      </c>
      <c r="M827" s="35" t="s">
        <v>12052</v>
      </c>
      <c r="N827" s="35"/>
      <c r="O827" s="3"/>
    </row>
    <row r="828">
      <c r="A828" s="35" t="s">
        <v>12058</v>
      </c>
      <c r="B828" s="39">
        <v>46062.19631944444</v>
      </c>
      <c r="C828" s="35" t="s">
        <v>11545</v>
      </c>
      <c r="D828" s="40" t="s">
        <v>9489</v>
      </c>
      <c r="E828" s="35" t="s">
        <v>8223</v>
      </c>
      <c r="F828" s="40" t="s">
        <v>7095</v>
      </c>
      <c r="G828" s="35" t="s">
        <v>9488</v>
      </c>
      <c r="H828" s="40" t="s">
        <v>9489</v>
      </c>
      <c r="I828" s="35" t="s">
        <v>11930</v>
      </c>
      <c r="J828" s="35" t="s">
        <v>12059</v>
      </c>
      <c r="K828" s="35" t="s">
        <v>163</v>
      </c>
      <c r="L828" s="35" t="s">
        <v>430</v>
      </c>
      <c r="M828" s="35" t="s">
        <v>11842</v>
      </c>
      <c r="N828" s="35"/>
      <c r="O828" s="3"/>
    </row>
    <row r="829">
      <c r="A829" s="35" t="s">
        <v>12060</v>
      </c>
      <c r="B829" s="39">
        <v>46062.25630787037</v>
      </c>
      <c r="C829" s="35" t="s">
        <v>11545</v>
      </c>
      <c r="D829" s="40" t="s">
        <v>9489</v>
      </c>
      <c r="E829" s="35" t="s">
        <v>8223</v>
      </c>
      <c r="F829" s="40" t="s">
        <v>7095</v>
      </c>
      <c r="G829" s="35" t="s">
        <v>9488</v>
      </c>
      <c r="H829" s="40" t="s">
        <v>9489</v>
      </c>
      <c r="I829" s="35" t="s">
        <v>11930</v>
      </c>
      <c r="J829" s="35" t="s">
        <v>12061</v>
      </c>
      <c r="K829" s="35" t="s">
        <v>163</v>
      </c>
      <c r="L829" s="35" t="s">
        <v>430</v>
      </c>
      <c r="M829" s="35" t="s">
        <v>11842</v>
      </c>
      <c r="N829" s="35"/>
      <c r="O829" s="3"/>
    </row>
    <row r="830">
      <c r="A830" s="35" t="s">
        <v>12062</v>
      </c>
      <c r="B830" s="39">
        <v>46062.25648148148</v>
      </c>
      <c r="C830" s="35" t="s">
        <v>11545</v>
      </c>
      <c r="D830" s="40" t="s">
        <v>9489</v>
      </c>
      <c r="E830" s="35" t="s">
        <v>7288</v>
      </c>
      <c r="F830" s="40" t="s">
        <v>9489</v>
      </c>
      <c r="G830" s="35" t="s">
        <v>8223</v>
      </c>
      <c r="H830" s="40" t="s">
        <v>7095</v>
      </c>
      <c r="I830" s="35" t="s">
        <v>11930</v>
      </c>
      <c r="J830" s="35" t="s">
        <v>12063</v>
      </c>
      <c r="K830" s="35" t="s">
        <v>163</v>
      </c>
      <c r="L830" s="35" t="s">
        <v>430</v>
      </c>
      <c r="M830" s="35" t="s">
        <v>11842</v>
      </c>
      <c r="N830" s="35"/>
      <c r="O830" s="3"/>
    </row>
    <row r="831">
      <c r="A831" s="35" t="s">
        <v>12064</v>
      </c>
      <c r="B831" s="39">
        <v>46062.33689814815</v>
      </c>
      <c r="C831" s="35" t="s">
        <v>9488</v>
      </c>
      <c r="D831" s="40" t="s">
        <v>9489</v>
      </c>
      <c r="E831" s="35" t="s">
        <v>11545</v>
      </c>
      <c r="F831" s="40" t="s">
        <v>9489</v>
      </c>
      <c r="G831" s="35" t="s">
        <v>12065</v>
      </c>
      <c r="H831" s="40" t="s">
        <v>7095</v>
      </c>
      <c r="I831" s="35" t="s">
        <v>11930</v>
      </c>
      <c r="J831" s="35" t="s">
        <v>12066</v>
      </c>
      <c r="K831" s="35" t="s">
        <v>163</v>
      </c>
      <c r="L831" s="35" t="s">
        <v>430</v>
      </c>
      <c r="M831" s="35" t="s">
        <v>11842</v>
      </c>
      <c r="N831" s="35"/>
      <c r="O831" s="3"/>
    </row>
    <row r="832">
      <c r="A832" s="35" t="s">
        <v>12067</v>
      </c>
      <c r="B832" s="39">
        <v>46062.33846064815</v>
      </c>
      <c r="C832" s="35" t="s">
        <v>9627</v>
      </c>
      <c r="D832" s="40" t="s">
        <v>9489</v>
      </c>
      <c r="E832" s="35" t="s">
        <v>7288</v>
      </c>
      <c r="F832" s="40" t="s">
        <v>9489</v>
      </c>
      <c r="G832" s="35" t="s">
        <v>8223</v>
      </c>
      <c r="H832" s="40" t="s">
        <v>7095</v>
      </c>
      <c r="I832" s="35" t="s">
        <v>11930</v>
      </c>
      <c r="J832" s="35" t="s">
        <v>12068</v>
      </c>
      <c r="K832" s="35" t="s">
        <v>163</v>
      </c>
      <c r="L832" s="35" t="s">
        <v>430</v>
      </c>
      <c r="M832" s="35" t="s">
        <v>11842</v>
      </c>
      <c r="N832" s="35"/>
      <c r="O832" s="3"/>
    </row>
    <row r="833">
      <c r="A833" s="35" t="s">
        <v>12069</v>
      </c>
      <c r="B833" s="39">
        <v>46062.390335648146</v>
      </c>
      <c r="C833" s="35" t="s">
        <v>9974</v>
      </c>
      <c r="D833" s="40" t="s">
        <v>7095</v>
      </c>
      <c r="E833" s="35" t="s">
        <v>12070</v>
      </c>
      <c r="F833" s="40" t="s">
        <v>9489</v>
      </c>
      <c r="G833" s="35"/>
      <c r="H833" s="35"/>
      <c r="I833" s="35" t="s">
        <v>12071</v>
      </c>
      <c r="J833" s="35" t="s">
        <v>12072</v>
      </c>
      <c r="K833" s="35" t="s">
        <v>163</v>
      </c>
      <c r="L833" s="35" t="s">
        <v>430</v>
      </c>
      <c r="M833" s="35" t="s">
        <v>11842</v>
      </c>
      <c r="N833" s="35"/>
      <c r="O833" s="3"/>
    </row>
    <row r="834">
      <c r="A834" s="35" t="s">
        <v>12073</v>
      </c>
      <c r="B834" s="39">
        <v>46062.53050925926</v>
      </c>
      <c r="C834" s="35" t="s">
        <v>11545</v>
      </c>
      <c r="D834" s="40" t="s">
        <v>9489</v>
      </c>
      <c r="E834" s="35" t="s">
        <v>8223</v>
      </c>
      <c r="F834" s="40" t="s">
        <v>7095</v>
      </c>
      <c r="G834" s="35" t="s">
        <v>9488</v>
      </c>
      <c r="H834" s="40" t="s">
        <v>9489</v>
      </c>
      <c r="I834" s="35" t="s">
        <v>11930</v>
      </c>
      <c r="J834" s="35" t="s">
        <v>12074</v>
      </c>
      <c r="K834" s="35" t="s">
        <v>163</v>
      </c>
      <c r="L834" s="35" t="s">
        <v>430</v>
      </c>
      <c r="M834" s="35" t="s">
        <v>11842</v>
      </c>
      <c r="N834" s="35"/>
      <c r="O834" s="3"/>
    </row>
    <row r="835">
      <c r="A835" s="35" t="s">
        <v>12075</v>
      </c>
      <c r="B835" s="39">
        <v>46062.53057870371</v>
      </c>
      <c r="C835" s="35" t="s">
        <v>11545</v>
      </c>
      <c r="D835" s="40" t="s">
        <v>9489</v>
      </c>
      <c r="E835" s="35" t="s">
        <v>7288</v>
      </c>
      <c r="F835" s="40" t="s">
        <v>9489</v>
      </c>
      <c r="G835" s="35" t="s">
        <v>8223</v>
      </c>
      <c r="H835" s="40" t="s">
        <v>7095</v>
      </c>
      <c r="I835" s="35" t="s">
        <v>11930</v>
      </c>
      <c r="J835" s="35" t="s">
        <v>12063</v>
      </c>
      <c r="K835" s="35" t="s">
        <v>163</v>
      </c>
      <c r="L835" s="35" t="s">
        <v>430</v>
      </c>
      <c r="M835" s="35" t="s">
        <v>11842</v>
      </c>
      <c r="N835" s="35"/>
      <c r="O835" s="3"/>
    </row>
    <row r="836">
      <c r="A836" s="35" t="s">
        <v>12076</v>
      </c>
      <c r="B836" s="39">
        <v>46062.53086805556</v>
      </c>
      <c r="C836" s="35" t="s">
        <v>11239</v>
      </c>
      <c r="D836" s="40" t="s">
        <v>7114</v>
      </c>
      <c r="E836" s="35" t="s">
        <v>9488</v>
      </c>
      <c r="F836" s="40" t="s">
        <v>9489</v>
      </c>
      <c r="G836" s="35" t="s">
        <v>11471</v>
      </c>
      <c r="H836" s="35" t="s">
        <v>11165</v>
      </c>
      <c r="I836" s="35" t="s">
        <v>11170</v>
      </c>
      <c r="J836" s="35" t="s">
        <v>12077</v>
      </c>
      <c r="K836" s="35" t="s">
        <v>98</v>
      </c>
      <c r="L836" s="35" t="s">
        <v>99</v>
      </c>
      <c r="M836" s="35" t="s">
        <v>11163</v>
      </c>
      <c r="N836" s="35"/>
      <c r="O836" s="3"/>
    </row>
    <row r="837">
      <c r="A837" s="35" t="s">
        <v>12078</v>
      </c>
      <c r="B837" s="39">
        <v>46062.56409722222</v>
      </c>
      <c r="C837" s="35" t="s">
        <v>9488</v>
      </c>
      <c r="D837" s="40" t="s">
        <v>9489</v>
      </c>
      <c r="E837" s="35" t="s">
        <v>11239</v>
      </c>
      <c r="F837" s="40" t="s">
        <v>7114</v>
      </c>
      <c r="G837" s="35" t="s">
        <v>11471</v>
      </c>
      <c r="H837" s="35" t="s">
        <v>11165</v>
      </c>
      <c r="I837" s="35" t="s">
        <v>11170</v>
      </c>
      <c r="J837" s="35" t="s">
        <v>12079</v>
      </c>
      <c r="K837" s="35" t="s">
        <v>98</v>
      </c>
      <c r="L837" s="35" t="s">
        <v>99</v>
      </c>
      <c r="M837" s="35" t="s">
        <v>11163</v>
      </c>
      <c r="N837" s="35"/>
      <c r="O837" s="3"/>
    </row>
    <row r="838">
      <c r="A838" s="35" t="s">
        <v>12080</v>
      </c>
      <c r="B838" s="39">
        <v>46062.570555555554</v>
      </c>
      <c r="C838" s="35" t="s">
        <v>9488</v>
      </c>
      <c r="D838" s="40" t="s">
        <v>9489</v>
      </c>
      <c r="E838" s="35" t="s">
        <v>11545</v>
      </c>
      <c r="F838" s="40" t="s">
        <v>9489</v>
      </c>
      <c r="G838" s="35" t="s">
        <v>8223</v>
      </c>
      <c r="H838" s="40" t="s">
        <v>7095</v>
      </c>
      <c r="I838" s="35" t="s">
        <v>11930</v>
      </c>
      <c r="J838" s="35" t="s">
        <v>12081</v>
      </c>
      <c r="K838" s="35" t="s">
        <v>163</v>
      </c>
      <c r="L838" s="35" t="s">
        <v>430</v>
      </c>
      <c r="M838" s="35" t="s">
        <v>11842</v>
      </c>
      <c r="N838" s="35"/>
      <c r="O838" s="3"/>
    </row>
    <row r="839">
      <c r="A839" s="35" t="s">
        <v>12082</v>
      </c>
      <c r="B839" s="39">
        <v>46062.57144675926</v>
      </c>
      <c r="C839" s="35" t="s">
        <v>9627</v>
      </c>
      <c r="D839" s="40" t="s">
        <v>9489</v>
      </c>
      <c r="E839" s="35" t="s">
        <v>7288</v>
      </c>
      <c r="F839" s="40" t="s">
        <v>9489</v>
      </c>
      <c r="G839" s="35" t="s">
        <v>8223</v>
      </c>
      <c r="H839" s="40" t="s">
        <v>7095</v>
      </c>
      <c r="I839" s="35" t="s">
        <v>11930</v>
      </c>
      <c r="J839" s="35" t="s">
        <v>12068</v>
      </c>
      <c r="K839" s="35" t="s">
        <v>163</v>
      </c>
      <c r="L839" s="35" t="s">
        <v>430</v>
      </c>
      <c r="M839" s="35" t="s">
        <v>11842</v>
      </c>
      <c r="N839" s="35"/>
      <c r="O839" s="3"/>
    </row>
    <row r="840">
      <c r="A840" s="35" t="s">
        <v>12083</v>
      </c>
      <c r="B840" s="39">
        <v>46062.56648148148</v>
      </c>
      <c r="C840" s="35" t="s">
        <v>9488</v>
      </c>
      <c r="D840" s="40" t="s">
        <v>9489</v>
      </c>
      <c r="E840" s="35" t="s">
        <v>11239</v>
      </c>
      <c r="F840" s="40" t="s">
        <v>7114</v>
      </c>
      <c r="G840" s="35" t="s">
        <v>11471</v>
      </c>
      <c r="H840" s="35" t="s">
        <v>11165</v>
      </c>
      <c r="I840" s="35" t="s">
        <v>11170</v>
      </c>
      <c r="J840" s="35" t="s">
        <v>12084</v>
      </c>
      <c r="K840" s="35" t="s">
        <v>98</v>
      </c>
      <c r="L840" s="35" t="s">
        <v>99</v>
      </c>
      <c r="M840" s="35" t="s">
        <v>11163</v>
      </c>
      <c r="N840" s="35"/>
      <c r="O840" s="3"/>
    </row>
    <row r="841">
      <c r="A841" s="35" t="s">
        <v>12085</v>
      </c>
      <c r="B841" s="39">
        <v>46062.60603009259</v>
      </c>
      <c r="C841" s="35" t="s">
        <v>9488</v>
      </c>
      <c r="D841" s="40" t="s">
        <v>9489</v>
      </c>
      <c r="E841" s="35" t="s">
        <v>12086</v>
      </c>
      <c r="F841" s="40" t="s">
        <v>7094</v>
      </c>
      <c r="G841" s="35" t="s">
        <v>9496</v>
      </c>
      <c r="H841" s="40" t="s">
        <v>9489</v>
      </c>
      <c r="I841" s="35" t="s">
        <v>12087</v>
      </c>
      <c r="J841" s="35" t="s">
        <v>12088</v>
      </c>
      <c r="K841" s="35" t="s">
        <v>187</v>
      </c>
      <c r="L841" s="35" t="s">
        <v>188</v>
      </c>
      <c r="M841" s="35" t="s">
        <v>12089</v>
      </c>
      <c r="N841" s="35"/>
      <c r="O841" s="3"/>
    </row>
    <row r="842">
      <c r="A842" s="35" t="s">
        <v>12090</v>
      </c>
      <c r="B842" s="39">
        <v>46062.59858796296</v>
      </c>
      <c r="C842" s="35" t="s">
        <v>9488</v>
      </c>
      <c r="D842" s="40" t="s">
        <v>9489</v>
      </c>
      <c r="E842" s="35" t="s">
        <v>10486</v>
      </c>
      <c r="F842" s="40" t="s">
        <v>8055</v>
      </c>
      <c r="G842" s="35"/>
      <c r="H842" s="35"/>
      <c r="I842" s="35" t="s">
        <v>12091</v>
      </c>
      <c r="J842" s="35" t="s">
        <v>12092</v>
      </c>
      <c r="K842" s="35" t="s">
        <v>101</v>
      </c>
      <c r="L842" s="35" t="s">
        <v>511</v>
      </c>
      <c r="M842" s="35" t="s">
        <v>12052</v>
      </c>
      <c r="N842" s="35"/>
      <c r="O842" s="3"/>
    </row>
    <row r="843">
      <c r="A843" s="35" t="s">
        <v>12093</v>
      </c>
      <c r="B843" s="39">
        <v>46062.6096412037</v>
      </c>
      <c r="C843" s="35" t="s">
        <v>9488</v>
      </c>
      <c r="D843" s="40" t="s">
        <v>9489</v>
      </c>
      <c r="E843" s="35" t="s">
        <v>12086</v>
      </c>
      <c r="F843" s="40" t="s">
        <v>7094</v>
      </c>
      <c r="G843" s="35" t="s">
        <v>9496</v>
      </c>
      <c r="H843" s="40" t="s">
        <v>9489</v>
      </c>
      <c r="I843" s="35" t="s">
        <v>12087</v>
      </c>
      <c r="J843" s="35" t="s">
        <v>12094</v>
      </c>
      <c r="K843" s="35" t="s">
        <v>187</v>
      </c>
      <c r="L843" s="35" t="s">
        <v>188</v>
      </c>
      <c r="M843" s="35" t="s">
        <v>12089</v>
      </c>
      <c r="N843" s="35"/>
      <c r="O843" s="3"/>
    </row>
    <row r="844">
      <c r="A844" s="35" t="s">
        <v>12095</v>
      </c>
      <c r="B844" s="39">
        <v>46062.611921296295</v>
      </c>
      <c r="C844" s="35" t="s">
        <v>9974</v>
      </c>
      <c r="D844" s="40" t="s">
        <v>7095</v>
      </c>
      <c r="E844" s="35" t="s">
        <v>12096</v>
      </c>
      <c r="F844" s="40" t="s">
        <v>9489</v>
      </c>
      <c r="G844" s="35"/>
      <c r="H844" s="35"/>
      <c r="I844" s="35" t="s">
        <v>12071</v>
      </c>
      <c r="J844" s="35" t="s">
        <v>12097</v>
      </c>
      <c r="K844" s="35" t="s">
        <v>163</v>
      </c>
      <c r="L844" s="35" t="s">
        <v>430</v>
      </c>
      <c r="M844" s="35" t="s">
        <v>11842</v>
      </c>
      <c r="N844" s="35"/>
      <c r="O844" s="3"/>
    </row>
    <row r="845">
      <c r="A845" s="35" t="s">
        <v>12098</v>
      </c>
      <c r="B845" s="39">
        <v>46062.60960648148</v>
      </c>
      <c r="C845" s="35" t="s">
        <v>10486</v>
      </c>
      <c r="D845" s="40" t="s">
        <v>8055</v>
      </c>
      <c r="E845" s="35" t="s">
        <v>9488</v>
      </c>
      <c r="F845" s="40" t="s">
        <v>9489</v>
      </c>
      <c r="G845" s="35"/>
      <c r="H845" s="35"/>
      <c r="I845" s="35" t="s">
        <v>12099</v>
      </c>
      <c r="J845" s="35" t="s">
        <v>12100</v>
      </c>
      <c r="K845" s="35" t="s">
        <v>101</v>
      </c>
      <c r="L845" s="35" t="s">
        <v>511</v>
      </c>
      <c r="M845" s="35" t="s">
        <v>12052</v>
      </c>
      <c r="N845" s="35"/>
      <c r="O845" s="3"/>
    </row>
    <row r="846">
      <c r="A846" s="35" t="s">
        <v>12101</v>
      </c>
      <c r="B846" s="39">
        <v>46062.61162037037</v>
      </c>
      <c r="C846" s="35" t="s">
        <v>9488</v>
      </c>
      <c r="D846" s="40" t="s">
        <v>9489</v>
      </c>
      <c r="E846" s="35" t="s">
        <v>10486</v>
      </c>
      <c r="F846" s="40" t="s">
        <v>8055</v>
      </c>
      <c r="G846" s="35"/>
      <c r="H846" s="35"/>
      <c r="I846" s="35" t="s">
        <v>12091</v>
      </c>
      <c r="J846" s="35" t="s">
        <v>12102</v>
      </c>
      <c r="K846" s="35" t="s">
        <v>101</v>
      </c>
      <c r="L846" s="35" t="s">
        <v>511</v>
      </c>
      <c r="M846" s="35" t="s">
        <v>12052</v>
      </c>
      <c r="N846" s="35"/>
      <c r="O846" s="3"/>
    </row>
    <row r="847">
      <c r="A847" s="35" t="s">
        <v>12103</v>
      </c>
      <c r="B847" s="39">
        <v>46062.63717592593</v>
      </c>
      <c r="C847" s="35" t="s">
        <v>9488</v>
      </c>
      <c r="D847" s="40" t="s">
        <v>9489</v>
      </c>
      <c r="E847" s="35" t="s">
        <v>12104</v>
      </c>
      <c r="F847" s="35" t="s">
        <v>12005</v>
      </c>
      <c r="G847" s="35"/>
      <c r="H847" s="35"/>
      <c r="I847" s="35" t="s">
        <v>12105</v>
      </c>
      <c r="J847" s="35" t="s">
        <v>12106</v>
      </c>
      <c r="K847" s="35" t="s">
        <v>154</v>
      </c>
      <c r="L847" s="35" t="s">
        <v>329</v>
      </c>
      <c r="M847" s="35" t="s">
        <v>12107</v>
      </c>
      <c r="N847" s="35"/>
      <c r="O847" s="3"/>
    </row>
    <row r="848">
      <c r="A848" s="35" t="s">
        <v>12108</v>
      </c>
      <c r="B848" s="39">
        <v>46062.639131944445</v>
      </c>
      <c r="C848" s="35" t="s">
        <v>9834</v>
      </c>
      <c r="D848" s="40" t="s">
        <v>7093</v>
      </c>
      <c r="E848" s="35" t="s">
        <v>9488</v>
      </c>
      <c r="F848" s="40" t="s">
        <v>9489</v>
      </c>
      <c r="G848" s="35"/>
      <c r="H848" s="35"/>
      <c r="I848" s="35" t="s">
        <v>12109</v>
      </c>
      <c r="J848" s="35" t="s">
        <v>12110</v>
      </c>
      <c r="K848" s="35" t="s">
        <v>154</v>
      </c>
      <c r="L848" s="35" t="s">
        <v>329</v>
      </c>
      <c r="M848" s="35" t="s">
        <v>12108</v>
      </c>
      <c r="N848" s="35"/>
      <c r="O848" s="3"/>
    </row>
    <row r="849">
      <c r="A849" s="35" t="s">
        <v>12111</v>
      </c>
      <c r="B849" s="39">
        <v>46062.63877314815</v>
      </c>
      <c r="C849" s="35" t="s">
        <v>9488</v>
      </c>
      <c r="D849" s="40" t="s">
        <v>9489</v>
      </c>
      <c r="E849" s="35" t="s">
        <v>12104</v>
      </c>
      <c r="F849" s="35" t="s">
        <v>12005</v>
      </c>
      <c r="G849" s="35"/>
      <c r="H849" s="35"/>
      <c r="I849" s="35" t="s">
        <v>12105</v>
      </c>
      <c r="J849" s="35" t="s">
        <v>12112</v>
      </c>
      <c r="K849" s="35" t="s">
        <v>154</v>
      </c>
      <c r="L849" s="35" t="s">
        <v>329</v>
      </c>
      <c r="M849" s="35" t="s">
        <v>12107</v>
      </c>
      <c r="N849" s="35"/>
      <c r="O849" s="3"/>
    </row>
    <row r="850">
      <c r="A850" s="35" t="s">
        <v>12113</v>
      </c>
      <c r="B850" s="39">
        <v>46062.6469212963</v>
      </c>
      <c r="C850" s="35" t="s">
        <v>12114</v>
      </c>
      <c r="D850" s="40" t="s">
        <v>9489</v>
      </c>
      <c r="E850" s="35" t="s">
        <v>8223</v>
      </c>
      <c r="F850" s="40" t="s">
        <v>7095</v>
      </c>
      <c r="G850" s="35" t="s">
        <v>12115</v>
      </c>
      <c r="H850" s="40" t="s">
        <v>9489</v>
      </c>
      <c r="I850" s="35" t="s">
        <v>11930</v>
      </c>
      <c r="J850" s="35" t="s">
        <v>12116</v>
      </c>
      <c r="K850" s="35" t="s">
        <v>163</v>
      </c>
      <c r="L850" s="35" t="s">
        <v>430</v>
      </c>
      <c r="M850" s="35" t="s">
        <v>11842</v>
      </c>
      <c r="N850" s="35"/>
      <c r="O850" s="3"/>
    </row>
    <row r="851">
      <c r="A851" s="35" t="s">
        <v>12117</v>
      </c>
      <c r="B851" s="39">
        <v>46063.34517361112</v>
      </c>
      <c r="C851" s="35" t="s">
        <v>9998</v>
      </c>
      <c r="D851" s="40" t="s">
        <v>7094</v>
      </c>
      <c r="E851" s="35" t="s">
        <v>12118</v>
      </c>
      <c r="F851" s="35" t="s">
        <v>10147</v>
      </c>
      <c r="G851" s="35" t="s">
        <v>9496</v>
      </c>
      <c r="H851" s="40" t="s">
        <v>9489</v>
      </c>
      <c r="I851" s="35" t="s">
        <v>12119</v>
      </c>
      <c r="J851" s="35" t="s">
        <v>12120</v>
      </c>
      <c r="K851" s="35" t="s">
        <v>187</v>
      </c>
      <c r="L851" s="35" t="s">
        <v>188</v>
      </c>
      <c r="M851" s="35" t="s">
        <v>12089</v>
      </c>
      <c r="N851" s="35"/>
      <c r="O851" s="3"/>
    </row>
    <row r="852">
      <c r="A852" s="35" t="s">
        <v>12121</v>
      </c>
      <c r="B852" s="39">
        <v>46063.35986111111</v>
      </c>
      <c r="C852" s="35" t="s">
        <v>12122</v>
      </c>
      <c r="D852" s="40" t="s">
        <v>8055</v>
      </c>
      <c r="E852" s="35" t="s">
        <v>12123</v>
      </c>
      <c r="F852" s="40" t="s">
        <v>8055</v>
      </c>
      <c r="G852" s="35" t="s">
        <v>12054</v>
      </c>
      <c r="H852" s="35" t="s">
        <v>12055</v>
      </c>
      <c r="I852" s="35" t="s">
        <v>12099</v>
      </c>
      <c r="J852" s="35" t="s">
        <v>12124</v>
      </c>
      <c r="K852" s="35" t="s">
        <v>101</v>
      </c>
      <c r="L852" s="35" t="s">
        <v>511</v>
      </c>
      <c r="M852" s="35" t="s">
        <v>12052</v>
      </c>
      <c r="N852" s="35"/>
      <c r="O852" s="3"/>
    </row>
    <row r="853">
      <c r="A853" s="35" t="s">
        <v>12125</v>
      </c>
      <c r="B853" s="39">
        <v>46063.38434027778</v>
      </c>
      <c r="C853" s="35" t="s">
        <v>11830</v>
      </c>
      <c r="D853" s="40" t="s">
        <v>7081</v>
      </c>
      <c r="E853" s="35" t="s">
        <v>12126</v>
      </c>
      <c r="F853" s="40" t="s">
        <v>9489</v>
      </c>
      <c r="G853" s="35" t="s">
        <v>12127</v>
      </c>
      <c r="H853" s="35" t="s">
        <v>9561</v>
      </c>
      <c r="I853" s="35" t="s">
        <v>12128</v>
      </c>
      <c r="J853" s="35" t="s">
        <v>12129</v>
      </c>
      <c r="K853" s="35" t="s">
        <v>119</v>
      </c>
      <c r="L853" s="35" t="s">
        <v>251</v>
      </c>
      <c r="M853" s="35" t="s">
        <v>11829</v>
      </c>
      <c r="N853" s="35"/>
      <c r="O853" s="3"/>
    </row>
    <row r="854">
      <c r="A854" s="35" t="s">
        <v>12130</v>
      </c>
      <c r="B854" s="39">
        <v>46063.38342592593</v>
      </c>
      <c r="C854" s="35" t="s">
        <v>11545</v>
      </c>
      <c r="D854" s="40" t="s">
        <v>9489</v>
      </c>
      <c r="E854" s="35" t="s">
        <v>8223</v>
      </c>
      <c r="F854" s="40" t="s">
        <v>7095</v>
      </c>
      <c r="G854" s="35" t="s">
        <v>12115</v>
      </c>
      <c r="H854" s="40" t="s">
        <v>9489</v>
      </c>
      <c r="I854" s="35" t="s">
        <v>11930</v>
      </c>
      <c r="J854" s="35" t="s">
        <v>12131</v>
      </c>
      <c r="K854" s="35" t="s">
        <v>163</v>
      </c>
      <c r="L854" s="35" t="s">
        <v>430</v>
      </c>
      <c r="M854" s="35" t="s">
        <v>11842</v>
      </c>
      <c r="N854" s="35"/>
      <c r="O854" s="3"/>
    </row>
    <row r="855">
      <c r="A855" s="35" t="s">
        <v>12132</v>
      </c>
      <c r="B855" s="39">
        <v>46063.396782407406</v>
      </c>
      <c r="C855" s="35" t="s">
        <v>10540</v>
      </c>
      <c r="D855" s="40" t="s">
        <v>9489</v>
      </c>
      <c r="E855" s="35" t="s">
        <v>7288</v>
      </c>
      <c r="F855" s="40" t="s">
        <v>9489</v>
      </c>
      <c r="G855" s="35" t="s">
        <v>11884</v>
      </c>
      <c r="H855" s="35" t="s">
        <v>9561</v>
      </c>
      <c r="I855" s="35" t="s">
        <v>11885</v>
      </c>
      <c r="J855" s="35" t="s">
        <v>12133</v>
      </c>
      <c r="K855" s="35" t="s">
        <v>119</v>
      </c>
      <c r="L855" s="35" t="s">
        <v>251</v>
      </c>
      <c r="M855" s="35" t="s">
        <v>11829</v>
      </c>
      <c r="N855" s="35"/>
      <c r="O855" s="3"/>
    </row>
    <row r="856">
      <c r="A856" s="35" t="s">
        <v>12134</v>
      </c>
      <c r="B856" s="39">
        <v>46063.39681712963</v>
      </c>
      <c r="C856" s="35" t="s">
        <v>10540</v>
      </c>
      <c r="D856" s="40" t="s">
        <v>9489</v>
      </c>
      <c r="E856" s="35" t="s">
        <v>12135</v>
      </c>
      <c r="F856" s="40" t="s">
        <v>7081</v>
      </c>
      <c r="G856" s="35" t="s">
        <v>12136</v>
      </c>
      <c r="H856" s="35" t="s">
        <v>9575</v>
      </c>
      <c r="I856" s="35" t="s">
        <v>11885</v>
      </c>
      <c r="J856" s="35" t="s">
        <v>12137</v>
      </c>
      <c r="K856" s="35" t="s">
        <v>119</v>
      </c>
      <c r="L856" s="35" t="s">
        <v>251</v>
      </c>
      <c r="M856" s="35" t="s">
        <v>11829</v>
      </c>
      <c r="N856" s="35"/>
      <c r="O856" s="3"/>
    </row>
    <row r="857">
      <c r="A857" s="35" t="s">
        <v>12138</v>
      </c>
      <c r="B857" s="39">
        <v>46063.38788194444</v>
      </c>
      <c r="C857" s="35" t="s">
        <v>11650</v>
      </c>
      <c r="D857" s="40" t="s">
        <v>7116</v>
      </c>
      <c r="E857" s="35" t="s">
        <v>10118</v>
      </c>
      <c r="F857" s="40" t="s">
        <v>9489</v>
      </c>
      <c r="G857" s="35"/>
      <c r="H857" s="35"/>
      <c r="I857" s="35" t="s">
        <v>12139</v>
      </c>
      <c r="J857" s="35" t="s">
        <v>12140</v>
      </c>
      <c r="K857" s="35" t="s">
        <v>202</v>
      </c>
      <c r="L857" s="35" t="s">
        <v>203</v>
      </c>
      <c r="M857" s="35" t="s">
        <v>12138</v>
      </c>
      <c r="N857" s="35"/>
      <c r="O857" s="3"/>
    </row>
    <row r="858">
      <c r="A858" s="35" t="s">
        <v>12141</v>
      </c>
      <c r="B858" s="39">
        <v>46063.42101851852</v>
      </c>
      <c r="C858" s="35" t="s">
        <v>9496</v>
      </c>
      <c r="D858" s="40" t="s">
        <v>9489</v>
      </c>
      <c r="E858" s="35" t="s">
        <v>11650</v>
      </c>
      <c r="F858" s="40" t="s">
        <v>7116</v>
      </c>
      <c r="G858" s="35" t="s">
        <v>11390</v>
      </c>
      <c r="H858" s="40" t="s">
        <v>9489</v>
      </c>
      <c r="I858" s="35" t="s">
        <v>12142</v>
      </c>
      <c r="J858" s="35" t="s">
        <v>12143</v>
      </c>
      <c r="K858" s="35" t="s">
        <v>202</v>
      </c>
      <c r="L858" s="35" t="s">
        <v>203</v>
      </c>
      <c r="M858" s="35" t="s">
        <v>12138</v>
      </c>
      <c r="N858" s="35"/>
      <c r="O858" s="3"/>
    </row>
    <row r="859">
      <c r="A859" s="35" t="s">
        <v>12144</v>
      </c>
      <c r="B859" s="39">
        <v>46063.4216087963</v>
      </c>
      <c r="C859" s="35" t="s">
        <v>11650</v>
      </c>
      <c r="D859" s="40" t="s">
        <v>7116</v>
      </c>
      <c r="E859" s="35" t="s">
        <v>9496</v>
      </c>
      <c r="F859" s="40" t="s">
        <v>9489</v>
      </c>
      <c r="G859" s="35" t="s">
        <v>11390</v>
      </c>
      <c r="H859" s="40" t="s">
        <v>9489</v>
      </c>
      <c r="I859" s="35" t="s">
        <v>12145</v>
      </c>
      <c r="J859" s="35" t="s">
        <v>12146</v>
      </c>
      <c r="K859" s="35" t="s">
        <v>202</v>
      </c>
      <c r="L859" s="35" t="s">
        <v>203</v>
      </c>
      <c r="M859" s="35" t="s">
        <v>12138</v>
      </c>
      <c r="N859" s="35"/>
      <c r="O859" s="3"/>
    </row>
    <row r="860">
      <c r="A860" s="35" t="s">
        <v>12147</v>
      </c>
      <c r="B860" s="39">
        <v>46063.43337962963</v>
      </c>
      <c r="C860" s="35" t="s">
        <v>9488</v>
      </c>
      <c r="D860" s="40" t="s">
        <v>9489</v>
      </c>
      <c r="E860" s="35" t="s">
        <v>11650</v>
      </c>
      <c r="F860" s="40" t="s">
        <v>7116</v>
      </c>
      <c r="G860" s="35" t="s">
        <v>9496</v>
      </c>
      <c r="H860" s="40" t="s">
        <v>9489</v>
      </c>
      <c r="I860" s="35" t="s">
        <v>12148</v>
      </c>
      <c r="J860" s="35" t="s">
        <v>12149</v>
      </c>
      <c r="K860" s="35" t="s">
        <v>202</v>
      </c>
      <c r="L860" s="35" t="s">
        <v>203</v>
      </c>
      <c r="M860" s="35" t="s">
        <v>12138</v>
      </c>
      <c r="N860" s="35"/>
      <c r="O860" s="3"/>
    </row>
    <row r="861">
      <c r="A861" s="35" t="s">
        <v>12150</v>
      </c>
      <c r="B861" s="39">
        <v>46063.43409722223</v>
      </c>
      <c r="C861" s="35" t="s">
        <v>11650</v>
      </c>
      <c r="D861" s="40" t="s">
        <v>7116</v>
      </c>
      <c r="E861" s="35" t="s">
        <v>9488</v>
      </c>
      <c r="F861" s="40" t="s">
        <v>9489</v>
      </c>
      <c r="G861" s="35" t="s">
        <v>9496</v>
      </c>
      <c r="H861" s="40" t="s">
        <v>9489</v>
      </c>
      <c r="I861" s="35" t="s">
        <v>12151</v>
      </c>
      <c r="J861" s="35" t="s">
        <v>12152</v>
      </c>
      <c r="K861" s="35" t="s">
        <v>202</v>
      </c>
      <c r="L861" s="35" t="s">
        <v>203</v>
      </c>
      <c r="M861" s="35" t="s">
        <v>12138</v>
      </c>
      <c r="N861" s="35"/>
      <c r="O861" s="3"/>
    </row>
    <row r="862">
      <c r="A862" s="35" t="s">
        <v>12153</v>
      </c>
      <c r="B862" s="39">
        <v>46063.44063657407</v>
      </c>
      <c r="C862" s="35" t="s">
        <v>9974</v>
      </c>
      <c r="D862" s="40" t="s">
        <v>7095</v>
      </c>
      <c r="E862" s="35" t="s">
        <v>11545</v>
      </c>
      <c r="F862" s="40" t="s">
        <v>9489</v>
      </c>
      <c r="G862" s="35" t="s">
        <v>12115</v>
      </c>
      <c r="H862" s="40" t="s">
        <v>9489</v>
      </c>
      <c r="I862" s="35" t="s">
        <v>12071</v>
      </c>
      <c r="J862" s="35" t="s">
        <v>12154</v>
      </c>
      <c r="K862" s="35" t="s">
        <v>163</v>
      </c>
      <c r="L862" s="35" t="s">
        <v>430</v>
      </c>
      <c r="M862" s="35" t="s">
        <v>11842</v>
      </c>
      <c r="N862" s="35"/>
      <c r="O862" s="3"/>
    </row>
    <row r="863">
      <c r="A863" s="35" t="s">
        <v>12155</v>
      </c>
      <c r="B863" s="39">
        <v>46063.47038194444</v>
      </c>
      <c r="C863" s="35" t="s">
        <v>9488</v>
      </c>
      <c r="D863" s="40" t="s">
        <v>9489</v>
      </c>
      <c r="E863" s="35" t="s">
        <v>9974</v>
      </c>
      <c r="F863" s="40" t="s">
        <v>7095</v>
      </c>
      <c r="G863" s="35" t="s">
        <v>12156</v>
      </c>
      <c r="H863" s="40" t="s">
        <v>9489</v>
      </c>
      <c r="I863" s="35" t="s">
        <v>12157</v>
      </c>
      <c r="J863" s="35" t="s">
        <v>12158</v>
      </c>
      <c r="K863" s="35" t="s">
        <v>163</v>
      </c>
      <c r="L863" s="35" t="s">
        <v>430</v>
      </c>
      <c r="M863" s="35" t="s">
        <v>11842</v>
      </c>
      <c r="N863" s="35"/>
      <c r="O863" s="3"/>
    </row>
    <row r="864">
      <c r="A864" s="35" t="s">
        <v>12159</v>
      </c>
      <c r="B864" s="39">
        <v>46063.47880787037</v>
      </c>
      <c r="C864" s="35" t="s">
        <v>9488</v>
      </c>
      <c r="D864" s="40" t="s">
        <v>9489</v>
      </c>
      <c r="E864" s="35" t="s">
        <v>9763</v>
      </c>
      <c r="F864" s="40" t="s">
        <v>7086</v>
      </c>
      <c r="G864" s="35" t="s">
        <v>11979</v>
      </c>
      <c r="H864" s="40" t="s">
        <v>7086</v>
      </c>
      <c r="I864" s="35" t="s">
        <v>12160</v>
      </c>
      <c r="J864" s="35" t="s">
        <v>12161</v>
      </c>
      <c r="K864" s="35" t="s">
        <v>208</v>
      </c>
      <c r="L864" s="35" t="s">
        <v>209</v>
      </c>
      <c r="M864" s="35" t="s">
        <v>11978</v>
      </c>
      <c r="N864" s="35"/>
      <c r="O864" s="3"/>
    </row>
    <row r="865">
      <c r="A865" s="35" t="s">
        <v>12162</v>
      </c>
      <c r="B865" s="39">
        <v>46063.47866898148</v>
      </c>
      <c r="C865" s="35" t="s">
        <v>9627</v>
      </c>
      <c r="D865" s="40" t="s">
        <v>9489</v>
      </c>
      <c r="E865" s="35" t="s">
        <v>7288</v>
      </c>
      <c r="F865" s="40" t="s">
        <v>9489</v>
      </c>
      <c r="G865" s="35" t="s">
        <v>12163</v>
      </c>
      <c r="H865" s="35" t="s">
        <v>9987</v>
      </c>
      <c r="I865" s="35" t="s">
        <v>12164</v>
      </c>
      <c r="J865" s="35" t="s">
        <v>12165</v>
      </c>
      <c r="K865" s="35" t="s">
        <v>163</v>
      </c>
      <c r="L865" s="35" t="s">
        <v>430</v>
      </c>
      <c r="M865" s="35" t="s">
        <v>12162</v>
      </c>
      <c r="N865" s="35"/>
      <c r="O865" s="3"/>
    </row>
    <row r="866">
      <c r="A866" s="35" t="s">
        <v>12166</v>
      </c>
      <c r="B866" s="39">
        <v>46063.48431712963</v>
      </c>
      <c r="C866" s="35" t="s">
        <v>9488</v>
      </c>
      <c r="D866" s="40" t="s">
        <v>9489</v>
      </c>
      <c r="E866" s="35" t="s">
        <v>9763</v>
      </c>
      <c r="F866" s="40" t="s">
        <v>7086</v>
      </c>
      <c r="G866" s="35" t="s">
        <v>11979</v>
      </c>
      <c r="H866" s="40" t="s">
        <v>7086</v>
      </c>
      <c r="I866" s="35" t="s">
        <v>12160</v>
      </c>
      <c r="J866" s="35" t="s">
        <v>12167</v>
      </c>
      <c r="K866" s="35" t="s">
        <v>208</v>
      </c>
      <c r="L866" s="35" t="s">
        <v>209</v>
      </c>
      <c r="M866" s="35" t="s">
        <v>11978</v>
      </c>
      <c r="N866" s="35"/>
      <c r="O866" s="3"/>
    </row>
    <row r="867">
      <c r="A867" s="35" t="s">
        <v>12168</v>
      </c>
      <c r="B867" s="39">
        <v>46063.48171296297</v>
      </c>
      <c r="C867" s="35" t="s">
        <v>9974</v>
      </c>
      <c r="D867" s="40" t="s">
        <v>7095</v>
      </c>
      <c r="E867" s="35" t="s">
        <v>9488</v>
      </c>
      <c r="F867" s="40" t="s">
        <v>9489</v>
      </c>
      <c r="G867" s="35" t="s">
        <v>12156</v>
      </c>
      <c r="H867" s="40" t="s">
        <v>9489</v>
      </c>
      <c r="I867" s="35" t="s">
        <v>12071</v>
      </c>
      <c r="J867" s="35" t="s">
        <v>12169</v>
      </c>
      <c r="K867" s="35" t="s">
        <v>163</v>
      </c>
      <c r="L867" s="35" t="s">
        <v>430</v>
      </c>
      <c r="M867" s="35" t="s">
        <v>11842</v>
      </c>
      <c r="N867" s="35"/>
      <c r="O867" s="3"/>
    </row>
    <row r="868">
      <c r="A868" s="35" t="s">
        <v>12170</v>
      </c>
      <c r="B868" s="39">
        <v>46063.49899305556</v>
      </c>
      <c r="C868" s="35" t="s">
        <v>9488</v>
      </c>
      <c r="D868" s="40" t="s">
        <v>9489</v>
      </c>
      <c r="E868" s="35" t="s">
        <v>9763</v>
      </c>
      <c r="F868" s="40" t="s">
        <v>7086</v>
      </c>
      <c r="G868" s="35" t="s">
        <v>11979</v>
      </c>
      <c r="H868" s="40" t="s">
        <v>7086</v>
      </c>
      <c r="I868" s="35" t="s">
        <v>12160</v>
      </c>
      <c r="J868" s="35" t="s">
        <v>12167</v>
      </c>
      <c r="K868" s="35" t="s">
        <v>208</v>
      </c>
      <c r="L868" s="35" t="s">
        <v>209</v>
      </c>
      <c r="M868" s="35" t="s">
        <v>11978</v>
      </c>
      <c r="N868" s="35"/>
      <c r="O868" s="3"/>
    </row>
    <row r="869">
      <c r="A869" s="35" t="s">
        <v>12171</v>
      </c>
      <c r="B869" s="39">
        <v>46063.49900462963</v>
      </c>
      <c r="C869" s="35" t="s">
        <v>10661</v>
      </c>
      <c r="D869" s="40" t="s">
        <v>9489</v>
      </c>
      <c r="E869" s="35" t="s">
        <v>12172</v>
      </c>
      <c r="F869" s="40" t="s">
        <v>7095</v>
      </c>
      <c r="G869" s="35" t="s">
        <v>9488</v>
      </c>
      <c r="H869" s="40" t="s">
        <v>9489</v>
      </c>
      <c r="I869" s="35" t="s">
        <v>12173</v>
      </c>
      <c r="J869" s="35" t="s">
        <v>12174</v>
      </c>
      <c r="K869" s="35" t="s">
        <v>163</v>
      </c>
      <c r="L869" s="35" t="s">
        <v>430</v>
      </c>
      <c r="M869" s="35" t="s">
        <v>12171</v>
      </c>
      <c r="N869" s="35"/>
      <c r="O869" s="3"/>
    </row>
    <row r="870">
      <c r="A870" s="35" t="s">
        <v>12175</v>
      </c>
      <c r="B870" s="39">
        <v>46063.5378125</v>
      </c>
      <c r="C870" s="35" t="s">
        <v>9488</v>
      </c>
      <c r="D870" s="40" t="s">
        <v>9489</v>
      </c>
      <c r="E870" s="35" t="s">
        <v>12176</v>
      </c>
      <c r="F870" s="40" t="s">
        <v>7082</v>
      </c>
      <c r="G870" s="35" t="s">
        <v>9556</v>
      </c>
      <c r="H870" s="40" t="s">
        <v>9489</v>
      </c>
      <c r="I870" s="35" t="s">
        <v>12177</v>
      </c>
      <c r="J870" s="35" t="s">
        <v>12178</v>
      </c>
      <c r="K870" s="35" t="s">
        <v>6691</v>
      </c>
      <c r="L870" s="35" t="s">
        <v>590</v>
      </c>
      <c r="M870" s="35" t="s">
        <v>12179</v>
      </c>
      <c r="N870" s="35"/>
      <c r="O870" s="3"/>
    </row>
    <row r="871">
      <c r="A871" s="35" t="s">
        <v>12180</v>
      </c>
      <c r="B871" s="39">
        <v>46063.54320601852</v>
      </c>
      <c r="C871" s="35" t="s">
        <v>9488</v>
      </c>
      <c r="D871" s="40" t="s">
        <v>9489</v>
      </c>
      <c r="E871" s="35" t="s">
        <v>9763</v>
      </c>
      <c r="F871" s="40" t="s">
        <v>7086</v>
      </c>
      <c r="G871" s="35" t="s">
        <v>11979</v>
      </c>
      <c r="H871" s="40" t="s">
        <v>7086</v>
      </c>
      <c r="I871" s="35" t="s">
        <v>12160</v>
      </c>
      <c r="J871" s="35" t="s">
        <v>12181</v>
      </c>
      <c r="K871" s="35" t="s">
        <v>208</v>
      </c>
      <c r="L871" s="35" t="s">
        <v>209</v>
      </c>
      <c r="M871" s="35" t="s">
        <v>11978</v>
      </c>
      <c r="N871" s="35"/>
      <c r="O871" s="3"/>
    </row>
    <row r="872">
      <c r="A872" s="35" t="s">
        <v>12182</v>
      </c>
      <c r="B872" s="39">
        <v>46063.54728009259</v>
      </c>
      <c r="C872" s="35" t="s">
        <v>9488</v>
      </c>
      <c r="D872" s="40" t="s">
        <v>9489</v>
      </c>
      <c r="E872" s="35" t="s">
        <v>9763</v>
      </c>
      <c r="F872" s="40" t="s">
        <v>7086</v>
      </c>
      <c r="G872" s="35" t="s">
        <v>11979</v>
      </c>
      <c r="H872" s="40" t="s">
        <v>7086</v>
      </c>
      <c r="I872" s="35" t="s">
        <v>12160</v>
      </c>
      <c r="J872" s="35" t="s">
        <v>12181</v>
      </c>
      <c r="K872" s="35" t="s">
        <v>208</v>
      </c>
      <c r="L872" s="35" t="s">
        <v>209</v>
      </c>
      <c r="M872" s="35" t="s">
        <v>11978</v>
      </c>
      <c r="N872" s="35"/>
      <c r="O872" s="3"/>
    </row>
    <row r="873">
      <c r="A873" s="35" t="s">
        <v>12183</v>
      </c>
      <c r="B873" s="39">
        <v>46063.58796296296</v>
      </c>
      <c r="C873" s="35" t="s">
        <v>9488</v>
      </c>
      <c r="D873" s="40" t="s">
        <v>9489</v>
      </c>
      <c r="E873" s="35" t="s">
        <v>9763</v>
      </c>
      <c r="F873" s="40" t="s">
        <v>7086</v>
      </c>
      <c r="G873" s="35" t="s">
        <v>11979</v>
      </c>
      <c r="H873" s="40" t="s">
        <v>7086</v>
      </c>
      <c r="I873" s="35" t="s">
        <v>12160</v>
      </c>
      <c r="J873" s="35" t="s">
        <v>12184</v>
      </c>
      <c r="K873" s="35" t="s">
        <v>208</v>
      </c>
      <c r="L873" s="35" t="s">
        <v>209</v>
      </c>
      <c r="M873" s="35" t="s">
        <v>11978</v>
      </c>
      <c r="N873" s="35"/>
      <c r="O873" s="3"/>
    </row>
    <row r="874">
      <c r="A874" s="35" t="s">
        <v>12185</v>
      </c>
      <c r="B874" s="39">
        <v>46063.60487268519</v>
      </c>
      <c r="C874" s="35" t="s">
        <v>9488</v>
      </c>
      <c r="D874" s="40" t="s">
        <v>9489</v>
      </c>
      <c r="E874" s="35" t="s">
        <v>9763</v>
      </c>
      <c r="F874" s="40" t="s">
        <v>7086</v>
      </c>
      <c r="G874" s="35" t="s">
        <v>11979</v>
      </c>
      <c r="H874" s="40" t="s">
        <v>7086</v>
      </c>
      <c r="I874" s="35" t="s">
        <v>12160</v>
      </c>
      <c r="J874" s="35" t="s">
        <v>12186</v>
      </c>
      <c r="K874" s="35" t="s">
        <v>208</v>
      </c>
      <c r="L874" s="35" t="s">
        <v>209</v>
      </c>
      <c r="M874" s="35" t="s">
        <v>11978</v>
      </c>
      <c r="N874" s="35"/>
      <c r="O874" s="3"/>
    </row>
    <row r="875">
      <c r="A875" s="35" t="s">
        <v>12187</v>
      </c>
      <c r="B875" s="39">
        <v>46063.607361111106</v>
      </c>
      <c r="C875" s="35" t="s">
        <v>9488</v>
      </c>
      <c r="D875" s="40" t="s">
        <v>9489</v>
      </c>
      <c r="E875" s="35" t="s">
        <v>9763</v>
      </c>
      <c r="F875" s="40" t="s">
        <v>7086</v>
      </c>
      <c r="G875" s="35" t="s">
        <v>11979</v>
      </c>
      <c r="H875" s="40" t="s">
        <v>7086</v>
      </c>
      <c r="I875" s="35" t="s">
        <v>12160</v>
      </c>
      <c r="J875" s="35" t="s">
        <v>12188</v>
      </c>
      <c r="K875" s="35" t="s">
        <v>208</v>
      </c>
      <c r="L875" s="35" t="s">
        <v>209</v>
      </c>
      <c r="M875" s="35" t="s">
        <v>11978</v>
      </c>
      <c r="N875" s="35"/>
      <c r="O875" s="3"/>
    </row>
    <row r="876">
      <c r="A876" s="35" t="s">
        <v>12189</v>
      </c>
      <c r="B876" s="39">
        <v>46063.62111111111</v>
      </c>
      <c r="C876" s="35" t="s">
        <v>9763</v>
      </c>
      <c r="D876" s="40" t="s">
        <v>7086</v>
      </c>
      <c r="E876" s="35" t="s">
        <v>9488</v>
      </c>
      <c r="F876" s="40" t="s">
        <v>9489</v>
      </c>
      <c r="G876" s="35" t="s">
        <v>12190</v>
      </c>
      <c r="H876" s="40" t="s">
        <v>7086</v>
      </c>
      <c r="I876" s="35" t="s">
        <v>11980</v>
      </c>
      <c r="J876" s="35" t="s">
        <v>12191</v>
      </c>
      <c r="K876" s="35" t="s">
        <v>208</v>
      </c>
      <c r="L876" s="35" t="s">
        <v>209</v>
      </c>
      <c r="M876" s="35" t="s">
        <v>11978</v>
      </c>
      <c r="N876" s="35"/>
      <c r="O876" s="3"/>
    </row>
    <row r="877">
      <c r="A877" s="35" t="s">
        <v>12192</v>
      </c>
      <c r="B877" s="39">
        <v>46063.647615740745</v>
      </c>
      <c r="C877" s="35" t="s">
        <v>9488</v>
      </c>
      <c r="D877" s="40" t="s">
        <v>9489</v>
      </c>
      <c r="E877" s="35" t="s">
        <v>12193</v>
      </c>
      <c r="F877" s="40" t="s">
        <v>7090</v>
      </c>
      <c r="G877" s="35" t="s">
        <v>11147</v>
      </c>
      <c r="H877" s="40" t="s">
        <v>9489</v>
      </c>
      <c r="I877" s="35" t="s">
        <v>11908</v>
      </c>
      <c r="J877" s="35" t="s">
        <v>12194</v>
      </c>
      <c r="K877" s="35" t="s">
        <v>199</v>
      </c>
      <c r="L877" s="35" t="s">
        <v>272</v>
      </c>
      <c r="M877" s="35" t="s">
        <v>11901</v>
      </c>
      <c r="N877" s="35"/>
      <c r="O877" s="3"/>
    </row>
    <row r="878">
      <c r="A878" s="35" t="s">
        <v>12195</v>
      </c>
      <c r="B878" s="39">
        <v>46063.657743055555</v>
      </c>
      <c r="C878" s="35" t="s">
        <v>9488</v>
      </c>
      <c r="D878" s="40" t="s">
        <v>9489</v>
      </c>
      <c r="E878" s="35" t="s">
        <v>12193</v>
      </c>
      <c r="F878" s="40" t="s">
        <v>7090</v>
      </c>
      <c r="G878" s="35" t="s">
        <v>11147</v>
      </c>
      <c r="H878" s="40" t="s">
        <v>9489</v>
      </c>
      <c r="I878" s="35" t="s">
        <v>11908</v>
      </c>
      <c r="J878" s="35" t="s">
        <v>12196</v>
      </c>
      <c r="K878" s="35" t="s">
        <v>199</v>
      </c>
      <c r="L878" s="35" t="s">
        <v>272</v>
      </c>
      <c r="M878" s="35" t="s">
        <v>11901</v>
      </c>
      <c r="N878" s="35"/>
      <c r="O878" s="3"/>
    </row>
    <row r="879">
      <c r="A879" s="35" t="s">
        <v>12197</v>
      </c>
      <c r="B879" s="39">
        <v>46063.65846064815</v>
      </c>
      <c r="C879" s="35" t="s">
        <v>9488</v>
      </c>
      <c r="D879" s="40" t="s">
        <v>9489</v>
      </c>
      <c r="E879" s="35" t="s">
        <v>12193</v>
      </c>
      <c r="F879" s="40" t="s">
        <v>7090</v>
      </c>
      <c r="G879" s="35" t="s">
        <v>11147</v>
      </c>
      <c r="H879" s="40" t="s">
        <v>9489</v>
      </c>
      <c r="I879" s="35" t="s">
        <v>11908</v>
      </c>
      <c r="J879" s="35" t="s">
        <v>12198</v>
      </c>
      <c r="K879" s="35" t="s">
        <v>199</v>
      </c>
      <c r="L879" s="35" t="s">
        <v>272</v>
      </c>
      <c r="M879" s="35" t="s">
        <v>11901</v>
      </c>
      <c r="N879" s="35"/>
      <c r="O879" s="3"/>
    </row>
    <row r="880">
      <c r="A880" s="35" t="s">
        <v>12199</v>
      </c>
      <c r="B880" s="39">
        <v>46064.300520833334</v>
      </c>
      <c r="C880" s="35" t="s">
        <v>12200</v>
      </c>
      <c r="D880" s="40" t="s">
        <v>7082</v>
      </c>
      <c r="E880" s="35" t="s">
        <v>12201</v>
      </c>
      <c r="F880" s="35" t="s">
        <v>9706</v>
      </c>
      <c r="G880" s="35" t="s">
        <v>9556</v>
      </c>
      <c r="H880" s="40" t="s">
        <v>9489</v>
      </c>
      <c r="I880" s="35" t="s">
        <v>12202</v>
      </c>
      <c r="J880" s="35" t="s">
        <v>12203</v>
      </c>
      <c r="K880" s="35" t="s">
        <v>6691</v>
      </c>
      <c r="L880" s="35" t="s">
        <v>590</v>
      </c>
      <c r="M880" s="35" t="s">
        <v>12179</v>
      </c>
      <c r="N880" s="35"/>
      <c r="O880" s="3"/>
    </row>
    <row r="881">
      <c r="A881" s="35" t="s">
        <v>12204</v>
      </c>
      <c r="B881" s="39">
        <v>46064.36568287037</v>
      </c>
      <c r="C881" s="35" t="s">
        <v>9488</v>
      </c>
      <c r="D881" s="40" t="s">
        <v>9489</v>
      </c>
      <c r="E881" s="35" t="s">
        <v>12200</v>
      </c>
      <c r="F881" s="40" t="s">
        <v>7082</v>
      </c>
      <c r="G881" s="35" t="s">
        <v>12205</v>
      </c>
      <c r="H881" s="35" t="s">
        <v>12206</v>
      </c>
      <c r="I881" s="35" t="s">
        <v>12202</v>
      </c>
      <c r="J881" s="35" t="s">
        <v>12207</v>
      </c>
      <c r="K881" s="35" t="s">
        <v>6691</v>
      </c>
      <c r="L881" s="35" t="s">
        <v>590</v>
      </c>
      <c r="M881" s="35" t="s">
        <v>12179</v>
      </c>
      <c r="N881" s="35"/>
      <c r="O881" s="3"/>
    </row>
    <row r="882">
      <c r="A882" s="35" t="s">
        <v>12208</v>
      </c>
      <c r="B882" s="39">
        <v>46064.37483796296</v>
      </c>
      <c r="C882" s="35" t="s">
        <v>9488</v>
      </c>
      <c r="D882" s="40" t="s">
        <v>9489</v>
      </c>
      <c r="E882" s="35" t="s">
        <v>12200</v>
      </c>
      <c r="F882" s="40" t="s">
        <v>7082</v>
      </c>
      <c r="G882" s="35" t="s">
        <v>12205</v>
      </c>
      <c r="H882" s="35" t="s">
        <v>12206</v>
      </c>
      <c r="I882" s="35" t="s">
        <v>12202</v>
      </c>
      <c r="J882" s="35" t="s">
        <v>12209</v>
      </c>
      <c r="K882" s="35" t="s">
        <v>6691</v>
      </c>
      <c r="L882" s="35" t="s">
        <v>590</v>
      </c>
      <c r="M882" s="35" t="s">
        <v>12179</v>
      </c>
      <c r="N882" s="35"/>
      <c r="O882" s="3"/>
    </row>
    <row r="883">
      <c r="A883" s="35" t="s">
        <v>12210</v>
      </c>
      <c r="B883" s="39">
        <v>46064.37677083333</v>
      </c>
      <c r="C883" s="35" t="s">
        <v>9488</v>
      </c>
      <c r="D883" s="40" t="s">
        <v>9489</v>
      </c>
      <c r="E883" s="35" t="s">
        <v>12193</v>
      </c>
      <c r="F883" s="40" t="s">
        <v>7090</v>
      </c>
      <c r="G883" s="35" t="s">
        <v>11147</v>
      </c>
      <c r="H883" s="40" t="s">
        <v>9489</v>
      </c>
      <c r="I883" s="35" t="s">
        <v>11908</v>
      </c>
      <c r="J883" s="35" t="s">
        <v>12211</v>
      </c>
      <c r="K883" s="35" t="s">
        <v>199</v>
      </c>
      <c r="L883" s="35" t="s">
        <v>272</v>
      </c>
      <c r="M883" s="35" t="s">
        <v>11901</v>
      </c>
      <c r="N883" s="35"/>
      <c r="O883" s="3"/>
    </row>
    <row r="884">
      <c r="A884" s="35" t="s">
        <v>12212</v>
      </c>
      <c r="B884" s="39">
        <v>46064.37751157407</v>
      </c>
      <c r="C884" s="35" t="s">
        <v>9488</v>
      </c>
      <c r="D884" s="40" t="s">
        <v>9489</v>
      </c>
      <c r="E884" s="35" t="s">
        <v>12193</v>
      </c>
      <c r="F884" s="40" t="s">
        <v>7090</v>
      </c>
      <c r="G884" s="35" t="s">
        <v>11147</v>
      </c>
      <c r="H884" s="40" t="s">
        <v>9489</v>
      </c>
      <c r="I884" s="35" t="s">
        <v>11908</v>
      </c>
      <c r="J884" s="35" t="s">
        <v>12213</v>
      </c>
      <c r="K884" s="35" t="s">
        <v>199</v>
      </c>
      <c r="L884" s="35" t="s">
        <v>272</v>
      </c>
      <c r="M884" s="35" t="s">
        <v>11901</v>
      </c>
      <c r="N884" s="35"/>
      <c r="O884" s="3"/>
    </row>
    <row r="885">
      <c r="A885" s="35" t="s">
        <v>12214</v>
      </c>
      <c r="B885" s="39">
        <v>46064.40329861111</v>
      </c>
      <c r="C885" s="35" t="s">
        <v>9496</v>
      </c>
      <c r="D885" s="40" t="s">
        <v>9489</v>
      </c>
      <c r="E885" s="35" t="s">
        <v>12215</v>
      </c>
      <c r="F885" s="35" t="s">
        <v>12216</v>
      </c>
      <c r="G885" s="35"/>
      <c r="H885" s="35"/>
      <c r="I885" s="35" t="s">
        <v>10516</v>
      </c>
      <c r="J885" s="35" t="s">
        <v>12217</v>
      </c>
      <c r="K885" s="35" t="s">
        <v>113</v>
      </c>
      <c r="L885" s="35" t="s">
        <v>406</v>
      </c>
      <c r="M885" s="35" t="s">
        <v>12214</v>
      </c>
      <c r="N885" s="35"/>
      <c r="O885" s="3"/>
    </row>
    <row r="886">
      <c r="A886" s="35" t="s">
        <v>12218</v>
      </c>
      <c r="B886" s="39">
        <v>46064.44408564815</v>
      </c>
      <c r="C886" s="35" t="s">
        <v>9488</v>
      </c>
      <c r="D886" s="40" t="s">
        <v>9489</v>
      </c>
      <c r="E886" s="35" t="s">
        <v>12104</v>
      </c>
      <c r="F886" s="35" t="s">
        <v>12005</v>
      </c>
      <c r="G886" s="35"/>
      <c r="H886" s="35"/>
      <c r="I886" s="35" t="s">
        <v>12087</v>
      </c>
      <c r="J886" s="35" t="s">
        <v>12219</v>
      </c>
      <c r="K886" s="35" t="s">
        <v>154</v>
      </c>
      <c r="L886" s="35" t="s">
        <v>329</v>
      </c>
      <c r="M886" s="35" t="s">
        <v>12220</v>
      </c>
      <c r="N886" s="35"/>
      <c r="O886" s="3"/>
    </row>
    <row r="887">
      <c r="A887" s="35" t="s">
        <v>12221</v>
      </c>
      <c r="B887" s="39">
        <v>46064.45686342593</v>
      </c>
      <c r="C887" s="35" t="s">
        <v>9488</v>
      </c>
      <c r="D887" s="40" t="s">
        <v>9489</v>
      </c>
      <c r="E887" s="35" t="s">
        <v>12222</v>
      </c>
      <c r="F887" s="40" t="s">
        <v>7079</v>
      </c>
      <c r="G887" s="35" t="s">
        <v>12223</v>
      </c>
      <c r="H887" s="40" t="s">
        <v>9489</v>
      </c>
      <c r="I887" s="35" t="s">
        <v>12087</v>
      </c>
      <c r="J887" s="35" t="s">
        <v>12224</v>
      </c>
      <c r="K887" s="35" t="s">
        <v>6450</v>
      </c>
      <c r="L887" s="35" t="s">
        <v>552</v>
      </c>
      <c r="M887" s="35" t="s">
        <v>12225</v>
      </c>
      <c r="N887" s="35"/>
      <c r="O887" s="3"/>
    </row>
    <row r="888">
      <c r="A888" s="35" t="s">
        <v>12226</v>
      </c>
      <c r="B888" s="39">
        <v>46064.477118055554</v>
      </c>
      <c r="C888" s="35" t="s">
        <v>9834</v>
      </c>
      <c r="D888" s="40" t="s">
        <v>7093</v>
      </c>
      <c r="E888" s="35" t="s">
        <v>9488</v>
      </c>
      <c r="F888" s="40" t="s">
        <v>9489</v>
      </c>
      <c r="G888" s="35"/>
      <c r="H888" s="35"/>
      <c r="I888" s="35" t="s">
        <v>12227</v>
      </c>
      <c r="J888" s="35" t="s">
        <v>12110</v>
      </c>
      <c r="K888" s="35" t="s">
        <v>154</v>
      </c>
      <c r="L888" s="35" t="s">
        <v>329</v>
      </c>
      <c r="M888" s="35" t="s">
        <v>12226</v>
      </c>
      <c r="N888" s="35"/>
      <c r="O888" s="3"/>
    </row>
    <row r="889">
      <c r="A889" s="35" t="s">
        <v>12228</v>
      </c>
      <c r="B889" s="39">
        <v>46064.477118055554</v>
      </c>
      <c r="C889" s="35" t="s">
        <v>9910</v>
      </c>
      <c r="D889" s="40" t="s">
        <v>7093</v>
      </c>
      <c r="E889" s="35" t="s">
        <v>12229</v>
      </c>
      <c r="F889" s="35" t="s">
        <v>12230</v>
      </c>
      <c r="G889" s="35"/>
      <c r="H889" s="35"/>
      <c r="I889" s="35" t="s">
        <v>12231</v>
      </c>
      <c r="J889" s="35" t="s">
        <v>12232</v>
      </c>
      <c r="K889" s="35" t="s">
        <v>154</v>
      </c>
      <c r="L889" s="35" t="s">
        <v>329</v>
      </c>
      <c r="M889" s="35" t="s">
        <v>12220</v>
      </c>
      <c r="N889" s="35"/>
      <c r="O889" s="3"/>
    </row>
    <row r="890">
      <c r="A890" s="35" t="s">
        <v>12233</v>
      </c>
      <c r="B890" s="39">
        <v>46064.52048611111</v>
      </c>
      <c r="C890" s="35" t="s">
        <v>10486</v>
      </c>
      <c r="D890" s="40" t="s">
        <v>8055</v>
      </c>
      <c r="E890" s="35" t="s">
        <v>12234</v>
      </c>
      <c r="F890" s="40" t="s">
        <v>8055</v>
      </c>
      <c r="G890" s="35" t="s">
        <v>12054</v>
      </c>
      <c r="H890" s="35" t="s">
        <v>12055</v>
      </c>
      <c r="I890" s="35" t="s">
        <v>12099</v>
      </c>
      <c r="J890" s="35" t="s">
        <v>12235</v>
      </c>
      <c r="K890" s="35" t="s">
        <v>101</v>
      </c>
      <c r="L890" s="35" t="s">
        <v>511</v>
      </c>
      <c r="M890" s="35" t="s">
        <v>12052</v>
      </c>
      <c r="N890" s="35"/>
      <c r="O890" s="3"/>
    </row>
    <row r="891">
      <c r="A891" s="35" t="s">
        <v>12236</v>
      </c>
      <c r="B891" s="39">
        <v>46064.576215277775</v>
      </c>
      <c r="C891" s="35" t="s">
        <v>12237</v>
      </c>
      <c r="D891" s="40" t="s">
        <v>8055</v>
      </c>
      <c r="E891" s="35" t="s">
        <v>12238</v>
      </c>
      <c r="F891" s="40" t="s">
        <v>8055</v>
      </c>
      <c r="G891" s="35" t="s">
        <v>12054</v>
      </c>
      <c r="H891" s="35" t="s">
        <v>12055</v>
      </c>
      <c r="I891" s="35" t="s">
        <v>12099</v>
      </c>
      <c r="J891" s="35" t="s">
        <v>12239</v>
      </c>
      <c r="K891" s="35" t="s">
        <v>101</v>
      </c>
      <c r="L891" s="35" t="s">
        <v>511</v>
      </c>
      <c r="M891" s="35" t="s">
        <v>12052</v>
      </c>
      <c r="N891" s="35"/>
      <c r="O891" s="3"/>
    </row>
    <row r="892">
      <c r="A892" s="35" t="s">
        <v>12240</v>
      </c>
      <c r="B892" s="39">
        <v>46064.57686342593</v>
      </c>
      <c r="C892" s="35" t="s">
        <v>10486</v>
      </c>
      <c r="D892" s="40" t="s">
        <v>8055</v>
      </c>
      <c r="E892" s="35" t="s">
        <v>9488</v>
      </c>
      <c r="F892" s="40" t="s">
        <v>9489</v>
      </c>
      <c r="G892" s="35"/>
      <c r="H892" s="35"/>
      <c r="I892" s="35" t="s">
        <v>12099</v>
      </c>
      <c r="J892" s="35" t="s">
        <v>12241</v>
      </c>
      <c r="K892" s="35" t="s">
        <v>101</v>
      </c>
      <c r="L892" s="35" t="s">
        <v>511</v>
      </c>
      <c r="M892" s="35" t="s">
        <v>12052</v>
      </c>
      <c r="N892" s="35"/>
      <c r="O892" s="3"/>
    </row>
    <row r="893">
      <c r="A893" s="35" t="s">
        <v>12242</v>
      </c>
      <c r="B893" s="39">
        <v>46064.58310185185</v>
      </c>
      <c r="C893" s="35" t="s">
        <v>10486</v>
      </c>
      <c r="D893" s="40" t="s">
        <v>8055</v>
      </c>
      <c r="E893" s="35" t="s">
        <v>12243</v>
      </c>
      <c r="F893" s="40" t="s">
        <v>8055</v>
      </c>
      <c r="G893" s="35" t="s">
        <v>12054</v>
      </c>
      <c r="H893" s="35" t="s">
        <v>12055</v>
      </c>
      <c r="I893" s="35" t="s">
        <v>12099</v>
      </c>
      <c r="J893" s="35" t="s">
        <v>12244</v>
      </c>
      <c r="K893" s="35" t="s">
        <v>101</v>
      </c>
      <c r="L893" s="35" t="s">
        <v>511</v>
      </c>
      <c r="M893" s="35" t="s">
        <v>12052</v>
      </c>
      <c r="N893" s="35"/>
      <c r="O893" s="3"/>
    </row>
    <row r="894">
      <c r="A894" s="35" t="s">
        <v>12245</v>
      </c>
      <c r="B894" s="39">
        <v>46064.5955324074</v>
      </c>
      <c r="C894" s="35" t="s">
        <v>9488</v>
      </c>
      <c r="D894" s="40" t="s">
        <v>9489</v>
      </c>
      <c r="E894" s="35" t="s">
        <v>9496</v>
      </c>
      <c r="F894" s="40" t="s">
        <v>9489</v>
      </c>
      <c r="G894" s="35" t="s">
        <v>10515</v>
      </c>
      <c r="H894" s="40" t="s">
        <v>7107</v>
      </c>
      <c r="I894" s="35" t="s">
        <v>10516</v>
      </c>
      <c r="J894" s="35" t="s">
        <v>12246</v>
      </c>
      <c r="K894" s="35" t="s">
        <v>113</v>
      </c>
      <c r="L894" s="35" t="s">
        <v>406</v>
      </c>
      <c r="M894" s="35" t="s">
        <v>12214</v>
      </c>
      <c r="N894" s="35"/>
      <c r="O894" s="3"/>
    </row>
    <row r="895">
      <c r="A895" s="35" t="s">
        <v>12247</v>
      </c>
      <c r="B895" s="39">
        <v>46064.600069444445</v>
      </c>
      <c r="C895" s="35" t="s">
        <v>9488</v>
      </c>
      <c r="D895" s="40" t="s">
        <v>9489</v>
      </c>
      <c r="E895" s="35" t="s">
        <v>9496</v>
      </c>
      <c r="F895" s="40" t="s">
        <v>9489</v>
      </c>
      <c r="G895" s="35" t="s">
        <v>10515</v>
      </c>
      <c r="H895" s="40" t="s">
        <v>7107</v>
      </c>
      <c r="I895" s="35" t="s">
        <v>10516</v>
      </c>
      <c r="J895" s="35" t="s">
        <v>12248</v>
      </c>
      <c r="K895" s="35" t="s">
        <v>113</v>
      </c>
      <c r="L895" s="35" t="s">
        <v>406</v>
      </c>
      <c r="M895" s="35" t="s">
        <v>12214</v>
      </c>
      <c r="N895" s="35"/>
      <c r="O895" s="3"/>
    </row>
    <row r="896">
      <c r="A896" s="35" t="s">
        <v>12249</v>
      </c>
      <c r="B896" s="39">
        <v>46064.61140046296</v>
      </c>
      <c r="C896" s="35" t="s">
        <v>9586</v>
      </c>
      <c r="D896" s="40" t="s">
        <v>7079</v>
      </c>
      <c r="E896" s="35" t="s">
        <v>12250</v>
      </c>
      <c r="F896" s="35" t="s">
        <v>9507</v>
      </c>
      <c r="G896" s="35" t="s">
        <v>12223</v>
      </c>
      <c r="H896" s="40" t="s">
        <v>9489</v>
      </c>
      <c r="I896" s="35" t="s">
        <v>12251</v>
      </c>
      <c r="J896" s="35" t="s">
        <v>12252</v>
      </c>
      <c r="K896" s="35" t="s">
        <v>6450</v>
      </c>
      <c r="L896" s="35" t="s">
        <v>552</v>
      </c>
      <c r="M896" s="35" t="s">
        <v>12225</v>
      </c>
      <c r="N896" s="35"/>
      <c r="O896" s="3"/>
    </row>
    <row r="897">
      <c r="A897" s="35" t="s">
        <v>12253</v>
      </c>
      <c r="B897" s="39">
        <v>46064.62587962963</v>
      </c>
      <c r="C897" s="35" t="s">
        <v>9488</v>
      </c>
      <c r="D897" s="40" t="s">
        <v>9489</v>
      </c>
      <c r="E897" s="35" t="s">
        <v>9586</v>
      </c>
      <c r="F897" s="40" t="s">
        <v>7079</v>
      </c>
      <c r="G897" s="35" t="s">
        <v>12254</v>
      </c>
      <c r="H897" s="35" t="s">
        <v>9498</v>
      </c>
      <c r="I897" s="35" t="s">
        <v>12255</v>
      </c>
      <c r="J897" s="35" t="s">
        <v>12256</v>
      </c>
      <c r="K897" s="35" t="s">
        <v>6450</v>
      </c>
      <c r="L897" s="35" t="s">
        <v>552</v>
      </c>
      <c r="M897" s="35" t="s">
        <v>12225</v>
      </c>
      <c r="N897" s="35"/>
      <c r="O897" s="3"/>
    </row>
    <row r="898">
      <c r="A898" s="35" t="s">
        <v>12257</v>
      </c>
      <c r="B898" s="39">
        <v>46064.62189814815</v>
      </c>
      <c r="C898" s="35" t="s">
        <v>10238</v>
      </c>
      <c r="D898" s="40" t="s">
        <v>7106</v>
      </c>
      <c r="E898" s="35" t="s">
        <v>9488</v>
      </c>
      <c r="F898" s="40" t="s">
        <v>9489</v>
      </c>
      <c r="G898" s="35"/>
      <c r="H898" s="35"/>
      <c r="I898" s="35" t="s">
        <v>11703</v>
      </c>
      <c r="J898" s="35" t="s">
        <v>10240</v>
      </c>
      <c r="K898" s="35" t="s">
        <v>122</v>
      </c>
      <c r="L898" s="35" t="s">
        <v>123</v>
      </c>
      <c r="M898" s="35" t="s">
        <v>12257</v>
      </c>
      <c r="N898" s="35"/>
      <c r="O898" s="3"/>
    </row>
    <row r="899">
      <c r="A899" s="35" t="s">
        <v>12258</v>
      </c>
      <c r="B899" s="39">
        <v>46064.65019675926</v>
      </c>
      <c r="C899" s="35" t="s">
        <v>12122</v>
      </c>
      <c r="D899" s="40" t="s">
        <v>8055</v>
      </c>
      <c r="E899" s="35" t="s">
        <v>12123</v>
      </c>
      <c r="F899" s="40" t="s">
        <v>8055</v>
      </c>
      <c r="G899" s="35" t="s">
        <v>12054</v>
      </c>
      <c r="H899" s="35" t="s">
        <v>12055</v>
      </c>
      <c r="I899" s="35" t="s">
        <v>12099</v>
      </c>
      <c r="J899" s="35" t="s">
        <v>12259</v>
      </c>
      <c r="K899" s="35" t="s">
        <v>101</v>
      </c>
      <c r="L899" s="35" t="s">
        <v>511</v>
      </c>
      <c r="M899" s="35" t="s">
        <v>12052</v>
      </c>
      <c r="N899" s="35"/>
      <c r="O899" s="3"/>
    </row>
    <row r="900">
      <c r="A900" s="35" t="s">
        <v>12260</v>
      </c>
      <c r="B900" s="39">
        <v>46065.2731712963</v>
      </c>
      <c r="C900" s="35" t="s">
        <v>10486</v>
      </c>
      <c r="D900" s="40" t="s">
        <v>8055</v>
      </c>
      <c r="E900" s="35" t="s">
        <v>12261</v>
      </c>
      <c r="F900" s="35" t="s">
        <v>10558</v>
      </c>
      <c r="G900" s="35" t="s">
        <v>12262</v>
      </c>
      <c r="H900" s="35" t="s">
        <v>12263</v>
      </c>
      <c r="I900" s="35" t="s">
        <v>12099</v>
      </c>
      <c r="J900" s="35" t="s">
        <v>12264</v>
      </c>
      <c r="K900" s="35" t="s">
        <v>101</v>
      </c>
      <c r="L900" s="35" t="s">
        <v>511</v>
      </c>
      <c r="M900" s="35" t="s">
        <v>12052</v>
      </c>
      <c r="N900" s="35"/>
      <c r="O900" s="3"/>
    </row>
    <row r="901">
      <c r="A901" s="35" t="s">
        <v>12265</v>
      </c>
      <c r="B901" s="39">
        <v>46065.39978009259</v>
      </c>
      <c r="C901" s="35" t="s">
        <v>10540</v>
      </c>
      <c r="D901" s="40" t="s">
        <v>9489</v>
      </c>
      <c r="E901" s="35" t="s">
        <v>12135</v>
      </c>
      <c r="F901" s="40" t="s">
        <v>7081</v>
      </c>
      <c r="G901" s="35" t="s">
        <v>12136</v>
      </c>
      <c r="H901" s="35" t="s">
        <v>9575</v>
      </c>
      <c r="I901" s="35" t="s">
        <v>11885</v>
      </c>
      <c r="J901" s="35" t="s">
        <v>12266</v>
      </c>
      <c r="K901" s="35" t="s">
        <v>119</v>
      </c>
      <c r="L901" s="35" t="s">
        <v>251</v>
      </c>
      <c r="M901" s="35" t="s">
        <v>11829</v>
      </c>
      <c r="N901" s="35"/>
      <c r="O901" s="3"/>
    </row>
    <row r="902">
      <c r="A902" s="35" t="s">
        <v>12267</v>
      </c>
      <c r="B902" s="39">
        <v>46065.4090162037</v>
      </c>
      <c r="C902" s="35" t="s">
        <v>11830</v>
      </c>
      <c r="D902" s="40" t="s">
        <v>7081</v>
      </c>
      <c r="E902" s="35" t="s">
        <v>12268</v>
      </c>
      <c r="F902" s="35" t="s">
        <v>9575</v>
      </c>
      <c r="G902" s="35" t="s">
        <v>12269</v>
      </c>
      <c r="H902" s="40" t="s">
        <v>9489</v>
      </c>
      <c r="I902" s="35" t="s">
        <v>12128</v>
      </c>
      <c r="J902" s="35" t="s">
        <v>12270</v>
      </c>
      <c r="K902" s="35" t="s">
        <v>119</v>
      </c>
      <c r="L902" s="35" t="s">
        <v>251</v>
      </c>
      <c r="M902" s="35" t="s">
        <v>11829</v>
      </c>
      <c r="N902" s="35"/>
      <c r="O902" s="3"/>
    </row>
    <row r="903">
      <c r="A903" s="35" t="s">
        <v>12271</v>
      </c>
      <c r="B903" s="39">
        <v>46065.44292824074</v>
      </c>
      <c r="C903" s="35" t="s">
        <v>10540</v>
      </c>
      <c r="D903" s="40" t="s">
        <v>9489</v>
      </c>
      <c r="E903" s="35" t="s">
        <v>7288</v>
      </c>
      <c r="F903" s="40" t="s">
        <v>9489</v>
      </c>
      <c r="G903" s="35" t="s">
        <v>11884</v>
      </c>
      <c r="H903" s="35" t="s">
        <v>9561</v>
      </c>
      <c r="I903" s="35" t="s">
        <v>11885</v>
      </c>
      <c r="J903" s="35" t="s">
        <v>12272</v>
      </c>
      <c r="K903" s="35" t="s">
        <v>119</v>
      </c>
      <c r="L903" s="35" t="s">
        <v>251</v>
      </c>
      <c r="M903" s="35" t="s">
        <v>11829</v>
      </c>
      <c r="N903" s="35"/>
      <c r="O903" s="3"/>
    </row>
    <row r="904">
      <c r="A904" s="35" t="s">
        <v>12273</v>
      </c>
      <c r="B904" s="39">
        <v>46065.49998842593</v>
      </c>
      <c r="C904" s="35" t="s">
        <v>9487</v>
      </c>
      <c r="D904" s="40" t="s">
        <v>7081</v>
      </c>
      <c r="E904" s="35" t="s">
        <v>12274</v>
      </c>
      <c r="F904" s="35" t="s">
        <v>9561</v>
      </c>
      <c r="G904" s="35" t="s">
        <v>12269</v>
      </c>
      <c r="H904" s="40" t="s">
        <v>9489</v>
      </c>
      <c r="I904" s="35" t="s">
        <v>12128</v>
      </c>
      <c r="J904" s="35" t="s">
        <v>12275</v>
      </c>
      <c r="K904" s="35" t="s">
        <v>119</v>
      </c>
      <c r="L904" s="35" t="s">
        <v>251</v>
      </c>
      <c r="M904" s="35" t="s">
        <v>11829</v>
      </c>
      <c r="N904" s="35"/>
      <c r="O904" s="3"/>
    </row>
    <row r="905">
      <c r="A905" s="35" t="s">
        <v>12276</v>
      </c>
      <c r="B905" s="39">
        <v>46065.500451388885</v>
      </c>
      <c r="C905" s="35" t="s">
        <v>9627</v>
      </c>
      <c r="D905" s="40" t="s">
        <v>9489</v>
      </c>
      <c r="E905" s="35" t="s">
        <v>7288</v>
      </c>
      <c r="F905" s="40" t="s">
        <v>9489</v>
      </c>
      <c r="G905" s="35" t="s">
        <v>11884</v>
      </c>
      <c r="H905" s="35" t="s">
        <v>9561</v>
      </c>
      <c r="I905" s="35" t="s">
        <v>11885</v>
      </c>
      <c r="J905" s="35" t="s">
        <v>12277</v>
      </c>
      <c r="K905" s="35" t="s">
        <v>119</v>
      </c>
      <c r="L905" s="35" t="s">
        <v>251</v>
      </c>
      <c r="M905" s="35" t="s">
        <v>11829</v>
      </c>
      <c r="N905" s="35"/>
      <c r="O905" s="3"/>
    </row>
    <row r="906">
      <c r="A906" s="35" t="s">
        <v>12278</v>
      </c>
      <c r="B906" s="39">
        <v>46065.50460648148</v>
      </c>
      <c r="C906" s="35" t="s">
        <v>11830</v>
      </c>
      <c r="D906" s="40" t="s">
        <v>7081</v>
      </c>
      <c r="E906" s="35" t="s">
        <v>12279</v>
      </c>
      <c r="F906" s="35" t="s">
        <v>9575</v>
      </c>
      <c r="G906" s="35" t="s">
        <v>12280</v>
      </c>
      <c r="H906" s="40" t="s">
        <v>9489</v>
      </c>
      <c r="I906" s="35" t="s">
        <v>12128</v>
      </c>
      <c r="J906" s="35" t="s">
        <v>12281</v>
      </c>
      <c r="K906" s="35" t="s">
        <v>119</v>
      </c>
      <c r="L906" s="35" t="s">
        <v>251</v>
      </c>
      <c r="M906" s="35" t="s">
        <v>11829</v>
      </c>
      <c r="N906" s="35"/>
      <c r="O906" s="3"/>
    </row>
    <row r="907">
      <c r="A907" s="35" t="s">
        <v>12282</v>
      </c>
      <c r="B907" s="39">
        <v>46065.619525462964</v>
      </c>
      <c r="C907" s="35" t="s">
        <v>9487</v>
      </c>
      <c r="D907" s="40" t="s">
        <v>7081</v>
      </c>
      <c r="E907" s="35" t="s">
        <v>12283</v>
      </c>
      <c r="F907" s="35" t="s">
        <v>9561</v>
      </c>
      <c r="G907" s="35" t="s">
        <v>12280</v>
      </c>
      <c r="H907" s="40" t="s">
        <v>9489</v>
      </c>
      <c r="I907" s="35" t="s">
        <v>12128</v>
      </c>
      <c r="J907" s="35" t="s">
        <v>12284</v>
      </c>
      <c r="K907" s="35" t="s">
        <v>119</v>
      </c>
      <c r="L907" s="35" t="s">
        <v>251</v>
      </c>
      <c r="M907" s="35" t="s">
        <v>11829</v>
      </c>
      <c r="N907" s="35"/>
      <c r="O907" s="3"/>
    </row>
    <row r="908">
      <c r="A908" s="35" t="s">
        <v>12285</v>
      </c>
      <c r="B908" s="39">
        <v>46065.65771990741</v>
      </c>
      <c r="C908" s="35" t="s">
        <v>9488</v>
      </c>
      <c r="D908" s="40" t="s">
        <v>9489</v>
      </c>
      <c r="E908" s="35" t="s">
        <v>12286</v>
      </c>
      <c r="F908" s="40" t="s">
        <v>7120</v>
      </c>
      <c r="G908" s="35" t="s">
        <v>10280</v>
      </c>
      <c r="H908" s="40" t="s">
        <v>9489</v>
      </c>
      <c r="I908" s="35" t="s">
        <v>11943</v>
      </c>
      <c r="J908" s="35" t="s">
        <v>12287</v>
      </c>
      <c r="K908" s="35" t="s">
        <v>116</v>
      </c>
      <c r="L908" s="35" t="s">
        <v>117</v>
      </c>
      <c r="M908" s="35" t="s">
        <v>12288</v>
      </c>
      <c r="N908" s="35"/>
      <c r="O908" s="3"/>
    </row>
    <row r="909">
      <c r="A909" s="35" t="s">
        <v>12289</v>
      </c>
      <c r="B909" s="39">
        <v>46065.6684837963</v>
      </c>
      <c r="C909" s="35" t="s">
        <v>9488</v>
      </c>
      <c r="D909" s="40" t="s">
        <v>9489</v>
      </c>
      <c r="E909" s="35" t="s">
        <v>12286</v>
      </c>
      <c r="F909" s="40" t="s">
        <v>7120</v>
      </c>
      <c r="G909" s="35" t="s">
        <v>10280</v>
      </c>
      <c r="H909" s="40" t="s">
        <v>9489</v>
      </c>
      <c r="I909" s="35" t="s">
        <v>11943</v>
      </c>
      <c r="J909" s="35" t="s">
        <v>12290</v>
      </c>
      <c r="K909" s="35" t="s">
        <v>116</v>
      </c>
      <c r="L909" s="35" t="s">
        <v>117</v>
      </c>
      <c r="M909" s="35" t="s">
        <v>12288</v>
      </c>
      <c r="N909" s="35"/>
      <c r="O909" s="3"/>
    </row>
    <row r="910">
      <c r="A910" s="35" t="s">
        <v>12291</v>
      </c>
      <c r="B910" s="39">
        <v>46065.6709837963</v>
      </c>
      <c r="C910" s="35" t="s">
        <v>9488</v>
      </c>
      <c r="D910" s="40" t="s">
        <v>9489</v>
      </c>
      <c r="E910" s="35" t="s">
        <v>12286</v>
      </c>
      <c r="F910" s="40" t="s">
        <v>7120</v>
      </c>
      <c r="G910" s="35" t="s">
        <v>10280</v>
      </c>
      <c r="H910" s="40" t="s">
        <v>9489</v>
      </c>
      <c r="I910" s="35" t="s">
        <v>11943</v>
      </c>
      <c r="J910" s="35" t="s">
        <v>12292</v>
      </c>
      <c r="K910" s="35" t="s">
        <v>116</v>
      </c>
      <c r="L910" s="35" t="s">
        <v>117</v>
      </c>
      <c r="M910" s="35" t="s">
        <v>12288</v>
      </c>
      <c r="N910" s="35"/>
      <c r="O910" s="3"/>
    </row>
    <row r="911">
      <c r="A911" s="35" t="s">
        <v>12293</v>
      </c>
      <c r="B911" s="39">
        <v>46065.989282407405</v>
      </c>
      <c r="C911" s="35" t="s">
        <v>12200</v>
      </c>
      <c r="D911" s="40" t="s">
        <v>7082</v>
      </c>
      <c r="E911" s="35" t="s">
        <v>9488</v>
      </c>
      <c r="F911" s="40" t="s">
        <v>9489</v>
      </c>
      <c r="G911" s="35" t="s">
        <v>12205</v>
      </c>
      <c r="H911" s="35" t="s">
        <v>12206</v>
      </c>
      <c r="I911" s="35" t="s">
        <v>12202</v>
      </c>
      <c r="J911" s="35" t="s">
        <v>12294</v>
      </c>
      <c r="K911" s="35" t="s">
        <v>6691</v>
      </c>
      <c r="L911" s="35" t="s">
        <v>590</v>
      </c>
      <c r="M911" s="35" t="s">
        <v>12179</v>
      </c>
      <c r="N911" s="35"/>
      <c r="O911" s="3"/>
    </row>
    <row r="912">
      <c r="A912" s="35" t="s">
        <v>12295</v>
      </c>
      <c r="B912" s="39">
        <v>46066.26813657407</v>
      </c>
      <c r="C912" s="35" t="s">
        <v>10540</v>
      </c>
      <c r="D912" s="40" t="s">
        <v>9489</v>
      </c>
      <c r="E912" s="35" t="s">
        <v>12135</v>
      </c>
      <c r="F912" s="40" t="s">
        <v>7081</v>
      </c>
      <c r="G912" s="35" t="s">
        <v>12136</v>
      </c>
      <c r="H912" s="35" t="s">
        <v>9575</v>
      </c>
      <c r="I912" s="35" t="s">
        <v>11885</v>
      </c>
      <c r="J912" s="35" t="s">
        <v>12296</v>
      </c>
      <c r="K912" s="35" t="s">
        <v>119</v>
      </c>
      <c r="L912" s="35" t="s">
        <v>251</v>
      </c>
      <c r="M912" s="35" t="s">
        <v>11829</v>
      </c>
      <c r="N912" s="35"/>
      <c r="O912" s="3"/>
    </row>
    <row r="913">
      <c r="A913" s="35" t="s">
        <v>12297</v>
      </c>
      <c r="B913" s="39">
        <v>46066.26850694444</v>
      </c>
      <c r="C913" s="35" t="s">
        <v>10540</v>
      </c>
      <c r="D913" s="40" t="s">
        <v>9489</v>
      </c>
      <c r="E913" s="35" t="s">
        <v>7288</v>
      </c>
      <c r="F913" s="40" t="s">
        <v>9489</v>
      </c>
      <c r="G913" s="35" t="s">
        <v>11884</v>
      </c>
      <c r="H913" s="35" t="s">
        <v>9561</v>
      </c>
      <c r="I913" s="35" t="s">
        <v>11885</v>
      </c>
      <c r="J913" s="35" t="s">
        <v>12298</v>
      </c>
      <c r="K913" s="35" t="s">
        <v>119</v>
      </c>
      <c r="L913" s="35" t="s">
        <v>251</v>
      </c>
      <c r="M913" s="35" t="s">
        <v>11829</v>
      </c>
      <c r="N913" s="35"/>
      <c r="O913" s="3"/>
    </row>
    <row r="914">
      <c r="A914" s="35" t="s">
        <v>12299</v>
      </c>
      <c r="B914" s="39">
        <v>46066.38563657408</v>
      </c>
      <c r="C914" s="35" t="s">
        <v>9527</v>
      </c>
      <c r="D914" s="40" t="s">
        <v>9489</v>
      </c>
      <c r="E914" s="35" t="s">
        <v>10508</v>
      </c>
      <c r="F914" s="35" t="s">
        <v>10456</v>
      </c>
      <c r="G914" s="35"/>
      <c r="H914" s="35"/>
      <c r="I914" s="35" t="s">
        <v>10509</v>
      </c>
      <c r="J914" s="35" t="s">
        <v>12300</v>
      </c>
      <c r="K914" s="35" t="s">
        <v>131</v>
      </c>
      <c r="L914" s="35" t="s">
        <v>132</v>
      </c>
      <c r="M914" s="35" t="s">
        <v>12301</v>
      </c>
      <c r="N914" s="35"/>
      <c r="O914" s="3"/>
    </row>
    <row r="915">
      <c r="A915" s="35" t="s">
        <v>12301</v>
      </c>
      <c r="B915" s="39">
        <v>46066.38563657408</v>
      </c>
      <c r="C915" s="35" t="s">
        <v>9527</v>
      </c>
      <c r="D915" s="40" t="s">
        <v>9489</v>
      </c>
      <c r="E915" s="35" t="s">
        <v>10512</v>
      </c>
      <c r="F915" s="35" t="s">
        <v>10456</v>
      </c>
      <c r="G915" s="35"/>
      <c r="H915" s="35"/>
      <c r="I915" s="35" t="s">
        <v>10509</v>
      </c>
      <c r="J915" s="35" t="s">
        <v>12302</v>
      </c>
      <c r="K915" s="35" t="s">
        <v>131</v>
      </c>
      <c r="L915" s="35" t="s">
        <v>132</v>
      </c>
      <c r="M915" s="35" t="s">
        <v>12301</v>
      </c>
      <c r="N915" s="35"/>
      <c r="O915" s="3"/>
    </row>
    <row r="916">
      <c r="A916" s="35" t="s">
        <v>12303</v>
      </c>
      <c r="B916" s="39">
        <v>46066.439155092594</v>
      </c>
      <c r="C916" s="35" t="s">
        <v>9488</v>
      </c>
      <c r="D916" s="40" t="s">
        <v>9489</v>
      </c>
      <c r="E916" s="35" t="s">
        <v>12200</v>
      </c>
      <c r="F916" s="40" t="s">
        <v>7082</v>
      </c>
      <c r="G916" s="35" t="s">
        <v>12205</v>
      </c>
      <c r="H916" s="35" t="s">
        <v>12206</v>
      </c>
      <c r="I916" s="35" t="s">
        <v>12202</v>
      </c>
      <c r="J916" s="35" t="s">
        <v>12304</v>
      </c>
      <c r="K916" s="35" t="s">
        <v>6691</v>
      </c>
      <c r="L916" s="35" t="s">
        <v>590</v>
      </c>
      <c r="M916" s="35" t="s">
        <v>12179</v>
      </c>
      <c r="N916" s="35"/>
      <c r="O916" s="3"/>
    </row>
    <row r="917">
      <c r="A917" s="35" t="s">
        <v>12305</v>
      </c>
      <c r="B917" s="39">
        <v>46066.439664351856</v>
      </c>
      <c r="C917" s="35" t="s">
        <v>9488</v>
      </c>
      <c r="D917" s="40" t="s">
        <v>9489</v>
      </c>
      <c r="E917" s="35" t="s">
        <v>12200</v>
      </c>
      <c r="F917" s="40" t="s">
        <v>7082</v>
      </c>
      <c r="G917" s="35" t="s">
        <v>12205</v>
      </c>
      <c r="H917" s="35" t="s">
        <v>12206</v>
      </c>
      <c r="I917" s="35" t="s">
        <v>12202</v>
      </c>
      <c r="J917" s="35" t="s">
        <v>12306</v>
      </c>
      <c r="K917" s="35" t="s">
        <v>6691</v>
      </c>
      <c r="L917" s="35" t="s">
        <v>590</v>
      </c>
      <c r="M917" s="35" t="s">
        <v>12179</v>
      </c>
      <c r="N917" s="35"/>
      <c r="O917" s="3"/>
    </row>
    <row r="918">
      <c r="A918" s="35" t="s">
        <v>12307</v>
      </c>
      <c r="B918" s="39">
        <v>46066.457233796296</v>
      </c>
      <c r="C918" s="35" t="s">
        <v>9487</v>
      </c>
      <c r="D918" s="40" t="s">
        <v>7081</v>
      </c>
      <c r="E918" s="35" t="s">
        <v>9488</v>
      </c>
      <c r="F918" s="40" t="s">
        <v>9489</v>
      </c>
      <c r="G918" s="35"/>
      <c r="H918" s="35"/>
      <c r="I918" s="35" t="s">
        <v>11983</v>
      </c>
      <c r="J918" s="35" t="s">
        <v>12308</v>
      </c>
      <c r="K918" s="35" t="s">
        <v>119</v>
      </c>
      <c r="L918" s="35" t="s">
        <v>251</v>
      </c>
      <c r="M918" s="35" t="s">
        <v>11439</v>
      </c>
      <c r="N918" s="35"/>
      <c r="O918" s="3"/>
    </row>
    <row r="919">
      <c r="A919" s="35" t="s">
        <v>12309</v>
      </c>
      <c r="B919" s="39">
        <v>46066.45482638889</v>
      </c>
      <c r="C919" s="35" t="s">
        <v>11545</v>
      </c>
      <c r="D919" s="40" t="s">
        <v>9489</v>
      </c>
      <c r="E919" s="35" t="s">
        <v>7288</v>
      </c>
      <c r="F919" s="40" t="s">
        <v>9489</v>
      </c>
      <c r="G919" s="35" t="s">
        <v>12163</v>
      </c>
      <c r="H919" s="35" t="s">
        <v>9987</v>
      </c>
      <c r="I919" s="35" t="s">
        <v>11930</v>
      </c>
      <c r="J919" s="35" t="s">
        <v>12063</v>
      </c>
      <c r="K919" s="35" t="s">
        <v>163</v>
      </c>
      <c r="L919" s="35" t="s">
        <v>430</v>
      </c>
      <c r="M919" s="35" t="s">
        <v>11842</v>
      </c>
      <c r="N919" s="35"/>
      <c r="O919" s="3"/>
    </row>
    <row r="920">
      <c r="A920" s="35" t="s">
        <v>12310</v>
      </c>
      <c r="B920" s="39">
        <v>46066.46151620371</v>
      </c>
      <c r="C920" s="35" t="s">
        <v>9488</v>
      </c>
      <c r="D920" s="40" t="s">
        <v>9489</v>
      </c>
      <c r="E920" s="35" t="s">
        <v>9487</v>
      </c>
      <c r="F920" s="40" t="s">
        <v>7081</v>
      </c>
      <c r="G920" s="35"/>
      <c r="H920" s="35"/>
      <c r="I920" s="35" t="s">
        <v>11442</v>
      </c>
      <c r="J920" s="35" t="s">
        <v>12311</v>
      </c>
      <c r="K920" s="35" t="s">
        <v>119</v>
      </c>
      <c r="L920" s="35" t="s">
        <v>251</v>
      </c>
      <c r="M920" s="35" t="s">
        <v>11439</v>
      </c>
      <c r="N920" s="35"/>
      <c r="O920" s="3"/>
    </row>
    <row r="921">
      <c r="A921" s="35" t="s">
        <v>12312</v>
      </c>
      <c r="B921" s="39">
        <v>46066.504699074074</v>
      </c>
      <c r="C921" s="35" t="s">
        <v>12313</v>
      </c>
      <c r="D921" s="40" t="s">
        <v>9489</v>
      </c>
      <c r="E921" s="35" t="s">
        <v>12314</v>
      </c>
      <c r="F921" s="40" t="s">
        <v>7079</v>
      </c>
      <c r="G921" s="35" t="s">
        <v>12315</v>
      </c>
      <c r="H921" s="40" t="s">
        <v>9489</v>
      </c>
      <c r="I921" s="35" t="s">
        <v>12316</v>
      </c>
      <c r="J921" s="35" t="s">
        <v>12317</v>
      </c>
      <c r="K921" s="35" t="s">
        <v>6450</v>
      </c>
      <c r="L921" s="35" t="s">
        <v>552</v>
      </c>
      <c r="M921" s="35" t="s">
        <v>12312</v>
      </c>
      <c r="N921" s="35"/>
      <c r="O921" s="3"/>
    </row>
    <row r="922">
      <c r="A922" s="35" t="s">
        <v>12318</v>
      </c>
      <c r="B922" s="39">
        <v>46066.5375</v>
      </c>
      <c r="C922" s="35" t="s">
        <v>11453</v>
      </c>
      <c r="D922" s="40" t="s">
        <v>7090</v>
      </c>
      <c r="E922" s="35" t="s">
        <v>12319</v>
      </c>
      <c r="F922" s="35" t="s">
        <v>9843</v>
      </c>
      <c r="G922" s="35" t="s">
        <v>11147</v>
      </c>
      <c r="H922" s="40" t="s">
        <v>9489</v>
      </c>
      <c r="I922" s="35" t="s">
        <v>11908</v>
      </c>
      <c r="J922" s="35" t="s">
        <v>12320</v>
      </c>
      <c r="K922" s="35" t="s">
        <v>199</v>
      </c>
      <c r="L922" s="35" t="s">
        <v>272</v>
      </c>
      <c r="M922" s="35" t="s">
        <v>11901</v>
      </c>
      <c r="N922" s="35"/>
      <c r="O922" s="3"/>
    </row>
    <row r="923">
      <c r="A923" s="35" t="s">
        <v>12321</v>
      </c>
      <c r="B923" s="39">
        <v>46066.57612268519</v>
      </c>
      <c r="C923" s="35" t="s">
        <v>9974</v>
      </c>
      <c r="D923" s="40" t="s">
        <v>7095</v>
      </c>
      <c r="E923" s="35" t="s">
        <v>10770</v>
      </c>
      <c r="F923" s="40" t="s">
        <v>9489</v>
      </c>
      <c r="G923" s="35" t="s">
        <v>9488</v>
      </c>
      <c r="H923" s="40" t="s">
        <v>9489</v>
      </c>
      <c r="I923" s="35" t="s">
        <v>12322</v>
      </c>
      <c r="J923" s="35" t="s">
        <v>12323</v>
      </c>
      <c r="K923" s="35" t="s">
        <v>163</v>
      </c>
      <c r="L923" s="35" t="s">
        <v>430</v>
      </c>
      <c r="M923" s="35" t="s">
        <v>12171</v>
      </c>
      <c r="N923" s="35"/>
      <c r="O923" s="3"/>
    </row>
    <row r="924">
      <c r="A924" s="35" t="s">
        <v>12324</v>
      </c>
      <c r="B924" s="39">
        <v>46066.59664351852</v>
      </c>
      <c r="C924" s="35" t="s">
        <v>9974</v>
      </c>
      <c r="D924" s="40" t="s">
        <v>7095</v>
      </c>
      <c r="E924" s="35" t="s">
        <v>9488</v>
      </c>
      <c r="F924" s="40" t="s">
        <v>9489</v>
      </c>
      <c r="G924" s="35"/>
      <c r="H924" s="35"/>
      <c r="I924" s="35" t="s">
        <v>12325</v>
      </c>
      <c r="J924" s="35" t="s">
        <v>12326</v>
      </c>
      <c r="K924" s="35" t="s">
        <v>163</v>
      </c>
      <c r="L924" s="35" t="s">
        <v>430</v>
      </c>
      <c r="M924" s="35" t="s">
        <v>12324</v>
      </c>
      <c r="N924" s="35"/>
      <c r="O924" s="3"/>
    </row>
    <row r="925">
      <c r="A925" s="35" t="s">
        <v>12327</v>
      </c>
      <c r="B925" s="39">
        <v>46066.61642361111</v>
      </c>
      <c r="C925" s="35" t="s">
        <v>9488</v>
      </c>
      <c r="D925" s="40" t="s">
        <v>9489</v>
      </c>
      <c r="E925" s="35" t="s">
        <v>9974</v>
      </c>
      <c r="F925" s="40" t="s">
        <v>7095</v>
      </c>
      <c r="G925" s="35"/>
      <c r="H925" s="35"/>
      <c r="I925" s="35" t="s">
        <v>12328</v>
      </c>
      <c r="J925" s="35" t="s">
        <v>12329</v>
      </c>
      <c r="K925" s="35" t="s">
        <v>163</v>
      </c>
      <c r="L925" s="35" t="s">
        <v>430</v>
      </c>
      <c r="M925" s="35" t="s">
        <v>12324</v>
      </c>
      <c r="N925" s="35"/>
      <c r="O925" s="3"/>
    </row>
    <row r="926">
      <c r="A926" s="35" t="s">
        <v>12330</v>
      </c>
      <c r="B926" s="39">
        <v>46066.62777777778</v>
      </c>
      <c r="C926" s="35" t="s">
        <v>9488</v>
      </c>
      <c r="D926" s="40" t="s">
        <v>9489</v>
      </c>
      <c r="E926" s="35" t="s">
        <v>9974</v>
      </c>
      <c r="F926" s="40" t="s">
        <v>7095</v>
      </c>
      <c r="G926" s="35"/>
      <c r="H926" s="35"/>
      <c r="I926" s="35" t="s">
        <v>12328</v>
      </c>
      <c r="J926" s="35" t="s">
        <v>12331</v>
      </c>
      <c r="K926" s="35" t="s">
        <v>163</v>
      </c>
      <c r="L926" s="35" t="s">
        <v>430</v>
      </c>
      <c r="M926" s="35" t="s">
        <v>12324</v>
      </c>
      <c r="N926" s="35"/>
      <c r="O926" s="3"/>
    </row>
    <row r="927">
      <c r="A927" s="35" t="s">
        <v>12332</v>
      </c>
      <c r="B927" s="39">
        <v>46068.659583333334</v>
      </c>
      <c r="C927" s="35" t="s">
        <v>11508</v>
      </c>
      <c r="D927" s="40" t="s">
        <v>7118</v>
      </c>
      <c r="E927" s="35" t="s">
        <v>9627</v>
      </c>
      <c r="F927" s="40" t="s">
        <v>9489</v>
      </c>
      <c r="G927" s="35" t="s">
        <v>7288</v>
      </c>
      <c r="H927" s="40" t="s">
        <v>9489</v>
      </c>
      <c r="I927" s="35" t="s">
        <v>11542</v>
      </c>
      <c r="J927" s="35" t="s">
        <v>12333</v>
      </c>
      <c r="K927" s="35" t="s">
        <v>160</v>
      </c>
      <c r="L927" s="35" t="s">
        <v>440</v>
      </c>
      <c r="M927" s="35" t="s">
        <v>11507</v>
      </c>
      <c r="N927" s="35"/>
      <c r="O927" s="3"/>
    </row>
    <row r="928">
      <c r="A928" s="35" t="s">
        <v>12334</v>
      </c>
      <c r="B928" s="39">
        <v>46069.51601851852</v>
      </c>
      <c r="C928" s="35" t="s">
        <v>9860</v>
      </c>
      <c r="D928" s="40" t="s">
        <v>7089</v>
      </c>
      <c r="E928" s="35" t="s">
        <v>9488</v>
      </c>
      <c r="F928" s="40" t="s">
        <v>9489</v>
      </c>
      <c r="G928" s="35"/>
      <c r="H928" s="35"/>
      <c r="I928" s="35" t="s">
        <v>12335</v>
      </c>
      <c r="J928" s="35" t="s">
        <v>9882</v>
      </c>
      <c r="K928" s="35" t="s">
        <v>142</v>
      </c>
      <c r="L928" s="35" t="s">
        <v>143</v>
      </c>
      <c r="M928" s="35" t="s">
        <v>12334</v>
      </c>
      <c r="N928" s="35"/>
      <c r="O928" s="3"/>
    </row>
    <row r="929">
      <c r="A929" s="35" t="s">
        <v>12336</v>
      </c>
      <c r="B929" s="39">
        <v>46069.522569444445</v>
      </c>
      <c r="C929" s="35" t="s">
        <v>9488</v>
      </c>
      <c r="D929" s="40" t="s">
        <v>9489</v>
      </c>
      <c r="E929" s="35" t="s">
        <v>10454</v>
      </c>
      <c r="F929" s="40" t="s">
        <v>7109</v>
      </c>
      <c r="G929" s="35"/>
      <c r="H929" s="35"/>
      <c r="I929" s="35" t="s">
        <v>12337</v>
      </c>
      <c r="J929" s="35" t="s">
        <v>12338</v>
      </c>
      <c r="K929" s="35" t="s">
        <v>131</v>
      </c>
      <c r="L929" s="35" t="s">
        <v>132</v>
      </c>
      <c r="M929" s="35" t="s">
        <v>12339</v>
      </c>
      <c r="N929" s="35"/>
      <c r="O929" s="3"/>
    </row>
    <row r="930">
      <c r="A930" s="35" t="s">
        <v>12340</v>
      </c>
      <c r="B930" s="39">
        <v>46069.52630787037</v>
      </c>
      <c r="C930" s="35" t="s">
        <v>9488</v>
      </c>
      <c r="D930" s="40" t="s">
        <v>9489</v>
      </c>
      <c r="E930" s="35" t="s">
        <v>9763</v>
      </c>
      <c r="F930" s="40" t="s">
        <v>7086</v>
      </c>
      <c r="G930" s="35" t="s">
        <v>12190</v>
      </c>
      <c r="H930" s="40" t="s">
        <v>7086</v>
      </c>
      <c r="I930" s="35" t="s">
        <v>12160</v>
      </c>
      <c r="J930" s="35" t="s">
        <v>12341</v>
      </c>
      <c r="K930" s="35" t="s">
        <v>208</v>
      </c>
      <c r="L930" s="35" t="s">
        <v>209</v>
      </c>
      <c r="M930" s="35" t="s">
        <v>11978</v>
      </c>
      <c r="N930" s="35"/>
      <c r="O930" s="3"/>
    </row>
    <row r="931">
      <c r="A931" s="35" t="s">
        <v>12342</v>
      </c>
      <c r="B931" s="39">
        <v>46069.524513888886</v>
      </c>
      <c r="C931" s="35" t="s">
        <v>10480</v>
      </c>
      <c r="D931" s="40" t="s">
        <v>7109</v>
      </c>
      <c r="E931" s="35" t="s">
        <v>7288</v>
      </c>
      <c r="F931" s="40" t="s">
        <v>9489</v>
      </c>
      <c r="G931" s="35"/>
      <c r="H931" s="35"/>
      <c r="I931" s="35" t="s">
        <v>12343</v>
      </c>
      <c r="J931" s="35" t="s">
        <v>11994</v>
      </c>
      <c r="K931" s="35" t="s">
        <v>131</v>
      </c>
      <c r="L931" s="35" t="s">
        <v>132</v>
      </c>
      <c r="M931" s="35" t="s">
        <v>12342</v>
      </c>
      <c r="N931" s="35"/>
      <c r="O931" s="3"/>
    </row>
    <row r="932">
      <c r="A932" s="35" t="s">
        <v>12344</v>
      </c>
      <c r="B932" s="39">
        <v>46069.523506944446</v>
      </c>
      <c r="C932" s="35" t="s">
        <v>9488</v>
      </c>
      <c r="D932" s="40" t="s">
        <v>9489</v>
      </c>
      <c r="E932" s="35" t="s">
        <v>10454</v>
      </c>
      <c r="F932" s="40" t="s">
        <v>7109</v>
      </c>
      <c r="G932" s="35"/>
      <c r="H932" s="35"/>
      <c r="I932" s="35" t="s">
        <v>12337</v>
      </c>
      <c r="J932" s="35" t="s">
        <v>12345</v>
      </c>
      <c r="K932" s="35" t="s">
        <v>131</v>
      </c>
      <c r="L932" s="35" t="s">
        <v>132</v>
      </c>
      <c r="M932" s="35" t="s">
        <v>12339</v>
      </c>
      <c r="N932" s="35"/>
      <c r="O932" s="3"/>
    </row>
    <row r="933">
      <c r="A933" s="35" t="s">
        <v>12346</v>
      </c>
      <c r="B933" s="39">
        <v>46069.524259259255</v>
      </c>
      <c r="C933" s="35" t="s">
        <v>9488</v>
      </c>
      <c r="D933" s="40" t="s">
        <v>9489</v>
      </c>
      <c r="E933" s="35" t="s">
        <v>10480</v>
      </c>
      <c r="F933" s="40" t="s">
        <v>7109</v>
      </c>
      <c r="G933" s="35" t="s">
        <v>10454</v>
      </c>
      <c r="H933" s="40" t="s">
        <v>7109</v>
      </c>
      <c r="I933" s="35" t="s">
        <v>12347</v>
      </c>
      <c r="J933" s="35" t="s">
        <v>12348</v>
      </c>
      <c r="K933" s="35" t="s">
        <v>131</v>
      </c>
      <c r="L933" s="35" t="s">
        <v>132</v>
      </c>
      <c r="M933" s="35" t="s">
        <v>12339</v>
      </c>
      <c r="N933" s="35"/>
      <c r="O933" s="3"/>
    </row>
    <row r="934">
      <c r="A934" s="35" t="s">
        <v>12349</v>
      </c>
      <c r="B934" s="39">
        <v>46069.58876157408</v>
      </c>
      <c r="C934" s="35" t="s">
        <v>11726</v>
      </c>
      <c r="D934" s="40" t="s">
        <v>7086</v>
      </c>
      <c r="E934" s="35" t="s">
        <v>9488</v>
      </c>
      <c r="F934" s="40" t="s">
        <v>9489</v>
      </c>
      <c r="G934" s="35"/>
      <c r="H934" s="35"/>
      <c r="I934" s="35" t="s">
        <v>11727</v>
      </c>
      <c r="J934" s="35" t="s">
        <v>11728</v>
      </c>
      <c r="K934" s="35" t="s">
        <v>208</v>
      </c>
      <c r="L934" s="35" t="s">
        <v>209</v>
      </c>
      <c r="M934" s="35" t="s">
        <v>12349</v>
      </c>
      <c r="N934" s="35"/>
      <c r="O934" s="3"/>
    </row>
    <row r="935">
      <c r="A935" s="35" t="s">
        <v>12350</v>
      </c>
      <c r="B935" s="39">
        <v>46069.61702546296</v>
      </c>
      <c r="C935" s="35" t="s">
        <v>9488</v>
      </c>
      <c r="D935" s="40" t="s">
        <v>9489</v>
      </c>
      <c r="E935" s="35" t="s">
        <v>11508</v>
      </c>
      <c r="F935" s="40" t="s">
        <v>7118</v>
      </c>
      <c r="G935" s="35" t="s">
        <v>9627</v>
      </c>
      <c r="H935" s="40" t="s">
        <v>9489</v>
      </c>
      <c r="I935" s="35" t="s">
        <v>11542</v>
      </c>
      <c r="J935" s="35" t="s">
        <v>12351</v>
      </c>
      <c r="K935" s="35" t="s">
        <v>160</v>
      </c>
      <c r="L935" s="35" t="s">
        <v>440</v>
      </c>
      <c r="M935" s="35" t="s">
        <v>11507</v>
      </c>
      <c r="N935" s="35"/>
      <c r="O935" s="3"/>
    </row>
    <row r="936">
      <c r="A936" s="35" t="s">
        <v>12352</v>
      </c>
      <c r="B936" s="39">
        <v>46069.641284722224</v>
      </c>
      <c r="C936" s="35" t="s">
        <v>12353</v>
      </c>
      <c r="D936" s="40" t="s">
        <v>7089</v>
      </c>
      <c r="E936" s="35" t="s">
        <v>7288</v>
      </c>
      <c r="F936" s="40" t="s">
        <v>9489</v>
      </c>
      <c r="G936" s="35"/>
      <c r="H936" s="35"/>
      <c r="I936" s="35" t="s">
        <v>12354</v>
      </c>
      <c r="J936" s="35" t="s">
        <v>12355</v>
      </c>
      <c r="K936" s="35" t="s">
        <v>142</v>
      </c>
      <c r="L936" s="35" t="s">
        <v>143</v>
      </c>
      <c r="M936" s="35" t="s">
        <v>12352</v>
      </c>
      <c r="N936" s="35"/>
      <c r="O936" s="3"/>
    </row>
    <row r="937">
      <c r="A937" s="35" t="s">
        <v>12356</v>
      </c>
      <c r="B937" s="39">
        <v>46069.64134259259</v>
      </c>
      <c r="C937" s="35" t="s">
        <v>12353</v>
      </c>
      <c r="D937" s="40" t="s">
        <v>7089</v>
      </c>
      <c r="E937" s="35" t="s">
        <v>7288</v>
      </c>
      <c r="F937" s="40" t="s">
        <v>9489</v>
      </c>
      <c r="G937" s="35"/>
      <c r="H937" s="35"/>
      <c r="I937" s="35" t="s">
        <v>12354</v>
      </c>
      <c r="J937" s="35" t="s">
        <v>12355</v>
      </c>
      <c r="K937" s="35" t="s">
        <v>142</v>
      </c>
      <c r="L937" s="35" t="s">
        <v>143</v>
      </c>
      <c r="M937" s="35" t="s">
        <v>12352</v>
      </c>
      <c r="N937" s="35"/>
      <c r="O937" s="3"/>
    </row>
    <row r="938">
      <c r="A938" s="35" t="s">
        <v>12357</v>
      </c>
      <c r="B938" s="39">
        <v>46069.67409722222</v>
      </c>
      <c r="C938" s="35" t="s">
        <v>11508</v>
      </c>
      <c r="D938" s="40" t="s">
        <v>7118</v>
      </c>
      <c r="E938" s="35" t="s">
        <v>9488</v>
      </c>
      <c r="F938" s="40" t="s">
        <v>9489</v>
      </c>
      <c r="G938" s="35" t="s">
        <v>9627</v>
      </c>
      <c r="H938" s="40" t="s">
        <v>9489</v>
      </c>
      <c r="I938" s="35" t="s">
        <v>11542</v>
      </c>
      <c r="J938" s="35" t="s">
        <v>12358</v>
      </c>
      <c r="K938" s="35" t="s">
        <v>160</v>
      </c>
      <c r="L938" s="35" t="s">
        <v>440</v>
      </c>
      <c r="M938" s="35" t="s">
        <v>11507</v>
      </c>
      <c r="N938" s="35"/>
      <c r="O938" s="3"/>
    </row>
    <row r="939">
      <c r="A939" s="35" t="s">
        <v>12359</v>
      </c>
      <c r="B939" s="39">
        <v>46069.80305555556</v>
      </c>
      <c r="C939" s="35" t="s">
        <v>9488</v>
      </c>
      <c r="D939" s="40" t="s">
        <v>9489</v>
      </c>
      <c r="E939" s="35" t="s">
        <v>11508</v>
      </c>
      <c r="F939" s="40" t="s">
        <v>7118</v>
      </c>
      <c r="G939" s="35" t="s">
        <v>9627</v>
      </c>
      <c r="H939" s="40" t="s">
        <v>9489</v>
      </c>
      <c r="I939" s="35" t="s">
        <v>11542</v>
      </c>
      <c r="J939" s="35" t="s">
        <v>12360</v>
      </c>
      <c r="K939" s="35" t="s">
        <v>160</v>
      </c>
      <c r="L939" s="35" t="s">
        <v>440</v>
      </c>
      <c r="M939" s="35" t="s">
        <v>11507</v>
      </c>
      <c r="N939" s="35"/>
      <c r="O939" s="3"/>
    </row>
    <row r="940">
      <c r="A940" s="35" t="s">
        <v>12361</v>
      </c>
      <c r="B940" s="39">
        <v>46070.28322916667</v>
      </c>
      <c r="C940" s="35" t="s">
        <v>10480</v>
      </c>
      <c r="D940" s="40" t="s">
        <v>7109</v>
      </c>
      <c r="E940" s="35" t="s">
        <v>9488</v>
      </c>
      <c r="F940" s="40" t="s">
        <v>9489</v>
      </c>
      <c r="G940" s="35" t="s">
        <v>10454</v>
      </c>
      <c r="H940" s="40" t="s">
        <v>7109</v>
      </c>
      <c r="I940" s="35" t="s">
        <v>12362</v>
      </c>
      <c r="J940" s="35" t="s">
        <v>12363</v>
      </c>
      <c r="K940" s="35" t="s">
        <v>131</v>
      </c>
      <c r="L940" s="35" t="s">
        <v>132</v>
      </c>
      <c r="M940" s="35" t="s">
        <v>12339</v>
      </c>
      <c r="N940" s="35"/>
      <c r="O940" s="3"/>
    </row>
    <row r="941">
      <c r="A941" s="35" t="s">
        <v>12364</v>
      </c>
      <c r="B941" s="39">
        <v>46070.322962962964</v>
      </c>
      <c r="C941" s="35" t="s">
        <v>11453</v>
      </c>
      <c r="D941" s="40" t="s">
        <v>7090</v>
      </c>
      <c r="E941" s="35" t="s">
        <v>12319</v>
      </c>
      <c r="F941" s="35" t="s">
        <v>9843</v>
      </c>
      <c r="G941" s="35" t="s">
        <v>11147</v>
      </c>
      <c r="H941" s="40" t="s">
        <v>9489</v>
      </c>
      <c r="I941" s="35" t="s">
        <v>11908</v>
      </c>
      <c r="J941" s="35" t="s">
        <v>12365</v>
      </c>
      <c r="K941" s="35" t="s">
        <v>199</v>
      </c>
      <c r="L941" s="35" t="s">
        <v>272</v>
      </c>
      <c r="M941" s="35" t="s">
        <v>11901</v>
      </c>
      <c r="N941" s="35"/>
      <c r="O941" s="3"/>
    </row>
    <row r="942">
      <c r="A942" s="35" t="s">
        <v>12366</v>
      </c>
      <c r="B942" s="39">
        <v>46070.42892361111</v>
      </c>
      <c r="C942" s="35" t="s">
        <v>9488</v>
      </c>
      <c r="D942" s="40" t="s">
        <v>9489</v>
      </c>
      <c r="E942" s="35" t="s">
        <v>10480</v>
      </c>
      <c r="F942" s="40" t="s">
        <v>7109</v>
      </c>
      <c r="G942" s="35" t="s">
        <v>10454</v>
      </c>
      <c r="H942" s="40" t="s">
        <v>7109</v>
      </c>
      <c r="I942" s="35" t="s">
        <v>12362</v>
      </c>
      <c r="J942" s="35" t="s">
        <v>12367</v>
      </c>
      <c r="K942" s="35" t="s">
        <v>131</v>
      </c>
      <c r="L942" s="35" t="s">
        <v>132</v>
      </c>
      <c r="M942" s="35" t="s">
        <v>12339</v>
      </c>
      <c r="N942" s="35"/>
      <c r="O942" s="3"/>
    </row>
    <row r="943">
      <c r="A943" s="35" t="s">
        <v>12368</v>
      </c>
      <c r="B943" s="39">
        <v>46070.47431712963</v>
      </c>
      <c r="C943" s="35" t="s">
        <v>11108</v>
      </c>
      <c r="D943" s="40" t="s">
        <v>7111</v>
      </c>
      <c r="E943" s="35" t="s">
        <v>9488</v>
      </c>
      <c r="F943" s="40" t="s">
        <v>9489</v>
      </c>
      <c r="G943" s="35" t="s">
        <v>9556</v>
      </c>
      <c r="H943" s="40" t="s">
        <v>9489</v>
      </c>
      <c r="I943" s="35" t="s">
        <v>11214</v>
      </c>
      <c r="J943" s="35" t="s">
        <v>12369</v>
      </c>
      <c r="K943" s="35" t="s">
        <v>184</v>
      </c>
      <c r="L943" s="35" t="s">
        <v>478</v>
      </c>
      <c r="M943" s="35" t="s">
        <v>12368</v>
      </c>
      <c r="N943" s="35"/>
      <c r="O943" s="3"/>
    </row>
    <row r="944">
      <c r="A944" s="35" t="s">
        <v>12370</v>
      </c>
      <c r="B944" s="39">
        <v>46070.48049768519</v>
      </c>
      <c r="C944" s="35" t="s">
        <v>9488</v>
      </c>
      <c r="D944" s="40" t="s">
        <v>9489</v>
      </c>
      <c r="E944" s="35" t="s">
        <v>11108</v>
      </c>
      <c r="F944" s="40" t="s">
        <v>7111</v>
      </c>
      <c r="G944" s="35" t="s">
        <v>9556</v>
      </c>
      <c r="H944" s="40" t="s">
        <v>9489</v>
      </c>
      <c r="I944" s="35" t="s">
        <v>11869</v>
      </c>
      <c r="J944" s="35" t="s">
        <v>12371</v>
      </c>
      <c r="K944" s="35" t="s">
        <v>184</v>
      </c>
      <c r="L944" s="35" t="s">
        <v>478</v>
      </c>
      <c r="M944" s="35" t="s">
        <v>12368</v>
      </c>
      <c r="N944" s="35"/>
      <c r="O944" s="3"/>
    </row>
    <row r="945">
      <c r="A945" s="35" t="s">
        <v>12372</v>
      </c>
      <c r="B945" s="39">
        <v>46070.48944444444</v>
      </c>
      <c r="C945" s="35" t="s">
        <v>11147</v>
      </c>
      <c r="D945" s="40" t="s">
        <v>9489</v>
      </c>
      <c r="E945" s="35" t="s">
        <v>11453</v>
      </c>
      <c r="F945" s="40" t="s">
        <v>7090</v>
      </c>
      <c r="G945" s="35" t="s">
        <v>12319</v>
      </c>
      <c r="H945" s="35" t="s">
        <v>9843</v>
      </c>
      <c r="I945" s="35" t="s">
        <v>11908</v>
      </c>
      <c r="J945" s="35" t="s">
        <v>12373</v>
      </c>
      <c r="K945" s="35" t="s">
        <v>199</v>
      </c>
      <c r="L945" s="35" t="s">
        <v>272</v>
      </c>
      <c r="M945" s="35" t="s">
        <v>11901</v>
      </c>
      <c r="N945" s="35"/>
      <c r="O945" s="3"/>
    </row>
    <row r="946">
      <c r="A946" s="35" t="s">
        <v>12374</v>
      </c>
      <c r="B946" s="39">
        <v>46070.481099537035</v>
      </c>
      <c r="C946" s="35" t="s">
        <v>11108</v>
      </c>
      <c r="D946" s="40" t="s">
        <v>7111</v>
      </c>
      <c r="E946" s="35" t="s">
        <v>9488</v>
      </c>
      <c r="F946" s="40" t="s">
        <v>9489</v>
      </c>
      <c r="G946" s="35" t="s">
        <v>9556</v>
      </c>
      <c r="H946" s="40" t="s">
        <v>9489</v>
      </c>
      <c r="I946" s="35" t="s">
        <v>11214</v>
      </c>
      <c r="J946" s="35" t="s">
        <v>12375</v>
      </c>
      <c r="K946" s="35" t="s">
        <v>184</v>
      </c>
      <c r="L946" s="35" t="s">
        <v>478</v>
      </c>
      <c r="M946" s="35" t="s">
        <v>12368</v>
      </c>
      <c r="N946" s="35"/>
      <c r="O946" s="3"/>
    </row>
    <row r="947">
      <c r="A947" s="35" t="s">
        <v>12376</v>
      </c>
      <c r="B947" s="39">
        <v>46070.49752314815</v>
      </c>
      <c r="C947" s="35" t="s">
        <v>10454</v>
      </c>
      <c r="D947" s="40" t="s">
        <v>7109</v>
      </c>
      <c r="E947" s="35" t="s">
        <v>9488</v>
      </c>
      <c r="F947" s="40" t="s">
        <v>9489</v>
      </c>
      <c r="G947" s="35" t="s">
        <v>10480</v>
      </c>
      <c r="H947" s="40" t="s">
        <v>7109</v>
      </c>
      <c r="I947" s="35" t="s">
        <v>12362</v>
      </c>
      <c r="J947" s="35" t="s">
        <v>12377</v>
      </c>
      <c r="K947" s="35" t="s">
        <v>131</v>
      </c>
      <c r="L947" s="35" t="s">
        <v>132</v>
      </c>
      <c r="M947" s="35" t="s">
        <v>12339</v>
      </c>
      <c r="N947" s="35"/>
      <c r="O947" s="3"/>
    </row>
    <row r="948">
      <c r="A948" s="35" t="s">
        <v>12378</v>
      </c>
      <c r="B948" s="39">
        <v>46070.501284722224</v>
      </c>
      <c r="C948" s="35" t="s">
        <v>9488</v>
      </c>
      <c r="D948" s="40" t="s">
        <v>9489</v>
      </c>
      <c r="E948" s="35" t="s">
        <v>10454</v>
      </c>
      <c r="F948" s="40" t="s">
        <v>7109</v>
      </c>
      <c r="G948" s="35" t="s">
        <v>10480</v>
      </c>
      <c r="H948" s="40" t="s">
        <v>7109</v>
      </c>
      <c r="I948" s="35" t="s">
        <v>12362</v>
      </c>
      <c r="J948" s="35" t="s">
        <v>12379</v>
      </c>
      <c r="K948" s="35" t="s">
        <v>131</v>
      </c>
      <c r="L948" s="35" t="s">
        <v>132</v>
      </c>
      <c r="M948" s="35" t="s">
        <v>12339</v>
      </c>
      <c r="N948" s="35"/>
      <c r="O948" s="3"/>
    </row>
    <row r="949">
      <c r="A949" s="35" t="s">
        <v>12380</v>
      </c>
      <c r="B949" s="39">
        <v>46070.51695601852</v>
      </c>
      <c r="C949" s="35" t="s">
        <v>9487</v>
      </c>
      <c r="D949" s="40" t="s">
        <v>7081</v>
      </c>
      <c r="E949" s="35" t="s">
        <v>9488</v>
      </c>
      <c r="F949" s="40" t="s">
        <v>9489</v>
      </c>
      <c r="G949" s="35"/>
      <c r="H949" s="35"/>
      <c r="I949" s="35" t="s">
        <v>12040</v>
      </c>
      <c r="J949" s="35" t="s">
        <v>12381</v>
      </c>
      <c r="K949" s="35" t="s">
        <v>119</v>
      </c>
      <c r="L949" s="35" t="s">
        <v>251</v>
      </c>
      <c r="M949" s="35" t="s">
        <v>11439</v>
      </c>
      <c r="N949" s="35"/>
      <c r="O949" s="3"/>
    </row>
    <row r="950">
      <c r="A950" s="35" t="s">
        <v>12382</v>
      </c>
      <c r="B950" s="39">
        <v>46070.51451388889</v>
      </c>
      <c r="C950" s="35" t="s">
        <v>11453</v>
      </c>
      <c r="D950" s="40" t="s">
        <v>7090</v>
      </c>
      <c r="E950" s="35" t="s">
        <v>11147</v>
      </c>
      <c r="F950" s="40" t="s">
        <v>9489</v>
      </c>
      <c r="G950" s="35" t="s">
        <v>12319</v>
      </c>
      <c r="H950" s="35" t="s">
        <v>9843</v>
      </c>
      <c r="I950" s="35" t="s">
        <v>11908</v>
      </c>
      <c r="J950" s="35" t="s">
        <v>12383</v>
      </c>
      <c r="K950" s="35" t="s">
        <v>199</v>
      </c>
      <c r="L950" s="35" t="s">
        <v>272</v>
      </c>
      <c r="M950" s="35" t="s">
        <v>11901</v>
      </c>
      <c r="N950" s="35"/>
      <c r="O950" s="3"/>
    </row>
    <row r="951">
      <c r="A951" s="35" t="s">
        <v>12384</v>
      </c>
      <c r="B951" s="39">
        <v>46070.56855324074</v>
      </c>
      <c r="C951" s="35" t="s">
        <v>11147</v>
      </c>
      <c r="D951" s="40" t="s">
        <v>9489</v>
      </c>
      <c r="E951" s="35" t="s">
        <v>11453</v>
      </c>
      <c r="F951" s="40" t="s">
        <v>7090</v>
      </c>
      <c r="G951" s="35" t="s">
        <v>12319</v>
      </c>
      <c r="H951" s="35" t="s">
        <v>9843</v>
      </c>
      <c r="I951" s="35" t="s">
        <v>11908</v>
      </c>
      <c r="J951" s="35" t="s">
        <v>12385</v>
      </c>
      <c r="K951" s="35" t="s">
        <v>199</v>
      </c>
      <c r="L951" s="35" t="s">
        <v>272</v>
      </c>
      <c r="M951" s="35" t="s">
        <v>11901</v>
      </c>
      <c r="N951" s="35"/>
      <c r="O951" s="3"/>
    </row>
    <row r="952">
      <c r="A952" s="35" t="s">
        <v>12386</v>
      </c>
      <c r="B952" s="39">
        <v>46070.630520833336</v>
      </c>
      <c r="C952" s="35" t="s">
        <v>9860</v>
      </c>
      <c r="D952" s="40" t="s">
        <v>7089</v>
      </c>
      <c r="E952" s="35" t="s">
        <v>12387</v>
      </c>
      <c r="F952" s="35" t="s">
        <v>12388</v>
      </c>
      <c r="G952" s="35"/>
      <c r="H952" s="35"/>
      <c r="I952" s="35" t="s">
        <v>12389</v>
      </c>
      <c r="J952" s="35" t="s">
        <v>12390</v>
      </c>
      <c r="K952" s="35" t="s">
        <v>142</v>
      </c>
      <c r="L952" s="35" t="s">
        <v>143</v>
      </c>
      <c r="M952" s="35" t="s">
        <v>12386</v>
      </c>
      <c r="N952" s="35"/>
      <c r="O952" s="3"/>
    </row>
    <row r="953">
      <c r="A953" s="35" t="s">
        <v>12391</v>
      </c>
      <c r="B953" s="39">
        <v>46070.6453125</v>
      </c>
      <c r="C953" s="35" t="s">
        <v>9488</v>
      </c>
      <c r="D953" s="40" t="s">
        <v>9489</v>
      </c>
      <c r="E953" s="35" t="s">
        <v>9860</v>
      </c>
      <c r="F953" s="40" t="s">
        <v>7089</v>
      </c>
      <c r="G953" s="35" t="s">
        <v>12392</v>
      </c>
      <c r="H953" s="35" t="s">
        <v>12393</v>
      </c>
      <c r="I953" s="35" t="s">
        <v>12394</v>
      </c>
      <c r="J953" s="35" t="s">
        <v>12395</v>
      </c>
      <c r="K953" s="35" t="s">
        <v>142</v>
      </c>
      <c r="L953" s="35" t="s">
        <v>143</v>
      </c>
      <c r="M953" s="35" t="s">
        <v>12386</v>
      </c>
      <c r="N953" s="35"/>
      <c r="O953" s="3"/>
    </row>
    <row r="954">
      <c r="A954" s="35" t="s">
        <v>12396</v>
      </c>
      <c r="B954" s="39">
        <v>46071.291134259256</v>
      </c>
      <c r="C954" s="35" t="s">
        <v>11453</v>
      </c>
      <c r="D954" s="40" t="s">
        <v>7090</v>
      </c>
      <c r="E954" s="35" t="s">
        <v>11147</v>
      </c>
      <c r="F954" s="40" t="s">
        <v>9489</v>
      </c>
      <c r="G954" s="35" t="s">
        <v>12319</v>
      </c>
      <c r="H954" s="35" t="s">
        <v>9843</v>
      </c>
      <c r="I954" s="35" t="s">
        <v>11908</v>
      </c>
      <c r="J954" s="35" t="s">
        <v>12397</v>
      </c>
      <c r="K954" s="35" t="s">
        <v>199</v>
      </c>
      <c r="L954" s="35" t="s">
        <v>272</v>
      </c>
      <c r="M954" s="35" t="s">
        <v>11901</v>
      </c>
      <c r="N954" s="35"/>
      <c r="O954" s="3"/>
    </row>
    <row r="955">
      <c r="A955" s="35" t="s">
        <v>12398</v>
      </c>
      <c r="B955" s="39">
        <v>46071.41337962963</v>
      </c>
      <c r="C955" s="35" t="s">
        <v>11108</v>
      </c>
      <c r="D955" s="40" t="s">
        <v>7111</v>
      </c>
      <c r="E955" s="35" t="s">
        <v>9488</v>
      </c>
      <c r="F955" s="40" t="s">
        <v>9489</v>
      </c>
      <c r="G955" s="35"/>
      <c r="H955" s="35"/>
      <c r="I955" s="35" t="s">
        <v>11214</v>
      </c>
      <c r="J955" s="35" t="s">
        <v>12399</v>
      </c>
      <c r="K955" s="35" t="s">
        <v>184</v>
      </c>
      <c r="L955" s="35" t="s">
        <v>478</v>
      </c>
      <c r="M955" s="35" t="s">
        <v>12368</v>
      </c>
      <c r="N955" s="35"/>
      <c r="O955" s="3"/>
    </row>
    <row r="956">
      <c r="A956" s="35" t="s">
        <v>12400</v>
      </c>
      <c r="B956" s="39">
        <v>46071.4384837963</v>
      </c>
      <c r="C956" s="35" t="s">
        <v>9488</v>
      </c>
      <c r="D956" s="40" t="s">
        <v>9489</v>
      </c>
      <c r="E956" s="35" t="s">
        <v>12401</v>
      </c>
      <c r="F956" s="40" t="s">
        <v>7089</v>
      </c>
      <c r="G956" s="35"/>
      <c r="H956" s="35"/>
      <c r="I956" s="35" t="s">
        <v>12402</v>
      </c>
      <c r="J956" s="35" t="s">
        <v>12403</v>
      </c>
      <c r="K956" s="35" t="s">
        <v>142</v>
      </c>
      <c r="L956" s="35" t="s">
        <v>143</v>
      </c>
      <c r="M956" s="35" t="s">
        <v>12404</v>
      </c>
      <c r="N956" s="35"/>
      <c r="O956" s="3"/>
    </row>
    <row r="957">
      <c r="A957" s="35" t="s">
        <v>12405</v>
      </c>
      <c r="B957" s="39">
        <v>46071.43675925926</v>
      </c>
      <c r="C957" s="35" t="s">
        <v>9488</v>
      </c>
      <c r="D957" s="40" t="s">
        <v>9489</v>
      </c>
      <c r="E957" s="35" t="s">
        <v>11108</v>
      </c>
      <c r="F957" s="40" t="s">
        <v>7111</v>
      </c>
      <c r="G957" s="35"/>
      <c r="H957" s="35"/>
      <c r="I957" s="35" t="s">
        <v>11869</v>
      </c>
      <c r="J957" s="35" t="s">
        <v>12406</v>
      </c>
      <c r="K957" s="35" t="s">
        <v>184</v>
      </c>
      <c r="L957" s="35" t="s">
        <v>478</v>
      </c>
      <c r="M957" s="35" t="s">
        <v>12368</v>
      </c>
      <c r="N957" s="35"/>
      <c r="O957" s="3"/>
    </row>
    <row r="958">
      <c r="A958" s="35" t="s">
        <v>12407</v>
      </c>
      <c r="B958" s="39">
        <v>46071.43920138889</v>
      </c>
      <c r="C958" s="35" t="s">
        <v>11108</v>
      </c>
      <c r="D958" s="40" t="s">
        <v>7111</v>
      </c>
      <c r="E958" s="35" t="s">
        <v>9488</v>
      </c>
      <c r="F958" s="40" t="s">
        <v>9489</v>
      </c>
      <c r="G958" s="35"/>
      <c r="H958" s="35"/>
      <c r="I958" s="35" t="s">
        <v>11214</v>
      </c>
      <c r="J958" s="35" t="s">
        <v>12408</v>
      </c>
      <c r="K958" s="35" t="s">
        <v>184</v>
      </c>
      <c r="L958" s="35" t="s">
        <v>478</v>
      </c>
      <c r="M958" s="35" t="s">
        <v>12368</v>
      </c>
      <c r="N958" s="35"/>
      <c r="O958" s="3"/>
    </row>
    <row r="959">
      <c r="A959" s="35" t="s">
        <v>12409</v>
      </c>
      <c r="B959" s="39">
        <v>46071.44553240741</v>
      </c>
      <c r="C959" s="35" t="s">
        <v>9488</v>
      </c>
      <c r="D959" s="40" t="s">
        <v>9489</v>
      </c>
      <c r="E959" s="35" t="s">
        <v>12401</v>
      </c>
      <c r="F959" s="40" t="s">
        <v>7089</v>
      </c>
      <c r="G959" s="35"/>
      <c r="H959" s="35"/>
      <c r="I959" s="35" t="s">
        <v>12402</v>
      </c>
      <c r="J959" s="35" t="s">
        <v>12410</v>
      </c>
      <c r="K959" s="35" t="s">
        <v>142</v>
      </c>
      <c r="L959" s="35" t="s">
        <v>143</v>
      </c>
      <c r="M959" s="35" t="s">
        <v>12404</v>
      </c>
      <c r="N959" s="35"/>
      <c r="O959" s="3"/>
    </row>
    <row r="960">
      <c r="A960" s="35" t="s">
        <v>12411</v>
      </c>
      <c r="B960" s="39">
        <v>46071.44729166667</v>
      </c>
      <c r="C960" s="35" t="s">
        <v>9488</v>
      </c>
      <c r="D960" s="40" t="s">
        <v>9489</v>
      </c>
      <c r="E960" s="35" t="s">
        <v>11108</v>
      </c>
      <c r="F960" s="40" t="s">
        <v>7111</v>
      </c>
      <c r="G960" s="35"/>
      <c r="H960" s="35"/>
      <c r="I960" s="35" t="s">
        <v>11869</v>
      </c>
      <c r="J960" s="35" t="s">
        <v>12412</v>
      </c>
      <c r="K960" s="35" t="s">
        <v>184</v>
      </c>
      <c r="L960" s="35" t="s">
        <v>478</v>
      </c>
      <c r="M960" s="35" t="s">
        <v>12368</v>
      </c>
      <c r="N960" s="35"/>
      <c r="O960" s="3"/>
    </row>
    <row r="961">
      <c r="A961" s="35" t="s">
        <v>12413</v>
      </c>
      <c r="B961" s="39">
        <v>46071.45363425926</v>
      </c>
      <c r="C961" s="35" t="s">
        <v>9860</v>
      </c>
      <c r="D961" s="40" t="s">
        <v>7089</v>
      </c>
      <c r="E961" s="35" t="s">
        <v>9488</v>
      </c>
      <c r="F961" s="40" t="s">
        <v>9489</v>
      </c>
      <c r="G961" s="35"/>
      <c r="H961" s="35"/>
      <c r="I961" s="35" t="s">
        <v>12414</v>
      </c>
      <c r="J961" s="35" t="s">
        <v>12415</v>
      </c>
      <c r="K961" s="35" t="s">
        <v>142</v>
      </c>
      <c r="L961" s="35" t="s">
        <v>143</v>
      </c>
      <c r="M961" s="35" t="s">
        <v>12404</v>
      </c>
      <c r="N961" s="35"/>
      <c r="O961" s="3"/>
    </row>
    <row r="962">
      <c r="A962" s="35" t="s">
        <v>12416</v>
      </c>
      <c r="B962" s="39">
        <v>46071.455775462964</v>
      </c>
      <c r="C962" s="35" t="s">
        <v>9488</v>
      </c>
      <c r="D962" s="40" t="s">
        <v>9489</v>
      </c>
      <c r="E962" s="35" t="s">
        <v>9860</v>
      </c>
      <c r="F962" s="40" t="s">
        <v>7089</v>
      </c>
      <c r="G962" s="35"/>
      <c r="H962" s="35"/>
      <c r="I962" s="35" t="s">
        <v>12414</v>
      </c>
      <c r="J962" s="35" t="s">
        <v>12417</v>
      </c>
      <c r="K962" s="35" t="s">
        <v>142</v>
      </c>
      <c r="L962" s="35" t="s">
        <v>143</v>
      </c>
      <c r="M962" s="35" t="s">
        <v>12404</v>
      </c>
      <c r="N962" s="35"/>
      <c r="O962" s="3"/>
    </row>
    <row r="963">
      <c r="A963" s="35" t="s">
        <v>12418</v>
      </c>
      <c r="B963" s="39">
        <v>46071.54184027778</v>
      </c>
      <c r="C963" s="35" t="s">
        <v>9487</v>
      </c>
      <c r="D963" s="40" t="s">
        <v>7081</v>
      </c>
      <c r="E963" s="35" t="s">
        <v>10280</v>
      </c>
      <c r="F963" s="40" t="s">
        <v>9489</v>
      </c>
      <c r="G963" s="35" t="s">
        <v>9534</v>
      </c>
      <c r="H963" s="40" t="s">
        <v>9489</v>
      </c>
      <c r="I963" s="35" t="s">
        <v>9548</v>
      </c>
      <c r="J963" s="35" t="s">
        <v>12419</v>
      </c>
      <c r="K963" s="35" t="s">
        <v>119</v>
      </c>
      <c r="L963" s="35" t="s">
        <v>251</v>
      </c>
      <c r="M963" s="35" t="s">
        <v>9537</v>
      </c>
      <c r="N963" s="35"/>
      <c r="O963" s="3"/>
    </row>
    <row r="964">
      <c r="A964" s="35" t="s">
        <v>12420</v>
      </c>
      <c r="B964" s="39">
        <v>46071.54641203704</v>
      </c>
      <c r="C964" s="35" t="s">
        <v>10280</v>
      </c>
      <c r="D964" s="40" t="s">
        <v>9489</v>
      </c>
      <c r="E964" s="35" t="s">
        <v>9487</v>
      </c>
      <c r="F964" s="40" t="s">
        <v>7081</v>
      </c>
      <c r="G964" s="35" t="s">
        <v>9534</v>
      </c>
      <c r="H964" s="40" t="s">
        <v>9489</v>
      </c>
      <c r="I964" s="35" t="s">
        <v>9551</v>
      </c>
      <c r="J964" s="35" t="s">
        <v>12421</v>
      </c>
      <c r="K964" s="35" t="s">
        <v>119</v>
      </c>
      <c r="L964" s="35" t="s">
        <v>251</v>
      </c>
      <c r="M964" s="35" t="s">
        <v>9537</v>
      </c>
      <c r="N964" s="35"/>
      <c r="O964" s="3"/>
    </row>
    <row r="965">
      <c r="A965" s="35" t="s">
        <v>12422</v>
      </c>
      <c r="B965" s="39">
        <v>46071.56144675926</v>
      </c>
      <c r="C965" s="35" t="s">
        <v>9488</v>
      </c>
      <c r="D965" s="40" t="s">
        <v>9489</v>
      </c>
      <c r="E965" s="35" t="s">
        <v>10280</v>
      </c>
      <c r="F965" s="40" t="s">
        <v>9489</v>
      </c>
      <c r="G965" s="35" t="s">
        <v>11786</v>
      </c>
      <c r="H965" s="35" t="s">
        <v>9561</v>
      </c>
      <c r="I965" s="35" t="s">
        <v>9551</v>
      </c>
      <c r="J965" s="35" t="s">
        <v>12423</v>
      </c>
      <c r="K965" s="35" t="s">
        <v>119</v>
      </c>
      <c r="L965" s="35" t="s">
        <v>251</v>
      </c>
      <c r="M965" s="35" t="s">
        <v>9537</v>
      </c>
      <c r="N965" s="35"/>
      <c r="O965" s="3"/>
    </row>
    <row r="966">
      <c r="A966" s="35" t="s">
        <v>12424</v>
      </c>
      <c r="B966" s="39">
        <v>46071.57576388889</v>
      </c>
      <c r="C966" s="35" t="s">
        <v>9487</v>
      </c>
      <c r="D966" s="40" t="s">
        <v>7081</v>
      </c>
      <c r="E966" s="35" t="s">
        <v>12425</v>
      </c>
      <c r="F966" s="40" t="s">
        <v>9489</v>
      </c>
      <c r="G966" s="35" t="s">
        <v>9496</v>
      </c>
      <c r="H966" s="40" t="s">
        <v>9489</v>
      </c>
      <c r="I966" s="35" t="s">
        <v>9548</v>
      </c>
      <c r="J966" s="35" t="s">
        <v>12426</v>
      </c>
      <c r="K966" s="35" t="s">
        <v>119</v>
      </c>
      <c r="L966" s="35" t="s">
        <v>251</v>
      </c>
      <c r="M966" s="35" t="s">
        <v>9537</v>
      </c>
      <c r="N966" s="35"/>
      <c r="O966" s="3"/>
    </row>
    <row r="967">
      <c r="A967" s="35" t="s">
        <v>12427</v>
      </c>
      <c r="B967" s="39">
        <v>46071.57871527778</v>
      </c>
      <c r="C967" s="35" t="s">
        <v>10280</v>
      </c>
      <c r="D967" s="40" t="s">
        <v>9489</v>
      </c>
      <c r="E967" s="35" t="s">
        <v>9487</v>
      </c>
      <c r="F967" s="40" t="s">
        <v>7081</v>
      </c>
      <c r="G967" s="35" t="s">
        <v>9534</v>
      </c>
      <c r="H967" s="40" t="s">
        <v>9489</v>
      </c>
      <c r="I967" s="35" t="s">
        <v>9551</v>
      </c>
      <c r="J967" s="35" t="s">
        <v>12428</v>
      </c>
      <c r="K967" s="35" t="s">
        <v>119</v>
      </c>
      <c r="L967" s="35" t="s">
        <v>251</v>
      </c>
      <c r="M967" s="35" t="s">
        <v>9537</v>
      </c>
      <c r="N967" s="35"/>
      <c r="O967" s="3"/>
    </row>
    <row r="968">
      <c r="A968" s="35" t="s">
        <v>12429</v>
      </c>
      <c r="B968" s="39">
        <v>46071.582916666666</v>
      </c>
      <c r="C968" s="35" t="s">
        <v>9488</v>
      </c>
      <c r="D968" s="40" t="s">
        <v>9489</v>
      </c>
      <c r="E968" s="35" t="s">
        <v>10280</v>
      </c>
      <c r="F968" s="40" t="s">
        <v>9489</v>
      </c>
      <c r="G968" s="35" t="s">
        <v>11786</v>
      </c>
      <c r="H968" s="35" t="s">
        <v>9561</v>
      </c>
      <c r="I968" s="35" t="s">
        <v>9551</v>
      </c>
      <c r="J968" s="35" t="s">
        <v>12430</v>
      </c>
      <c r="K968" s="35" t="s">
        <v>119</v>
      </c>
      <c r="L968" s="35" t="s">
        <v>251</v>
      </c>
      <c r="M968" s="35" t="s">
        <v>9537</v>
      </c>
      <c r="N968" s="35"/>
      <c r="O968" s="3"/>
    </row>
    <row r="969">
      <c r="A969" s="35" t="s">
        <v>12431</v>
      </c>
      <c r="B969" s="39">
        <v>46071.61230324074</v>
      </c>
      <c r="C969" s="35" t="s">
        <v>9487</v>
      </c>
      <c r="D969" s="40" t="s">
        <v>7081</v>
      </c>
      <c r="E969" s="35" t="s">
        <v>10280</v>
      </c>
      <c r="F969" s="40" t="s">
        <v>9489</v>
      </c>
      <c r="G969" s="35" t="s">
        <v>9534</v>
      </c>
      <c r="H969" s="40" t="s">
        <v>9489</v>
      </c>
      <c r="I969" s="35" t="s">
        <v>9548</v>
      </c>
      <c r="J969" s="35" t="s">
        <v>12432</v>
      </c>
      <c r="K969" s="35" t="s">
        <v>119</v>
      </c>
      <c r="L969" s="35" t="s">
        <v>251</v>
      </c>
      <c r="M969" s="35" t="s">
        <v>9537</v>
      </c>
      <c r="N969" s="35"/>
      <c r="O969" s="3"/>
    </row>
    <row r="970">
      <c r="A970" s="35" t="s">
        <v>12433</v>
      </c>
      <c r="B970" s="39">
        <v>46071.61342592593</v>
      </c>
      <c r="C970" s="35" t="s">
        <v>9487</v>
      </c>
      <c r="D970" s="40" t="s">
        <v>7081</v>
      </c>
      <c r="E970" s="35" t="s">
        <v>12425</v>
      </c>
      <c r="F970" s="40" t="s">
        <v>9489</v>
      </c>
      <c r="G970" s="35" t="s">
        <v>9496</v>
      </c>
      <c r="H970" s="40" t="s">
        <v>9489</v>
      </c>
      <c r="I970" s="35" t="s">
        <v>9548</v>
      </c>
      <c r="J970" s="35" t="s">
        <v>12434</v>
      </c>
      <c r="K970" s="35" t="s">
        <v>119</v>
      </c>
      <c r="L970" s="35" t="s">
        <v>251</v>
      </c>
      <c r="M970" s="35" t="s">
        <v>9537</v>
      </c>
      <c r="N970" s="35"/>
      <c r="O970" s="3"/>
    </row>
    <row r="971">
      <c r="A971" s="35" t="s">
        <v>12435</v>
      </c>
      <c r="B971" s="39">
        <v>46071.616319444445</v>
      </c>
      <c r="C971" s="35" t="s">
        <v>10280</v>
      </c>
      <c r="D971" s="40" t="s">
        <v>9489</v>
      </c>
      <c r="E971" s="35" t="s">
        <v>9487</v>
      </c>
      <c r="F971" s="40" t="s">
        <v>7081</v>
      </c>
      <c r="G971" s="35" t="s">
        <v>9534</v>
      </c>
      <c r="H971" s="40" t="s">
        <v>9489</v>
      </c>
      <c r="I971" s="35" t="s">
        <v>9551</v>
      </c>
      <c r="J971" s="35" t="s">
        <v>12436</v>
      </c>
      <c r="K971" s="35" t="s">
        <v>119</v>
      </c>
      <c r="L971" s="35" t="s">
        <v>251</v>
      </c>
      <c r="M971" s="35" t="s">
        <v>9537</v>
      </c>
      <c r="N971" s="35"/>
      <c r="O971" s="3"/>
    </row>
    <row r="972">
      <c r="A972" s="35" t="s">
        <v>12437</v>
      </c>
      <c r="B972" s="39">
        <v>46071.61744212963</v>
      </c>
      <c r="C972" s="35" t="s">
        <v>9487</v>
      </c>
      <c r="D972" s="40" t="s">
        <v>7081</v>
      </c>
      <c r="E972" s="35" t="s">
        <v>10280</v>
      </c>
      <c r="F972" s="40" t="s">
        <v>9489</v>
      </c>
      <c r="G972" s="35" t="s">
        <v>9534</v>
      </c>
      <c r="H972" s="40" t="s">
        <v>9489</v>
      </c>
      <c r="I972" s="35" t="s">
        <v>9548</v>
      </c>
      <c r="J972" s="35" t="s">
        <v>12438</v>
      </c>
      <c r="K972" s="35" t="s">
        <v>119</v>
      </c>
      <c r="L972" s="35" t="s">
        <v>251</v>
      </c>
      <c r="M972" s="35" t="s">
        <v>9537</v>
      </c>
      <c r="N972" s="35"/>
      <c r="O972" s="3"/>
    </row>
    <row r="973">
      <c r="A973" s="35" t="s">
        <v>12439</v>
      </c>
      <c r="B973" s="39">
        <v>46071.676030092596</v>
      </c>
      <c r="C973" s="35" t="s">
        <v>11147</v>
      </c>
      <c r="D973" s="40" t="s">
        <v>9489</v>
      </c>
      <c r="E973" s="35" t="s">
        <v>11141</v>
      </c>
      <c r="F973" s="40" t="s">
        <v>7112</v>
      </c>
      <c r="G973" s="35" t="s">
        <v>9488</v>
      </c>
      <c r="H973" s="40" t="s">
        <v>9489</v>
      </c>
      <c r="I973" s="35" t="s">
        <v>12440</v>
      </c>
      <c r="J973" s="35" t="s">
        <v>12441</v>
      </c>
      <c r="K973" s="35" t="s">
        <v>6769</v>
      </c>
      <c r="L973" s="35" t="s">
        <v>312</v>
      </c>
      <c r="M973" s="35" t="s">
        <v>12439</v>
      </c>
      <c r="N973" s="35"/>
      <c r="O973" s="3"/>
    </row>
    <row r="974">
      <c r="A974" s="35" t="s">
        <v>12442</v>
      </c>
      <c r="B974" s="39">
        <v>46071.86381944444</v>
      </c>
      <c r="C974" s="35" t="s">
        <v>10661</v>
      </c>
      <c r="D974" s="40" t="s">
        <v>9489</v>
      </c>
      <c r="E974" s="35" t="s">
        <v>9974</v>
      </c>
      <c r="F974" s="40" t="s">
        <v>7095</v>
      </c>
      <c r="G974" s="35" t="s">
        <v>9488</v>
      </c>
      <c r="H974" s="40" t="s">
        <v>9489</v>
      </c>
      <c r="I974" s="35" t="s">
        <v>12443</v>
      </c>
      <c r="J974" s="35" t="s">
        <v>12444</v>
      </c>
      <c r="K974" s="35" t="s">
        <v>163</v>
      </c>
      <c r="L974" s="35" t="s">
        <v>430</v>
      </c>
      <c r="M974" s="35" t="s">
        <v>12171</v>
      </c>
      <c r="N974" s="35"/>
      <c r="O974" s="3"/>
    </row>
    <row r="975">
      <c r="A975" s="35" t="s">
        <v>12445</v>
      </c>
      <c r="B975" s="39">
        <v>46072.294340277775</v>
      </c>
      <c r="C975" s="35" t="s">
        <v>9487</v>
      </c>
      <c r="D975" s="40" t="s">
        <v>7081</v>
      </c>
      <c r="E975" s="35" t="s">
        <v>10280</v>
      </c>
      <c r="F975" s="40" t="s">
        <v>9489</v>
      </c>
      <c r="G975" s="35" t="s">
        <v>9534</v>
      </c>
      <c r="H975" s="40" t="s">
        <v>9489</v>
      </c>
      <c r="I975" s="35" t="s">
        <v>9548</v>
      </c>
      <c r="J975" s="35" t="s">
        <v>12446</v>
      </c>
      <c r="K975" s="35" t="s">
        <v>119</v>
      </c>
      <c r="L975" s="35" t="s">
        <v>251</v>
      </c>
      <c r="M975" s="35" t="s">
        <v>9537</v>
      </c>
      <c r="N975" s="35"/>
      <c r="O975" s="3"/>
    </row>
    <row r="976">
      <c r="A976" s="35" t="s">
        <v>12447</v>
      </c>
      <c r="B976" s="39">
        <v>46072.363541666666</v>
      </c>
      <c r="C976" s="35" t="s">
        <v>11141</v>
      </c>
      <c r="D976" s="40" t="s">
        <v>7112</v>
      </c>
      <c r="E976" s="35" t="s">
        <v>12448</v>
      </c>
      <c r="F976" s="35" t="s">
        <v>11149</v>
      </c>
      <c r="G976" s="35" t="s">
        <v>9488</v>
      </c>
      <c r="H976" s="40" t="s">
        <v>9489</v>
      </c>
      <c r="I976" s="35" t="s">
        <v>12449</v>
      </c>
      <c r="J976" s="35" t="s">
        <v>12450</v>
      </c>
      <c r="K976" s="35" t="s">
        <v>6769</v>
      </c>
      <c r="L976" s="35" t="s">
        <v>312</v>
      </c>
      <c r="M976" s="35" t="s">
        <v>12439</v>
      </c>
      <c r="N976" s="35"/>
      <c r="O976" s="3"/>
    </row>
    <row r="977">
      <c r="A977" s="35" t="s">
        <v>12451</v>
      </c>
      <c r="B977" s="39">
        <v>46072.38547453703</v>
      </c>
      <c r="C977" s="35" t="s">
        <v>9527</v>
      </c>
      <c r="D977" s="40" t="s">
        <v>9489</v>
      </c>
      <c r="E977" s="35" t="s">
        <v>11339</v>
      </c>
      <c r="F977" s="35" t="s">
        <v>11340</v>
      </c>
      <c r="G977" s="35"/>
      <c r="H977" s="35"/>
      <c r="I977" s="35" t="s">
        <v>11341</v>
      </c>
      <c r="J977" s="35" t="s">
        <v>12452</v>
      </c>
      <c r="K977" s="35" t="s">
        <v>116</v>
      </c>
      <c r="L977" s="35" t="s">
        <v>117</v>
      </c>
      <c r="M977" s="35" t="s">
        <v>12451</v>
      </c>
      <c r="N977" s="35"/>
      <c r="O977" s="3"/>
    </row>
    <row r="978">
      <c r="A978" s="35" t="s">
        <v>12453</v>
      </c>
      <c r="B978" s="39">
        <v>46072.44559027778</v>
      </c>
      <c r="C978" s="35" t="s">
        <v>9488</v>
      </c>
      <c r="D978" s="40" t="s">
        <v>9489</v>
      </c>
      <c r="E978" s="35" t="s">
        <v>10486</v>
      </c>
      <c r="F978" s="40" t="s">
        <v>8055</v>
      </c>
      <c r="G978" s="35" t="s">
        <v>12454</v>
      </c>
      <c r="H978" s="35" t="s">
        <v>12263</v>
      </c>
      <c r="I978" s="35" t="s">
        <v>12091</v>
      </c>
      <c r="J978" s="35" t="s">
        <v>12455</v>
      </c>
      <c r="K978" s="35" t="s">
        <v>101</v>
      </c>
      <c r="L978" s="35" t="s">
        <v>511</v>
      </c>
      <c r="M978" s="35" t="s">
        <v>12052</v>
      </c>
      <c r="N978" s="35"/>
      <c r="O978" s="3"/>
    </row>
    <row r="979">
      <c r="A979" s="35" t="s">
        <v>12456</v>
      </c>
      <c r="B979" s="39">
        <v>46072.44815972222</v>
      </c>
      <c r="C979" s="35" t="s">
        <v>11176</v>
      </c>
      <c r="D979" s="40" t="s">
        <v>7113</v>
      </c>
      <c r="E979" s="35" t="s">
        <v>9488</v>
      </c>
      <c r="F979" s="40" t="s">
        <v>9489</v>
      </c>
      <c r="G979" s="35"/>
      <c r="H979" s="35"/>
      <c r="I979" s="35" t="s">
        <v>12457</v>
      </c>
      <c r="J979" s="35" t="s">
        <v>12458</v>
      </c>
      <c r="K979" s="35" t="s">
        <v>157</v>
      </c>
      <c r="L979" s="35" t="s">
        <v>158</v>
      </c>
      <c r="M979" s="35" t="s">
        <v>12456</v>
      </c>
      <c r="N979" s="35"/>
      <c r="O979" s="3"/>
    </row>
    <row r="980">
      <c r="A980" s="35" t="s">
        <v>12459</v>
      </c>
      <c r="B980" s="39">
        <v>46072.44965277778</v>
      </c>
      <c r="C980" s="35" t="s">
        <v>9488</v>
      </c>
      <c r="D980" s="40" t="s">
        <v>9489</v>
      </c>
      <c r="E980" s="35" t="s">
        <v>11176</v>
      </c>
      <c r="F980" s="40" t="s">
        <v>7113</v>
      </c>
      <c r="G980" s="35"/>
      <c r="H980" s="35"/>
      <c r="I980" s="35" t="s">
        <v>12460</v>
      </c>
      <c r="J980" s="35" t="s">
        <v>12461</v>
      </c>
      <c r="K980" s="35" t="s">
        <v>157</v>
      </c>
      <c r="L980" s="35" t="s">
        <v>158</v>
      </c>
      <c r="M980" s="35" t="s">
        <v>12456</v>
      </c>
      <c r="N980" s="35"/>
      <c r="O980" s="3"/>
    </row>
    <row r="981">
      <c r="A981" s="35" t="s">
        <v>12462</v>
      </c>
      <c r="B981" s="39">
        <v>46072.450104166666</v>
      </c>
      <c r="C981" s="35" t="s">
        <v>9488</v>
      </c>
      <c r="D981" s="40" t="s">
        <v>9489</v>
      </c>
      <c r="E981" s="35" t="s">
        <v>11176</v>
      </c>
      <c r="F981" s="40" t="s">
        <v>7113</v>
      </c>
      <c r="G981" s="35"/>
      <c r="H981" s="35"/>
      <c r="I981" s="35" t="s">
        <v>12460</v>
      </c>
      <c r="J981" s="35" t="s">
        <v>12463</v>
      </c>
      <c r="K981" s="35" t="s">
        <v>157</v>
      </c>
      <c r="L981" s="35" t="s">
        <v>158</v>
      </c>
      <c r="M981" s="35" t="s">
        <v>12456</v>
      </c>
      <c r="N981" s="35"/>
      <c r="O981" s="3"/>
    </row>
    <row r="982">
      <c r="A982" s="35" t="s">
        <v>12464</v>
      </c>
      <c r="B982" s="39">
        <v>46072.463101851856</v>
      </c>
      <c r="C982" s="35" t="s">
        <v>9488</v>
      </c>
      <c r="D982" s="40" t="s">
        <v>9489</v>
      </c>
      <c r="E982" s="35" t="s">
        <v>12465</v>
      </c>
      <c r="F982" s="40" t="s">
        <v>7086</v>
      </c>
      <c r="G982" s="35"/>
      <c r="H982" s="35"/>
      <c r="I982" s="35" t="s">
        <v>12466</v>
      </c>
      <c r="J982" s="35" t="s">
        <v>12467</v>
      </c>
      <c r="K982" s="35" t="s">
        <v>208</v>
      </c>
      <c r="L982" s="35" t="s">
        <v>209</v>
      </c>
      <c r="M982" s="35" t="s">
        <v>12468</v>
      </c>
      <c r="N982" s="35"/>
      <c r="O982" s="3"/>
    </row>
    <row r="983">
      <c r="A983" s="35" t="s">
        <v>12469</v>
      </c>
      <c r="B983" s="39">
        <v>46072.485613425924</v>
      </c>
      <c r="C983" s="35" t="s">
        <v>9763</v>
      </c>
      <c r="D983" s="40" t="s">
        <v>7086</v>
      </c>
      <c r="E983" s="35" t="s">
        <v>9488</v>
      </c>
      <c r="F983" s="40" t="s">
        <v>9489</v>
      </c>
      <c r="G983" s="35" t="s">
        <v>11979</v>
      </c>
      <c r="H983" s="40" t="s">
        <v>7086</v>
      </c>
      <c r="I983" s="35" t="s">
        <v>12470</v>
      </c>
      <c r="J983" s="35" t="s">
        <v>12471</v>
      </c>
      <c r="K983" s="35" t="s">
        <v>208</v>
      </c>
      <c r="L983" s="35" t="s">
        <v>209</v>
      </c>
      <c r="M983" s="35" t="s">
        <v>12468</v>
      </c>
      <c r="N983" s="35"/>
      <c r="O983" s="3"/>
    </row>
    <row r="984">
      <c r="A984" s="35" t="s">
        <v>12472</v>
      </c>
      <c r="B984" s="39">
        <v>46072.50444444444</v>
      </c>
      <c r="C984" s="35" t="s">
        <v>9488</v>
      </c>
      <c r="D984" s="40" t="s">
        <v>9489</v>
      </c>
      <c r="E984" s="35" t="s">
        <v>9763</v>
      </c>
      <c r="F984" s="40" t="s">
        <v>7086</v>
      </c>
      <c r="G984" s="35" t="s">
        <v>11979</v>
      </c>
      <c r="H984" s="40" t="s">
        <v>7086</v>
      </c>
      <c r="I984" s="35" t="s">
        <v>12473</v>
      </c>
      <c r="J984" s="35" t="s">
        <v>12474</v>
      </c>
      <c r="K984" s="35" t="s">
        <v>208</v>
      </c>
      <c r="L984" s="35" t="s">
        <v>209</v>
      </c>
      <c r="M984" s="35" t="s">
        <v>12468</v>
      </c>
      <c r="N984" s="35"/>
      <c r="O984" s="3"/>
    </row>
    <row r="985">
      <c r="A985" s="35" t="s">
        <v>12475</v>
      </c>
      <c r="B985" s="39">
        <v>46072.50423611111</v>
      </c>
      <c r="C985" s="35" t="s">
        <v>10159</v>
      </c>
      <c r="D985" s="40" t="s">
        <v>7100</v>
      </c>
      <c r="E985" s="35" t="s">
        <v>9488</v>
      </c>
      <c r="F985" s="40" t="s">
        <v>9489</v>
      </c>
      <c r="G985" s="35"/>
      <c r="H985" s="35"/>
      <c r="I985" s="35" t="s">
        <v>11795</v>
      </c>
      <c r="J985" s="35" t="s">
        <v>10157</v>
      </c>
      <c r="K985" s="35" t="s">
        <v>125</v>
      </c>
      <c r="L985" s="35" t="s">
        <v>126</v>
      </c>
      <c r="M985" s="35" t="s">
        <v>12475</v>
      </c>
      <c r="N985" s="35"/>
      <c r="O985" s="3"/>
    </row>
    <row r="986">
      <c r="A986" s="35" t="s">
        <v>12476</v>
      </c>
      <c r="B986" s="39">
        <v>46072.51908564815</v>
      </c>
      <c r="C986" s="35" t="s">
        <v>9763</v>
      </c>
      <c r="D986" s="40" t="s">
        <v>7086</v>
      </c>
      <c r="E986" s="35" t="s">
        <v>9488</v>
      </c>
      <c r="F986" s="40" t="s">
        <v>9489</v>
      </c>
      <c r="G986" s="35" t="s">
        <v>12190</v>
      </c>
      <c r="H986" s="40" t="s">
        <v>7086</v>
      </c>
      <c r="I986" s="35" t="s">
        <v>12470</v>
      </c>
      <c r="J986" s="35" t="s">
        <v>12477</v>
      </c>
      <c r="K986" s="35" t="s">
        <v>208</v>
      </c>
      <c r="L986" s="35" t="s">
        <v>209</v>
      </c>
      <c r="M986" s="35" t="s">
        <v>12468</v>
      </c>
      <c r="N986" s="35"/>
      <c r="O986" s="3"/>
    </row>
    <row r="987">
      <c r="A987" s="35" t="s">
        <v>12478</v>
      </c>
      <c r="B987" s="39">
        <v>46072.61628472222</v>
      </c>
      <c r="C987" s="35" t="s">
        <v>9488</v>
      </c>
      <c r="D987" s="40" t="s">
        <v>9489</v>
      </c>
      <c r="E987" s="35" t="s">
        <v>9763</v>
      </c>
      <c r="F987" s="40" t="s">
        <v>7086</v>
      </c>
      <c r="G987" s="35" t="s">
        <v>12190</v>
      </c>
      <c r="H987" s="40" t="s">
        <v>7086</v>
      </c>
      <c r="I987" s="35" t="s">
        <v>12473</v>
      </c>
      <c r="J987" s="35" t="s">
        <v>12479</v>
      </c>
      <c r="K987" s="35" t="s">
        <v>208</v>
      </c>
      <c r="L987" s="35" t="s">
        <v>209</v>
      </c>
      <c r="M987" s="35" t="s">
        <v>12468</v>
      </c>
      <c r="N987" s="35"/>
      <c r="O987" s="3"/>
    </row>
    <row r="988">
      <c r="A988" s="35" t="s">
        <v>12480</v>
      </c>
      <c r="B988" s="39">
        <v>46072.61335648148</v>
      </c>
      <c r="C988" s="35" t="s">
        <v>9488</v>
      </c>
      <c r="D988" s="40" t="s">
        <v>9489</v>
      </c>
      <c r="E988" s="35" t="s">
        <v>11453</v>
      </c>
      <c r="F988" s="40" t="s">
        <v>7090</v>
      </c>
      <c r="G988" s="35"/>
      <c r="H988" s="35"/>
      <c r="I988" s="35" t="s">
        <v>12087</v>
      </c>
      <c r="J988" s="35" t="s">
        <v>12481</v>
      </c>
      <c r="K988" s="35" t="s">
        <v>199</v>
      </c>
      <c r="L988" s="35" t="s">
        <v>272</v>
      </c>
      <c r="M988" s="35" t="s">
        <v>12482</v>
      </c>
      <c r="N988" s="35"/>
      <c r="O988" s="3"/>
    </row>
    <row r="989">
      <c r="A989" s="35" t="s">
        <v>12483</v>
      </c>
      <c r="B989" s="39">
        <v>46072.60777777778</v>
      </c>
      <c r="C989" s="35" t="s">
        <v>9488</v>
      </c>
      <c r="D989" s="40" t="s">
        <v>9489</v>
      </c>
      <c r="E989" s="35" t="s">
        <v>12484</v>
      </c>
      <c r="F989" s="35" t="s">
        <v>12216</v>
      </c>
      <c r="G989" s="35"/>
      <c r="H989" s="35"/>
      <c r="I989" s="35" t="s">
        <v>7924</v>
      </c>
      <c r="J989" s="35" t="s">
        <v>12485</v>
      </c>
      <c r="K989" s="35" t="s">
        <v>113</v>
      </c>
      <c r="L989" s="35" t="s">
        <v>406</v>
      </c>
      <c r="M989" s="35" t="s">
        <v>12483</v>
      </c>
      <c r="N989" s="35"/>
      <c r="O989" s="3"/>
    </row>
    <row r="990">
      <c r="A990" s="35" t="s">
        <v>12486</v>
      </c>
      <c r="B990" s="39">
        <v>46072.626817129625</v>
      </c>
      <c r="C990" s="35" t="s">
        <v>9488</v>
      </c>
      <c r="D990" s="40" t="s">
        <v>9489</v>
      </c>
      <c r="E990" s="35" t="s">
        <v>9763</v>
      </c>
      <c r="F990" s="40" t="s">
        <v>7086</v>
      </c>
      <c r="G990" s="35" t="s">
        <v>12190</v>
      </c>
      <c r="H990" s="40" t="s">
        <v>7086</v>
      </c>
      <c r="I990" s="35" t="s">
        <v>12473</v>
      </c>
      <c r="J990" s="35" t="s">
        <v>12487</v>
      </c>
      <c r="K990" s="35" t="s">
        <v>208</v>
      </c>
      <c r="L990" s="35" t="s">
        <v>209</v>
      </c>
      <c r="M990" s="35" t="s">
        <v>12468</v>
      </c>
      <c r="N990" s="35"/>
      <c r="O990" s="3"/>
    </row>
    <row r="991">
      <c r="A991" s="35" t="s">
        <v>12488</v>
      </c>
      <c r="B991" s="39">
        <v>46072.62752314815</v>
      </c>
      <c r="C991" s="35" t="s">
        <v>9488</v>
      </c>
      <c r="D991" s="40" t="s">
        <v>9489</v>
      </c>
      <c r="E991" s="35" t="s">
        <v>9763</v>
      </c>
      <c r="F991" s="40" t="s">
        <v>7086</v>
      </c>
      <c r="G991" s="35" t="s">
        <v>12190</v>
      </c>
      <c r="H991" s="40" t="s">
        <v>7086</v>
      </c>
      <c r="I991" s="35" t="s">
        <v>12473</v>
      </c>
      <c r="J991" s="35" t="s">
        <v>12489</v>
      </c>
      <c r="K991" s="35" t="s">
        <v>208</v>
      </c>
      <c r="L991" s="35" t="s">
        <v>209</v>
      </c>
      <c r="M991" s="35" t="s">
        <v>12468</v>
      </c>
      <c r="N991" s="35"/>
      <c r="O991" s="3"/>
    </row>
    <row r="992">
      <c r="A992" s="35" t="s">
        <v>12490</v>
      </c>
      <c r="B992" s="39">
        <v>46072.6427662037</v>
      </c>
      <c r="C992" s="35" t="s">
        <v>10486</v>
      </c>
      <c r="D992" s="40" t="s">
        <v>8055</v>
      </c>
      <c r="E992" s="35" t="s">
        <v>9488</v>
      </c>
      <c r="F992" s="40" t="s">
        <v>9489</v>
      </c>
      <c r="G992" s="35" t="s">
        <v>12454</v>
      </c>
      <c r="H992" s="35" t="s">
        <v>12263</v>
      </c>
      <c r="I992" s="35" t="s">
        <v>12099</v>
      </c>
      <c r="J992" s="35" t="s">
        <v>12491</v>
      </c>
      <c r="K992" s="35" t="s">
        <v>101</v>
      </c>
      <c r="L992" s="35" t="s">
        <v>511</v>
      </c>
      <c r="M992" s="35" t="s">
        <v>12052</v>
      </c>
      <c r="N992" s="35"/>
      <c r="O992" s="3"/>
    </row>
    <row r="993">
      <c r="A993" s="35" t="s">
        <v>12492</v>
      </c>
      <c r="B993" s="39">
        <v>46072.64292824074</v>
      </c>
      <c r="C993" s="35" t="s">
        <v>11508</v>
      </c>
      <c r="D993" s="40" t="s">
        <v>7118</v>
      </c>
      <c r="E993" s="35" t="s">
        <v>9488</v>
      </c>
      <c r="F993" s="40" t="s">
        <v>9489</v>
      </c>
      <c r="G993" s="35" t="s">
        <v>9627</v>
      </c>
      <c r="H993" s="40" t="s">
        <v>9489</v>
      </c>
      <c r="I993" s="35" t="s">
        <v>11542</v>
      </c>
      <c r="J993" s="35" t="s">
        <v>12493</v>
      </c>
      <c r="K993" s="35" t="s">
        <v>160</v>
      </c>
      <c r="L993" s="35" t="s">
        <v>440</v>
      </c>
      <c r="M993" s="35" t="s">
        <v>11507</v>
      </c>
      <c r="N993" s="35"/>
      <c r="O993" s="3"/>
    </row>
    <row r="994">
      <c r="A994" s="35" t="s">
        <v>12494</v>
      </c>
      <c r="B994" s="39">
        <v>46072.64679398148</v>
      </c>
      <c r="C994" s="35" t="s">
        <v>9488</v>
      </c>
      <c r="D994" s="40" t="s">
        <v>9489</v>
      </c>
      <c r="E994" s="35" t="s">
        <v>11508</v>
      </c>
      <c r="F994" s="40" t="s">
        <v>7118</v>
      </c>
      <c r="G994" s="35" t="s">
        <v>9627</v>
      </c>
      <c r="H994" s="40" t="s">
        <v>9489</v>
      </c>
      <c r="I994" s="35" t="s">
        <v>11542</v>
      </c>
      <c r="J994" s="35" t="s">
        <v>12495</v>
      </c>
      <c r="K994" s="35" t="s">
        <v>160</v>
      </c>
      <c r="L994" s="35" t="s">
        <v>440</v>
      </c>
      <c r="M994" s="35" t="s">
        <v>11507</v>
      </c>
      <c r="N994" s="35"/>
      <c r="O994" s="3"/>
    </row>
    <row r="995">
      <c r="A995" s="35" t="s">
        <v>12496</v>
      </c>
      <c r="B995" s="39">
        <v>46072.64902777778</v>
      </c>
      <c r="C995" s="35" t="s">
        <v>9488</v>
      </c>
      <c r="D995" s="40" t="s">
        <v>9489</v>
      </c>
      <c r="E995" s="35" t="s">
        <v>11508</v>
      </c>
      <c r="F995" s="40" t="s">
        <v>7118</v>
      </c>
      <c r="G995" s="35" t="s">
        <v>9627</v>
      </c>
      <c r="H995" s="40" t="s">
        <v>9489</v>
      </c>
      <c r="I995" s="35" t="s">
        <v>11542</v>
      </c>
      <c r="J995" s="35" t="s">
        <v>12497</v>
      </c>
      <c r="K995" s="35" t="s">
        <v>160</v>
      </c>
      <c r="L995" s="35" t="s">
        <v>440</v>
      </c>
      <c r="M995" s="35" t="s">
        <v>11507</v>
      </c>
      <c r="N995" s="35"/>
      <c r="O995" s="3"/>
    </row>
  </sheetData>
  <autoFilter ref="$A$1:$O$995"/>
  <hyperlinks>
    <hyperlink r:id="rId1" ref="D2"/>
    <hyperlink r:id="rId2" ref="F2"/>
    <hyperlink r:id="rId3" ref="D3"/>
    <hyperlink r:id="rId4" ref="F3"/>
    <hyperlink r:id="rId5" ref="D4"/>
    <hyperlink r:id="rId6" ref="D5"/>
    <hyperlink r:id="rId7" ref="F5"/>
    <hyperlink r:id="rId8" ref="D6"/>
    <hyperlink r:id="rId9" ref="D7"/>
    <hyperlink r:id="rId10" ref="F7"/>
    <hyperlink r:id="rId11" ref="D8"/>
    <hyperlink r:id="rId12" ref="F8"/>
    <hyperlink r:id="rId13" ref="D9"/>
    <hyperlink r:id="rId14" ref="F9"/>
    <hyperlink r:id="rId15" ref="D10"/>
    <hyperlink r:id="rId16" ref="F10"/>
    <hyperlink r:id="rId17" ref="H10"/>
    <hyperlink r:id="rId18" ref="D11"/>
    <hyperlink r:id="rId19" ref="F11"/>
    <hyperlink r:id="rId20" ref="H11"/>
    <hyperlink r:id="rId21" ref="D12"/>
    <hyperlink r:id="rId22" ref="F12"/>
    <hyperlink r:id="rId23" ref="H12"/>
    <hyperlink r:id="rId24" ref="D13"/>
    <hyperlink r:id="rId25" ref="D14"/>
    <hyperlink r:id="rId26" ref="F14"/>
    <hyperlink r:id="rId27" ref="D15"/>
    <hyperlink r:id="rId28" ref="F15"/>
    <hyperlink r:id="rId29" ref="D16"/>
    <hyperlink r:id="rId30" ref="F16"/>
    <hyperlink r:id="rId31" ref="D17"/>
    <hyperlink r:id="rId32" ref="F17"/>
    <hyperlink r:id="rId33" ref="D18"/>
    <hyperlink r:id="rId34" ref="F18"/>
    <hyperlink r:id="rId35" ref="H18"/>
    <hyperlink r:id="rId36" ref="D19"/>
    <hyperlink r:id="rId37" ref="F19"/>
    <hyperlink r:id="rId38" ref="H19"/>
    <hyperlink r:id="rId39" ref="D20"/>
    <hyperlink r:id="rId40" ref="F20"/>
    <hyperlink r:id="rId41" ref="H20"/>
    <hyperlink r:id="rId42" ref="D21"/>
    <hyperlink r:id="rId43" ref="H21"/>
    <hyperlink r:id="rId44" ref="D22"/>
    <hyperlink r:id="rId45" ref="D23"/>
    <hyperlink r:id="rId46" ref="F23"/>
    <hyperlink r:id="rId47" ref="D24"/>
    <hyperlink r:id="rId48" ref="F24"/>
    <hyperlink r:id="rId49" ref="D25"/>
    <hyperlink r:id="rId50" ref="D26"/>
    <hyperlink r:id="rId51" ref="D27"/>
    <hyperlink r:id="rId52" ref="D28"/>
    <hyperlink r:id="rId53" ref="F28"/>
    <hyperlink r:id="rId54" ref="D29"/>
    <hyperlink r:id="rId55" ref="H29"/>
    <hyperlink r:id="rId56" ref="D30"/>
    <hyperlink r:id="rId57" ref="D31"/>
    <hyperlink r:id="rId58" ref="D32"/>
    <hyperlink r:id="rId59" ref="F32"/>
    <hyperlink r:id="rId60" ref="H32"/>
    <hyperlink r:id="rId61" ref="D33"/>
    <hyperlink r:id="rId62" ref="F33"/>
    <hyperlink r:id="rId63" ref="H33"/>
    <hyperlink r:id="rId64" ref="D34"/>
    <hyperlink r:id="rId65" ref="F34"/>
    <hyperlink r:id="rId66" ref="H34"/>
    <hyperlink r:id="rId67" ref="D35"/>
    <hyperlink r:id="rId68" ref="F35"/>
    <hyperlink r:id="rId69" ref="H35"/>
    <hyperlink r:id="rId70" ref="D36"/>
    <hyperlink r:id="rId71" ref="F36"/>
    <hyperlink r:id="rId72" ref="H36"/>
    <hyperlink r:id="rId73" ref="D37"/>
    <hyperlink r:id="rId74" ref="F37"/>
    <hyperlink r:id="rId75" ref="H37"/>
    <hyperlink r:id="rId76" ref="D38"/>
    <hyperlink r:id="rId77" ref="F38"/>
    <hyperlink r:id="rId78" ref="H38"/>
    <hyperlink r:id="rId79" ref="D39"/>
    <hyperlink r:id="rId80" ref="F39"/>
    <hyperlink r:id="rId81" ref="H39"/>
    <hyperlink r:id="rId82" ref="D40"/>
    <hyperlink r:id="rId83" ref="F40"/>
    <hyperlink r:id="rId84" ref="H40"/>
    <hyperlink r:id="rId85" ref="D41"/>
    <hyperlink r:id="rId86" ref="F41"/>
    <hyperlink r:id="rId87" ref="D42"/>
    <hyperlink r:id="rId88" ref="F42"/>
    <hyperlink r:id="rId89" ref="D43"/>
    <hyperlink r:id="rId90" ref="F43"/>
    <hyperlink r:id="rId91" ref="D44"/>
    <hyperlink r:id="rId92" ref="F44"/>
    <hyperlink r:id="rId93" ref="D45"/>
    <hyperlink r:id="rId94" ref="F45"/>
    <hyperlink r:id="rId95" ref="D46"/>
    <hyperlink r:id="rId96" ref="F46"/>
    <hyperlink r:id="rId97" ref="D47"/>
    <hyperlink r:id="rId98" ref="F47"/>
    <hyperlink r:id="rId99" ref="D48"/>
    <hyperlink r:id="rId100" ref="F48"/>
    <hyperlink r:id="rId101" ref="D49"/>
    <hyperlink r:id="rId102" ref="F49"/>
    <hyperlink r:id="rId103" ref="D50"/>
    <hyperlink r:id="rId104" ref="F50"/>
    <hyperlink r:id="rId105" ref="D51"/>
    <hyperlink r:id="rId106" ref="F51"/>
    <hyperlink r:id="rId107" ref="D52"/>
    <hyperlink r:id="rId108" ref="F52"/>
    <hyperlink r:id="rId109" ref="D53"/>
    <hyperlink r:id="rId110" ref="F53"/>
    <hyperlink r:id="rId111" ref="D54"/>
    <hyperlink r:id="rId112" ref="F54"/>
    <hyperlink r:id="rId113" ref="D55"/>
    <hyperlink r:id="rId114" ref="F55"/>
    <hyperlink r:id="rId115" ref="D56"/>
    <hyperlink r:id="rId116" ref="F56"/>
    <hyperlink r:id="rId117" ref="D57"/>
    <hyperlink r:id="rId118" ref="F57"/>
    <hyperlink r:id="rId119" ref="D58"/>
    <hyperlink r:id="rId120" ref="F58"/>
    <hyperlink r:id="rId121" ref="D59"/>
    <hyperlink r:id="rId122" ref="F59"/>
    <hyperlink r:id="rId123" ref="D60"/>
    <hyperlink r:id="rId124" ref="F60"/>
    <hyperlink r:id="rId125" ref="H60"/>
    <hyperlink r:id="rId126" ref="D61"/>
    <hyperlink r:id="rId127" ref="F61"/>
    <hyperlink r:id="rId128" ref="H61"/>
    <hyperlink r:id="rId129" ref="D62"/>
    <hyperlink r:id="rId130" ref="F62"/>
    <hyperlink r:id="rId131" ref="H62"/>
    <hyperlink r:id="rId132" ref="D63"/>
    <hyperlink r:id="rId133" ref="F63"/>
    <hyperlink r:id="rId134" ref="D64"/>
    <hyperlink r:id="rId135" ref="F64"/>
    <hyperlink r:id="rId136" ref="D65"/>
    <hyperlink r:id="rId137" ref="F65"/>
    <hyperlink r:id="rId138" ref="H65"/>
    <hyperlink r:id="rId139" ref="D66"/>
    <hyperlink r:id="rId140" ref="F66"/>
    <hyperlink r:id="rId141" ref="D67"/>
    <hyperlink r:id="rId142" ref="F67"/>
    <hyperlink r:id="rId143" ref="H67"/>
    <hyperlink r:id="rId144" ref="D68"/>
    <hyperlink r:id="rId145" ref="F68"/>
    <hyperlink r:id="rId146" ref="H68"/>
    <hyperlink r:id="rId147" ref="D69"/>
    <hyperlink r:id="rId148" ref="D70"/>
    <hyperlink r:id="rId149" ref="F70"/>
    <hyperlink r:id="rId150" ref="H70"/>
    <hyperlink r:id="rId151" ref="D71"/>
    <hyperlink r:id="rId152" ref="D72"/>
    <hyperlink r:id="rId153" ref="D73"/>
    <hyperlink r:id="rId154" ref="D74"/>
    <hyperlink r:id="rId155" ref="F74"/>
    <hyperlink r:id="rId156" ref="D75"/>
    <hyperlink r:id="rId157" ref="F75"/>
    <hyperlink r:id="rId158" ref="D76"/>
    <hyperlink r:id="rId159" ref="F76"/>
    <hyperlink r:id="rId160" ref="D77"/>
    <hyperlink r:id="rId161" ref="F77"/>
    <hyperlink r:id="rId162" ref="D78"/>
    <hyperlink r:id="rId163" ref="F78"/>
    <hyperlink r:id="rId164" ref="D79"/>
    <hyperlink r:id="rId165" ref="F79"/>
    <hyperlink r:id="rId166" ref="D80"/>
    <hyperlink r:id="rId167" ref="F80"/>
    <hyperlink r:id="rId168" ref="D81"/>
    <hyperlink r:id="rId169" ref="F81"/>
    <hyperlink r:id="rId170" ref="D82"/>
    <hyperlink r:id="rId171" ref="F82"/>
    <hyperlink r:id="rId172" ref="D83"/>
    <hyperlink r:id="rId173" ref="D84"/>
    <hyperlink r:id="rId174" ref="D85"/>
    <hyperlink r:id="rId175" ref="D86"/>
    <hyperlink r:id="rId176" ref="F86"/>
    <hyperlink r:id="rId177" ref="D87"/>
    <hyperlink r:id="rId178" ref="F87"/>
    <hyperlink r:id="rId179" ref="H87"/>
    <hyperlink r:id="rId180" ref="D88"/>
    <hyperlink r:id="rId181" ref="F88"/>
    <hyperlink r:id="rId182" ref="H88"/>
    <hyperlink r:id="rId183" ref="D89"/>
    <hyperlink r:id="rId184" ref="D90"/>
    <hyperlink r:id="rId185" ref="D91"/>
    <hyperlink r:id="rId186" ref="D92"/>
    <hyperlink r:id="rId187" ref="F92"/>
    <hyperlink r:id="rId188" ref="D93"/>
    <hyperlink r:id="rId189" ref="F93"/>
    <hyperlink r:id="rId190" ref="D94"/>
    <hyperlink r:id="rId191" ref="F94"/>
    <hyperlink r:id="rId192" ref="D95"/>
    <hyperlink r:id="rId193" ref="D96"/>
    <hyperlink r:id="rId194" ref="D97"/>
    <hyperlink r:id="rId195" ref="D98"/>
    <hyperlink r:id="rId196" ref="D99"/>
    <hyperlink r:id="rId197" ref="F99"/>
    <hyperlink r:id="rId198" ref="D100"/>
    <hyperlink r:id="rId199" ref="F100"/>
    <hyperlink r:id="rId200" ref="H100"/>
    <hyperlink r:id="rId201" ref="D101"/>
    <hyperlink r:id="rId202" ref="F101"/>
    <hyperlink r:id="rId203" ref="H101"/>
    <hyperlink r:id="rId204" ref="D102"/>
    <hyperlink r:id="rId205" ref="F102"/>
    <hyperlink r:id="rId206" ref="D103"/>
    <hyperlink r:id="rId207" ref="F103"/>
    <hyperlink r:id="rId208" ref="D104"/>
    <hyperlink r:id="rId209" ref="D105"/>
    <hyperlink r:id="rId210" ref="D106"/>
    <hyperlink r:id="rId211" ref="D107"/>
    <hyperlink r:id="rId212" ref="H107"/>
    <hyperlink r:id="rId213" ref="D108"/>
    <hyperlink r:id="rId214" ref="D109"/>
    <hyperlink r:id="rId215" ref="D110"/>
    <hyperlink r:id="rId216" ref="F110"/>
    <hyperlink r:id="rId217" ref="D111"/>
    <hyperlink r:id="rId218" ref="F111"/>
    <hyperlink r:id="rId219" ref="D112"/>
    <hyperlink r:id="rId220" ref="F112"/>
    <hyperlink r:id="rId221" ref="H112"/>
    <hyperlink r:id="rId222" ref="D113"/>
    <hyperlink r:id="rId223" ref="F113"/>
    <hyperlink r:id="rId224" ref="H113"/>
    <hyperlink r:id="rId225" ref="D114"/>
    <hyperlink r:id="rId226" ref="D115"/>
    <hyperlink r:id="rId227" ref="D116"/>
    <hyperlink r:id="rId228" ref="F116"/>
    <hyperlink r:id="rId229" ref="D117"/>
    <hyperlink r:id="rId230" ref="H117"/>
    <hyperlink r:id="rId231" ref="D118"/>
    <hyperlink r:id="rId232" ref="F118"/>
    <hyperlink r:id="rId233" ref="H118"/>
    <hyperlink r:id="rId234" ref="D119"/>
    <hyperlink r:id="rId235" ref="H119"/>
    <hyperlink r:id="rId236" ref="D120"/>
    <hyperlink r:id="rId237" ref="F120"/>
    <hyperlink r:id="rId238" ref="D121"/>
    <hyperlink r:id="rId239" ref="F121"/>
    <hyperlink r:id="rId240" ref="D122"/>
    <hyperlink r:id="rId241" ref="D123"/>
    <hyperlink r:id="rId242" ref="F123"/>
    <hyperlink r:id="rId243" ref="H123"/>
    <hyperlink r:id="rId244" ref="D124"/>
    <hyperlink r:id="rId245" ref="F124"/>
    <hyperlink r:id="rId246" ref="H124"/>
    <hyperlink r:id="rId247" ref="D125"/>
    <hyperlink r:id="rId248" ref="F125"/>
    <hyperlink r:id="rId249" ref="D126"/>
    <hyperlink r:id="rId250" ref="F126"/>
    <hyperlink r:id="rId251" ref="D127"/>
    <hyperlink r:id="rId252" ref="F127"/>
    <hyperlink r:id="rId253" ref="D128"/>
    <hyperlink r:id="rId254" ref="F128"/>
    <hyperlink r:id="rId255" ref="D129"/>
    <hyperlink r:id="rId256" ref="F129"/>
    <hyperlink r:id="rId257" ref="D130"/>
    <hyperlink r:id="rId258" ref="F130"/>
    <hyperlink r:id="rId259" ref="D131"/>
    <hyperlink r:id="rId260" ref="F131"/>
    <hyperlink r:id="rId261" ref="D132"/>
    <hyperlink r:id="rId262" ref="F132"/>
    <hyperlink r:id="rId263" ref="D133"/>
    <hyperlink r:id="rId264" ref="F133"/>
    <hyperlink r:id="rId265" ref="D134"/>
    <hyperlink r:id="rId266" ref="F134"/>
    <hyperlink r:id="rId267" ref="D135"/>
    <hyperlink r:id="rId268" ref="F135"/>
    <hyperlink r:id="rId269" ref="D136"/>
    <hyperlink r:id="rId270" ref="D137"/>
    <hyperlink r:id="rId271" ref="D138"/>
    <hyperlink r:id="rId272" ref="F138"/>
    <hyperlink r:id="rId273" ref="H138"/>
    <hyperlink r:id="rId274" ref="D139"/>
    <hyperlink r:id="rId275" ref="F139"/>
    <hyperlink r:id="rId276" ref="D140"/>
    <hyperlink r:id="rId277" ref="F140"/>
    <hyperlink r:id="rId278" ref="H140"/>
    <hyperlink r:id="rId279" ref="D141"/>
    <hyperlink r:id="rId280" ref="F141"/>
    <hyperlink r:id="rId281" ref="H141"/>
    <hyperlink r:id="rId282" ref="D142"/>
    <hyperlink r:id="rId283" ref="D143"/>
    <hyperlink r:id="rId284" ref="D144"/>
    <hyperlink r:id="rId285" ref="D145"/>
    <hyperlink r:id="rId286" ref="F145"/>
    <hyperlink r:id="rId287" ref="D146"/>
    <hyperlink r:id="rId288" ref="F146"/>
    <hyperlink r:id="rId289" ref="D147"/>
    <hyperlink r:id="rId290" ref="F147"/>
    <hyperlink r:id="rId291" ref="D148"/>
    <hyperlink r:id="rId292" ref="F148"/>
    <hyperlink r:id="rId293" ref="D149"/>
    <hyperlink r:id="rId294" ref="H149"/>
    <hyperlink r:id="rId295" ref="D150"/>
    <hyperlink r:id="rId296" ref="H150"/>
    <hyperlink r:id="rId297" ref="D151"/>
    <hyperlink r:id="rId298" ref="H151"/>
    <hyperlink r:id="rId299" ref="D152"/>
    <hyperlink r:id="rId300" ref="D153"/>
    <hyperlink r:id="rId301" ref="F153"/>
    <hyperlink r:id="rId302" ref="D154"/>
    <hyperlink r:id="rId303" ref="F154"/>
    <hyperlink r:id="rId304" ref="D155"/>
    <hyperlink r:id="rId305" ref="F155"/>
    <hyperlink r:id="rId306" ref="D156"/>
    <hyperlink r:id="rId307" ref="D157"/>
    <hyperlink r:id="rId308" ref="D158"/>
    <hyperlink r:id="rId309" ref="D159"/>
    <hyperlink r:id="rId310" ref="F159"/>
    <hyperlink r:id="rId311" ref="D160"/>
    <hyperlink r:id="rId312" ref="F160"/>
    <hyperlink r:id="rId313" ref="D161"/>
    <hyperlink r:id="rId314" ref="F161"/>
    <hyperlink r:id="rId315" ref="D162"/>
    <hyperlink r:id="rId316" ref="F162"/>
    <hyperlink r:id="rId317" ref="D163"/>
    <hyperlink r:id="rId318" ref="F163"/>
    <hyperlink r:id="rId319" ref="D164"/>
    <hyperlink r:id="rId320" ref="D165"/>
    <hyperlink r:id="rId321" ref="F165"/>
    <hyperlink r:id="rId322" ref="H165"/>
    <hyperlink r:id="rId323" ref="D166"/>
    <hyperlink r:id="rId324" ref="F166"/>
    <hyperlink r:id="rId325" ref="H166"/>
    <hyperlink r:id="rId326" ref="D167"/>
    <hyperlink r:id="rId327" ref="F167"/>
    <hyperlink r:id="rId328" ref="H167"/>
    <hyperlink r:id="rId329" ref="D168"/>
    <hyperlink r:id="rId330" ref="F168"/>
    <hyperlink r:id="rId331" ref="H168"/>
    <hyperlink r:id="rId332" ref="D169"/>
    <hyperlink r:id="rId333" ref="F169"/>
    <hyperlink r:id="rId334" ref="H169"/>
    <hyperlink r:id="rId335" ref="D170"/>
    <hyperlink r:id="rId336" ref="F170"/>
    <hyperlink r:id="rId337" ref="H170"/>
    <hyperlink r:id="rId338" ref="D171"/>
    <hyperlink r:id="rId339" ref="F171"/>
    <hyperlink r:id="rId340" ref="H171"/>
    <hyperlink r:id="rId341" ref="D172"/>
    <hyperlink r:id="rId342" ref="F172"/>
    <hyperlink r:id="rId343" ref="H172"/>
    <hyperlink r:id="rId344" ref="D173"/>
    <hyperlink r:id="rId345" ref="F173"/>
    <hyperlink r:id="rId346" ref="H173"/>
    <hyperlink r:id="rId347" ref="D174"/>
    <hyperlink r:id="rId348" ref="F174"/>
    <hyperlink r:id="rId349" ref="H174"/>
    <hyperlink r:id="rId350" ref="D175"/>
    <hyperlink r:id="rId351" ref="F175"/>
    <hyperlink r:id="rId352" ref="D176"/>
    <hyperlink r:id="rId353" ref="F176"/>
    <hyperlink r:id="rId354" ref="D177"/>
    <hyperlink r:id="rId355" ref="F177"/>
    <hyperlink r:id="rId356" ref="D178"/>
    <hyperlink r:id="rId357" ref="D179"/>
    <hyperlink r:id="rId358" ref="F179"/>
    <hyperlink r:id="rId359" ref="H179"/>
    <hyperlink r:id="rId360" ref="D180"/>
    <hyperlink r:id="rId361" ref="D181"/>
    <hyperlink r:id="rId362" ref="F181"/>
    <hyperlink r:id="rId363" ref="D182"/>
    <hyperlink r:id="rId364" ref="F182"/>
    <hyperlink r:id="rId365" ref="D183"/>
    <hyperlink r:id="rId366" ref="F183"/>
    <hyperlink r:id="rId367" ref="D184"/>
    <hyperlink r:id="rId368" ref="F184"/>
    <hyperlink r:id="rId369" ref="D185"/>
    <hyperlink r:id="rId370" ref="F185"/>
    <hyperlink r:id="rId371" ref="D186"/>
    <hyperlink r:id="rId372" ref="F186"/>
    <hyperlink r:id="rId373" ref="D187"/>
    <hyperlink r:id="rId374" ref="D188"/>
    <hyperlink r:id="rId375" ref="F188"/>
    <hyperlink r:id="rId376" ref="D189"/>
    <hyperlink r:id="rId377" ref="D190"/>
    <hyperlink r:id="rId378" ref="D191"/>
    <hyperlink r:id="rId379" ref="F191"/>
    <hyperlink r:id="rId380" ref="H191"/>
    <hyperlink r:id="rId381" ref="D192"/>
    <hyperlink r:id="rId382" ref="F192"/>
    <hyperlink r:id="rId383" ref="D193"/>
    <hyperlink r:id="rId384" ref="F193"/>
    <hyperlink r:id="rId385" ref="D194"/>
    <hyperlink r:id="rId386" ref="F194"/>
    <hyperlink r:id="rId387" ref="D195"/>
    <hyperlink r:id="rId388" ref="F195"/>
    <hyperlink r:id="rId389" ref="D196"/>
    <hyperlink r:id="rId390" ref="F196"/>
    <hyperlink r:id="rId391" ref="H196"/>
    <hyperlink r:id="rId392" ref="D197"/>
    <hyperlink r:id="rId393" ref="F197"/>
    <hyperlink r:id="rId394" ref="D198"/>
    <hyperlink r:id="rId395" ref="D199"/>
    <hyperlink r:id="rId396" ref="F199"/>
    <hyperlink r:id="rId397" ref="D200"/>
    <hyperlink r:id="rId398" ref="D201"/>
    <hyperlink r:id="rId399" ref="D202"/>
    <hyperlink r:id="rId400" ref="F202"/>
    <hyperlink r:id="rId401" ref="D203"/>
    <hyperlink r:id="rId402" ref="F203"/>
    <hyperlink r:id="rId403" ref="D204"/>
    <hyperlink r:id="rId404" ref="F204"/>
    <hyperlink r:id="rId405" ref="D205"/>
    <hyperlink r:id="rId406" ref="F205"/>
    <hyperlink r:id="rId407" ref="D206"/>
    <hyperlink r:id="rId408" ref="H206"/>
    <hyperlink r:id="rId409" ref="D207"/>
    <hyperlink r:id="rId410" ref="F207"/>
    <hyperlink r:id="rId411" ref="D208"/>
    <hyperlink r:id="rId412" ref="D209"/>
    <hyperlink r:id="rId413" ref="D210"/>
    <hyperlink r:id="rId414" ref="D211"/>
    <hyperlink r:id="rId415" ref="F211"/>
    <hyperlink r:id="rId416" ref="D212"/>
    <hyperlink r:id="rId417" ref="F212"/>
    <hyperlink r:id="rId418" ref="D213"/>
    <hyperlink r:id="rId419" ref="F213"/>
    <hyperlink r:id="rId420" ref="D214"/>
    <hyperlink r:id="rId421" ref="F214"/>
    <hyperlink r:id="rId422" ref="D215"/>
    <hyperlink r:id="rId423" ref="D216"/>
    <hyperlink r:id="rId424" ref="F216"/>
    <hyperlink r:id="rId425" ref="D217"/>
    <hyperlink r:id="rId426" ref="F217"/>
    <hyperlink r:id="rId427" ref="D218"/>
    <hyperlink r:id="rId428" ref="F218"/>
    <hyperlink r:id="rId429" ref="D219"/>
    <hyperlink r:id="rId430" ref="D220"/>
    <hyperlink r:id="rId431" ref="F220"/>
    <hyperlink r:id="rId432" ref="D221"/>
    <hyperlink r:id="rId433" ref="D222"/>
    <hyperlink r:id="rId434" ref="D223"/>
    <hyperlink r:id="rId435" ref="F223"/>
    <hyperlink r:id="rId436" ref="H223"/>
    <hyperlink r:id="rId437" ref="D224"/>
    <hyperlink r:id="rId438" ref="D225"/>
    <hyperlink r:id="rId439" ref="D226"/>
    <hyperlink r:id="rId440" ref="D227"/>
    <hyperlink r:id="rId441" ref="D228"/>
    <hyperlink r:id="rId442" ref="F228"/>
    <hyperlink r:id="rId443" ref="D229"/>
    <hyperlink r:id="rId444" ref="F229"/>
    <hyperlink r:id="rId445" ref="D230"/>
    <hyperlink r:id="rId446" ref="F230"/>
    <hyperlink r:id="rId447" ref="D231"/>
    <hyperlink r:id="rId448" ref="F231"/>
    <hyperlink r:id="rId449" ref="D232"/>
    <hyperlink r:id="rId450" ref="F232"/>
    <hyperlink r:id="rId451" ref="H232"/>
    <hyperlink r:id="rId452" ref="D233"/>
    <hyperlink r:id="rId453" ref="F233"/>
    <hyperlink r:id="rId454" ref="H233"/>
    <hyperlink r:id="rId455" ref="D234"/>
    <hyperlink r:id="rId456" ref="F234"/>
    <hyperlink r:id="rId457" ref="H234"/>
    <hyperlink r:id="rId458" ref="D235"/>
    <hyperlink r:id="rId459" ref="F235"/>
    <hyperlink r:id="rId460" ref="H235"/>
    <hyperlink r:id="rId461" ref="D236"/>
    <hyperlink r:id="rId462" ref="F236"/>
    <hyperlink r:id="rId463" ref="H236"/>
    <hyperlink r:id="rId464" ref="D237"/>
    <hyperlink r:id="rId465" ref="F237"/>
    <hyperlink r:id="rId466" ref="H237"/>
    <hyperlink r:id="rId467" ref="D238"/>
    <hyperlink r:id="rId468" ref="F238"/>
    <hyperlink r:id="rId469" ref="D239"/>
    <hyperlink r:id="rId470" ref="F239"/>
    <hyperlink r:id="rId471" ref="D240"/>
    <hyperlink r:id="rId472" ref="F240"/>
    <hyperlink r:id="rId473" ref="D241"/>
    <hyperlink r:id="rId474" ref="D242"/>
    <hyperlink r:id="rId475" ref="F242"/>
    <hyperlink r:id="rId476" ref="D243"/>
    <hyperlink r:id="rId477" ref="F243"/>
    <hyperlink r:id="rId478" ref="D244"/>
    <hyperlink r:id="rId479" ref="F244"/>
    <hyperlink r:id="rId480" ref="D245"/>
    <hyperlink r:id="rId481" ref="F245"/>
    <hyperlink r:id="rId482" ref="H245"/>
    <hyperlink r:id="rId483" ref="D246"/>
    <hyperlink r:id="rId484" ref="F246"/>
    <hyperlink r:id="rId485" ref="D247"/>
    <hyperlink r:id="rId486" ref="F247"/>
    <hyperlink r:id="rId487" ref="D248"/>
    <hyperlink r:id="rId488" ref="F248"/>
    <hyperlink r:id="rId489" ref="D249"/>
    <hyperlink r:id="rId490" ref="D250"/>
    <hyperlink r:id="rId491" ref="F250"/>
    <hyperlink r:id="rId492" ref="H250"/>
    <hyperlink r:id="rId493" ref="D251"/>
    <hyperlink r:id="rId494" ref="F251"/>
    <hyperlink r:id="rId495" ref="H251"/>
    <hyperlink r:id="rId496" ref="D252"/>
    <hyperlink r:id="rId497" ref="F252"/>
    <hyperlink r:id="rId498" ref="H252"/>
    <hyperlink r:id="rId499" ref="D253"/>
    <hyperlink r:id="rId500" ref="D254"/>
    <hyperlink r:id="rId501" ref="F254"/>
    <hyperlink r:id="rId502" ref="D255"/>
    <hyperlink r:id="rId503" ref="F255"/>
    <hyperlink r:id="rId504" ref="D256"/>
    <hyperlink r:id="rId505" ref="D257"/>
    <hyperlink r:id="rId506" ref="H257"/>
    <hyperlink r:id="rId507" ref="D258"/>
    <hyperlink r:id="rId508" ref="D259"/>
    <hyperlink r:id="rId509" ref="F259"/>
    <hyperlink r:id="rId510" ref="H259"/>
    <hyperlink r:id="rId511" ref="D260"/>
    <hyperlink r:id="rId512" ref="F260"/>
    <hyperlink r:id="rId513" ref="H260"/>
    <hyperlink r:id="rId514" ref="D261"/>
    <hyperlink r:id="rId515" ref="F261"/>
    <hyperlink r:id="rId516" ref="H261"/>
    <hyperlink r:id="rId517" ref="D262"/>
    <hyperlink r:id="rId518" ref="F262"/>
    <hyperlink r:id="rId519" ref="D263"/>
    <hyperlink r:id="rId520" ref="F263"/>
    <hyperlink r:id="rId521" ref="D264"/>
    <hyperlink r:id="rId522" ref="D265"/>
    <hyperlink r:id="rId523" ref="F265"/>
    <hyperlink r:id="rId524" ref="H265"/>
    <hyperlink r:id="rId525" ref="D266"/>
    <hyperlink r:id="rId526" ref="F266"/>
    <hyperlink r:id="rId527" ref="H266"/>
    <hyperlink r:id="rId528" ref="D267"/>
    <hyperlink r:id="rId529" ref="F267"/>
    <hyperlink r:id="rId530" ref="H267"/>
    <hyperlink r:id="rId531" ref="D268"/>
    <hyperlink r:id="rId532" ref="F268"/>
    <hyperlink r:id="rId533" ref="H268"/>
    <hyperlink r:id="rId534" ref="D269"/>
    <hyperlink r:id="rId535" ref="F269"/>
    <hyperlink r:id="rId536" ref="H269"/>
    <hyperlink r:id="rId537" ref="D270"/>
    <hyperlink r:id="rId538" ref="F270"/>
    <hyperlink r:id="rId539" ref="H270"/>
    <hyperlink r:id="rId540" ref="D271"/>
    <hyperlink r:id="rId541" ref="F271"/>
    <hyperlink r:id="rId542" ref="H271"/>
    <hyperlink r:id="rId543" ref="D272"/>
    <hyperlink r:id="rId544" ref="F272"/>
    <hyperlink r:id="rId545" ref="D273"/>
    <hyperlink r:id="rId546" ref="F273"/>
    <hyperlink r:id="rId547" ref="D274"/>
    <hyperlink r:id="rId548" ref="F274"/>
    <hyperlink r:id="rId549" ref="D275"/>
    <hyperlink r:id="rId550" ref="D276"/>
    <hyperlink r:id="rId551" ref="F276"/>
    <hyperlink r:id="rId552" ref="H276"/>
    <hyperlink r:id="rId553" ref="D277"/>
    <hyperlink r:id="rId554" ref="F277"/>
    <hyperlink r:id="rId555" ref="H277"/>
    <hyperlink r:id="rId556" ref="D278"/>
    <hyperlink r:id="rId557" ref="F278"/>
    <hyperlink r:id="rId558" ref="H278"/>
    <hyperlink r:id="rId559" ref="D279"/>
    <hyperlink r:id="rId560" ref="F279"/>
    <hyperlink r:id="rId561" ref="H279"/>
    <hyperlink r:id="rId562" ref="D280"/>
    <hyperlink r:id="rId563" ref="F280"/>
    <hyperlink r:id="rId564" ref="H280"/>
    <hyperlink r:id="rId565" ref="D281"/>
    <hyperlink r:id="rId566" ref="D282"/>
    <hyperlink r:id="rId567" ref="F282"/>
    <hyperlink r:id="rId568" ref="H282"/>
    <hyperlink r:id="rId569" ref="D283"/>
    <hyperlink r:id="rId570" ref="F283"/>
    <hyperlink r:id="rId571" ref="D284"/>
    <hyperlink r:id="rId572" ref="F284"/>
    <hyperlink r:id="rId573" ref="D285"/>
    <hyperlink r:id="rId574" ref="F285"/>
    <hyperlink r:id="rId575" ref="D286"/>
    <hyperlink r:id="rId576" ref="D287"/>
    <hyperlink r:id="rId577" ref="D288"/>
    <hyperlink r:id="rId578" ref="F288"/>
    <hyperlink r:id="rId579" ref="H288"/>
    <hyperlink r:id="rId580" ref="D289"/>
    <hyperlink r:id="rId581" ref="D290"/>
    <hyperlink r:id="rId582" ref="D291"/>
    <hyperlink r:id="rId583" ref="D292"/>
    <hyperlink r:id="rId584" ref="D293"/>
    <hyperlink r:id="rId585" ref="D294"/>
    <hyperlink r:id="rId586" ref="F294"/>
    <hyperlink r:id="rId587" ref="H294"/>
    <hyperlink r:id="rId588" ref="D295"/>
    <hyperlink r:id="rId589" ref="H295"/>
    <hyperlink r:id="rId590" ref="D296"/>
    <hyperlink r:id="rId591" ref="F296"/>
    <hyperlink r:id="rId592" ref="D297"/>
    <hyperlink r:id="rId593" ref="F297"/>
    <hyperlink r:id="rId594" ref="D298"/>
    <hyperlink r:id="rId595" ref="F298"/>
    <hyperlink r:id="rId596" ref="D299"/>
    <hyperlink r:id="rId597" ref="D300"/>
    <hyperlink r:id="rId598" ref="D301"/>
    <hyperlink r:id="rId599" ref="F301"/>
    <hyperlink r:id="rId600" ref="D302"/>
    <hyperlink r:id="rId601" ref="F302"/>
    <hyperlink r:id="rId602" ref="D303"/>
    <hyperlink r:id="rId603" ref="F303"/>
    <hyperlink r:id="rId604" ref="D304"/>
    <hyperlink r:id="rId605" ref="F304"/>
    <hyperlink r:id="rId606" ref="D305"/>
    <hyperlink r:id="rId607" ref="F305"/>
    <hyperlink r:id="rId608" ref="D306"/>
    <hyperlink r:id="rId609" ref="F306"/>
    <hyperlink r:id="rId610" ref="D307"/>
    <hyperlink r:id="rId611" ref="F307"/>
    <hyperlink r:id="rId612" ref="H307"/>
    <hyperlink r:id="rId613" ref="D308"/>
    <hyperlink r:id="rId614" ref="F308"/>
    <hyperlink r:id="rId615" ref="D309"/>
    <hyperlink r:id="rId616" ref="F309"/>
    <hyperlink r:id="rId617" ref="D310"/>
    <hyperlink r:id="rId618" ref="F310"/>
    <hyperlink r:id="rId619" ref="D311"/>
    <hyperlink r:id="rId620" ref="F311"/>
    <hyperlink r:id="rId621" ref="D312"/>
    <hyperlink r:id="rId622" ref="F312"/>
    <hyperlink r:id="rId623" ref="D313"/>
    <hyperlink r:id="rId624" ref="F313"/>
    <hyperlink r:id="rId625" ref="H313"/>
    <hyperlink r:id="rId626" ref="D314"/>
    <hyperlink r:id="rId627" ref="F314"/>
    <hyperlink r:id="rId628" ref="D315"/>
    <hyperlink r:id="rId629" ref="F315"/>
    <hyperlink r:id="rId630" ref="D316"/>
    <hyperlink r:id="rId631" ref="D317"/>
    <hyperlink r:id="rId632" ref="D318"/>
    <hyperlink r:id="rId633" ref="F318"/>
    <hyperlink r:id="rId634" ref="H318"/>
    <hyperlink r:id="rId635" ref="D319"/>
    <hyperlink r:id="rId636" ref="F319"/>
    <hyperlink r:id="rId637" ref="H319"/>
    <hyperlink r:id="rId638" ref="D320"/>
    <hyperlink r:id="rId639" ref="F320"/>
    <hyperlink r:id="rId640" ref="H320"/>
    <hyperlink r:id="rId641" ref="D321"/>
    <hyperlink r:id="rId642" ref="F321"/>
    <hyperlink r:id="rId643" ref="H321"/>
    <hyperlink r:id="rId644" ref="D322"/>
    <hyperlink r:id="rId645" ref="F322"/>
    <hyperlink r:id="rId646" ref="D323"/>
    <hyperlink r:id="rId647" ref="D324"/>
    <hyperlink r:id="rId648" ref="F324"/>
    <hyperlink r:id="rId649" ref="D325"/>
    <hyperlink r:id="rId650" ref="F325"/>
    <hyperlink r:id="rId651" ref="D326"/>
    <hyperlink r:id="rId652" ref="F326"/>
    <hyperlink r:id="rId653" ref="D327"/>
    <hyperlink r:id="rId654" ref="F327"/>
    <hyperlink r:id="rId655" ref="D328"/>
    <hyperlink r:id="rId656" ref="F328"/>
    <hyperlink r:id="rId657" ref="D329"/>
    <hyperlink r:id="rId658" ref="F329"/>
    <hyperlink r:id="rId659" ref="D330"/>
    <hyperlink r:id="rId660" ref="F330"/>
    <hyperlink r:id="rId661" ref="D331"/>
    <hyperlink r:id="rId662" ref="H331"/>
    <hyperlink r:id="rId663" ref="D332"/>
    <hyperlink r:id="rId664" ref="F332"/>
    <hyperlink r:id="rId665" ref="D333"/>
    <hyperlink r:id="rId666" ref="D334"/>
    <hyperlink r:id="rId667" ref="D335"/>
    <hyperlink r:id="rId668" ref="F335"/>
    <hyperlink r:id="rId669" ref="D336"/>
    <hyperlink r:id="rId670" ref="F336"/>
    <hyperlink r:id="rId671" ref="D337"/>
    <hyperlink r:id="rId672" ref="D338"/>
    <hyperlink r:id="rId673" ref="F338"/>
    <hyperlink r:id="rId674" ref="D339"/>
    <hyperlink r:id="rId675" ref="F339"/>
    <hyperlink r:id="rId676" ref="D340"/>
    <hyperlink r:id="rId677" ref="F340"/>
    <hyperlink r:id="rId678" ref="D341"/>
    <hyperlink r:id="rId679" ref="F341"/>
    <hyperlink r:id="rId680" ref="D342"/>
    <hyperlink r:id="rId681" ref="F342"/>
    <hyperlink r:id="rId682" ref="D343"/>
    <hyperlink r:id="rId683" ref="F343"/>
    <hyperlink r:id="rId684" ref="D344"/>
    <hyperlink r:id="rId685" ref="F344"/>
    <hyperlink r:id="rId686" ref="H344"/>
    <hyperlink r:id="rId687" ref="D345"/>
    <hyperlink r:id="rId688" ref="F345"/>
    <hyperlink r:id="rId689" ref="H345"/>
    <hyperlink r:id="rId690" ref="D346"/>
    <hyperlink r:id="rId691" ref="F346"/>
    <hyperlink r:id="rId692" ref="D347"/>
    <hyperlink r:id="rId693" ref="F347"/>
    <hyperlink r:id="rId694" ref="H347"/>
    <hyperlink r:id="rId695" ref="D348"/>
    <hyperlink r:id="rId696" ref="F348"/>
    <hyperlink r:id="rId697" ref="H348"/>
    <hyperlink r:id="rId698" ref="D349"/>
    <hyperlink r:id="rId699" ref="F349"/>
    <hyperlink r:id="rId700" ref="D350"/>
    <hyperlink r:id="rId701" ref="F350"/>
    <hyperlink r:id="rId702" ref="D351"/>
    <hyperlink r:id="rId703" ref="H351"/>
    <hyperlink r:id="rId704" ref="D352"/>
    <hyperlink r:id="rId705" ref="F352"/>
    <hyperlink r:id="rId706" ref="D353"/>
    <hyperlink r:id="rId707" ref="H353"/>
    <hyperlink r:id="rId708" ref="D354"/>
    <hyperlink r:id="rId709" ref="F354"/>
    <hyperlink r:id="rId710" ref="D355"/>
    <hyperlink r:id="rId711" ref="F355"/>
    <hyperlink r:id="rId712" ref="D356"/>
    <hyperlink r:id="rId713" ref="H356"/>
    <hyperlink r:id="rId714" ref="D357"/>
    <hyperlink r:id="rId715" ref="H357"/>
    <hyperlink r:id="rId716" ref="D358"/>
    <hyperlink r:id="rId717" ref="H358"/>
    <hyperlink r:id="rId718" ref="D359"/>
    <hyperlink r:id="rId719" ref="F359"/>
    <hyperlink r:id="rId720" ref="D360"/>
    <hyperlink r:id="rId721" ref="F360"/>
    <hyperlink r:id="rId722" ref="D361"/>
    <hyperlink r:id="rId723" ref="D362"/>
    <hyperlink r:id="rId724" ref="D363"/>
    <hyperlink r:id="rId725" ref="F363"/>
    <hyperlink r:id="rId726" ref="D364"/>
    <hyperlink r:id="rId727" ref="F364"/>
    <hyperlink r:id="rId728" ref="D365"/>
    <hyperlink r:id="rId729" ref="F365"/>
    <hyperlink r:id="rId730" ref="D366"/>
    <hyperlink r:id="rId731" ref="F366"/>
    <hyperlink r:id="rId732" ref="D367"/>
    <hyperlink r:id="rId733" ref="F367"/>
    <hyperlink r:id="rId734" ref="D368"/>
    <hyperlink r:id="rId735" ref="D369"/>
    <hyperlink r:id="rId736" ref="F369"/>
    <hyperlink r:id="rId737" ref="D370"/>
    <hyperlink r:id="rId738" ref="D371"/>
    <hyperlink r:id="rId739" ref="F371"/>
    <hyperlink r:id="rId740" ref="D372"/>
    <hyperlink r:id="rId741" ref="D373"/>
    <hyperlink r:id="rId742" ref="F373"/>
    <hyperlink r:id="rId743" ref="D374"/>
    <hyperlink r:id="rId744" ref="D375"/>
    <hyperlink r:id="rId745" ref="F375"/>
    <hyperlink r:id="rId746" ref="D376"/>
    <hyperlink r:id="rId747" ref="F376"/>
    <hyperlink r:id="rId748" ref="D377"/>
    <hyperlink r:id="rId749" ref="F377"/>
    <hyperlink r:id="rId750" ref="D378"/>
    <hyperlink r:id="rId751" ref="D379"/>
    <hyperlink r:id="rId752" ref="D380"/>
    <hyperlink r:id="rId753" ref="F380"/>
    <hyperlink r:id="rId754" ref="D381"/>
    <hyperlink r:id="rId755" ref="D382"/>
    <hyperlink r:id="rId756" ref="F382"/>
    <hyperlink r:id="rId757" ref="D383"/>
    <hyperlink r:id="rId758" ref="D384"/>
    <hyperlink r:id="rId759" ref="D385"/>
    <hyperlink r:id="rId760" ref="F385"/>
    <hyperlink r:id="rId761" ref="D386"/>
    <hyperlink r:id="rId762" ref="F386"/>
    <hyperlink r:id="rId763" ref="H386"/>
    <hyperlink r:id="rId764" ref="D387"/>
    <hyperlink r:id="rId765" ref="F387"/>
    <hyperlink r:id="rId766" ref="D388"/>
    <hyperlink r:id="rId767" ref="F388"/>
    <hyperlink r:id="rId768" ref="D389"/>
    <hyperlink r:id="rId769" ref="F389"/>
    <hyperlink r:id="rId770" ref="H389"/>
    <hyperlink r:id="rId771" ref="D390"/>
    <hyperlink r:id="rId772" ref="F390"/>
    <hyperlink r:id="rId773" ref="H390"/>
    <hyperlink r:id="rId774" ref="D391"/>
    <hyperlink r:id="rId775" ref="F391"/>
    <hyperlink r:id="rId776" ref="H391"/>
    <hyperlink r:id="rId777" ref="D392"/>
    <hyperlink r:id="rId778" ref="F392"/>
    <hyperlink r:id="rId779" ref="H392"/>
    <hyperlink r:id="rId780" ref="D393"/>
    <hyperlink r:id="rId781" ref="F393"/>
    <hyperlink r:id="rId782" ref="H393"/>
    <hyperlink r:id="rId783" ref="D394"/>
    <hyperlink r:id="rId784" ref="F394"/>
    <hyperlink r:id="rId785" ref="H394"/>
    <hyperlink r:id="rId786" ref="D395"/>
    <hyperlink r:id="rId787" ref="F395"/>
    <hyperlink r:id="rId788" ref="H395"/>
    <hyperlink r:id="rId789" ref="D396"/>
    <hyperlink r:id="rId790" ref="F396"/>
    <hyperlink r:id="rId791" ref="H396"/>
    <hyperlink r:id="rId792" ref="D397"/>
    <hyperlink r:id="rId793" ref="F397"/>
    <hyperlink r:id="rId794" ref="H397"/>
    <hyperlink r:id="rId795" ref="D398"/>
    <hyperlink r:id="rId796" ref="F398"/>
    <hyperlink r:id="rId797" ref="D399"/>
    <hyperlink r:id="rId798" ref="F399"/>
    <hyperlink r:id="rId799" ref="D400"/>
    <hyperlink r:id="rId800" ref="F400"/>
    <hyperlink r:id="rId801" ref="D401"/>
    <hyperlink r:id="rId802" ref="D402"/>
    <hyperlink r:id="rId803" ref="D403"/>
    <hyperlink r:id="rId804" ref="F403"/>
    <hyperlink r:id="rId805" ref="D404"/>
    <hyperlink r:id="rId806" ref="D405"/>
    <hyperlink r:id="rId807" ref="F405"/>
    <hyperlink r:id="rId808" ref="D406"/>
    <hyperlink r:id="rId809" ref="F406"/>
    <hyperlink r:id="rId810" ref="D407"/>
    <hyperlink r:id="rId811" ref="F407"/>
    <hyperlink r:id="rId812" ref="H407"/>
    <hyperlink r:id="rId813" ref="D408"/>
    <hyperlink r:id="rId814" ref="F408"/>
    <hyperlink r:id="rId815" ref="H408"/>
    <hyperlink r:id="rId816" ref="D409"/>
    <hyperlink r:id="rId817" ref="F409"/>
    <hyperlink r:id="rId818" ref="H409"/>
    <hyperlink r:id="rId819" ref="D410"/>
    <hyperlink r:id="rId820" ref="F410"/>
    <hyperlink r:id="rId821" ref="H410"/>
    <hyperlink r:id="rId822" ref="D411"/>
    <hyperlink r:id="rId823" ref="H411"/>
    <hyperlink r:id="rId824" ref="D412"/>
    <hyperlink r:id="rId825" ref="F412"/>
    <hyperlink r:id="rId826" ref="D413"/>
    <hyperlink r:id="rId827" ref="F413"/>
    <hyperlink r:id="rId828" ref="D414"/>
    <hyperlink r:id="rId829" ref="F414"/>
    <hyperlink r:id="rId830" ref="D415"/>
    <hyperlink r:id="rId831" ref="F415"/>
    <hyperlink r:id="rId832" ref="H415"/>
    <hyperlink r:id="rId833" ref="D416"/>
    <hyperlink r:id="rId834" ref="F416"/>
    <hyperlink r:id="rId835" ref="H416"/>
    <hyperlink r:id="rId836" ref="D417"/>
    <hyperlink r:id="rId837" ref="D418"/>
    <hyperlink r:id="rId838" ref="D419"/>
    <hyperlink r:id="rId839" ref="F419"/>
    <hyperlink r:id="rId840" ref="D420"/>
    <hyperlink r:id="rId841" ref="F420"/>
    <hyperlink r:id="rId842" ref="D421"/>
    <hyperlink r:id="rId843" ref="F421"/>
    <hyperlink r:id="rId844" ref="D422"/>
    <hyperlink r:id="rId845" ref="F422"/>
    <hyperlink r:id="rId846" ref="D423"/>
    <hyperlink r:id="rId847" ref="D424"/>
    <hyperlink r:id="rId848" ref="F424"/>
    <hyperlink r:id="rId849" ref="H424"/>
    <hyperlink r:id="rId850" ref="D425"/>
    <hyperlink r:id="rId851" ref="H425"/>
    <hyperlink r:id="rId852" ref="D426"/>
    <hyperlink r:id="rId853" ref="F426"/>
    <hyperlink r:id="rId854" ref="D427"/>
    <hyperlink r:id="rId855" ref="D428"/>
    <hyperlink r:id="rId856" ref="D429"/>
    <hyperlink r:id="rId857" ref="F429"/>
    <hyperlink r:id="rId858" ref="D430"/>
    <hyperlink r:id="rId859" ref="D431"/>
    <hyperlink r:id="rId860" ref="F431"/>
    <hyperlink r:id="rId861" ref="D432"/>
    <hyperlink r:id="rId862" ref="F432"/>
    <hyperlink r:id="rId863" ref="H432"/>
    <hyperlink r:id="rId864" ref="D433"/>
    <hyperlink r:id="rId865" ref="F433"/>
    <hyperlink r:id="rId866" ref="D434"/>
    <hyperlink r:id="rId867" ref="F434"/>
    <hyperlink r:id="rId868" ref="D435"/>
    <hyperlink r:id="rId869" ref="F435"/>
    <hyperlink r:id="rId870" ref="H435"/>
    <hyperlink r:id="rId871" ref="D436"/>
    <hyperlink r:id="rId872" ref="F436"/>
    <hyperlink r:id="rId873" ref="D437"/>
    <hyperlink r:id="rId874" ref="F437"/>
    <hyperlink r:id="rId875" ref="H437"/>
    <hyperlink r:id="rId876" ref="D438"/>
    <hyperlink r:id="rId877" ref="F438"/>
    <hyperlink r:id="rId878" ref="D439"/>
    <hyperlink r:id="rId879" ref="D440"/>
    <hyperlink r:id="rId880" ref="F440"/>
    <hyperlink r:id="rId881" ref="D441"/>
    <hyperlink r:id="rId882" ref="F441"/>
    <hyperlink r:id="rId883" ref="H441"/>
    <hyperlink r:id="rId884" ref="D442"/>
    <hyperlink r:id="rId885" ref="F442"/>
    <hyperlink r:id="rId886" ref="D443"/>
    <hyperlink r:id="rId887" ref="F443"/>
    <hyperlink r:id="rId888" ref="H443"/>
    <hyperlink r:id="rId889" ref="D444"/>
    <hyperlink r:id="rId890" ref="F444"/>
    <hyperlink r:id="rId891" ref="H444"/>
    <hyperlink r:id="rId892" ref="D445"/>
    <hyperlink r:id="rId893" ref="F445"/>
    <hyperlink r:id="rId894" ref="H445"/>
    <hyperlink r:id="rId895" ref="D446"/>
    <hyperlink r:id="rId896" ref="F446"/>
    <hyperlink r:id="rId897" ref="H446"/>
    <hyperlink r:id="rId898" ref="D447"/>
    <hyperlink r:id="rId899" ref="F447"/>
    <hyperlink r:id="rId900" ref="H447"/>
    <hyperlink r:id="rId901" ref="D448"/>
    <hyperlink r:id="rId902" ref="F448"/>
    <hyperlink r:id="rId903" ref="D449"/>
    <hyperlink r:id="rId904" ref="F449"/>
    <hyperlink r:id="rId905" ref="D450"/>
    <hyperlink r:id="rId906" ref="F450"/>
    <hyperlink r:id="rId907" ref="D451"/>
    <hyperlink r:id="rId908" ref="D452"/>
    <hyperlink r:id="rId909" ref="D453"/>
    <hyperlink r:id="rId910" ref="F453"/>
    <hyperlink r:id="rId911" ref="D454"/>
    <hyperlink r:id="rId912" ref="F454"/>
    <hyperlink r:id="rId913" ref="D455"/>
    <hyperlink r:id="rId914" ref="F455"/>
    <hyperlink r:id="rId915" ref="D456"/>
    <hyperlink r:id="rId916" ref="F456"/>
    <hyperlink r:id="rId917" ref="D457"/>
    <hyperlink r:id="rId918" ref="F457"/>
    <hyperlink r:id="rId919" ref="D458"/>
    <hyperlink r:id="rId920" ref="F458"/>
    <hyperlink r:id="rId921" ref="D459"/>
    <hyperlink r:id="rId922" ref="F459"/>
    <hyperlink r:id="rId923" ref="H459"/>
    <hyperlink r:id="rId924" ref="D460"/>
    <hyperlink r:id="rId925" ref="F460"/>
    <hyperlink r:id="rId926" ref="D461"/>
    <hyperlink r:id="rId927" ref="F461"/>
    <hyperlink r:id="rId928" ref="D462"/>
    <hyperlink r:id="rId929" ref="F462"/>
    <hyperlink r:id="rId930" ref="D463"/>
    <hyperlink r:id="rId931" ref="F463"/>
    <hyperlink r:id="rId932" ref="D464"/>
    <hyperlink r:id="rId933" ref="F464"/>
    <hyperlink r:id="rId934" ref="H464"/>
    <hyperlink r:id="rId935" ref="D465"/>
    <hyperlink r:id="rId936" ref="F465"/>
    <hyperlink r:id="rId937" ref="D466"/>
    <hyperlink r:id="rId938" ref="F466"/>
    <hyperlink r:id="rId939" ref="D467"/>
    <hyperlink r:id="rId940" ref="F467"/>
    <hyperlink r:id="rId941" ref="D468"/>
    <hyperlink r:id="rId942" ref="F468"/>
    <hyperlink r:id="rId943" ref="D469"/>
    <hyperlink r:id="rId944" ref="D470"/>
    <hyperlink r:id="rId945" ref="F470"/>
    <hyperlink r:id="rId946" ref="D471"/>
    <hyperlink r:id="rId947" ref="F471"/>
    <hyperlink r:id="rId948" ref="D472"/>
    <hyperlink r:id="rId949" ref="F472"/>
    <hyperlink r:id="rId950" ref="D473"/>
    <hyperlink r:id="rId951" ref="F473"/>
    <hyperlink r:id="rId952" ref="D474"/>
    <hyperlink r:id="rId953" ref="F474"/>
    <hyperlink r:id="rId954" ref="D475"/>
    <hyperlink r:id="rId955" ref="F475"/>
    <hyperlink r:id="rId956" ref="D476"/>
    <hyperlink r:id="rId957" ref="F476"/>
    <hyperlink r:id="rId958" ref="D477"/>
    <hyperlink r:id="rId959" ref="F477"/>
    <hyperlink r:id="rId960" ref="D478"/>
    <hyperlink r:id="rId961" ref="F478"/>
    <hyperlink r:id="rId962" ref="D479"/>
    <hyperlink r:id="rId963" ref="F479"/>
    <hyperlink r:id="rId964" ref="D480"/>
    <hyperlink r:id="rId965" ref="F480"/>
    <hyperlink r:id="rId966" ref="D481"/>
    <hyperlink r:id="rId967" ref="D482"/>
    <hyperlink r:id="rId968" ref="D483"/>
    <hyperlink r:id="rId969" ref="F483"/>
    <hyperlink r:id="rId970" ref="D484"/>
    <hyperlink r:id="rId971" ref="F484"/>
    <hyperlink r:id="rId972" ref="D485"/>
    <hyperlink r:id="rId973" ref="F485"/>
    <hyperlink r:id="rId974" ref="D486"/>
    <hyperlink r:id="rId975" ref="D487"/>
    <hyperlink r:id="rId976" ref="D488"/>
    <hyperlink r:id="rId977" ref="D489"/>
    <hyperlink r:id="rId978" ref="D490"/>
    <hyperlink r:id="rId979" ref="F490"/>
    <hyperlink r:id="rId980" ref="D491"/>
    <hyperlink r:id="rId981" ref="D492"/>
    <hyperlink r:id="rId982" ref="F492"/>
    <hyperlink r:id="rId983" ref="D493"/>
    <hyperlink r:id="rId984" ref="D494"/>
    <hyperlink r:id="rId985" ref="D495"/>
    <hyperlink r:id="rId986" ref="H495"/>
    <hyperlink r:id="rId987" ref="D496"/>
    <hyperlink r:id="rId988" ref="F496"/>
    <hyperlink r:id="rId989" ref="H496"/>
    <hyperlink r:id="rId990" ref="D497"/>
    <hyperlink r:id="rId991" ref="F497"/>
    <hyperlink r:id="rId992" ref="H497"/>
    <hyperlink r:id="rId993" ref="D498"/>
    <hyperlink r:id="rId994" ref="F498"/>
    <hyperlink r:id="rId995" ref="H498"/>
    <hyperlink r:id="rId996" ref="D499"/>
    <hyperlink r:id="rId997" ref="F499"/>
    <hyperlink r:id="rId998" ref="H499"/>
    <hyperlink r:id="rId999" ref="D500"/>
    <hyperlink r:id="rId1000" ref="F500"/>
    <hyperlink r:id="rId1001" ref="D501"/>
    <hyperlink r:id="rId1002" ref="F501"/>
    <hyperlink r:id="rId1003" ref="D502"/>
    <hyperlink r:id="rId1004" ref="F502"/>
    <hyperlink r:id="rId1005" ref="D503"/>
    <hyperlink r:id="rId1006" ref="F503"/>
    <hyperlink r:id="rId1007" ref="D504"/>
    <hyperlink r:id="rId1008" ref="F504"/>
    <hyperlink r:id="rId1009" ref="D505"/>
    <hyperlink r:id="rId1010" ref="F505"/>
    <hyperlink r:id="rId1011" ref="D506"/>
    <hyperlink r:id="rId1012" ref="F506"/>
    <hyperlink r:id="rId1013" ref="D507"/>
    <hyperlink r:id="rId1014" ref="F507"/>
    <hyperlink r:id="rId1015" ref="D508"/>
    <hyperlink r:id="rId1016" ref="F508"/>
    <hyperlink r:id="rId1017" ref="D509"/>
    <hyperlink r:id="rId1018" ref="F509"/>
    <hyperlink r:id="rId1019" ref="D510"/>
    <hyperlink r:id="rId1020" ref="F510"/>
    <hyperlink r:id="rId1021" ref="D511"/>
    <hyperlink r:id="rId1022" ref="F511"/>
    <hyperlink r:id="rId1023" ref="D512"/>
    <hyperlink r:id="rId1024" ref="F512"/>
    <hyperlink r:id="rId1025" ref="D513"/>
    <hyperlink r:id="rId1026" ref="F513"/>
    <hyperlink r:id="rId1027" ref="D514"/>
    <hyperlink r:id="rId1028" ref="F514"/>
    <hyperlink r:id="rId1029" ref="H514"/>
    <hyperlink r:id="rId1030" ref="D515"/>
    <hyperlink r:id="rId1031" ref="F515"/>
    <hyperlink r:id="rId1032" ref="D516"/>
    <hyperlink r:id="rId1033" ref="F516"/>
    <hyperlink r:id="rId1034" ref="D517"/>
    <hyperlink r:id="rId1035" ref="F517"/>
    <hyperlink r:id="rId1036" ref="D518"/>
    <hyperlink r:id="rId1037" ref="F518"/>
    <hyperlink r:id="rId1038" ref="D519"/>
    <hyperlink r:id="rId1039" ref="F519"/>
    <hyperlink r:id="rId1040" ref="D520"/>
    <hyperlink r:id="rId1041" ref="F520"/>
    <hyperlink r:id="rId1042" ref="D521"/>
    <hyperlink r:id="rId1043" ref="D522"/>
    <hyperlink r:id="rId1044" ref="F522"/>
    <hyperlink r:id="rId1045" ref="D523"/>
    <hyperlink r:id="rId1046" ref="F523"/>
    <hyperlink r:id="rId1047" ref="D524"/>
    <hyperlink r:id="rId1048" ref="F524"/>
    <hyperlink r:id="rId1049" ref="D525"/>
    <hyperlink r:id="rId1050" ref="F525"/>
    <hyperlink r:id="rId1051" ref="D526"/>
    <hyperlink r:id="rId1052" ref="D527"/>
    <hyperlink r:id="rId1053" ref="F527"/>
    <hyperlink r:id="rId1054" ref="D528"/>
    <hyperlink r:id="rId1055" ref="F528"/>
    <hyperlink r:id="rId1056" ref="D529"/>
    <hyperlink r:id="rId1057" ref="F529"/>
    <hyperlink r:id="rId1058" ref="D530"/>
    <hyperlink r:id="rId1059" ref="D531"/>
    <hyperlink r:id="rId1060" ref="D532"/>
    <hyperlink r:id="rId1061" ref="F532"/>
    <hyperlink r:id="rId1062" ref="H532"/>
    <hyperlink r:id="rId1063" ref="D533"/>
    <hyperlink r:id="rId1064" ref="F533"/>
    <hyperlink r:id="rId1065" ref="H533"/>
    <hyperlink r:id="rId1066" ref="D534"/>
    <hyperlink r:id="rId1067" ref="F534"/>
    <hyperlink r:id="rId1068" ref="D535"/>
    <hyperlink r:id="rId1069" ref="F535"/>
    <hyperlink r:id="rId1070" ref="D536"/>
    <hyperlink r:id="rId1071" ref="F536"/>
    <hyperlink r:id="rId1072" ref="D537"/>
    <hyperlink r:id="rId1073" ref="F537"/>
    <hyperlink r:id="rId1074" ref="D538"/>
    <hyperlink r:id="rId1075" ref="F538"/>
    <hyperlink r:id="rId1076" ref="D539"/>
    <hyperlink r:id="rId1077" ref="D540"/>
    <hyperlink r:id="rId1078" ref="F540"/>
    <hyperlink r:id="rId1079" ref="D541"/>
    <hyperlink r:id="rId1080" ref="F541"/>
    <hyperlink r:id="rId1081" ref="D542"/>
    <hyperlink r:id="rId1082" ref="D543"/>
    <hyperlink r:id="rId1083" ref="F543"/>
    <hyperlink r:id="rId1084" ref="D544"/>
    <hyperlink r:id="rId1085" ref="F544"/>
    <hyperlink r:id="rId1086" ref="D545"/>
    <hyperlink r:id="rId1087" ref="D546"/>
    <hyperlink r:id="rId1088" ref="F546"/>
    <hyperlink r:id="rId1089" ref="D547"/>
    <hyperlink r:id="rId1090" ref="F547"/>
    <hyperlink r:id="rId1091" ref="D548"/>
    <hyperlink r:id="rId1092" ref="D549"/>
    <hyperlink r:id="rId1093" ref="D550"/>
    <hyperlink r:id="rId1094" ref="D551"/>
    <hyperlink r:id="rId1095" ref="F551"/>
    <hyperlink r:id="rId1096" ref="H551"/>
    <hyperlink r:id="rId1097" ref="D552"/>
    <hyperlink r:id="rId1098" ref="F552"/>
    <hyperlink r:id="rId1099" ref="H552"/>
    <hyperlink r:id="rId1100" ref="D553"/>
    <hyperlink r:id="rId1101" ref="H553"/>
    <hyperlink r:id="rId1102" ref="D554"/>
    <hyperlink r:id="rId1103" ref="H554"/>
    <hyperlink r:id="rId1104" ref="D555"/>
    <hyperlink r:id="rId1105" ref="F555"/>
    <hyperlink r:id="rId1106" ref="D556"/>
    <hyperlink r:id="rId1107" ref="F556"/>
    <hyperlink r:id="rId1108" ref="D557"/>
    <hyperlink r:id="rId1109" ref="F557"/>
    <hyperlink r:id="rId1110" ref="D558"/>
    <hyperlink r:id="rId1111" ref="F558"/>
    <hyperlink r:id="rId1112" ref="D559"/>
    <hyperlink r:id="rId1113" ref="D560"/>
    <hyperlink r:id="rId1114" ref="D561"/>
    <hyperlink r:id="rId1115" ref="D562"/>
    <hyperlink r:id="rId1116" ref="D563"/>
    <hyperlink r:id="rId1117" ref="D564"/>
    <hyperlink r:id="rId1118" ref="D565"/>
    <hyperlink r:id="rId1119" ref="F565"/>
    <hyperlink r:id="rId1120" ref="H565"/>
    <hyperlink r:id="rId1121" ref="D566"/>
    <hyperlink r:id="rId1122" ref="F566"/>
    <hyperlink r:id="rId1123" ref="H566"/>
    <hyperlink r:id="rId1124" ref="D567"/>
    <hyperlink r:id="rId1125" ref="D568"/>
    <hyperlink r:id="rId1126" ref="H568"/>
    <hyperlink r:id="rId1127" ref="D569"/>
    <hyperlink r:id="rId1128" ref="F569"/>
    <hyperlink r:id="rId1129" ref="H569"/>
    <hyperlink r:id="rId1130" ref="D570"/>
    <hyperlink r:id="rId1131" ref="H570"/>
    <hyperlink r:id="rId1132" ref="D571"/>
    <hyperlink r:id="rId1133" ref="D572"/>
    <hyperlink r:id="rId1134" ref="D573"/>
    <hyperlink r:id="rId1135" ref="D574"/>
    <hyperlink r:id="rId1136" ref="F574"/>
    <hyperlink r:id="rId1137" ref="D575"/>
    <hyperlink r:id="rId1138" ref="D576"/>
    <hyperlink r:id="rId1139" ref="D577"/>
    <hyperlink r:id="rId1140" ref="F577"/>
    <hyperlink r:id="rId1141" ref="H577"/>
    <hyperlink r:id="rId1142" ref="D578"/>
    <hyperlink r:id="rId1143" ref="F578"/>
    <hyperlink r:id="rId1144" ref="H578"/>
    <hyperlink r:id="rId1145" ref="D579"/>
    <hyperlink r:id="rId1146" ref="F579"/>
    <hyperlink r:id="rId1147" ref="H579"/>
    <hyperlink r:id="rId1148" ref="D580"/>
    <hyperlink r:id="rId1149" ref="F580"/>
    <hyperlink r:id="rId1150" ref="H580"/>
    <hyperlink r:id="rId1151" ref="D581"/>
    <hyperlink r:id="rId1152" ref="F581"/>
    <hyperlink r:id="rId1153" ref="D582"/>
    <hyperlink r:id="rId1154" ref="F582"/>
    <hyperlink r:id="rId1155" ref="H582"/>
    <hyperlink r:id="rId1156" ref="D583"/>
    <hyperlink r:id="rId1157" ref="F583"/>
    <hyperlink r:id="rId1158" ref="H583"/>
    <hyperlink r:id="rId1159" ref="D584"/>
    <hyperlink r:id="rId1160" ref="F584"/>
    <hyperlink r:id="rId1161" ref="D585"/>
    <hyperlink r:id="rId1162" ref="F585"/>
    <hyperlink r:id="rId1163" ref="D586"/>
    <hyperlink r:id="rId1164" ref="F586"/>
    <hyperlink r:id="rId1165" ref="D587"/>
    <hyperlink r:id="rId1166" ref="F587"/>
    <hyperlink r:id="rId1167" ref="D588"/>
    <hyperlink r:id="rId1168" ref="F588"/>
    <hyperlink r:id="rId1169" ref="D589"/>
    <hyperlink r:id="rId1170" ref="F589"/>
    <hyperlink r:id="rId1171" ref="D590"/>
    <hyperlink r:id="rId1172" ref="F590"/>
    <hyperlink r:id="rId1173" ref="D591"/>
    <hyperlink r:id="rId1174" ref="F591"/>
    <hyperlink r:id="rId1175" ref="D592"/>
    <hyperlink r:id="rId1176" ref="F592"/>
    <hyperlink r:id="rId1177" ref="D593"/>
    <hyperlink r:id="rId1178" ref="F593"/>
    <hyperlink r:id="rId1179" ref="D594"/>
    <hyperlink r:id="rId1180" ref="F594"/>
    <hyperlink r:id="rId1181" ref="D595"/>
    <hyperlink r:id="rId1182" ref="F595"/>
    <hyperlink r:id="rId1183" ref="D596"/>
    <hyperlink r:id="rId1184" ref="F596"/>
    <hyperlink r:id="rId1185" ref="D597"/>
    <hyperlink r:id="rId1186" ref="F597"/>
    <hyperlink r:id="rId1187" ref="D598"/>
    <hyperlink r:id="rId1188" ref="F598"/>
    <hyperlink r:id="rId1189" ref="H598"/>
    <hyperlink r:id="rId1190" ref="D599"/>
    <hyperlink r:id="rId1191" ref="D600"/>
    <hyperlink r:id="rId1192" ref="F600"/>
    <hyperlink r:id="rId1193" ref="H600"/>
    <hyperlink r:id="rId1194" ref="D601"/>
    <hyperlink r:id="rId1195" ref="F601"/>
    <hyperlink r:id="rId1196" ref="H601"/>
    <hyperlink r:id="rId1197" ref="D602"/>
    <hyperlink r:id="rId1198" ref="F602"/>
    <hyperlink r:id="rId1199" ref="H602"/>
    <hyperlink r:id="rId1200" ref="D603"/>
    <hyperlink r:id="rId1201" ref="F603"/>
    <hyperlink r:id="rId1202" ref="H603"/>
    <hyperlink r:id="rId1203" ref="D604"/>
    <hyperlink r:id="rId1204" ref="F604"/>
    <hyperlink r:id="rId1205" ref="D605"/>
    <hyperlink r:id="rId1206" ref="F605"/>
    <hyperlink r:id="rId1207" ref="H605"/>
    <hyperlink r:id="rId1208" ref="D606"/>
    <hyperlink r:id="rId1209" ref="F606"/>
    <hyperlink r:id="rId1210" ref="D607"/>
    <hyperlink r:id="rId1211" ref="D608"/>
    <hyperlink r:id="rId1212" ref="F608"/>
    <hyperlink r:id="rId1213" ref="D609"/>
    <hyperlink r:id="rId1214" ref="F609"/>
    <hyperlink r:id="rId1215" ref="D610"/>
    <hyperlink r:id="rId1216" ref="F610"/>
    <hyperlink r:id="rId1217" ref="D611"/>
    <hyperlink r:id="rId1218" ref="F611"/>
    <hyperlink r:id="rId1219" ref="D612"/>
    <hyperlink r:id="rId1220" ref="F612"/>
    <hyperlink r:id="rId1221" ref="D613"/>
    <hyperlink r:id="rId1222" ref="F613"/>
    <hyperlink r:id="rId1223" ref="H613"/>
    <hyperlink r:id="rId1224" ref="D614"/>
    <hyperlink r:id="rId1225" ref="F614"/>
    <hyperlink r:id="rId1226" ref="D615"/>
    <hyperlink r:id="rId1227" ref="F615"/>
    <hyperlink r:id="rId1228" ref="D616"/>
    <hyperlink r:id="rId1229" ref="F616"/>
    <hyperlink r:id="rId1230" ref="D617"/>
    <hyperlink r:id="rId1231" ref="F617"/>
    <hyperlink r:id="rId1232" ref="D618"/>
    <hyperlink r:id="rId1233" ref="D619"/>
    <hyperlink r:id="rId1234" ref="F619"/>
    <hyperlink r:id="rId1235" ref="D620"/>
    <hyperlink r:id="rId1236" ref="F620"/>
    <hyperlink r:id="rId1237" ref="D621"/>
    <hyperlink r:id="rId1238" ref="F621"/>
    <hyperlink r:id="rId1239" ref="H621"/>
    <hyperlink r:id="rId1240" ref="D622"/>
    <hyperlink r:id="rId1241" ref="F622"/>
    <hyperlink r:id="rId1242" ref="H622"/>
    <hyperlink r:id="rId1243" ref="D623"/>
    <hyperlink r:id="rId1244" ref="F623"/>
    <hyperlink r:id="rId1245" ref="H623"/>
    <hyperlink r:id="rId1246" ref="D624"/>
    <hyperlink r:id="rId1247" ref="F624"/>
    <hyperlink r:id="rId1248" ref="D625"/>
    <hyperlink r:id="rId1249" ref="F625"/>
    <hyperlink r:id="rId1250" ref="D626"/>
    <hyperlink r:id="rId1251" ref="F626"/>
    <hyperlink r:id="rId1252" ref="H626"/>
    <hyperlink r:id="rId1253" ref="D627"/>
    <hyperlink r:id="rId1254" ref="F627"/>
    <hyperlink r:id="rId1255" ref="D628"/>
    <hyperlink r:id="rId1256" ref="F628"/>
    <hyperlink r:id="rId1257" ref="D629"/>
    <hyperlink r:id="rId1258" ref="F629"/>
    <hyperlink r:id="rId1259" ref="D630"/>
    <hyperlink r:id="rId1260" ref="F630"/>
    <hyperlink r:id="rId1261" ref="D631"/>
    <hyperlink r:id="rId1262" ref="F631"/>
    <hyperlink r:id="rId1263" ref="D632"/>
    <hyperlink r:id="rId1264" ref="F632"/>
    <hyperlink r:id="rId1265" ref="D633"/>
    <hyperlink r:id="rId1266" ref="F633"/>
    <hyperlink r:id="rId1267" ref="D634"/>
    <hyperlink r:id="rId1268" ref="F634"/>
    <hyperlink r:id="rId1269" ref="D635"/>
    <hyperlink r:id="rId1270" ref="F635"/>
    <hyperlink r:id="rId1271" ref="H635"/>
    <hyperlink r:id="rId1272" ref="D636"/>
    <hyperlink r:id="rId1273" ref="F636"/>
    <hyperlink r:id="rId1274" ref="D637"/>
    <hyperlink r:id="rId1275" ref="F637"/>
    <hyperlink r:id="rId1276" ref="H637"/>
    <hyperlink r:id="rId1277" ref="D638"/>
    <hyperlink r:id="rId1278" ref="F638"/>
    <hyperlink r:id="rId1279" ref="D639"/>
    <hyperlink r:id="rId1280" ref="F639"/>
    <hyperlink r:id="rId1281" ref="H639"/>
    <hyperlink r:id="rId1282" ref="D640"/>
    <hyperlink r:id="rId1283" ref="F640"/>
    <hyperlink r:id="rId1284" ref="D641"/>
    <hyperlink r:id="rId1285" ref="F641"/>
    <hyperlink r:id="rId1286" ref="D642"/>
    <hyperlink r:id="rId1287" ref="F642"/>
    <hyperlink r:id="rId1288" ref="D643"/>
    <hyperlink r:id="rId1289" ref="F643"/>
    <hyperlink r:id="rId1290" ref="H643"/>
    <hyperlink r:id="rId1291" ref="D644"/>
    <hyperlink r:id="rId1292" ref="F644"/>
    <hyperlink r:id="rId1293" ref="H644"/>
    <hyperlink r:id="rId1294" ref="D645"/>
    <hyperlink r:id="rId1295" ref="F645"/>
    <hyperlink r:id="rId1296" ref="H645"/>
    <hyperlink r:id="rId1297" ref="D646"/>
    <hyperlink r:id="rId1298" ref="F646"/>
    <hyperlink r:id="rId1299" ref="H646"/>
    <hyperlink r:id="rId1300" ref="D647"/>
    <hyperlink r:id="rId1301" ref="F647"/>
    <hyperlink r:id="rId1302" ref="H647"/>
    <hyperlink r:id="rId1303" ref="D648"/>
    <hyperlink r:id="rId1304" ref="H648"/>
    <hyperlink r:id="rId1305" ref="D649"/>
    <hyperlink r:id="rId1306" ref="F649"/>
    <hyperlink r:id="rId1307" ref="H649"/>
    <hyperlink r:id="rId1308" ref="D650"/>
    <hyperlink r:id="rId1309" ref="F650"/>
    <hyperlink r:id="rId1310" ref="D651"/>
    <hyperlink r:id="rId1311" ref="F651"/>
    <hyperlink r:id="rId1312" ref="H651"/>
    <hyperlink r:id="rId1313" ref="D652"/>
    <hyperlink r:id="rId1314" ref="F652"/>
    <hyperlink r:id="rId1315" ref="D653"/>
    <hyperlink r:id="rId1316" ref="F653"/>
    <hyperlink r:id="rId1317" ref="D654"/>
    <hyperlink r:id="rId1318" ref="F654"/>
    <hyperlink r:id="rId1319" ref="D655"/>
    <hyperlink r:id="rId1320" ref="F655"/>
    <hyperlink r:id="rId1321" ref="D656"/>
    <hyperlink r:id="rId1322" ref="F656"/>
    <hyperlink r:id="rId1323" ref="D657"/>
    <hyperlink r:id="rId1324" ref="F657"/>
    <hyperlink r:id="rId1325" ref="H657"/>
    <hyperlink r:id="rId1326" ref="D658"/>
    <hyperlink r:id="rId1327" ref="F658"/>
    <hyperlink r:id="rId1328" ref="H658"/>
    <hyperlink r:id="rId1329" ref="D659"/>
    <hyperlink r:id="rId1330" ref="F659"/>
    <hyperlink r:id="rId1331" ref="H659"/>
    <hyperlink r:id="rId1332" ref="D660"/>
    <hyperlink r:id="rId1333" ref="F660"/>
    <hyperlink r:id="rId1334" ref="H660"/>
    <hyperlink r:id="rId1335" ref="D661"/>
    <hyperlink r:id="rId1336" ref="F661"/>
    <hyperlink r:id="rId1337" ref="H661"/>
    <hyperlink r:id="rId1338" ref="D662"/>
    <hyperlink r:id="rId1339" ref="F662"/>
    <hyperlink r:id="rId1340" ref="D663"/>
    <hyperlink r:id="rId1341" ref="F663"/>
    <hyperlink r:id="rId1342" ref="D664"/>
    <hyperlink r:id="rId1343" ref="F664"/>
    <hyperlink r:id="rId1344" ref="D665"/>
    <hyperlink r:id="rId1345" ref="F665"/>
    <hyperlink r:id="rId1346" ref="D666"/>
    <hyperlink r:id="rId1347" ref="F666"/>
    <hyperlink r:id="rId1348" ref="D667"/>
    <hyperlink r:id="rId1349" ref="F667"/>
    <hyperlink r:id="rId1350" ref="H667"/>
    <hyperlink r:id="rId1351" ref="D668"/>
    <hyperlink r:id="rId1352" ref="F668"/>
    <hyperlink r:id="rId1353" ref="H668"/>
    <hyperlink r:id="rId1354" ref="D669"/>
    <hyperlink r:id="rId1355" ref="F669"/>
    <hyperlink r:id="rId1356" ref="H669"/>
    <hyperlink r:id="rId1357" ref="D670"/>
    <hyperlink r:id="rId1358" ref="F670"/>
    <hyperlink r:id="rId1359" ref="H670"/>
    <hyperlink r:id="rId1360" ref="D671"/>
    <hyperlink r:id="rId1361" ref="F671"/>
    <hyperlink r:id="rId1362" ref="H671"/>
    <hyperlink r:id="rId1363" ref="D672"/>
    <hyperlink r:id="rId1364" ref="F672"/>
    <hyperlink r:id="rId1365" ref="H672"/>
    <hyperlink r:id="rId1366" ref="D673"/>
    <hyperlink r:id="rId1367" ref="F673"/>
    <hyperlink r:id="rId1368" ref="D674"/>
    <hyperlink r:id="rId1369" ref="F674"/>
    <hyperlink r:id="rId1370" ref="D675"/>
    <hyperlink r:id="rId1371" ref="F675"/>
    <hyperlink r:id="rId1372" ref="D676"/>
    <hyperlink r:id="rId1373" ref="F676"/>
    <hyperlink r:id="rId1374" ref="D677"/>
    <hyperlink r:id="rId1375" ref="F677"/>
    <hyperlink r:id="rId1376" ref="H677"/>
    <hyperlink r:id="rId1377" ref="D678"/>
    <hyperlink r:id="rId1378" ref="F678"/>
    <hyperlink r:id="rId1379" ref="D679"/>
    <hyperlink r:id="rId1380" ref="F679"/>
    <hyperlink r:id="rId1381" ref="D680"/>
    <hyperlink r:id="rId1382" ref="F680"/>
    <hyperlink r:id="rId1383" ref="D681"/>
    <hyperlink r:id="rId1384" ref="F681"/>
    <hyperlink r:id="rId1385" ref="D682"/>
    <hyperlink r:id="rId1386" ref="F682"/>
    <hyperlink r:id="rId1387" ref="D683"/>
    <hyperlink r:id="rId1388" ref="F683"/>
    <hyperlink r:id="rId1389" ref="D684"/>
    <hyperlink r:id="rId1390" ref="F684"/>
    <hyperlink r:id="rId1391" ref="D685"/>
    <hyperlink r:id="rId1392" ref="D686"/>
    <hyperlink r:id="rId1393" ref="F686"/>
    <hyperlink r:id="rId1394" ref="D687"/>
    <hyperlink r:id="rId1395" ref="F687"/>
    <hyperlink r:id="rId1396" ref="D688"/>
    <hyperlink r:id="rId1397" ref="F688"/>
    <hyperlink r:id="rId1398" ref="D689"/>
    <hyperlink r:id="rId1399" ref="F689"/>
    <hyperlink r:id="rId1400" ref="D690"/>
    <hyperlink r:id="rId1401" ref="F690"/>
    <hyperlink r:id="rId1402" ref="D691"/>
    <hyperlink r:id="rId1403" ref="F691"/>
    <hyperlink r:id="rId1404" ref="D692"/>
    <hyperlink r:id="rId1405" ref="F692"/>
    <hyperlink r:id="rId1406" ref="D693"/>
    <hyperlink r:id="rId1407" ref="F693"/>
    <hyperlink r:id="rId1408" ref="D694"/>
    <hyperlink r:id="rId1409" ref="F694"/>
    <hyperlink r:id="rId1410" ref="H694"/>
    <hyperlink r:id="rId1411" ref="D695"/>
    <hyperlink r:id="rId1412" ref="F695"/>
    <hyperlink r:id="rId1413" ref="H695"/>
    <hyperlink r:id="rId1414" ref="D696"/>
    <hyperlink r:id="rId1415" ref="F696"/>
    <hyperlink r:id="rId1416" ref="D697"/>
    <hyperlink r:id="rId1417" ref="F697"/>
    <hyperlink r:id="rId1418" ref="D698"/>
    <hyperlink r:id="rId1419" ref="F698"/>
    <hyperlink r:id="rId1420" ref="D699"/>
    <hyperlink r:id="rId1421" ref="F699"/>
    <hyperlink r:id="rId1422" ref="D700"/>
    <hyperlink r:id="rId1423" ref="D701"/>
    <hyperlink r:id="rId1424" ref="D702"/>
    <hyperlink r:id="rId1425" ref="F702"/>
    <hyperlink r:id="rId1426" ref="D703"/>
    <hyperlink r:id="rId1427" ref="F703"/>
    <hyperlink r:id="rId1428" ref="H703"/>
    <hyperlink r:id="rId1429" ref="D704"/>
    <hyperlink r:id="rId1430" ref="F704"/>
    <hyperlink r:id="rId1431" ref="D705"/>
    <hyperlink r:id="rId1432" ref="F705"/>
    <hyperlink r:id="rId1433" ref="H705"/>
    <hyperlink r:id="rId1434" ref="D706"/>
    <hyperlink r:id="rId1435" ref="F706"/>
    <hyperlink r:id="rId1436" ref="D707"/>
    <hyperlink r:id="rId1437" ref="F707"/>
    <hyperlink r:id="rId1438" ref="H707"/>
    <hyperlink r:id="rId1439" ref="D708"/>
    <hyperlink r:id="rId1440" ref="F708"/>
    <hyperlink r:id="rId1441" ref="H708"/>
    <hyperlink r:id="rId1442" ref="D709"/>
    <hyperlink r:id="rId1443" ref="F709"/>
    <hyperlink r:id="rId1444" ref="D710"/>
    <hyperlink r:id="rId1445" ref="D711"/>
    <hyperlink r:id="rId1446" ref="F711"/>
    <hyperlink r:id="rId1447" ref="D712"/>
    <hyperlink r:id="rId1448" ref="F712"/>
    <hyperlink r:id="rId1449" ref="D713"/>
    <hyperlink r:id="rId1450" ref="F713"/>
    <hyperlink r:id="rId1451" ref="D714"/>
    <hyperlink r:id="rId1452" ref="F714"/>
    <hyperlink r:id="rId1453" ref="D715"/>
    <hyperlink r:id="rId1454" ref="F715"/>
    <hyperlink r:id="rId1455" ref="D716"/>
    <hyperlink r:id="rId1456" ref="F716"/>
    <hyperlink r:id="rId1457" ref="D717"/>
    <hyperlink r:id="rId1458" ref="F717"/>
    <hyperlink r:id="rId1459" ref="D718"/>
    <hyperlink r:id="rId1460" ref="F718"/>
    <hyperlink r:id="rId1461" ref="D719"/>
    <hyperlink r:id="rId1462" ref="F719"/>
    <hyperlink r:id="rId1463" ref="D720"/>
    <hyperlink r:id="rId1464" ref="D721"/>
    <hyperlink r:id="rId1465" ref="D722"/>
    <hyperlink r:id="rId1466" ref="D723"/>
    <hyperlink r:id="rId1467" ref="D724"/>
    <hyperlink r:id="rId1468" ref="D725"/>
    <hyperlink r:id="rId1469" ref="F725"/>
    <hyperlink r:id="rId1470" ref="D726"/>
    <hyperlink r:id="rId1471" ref="F726"/>
    <hyperlink r:id="rId1472" ref="D727"/>
    <hyperlink r:id="rId1473" ref="F727"/>
    <hyperlink r:id="rId1474" ref="D728"/>
    <hyperlink r:id="rId1475" ref="F728"/>
    <hyperlink r:id="rId1476" ref="D729"/>
    <hyperlink r:id="rId1477" ref="F729"/>
    <hyperlink r:id="rId1478" ref="D730"/>
    <hyperlink r:id="rId1479" ref="F730"/>
    <hyperlink r:id="rId1480" ref="D731"/>
    <hyperlink r:id="rId1481" ref="F731"/>
    <hyperlink r:id="rId1482" ref="D732"/>
    <hyperlink r:id="rId1483" ref="F732"/>
    <hyperlink r:id="rId1484" ref="H732"/>
    <hyperlink r:id="rId1485" ref="D733"/>
    <hyperlink r:id="rId1486" ref="F733"/>
    <hyperlink r:id="rId1487" ref="D734"/>
    <hyperlink r:id="rId1488" ref="F734"/>
    <hyperlink r:id="rId1489" ref="H734"/>
    <hyperlink r:id="rId1490" ref="D735"/>
    <hyperlink r:id="rId1491" ref="F735"/>
    <hyperlink r:id="rId1492" ref="H735"/>
    <hyperlink r:id="rId1493" ref="D736"/>
    <hyperlink r:id="rId1494" ref="F736"/>
    <hyperlink r:id="rId1495" ref="H736"/>
    <hyperlink r:id="rId1496" ref="D737"/>
    <hyperlink r:id="rId1497" ref="F737"/>
    <hyperlink r:id="rId1498" ref="H737"/>
    <hyperlink r:id="rId1499" ref="D738"/>
    <hyperlink r:id="rId1500" ref="F738"/>
    <hyperlink r:id="rId1501" ref="D739"/>
    <hyperlink r:id="rId1502" ref="F739"/>
    <hyperlink r:id="rId1503" ref="H739"/>
    <hyperlink r:id="rId1504" ref="D740"/>
    <hyperlink r:id="rId1505" ref="F740"/>
    <hyperlink r:id="rId1506" ref="D741"/>
    <hyperlink r:id="rId1507" ref="F741"/>
    <hyperlink r:id="rId1508" ref="D742"/>
    <hyperlink r:id="rId1509" ref="F742"/>
    <hyperlink r:id="rId1510" ref="D743"/>
    <hyperlink r:id="rId1511" ref="F743"/>
    <hyperlink r:id="rId1512" ref="D744"/>
    <hyperlink r:id="rId1513" ref="D745"/>
    <hyperlink r:id="rId1514" ref="F745"/>
    <hyperlink r:id="rId1515" ref="H745"/>
    <hyperlink r:id="rId1516" ref="D746"/>
    <hyperlink r:id="rId1517" ref="F746"/>
    <hyperlink r:id="rId1518" ref="D747"/>
    <hyperlink r:id="rId1519" ref="D748"/>
    <hyperlink r:id="rId1520" ref="D749"/>
    <hyperlink r:id="rId1521" ref="D750"/>
    <hyperlink r:id="rId1522" ref="F750"/>
    <hyperlink r:id="rId1523" ref="D751"/>
    <hyperlink r:id="rId1524" ref="F751"/>
    <hyperlink r:id="rId1525" ref="H751"/>
    <hyperlink r:id="rId1526" ref="D752"/>
    <hyperlink r:id="rId1527" ref="F752"/>
    <hyperlink r:id="rId1528" ref="D753"/>
    <hyperlink r:id="rId1529" ref="F753"/>
    <hyperlink r:id="rId1530" ref="D754"/>
    <hyperlink r:id="rId1531" ref="F754"/>
    <hyperlink r:id="rId1532" ref="D755"/>
    <hyperlink r:id="rId1533" ref="F755"/>
    <hyperlink r:id="rId1534" ref="D756"/>
    <hyperlink r:id="rId1535" ref="F756"/>
    <hyperlink r:id="rId1536" ref="D757"/>
    <hyperlink r:id="rId1537" ref="F757"/>
    <hyperlink r:id="rId1538" ref="H757"/>
    <hyperlink r:id="rId1539" ref="D758"/>
    <hyperlink r:id="rId1540" ref="F758"/>
    <hyperlink r:id="rId1541" ref="D759"/>
    <hyperlink r:id="rId1542" ref="F759"/>
    <hyperlink r:id="rId1543" ref="H759"/>
    <hyperlink r:id="rId1544" ref="D760"/>
    <hyperlink r:id="rId1545" ref="F760"/>
    <hyperlink r:id="rId1546" ref="H760"/>
    <hyperlink r:id="rId1547" ref="D761"/>
    <hyperlink r:id="rId1548" ref="F761"/>
    <hyperlink r:id="rId1549" ref="H761"/>
    <hyperlink r:id="rId1550" ref="D762"/>
    <hyperlink r:id="rId1551" ref="F762"/>
    <hyperlink r:id="rId1552" ref="H762"/>
    <hyperlink r:id="rId1553" ref="D763"/>
    <hyperlink r:id="rId1554" ref="F763"/>
    <hyperlink r:id="rId1555" ref="H763"/>
    <hyperlink r:id="rId1556" ref="D764"/>
    <hyperlink r:id="rId1557" ref="F764"/>
    <hyperlink r:id="rId1558" ref="D765"/>
    <hyperlink r:id="rId1559" ref="F765"/>
    <hyperlink r:id="rId1560" ref="H765"/>
    <hyperlink r:id="rId1561" ref="D766"/>
    <hyperlink r:id="rId1562" ref="F766"/>
    <hyperlink r:id="rId1563" ref="H766"/>
    <hyperlink r:id="rId1564" ref="D767"/>
    <hyperlink r:id="rId1565" ref="F767"/>
    <hyperlink r:id="rId1566" ref="D768"/>
    <hyperlink r:id="rId1567" ref="F768"/>
    <hyperlink r:id="rId1568" ref="D769"/>
    <hyperlink r:id="rId1569" ref="F769"/>
    <hyperlink r:id="rId1570" ref="D770"/>
    <hyperlink r:id="rId1571" ref="F770"/>
    <hyperlink r:id="rId1572" ref="D771"/>
    <hyperlink r:id="rId1573" ref="F771"/>
    <hyperlink r:id="rId1574" ref="D772"/>
    <hyperlink r:id="rId1575" ref="F772"/>
    <hyperlink r:id="rId1576" ref="D773"/>
    <hyperlink r:id="rId1577" ref="D774"/>
    <hyperlink r:id="rId1578" ref="F774"/>
    <hyperlink r:id="rId1579" ref="D775"/>
    <hyperlink r:id="rId1580" ref="F775"/>
    <hyperlink r:id="rId1581" ref="D776"/>
    <hyperlink r:id="rId1582" ref="F776"/>
    <hyperlink r:id="rId1583" ref="D777"/>
    <hyperlink r:id="rId1584" ref="F777"/>
    <hyperlink r:id="rId1585" ref="D778"/>
    <hyperlink r:id="rId1586" ref="F778"/>
    <hyperlink r:id="rId1587" ref="H778"/>
    <hyperlink r:id="rId1588" ref="D779"/>
    <hyperlink r:id="rId1589" ref="F779"/>
    <hyperlink r:id="rId1590" ref="D780"/>
    <hyperlink r:id="rId1591" ref="F780"/>
    <hyperlink r:id="rId1592" ref="D781"/>
    <hyperlink r:id="rId1593" ref="F781"/>
    <hyperlink r:id="rId1594" ref="H781"/>
    <hyperlink r:id="rId1595" ref="D782"/>
    <hyperlink r:id="rId1596" ref="F782"/>
    <hyperlink r:id="rId1597" ref="H782"/>
    <hyperlink r:id="rId1598" ref="D783"/>
    <hyperlink r:id="rId1599" ref="F783"/>
    <hyperlink r:id="rId1600" ref="D784"/>
    <hyperlink r:id="rId1601" ref="F784"/>
    <hyperlink r:id="rId1602" ref="D785"/>
    <hyperlink r:id="rId1603" ref="F785"/>
    <hyperlink r:id="rId1604" ref="H785"/>
    <hyperlink r:id="rId1605" ref="D786"/>
    <hyperlink r:id="rId1606" ref="F786"/>
    <hyperlink r:id="rId1607" ref="H786"/>
    <hyperlink r:id="rId1608" ref="D787"/>
    <hyperlink r:id="rId1609" ref="F787"/>
    <hyperlink r:id="rId1610" ref="H787"/>
    <hyperlink r:id="rId1611" ref="D788"/>
    <hyperlink r:id="rId1612" ref="F788"/>
    <hyperlink r:id="rId1613" ref="H788"/>
    <hyperlink r:id="rId1614" ref="D789"/>
    <hyperlink r:id="rId1615" ref="F789"/>
    <hyperlink r:id="rId1616" ref="H789"/>
    <hyperlink r:id="rId1617" ref="D790"/>
    <hyperlink r:id="rId1618" ref="F790"/>
    <hyperlink r:id="rId1619" ref="D791"/>
    <hyperlink r:id="rId1620" ref="F791"/>
    <hyperlink r:id="rId1621" ref="D792"/>
    <hyperlink r:id="rId1622" ref="F792"/>
    <hyperlink r:id="rId1623" ref="D793"/>
    <hyperlink r:id="rId1624" ref="F793"/>
    <hyperlink r:id="rId1625" ref="H793"/>
    <hyperlink r:id="rId1626" ref="D794"/>
    <hyperlink r:id="rId1627" ref="F794"/>
    <hyperlink r:id="rId1628" ref="D795"/>
    <hyperlink r:id="rId1629" ref="F795"/>
    <hyperlink r:id="rId1630" ref="H795"/>
    <hyperlink r:id="rId1631" ref="D796"/>
    <hyperlink r:id="rId1632" ref="F796"/>
    <hyperlink r:id="rId1633" ref="H796"/>
    <hyperlink r:id="rId1634" ref="D797"/>
    <hyperlink r:id="rId1635" ref="H797"/>
    <hyperlink r:id="rId1636" ref="D798"/>
    <hyperlink r:id="rId1637" ref="F798"/>
    <hyperlink r:id="rId1638" ref="D799"/>
    <hyperlink r:id="rId1639" ref="D800"/>
    <hyperlink r:id="rId1640" ref="F800"/>
    <hyperlink r:id="rId1641" ref="D801"/>
    <hyperlink r:id="rId1642" ref="F801"/>
    <hyperlink r:id="rId1643" ref="D802"/>
    <hyperlink r:id="rId1644" ref="F802"/>
    <hyperlink r:id="rId1645" ref="H802"/>
    <hyperlink r:id="rId1646" ref="D803"/>
    <hyperlink r:id="rId1647" ref="F803"/>
    <hyperlink r:id="rId1648" ref="D804"/>
    <hyperlink r:id="rId1649" ref="F804"/>
    <hyperlink r:id="rId1650" ref="H804"/>
    <hyperlink r:id="rId1651" ref="D805"/>
    <hyperlink r:id="rId1652" ref="F805"/>
    <hyperlink r:id="rId1653" ref="D806"/>
    <hyperlink r:id="rId1654" ref="F806"/>
    <hyperlink r:id="rId1655" ref="D807"/>
    <hyperlink r:id="rId1656" ref="F807"/>
    <hyperlink r:id="rId1657" ref="D808"/>
    <hyperlink r:id="rId1658" ref="F808"/>
    <hyperlink r:id="rId1659" ref="D809"/>
    <hyperlink r:id="rId1660" ref="F809"/>
    <hyperlink r:id="rId1661" ref="D810"/>
    <hyperlink r:id="rId1662" ref="F810"/>
    <hyperlink r:id="rId1663" ref="D811"/>
    <hyperlink r:id="rId1664" ref="F811"/>
    <hyperlink r:id="rId1665" ref="D812"/>
    <hyperlink r:id="rId1666" ref="H812"/>
    <hyperlink r:id="rId1667" ref="D813"/>
    <hyperlink r:id="rId1668" ref="H813"/>
    <hyperlink r:id="rId1669" ref="D814"/>
    <hyperlink r:id="rId1670" ref="H814"/>
    <hyperlink r:id="rId1671" ref="D815"/>
    <hyperlink r:id="rId1672" ref="F815"/>
    <hyperlink r:id="rId1673" ref="D816"/>
    <hyperlink r:id="rId1674" ref="F816"/>
    <hyperlink r:id="rId1675" ref="D817"/>
    <hyperlink r:id="rId1676" ref="F817"/>
    <hyperlink r:id="rId1677" ref="D818"/>
    <hyperlink r:id="rId1678" ref="D819"/>
    <hyperlink r:id="rId1679" ref="F819"/>
    <hyperlink r:id="rId1680" ref="D820"/>
    <hyperlink r:id="rId1681" ref="F820"/>
    <hyperlink r:id="rId1682" ref="D821"/>
    <hyperlink r:id="rId1683" ref="F821"/>
    <hyperlink r:id="rId1684" ref="H821"/>
    <hyperlink r:id="rId1685" ref="D822"/>
    <hyperlink r:id="rId1686" ref="F822"/>
    <hyperlink r:id="rId1687" ref="H822"/>
    <hyperlink r:id="rId1688" ref="D823"/>
    <hyperlink r:id="rId1689" ref="F823"/>
    <hyperlink r:id="rId1690" ref="D824"/>
    <hyperlink r:id="rId1691" ref="F824"/>
    <hyperlink r:id="rId1692" ref="D825"/>
    <hyperlink r:id="rId1693" ref="F825"/>
    <hyperlink r:id="rId1694" ref="D826"/>
    <hyperlink r:id="rId1695" ref="F826"/>
    <hyperlink r:id="rId1696" ref="H826"/>
    <hyperlink r:id="rId1697" ref="D827"/>
    <hyperlink r:id="rId1698" ref="F827"/>
    <hyperlink r:id="rId1699" ref="D828"/>
    <hyperlink r:id="rId1700" ref="F828"/>
    <hyperlink r:id="rId1701" ref="H828"/>
    <hyperlink r:id="rId1702" ref="D829"/>
    <hyperlink r:id="rId1703" ref="F829"/>
    <hyperlink r:id="rId1704" ref="H829"/>
    <hyperlink r:id="rId1705" ref="D830"/>
    <hyperlink r:id="rId1706" ref="F830"/>
    <hyperlink r:id="rId1707" ref="H830"/>
    <hyperlink r:id="rId1708" ref="D831"/>
    <hyperlink r:id="rId1709" ref="F831"/>
    <hyperlink r:id="rId1710" ref="H831"/>
    <hyperlink r:id="rId1711" ref="D832"/>
    <hyperlink r:id="rId1712" ref="F832"/>
    <hyperlink r:id="rId1713" ref="H832"/>
    <hyperlink r:id="rId1714" ref="D833"/>
    <hyperlink r:id="rId1715" ref="F833"/>
    <hyperlink r:id="rId1716" ref="D834"/>
    <hyperlink r:id="rId1717" ref="F834"/>
    <hyperlink r:id="rId1718" ref="H834"/>
    <hyperlink r:id="rId1719" ref="D835"/>
    <hyperlink r:id="rId1720" ref="F835"/>
    <hyperlink r:id="rId1721" ref="H835"/>
    <hyperlink r:id="rId1722" ref="D836"/>
    <hyperlink r:id="rId1723" ref="F836"/>
    <hyperlink r:id="rId1724" ref="D837"/>
    <hyperlink r:id="rId1725" ref="F837"/>
    <hyperlink r:id="rId1726" ref="D838"/>
    <hyperlink r:id="rId1727" ref="F838"/>
    <hyperlink r:id="rId1728" ref="H838"/>
    <hyperlink r:id="rId1729" ref="D839"/>
    <hyperlink r:id="rId1730" ref="F839"/>
    <hyperlink r:id="rId1731" ref="H839"/>
    <hyperlink r:id="rId1732" ref="D840"/>
    <hyperlink r:id="rId1733" ref="F840"/>
    <hyperlink r:id="rId1734" ref="D841"/>
    <hyperlink r:id="rId1735" ref="F841"/>
    <hyperlink r:id="rId1736" ref="H841"/>
    <hyperlink r:id="rId1737" ref="D842"/>
    <hyperlink r:id="rId1738" ref="F842"/>
    <hyperlink r:id="rId1739" ref="D843"/>
    <hyperlink r:id="rId1740" ref="F843"/>
    <hyperlink r:id="rId1741" ref="H843"/>
    <hyperlink r:id="rId1742" ref="D844"/>
    <hyperlink r:id="rId1743" ref="F844"/>
    <hyperlink r:id="rId1744" ref="D845"/>
    <hyperlink r:id="rId1745" ref="F845"/>
    <hyperlink r:id="rId1746" ref="D846"/>
    <hyperlink r:id="rId1747" ref="F846"/>
    <hyperlink r:id="rId1748" ref="D847"/>
    <hyperlink r:id="rId1749" ref="D848"/>
    <hyperlink r:id="rId1750" ref="F848"/>
    <hyperlink r:id="rId1751" ref="D849"/>
    <hyperlink r:id="rId1752" ref="D850"/>
    <hyperlink r:id="rId1753" ref="F850"/>
    <hyperlink r:id="rId1754" ref="H850"/>
    <hyperlink r:id="rId1755" ref="D851"/>
    <hyperlink r:id="rId1756" ref="H851"/>
    <hyperlink r:id="rId1757" ref="D852"/>
    <hyperlink r:id="rId1758" ref="F852"/>
    <hyperlink r:id="rId1759" ref="D853"/>
    <hyperlink r:id="rId1760" ref="F853"/>
    <hyperlink r:id="rId1761" ref="D854"/>
    <hyperlink r:id="rId1762" ref="F854"/>
    <hyperlink r:id="rId1763" ref="H854"/>
    <hyperlink r:id="rId1764" ref="D855"/>
    <hyperlink r:id="rId1765" ref="F855"/>
    <hyperlink r:id="rId1766" ref="D856"/>
    <hyperlink r:id="rId1767" ref="F856"/>
    <hyperlink r:id="rId1768" ref="D857"/>
    <hyperlink r:id="rId1769" ref="F857"/>
    <hyperlink r:id="rId1770" ref="D858"/>
    <hyperlink r:id="rId1771" ref="F858"/>
    <hyperlink r:id="rId1772" ref="H858"/>
    <hyperlink r:id="rId1773" ref="D859"/>
    <hyperlink r:id="rId1774" ref="F859"/>
    <hyperlink r:id="rId1775" ref="H859"/>
    <hyperlink r:id="rId1776" ref="D860"/>
    <hyperlink r:id="rId1777" ref="F860"/>
    <hyperlink r:id="rId1778" ref="H860"/>
    <hyperlink r:id="rId1779" ref="D861"/>
    <hyperlink r:id="rId1780" ref="F861"/>
    <hyperlink r:id="rId1781" ref="H861"/>
    <hyperlink r:id="rId1782" ref="D862"/>
    <hyperlink r:id="rId1783" ref="F862"/>
    <hyperlink r:id="rId1784" ref="H862"/>
    <hyperlink r:id="rId1785" ref="D863"/>
    <hyperlink r:id="rId1786" ref="F863"/>
    <hyperlink r:id="rId1787" ref="H863"/>
    <hyperlink r:id="rId1788" ref="D864"/>
    <hyperlink r:id="rId1789" ref="F864"/>
    <hyperlink r:id="rId1790" ref="H864"/>
    <hyperlink r:id="rId1791" ref="D865"/>
    <hyperlink r:id="rId1792" ref="F865"/>
    <hyperlink r:id="rId1793" ref="D866"/>
    <hyperlink r:id="rId1794" ref="F866"/>
    <hyperlink r:id="rId1795" ref="H866"/>
    <hyperlink r:id="rId1796" ref="D867"/>
    <hyperlink r:id="rId1797" ref="F867"/>
    <hyperlink r:id="rId1798" ref="H867"/>
    <hyperlink r:id="rId1799" ref="D868"/>
    <hyperlink r:id="rId1800" ref="F868"/>
    <hyperlink r:id="rId1801" ref="H868"/>
    <hyperlink r:id="rId1802" ref="D869"/>
    <hyperlink r:id="rId1803" ref="F869"/>
    <hyperlink r:id="rId1804" ref="H869"/>
    <hyperlink r:id="rId1805" ref="D870"/>
    <hyperlink r:id="rId1806" ref="F870"/>
    <hyperlink r:id="rId1807" ref="H870"/>
    <hyperlink r:id="rId1808" ref="D871"/>
    <hyperlink r:id="rId1809" ref="F871"/>
    <hyperlink r:id="rId1810" ref="H871"/>
    <hyperlink r:id="rId1811" ref="D872"/>
    <hyperlink r:id="rId1812" ref="F872"/>
    <hyperlink r:id="rId1813" ref="H872"/>
    <hyperlink r:id="rId1814" ref="D873"/>
    <hyperlink r:id="rId1815" ref="F873"/>
    <hyperlink r:id="rId1816" ref="H873"/>
    <hyperlink r:id="rId1817" ref="D874"/>
    <hyperlink r:id="rId1818" ref="F874"/>
    <hyperlink r:id="rId1819" ref="H874"/>
    <hyperlink r:id="rId1820" ref="D875"/>
    <hyperlink r:id="rId1821" ref="F875"/>
    <hyperlink r:id="rId1822" ref="H875"/>
    <hyperlink r:id="rId1823" ref="D876"/>
    <hyperlink r:id="rId1824" ref="F876"/>
    <hyperlink r:id="rId1825" ref="H876"/>
    <hyperlink r:id="rId1826" ref="D877"/>
    <hyperlink r:id="rId1827" ref="F877"/>
    <hyperlink r:id="rId1828" ref="H877"/>
    <hyperlink r:id="rId1829" ref="D878"/>
    <hyperlink r:id="rId1830" ref="F878"/>
    <hyperlink r:id="rId1831" ref="H878"/>
    <hyperlink r:id="rId1832" ref="D879"/>
    <hyperlink r:id="rId1833" ref="F879"/>
    <hyperlink r:id="rId1834" ref="H879"/>
    <hyperlink r:id="rId1835" ref="D880"/>
    <hyperlink r:id="rId1836" ref="H880"/>
    <hyperlink r:id="rId1837" ref="D881"/>
    <hyperlink r:id="rId1838" ref="F881"/>
    <hyperlink r:id="rId1839" ref="D882"/>
    <hyperlink r:id="rId1840" ref="F882"/>
    <hyperlink r:id="rId1841" ref="D883"/>
    <hyperlink r:id="rId1842" ref="F883"/>
    <hyperlink r:id="rId1843" ref="H883"/>
    <hyperlink r:id="rId1844" ref="D884"/>
    <hyperlink r:id="rId1845" ref="F884"/>
    <hyperlink r:id="rId1846" ref="H884"/>
    <hyperlink r:id="rId1847" ref="D885"/>
    <hyperlink r:id="rId1848" ref="D886"/>
    <hyperlink r:id="rId1849" ref="D887"/>
    <hyperlink r:id="rId1850" ref="F887"/>
    <hyperlink r:id="rId1851" ref="H887"/>
    <hyperlink r:id="rId1852" ref="D888"/>
    <hyperlink r:id="rId1853" ref="F888"/>
    <hyperlink r:id="rId1854" ref="D889"/>
    <hyperlink r:id="rId1855" ref="D890"/>
    <hyperlink r:id="rId1856" ref="F890"/>
    <hyperlink r:id="rId1857" ref="D891"/>
    <hyperlink r:id="rId1858" ref="F891"/>
    <hyperlink r:id="rId1859" ref="D892"/>
    <hyperlink r:id="rId1860" ref="F892"/>
    <hyperlink r:id="rId1861" ref="D893"/>
    <hyperlink r:id="rId1862" ref="F893"/>
    <hyperlink r:id="rId1863" ref="D894"/>
    <hyperlink r:id="rId1864" ref="F894"/>
    <hyperlink r:id="rId1865" ref="H894"/>
    <hyperlink r:id="rId1866" ref="D895"/>
    <hyperlink r:id="rId1867" ref="F895"/>
    <hyperlink r:id="rId1868" ref="H895"/>
    <hyperlink r:id="rId1869" ref="D896"/>
    <hyperlink r:id="rId1870" ref="H896"/>
    <hyperlink r:id="rId1871" ref="D897"/>
    <hyperlink r:id="rId1872" ref="F897"/>
    <hyperlink r:id="rId1873" ref="D898"/>
    <hyperlink r:id="rId1874" ref="F898"/>
    <hyperlink r:id="rId1875" ref="D899"/>
    <hyperlink r:id="rId1876" ref="F899"/>
    <hyperlink r:id="rId1877" ref="D900"/>
    <hyperlink r:id="rId1878" ref="D901"/>
    <hyperlink r:id="rId1879" ref="F901"/>
    <hyperlink r:id="rId1880" ref="D902"/>
    <hyperlink r:id="rId1881" ref="H902"/>
    <hyperlink r:id="rId1882" ref="D903"/>
    <hyperlink r:id="rId1883" ref="F903"/>
    <hyperlink r:id="rId1884" ref="D904"/>
    <hyperlink r:id="rId1885" ref="H904"/>
    <hyperlink r:id="rId1886" ref="D905"/>
    <hyperlink r:id="rId1887" ref="F905"/>
    <hyperlink r:id="rId1888" ref="D906"/>
    <hyperlink r:id="rId1889" ref="H906"/>
    <hyperlink r:id="rId1890" ref="D907"/>
    <hyperlink r:id="rId1891" ref="H907"/>
    <hyperlink r:id="rId1892" ref="D908"/>
    <hyperlink r:id="rId1893" ref="F908"/>
    <hyperlink r:id="rId1894" ref="H908"/>
    <hyperlink r:id="rId1895" ref="D909"/>
    <hyperlink r:id="rId1896" ref="F909"/>
    <hyperlink r:id="rId1897" ref="H909"/>
    <hyperlink r:id="rId1898" ref="D910"/>
    <hyperlink r:id="rId1899" ref="F910"/>
    <hyperlink r:id="rId1900" ref="H910"/>
    <hyperlink r:id="rId1901" ref="D911"/>
    <hyperlink r:id="rId1902" ref="F911"/>
    <hyperlink r:id="rId1903" ref="D912"/>
    <hyperlink r:id="rId1904" ref="F912"/>
    <hyperlink r:id="rId1905" ref="D913"/>
    <hyperlink r:id="rId1906" ref="F913"/>
    <hyperlink r:id="rId1907" ref="D914"/>
    <hyperlink r:id="rId1908" ref="D915"/>
    <hyperlink r:id="rId1909" ref="D916"/>
    <hyperlink r:id="rId1910" ref="F916"/>
    <hyperlink r:id="rId1911" ref="D917"/>
    <hyperlink r:id="rId1912" ref="F917"/>
    <hyperlink r:id="rId1913" ref="D918"/>
    <hyperlink r:id="rId1914" ref="F918"/>
    <hyperlink r:id="rId1915" ref="D919"/>
    <hyperlink r:id="rId1916" ref="F919"/>
    <hyperlink r:id="rId1917" ref="D920"/>
    <hyperlink r:id="rId1918" ref="F920"/>
    <hyperlink r:id="rId1919" ref="D921"/>
    <hyperlink r:id="rId1920" ref="F921"/>
    <hyperlink r:id="rId1921" ref="H921"/>
    <hyperlink r:id="rId1922" ref="D922"/>
    <hyperlink r:id="rId1923" ref="H922"/>
    <hyperlink r:id="rId1924" ref="D923"/>
    <hyperlink r:id="rId1925" ref="F923"/>
    <hyperlink r:id="rId1926" ref="H923"/>
    <hyperlink r:id="rId1927" ref="D924"/>
    <hyperlink r:id="rId1928" ref="F924"/>
    <hyperlink r:id="rId1929" ref="D925"/>
    <hyperlink r:id="rId1930" ref="F925"/>
    <hyperlink r:id="rId1931" ref="D926"/>
    <hyperlink r:id="rId1932" ref="F926"/>
    <hyperlink r:id="rId1933" ref="D927"/>
    <hyperlink r:id="rId1934" ref="F927"/>
    <hyperlink r:id="rId1935" ref="H927"/>
    <hyperlink r:id="rId1936" ref="D928"/>
    <hyperlink r:id="rId1937" ref="F928"/>
    <hyperlink r:id="rId1938" ref="D929"/>
    <hyperlink r:id="rId1939" ref="F929"/>
    <hyperlink r:id="rId1940" ref="D930"/>
    <hyperlink r:id="rId1941" ref="F930"/>
    <hyperlink r:id="rId1942" ref="H930"/>
    <hyperlink r:id="rId1943" ref="D931"/>
    <hyperlink r:id="rId1944" ref="F931"/>
    <hyperlink r:id="rId1945" ref="D932"/>
    <hyperlink r:id="rId1946" ref="F932"/>
    <hyperlink r:id="rId1947" ref="D933"/>
    <hyperlink r:id="rId1948" ref="F933"/>
    <hyperlink r:id="rId1949" ref="H933"/>
    <hyperlink r:id="rId1950" ref="D934"/>
    <hyperlink r:id="rId1951" ref="F934"/>
    <hyperlink r:id="rId1952" ref="D935"/>
    <hyperlink r:id="rId1953" ref="F935"/>
    <hyperlink r:id="rId1954" ref="H935"/>
    <hyperlink r:id="rId1955" ref="D936"/>
    <hyperlink r:id="rId1956" ref="F936"/>
    <hyperlink r:id="rId1957" ref="D937"/>
    <hyperlink r:id="rId1958" ref="F937"/>
    <hyperlink r:id="rId1959" ref="D938"/>
    <hyperlink r:id="rId1960" ref="F938"/>
    <hyperlink r:id="rId1961" ref="H938"/>
    <hyperlink r:id="rId1962" ref="D939"/>
    <hyperlink r:id="rId1963" ref="F939"/>
    <hyperlink r:id="rId1964" ref="H939"/>
    <hyperlink r:id="rId1965" ref="D940"/>
    <hyperlink r:id="rId1966" ref="F940"/>
    <hyperlink r:id="rId1967" ref="H940"/>
    <hyperlink r:id="rId1968" ref="D941"/>
    <hyperlink r:id="rId1969" ref="H941"/>
    <hyperlink r:id="rId1970" ref="D942"/>
    <hyperlink r:id="rId1971" ref="F942"/>
    <hyperlink r:id="rId1972" ref="H942"/>
    <hyperlink r:id="rId1973" ref="D943"/>
    <hyperlink r:id="rId1974" ref="F943"/>
    <hyperlink r:id="rId1975" ref="H943"/>
    <hyperlink r:id="rId1976" ref="D944"/>
    <hyperlink r:id="rId1977" ref="F944"/>
    <hyperlink r:id="rId1978" ref="H944"/>
    <hyperlink r:id="rId1979" ref="D945"/>
    <hyperlink r:id="rId1980" ref="F945"/>
    <hyperlink r:id="rId1981" ref="D946"/>
    <hyperlink r:id="rId1982" ref="F946"/>
    <hyperlink r:id="rId1983" ref="H946"/>
    <hyperlink r:id="rId1984" ref="D947"/>
    <hyperlink r:id="rId1985" ref="F947"/>
    <hyperlink r:id="rId1986" ref="H947"/>
    <hyperlink r:id="rId1987" ref="D948"/>
    <hyperlink r:id="rId1988" ref="F948"/>
    <hyperlink r:id="rId1989" ref="H948"/>
    <hyperlink r:id="rId1990" ref="D949"/>
    <hyperlink r:id="rId1991" ref="F949"/>
    <hyperlink r:id="rId1992" ref="D950"/>
    <hyperlink r:id="rId1993" ref="F950"/>
    <hyperlink r:id="rId1994" ref="D951"/>
    <hyperlink r:id="rId1995" ref="F951"/>
    <hyperlink r:id="rId1996" ref="D952"/>
    <hyperlink r:id="rId1997" ref="D953"/>
    <hyperlink r:id="rId1998" ref="F953"/>
    <hyperlink r:id="rId1999" ref="D954"/>
    <hyperlink r:id="rId2000" ref="F954"/>
    <hyperlink r:id="rId2001" ref="D955"/>
    <hyperlink r:id="rId2002" ref="F955"/>
    <hyperlink r:id="rId2003" ref="D956"/>
    <hyperlink r:id="rId2004" ref="F956"/>
    <hyperlink r:id="rId2005" ref="D957"/>
    <hyperlink r:id="rId2006" ref="F957"/>
    <hyperlink r:id="rId2007" ref="D958"/>
    <hyperlink r:id="rId2008" ref="F958"/>
    <hyperlink r:id="rId2009" ref="D959"/>
    <hyperlink r:id="rId2010" ref="F959"/>
    <hyperlink r:id="rId2011" ref="D960"/>
    <hyperlink r:id="rId2012" ref="F960"/>
    <hyperlink r:id="rId2013" ref="D961"/>
    <hyperlink r:id="rId2014" ref="F961"/>
    <hyperlink r:id="rId2015" ref="D962"/>
    <hyperlink r:id="rId2016" ref="F962"/>
    <hyperlink r:id="rId2017" ref="D963"/>
    <hyperlink r:id="rId2018" ref="F963"/>
    <hyperlink r:id="rId2019" ref="H963"/>
    <hyperlink r:id="rId2020" ref="D964"/>
    <hyperlink r:id="rId2021" ref="F964"/>
    <hyperlink r:id="rId2022" ref="H964"/>
    <hyperlink r:id="rId2023" ref="D965"/>
    <hyperlink r:id="rId2024" ref="F965"/>
    <hyperlink r:id="rId2025" ref="D966"/>
    <hyperlink r:id="rId2026" ref="F966"/>
    <hyperlink r:id="rId2027" ref="H966"/>
    <hyperlink r:id="rId2028" ref="D967"/>
    <hyperlink r:id="rId2029" ref="F967"/>
    <hyperlink r:id="rId2030" ref="H967"/>
    <hyperlink r:id="rId2031" ref="D968"/>
    <hyperlink r:id="rId2032" ref="F968"/>
    <hyperlink r:id="rId2033" ref="D969"/>
    <hyperlink r:id="rId2034" ref="F969"/>
    <hyperlink r:id="rId2035" ref="H969"/>
    <hyperlink r:id="rId2036" ref="D970"/>
    <hyperlink r:id="rId2037" ref="F970"/>
    <hyperlink r:id="rId2038" ref="H970"/>
    <hyperlink r:id="rId2039" ref="D971"/>
    <hyperlink r:id="rId2040" ref="F971"/>
    <hyperlink r:id="rId2041" ref="H971"/>
    <hyperlink r:id="rId2042" ref="D972"/>
    <hyperlink r:id="rId2043" ref="F972"/>
    <hyperlink r:id="rId2044" ref="H972"/>
    <hyperlink r:id="rId2045" ref="D973"/>
    <hyperlink r:id="rId2046" ref="F973"/>
    <hyperlink r:id="rId2047" ref="H973"/>
    <hyperlink r:id="rId2048" ref="D974"/>
    <hyperlink r:id="rId2049" ref="F974"/>
    <hyperlink r:id="rId2050" ref="H974"/>
    <hyperlink r:id="rId2051" ref="D975"/>
    <hyperlink r:id="rId2052" ref="F975"/>
    <hyperlink r:id="rId2053" ref="H975"/>
    <hyperlink r:id="rId2054" ref="D976"/>
    <hyperlink r:id="rId2055" ref="H976"/>
    <hyperlink r:id="rId2056" ref="D977"/>
    <hyperlink r:id="rId2057" ref="D978"/>
    <hyperlink r:id="rId2058" ref="F978"/>
    <hyperlink r:id="rId2059" ref="D979"/>
    <hyperlink r:id="rId2060" ref="F979"/>
    <hyperlink r:id="rId2061" ref="D980"/>
    <hyperlink r:id="rId2062" ref="F980"/>
    <hyperlink r:id="rId2063" ref="D981"/>
    <hyperlink r:id="rId2064" ref="F981"/>
    <hyperlink r:id="rId2065" ref="D982"/>
    <hyperlink r:id="rId2066" ref="F982"/>
    <hyperlink r:id="rId2067" ref="D983"/>
    <hyperlink r:id="rId2068" ref="F983"/>
    <hyperlink r:id="rId2069" ref="H983"/>
    <hyperlink r:id="rId2070" ref="D984"/>
    <hyperlink r:id="rId2071" ref="F984"/>
    <hyperlink r:id="rId2072" ref="H984"/>
    <hyperlink r:id="rId2073" ref="D985"/>
    <hyperlink r:id="rId2074" ref="F985"/>
    <hyperlink r:id="rId2075" ref="D986"/>
    <hyperlink r:id="rId2076" ref="F986"/>
    <hyperlink r:id="rId2077" ref="H986"/>
    <hyperlink r:id="rId2078" ref="D987"/>
    <hyperlink r:id="rId2079" ref="F987"/>
    <hyperlink r:id="rId2080" ref="H987"/>
    <hyperlink r:id="rId2081" ref="D988"/>
    <hyperlink r:id="rId2082" ref="F988"/>
    <hyperlink r:id="rId2083" ref="D989"/>
    <hyperlink r:id="rId2084" ref="D990"/>
    <hyperlink r:id="rId2085" ref="F990"/>
    <hyperlink r:id="rId2086" ref="H990"/>
    <hyperlink r:id="rId2087" ref="D991"/>
    <hyperlink r:id="rId2088" ref="F991"/>
    <hyperlink r:id="rId2089" ref="H991"/>
    <hyperlink r:id="rId2090" ref="D992"/>
    <hyperlink r:id="rId2091" ref="F992"/>
    <hyperlink r:id="rId2092" ref="D993"/>
    <hyperlink r:id="rId2093" ref="F993"/>
    <hyperlink r:id="rId2094" ref="H993"/>
    <hyperlink r:id="rId2095" ref="D994"/>
    <hyperlink r:id="rId2096" ref="F994"/>
    <hyperlink r:id="rId2097" ref="H994"/>
    <hyperlink r:id="rId2098" ref="D995"/>
    <hyperlink r:id="rId2099" ref="F995"/>
    <hyperlink r:id="rId2100" ref="H995"/>
  </hyperlinks>
  <drawing r:id="rId2101"/>
</worksheet>
</file>