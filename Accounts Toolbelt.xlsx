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newal Opportunities" sheetId="1" r:id="rId5"/>
    <sheet state="visible" name="Opptys Report" sheetId="2" r:id="rId6"/>
    <sheet state="visible" name="Accounts Card Report" sheetId="3" r:id="rId7"/>
    <sheet state="visible" name="Opportunities to Email Domains " sheetId="4" r:id="rId8"/>
    <sheet state="visible" name="GitHub Tasks" sheetId="5" r:id="rId9"/>
    <sheet state="hidden" name="Email Sync State" sheetId="6" r:id="rId10"/>
    <sheet state="visible" name="Email Communications" sheetId="7" r:id="rId11"/>
    <sheet state="visible" name="Calendar Events"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Enter email domains (e.g., company.com, example.org) separated by commas</t>
      </text>
    </comment>
    <comment authorId="0" ref="B3">
      <text>
        <t xml:space="preserve">Enter email domains (e.g., company.com, example.org) separated by commas</t>
      </text>
    </comment>
    <comment authorId="0" ref="B4">
      <text>
        <t xml:space="preserve">Enter email domains (e.g., company.com, example.org) separated by commas</t>
      </text>
    </comment>
    <comment authorId="0" ref="B5">
      <text>
        <t xml:space="preserve">Enter email domains (e.g., company.com, example.org) separated by commas</t>
      </text>
    </comment>
    <comment authorId="0" ref="B6">
      <text>
        <t xml:space="preserve">Enter email domains (e.g., company.com, example.org) separated by commas</t>
      </text>
    </comment>
    <comment authorId="0" ref="B7">
      <text>
        <t xml:space="preserve">Enter email domains (e.g., company.com, example.org) separated by commas</t>
      </text>
    </comment>
    <comment authorId="0" ref="B8">
      <text>
        <t xml:space="preserve">Enter email domains (e.g., company.com, example.org) separated by commas</t>
      </text>
    </comment>
    <comment authorId="0" ref="B9">
      <text>
        <t xml:space="preserve">Enter email domains (e.g., company.com, example.org) separated by commas</t>
      </text>
    </comment>
    <comment authorId="0" ref="B10">
      <text>
        <t xml:space="preserve">Enter email domains (e.g., company.com, example.org) separated by commas</t>
      </text>
    </comment>
    <comment authorId="0" ref="B11">
      <text>
        <t xml:space="preserve">Enter email domains (e.g., company.com, example.org) separated by commas</t>
      </text>
    </comment>
    <comment authorId="0" ref="B12">
      <text>
        <t xml:space="preserve">Enter email domains (e.g., company.com, example.org) separated by commas</t>
      </text>
    </comment>
    <comment authorId="0" ref="B13">
      <text>
        <t xml:space="preserve">Enter email domains (e.g., company.com, example.org) separated by commas</t>
      </text>
    </comment>
    <comment authorId="0" ref="B14">
      <text>
        <t xml:space="preserve">Enter email domains (e.g., company.com, example.org) separated by commas</t>
      </text>
    </comment>
    <comment authorId="0" ref="B15">
      <text>
        <t xml:space="preserve">Enter email domains (e.g., company.com, example.org) separated by commas</t>
      </text>
    </comment>
    <comment authorId="0" ref="B16">
      <text>
        <t xml:space="preserve">Enter email domains (e.g., company.com, example.org) separated by commas</t>
      </text>
    </comment>
    <comment authorId="0" ref="B17">
      <text>
        <t xml:space="preserve">Enter email domains (e.g., company.com, example.org) separated by commas</t>
      </text>
    </comment>
    <comment authorId="0" ref="B18">
      <text>
        <t xml:space="preserve">Enter email domains (e.g., company.com, example.org) separated by commas</t>
      </text>
    </comment>
    <comment authorId="0" ref="B19">
      <text>
        <t xml:space="preserve">Enter email domains (e.g., company.com, example.org) separated by commas</t>
      </text>
    </comment>
    <comment authorId="0" ref="B20">
      <text>
        <t xml:space="preserve">Enter email domains (e.g., company.com, example.org) separated by commas</t>
      </text>
    </comment>
    <comment authorId="0" ref="B21">
      <text>
        <t xml:space="preserve">Enter email domains (e.g., company.com, example.org) separated by commas</t>
      </text>
    </comment>
    <comment authorId="0" ref="B22">
      <text>
        <t xml:space="preserve">Enter email domains (e.g., company.com, example.org) separated by commas</t>
      </text>
    </comment>
    <comment authorId="0" ref="B23">
      <text>
        <t xml:space="preserve">Enter email domains (e.g., company.com, example.org) separated by commas</t>
      </text>
    </comment>
    <comment authorId="0" ref="B24">
      <text>
        <t xml:space="preserve">Enter email domains (e.g., company.com, example.org) separated by commas</t>
      </text>
    </comment>
    <comment authorId="0" ref="B25">
      <text>
        <t xml:space="preserve">Enter email domains (e.g., company.com, example.org) separated by commas</t>
      </text>
    </comment>
    <comment authorId="0" ref="B26">
      <text>
        <t xml:space="preserve">Enter email domains (e.g., company.com, example.org) separated by commas</t>
      </text>
    </comment>
    <comment authorId="0" ref="B27">
      <text>
        <t xml:space="preserve">Enter email domains (e.g., company.com, example.org) separated by commas</t>
      </text>
    </comment>
    <comment authorId="0" ref="B28">
      <text>
        <t xml:space="preserve">Enter email domains (e.g., company.com, example.org) separated by commas</t>
      </text>
    </comment>
    <comment authorId="0" ref="B29">
      <text>
        <t xml:space="preserve">Enter email domains (e.g., company.com, example.org) separated by commas</t>
      </text>
    </comment>
    <comment authorId="0" ref="B30">
      <text>
        <t xml:space="preserve">Enter email domains (e.g., company.com, example.org) separated by commas</t>
      </text>
    </comment>
    <comment authorId="0" ref="B31">
      <text>
        <t xml:space="preserve">Enter email domains (e.g., company.com, example.org) separated by commas</t>
      </text>
    </comment>
    <comment authorId="0" ref="B32">
      <text>
        <t xml:space="preserve">Enter email domains (e.g., company.com, example.org) separated by commas</t>
      </text>
    </comment>
    <comment authorId="0" ref="B33">
      <text>
        <t xml:space="preserve">Enter email domains (e.g., company.com, example.org) separated by commas</t>
      </text>
    </comment>
    <comment authorId="0" ref="B34">
      <text>
        <t xml:space="preserve">Enter email domains (e.g., company.com, example.org) separated by commas</t>
      </text>
    </comment>
    <comment authorId="0" ref="B35">
      <text>
        <t xml:space="preserve">Enter email domains (e.g., company.com, example.org) separated by commas</t>
      </text>
    </comment>
    <comment authorId="0" ref="B36">
      <text>
        <t xml:space="preserve">Enter email domains (e.g., company.com, example.org) separated by commas</t>
      </text>
    </comment>
    <comment authorId="0" ref="B37">
      <text>
        <t xml:space="preserve">Enter email domains (e.g., company.com, example.org) separated by commas</t>
      </text>
    </comment>
    <comment authorId="0" ref="B38">
      <text>
        <t xml:space="preserve">Enter email domains (e.g., company.com, example.org) separated by commas</t>
      </text>
    </comment>
    <comment authorId="0" ref="B39">
      <text>
        <t xml:space="preserve">Enter email domains (e.g., company.com, example.org) separated by commas</t>
      </text>
    </comment>
    <comment authorId="0" ref="B40">
      <text>
        <t xml:space="preserve">Enter email domains (e.g., company.com, example.org) separated by commas</t>
      </text>
    </comment>
    <comment authorId="0" ref="B41">
      <text>
        <t xml:space="preserve">Enter email domains (e.g., company.com, example.org) separated by commas</t>
      </text>
    </comment>
    <comment authorId="0" ref="B42">
      <text>
        <t xml:space="preserve">Enter email domains (e.g., company.com, example.org) separated by commas</t>
      </text>
    </comment>
    <comment authorId="0" ref="B43">
      <text>
        <t xml:space="preserve">Enter email domains (e.g., company.com, example.org) separated by commas</t>
      </text>
    </comment>
    <comment authorId="0" ref="B44">
      <text>
        <t xml:space="preserve">Enter email domains (e.g., company.com, example.org) separated by commas</t>
      </text>
    </comment>
    <comment authorId="0" ref="B45">
      <text>
        <t xml:space="preserve">Enter email domains (e.g., company.com, example.org) separated by commas</t>
      </text>
    </comment>
  </commentList>
</comments>
</file>

<file path=xl/sharedStrings.xml><?xml version="1.0" encoding="utf-8"?>
<sst xmlns="http://schemas.openxmlformats.org/spreadsheetml/2006/main" count="22043" uniqueCount="9485">
  <si>
    <t>Link to SF Opportunity</t>
  </si>
  <si>
    <t>Renewal Date</t>
  </si>
  <si>
    <t>Outcome</t>
  </si>
  <si>
    <t>Renewable</t>
  </si>
  <si>
    <t>Forcast</t>
  </si>
  <si>
    <t>Status</t>
  </si>
  <si>
    <t>Stage</t>
  </si>
  <si>
    <t>Amount (gross)</t>
  </si>
  <si>
    <t>Login Score</t>
  </si>
  <si>
    <t>Audit Usage</t>
  </si>
  <si>
    <t>Journey Usage</t>
  </si>
  <si>
    <t>csm_out</t>
  </si>
  <si>
    <t>csm_in</t>
  </si>
  <si>
    <t>DM</t>
  </si>
  <si>
    <t>CloseDate</t>
  </si>
  <si>
    <t>New Bookings</t>
  </si>
  <si>
    <t>Forecast</t>
  </si>
  <si>
    <t>BC</t>
  </si>
  <si>
    <t>CSM</t>
  </si>
  <si>
    <t>AE</t>
  </si>
  <si>
    <t>Support Type</t>
  </si>
  <si>
    <t>Last Updated:</t>
  </si>
  <si>
    <t>==*</t>
  </si>
  <si>
    <t>Behind</t>
  </si>
  <si>
    <t>Negotiation (28)</t>
  </si>
  <si>
    <t>Will Renew</t>
  </si>
  <si>
    <t>John Davis</t>
  </si>
  <si>
    <t>Clarke Anderson</t>
  </si>
  <si>
    <t>Live Support</t>
  </si>
  <si>
    <t>--*</t>
  </si>
  <si>
    <t>Negotiation (72)</t>
  </si>
  <si>
    <t>Todd Wilkerson</t>
  </si>
  <si>
    <t>Self Support</t>
  </si>
  <si>
    <t>Discovery (135)</t>
  </si>
  <si>
    <t>Andy Compas</t>
  </si>
  <si>
    <t>Named Support</t>
  </si>
  <si>
    <t>Dallin Madsen</t>
  </si>
  <si>
    <t>XX*</t>
  </si>
  <si>
    <t>Will Not Renew</t>
  </si>
  <si>
    <t>== (R)</t>
  </si>
  <si>
    <t>Undetermined</t>
  </si>
  <si>
    <t>Discovery (206)</t>
  </si>
  <si>
    <t>Bryce Bergen</t>
  </si>
  <si>
    <t>On-Track</t>
  </si>
  <si>
    <t>Negotiation (10)</t>
  </si>
  <si>
    <t>== (BLK)</t>
  </si>
  <si>
    <t>Discovery (56)</t>
  </si>
  <si>
    <t>Identified ()</t>
  </si>
  <si>
    <t>== (G)</t>
  </si>
  <si>
    <t>== (?)</t>
  </si>
  <si>
    <t>== (Y)</t>
  </si>
  <si>
    <t>blank</t>
  </si>
  <si>
    <t>Id</t>
  </si>
  <si>
    <t>Name</t>
  </si>
  <si>
    <t>0060W00000vXhBUQA0</t>
  </si>
  <si>
    <t>2017 Renewal/Upsell - CVS</t>
  </si>
  <si>
    <t>0060W00000wyHW4QAM</t>
  </si>
  <si>
    <t>2018 Renewal - Southwest Airlines</t>
  </si>
  <si>
    <t>0060W00000y6gNrQAI</t>
  </si>
  <si>
    <t>2019-REN-Southwest - Script Maintenance</t>
  </si>
  <si>
    <t>0060W00000y6I0yQAE</t>
  </si>
  <si>
    <t>2020 Renewal - Adobe Business Intelligence project</t>
  </si>
  <si>
    <t>0060W00000zNhTiQAK</t>
  </si>
  <si>
    <t>2019 Renewal - ProSiebenSat.1 Media AG</t>
  </si>
  <si>
    <t>0060W00000zOxHaQAK</t>
  </si>
  <si>
    <t>2019 Renewal - Southwest Airlines</t>
  </si>
  <si>
    <t>0060W000010qCcdQAE</t>
  </si>
  <si>
    <t>2020 Renewal - Tesco Bank</t>
  </si>
  <si>
    <t>0060W0000121iiKQAQ</t>
  </si>
  <si>
    <t>2020 Renewal - Southwest Airlines</t>
  </si>
  <si>
    <t>0060W0000121JtZQAU</t>
  </si>
  <si>
    <t>2020-REN-ProSiebenSat.1 Media AG</t>
  </si>
  <si>
    <t>0060W000012KhuoQAC</t>
  </si>
  <si>
    <t>2021 Renewal - Adobe Business Intelligence project</t>
  </si>
  <si>
    <t>0060W000012L1XwQAK</t>
  </si>
  <si>
    <t>2021-REN-Tesco Bank</t>
  </si>
  <si>
    <t>0060W000012tGTrQAM</t>
  </si>
  <si>
    <t>2020-REN-International Cruise (I.C.E.) -- STR</t>
  </si>
  <si>
    <t>0060W00001371hDQAQ</t>
  </si>
  <si>
    <t>2020-REN-WorldPay US/UK - STR</t>
  </si>
  <si>
    <t>0060W000014cr2CQAQ</t>
  </si>
  <si>
    <t>2021 - REN - Southwest Airlines</t>
  </si>
  <si>
    <t>0060W000015ObrYQAS</t>
  </si>
  <si>
    <t>2021-REN-Macy's</t>
  </si>
  <si>
    <t>0066T00001698jUQAQ</t>
  </si>
  <si>
    <t>2022-REN-Tesco Bank</t>
  </si>
  <si>
    <t>0066T000016lAc4QAE</t>
  </si>
  <si>
    <t>2022-REN-Macy's</t>
  </si>
  <si>
    <t>0066T000016lLtRQAU</t>
  </si>
  <si>
    <t>2022 - REN - Southwest Airlines</t>
  </si>
  <si>
    <t>0066T000017wWfsQAE</t>
  </si>
  <si>
    <t>2024 - REN - Schroders</t>
  </si>
  <si>
    <t>0066T000017WXADQA4</t>
  </si>
  <si>
    <t>2024-REN-Tesco Bank</t>
  </si>
  <si>
    <t>0066T000018F2NwQAK</t>
  </si>
  <si>
    <t>2023 - REN - Tyson Foods</t>
  </si>
  <si>
    <t>0066T000018yb79QAA</t>
  </si>
  <si>
    <t>2023 - REN - Rodan + Fields</t>
  </si>
  <si>
    <t>0066T00001ACuiDQAT</t>
  </si>
  <si>
    <t>2023 - REN - ABN AMRO Bank</t>
  </si>
  <si>
    <t>0066T00001CNfvwQAD</t>
  </si>
  <si>
    <t>2026 - REN - Hello bank</t>
  </si>
  <si>
    <t>0066T00001DZI5JQAX</t>
  </si>
  <si>
    <t>2026 - REN - Blue Cross &amp; Blue Shield of North Carolina</t>
  </si>
  <si>
    <t>006d000000b3dgsAAA</t>
  </si>
  <si>
    <t>2015 Renewal - Beachbody</t>
  </si>
  <si>
    <t>006d000000dwLyeAAE</t>
  </si>
  <si>
    <t>2015 #2 Renewal - Beachbody</t>
  </si>
  <si>
    <t>006d000000e5DpPAAU</t>
  </si>
  <si>
    <t>2014 Renewal - iCrossing</t>
  </si>
  <si>
    <t>006d000000e5YgmAAE</t>
  </si>
  <si>
    <t>2016 Renewal - W. Atlee Burpee Company</t>
  </si>
  <si>
    <t>006d000000howHqAAI</t>
  </si>
  <si>
    <t>2016 Renewal - Viator</t>
  </si>
  <si>
    <t>006d000000hp0taAAA</t>
  </si>
  <si>
    <t>2016 Renewal - Las Vegas Sands</t>
  </si>
  <si>
    <t>006d000000hpAs3AAE</t>
  </si>
  <si>
    <t>2016 Renewal - ATG Stores</t>
  </si>
  <si>
    <t>006d000000hpcTKAAY</t>
  </si>
  <si>
    <t>2016 Renewal - The Church of Jesus Christ of Latter-Day Saints</t>
  </si>
  <si>
    <t>006d000000hpDm3AAE</t>
  </si>
  <si>
    <t>2016 Renewal - Stage Stores</t>
  </si>
  <si>
    <t>006d000000hsb4eAAA</t>
  </si>
  <si>
    <t>2016 Renewal - Capella</t>
  </si>
  <si>
    <t>006d000000hylQ8AAI</t>
  </si>
  <si>
    <t>2016 Renewal - Dave Ramsey</t>
  </si>
  <si>
    <t>006d000000hzTvPAAU</t>
  </si>
  <si>
    <t>2016 Renewal - Beachbody</t>
  </si>
  <si>
    <t>006d000000ltUOkAAM</t>
  </si>
  <si>
    <t>2017 Renewal - Viator</t>
  </si>
  <si>
    <t>006d000000mhMstAAE</t>
  </si>
  <si>
    <t>2017 Renewal - ATG Stores</t>
  </si>
  <si>
    <t>006d000000moiwxAAA</t>
  </si>
  <si>
    <t>2017 Renewal - Stage Stores</t>
  </si>
  <si>
    <t>006d000000oEQ8UAAW</t>
  </si>
  <si>
    <t>2017 Renewal - Hello Bank</t>
  </si>
  <si>
    <t>006d000000pdlepAAA</t>
  </si>
  <si>
    <t>2017 Renewal - The Church of Jesus Christ of Latter-Day Saints</t>
  </si>
  <si>
    <t>006d000000ph76iAAA</t>
  </si>
  <si>
    <t>2017 Renewal - Ubisoft NCSA</t>
  </si>
  <si>
    <t>006d000000Sra8aAAB</t>
  </si>
  <si>
    <t>2015 Renewal - Stage Stores</t>
  </si>
  <si>
    <t>006d000000Sra8PAAR</t>
  </si>
  <si>
    <t>2015 Renewal - Las Vegas Sands</t>
  </si>
  <si>
    <t>006d000000VQaTKAA1</t>
  </si>
  <si>
    <t>2014 Renewal - Dave Ramsey</t>
  </si>
  <si>
    <t>006d000000YAUfLAAX</t>
  </si>
  <si>
    <t>2015 Renewal - Hibu</t>
  </si>
  <si>
    <t>006d000000YB39DAAT</t>
  </si>
  <si>
    <t>2015 Renewal - Manheim</t>
  </si>
  <si>
    <t>006d000000Yd5mnAAB</t>
  </si>
  <si>
    <t>2015 Renewal - Dave Ramsey</t>
  </si>
  <si>
    <t>006d000000ZOI93AAH</t>
  </si>
  <si>
    <t>2015 Renewal - Capella</t>
  </si>
  <si>
    <t>006d000000ZWbScAAL</t>
  </si>
  <si>
    <t>2014 Renewal - Beachbody</t>
  </si>
  <si>
    <t>006VH000002GZtVYAW</t>
  </si>
  <si>
    <t>2026 - REN - Deutsche Bahn</t>
  </si>
  <si>
    <t>006VH000003sUKLYA2</t>
  </si>
  <si>
    <t>2026 - REN - Vodafone Group</t>
  </si>
  <si>
    <t>006VH000003XVmoYAG</t>
  </si>
  <si>
    <t>2027 - REN - Qualcomm</t>
  </si>
  <si>
    <t>006VH000004sghaYAA</t>
  </si>
  <si>
    <t>2027 - REN - Export Development Canada</t>
  </si>
  <si>
    <t>006VH000005rrCzYAI</t>
  </si>
  <si>
    <t>2027 - REN - The Hartford</t>
  </si>
  <si>
    <t>006VH00000db1RhYAI</t>
  </si>
  <si>
    <t>2050 - REN - Observepoint</t>
  </si>
  <si>
    <t>006VH00000Dk02LYAR</t>
  </si>
  <si>
    <t>2027 - REN - PNC</t>
  </si>
  <si>
    <t>006VH00000EyE4rYAF</t>
  </si>
  <si>
    <t>2026 - REN - Hugo Boss</t>
  </si>
  <si>
    <t>006VH00000FU8SXYA1</t>
  </si>
  <si>
    <t>2027 - REN - Stanford Health Care</t>
  </si>
  <si>
    <t>006VH00000GXJU5YAP</t>
  </si>
  <si>
    <t>2026 - REN - Penumbra</t>
  </si>
  <si>
    <t>006VH00000I02p3YAB</t>
  </si>
  <si>
    <t>2027 - REN - CIBC</t>
  </si>
  <si>
    <t>006VH00000ILKXfYAP</t>
  </si>
  <si>
    <t>2027 - REN - Texas Instruments</t>
  </si>
  <si>
    <t>006VH00000LQ8E1YAL</t>
  </si>
  <si>
    <t>2026 - REN - Hard Rock Cafe</t>
  </si>
  <si>
    <t>006VH00000LXpSiYAL</t>
  </si>
  <si>
    <t>2027 - REN - Discovery Ltd</t>
  </si>
  <si>
    <t>006VH00000LYAqTYAX</t>
  </si>
  <si>
    <t>2026 - REN - Bwin</t>
  </si>
  <si>
    <t>006VH00000Nvv17YAB</t>
  </si>
  <si>
    <t>2027 - REN - Mattress Firm</t>
  </si>
  <si>
    <t>006VH00000QrCgoYAF</t>
  </si>
  <si>
    <t>2025 - REN - Klick (Apellis)</t>
  </si>
  <si>
    <t>0066T000016nRZdQAM</t>
  </si>
  <si>
    <t>2022-REN-PepsiCo</t>
  </si>
  <si>
    <t>0060W00000zP6y4QAC</t>
  </si>
  <si>
    <t>2019 Renewal - Ebiquity OBO Levi Strauss</t>
  </si>
  <si>
    <t>0060W0000121FsSQAU</t>
  </si>
  <si>
    <t>2021 Renewal - M&amp;T Bank</t>
  </si>
  <si>
    <t>0066T000017WAqvQAG</t>
  </si>
  <si>
    <t>2023-REN-BRP - Web</t>
  </si>
  <si>
    <t>0060W000015PUoeQAG</t>
  </si>
  <si>
    <t>2022-REN-BRP - Web</t>
  </si>
  <si>
    <t>006d000000tuqP6AAI</t>
  </si>
  <si>
    <t>2017 Renewal - Swisscom &amp; Webalyse</t>
  </si>
  <si>
    <t>006d000000i1bmNAAQ</t>
  </si>
  <si>
    <t>2016 Renewal - Swisscom &amp; Webalyse</t>
  </si>
  <si>
    <t>0060W00000y837CQAQ</t>
  </si>
  <si>
    <t>2018 Renewal part 2 -VW</t>
  </si>
  <si>
    <t>0066T000016llwLQAQ</t>
  </si>
  <si>
    <t>2022-REN-ABN AMRO</t>
  </si>
  <si>
    <t>0060W000014mZBcQAM</t>
  </si>
  <si>
    <t>2021-REN-ABN AMRO</t>
  </si>
  <si>
    <t>0060W0000122eRuQAI</t>
  </si>
  <si>
    <t>2020 Renewal - ABN AMRO</t>
  </si>
  <si>
    <t>0060W00000zP6lAQAS</t>
  </si>
  <si>
    <t>2019 Renewal - ABN AMRO</t>
  </si>
  <si>
    <t>0060W000014oMcwQAE</t>
  </si>
  <si>
    <t>2021-REN-OpenBank</t>
  </si>
  <si>
    <t>0060W000011SfPWQA0</t>
  </si>
  <si>
    <t>2020 Renewal - OpenBank</t>
  </si>
  <si>
    <t>0060W000014b5JlQAI</t>
  </si>
  <si>
    <t>2022 - REN - Reynolds American</t>
  </si>
  <si>
    <t>006VH000003UGGvYAO</t>
  </si>
  <si>
    <t>2025 - REN - DMPG OBO Virgin Australia Airlines</t>
  </si>
  <si>
    <t>0066T000016mG0sQAE</t>
  </si>
  <si>
    <t>2023 - REN - DMPG OBO Virgin Australia Airlines</t>
  </si>
  <si>
    <t>0066T000016kHcmQAE</t>
  </si>
  <si>
    <t>2023-REN-Goldman Sachs</t>
  </si>
  <si>
    <t>0060W0000121P37QAE</t>
  </si>
  <si>
    <t>2021-REN-Goldman Sachs</t>
  </si>
  <si>
    <t>0060W000010O5xZQAS</t>
  </si>
  <si>
    <t>2020 Renewal - DoublePositive</t>
  </si>
  <si>
    <t>0066T000016H13zQAC</t>
  </si>
  <si>
    <t>2021-REN-United States Agency for Global Media</t>
  </si>
  <si>
    <t>0066T000015r99sQAA</t>
  </si>
  <si>
    <t>2022-REN-United States Agency for Global Media</t>
  </si>
  <si>
    <t>0060W000011VatTQAS</t>
  </si>
  <si>
    <t>2020-REN-United States Agency for Global Media</t>
  </si>
  <si>
    <t>006VH00000UfSC8YAN</t>
  </si>
  <si>
    <t>2026 - REN - JVCKENWOOD</t>
  </si>
  <si>
    <t>006VH000007EurBYAS</t>
  </si>
  <si>
    <t>2025 - REN - Recruit</t>
  </si>
  <si>
    <t>006VH000005JWFpYAO</t>
  </si>
  <si>
    <t>2025 - REN - Exture OBO JVCKENWOOD</t>
  </si>
  <si>
    <t>0060W00000y4k8tQAA</t>
  </si>
  <si>
    <t>2019 Renewal - Ford MEA</t>
  </si>
  <si>
    <t>0060W000015PkXFQA0</t>
  </si>
  <si>
    <t>2022-REN-GTB OBO Ford MEA</t>
  </si>
  <si>
    <t>0060W000010RTsFQAW</t>
  </si>
  <si>
    <t>2020 Renewal - Ford MEA</t>
  </si>
  <si>
    <t>0060W00000y88pOQAQ</t>
  </si>
  <si>
    <t>2019 Renewal - Smuckers Company</t>
  </si>
  <si>
    <t>006d000000uGcwYAAS</t>
  </si>
  <si>
    <t>2018 Renewal - Healthgrades</t>
  </si>
  <si>
    <t>0060W000010PbWHQA0</t>
  </si>
  <si>
    <t>2022 Renewal - Equifax</t>
  </si>
  <si>
    <t>006d000000k7MfOAAU</t>
  </si>
  <si>
    <t>2019 Renewal - Equifax</t>
  </si>
  <si>
    <t>0066T000016lLpjQAE</t>
  </si>
  <si>
    <t>2022-REN-MYOB</t>
  </si>
  <si>
    <t>0060W000014oPNbQAM</t>
  </si>
  <si>
    <t>2021-REN-MYOB</t>
  </si>
  <si>
    <t>0060W000011WDugQAG</t>
  </si>
  <si>
    <t>2020-REN-MYOB</t>
  </si>
  <si>
    <t>0066T0000168CKlQAM</t>
  </si>
  <si>
    <t>2022-REN-Adobe - Federal</t>
  </si>
  <si>
    <t>0060W000010wkmPQAQ</t>
  </si>
  <si>
    <t>2021 Renewal - Adobe - Federal</t>
  </si>
  <si>
    <t>0060W000010R618QAC</t>
  </si>
  <si>
    <t>2020 Renewal - The Children's Place - March 2019</t>
  </si>
  <si>
    <t>0066T000015q2eBQAQ</t>
  </si>
  <si>
    <t>2023-REN-Eurostar</t>
  </si>
  <si>
    <t>0060W000010pp2ZQAQ</t>
  </si>
  <si>
    <t>2021 - REN - Eurostar</t>
  </si>
  <si>
    <t>0066T00001ADVSjQAP</t>
  </si>
  <si>
    <t>2023 - REN - AbbVie</t>
  </si>
  <si>
    <t>0066T000016kOczQAE</t>
  </si>
  <si>
    <t>2022 - REN - AbbVie</t>
  </si>
  <si>
    <t>0060W000014nQxRQAU</t>
  </si>
  <si>
    <t>2021 - REN - AbbVie</t>
  </si>
  <si>
    <t>0060W00001243lZQAQ</t>
  </si>
  <si>
    <t>2020-REN-AbbVie</t>
  </si>
  <si>
    <t>0060W000011SiBfQAK</t>
  </si>
  <si>
    <t>2020 Renewal - Kroger</t>
  </si>
  <si>
    <t>006d000000upBZcAAM</t>
  </si>
  <si>
    <t>2019 Renewal - Overstock</t>
  </si>
  <si>
    <t>0060W0000121JbVQAU</t>
  </si>
  <si>
    <t>2020-REN-Cdiscount</t>
  </si>
  <si>
    <t>0060W000014daDEQAY</t>
  </si>
  <si>
    <t>2021-REN-Sirius XM</t>
  </si>
  <si>
    <t>0060W0000122lhKQAQ</t>
  </si>
  <si>
    <t>2020-REN-Sirius XM</t>
  </si>
  <si>
    <t>0060W000011Sf3GQAS</t>
  </si>
  <si>
    <t>2021 Renewal LPL Financial</t>
  </si>
  <si>
    <t>0060W00000y86tVQAQ</t>
  </si>
  <si>
    <t>2021 Renewal - Comparethemarket</t>
  </si>
  <si>
    <t>0066T000015opKCQAY</t>
  </si>
  <si>
    <t>2023 - REN - Comparethemarket</t>
  </si>
  <si>
    <t>0060W000011pq6TQAQ</t>
  </si>
  <si>
    <t>2021-REN-Annalect Tag Governance Project</t>
  </si>
  <si>
    <t>0060W000010wkroQAA</t>
  </si>
  <si>
    <t>2020 Renewal - Amgen</t>
  </si>
  <si>
    <t>0060W00000y5cfGQAQ</t>
  </si>
  <si>
    <t>2019 Renewal - HCA Healthcare</t>
  </si>
  <si>
    <t>0060W00000y51dLQAQ</t>
  </si>
  <si>
    <t>2019 Renewal - Hyundai-Innocean USA</t>
  </si>
  <si>
    <t>0066T000017WbGoQAK</t>
  </si>
  <si>
    <t>2023 - REN - Innocean OBO Kia Motors</t>
  </si>
  <si>
    <t>0066T000015RpD0QAK</t>
  </si>
  <si>
    <t>2022 - REN - Wehkamp - LiveConnect</t>
  </si>
  <si>
    <t>0060W000010ySORQA2</t>
  </si>
  <si>
    <t>2020 Renewal - USAA</t>
  </si>
  <si>
    <t>0066T00001C9MIwQAN</t>
  </si>
  <si>
    <t>2024 - REN - Choice Hotels</t>
  </si>
  <si>
    <t>0066T000015o7d9QAA</t>
  </si>
  <si>
    <t>2022-REN-CDK Global</t>
  </si>
  <si>
    <t>0060W000011UOjnQAG</t>
  </si>
  <si>
    <t>2021-REN-CDK Global</t>
  </si>
  <si>
    <t>0060W000010yU22QAE</t>
  </si>
  <si>
    <t>2021 Renewal - Adobe - Target project</t>
  </si>
  <si>
    <t>006VH00000X6lpFYAR</t>
  </si>
  <si>
    <t>2027 - REN - Kohler</t>
  </si>
  <si>
    <t>0060W000010yBOVQA2</t>
  </si>
  <si>
    <t>2021 Renewal - Univ. of Phoenix</t>
  </si>
  <si>
    <t>0060W000010wrncQAA</t>
  </si>
  <si>
    <t>2021 Renewal - Aetna</t>
  </si>
  <si>
    <t>0060W000010pofqQAA</t>
  </si>
  <si>
    <t>2020 Renewal - Warner Bros.</t>
  </si>
  <si>
    <t>0060W000013lL0sQAE</t>
  </si>
  <si>
    <t>2021-REN-WarnerMedia</t>
  </si>
  <si>
    <t>0066T00001CM73BQAT</t>
  </si>
  <si>
    <t>2024 - REN - 3 Day Blinds</t>
  </si>
  <si>
    <t>0066T000018E7KAQA0</t>
  </si>
  <si>
    <t>2023 - REN - 3 Day Blinds</t>
  </si>
  <si>
    <t>0066T000016GrY8QAK</t>
  </si>
  <si>
    <t>2022-REN-3 Day Blinds</t>
  </si>
  <si>
    <t>0060W000012YFyCQAW</t>
  </si>
  <si>
    <t>2021-REN-3 Day Blinds</t>
  </si>
  <si>
    <t>0060W000010yBSrQAM</t>
  </si>
  <si>
    <t>2020-REN-3 Day Blinds</t>
  </si>
  <si>
    <t>0060W000012T0cqQAC</t>
  </si>
  <si>
    <t>2021-REN-Hermes International</t>
  </si>
  <si>
    <t>0060W000010voctQAA</t>
  </si>
  <si>
    <t>2020 Renewal - Hermes International</t>
  </si>
  <si>
    <t>0066T000018zmqTQAQ</t>
  </si>
  <si>
    <t>2023 - REN - The Co-operators</t>
  </si>
  <si>
    <t>0060W000010q9mkQAA</t>
  </si>
  <si>
    <t>2020 Renewal - Visible &amp; Upsell</t>
  </si>
  <si>
    <t>0066T000015QZFWQA4</t>
  </si>
  <si>
    <t>2022-REN-Publix</t>
  </si>
  <si>
    <t>0060W000013IU9eQAG</t>
  </si>
  <si>
    <t>2021-REN-Publix</t>
  </si>
  <si>
    <t>0060W0000123PurQAE</t>
  </si>
  <si>
    <t>2022-REN-Talpa Network</t>
  </si>
  <si>
    <t>0066T000016jsCQQAY</t>
  </si>
  <si>
    <t>2022-REN-Immobilien Scout</t>
  </si>
  <si>
    <t>0060W000013su7NQAQ</t>
  </si>
  <si>
    <t>2021-REN-AutoScout24 - Germany</t>
  </si>
  <si>
    <t>0060W0000121paPQAQ</t>
  </si>
  <si>
    <t>2020-REN-AutoScout24 - Germany</t>
  </si>
  <si>
    <t>006VH000001Is1QYAS</t>
  </si>
  <si>
    <t>2024 - REN - K. Hovnanian</t>
  </si>
  <si>
    <t>0066T000017WWrfQAG</t>
  </si>
  <si>
    <t>2023-REN-Citadel Federal Credit Union</t>
  </si>
  <si>
    <t>0066T00001BB9GSQA1</t>
  </si>
  <si>
    <t>2024 - REN - Citadel Federal Credit Union</t>
  </si>
  <si>
    <t>0066T00001AEtpzQAD</t>
  </si>
  <si>
    <t>2024 - REN - Chain IQ_OBO_UBS</t>
  </si>
  <si>
    <t>0060W000012Yi4QQAS</t>
  </si>
  <si>
    <t>2023-REN-Chain IQ_OBO_UBS</t>
  </si>
  <si>
    <t>0066T000016mBz8QAE</t>
  </si>
  <si>
    <t>2022-REN-Deluxe Corp.</t>
  </si>
  <si>
    <t>0060W000015O994QAC</t>
  </si>
  <si>
    <t>2021-REN-Deluxe Corp.</t>
  </si>
  <si>
    <t>0060W0000121qGTQAY</t>
  </si>
  <si>
    <t>2020-REN-Deluxe Corp.</t>
  </si>
  <si>
    <t>0066T0000169EflQAE</t>
  </si>
  <si>
    <t>2022-REN-Special Broadcasting Services (SBS) Australia</t>
  </si>
  <si>
    <t>0060W000012KkJ4QAK</t>
  </si>
  <si>
    <t>2021-REN-Special Broadcasting Services (SBS) Australia</t>
  </si>
  <si>
    <t>0066T000015r3pVQAQ</t>
  </si>
  <si>
    <t>2023-REN-Lima Consulting OBO Vivo</t>
  </si>
  <si>
    <t>0060W000011VNNWQA4</t>
  </si>
  <si>
    <t>2021-REN-Lima Consulting OBO Vivo</t>
  </si>
  <si>
    <t>0060W00000y71N7QAI</t>
  </si>
  <si>
    <t>2019 Renewal - Discover</t>
  </si>
  <si>
    <t>0060W0000123M3AQAU</t>
  </si>
  <si>
    <t>2020-REN-Discover</t>
  </si>
  <si>
    <t>0066T000015Rz56QAC</t>
  </si>
  <si>
    <t>2023 - REN - BAT</t>
  </si>
  <si>
    <t>0060W000011UcoaQAC</t>
  </si>
  <si>
    <t>2021 Renewal BAT</t>
  </si>
  <si>
    <t>0060W00000vvCCeQAM</t>
  </si>
  <si>
    <t>2019 Renewal - Fidelity</t>
  </si>
  <si>
    <t>0060W000013K2o6QAC</t>
  </si>
  <si>
    <t>2021-REN-Fidelity</t>
  </si>
  <si>
    <t>0060W000011Sd99QAC</t>
  </si>
  <si>
    <t>2020 Renewal - Fidelity</t>
  </si>
  <si>
    <t>0060W00000zOCgVQAW</t>
  </si>
  <si>
    <t>2019 Renewal - AutoZone</t>
  </si>
  <si>
    <t>0060W000014avSHQAY</t>
  </si>
  <si>
    <t>2021 - REN - AutoZone</t>
  </si>
  <si>
    <t>0060W000011WIKCQA4</t>
  </si>
  <si>
    <t>2020 Renewal - AutoZone</t>
  </si>
  <si>
    <t>0060W0000121Fb7QAE</t>
  </si>
  <si>
    <t>2021 - REN - JM Family</t>
  </si>
  <si>
    <t>0066T000016lg47QAA</t>
  </si>
  <si>
    <t>2022-REN-H-E-B, LP</t>
  </si>
  <si>
    <t>0060W0000120lSfQAI</t>
  </si>
  <si>
    <t>2021-REN-H-E-B, LP</t>
  </si>
  <si>
    <t>0060W0000122YoyQAE</t>
  </si>
  <si>
    <t>2020 - REN - RMIT (CampaignAssurance)</t>
  </si>
  <si>
    <t>0060W00000vuZ2KQAU</t>
  </si>
  <si>
    <t>2019 Renewal - Kohler Company</t>
  </si>
  <si>
    <t>0066T0000168KrGQAU</t>
  </si>
  <si>
    <t>2023-REN-Kohler Company</t>
  </si>
  <si>
    <t>0060W000011TbxXQAS</t>
  </si>
  <si>
    <t>2021 Renewal - Kohler Company</t>
  </si>
  <si>
    <t>0066T00001ACFFDQA5</t>
  </si>
  <si>
    <t>2024 - REN - Thermo Fisher Scientific</t>
  </si>
  <si>
    <t>006VH00000TJiO1YAL</t>
  </si>
  <si>
    <t>2026 - REN - Thermo Fisher Scientific</t>
  </si>
  <si>
    <t>006VH00000grCu5YAE</t>
  </si>
  <si>
    <t>2027 - REN - Thermo Fisher Scientific</t>
  </si>
  <si>
    <t>0060W000014dNGIQA2</t>
  </si>
  <si>
    <t>2023 - REN - Shell</t>
  </si>
  <si>
    <t>0060W0000120FHuQAM</t>
  </si>
  <si>
    <t>2020 Renewal - Shell</t>
  </si>
  <si>
    <t>006VH000002x3YbYAI</t>
  </si>
  <si>
    <t>2025 - REN - GSK</t>
  </si>
  <si>
    <t>0066T00001AES2sQAH</t>
  </si>
  <si>
    <t>2024 - REN - Finning Cat</t>
  </si>
  <si>
    <t>0060W000012seBGQAY</t>
  </si>
  <si>
    <t>2021-REN-GTB OBO Ford MEA</t>
  </si>
  <si>
    <t>0060W00000zOxBcQAK</t>
  </si>
  <si>
    <t>2019-REN-SpringerNature</t>
  </si>
  <si>
    <t>006VH00000IDloLYAT</t>
  </si>
  <si>
    <t>2025 - REN - Springer Nature</t>
  </si>
  <si>
    <t>0060W000012YFoCQAW</t>
  </si>
  <si>
    <t>2020-REN-SpringerNature</t>
  </si>
  <si>
    <t>006VH00000XuXntYAF</t>
  </si>
  <si>
    <t>2026 - REN - The Walt Disney Company - EMEA</t>
  </si>
  <si>
    <t>0066T000016mqw3QAA</t>
  </si>
  <si>
    <t>2023 - REN - Sage - Tech Gov</t>
  </si>
  <si>
    <t>0060W0000122GDTQA2</t>
  </si>
  <si>
    <t>2020 - REN - IG</t>
  </si>
  <si>
    <t>0060W000014anNYQAY</t>
  </si>
  <si>
    <t>2021 - REN - IG</t>
  </si>
  <si>
    <t>006VH00000BmWFNYA3</t>
  </si>
  <si>
    <t>2025 - REN - EPSON</t>
  </si>
  <si>
    <t>0066T000016lTdAQAU</t>
  </si>
  <si>
    <t>2022-REN-K. Hovnanian Homes</t>
  </si>
  <si>
    <t>006VH00000QoQA1YAN</t>
  </si>
  <si>
    <t>2025 - REN - K. Hovnanian</t>
  </si>
  <si>
    <t>006VH00000gFGh2YAG</t>
  </si>
  <si>
    <t>2026 - REN - K. Hovnanian</t>
  </si>
  <si>
    <t>0066T000017wWiuQAE</t>
  </si>
  <si>
    <t>2023 - REN - K. Hovnanian</t>
  </si>
  <si>
    <t>0060W000012XwJKQA0</t>
  </si>
  <si>
    <t>2020-REN-Barclays UK</t>
  </si>
  <si>
    <t>0066T000018GzkFQAS</t>
  </si>
  <si>
    <t>2025 - REN - Rent</t>
  </si>
  <si>
    <t>0066T000016meO1QAI</t>
  </si>
  <si>
    <t>2022-REN-UPMC</t>
  </si>
  <si>
    <t>006VH00000QIoiZYAT</t>
  </si>
  <si>
    <t>2025 - REN - UPMC</t>
  </si>
  <si>
    <t>0066T00001CNwvfQAD</t>
  </si>
  <si>
    <t>2024 - REN - UPMC</t>
  </si>
  <si>
    <t>0066T000017wB3LQAU</t>
  </si>
  <si>
    <t>2023 - REN - UPMC</t>
  </si>
  <si>
    <t>0060W00000zPiKjQAK</t>
  </si>
  <si>
    <t>2020-Renewal-Bouygues-WebAssurance</t>
  </si>
  <si>
    <t>0060W000012ZMyiQAG</t>
  </si>
  <si>
    <t>2021-REN-Bouygues</t>
  </si>
  <si>
    <t>0066T000015Q2lEQAS</t>
  </si>
  <si>
    <t>2023 - REN - Merkle OBO Petco</t>
  </si>
  <si>
    <t>0060W00000zNpJWQA0</t>
  </si>
  <si>
    <t>2019 Renewal - Darden</t>
  </si>
  <si>
    <t>0066T000016lzjqQAA</t>
  </si>
  <si>
    <t>2022-REN-Darden</t>
  </si>
  <si>
    <t>0060W000013suFBQAY</t>
  </si>
  <si>
    <t>2021-REN-Darden</t>
  </si>
  <si>
    <t>0060W000012bBgOQAU</t>
  </si>
  <si>
    <t>2020-REN-Darden</t>
  </si>
  <si>
    <t>0060W0000121JkDQAU</t>
  </si>
  <si>
    <t>2020-REN-Jet2.com</t>
  </si>
  <si>
    <t>0060W000014dJiiQAE</t>
  </si>
  <si>
    <t>2022-REN-Jet2.com</t>
  </si>
  <si>
    <t>006VH00000UMXqUYAX</t>
  </si>
  <si>
    <t>2027 - REN - Sallie Mae</t>
  </si>
  <si>
    <t>006VH0000068LYsYAM</t>
  </si>
  <si>
    <t>2025 - REN - The Walt Disney Company - EMEA</t>
  </si>
  <si>
    <t>0066T00001CMnO1QAL</t>
  </si>
  <si>
    <t>2024 - REN - The Walt Disney Company - EMEA</t>
  </si>
  <si>
    <t>0066T000018GIYmQAO</t>
  </si>
  <si>
    <t>2023 - REN - The Walt Disney Company - EMEA</t>
  </si>
  <si>
    <t>0060W0000121FFuQAM</t>
  </si>
  <si>
    <t>2020 Renewal - Qualtrics</t>
  </si>
  <si>
    <t>006VH00000RAFr4YAH</t>
  </si>
  <si>
    <t>2025 - REN - Bristol-Myers Squibb (2nd of 3 year Deal)</t>
  </si>
  <si>
    <t>006VH00000gBAdNYAW</t>
  </si>
  <si>
    <t>2026 - REN - Bristol-Myers Squibb (3rd of 3 year deal)</t>
  </si>
  <si>
    <t>0066T000017U1qqQAC</t>
  </si>
  <si>
    <t>2024 - REN - Bristol-Myers Squibb</t>
  </si>
  <si>
    <t>0066T000016kAtYQAU</t>
  </si>
  <si>
    <t>2021 - REN - Bristol-Myers Squibb</t>
  </si>
  <si>
    <t>0060W000011UMPqQAO</t>
  </si>
  <si>
    <t>2019-NB-Ricoh UK Ltd OBO Vodafone Ltd</t>
  </si>
  <si>
    <t>0060W000011Uc1kQAC</t>
  </si>
  <si>
    <t>2020 Renewal - Enterprise Holdings</t>
  </si>
  <si>
    <t>006d000000rps32AAA</t>
  </si>
  <si>
    <t>2019 Renewal - Enterprise Holdings</t>
  </si>
  <si>
    <t>0060W00000zNN4tQAG</t>
  </si>
  <si>
    <t>2019 Renewal - Sage/Jellyfish</t>
  </si>
  <si>
    <t>0066T000017VDOUQA4</t>
  </si>
  <si>
    <t>2023 - REN - JPMC - Asset Management</t>
  </si>
  <si>
    <t>0060W000015P6yCQAS</t>
  </si>
  <si>
    <t>2022 - REN - JPMC - Asset Management</t>
  </si>
  <si>
    <t>0060W0000136kQDQAY</t>
  </si>
  <si>
    <t>2021 - REN - JPMC - Asset Management</t>
  </si>
  <si>
    <t>0066T000018Hi2TQAS</t>
  </si>
  <si>
    <t>2023 - REN - Project Management Institute</t>
  </si>
  <si>
    <t>006VH00000J3aTpYAJ</t>
  </si>
  <si>
    <t>2025 - REN - Project Management Institute</t>
  </si>
  <si>
    <t>0060W000014mRr6QAE</t>
  </si>
  <si>
    <t>2022-REN-Alticor aka Amway</t>
  </si>
  <si>
    <t>0060W0000123l7WQAQ</t>
  </si>
  <si>
    <t>2020-REN-Alticor aka Amway</t>
  </si>
  <si>
    <t>0066T000016l85kQAA</t>
  </si>
  <si>
    <t>2022-REN-Bloomberg Industry Group</t>
  </si>
  <si>
    <t>0060W000014dWmoQAE</t>
  </si>
  <si>
    <t>2021-REN-Bloomberg Industry Group</t>
  </si>
  <si>
    <t>0066T000015qGq7QAE</t>
  </si>
  <si>
    <t>2023-REN-Pure Storage</t>
  </si>
  <si>
    <t>0060W000013sgmDQAQ</t>
  </si>
  <si>
    <t>2021-REN-Pure Storage</t>
  </si>
  <si>
    <t>0060W0000120kRlQAI</t>
  </si>
  <si>
    <t>2020-REN-Pure Storage</t>
  </si>
  <si>
    <t>0066T00001AEtmqQAD</t>
  </si>
  <si>
    <t>2023 - REN - Express Scripts</t>
  </si>
  <si>
    <t>006d000000hylVWAAY</t>
  </si>
  <si>
    <t>2016 Renewal - Slack</t>
  </si>
  <si>
    <t>0060W0000120L7aQAE</t>
  </si>
  <si>
    <t>2021-REN-Bank of Montreal</t>
  </si>
  <si>
    <t>0060W000014oVG0QAM</t>
  </si>
  <si>
    <t>2022-REN-Attribute Data OBO Enterprise Singapore</t>
  </si>
  <si>
    <t>0060W00001219Q2QAI</t>
  </si>
  <si>
    <t>2020-REN-Attribute Data OBO Enterprise Singapore</t>
  </si>
  <si>
    <t>0060W000011phJsQAI</t>
  </si>
  <si>
    <t>2020 Renewal - Int'l Rhino Foundation</t>
  </si>
  <si>
    <t>0066T000015qaEaQAI</t>
  </si>
  <si>
    <t>2022-REN-Int'l Rhino Foundation</t>
  </si>
  <si>
    <t>0060W000013sDb2QAE</t>
  </si>
  <si>
    <t>2021-REN-Int'l Rhino Foundation</t>
  </si>
  <si>
    <t>0060W000012ZVnuQAG</t>
  </si>
  <si>
    <t>2022-NB-Chewy, Inc.</t>
  </si>
  <si>
    <t>0066T000016n4EXQAY</t>
  </si>
  <si>
    <t>2024-REN-Keurig Dr Pepper</t>
  </si>
  <si>
    <t>0060W000012ZFTsQAO</t>
  </si>
  <si>
    <t>2022-REN-Keurig Dr Pepper</t>
  </si>
  <si>
    <t>0060W0000122EiBQAU</t>
  </si>
  <si>
    <t>2021 - REN - Merck UK - Web &amp; App</t>
  </si>
  <si>
    <t>0060W000012ZGLaQAO</t>
  </si>
  <si>
    <t>2022-REN-Zenni Optical</t>
  </si>
  <si>
    <t>006VH0000096G6fYAE</t>
  </si>
  <si>
    <t>2026 - REN - PBS</t>
  </si>
  <si>
    <t>0060W00000wyriMQAQ</t>
  </si>
  <si>
    <t>2020 Renewal - Just Eat</t>
  </si>
  <si>
    <t>0060W000012ZG6fQAG</t>
  </si>
  <si>
    <t>2021-REN-Just Eat</t>
  </si>
  <si>
    <t>0066T000016nSUZQA2</t>
  </si>
  <si>
    <t>2024-REN-Lavazza VIA Bitbang</t>
  </si>
  <si>
    <t>0060W000014oOozQAE</t>
  </si>
  <si>
    <t>2022-OPT IN-REN-Lavazza VIA Bitbang</t>
  </si>
  <si>
    <t>0060W000012ZGEoQAO</t>
  </si>
  <si>
    <t>2021-REN-BitBang_OBO_Lavazza</t>
  </si>
  <si>
    <t>0060W000012sf3wQAA</t>
  </si>
  <si>
    <t>2022-REN-Credit One Bank NA</t>
  </si>
  <si>
    <t>0060W000011pqmiQAA</t>
  </si>
  <si>
    <t>2020-REN-Farfetch</t>
  </si>
  <si>
    <t>0066T000016lfw0QAA</t>
  </si>
  <si>
    <t>2022-REN-Farfetch</t>
  </si>
  <si>
    <t>0060W000014m8eBQAQ</t>
  </si>
  <si>
    <t>2021-REN-Farfetch</t>
  </si>
  <si>
    <t>0060W00000zOTMPQA4</t>
  </si>
  <si>
    <t>2019 Renewal Agency55 OBO Renault WebAssurance</t>
  </si>
  <si>
    <t>0066T000016liysQAA</t>
  </si>
  <si>
    <t>2022-REN-Unipol</t>
  </si>
  <si>
    <t>0060W000014mcyEQAQ</t>
  </si>
  <si>
    <t>2021-REN-Unipol</t>
  </si>
  <si>
    <t>0060W00000zP81TQAS</t>
  </si>
  <si>
    <t>2020 Renewal - Unipol</t>
  </si>
  <si>
    <t>0060W00000zMVtvQAG</t>
  </si>
  <si>
    <t>2019 Renewal - UnipolSai</t>
  </si>
  <si>
    <t>0060W00000vXztVQAS</t>
  </si>
  <si>
    <t>2019 Renewal - Ferguson</t>
  </si>
  <si>
    <t>0060W00000vINU9QAO</t>
  </si>
  <si>
    <t>2019 Renewal - Follett</t>
  </si>
  <si>
    <t>0066T000016HLqGQAW</t>
  </si>
  <si>
    <t>2022 - REN - Follett</t>
  </si>
  <si>
    <t>0060W000011Sd4nQAC</t>
  </si>
  <si>
    <t>2021 Renewal - Follett</t>
  </si>
  <si>
    <t>0060W00000vX7tVQAS</t>
  </si>
  <si>
    <t>2017 Renewal/Upsell - Follett</t>
  </si>
  <si>
    <t>0060W00000w6mjTQAQ</t>
  </si>
  <si>
    <t>2019 Renewal - Pitney Bowes</t>
  </si>
  <si>
    <t>0066T000018yb4oQAA</t>
  </si>
  <si>
    <t>2023 - REN - Office Depot</t>
  </si>
  <si>
    <t>0060W000013q9dKQAQ</t>
  </si>
  <si>
    <t>2022-REN-Office Depot, Inc.</t>
  </si>
  <si>
    <t>006d000000i0BNqAAM</t>
  </si>
  <si>
    <t>2016 Renewal - AutoNation</t>
  </si>
  <si>
    <t>006d000000uEvOWAA0</t>
  </si>
  <si>
    <t>2017 Renewal - AutoNation</t>
  </si>
  <si>
    <t>0060W00000vIY5zQAG</t>
  </si>
  <si>
    <t>2017 Renewal/Upsell - Grainger</t>
  </si>
  <si>
    <t>0060W00000vwbRzQAI</t>
  </si>
  <si>
    <t>2018 Renewal - Your Favourite Story OBO Mercedes-Benz UK</t>
  </si>
  <si>
    <t>0060W00000zMTeOQAW</t>
  </si>
  <si>
    <t>2019 Renewal - Your Favourite Story OBO Mercedes-Benz UK</t>
  </si>
  <si>
    <t>0066T000017UkblQAC</t>
  </si>
  <si>
    <t>2023-REN-Zions Bank</t>
  </si>
  <si>
    <t>0060W000011Sd1BQAS</t>
  </si>
  <si>
    <t>2020 Renewal - Overstock</t>
  </si>
  <si>
    <t>0066T000017TxowQAC</t>
  </si>
  <si>
    <t>2023-REN-Overstock</t>
  </si>
  <si>
    <t>0066T000015PzG7QAK</t>
  </si>
  <si>
    <t>2022-REN-Overstock</t>
  </si>
  <si>
    <t>0060W000012a3ISQAY</t>
  </si>
  <si>
    <t>2021-REN-Overstock</t>
  </si>
  <si>
    <t>0060W00000zNpUFQA0</t>
  </si>
  <si>
    <t>2019 Renewal - PostNL</t>
  </si>
  <si>
    <t>0060W000011Saz1QAC</t>
  </si>
  <si>
    <t>2021 - REN - Capital Group</t>
  </si>
  <si>
    <t>006VH00000Z7kQTYAZ</t>
  </si>
  <si>
    <t>2027 - REN - American Funds</t>
  </si>
  <si>
    <t>0066T00001C98gEQAR</t>
  </si>
  <si>
    <t>2025 - REN - American Funds</t>
  </si>
  <si>
    <t>0066T0000168ucPQAQ</t>
  </si>
  <si>
    <t>2023 - REN - Capital Group (American Funds)</t>
  </si>
  <si>
    <t>0060W0000123LPFQA2</t>
  </si>
  <si>
    <t>2022-REN-Express Scripts</t>
  </si>
  <si>
    <t>0060W00000wwwnfQAA</t>
  </si>
  <si>
    <t>2019 Renewal - Express Scripts</t>
  </si>
  <si>
    <t>006d000000uoPFuAAM</t>
  </si>
  <si>
    <t>2017 Renewal - DigitasLBi OBO The Goodyear Tire &amp; Rubber Company</t>
  </si>
  <si>
    <t>0060W00000wyFREQA2</t>
  </si>
  <si>
    <t>2019 Renewal - Sainsbury's</t>
  </si>
  <si>
    <t>006d000000tw35qAAA</t>
  </si>
  <si>
    <t>2017 Renewal - La Poste</t>
  </si>
  <si>
    <t>0060W000014UlwRQAS</t>
  </si>
  <si>
    <t>2021 DEC-REN-UPMC</t>
  </si>
  <si>
    <t>0060W000012seIMQAY</t>
  </si>
  <si>
    <t>2021 MAR-REN-UPMC</t>
  </si>
  <si>
    <t>0060W000010PovKQAS</t>
  </si>
  <si>
    <t>2020 Renewal - UPMC</t>
  </si>
  <si>
    <t>0060W00000zPmnCQAS</t>
  </si>
  <si>
    <t>2020-REN-Legal &amp; General</t>
  </si>
  <si>
    <t>0066T00001DnhLSQAZ</t>
  </si>
  <si>
    <t>2026 - REN - Legal &amp; General</t>
  </si>
  <si>
    <t>0060W000014ogofQAA</t>
  </si>
  <si>
    <t>2023-REN-Legal &amp; General</t>
  </si>
  <si>
    <t>0060W0000122C8RQAU</t>
  </si>
  <si>
    <t>2021-REN-Extra Space Storage</t>
  </si>
  <si>
    <t>0060W00000wyNkDQAU</t>
  </si>
  <si>
    <t>2019 Renewal - Extra Space Storage</t>
  </si>
  <si>
    <t>0066T00001BC38yQAD</t>
  </si>
  <si>
    <t>2025 - REN - Consumer Reports</t>
  </si>
  <si>
    <t>006VH00000YLxhRYAT</t>
  </si>
  <si>
    <t>2026 - REN - Consumer Reports</t>
  </si>
  <si>
    <t>0060W000010R6BmQAK</t>
  </si>
  <si>
    <t>2019 Renewal - Gap (New)</t>
  </si>
  <si>
    <t>0066T00001AD3fwQAD</t>
  </si>
  <si>
    <t>2023 - REN - Perficient</t>
  </si>
  <si>
    <t>006VH000001UsdVYAS</t>
  </si>
  <si>
    <t>2024 - REN - Perficient</t>
  </si>
  <si>
    <t>006VH00000Ppo2nYAB</t>
  </si>
  <si>
    <t>2025 - REN - dp6</t>
  </si>
  <si>
    <t>006VH00000dNjUGYA0</t>
  </si>
  <si>
    <t>2026 - REN - dp6</t>
  </si>
  <si>
    <t>0066T00001CzLrAQAV</t>
  </si>
  <si>
    <t>2024 - REN - dp6</t>
  </si>
  <si>
    <t>0060W00000y4vCAQAY</t>
  </si>
  <si>
    <t>2019 Renewal - Sky</t>
  </si>
  <si>
    <t>0060W000014oEuAQAU</t>
  </si>
  <si>
    <t>2021-REN-Deseret Digital</t>
  </si>
  <si>
    <t>0060W0000121zi3QAA</t>
  </si>
  <si>
    <t>2020-REN-Deseret Digital</t>
  </si>
  <si>
    <t>0060W00000wyRp6QAE</t>
  </si>
  <si>
    <t>2020 Renewal - Global Opp</t>
  </si>
  <si>
    <t>0066T00001Dk4PaQAJ</t>
  </si>
  <si>
    <t>2024 - REN - OptumRx</t>
  </si>
  <si>
    <t>006VH00000TTsqjYAD</t>
  </si>
  <si>
    <t>2026 - REN - Massachusetts Medical Society</t>
  </si>
  <si>
    <t>006VH00000hSNozYAG</t>
  </si>
  <si>
    <t>2027 - REN - Massachusetts Medical Society</t>
  </si>
  <si>
    <t>0066T00001ADf1KQAT</t>
  </si>
  <si>
    <t>2024 - REN - Massachusetts Medical Society</t>
  </si>
  <si>
    <t>0066T000016nIGYQA2</t>
  </si>
  <si>
    <t>2023-REN-MMS</t>
  </si>
  <si>
    <t>0060W0000123v06QAA</t>
  </si>
  <si>
    <t>2022-REN-MMS</t>
  </si>
  <si>
    <t>0060W00000zH5GaQAK</t>
  </si>
  <si>
    <t>2020 Renewal - NEJM</t>
  </si>
  <si>
    <t>0060W000013pbNuQAI</t>
  </si>
  <si>
    <t>2021-REN-Project Management Institute</t>
  </si>
  <si>
    <t>006VH00000aMoUTYA0</t>
  </si>
  <si>
    <t>2026 - REN - Project Management Institute</t>
  </si>
  <si>
    <t>0066T00001CN14wQAD</t>
  </si>
  <si>
    <t>2024 - REN - Project Management Institute</t>
  </si>
  <si>
    <t>0066T000015q1XYQAY</t>
  </si>
  <si>
    <t>2022-REN-Project Management Institute</t>
  </si>
  <si>
    <t>0060W00000y6fPyQAI</t>
  </si>
  <si>
    <t>2020 Renewal - Synchrony Financial</t>
  </si>
  <si>
    <t>0060W00000wyaN6QAI</t>
  </si>
  <si>
    <t>2018 Renewal - Cardinal Health</t>
  </si>
  <si>
    <t>0060W0000135oiTQAQ</t>
  </si>
  <si>
    <t>2022-REN-Cardinal Health</t>
  </si>
  <si>
    <t>0060W00000y7AZmQAM</t>
  </si>
  <si>
    <t>2020 Renewal - Cardinal Health</t>
  </si>
  <si>
    <t>0060W00000vwwRDQAY</t>
  </si>
  <si>
    <t>2018 Renewal - A&amp;E Networks</t>
  </si>
  <si>
    <t>0066T00001B9IhXQAV</t>
  </si>
  <si>
    <t>2024 - REN - Export Development Canada</t>
  </si>
  <si>
    <t>0066T000015pHtuQAE</t>
  </si>
  <si>
    <t>2022-REN-Sherwin-Williams (Web)</t>
  </si>
  <si>
    <t>0066T00001BBI7fQAH</t>
  </si>
  <si>
    <t>2024 - REN - Agilent</t>
  </si>
  <si>
    <t>0066T000017WlJZQA0</t>
  </si>
  <si>
    <t>2023-REN-Merck &amp; Co.</t>
  </si>
  <si>
    <t>0060W000015PJYnQAO</t>
  </si>
  <si>
    <t>2022-REN-Merck &amp; Co.</t>
  </si>
  <si>
    <t>0060W000012SfNiQAK</t>
  </si>
  <si>
    <t>2021-REN-Merck &amp; Co.</t>
  </si>
  <si>
    <t>0060W000014mkFdQAI</t>
  </si>
  <si>
    <t>2022-REN-CDW</t>
  </si>
  <si>
    <t>0066T000017x8bZQAQ</t>
  </si>
  <si>
    <t>2023 - REN - CDW</t>
  </si>
  <si>
    <t>006VH00000WL3GcYAL</t>
  </si>
  <si>
    <t>2026 - REN - EMC Corporation</t>
  </si>
  <si>
    <t>006VH00000969EqYAI</t>
  </si>
  <si>
    <t>2025 - REN - EMC Corporation</t>
  </si>
  <si>
    <t>0066T00001B9huUQAR</t>
  </si>
  <si>
    <t>2024 - REN - EMC Corporation</t>
  </si>
  <si>
    <t>0066T0000191Y1tQAE</t>
  </si>
  <si>
    <t>2023 - REN - EMC Corporation</t>
  </si>
  <si>
    <t>0060W000014oGjnQAE</t>
  </si>
  <si>
    <t>2022 - REN - Dell EMC</t>
  </si>
  <si>
    <t>0060W000012Yy5ZQAS</t>
  </si>
  <si>
    <t>2021 - REN - Dell EMC</t>
  </si>
  <si>
    <t>0060W00000vvLO3QAM</t>
  </si>
  <si>
    <t>2018 Renewal - IKEA</t>
  </si>
  <si>
    <t>006d000000n6KW6AAM</t>
  </si>
  <si>
    <t>2017 Renewal - IKEA</t>
  </si>
  <si>
    <t>0066T000015QfADQA0</t>
  </si>
  <si>
    <t>2022-REN-IKEA</t>
  </si>
  <si>
    <t>0060W000012Ju7EQAS</t>
  </si>
  <si>
    <t>2021-REN-IKEA</t>
  </si>
  <si>
    <t>0060W000010wky6QAA</t>
  </si>
  <si>
    <t>2020 Renewal - IKEA</t>
  </si>
  <si>
    <t>0060W00000y5mAqQAI</t>
  </si>
  <si>
    <t>2019 Renewal - IKEA</t>
  </si>
  <si>
    <t>0060W00000vQlwsQAC</t>
  </si>
  <si>
    <t>2018 Renewal - Dick's Sporting Goods</t>
  </si>
  <si>
    <t>0066T000016meEGQAY</t>
  </si>
  <si>
    <t>2022 - REN - CCMA - Tech Gov</t>
  </si>
  <si>
    <t>0060W00000xobvaQAA</t>
  </si>
  <si>
    <t>2019 Renewal - Silver Star Brands</t>
  </si>
  <si>
    <t>006d000000vGCAbAAO</t>
  </si>
  <si>
    <t>2018 Renewal - Silver Star Brands</t>
  </si>
  <si>
    <t>006d000000ulZ4PAAU</t>
  </si>
  <si>
    <t>2018 Renewal - Digitas Health Brands OBO Humira</t>
  </si>
  <si>
    <t>006VH00000W1OaaYAF</t>
  </si>
  <si>
    <t>2026 - REN - Brisa - Auto-Estradas de Portugal</t>
  </si>
  <si>
    <t>006VH00000hYLxJYAW</t>
  </si>
  <si>
    <t>2026 - REN - Banco BPI</t>
  </si>
  <si>
    <t>006VH000005hPtEYAU</t>
  </si>
  <si>
    <t>2025 - REN - Brisa - Auto-Estradas de Portugal</t>
  </si>
  <si>
    <t>006VH000002D86hYAC</t>
  </si>
  <si>
    <t>2024 - REN - Banco BPI</t>
  </si>
  <si>
    <t>006VH000001aJwSYAU</t>
  </si>
  <si>
    <t>2024 - REN - Clínica Cuf Alvalade</t>
  </si>
  <si>
    <t>0066T00001ADTjmQAH</t>
  </si>
  <si>
    <t>2023 - REN - Banco BPI</t>
  </si>
  <si>
    <t>0066T00001ADTbJQAX</t>
  </si>
  <si>
    <t>2023 - REN - Clínica Cuf Alvalade</t>
  </si>
  <si>
    <t>0066T00001DNcMCQA1</t>
  </si>
  <si>
    <t>2024 - REN - Experian US</t>
  </si>
  <si>
    <t>006VH00000P7U30YAF</t>
  </si>
  <si>
    <t>2025 - REN - E-CENS</t>
  </si>
  <si>
    <t>006VH00000TX8XZYA1</t>
  </si>
  <si>
    <t>2026 - REN - Land O'Lakes</t>
  </si>
  <si>
    <t>0066T000016mC2lQAE</t>
  </si>
  <si>
    <t>2022-REN-Manulife - TouchPoints</t>
  </si>
  <si>
    <t>0060W000014mW3QQAU</t>
  </si>
  <si>
    <t>2021-REN-Manulife - TouchPoints</t>
  </si>
  <si>
    <t>0060W0000120bP6QAI</t>
  </si>
  <si>
    <t>2020 Renewal - Smuckers Company</t>
  </si>
  <si>
    <t>0060W000012uPRaQAM</t>
  </si>
  <si>
    <t>2022-REN-Smuckers Company</t>
  </si>
  <si>
    <t>006d000000hzTQyAAM</t>
  </si>
  <si>
    <t>2016 Renewal - El Corte Inglés</t>
  </si>
  <si>
    <t>0060W00000y6V8pQAE</t>
  </si>
  <si>
    <t>2020 Renewal - MasterCard</t>
  </si>
  <si>
    <t>0066T000017WsdTQAS</t>
  </si>
  <si>
    <t>2023-REN-MasterCard</t>
  </si>
  <si>
    <t>0060W000013ITe2QAG</t>
  </si>
  <si>
    <t>2022-REN-MasterCard</t>
  </si>
  <si>
    <t>0060W000013t1UrQAI</t>
  </si>
  <si>
    <t>2022-REN-ALDI</t>
  </si>
  <si>
    <t>0060W000012bCWUQA2</t>
  </si>
  <si>
    <t>2021-REN-Comcast Corporation</t>
  </si>
  <si>
    <t>0060W000014UhwgQAC</t>
  </si>
  <si>
    <t>2022-REN-Comcast Corporation</t>
  </si>
  <si>
    <t>0060W000014b2h4QAA</t>
  </si>
  <si>
    <t>2022-REN-Schroders-Web</t>
  </si>
  <si>
    <t>006VH00000FBV36YAH</t>
  </si>
  <si>
    <t>2025 - REN - RBC</t>
  </si>
  <si>
    <t>006VH000001J0OjYAK</t>
  </si>
  <si>
    <t>2024 - REN - H E B</t>
  </si>
  <si>
    <t>006VH00000gU1zNYAS</t>
  </si>
  <si>
    <t>2026 - REN - H E B</t>
  </si>
  <si>
    <t>0066T000015Q0A5QAK</t>
  </si>
  <si>
    <t>2022-REN-Agilent</t>
  </si>
  <si>
    <t>0060W000013IBRtQAO</t>
  </si>
  <si>
    <t>2021-REN-Agilent</t>
  </si>
  <si>
    <t>006VH000000gpxPYAQ</t>
  </si>
  <si>
    <t>2024 - REN - Healthgrades</t>
  </si>
  <si>
    <t>006VH00000gKG0TYAW</t>
  </si>
  <si>
    <t>2026 - REN - Healthgrades</t>
  </si>
  <si>
    <t>0060W00000w6mhmQAA</t>
  </si>
  <si>
    <t>2019 Renewal - Royal Caribbean Cruises, Ltd.</t>
  </si>
  <si>
    <t>0060W00001246h1QAA</t>
  </si>
  <si>
    <t>2021-REN-PANDORA</t>
  </si>
  <si>
    <t>0060W000011SdGFQA0</t>
  </si>
  <si>
    <t>2020 Renewal - PANDORA</t>
  </si>
  <si>
    <t>0060W00000vxaTPQAY</t>
  </si>
  <si>
    <t>2019 Renewal - PANDORA</t>
  </si>
  <si>
    <t>006d000000hrb6rAAA</t>
  </si>
  <si>
    <t>2018 Renewal - StarHub</t>
  </si>
  <si>
    <t>0060W000015OeEdQAK</t>
  </si>
  <si>
    <t>2022-REN-StarHub</t>
  </si>
  <si>
    <t>0060W000012T02HQAS</t>
  </si>
  <si>
    <t>2021-REN-StarHub</t>
  </si>
  <si>
    <t>0060W000010QFqYQAW</t>
  </si>
  <si>
    <t>2020 Renewal - StarHub</t>
  </si>
  <si>
    <t>0060W00000wrBdVQAU</t>
  </si>
  <si>
    <t>2019 Renewal - StarHub</t>
  </si>
  <si>
    <t>0060W000014nBjAQAU</t>
  </si>
  <si>
    <t>2023 - REN - Centene Corporation</t>
  </si>
  <si>
    <t>0060W00000xoK8TQAU</t>
  </si>
  <si>
    <t>2020 Renewal - Honda - North America</t>
  </si>
  <si>
    <t>0066T000017WfENQA0</t>
  </si>
  <si>
    <t>2023 - REN - Honda - North America</t>
  </si>
  <si>
    <t>0060W000012Ko18QAC</t>
  </si>
  <si>
    <t>2022 Renewal - Honda - North America</t>
  </si>
  <si>
    <t>0060W000010wkeIQAQ</t>
  </si>
  <si>
    <t>Renewal 2021 - Madison Square Gardens</t>
  </si>
  <si>
    <t>006VH00000atRE9YAM</t>
  </si>
  <si>
    <t>2026 - REN - The National Trust</t>
  </si>
  <si>
    <t>006VH00000OdK5uYAF</t>
  </si>
  <si>
    <t>2025 - REN - The National Trust</t>
  </si>
  <si>
    <t>006VH00000ajQWHYA2</t>
  </si>
  <si>
    <t>2026 - REN - Caesars Entertainment</t>
  </si>
  <si>
    <t>0060W000012bBZ8QAM</t>
  </si>
  <si>
    <t>2021-REN-GEICO</t>
  </si>
  <si>
    <t>0066T000017Txi5QAC</t>
  </si>
  <si>
    <t>2023-REN-GEICO</t>
  </si>
  <si>
    <t>0060W000014mZEwQAM</t>
  </si>
  <si>
    <t>2022-REN-GEICO</t>
  </si>
  <si>
    <t>0060W000014av66QAA</t>
  </si>
  <si>
    <t>2021 - REN - Audible</t>
  </si>
  <si>
    <t>0066T0000190LthQAE</t>
  </si>
  <si>
    <t>2023 - REN - WestJet</t>
  </si>
  <si>
    <t>0066T00001DnwLzQAJ</t>
  </si>
  <si>
    <t>2024 - REN - WestJet</t>
  </si>
  <si>
    <t>0060W000012KYbGQAW</t>
  </si>
  <si>
    <t>2021-REN-Rodan + Fields</t>
  </si>
  <si>
    <t>0066T00001AEWiYQAX</t>
  </si>
  <si>
    <t>2024 - REN - GEICO</t>
  </si>
  <si>
    <t>0066T000016lLm1QAE</t>
  </si>
  <si>
    <t>2022 - REN - Ace Group (Chubb Limited)</t>
  </si>
  <si>
    <t>0060W000014mnemQAA</t>
  </si>
  <si>
    <t>2021 - REN - Ace Group (Chubb Limited)</t>
  </si>
  <si>
    <t>0060W00000wyHVuQAM</t>
  </si>
  <si>
    <t>2018 Renewal - Renault</t>
  </si>
  <si>
    <t>0060W000010q3MDQAY</t>
  </si>
  <si>
    <t>2020 Renewal - Strayer</t>
  </si>
  <si>
    <t>0060W000013qF2RQAU</t>
  </si>
  <si>
    <t>2021-REN-Strayer</t>
  </si>
  <si>
    <t>0060W00000zPYlFQAW</t>
  </si>
  <si>
    <t>2020 Renewal - Webalyse OBO Allianz Suisse</t>
  </si>
  <si>
    <t>0060W00000ww3FJQAY</t>
  </si>
  <si>
    <t>2019 Renewal - Lush Cosmetics North America</t>
  </si>
  <si>
    <t>0066T00001B8uKjQAJ</t>
  </si>
  <si>
    <t>2024 - REN - Versace</t>
  </si>
  <si>
    <t>0066T000017VldOQAS</t>
  </si>
  <si>
    <t>2023 - REN - Versace - Web</t>
  </si>
  <si>
    <t>0066T000016mrB8QAI</t>
  </si>
  <si>
    <t>2023 - REN 2- Brunello Cucinelli VIA Bitbang - Tech Gov &amp; Privacy</t>
  </si>
  <si>
    <t>0060W000015OiAKQA0</t>
  </si>
  <si>
    <t>2022 - REN - Versace - Web</t>
  </si>
  <si>
    <t>006VH00000SaYcXYAV</t>
  </si>
  <si>
    <t>2025 - REN - Adobe (MASTER ACCOUNT) (Consulting)</t>
  </si>
  <si>
    <t>0060W00000zPYnGQAW</t>
  </si>
  <si>
    <t>2020-Renewal - Realtor.com</t>
  </si>
  <si>
    <t>006d000000unW40AAE</t>
  </si>
  <si>
    <t>2019 Renewal - Realtor.com</t>
  </si>
  <si>
    <t>0060W000014np01QAA</t>
  </si>
  <si>
    <t>2022-REN-Realtor.com</t>
  </si>
  <si>
    <t>0060W0000123KmmQAE</t>
  </si>
  <si>
    <t>2021-REN-Realtor.com</t>
  </si>
  <si>
    <t>0060W00000vISUjQAO</t>
  </si>
  <si>
    <t>2018 Renewal - Bayer</t>
  </si>
  <si>
    <t>0060W00000y5G78QAE</t>
  </si>
  <si>
    <t>2018 Renewal - Betsson #2</t>
  </si>
  <si>
    <t>0060W00000ww4v3QAA</t>
  </si>
  <si>
    <t>2018 Renewal - Betsson</t>
  </si>
  <si>
    <t>0060W00000y6fUKQAY</t>
  </si>
  <si>
    <t>2020 Renewal - Save The Children</t>
  </si>
  <si>
    <t>0060W000010yTfRQAU</t>
  </si>
  <si>
    <t>2020 Renewal - Canon Europe</t>
  </si>
  <si>
    <t>006VH00000HAY1pYAH</t>
  </si>
  <si>
    <t>2025 - REN - Canon Europe</t>
  </si>
  <si>
    <t>0066T00001BBQGCQA5</t>
  </si>
  <si>
    <t>2024 - REN - RCS MediaGroup</t>
  </si>
  <si>
    <t>0060W00000ww9TJQAY</t>
  </si>
  <si>
    <t>2018 Renewal - Children's Place</t>
  </si>
  <si>
    <t>006d000000tu0wAAAQ</t>
  </si>
  <si>
    <t>2017 Renewal - Children's Place</t>
  </si>
  <si>
    <t>0060W00000vIS2pQAG</t>
  </si>
  <si>
    <t>2018 Renewal - American Express</t>
  </si>
  <si>
    <t>006d000000twhyMAAQ</t>
  </si>
  <si>
    <t>2016 Renewal - American Express</t>
  </si>
  <si>
    <t>0060W00000zMb33QAC</t>
  </si>
  <si>
    <t>2019 Renewal - Scotts Miracle-Gro</t>
  </si>
  <si>
    <t>006d000000vFRqZAAW</t>
  </si>
  <si>
    <t>2017 Renewal - Scotts Miracle-Gro Enterprise License Upsell</t>
  </si>
  <si>
    <t>006d000000hsW2TAAU</t>
  </si>
  <si>
    <t>2016 Renewal - Scotts Miracle-Gro</t>
  </si>
  <si>
    <t>0060W00000wwiEfQAI</t>
  </si>
  <si>
    <t>2018 Renewal - ProSiebenSat.1 Media AG</t>
  </si>
  <si>
    <t>006d000000uEZx3AAG</t>
  </si>
  <si>
    <t>2017 Renewal - ProSiebenSat.1 Media AG</t>
  </si>
  <si>
    <t>0066T00001EJmSfQAL</t>
  </si>
  <si>
    <t>2025 - REN - SevenOne Media</t>
  </si>
  <si>
    <t>0066T000016l1DqQAI</t>
  </si>
  <si>
    <t>2023-REN-ProSiebenSat.1 Media AG</t>
  </si>
  <si>
    <t>0060W000014dZlPQAU</t>
  </si>
  <si>
    <t>2021-REN-ProSiebenSat.1 Media AG</t>
  </si>
  <si>
    <t>0060W00000vWa2RQAS</t>
  </si>
  <si>
    <t>2017 Renewal - Frontier Communications/ Enterprise Upsell</t>
  </si>
  <si>
    <t>0060W000012TQYyQAO</t>
  </si>
  <si>
    <t>2021-REN-Frontier Communications</t>
  </si>
  <si>
    <t>0060W000010vww1QAA</t>
  </si>
  <si>
    <t>2020 Renewal - Frontier Communications</t>
  </si>
  <si>
    <t>0060W00000y5vKiQAI</t>
  </si>
  <si>
    <t>2019 Renewal - Frontier Communications</t>
  </si>
  <si>
    <t>0060W00000vYDdyQAG</t>
  </si>
  <si>
    <t>2018 Renewal - Frontier Communications</t>
  </si>
  <si>
    <t>0066T00001DNcXyQAL</t>
  </si>
  <si>
    <t>2024 - REN - Officeworks</t>
  </si>
  <si>
    <t>006VH00000Zjfm3YAB</t>
  </si>
  <si>
    <t>2026 - REN - Officeworks</t>
  </si>
  <si>
    <t>006VH00000I0rYDYAZ</t>
  </si>
  <si>
    <t>2025 - REN - Officeworks</t>
  </si>
  <si>
    <t>0060W00000xoI3OQAU</t>
  </si>
  <si>
    <t>2019 Renewal - Ringcentral</t>
  </si>
  <si>
    <t>006d000000lVZ5hAAG</t>
  </si>
  <si>
    <t>2017 Renewal - Las Vegas Sands</t>
  </si>
  <si>
    <t>0060W00000wy7rDQAQ</t>
  </si>
  <si>
    <t>2020 Renewal - NAPA</t>
  </si>
  <si>
    <t>0060W00000wvx4VQAQ</t>
  </si>
  <si>
    <t>2018 Renewal - British Telecom</t>
  </si>
  <si>
    <t>006d000000tuFTYAA2</t>
  </si>
  <si>
    <t>2017 Renewal - British Telecom</t>
  </si>
  <si>
    <t>0060W00000zNpW1QAK</t>
  </si>
  <si>
    <t>2019 Renewal - British Telecom</t>
  </si>
  <si>
    <t>0066T000016mEgpQAE</t>
  </si>
  <si>
    <t>2022-REN-General Motors via MRM - Chevrolet</t>
  </si>
  <si>
    <t>0060W000013IZdGQAW</t>
  </si>
  <si>
    <t>2022-REN-PNC</t>
  </si>
  <si>
    <t>0060W000010ws55QAA</t>
  </si>
  <si>
    <t>2020 Renewal - PNC</t>
  </si>
  <si>
    <t>0060W00000vx7vHQAQ</t>
  </si>
  <si>
    <t>2019 Renewal - Crackle</t>
  </si>
  <si>
    <t>0060W00000vwPgDQAU</t>
  </si>
  <si>
    <t>2018 Renewal - Ubisoft NCSA</t>
  </si>
  <si>
    <t>0060W00000y6Vg8QAE</t>
  </si>
  <si>
    <t>2018 Q4 MS Upsell - Ubisoft NCSA</t>
  </si>
  <si>
    <t>006d000000rps5TAAQ</t>
  </si>
  <si>
    <t>2018 Renewal - Ford MEA</t>
  </si>
  <si>
    <t>006VH00000cMIurYAG</t>
  </si>
  <si>
    <t>2026 - REN - Indegene</t>
  </si>
  <si>
    <t>0066T000018z37SQAQ</t>
  </si>
  <si>
    <t>2023 - REN - Indegene</t>
  </si>
  <si>
    <t>0060W00000y8qdRQAQ</t>
  </si>
  <si>
    <t>2019 Renewal - Station10-Legal&amp;General</t>
  </si>
  <si>
    <t>0060W00000ww51aQAA</t>
  </si>
  <si>
    <t>2018 Renewal - Station10-Legal&amp;General - 2017</t>
  </si>
  <si>
    <t>0060W00000y86yVQAQ</t>
  </si>
  <si>
    <t>2019 Renewal - Sanofi OBO Cognizant</t>
  </si>
  <si>
    <t>0060W00000wvTYFQA2</t>
  </si>
  <si>
    <t>2018 Renewal - Marvel</t>
  </si>
  <si>
    <t>0060W00000wyjPNQAY</t>
  </si>
  <si>
    <t>2018 Renewal - Comparethemarket</t>
  </si>
  <si>
    <t>0060W000011TXvsQAG</t>
  </si>
  <si>
    <t>2020 Renewal - Illumina</t>
  </si>
  <si>
    <t>0060W00000zOEo8QAG</t>
  </si>
  <si>
    <t>2019 Renewal - Sport1</t>
  </si>
  <si>
    <t>0060W00000wyfy4QAA</t>
  </si>
  <si>
    <t>2018 Renewal - Sport1</t>
  </si>
  <si>
    <t>0060W000010Q84lQAC</t>
  </si>
  <si>
    <t>2020 Renewal - MANGO</t>
  </si>
  <si>
    <t>0060W00000y58grQAA</t>
  </si>
  <si>
    <t>2019 Renewal - MANGO</t>
  </si>
  <si>
    <t>006VH000001plHGYAY</t>
  </si>
  <si>
    <t>2024 - REN - Endress+Hauser AG</t>
  </si>
  <si>
    <t>0060W00000wwX4aQAE</t>
  </si>
  <si>
    <t>2018 Renewal - Cadillac Fairview</t>
  </si>
  <si>
    <t>0060W00000wynvqQAA</t>
  </si>
  <si>
    <t>2019-REN-Wal-Mart Canada</t>
  </si>
  <si>
    <t>0060W000014b4dnQAA</t>
  </si>
  <si>
    <t>2021 - REN - Dignity Health</t>
  </si>
  <si>
    <t>0060W0000121qWKQAY</t>
  </si>
  <si>
    <t>2020 - REN - Dignity Health</t>
  </si>
  <si>
    <t>0060W0000121qGiQAI</t>
  </si>
  <si>
    <t>Dignity Health - Script Services Upsell</t>
  </si>
  <si>
    <t>0060W00000zNrhFQAS</t>
  </si>
  <si>
    <t>2019 Renewal - Dignity Health</t>
  </si>
  <si>
    <t>0060W00000wyn8IQAQ</t>
  </si>
  <si>
    <t>2019 Renewal - Dice</t>
  </si>
  <si>
    <t>0060W00000zPYQ2QAO</t>
  </si>
  <si>
    <t>2020 Renewal - Discovery Communications</t>
  </si>
  <si>
    <t>0066T000015qQHwQAM</t>
  </si>
  <si>
    <t>2022 - REN - Richards Group OBO Salvation Army</t>
  </si>
  <si>
    <t>0060W000013m46MQAQ</t>
  </si>
  <si>
    <t>2021 - REN - Richards Group OBO Salvation Army</t>
  </si>
  <si>
    <t>0060W000013rWZfQAM</t>
  </si>
  <si>
    <t>2021-REN-Sherwin-Williams (Web)</t>
  </si>
  <si>
    <t>0060W000011WIV5QAO</t>
  </si>
  <si>
    <t>2020-REN-Sage/Jellyfish</t>
  </si>
  <si>
    <t>006VH000003KSuTYAW</t>
  </si>
  <si>
    <t>2026 - REN - BAUHAUS</t>
  </si>
  <si>
    <t>0060W000014oghZQAQ</t>
  </si>
  <si>
    <t>2024 - REN - BAHAG AG</t>
  </si>
  <si>
    <t>0066T000016kvYEQAY</t>
  </si>
  <si>
    <t>2023 - REN - Oracle</t>
  </si>
  <si>
    <t>0060W000014msKwQAI</t>
  </si>
  <si>
    <t>2021 - REN - Oracle</t>
  </si>
  <si>
    <t>0060W000013r7IkQAI</t>
  </si>
  <si>
    <t>2022-REN-FindLaw (Thomsen Reuters)</t>
  </si>
  <si>
    <t>0060W00000zMb0JQAS</t>
  </si>
  <si>
    <t>2020 Renewal - FindLaw (Thomsen Reuters)</t>
  </si>
  <si>
    <t>0066T000018zhBeQAI</t>
  </si>
  <si>
    <t>2025 - REN - FindLaw</t>
  </si>
  <si>
    <t>0060W00000wwgvAQAQ</t>
  </si>
  <si>
    <t>2017 Extension - Nielsen</t>
  </si>
  <si>
    <t>006d000000tvmvvAAA</t>
  </si>
  <si>
    <t>2017 Renewal - Nielsen</t>
  </si>
  <si>
    <t>0060W000010vnXNQAY</t>
  </si>
  <si>
    <t>2020 Renewal - Via Varejo</t>
  </si>
  <si>
    <t>0060W00000y6RWfQAM</t>
  </si>
  <si>
    <t>2019 Renewal - Via Varejo</t>
  </si>
  <si>
    <t>006d000000ula86AAA</t>
  </si>
  <si>
    <t>2017 Renewal - Air Canada</t>
  </si>
  <si>
    <t>0060W00000y7OBCQA2</t>
  </si>
  <si>
    <t>2019 Renewal - TUI UK</t>
  </si>
  <si>
    <t>0066T000015oA2NQAU</t>
  </si>
  <si>
    <t>2022-REN-The National Trust</t>
  </si>
  <si>
    <t>0060W000013qF3jQAE</t>
  </si>
  <si>
    <t>2021-REN-The National Trust</t>
  </si>
  <si>
    <t>0060W000011Tbo1QAC</t>
  </si>
  <si>
    <t>2020 Renewal - The National Trust</t>
  </si>
  <si>
    <t>0060W00000zMb3XQAS</t>
  </si>
  <si>
    <t>2019 Renewal - The National Trust</t>
  </si>
  <si>
    <t>0060W000010OVnsQAG</t>
  </si>
  <si>
    <t>2020 Renewal - Deva Concepts</t>
  </si>
  <si>
    <t>0060W00000y5GtMQAU</t>
  </si>
  <si>
    <t>2019 Renewal - Deva Concepts</t>
  </si>
  <si>
    <t>0060W0000121JqGQAU</t>
  </si>
  <si>
    <t>2021-REN-Moody's Corporation</t>
  </si>
  <si>
    <t>0060W00000zO7I2QAK</t>
  </si>
  <si>
    <t>2019 Renewal - Moody's Corporation</t>
  </si>
  <si>
    <t>0060W00000wy0ryQAA</t>
  </si>
  <si>
    <t>2018 Renewal - Moody's Corporation</t>
  </si>
  <si>
    <t>0060W000012ZN21QAG</t>
  </si>
  <si>
    <t>2020-REN+UP-VMware</t>
  </si>
  <si>
    <t>0060W0000123XfWQAU</t>
  </si>
  <si>
    <t>2021-REN-Woolworths LTD OBO EDG</t>
  </si>
  <si>
    <t>0066T000018HNdEQAW</t>
  </si>
  <si>
    <t>2023 - REN - Universal Orlando</t>
  </si>
  <si>
    <t>006VH000003oLUCYA2</t>
  </si>
  <si>
    <t>2025 - REN - Alcon</t>
  </si>
  <si>
    <t>006VH00000TJhDRYA1</t>
  </si>
  <si>
    <t>2026 - REN - Alcon</t>
  </si>
  <si>
    <t>0060W000013suJNQAY</t>
  </si>
  <si>
    <t>2021-REN-Coastal Contacts</t>
  </si>
  <si>
    <t>0060W000014aYrBQAU</t>
  </si>
  <si>
    <t>2022 - REN -  Tapestry (Web)</t>
  </si>
  <si>
    <t>0060W000013r6meQAA</t>
  </si>
  <si>
    <t>2023-REN-Mary Kay</t>
  </si>
  <si>
    <t>006VH00000gYLQ6YAO</t>
  </si>
  <si>
    <t>2026 - REN - Google (ANALYTICS)</t>
  </si>
  <si>
    <t>006VH000005rjAcYAI</t>
  </si>
  <si>
    <t>2025 - REN - Google (Analytics)</t>
  </si>
  <si>
    <t>0066T000016njvGQAQ</t>
  </si>
  <si>
    <t>2023 - REN - Google Cloud</t>
  </si>
  <si>
    <t>0060W000014op8dQAA</t>
  </si>
  <si>
    <t>2022 - REN - Google Cloud</t>
  </si>
  <si>
    <t>0060W000011UrowQAC</t>
  </si>
  <si>
    <t>2020 - REN - Hewlett-Packard Enterprise</t>
  </si>
  <si>
    <t>0060W00000wxhKnQAI</t>
  </si>
  <si>
    <t>Cheil UK-2017 Part 2</t>
  </si>
  <si>
    <t>0060W00000zP8QnQAK</t>
  </si>
  <si>
    <t>2019 Renewal - Cheil UK</t>
  </si>
  <si>
    <t>0060W00000y6ZJFQA2</t>
  </si>
  <si>
    <t>2018 Renewal - Cheil UK</t>
  </si>
  <si>
    <t>0060W00000wr4jWQAQ</t>
  </si>
  <si>
    <t>2019 Renewal - Export Development Canada</t>
  </si>
  <si>
    <t>0066T000016mrGSQAY</t>
  </si>
  <si>
    <t>2023-REN-Export Development Canada</t>
  </si>
  <si>
    <t>0060W000015OyyTQAS</t>
  </si>
  <si>
    <t>2022-REN-Export Development Canada</t>
  </si>
  <si>
    <t>0060W000012uBtwQAE</t>
  </si>
  <si>
    <t>2021-REN-Export Development Canada</t>
  </si>
  <si>
    <t>0060W00000zHAhmQAG</t>
  </si>
  <si>
    <t>2020 Renewal - Export Development Canada</t>
  </si>
  <si>
    <t>0066T000018E7UPQA0</t>
  </si>
  <si>
    <t>2023-REN-Home Depot of Canada</t>
  </si>
  <si>
    <t>0066T000015RjbIQAS</t>
  </si>
  <si>
    <t>2022-REN-Home Depot of Canada</t>
  </si>
  <si>
    <t>0060W000010wfizQAA</t>
  </si>
  <si>
    <t>2021 Renewal - Home Depot of Canada</t>
  </si>
  <si>
    <t>0060W0000120FQcQAM</t>
  </si>
  <si>
    <t>2020 Renewal - YOOX NET-A-PORTER-2017</t>
  </si>
  <si>
    <t>0066T000015q1eKQAQ</t>
  </si>
  <si>
    <t>2023-REN-Citizens Bank</t>
  </si>
  <si>
    <t>0060W000013sgkqQAA</t>
  </si>
  <si>
    <t>2021-REN-Citizens Bank</t>
  </si>
  <si>
    <t>0060W00000zNMxOQAW</t>
  </si>
  <si>
    <t>2020 Renewal - Citizens Bank</t>
  </si>
  <si>
    <t>0060W00000wyTruQAE</t>
  </si>
  <si>
    <t>2018 Renewal - Beachbody</t>
  </si>
  <si>
    <t>006d000000ula6GAAQ</t>
  </si>
  <si>
    <t>2017 Renewal - Beachbody</t>
  </si>
  <si>
    <t>0060W00000zP7LcQAK</t>
  </si>
  <si>
    <t>2019 Renewal - Beachbody</t>
  </si>
  <si>
    <t>0060W00000wy9GdQAI</t>
  </si>
  <si>
    <t>2018 Renewal - TMZ Enterprise+AppAssurance</t>
  </si>
  <si>
    <t>006d000000umqXTAAY</t>
  </si>
  <si>
    <t>2017 Renewal - TMZ Enterprise+AppAssurance</t>
  </si>
  <si>
    <t>0060W0000123PwEQAU</t>
  </si>
  <si>
    <t>2020-REN-TMZ</t>
  </si>
  <si>
    <t>0060W00000zP7MGQA0</t>
  </si>
  <si>
    <t>2019 Renewal - TMZ</t>
  </si>
  <si>
    <t>0060W000014nordQAA</t>
  </si>
  <si>
    <t>2023 - REN - Dave Ramsey</t>
  </si>
  <si>
    <t>0060W000011UmtYQAS</t>
  </si>
  <si>
    <t>2020 - REN - Azul</t>
  </si>
  <si>
    <t>0066T000015qQD2QAM</t>
  </si>
  <si>
    <t>2022-REN-Azul</t>
  </si>
  <si>
    <t>0060W000013sgoYQAQ</t>
  </si>
  <si>
    <t>2021-REN-Azul</t>
  </si>
  <si>
    <t>0060W000014o17wQAA</t>
  </si>
  <si>
    <t>2022 - REN - Shutterfly</t>
  </si>
  <si>
    <t>006VH00000WL2PPYA1</t>
  </si>
  <si>
    <t>2026 - REN - Shutterfly</t>
  </si>
  <si>
    <t>0060W000014oMiLQAU</t>
  </si>
  <si>
    <t>2023-REN-Wal-Mart Canada Corp</t>
  </si>
  <si>
    <t>0066T000016lfpJQAQ</t>
  </si>
  <si>
    <t>2022 - REN - Hertz via AKQ</t>
  </si>
  <si>
    <t>0066T00001ADMP9QAP</t>
  </si>
  <si>
    <t>2023 - REN - Frontdoor</t>
  </si>
  <si>
    <t>0066T000016m26QQAQ</t>
  </si>
  <si>
    <t>2022 - REN - Frontdoor</t>
  </si>
  <si>
    <t>006VH00000S0B9rYAF</t>
  </si>
  <si>
    <t>2025 - REN - Shiseido 2</t>
  </si>
  <si>
    <t>0066T00001BA5jZQAT</t>
  </si>
  <si>
    <t>2024 - REN - Acceleration</t>
  </si>
  <si>
    <t>0066T000017XfelQAC</t>
  </si>
  <si>
    <t>2023 - REN - Acceleration</t>
  </si>
  <si>
    <t>0066T000018z39OQAQ</t>
  </si>
  <si>
    <t>2023 - REN - The National Trust</t>
  </si>
  <si>
    <t>0066T00001DI5DPQA1</t>
  </si>
  <si>
    <t>2024 - REN - The National Trust</t>
  </si>
  <si>
    <t>0066T000016nRA4QAM</t>
  </si>
  <si>
    <t>2023 - REN - Asurion (Web)</t>
  </si>
  <si>
    <t>0060W000014mtKdQAI</t>
  </si>
  <si>
    <t>2021 - REN + EXT - Asurion (Web)</t>
  </si>
  <si>
    <t>0060W000013sE02QAE</t>
  </si>
  <si>
    <t>2022-REN-AutoNation</t>
  </si>
  <si>
    <t>0066T000017UVvBQAW</t>
  </si>
  <si>
    <t>2023 - REN - Owens Corning (Web)</t>
  </si>
  <si>
    <t>0060W000015PAyJQAW</t>
  </si>
  <si>
    <t>2022 - REN - Owens Corning (Web)</t>
  </si>
  <si>
    <t>006VH00000ZSb8aYAD</t>
  </si>
  <si>
    <t>2026 - REN - Seagate</t>
  </si>
  <si>
    <t>0060W0000120lLAQAY</t>
  </si>
  <si>
    <t>2020 Renewal - Odin Agency GmbH</t>
  </si>
  <si>
    <t>0060W00000y72OpQAI</t>
  </si>
  <si>
    <t>2019 Renewal - Odin Agency GmbH</t>
  </si>
  <si>
    <t>0060W00000y5LZ5QAM</t>
  </si>
  <si>
    <t>2020 Renewal - Adobe - AEM</t>
  </si>
  <si>
    <t>0066T0000168urFQAQ</t>
  </si>
  <si>
    <t>2023-REN-Essendant</t>
  </si>
  <si>
    <t>0060W000012L1ZdQAK</t>
  </si>
  <si>
    <t>2021-REN-Essendant</t>
  </si>
  <si>
    <t>0060W000010wUdLQAU</t>
  </si>
  <si>
    <t>2020 Renewal - Essendant</t>
  </si>
  <si>
    <t>0060W00000y70PoQAI</t>
  </si>
  <si>
    <t>2019 Renewal - Essendant</t>
  </si>
  <si>
    <t>0060W00000y7OI8QAM</t>
  </si>
  <si>
    <t>2019 Renewal - NowTV</t>
  </si>
  <si>
    <t>0060W00000wz8hWQAQ</t>
  </si>
  <si>
    <t>2019 Renewal - VMware</t>
  </si>
  <si>
    <t>0060W00001243y9QAA</t>
  </si>
  <si>
    <t>2021-REN-Ahold Delhaize</t>
  </si>
  <si>
    <t>0060W00000zP6pRQAS</t>
  </si>
  <si>
    <t>2019 Renewal - Ahold Delhaize</t>
  </si>
  <si>
    <t>0066T000016H6J4QAK</t>
  </si>
  <si>
    <t>2022-REN-Mayo Clinic</t>
  </si>
  <si>
    <t>0060W000013J51bQAC</t>
  </si>
  <si>
    <t>2021-REN-Mayo Clinic</t>
  </si>
  <si>
    <t>0060W000010yqGcQAI</t>
  </si>
  <si>
    <t>2020 Renewal - Mayo Clinic</t>
  </si>
  <si>
    <t>0060W00000y6dEZQAY</t>
  </si>
  <si>
    <t>2019 Renewal - Mayo Clinic</t>
  </si>
  <si>
    <t>0060W00001230SNQAY</t>
  </si>
  <si>
    <t>2021-REN-Biogen</t>
  </si>
  <si>
    <t>0066T000017TxbxQAC</t>
  </si>
  <si>
    <t>2023-REN-Biogen</t>
  </si>
  <si>
    <t>0060W000014mZDnQAM</t>
  </si>
  <si>
    <t>2022-REN-Biogen</t>
  </si>
  <si>
    <t>0066T000016jwFXQAY</t>
  </si>
  <si>
    <t>2022 - REN - William Hill - Web</t>
  </si>
  <si>
    <t>0060W000013sSsTQAU</t>
  </si>
  <si>
    <t>2023-REN-Schneider Electric - Web</t>
  </si>
  <si>
    <t>0066T000016logQQAQ</t>
  </si>
  <si>
    <t>2022 - REN - Boston Scientific</t>
  </si>
  <si>
    <t>006VH0000096RTNYA2</t>
  </si>
  <si>
    <t>2026 - REN - ULTA</t>
  </si>
  <si>
    <t>0066T000015RjZ7QAK</t>
  </si>
  <si>
    <t>2022-REN-Ferguson</t>
  </si>
  <si>
    <t>0060W0000120kb7QAA</t>
  </si>
  <si>
    <t>2020 Renewal - Aberdeen Asset Management</t>
  </si>
  <si>
    <t>0060W000013t1aGQAQ</t>
  </si>
  <si>
    <t>2021-REN-Aberdeen Asset Management</t>
  </si>
  <si>
    <t>0060W00000wyIcjQAE</t>
  </si>
  <si>
    <t>2018 Renewal - Carmichael Lynch OBO Subaru - WebAssurance</t>
  </si>
  <si>
    <t>006d000000uFr43AAC</t>
  </si>
  <si>
    <t>2017 Renewal - Carmichael Lynch OBO Subaru - WebAssurance</t>
  </si>
  <si>
    <t>0060W000013rWVnQAM</t>
  </si>
  <si>
    <t>2021-REN-Priceline</t>
  </si>
  <si>
    <t>0060W00000y8gUGQAY</t>
  </si>
  <si>
    <t>2020 Renewal - Priceline</t>
  </si>
  <si>
    <t>0060W00000xoIXnQAM</t>
  </si>
  <si>
    <t>2020 Renewal - Hawaiian Airlines</t>
  </si>
  <si>
    <t>0060W000012YFq8QAG</t>
  </si>
  <si>
    <t>2021-REN-Hawaiian Airlines</t>
  </si>
  <si>
    <t>0066T000016klnBQAQ</t>
  </si>
  <si>
    <t>2023-REN-Carhartt</t>
  </si>
  <si>
    <t>0066T000016lxyAQAQ</t>
  </si>
  <si>
    <t>2022-REN-Carmichael Lynch</t>
  </si>
  <si>
    <t>0060W000014mkDrQAI</t>
  </si>
  <si>
    <t>2021-REN-Carmichael Lynch</t>
  </si>
  <si>
    <t>006VH00000b6v9bYAA</t>
  </si>
  <si>
    <t>2028 - REN - Mary Kay</t>
  </si>
  <si>
    <t>0066T00001CyvrEQAR</t>
  </si>
  <si>
    <t>2025 - REN - Mary Kay</t>
  </si>
  <si>
    <t>0060W000010OVbDQAW</t>
  </si>
  <si>
    <t>2020-REN-Endurance International</t>
  </si>
  <si>
    <t>0060W000014da8EQAQ</t>
  </si>
  <si>
    <t>2022-REN-Newfold Digital</t>
  </si>
  <si>
    <t>0066T00001B9IuRQAV</t>
  </si>
  <si>
    <t>2024 - REN - The Church of Jesus Christ of Latter-day Saints</t>
  </si>
  <si>
    <t>006VH00000WZKflYAH</t>
  </si>
  <si>
    <t>2028 - REN - The Church of Jesus Christ of Latter-day Saints</t>
  </si>
  <si>
    <t>006VH000004z0c2YAA</t>
  </si>
  <si>
    <t>2025 - REN - The Church of Jesus Christ of Latter-day Saints</t>
  </si>
  <si>
    <t>0066T0000191jYLQAY</t>
  </si>
  <si>
    <t>2023 - REN - Citi (Singapore)</t>
  </si>
  <si>
    <t>0066T000015q1cEQAQ</t>
  </si>
  <si>
    <t>2022-REN-Citigroup (Singapore)</t>
  </si>
  <si>
    <t>0060W00000wr2qrQAA</t>
  </si>
  <si>
    <t>2019 Renewal - PETCO</t>
  </si>
  <si>
    <t>0066T00001Do30hQAB</t>
  </si>
  <si>
    <t>2025 - REN - Citizens Financial Group</t>
  </si>
  <si>
    <t>0060W0000123M9XQAU</t>
  </si>
  <si>
    <t>2020-REN-Vodafone-UK</t>
  </si>
  <si>
    <t>0066T00001CMnP4QAL</t>
  </si>
  <si>
    <t>2024 - REN - Mayo Clinic</t>
  </si>
  <si>
    <t>006VH00000ZqTTBYA3</t>
  </si>
  <si>
    <t>2026 - REN - Mayo Clinic</t>
  </si>
  <si>
    <t>006VH00000E19PQYAZ</t>
  </si>
  <si>
    <t>2025 - REN - Mayo Clinic</t>
  </si>
  <si>
    <t>006VH000002nbRtYAI</t>
  </si>
  <si>
    <t>2025 - REN - Thermo Fisher Scientific</t>
  </si>
  <si>
    <t>0066T000016mW3FQAU</t>
  </si>
  <si>
    <t>2023-REN-ThermoFisher</t>
  </si>
  <si>
    <t>0060W000014noarQAA</t>
  </si>
  <si>
    <t>2022-REN-ThermoFisher</t>
  </si>
  <si>
    <t>0060W000014mfFMQAY</t>
  </si>
  <si>
    <t>2022 - REN - Mercedes-Benz AG - Web</t>
  </si>
  <si>
    <t>0066T00001ABrjqQAD</t>
  </si>
  <si>
    <t>2023 - REN - Bloomberg</t>
  </si>
  <si>
    <t>0060W0000136s0bQAA</t>
  </si>
  <si>
    <t>2022-REN-Manulife Singapore-WA</t>
  </si>
  <si>
    <t>0066T00001BAT2hQAH</t>
  </si>
  <si>
    <t>2024 - REN - Manulife</t>
  </si>
  <si>
    <t>0066T000017VqYWQA0</t>
  </si>
  <si>
    <t>2023-REN-Manulife Singapore-WA</t>
  </si>
  <si>
    <t>006VH000006PlRhYAK</t>
  </si>
  <si>
    <t>2025 - REN - Gap</t>
  </si>
  <si>
    <t>0066T00001B910fQAB</t>
  </si>
  <si>
    <t>2024 - REN - Gap</t>
  </si>
  <si>
    <t>0066T000017V78gQAC</t>
  </si>
  <si>
    <t>2023 - REN - Gap, Inc.</t>
  </si>
  <si>
    <t>006VH00000UkOXWYA3</t>
  </si>
  <si>
    <t>2026 - REN - GEICO</t>
  </si>
  <si>
    <t>0060W000012TQjHQAW</t>
  </si>
  <si>
    <t>2021-REN-Workday</t>
  </si>
  <si>
    <t>0060W00000y5fEMQAY</t>
  </si>
  <si>
    <t>2020 Renewal - Workday</t>
  </si>
  <si>
    <t>0060W000010R5YQQA0</t>
  </si>
  <si>
    <t>2020 Renewal - Hotwire</t>
  </si>
  <si>
    <t>0060W00000y6ksEQAQ</t>
  </si>
  <si>
    <t>2019 Renewal - Hotwire</t>
  </si>
  <si>
    <t>0060W0000122emEQAQ</t>
  </si>
  <si>
    <t>2020-REN-UBM</t>
  </si>
  <si>
    <t>0060W00000zPCcNQAW</t>
  </si>
  <si>
    <t>2020 Renewal - Healthgrades</t>
  </si>
  <si>
    <t>0066T000015qCdKQAU</t>
  </si>
  <si>
    <t>2022 - REN - Not On The Hight Street - Web</t>
  </si>
  <si>
    <t>0060W000010QLVeQAO</t>
  </si>
  <si>
    <t>2021 Renewal - Ulta Salon</t>
  </si>
  <si>
    <t>0066T000017UXWKQA4</t>
  </si>
  <si>
    <t>2023-REN-Ulta Salon</t>
  </si>
  <si>
    <t>0060W000015PjEOQA0</t>
  </si>
  <si>
    <t>2022-REN-Ulta Salon</t>
  </si>
  <si>
    <t>0060W00000wy5MDQAY</t>
  </si>
  <si>
    <t>2018 Renewal - AIA Singapore</t>
  </si>
  <si>
    <t>0066T000015RUJaQAO</t>
  </si>
  <si>
    <t>2021-REN- AIA Singapore</t>
  </si>
  <si>
    <t>0060W00000zNDVqQAO</t>
  </si>
  <si>
    <t>2020 Renewal - AIA Singapore</t>
  </si>
  <si>
    <t>0060W000010QELeQAO</t>
  </si>
  <si>
    <t>2020 Renewal - Hyundai-Innocean USA</t>
  </si>
  <si>
    <t>0060W000013pnvAQAQ</t>
  </si>
  <si>
    <t>2021-REN-TD Ameritrade</t>
  </si>
  <si>
    <t>0060W00000y7xmfQAA</t>
  </si>
  <si>
    <t>2020-REN-TD Ameritrade</t>
  </si>
  <si>
    <t>0060W00000vIS7uQAG</t>
  </si>
  <si>
    <t>2018 Renewal - Australia Post</t>
  </si>
  <si>
    <t>0060W00000y52VXQAY</t>
  </si>
  <si>
    <t>2019 Renewal - Australia Post</t>
  </si>
  <si>
    <t>0060W00000vIYOrQAO</t>
  </si>
  <si>
    <t>2019 Renewal - Grainger</t>
  </si>
  <si>
    <t>006VH00000UvcnHYAR</t>
  </si>
  <si>
    <t>2027 - REN - Grainger</t>
  </si>
  <si>
    <t>0066T00001BAp48QAD</t>
  </si>
  <si>
    <t>2024 - REN - Grainger</t>
  </si>
  <si>
    <t>0060W000015PnAqQAK</t>
  </si>
  <si>
    <t>2023-REN-Grainger</t>
  </si>
  <si>
    <t>0060W000010wrxGQAQ</t>
  </si>
  <si>
    <t>2021 Renewal - Grainger - XSELL Privacy</t>
  </si>
  <si>
    <t>0060W00000y55ENQAY</t>
  </si>
  <si>
    <t>Verizon Wireless</t>
  </si>
  <si>
    <t>0060W000010qDBcQAM</t>
  </si>
  <si>
    <t>2019-Dec Renewal - Verizon Wireless</t>
  </si>
  <si>
    <t>0060W00000y89vJQAQ</t>
  </si>
  <si>
    <t>2019-Jun Renewal - Verizon Wireless</t>
  </si>
  <si>
    <t>0060W000013rWqbQAE</t>
  </si>
  <si>
    <t>2021 - REN - OptumRx</t>
  </si>
  <si>
    <t>0060W0000121ikVQAQ</t>
  </si>
  <si>
    <t>2020-REN-OptumRx</t>
  </si>
  <si>
    <t>0060W00000zMzNPQA0</t>
  </si>
  <si>
    <t>2019 Renewal - Wunderman OBO OptumRx</t>
  </si>
  <si>
    <t>0060W00000y6HzMQAU</t>
  </si>
  <si>
    <t>2020 Renewal - Amplifon</t>
  </si>
  <si>
    <t>006d000000k7MVuAAM</t>
  </si>
  <si>
    <t>2018 Renewal - HSBC</t>
  </si>
  <si>
    <t>0060W00000y6vs4QAA</t>
  </si>
  <si>
    <t>2019-Jun Renewal - Script Maintenance Cognetik OBO McDonald's</t>
  </si>
  <si>
    <t>0060W00000vxc68QAA</t>
  </si>
  <si>
    <t>2018 Renewal - Adobe</t>
  </si>
  <si>
    <t>0066T00001B9Ic3QAF</t>
  </si>
  <si>
    <t>2024 - REN - FLEETCOR</t>
  </si>
  <si>
    <t>0066T000017XU9DQAW</t>
  </si>
  <si>
    <t>2023 - REN - Ferguson</t>
  </si>
  <si>
    <t>0060W00001236VXQAY</t>
  </si>
  <si>
    <t>2020-REN-Pfizer</t>
  </si>
  <si>
    <t>0066T000016n1ZrQAI</t>
  </si>
  <si>
    <t>2022-REN-Pfizer</t>
  </si>
  <si>
    <t>0060W000014ndeoQAA</t>
  </si>
  <si>
    <t>2021-REN-Pfizer</t>
  </si>
  <si>
    <t>006VH000002kBx0YAE</t>
  </si>
  <si>
    <t>2025 - REN - Travelers</t>
  </si>
  <si>
    <t>0060W00000zPmHzQAK</t>
  </si>
  <si>
    <t>2021 Renewal - Finning</t>
  </si>
  <si>
    <t>0060W000014oCFmQAM</t>
  </si>
  <si>
    <t>2023-REN-Finning</t>
  </si>
  <si>
    <t>0060W000010yBZJQA2</t>
  </si>
  <si>
    <t>2021 Renewal - Ferguson</t>
  </si>
  <si>
    <t>0066T000016mC4wQAE</t>
  </si>
  <si>
    <t>2023 - REN - Cheil OBO Raiffeisen - Web</t>
  </si>
  <si>
    <t>0060W000014ms2TQAQ</t>
  </si>
  <si>
    <t>2022 - REN - Cheil OBO Raiffeisen - Web</t>
  </si>
  <si>
    <t>0060W000012KvSkQAK</t>
  </si>
  <si>
    <t>2021-REN-GlaxoSmithKline</t>
  </si>
  <si>
    <t>0066T000016llfPQAQ</t>
  </si>
  <si>
    <t>2023-REN-GlaxoSmithKline</t>
  </si>
  <si>
    <t>0060W000014mpACQAY</t>
  </si>
  <si>
    <t>2022-REN-GlaxoSmithKline</t>
  </si>
  <si>
    <t>0066T00001ACmg8QAD</t>
  </si>
  <si>
    <t>2024 - REN - CarMax</t>
  </si>
  <si>
    <t>0060W00000zOxOHQA0</t>
  </si>
  <si>
    <t>2021 Renewal - Rank Group</t>
  </si>
  <si>
    <t>0060W000014oVJdQAM</t>
  </si>
  <si>
    <t>2022-REN-Rank Group</t>
  </si>
  <si>
    <t>0060W00001243xaQAA</t>
  </si>
  <si>
    <t>2021-REN-Webalyse OBO Allianz Suisse</t>
  </si>
  <si>
    <t>0066T000016mjlHQAQ</t>
  </si>
  <si>
    <t>2023-REN-Allianz Suisse</t>
  </si>
  <si>
    <t>0060W000014mrzPQAQ</t>
  </si>
  <si>
    <t>2022-REN-Webalyse OBO Allianz Suisse</t>
  </si>
  <si>
    <t>006VH00000Thi1vYAB</t>
  </si>
  <si>
    <t>2025 - REN - Inspire Brands</t>
  </si>
  <si>
    <t>006d000000hpo81AAA</t>
  </si>
  <si>
    <t>2016 Renewal - Adobe</t>
  </si>
  <si>
    <t>006d000000UE4FfAAL</t>
  </si>
  <si>
    <t>2015 Renewal - Adobe</t>
  </si>
  <si>
    <t>006d000000s22jVAAQ</t>
  </si>
  <si>
    <t>2017 Renewal - Adobe</t>
  </si>
  <si>
    <t>0060W00000zPknZQAS</t>
  </si>
  <si>
    <t>2020 Renewal - Lending Tree</t>
  </si>
  <si>
    <t>0066T000018Fc8hQAC</t>
  </si>
  <si>
    <t>2024 - REN - PNC</t>
  </si>
  <si>
    <t>0060W00000vWXPcQAO</t>
  </si>
  <si>
    <t>2018 Renewal - Boehringer Ingelheim</t>
  </si>
  <si>
    <t>0060W000015PB4vQAG</t>
  </si>
  <si>
    <t>2024 - REN - Boehringer Ingelheim</t>
  </si>
  <si>
    <t>0060W000010pqUpQAI</t>
  </si>
  <si>
    <t>2021 Renewal - Boehringer Ingelheim</t>
  </si>
  <si>
    <t>0060W00000wz4d3QAA</t>
  </si>
  <si>
    <t>2019 Renewal - Boehringer Ingelheim</t>
  </si>
  <si>
    <t>006VH00000BuagqYAB</t>
  </si>
  <si>
    <t>2025 - REN - European Union</t>
  </si>
  <si>
    <t>0066T00001BBGfSQAX</t>
  </si>
  <si>
    <t>2024 - REN - European Union</t>
  </si>
  <si>
    <t>0066T000017XUWlQAO</t>
  </si>
  <si>
    <t>2023 - REN - Mainstrat</t>
  </si>
  <si>
    <t>0066T000015QfH9QAK</t>
  </si>
  <si>
    <t>2022-REN-MainStrat OBO Publications Office of the EU</t>
  </si>
  <si>
    <t>0060W000012Ju87QAC</t>
  </si>
  <si>
    <t>2021-REN-MainStrat OBO Publications Office of the EU</t>
  </si>
  <si>
    <t>0060W000010wrtJQAQ</t>
  </si>
  <si>
    <t>2020 Renewal - MainStrat OBO Publications Office of the EU</t>
  </si>
  <si>
    <t>0060W00000y5cerQAA</t>
  </si>
  <si>
    <t>2019 Renewal - MainStrat OBO Publications Office of the EU</t>
  </si>
  <si>
    <t>0060W00000vXGRAQA4</t>
  </si>
  <si>
    <t>Verizon.com</t>
  </si>
  <si>
    <t>0060W00000zOYQCQA4</t>
  </si>
  <si>
    <t>2019 Renewal - Verizon.com</t>
  </si>
  <si>
    <t>0060W00000wyTu0QAE</t>
  </si>
  <si>
    <t>2018 Renewal - Verizon.com</t>
  </si>
  <si>
    <t>0060W000010wkToQAI</t>
  </si>
  <si>
    <t>2020 Renewal - Domestic &amp; General</t>
  </si>
  <si>
    <t>0060W000010P4CUQA0</t>
  </si>
  <si>
    <t>2020 Renewal - BMC Software</t>
  </si>
  <si>
    <t>0060W000010xXVqQAM</t>
  </si>
  <si>
    <t>2020 Renewal - Delta Air lines</t>
  </si>
  <si>
    <t>0060W00000y7YSMQA2</t>
  </si>
  <si>
    <t>2019 Renewal - Delta Air lines</t>
  </si>
  <si>
    <t>0060W00000ww3QbQAI</t>
  </si>
  <si>
    <t>2019 Renewal - GlaxoSmithKline</t>
  </si>
  <si>
    <t>006d000000to3xDAAQ</t>
  </si>
  <si>
    <t>2017 Renewal - GlaxoSmithKline</t>
  </si>
  <si>
    <t>0060W0000121iYoQAI</t>
  </si>
  <si>
    <t>2020 Renewal - GlaxoSmithKline - 6mo opt out part 2 NO ORDER</t>
  </si>
  <si>
    <t>0060W00000zOjvXQAS</t>
  </si>
  <si>
    <t>2019 Renewal - GlaxoSmithKline - 6mo opt out part 1</t>
  </si>
  <si>
    <t>006VH000001a3jfYAA</t>
  </si>
  <si>
    <t>2024 - REN - Deutsche Bank (APP ID: 17380)</t>
  </si>
  <si>
    <t>0066T00001C9MCUQA3</t>
  </si>
  <si>
    <t>2024 - REN - Deutsche Bank (Postbank) VIA Mapp Digital (APP ID: 1229)</t>
  </si>
  <si>
    <t>0060W00000zPiLDQA0</t>
  </si>
  <si>
    <t>2020 Renewal - Odin-Agency OBO PBC Deutsche Bank</t>
  </si>
  <si>
    <t>0060W00000zPCjsQAG</t>
  </si>
  <si>
    <t>2020 Renewal - Odin Agency OBO CIB Deutsche Bank</t>
  </si>
  <si>
    <t>0060W00000y6EJwQAM</t>
  </si>
  <si>
    <t>Abbott</t>
  </si>
  <si>
    <t>006VH000002x1jkYAA</t>
  </si>
  <si>
    <t>2024 - REN - Abbott</t>
  </si>
  <si>
    <t>0060W000013rgSmQAI</t>
  </si>
  <si>
    <t>2021-REN-Abbott</t>
  </si>
  <si>
    <t>0060W000010yaLtQAI</t>
  </si>
  <si>
    <t>2020 Renewal - Abbott</t>
  </si>
  <si>
    <t>0060W00000y835VQAQ</t>
  </si>
  <si>
    <t>2019 Renewal - Abbott</t>
  </si>
  <si>
    <t>0060W00000wxW7KQAU</t>
  </si>
  <si>
    <t>2018 Renewal - UBM</t>
  </si>
  <si>
    <t>0060W00000zOZprQAG</t>
  </si>
  <si>
    <t>2019 Renewal - UBM</t>
  </si>
  <si>
    <t>0066T000015qTGHQA2</t>
  </si>
  <si>
    <t>2024-REN-Cisco</t>
  </si>
  <si>
    <t>0060W000014Za0KQAS</t>
  </si>
  <si>
    <t>2022-REN-Cisco</t>
  </si>
  <si>
    <t>0060W0000121q8jQAA</t>
  </si>
  <si>
    <t>2021-REN-Cisco</t>
  </si>
  <si>
    <t>0060W00000zPYiBQAW</t>
  </si>
  <si>
    <t>2020 Renewal - Cisco</t>
  </si>
  <si>
    <t>0060W0000121nlvQAA</t>
  </si>
  <si>
    <t>2020-REN-Shangri-La</t>
  </si>
  <si>
    <t>0066T000018GiXTQA0</t>
  </si>
  <si>
    <t>2023 - REN - Lululemon Athletica</t>
  </si>
  <si>
    <t>0066T00001C9RyIQAV</t>
  </si>
  <si>
    <t>2024 - REN - Lululemon Athletica</t>
  </si>
  <si>
    <t>0060W000012tvGzQAI</t>
  </si>
  <si>
    <t>2020-REN-Attribute Data OBO Singapore Economic Development Board</t>
  </si>
  <si>
    <t>0060W00000zMq42QAC</t>
  </si>
  <si>
    <t>2019 Renewal - Attribute Data OBO Singapore Economic Development Board</t>
  </si>
  <si>
    <t>0060W000014VJlkQAG</t>
  </si>
  <si>
    <t>2023 - REN - Endurance Warranty</t>
  </si>
  <si>
    <t>0066T000016GVrAQAW</t>
  </si>
  <si>
    <t>2022-REN- BlueMoon Digital OBO Astellas Pharma US</t>
  </si>
  <si>
    <t>0066T000017WAnXQAW</t>
  </si>
  <si>
    <t>2024 - REN - Anthem Blue Cross and Blue Shield - Web</t>
  </si>
  <si>
    <t>006VH000003gIV5YAM</t>
  </si>
  <si>
    <t>2026 - REN - Anthem Blue Cross &amp; Blue Shield</t>
  </si>
  <si>
    <t>0060W00000zMb1gQAC</t>
  </si>
  <si>
    <t>2019 Renewal - SYFY</t>
  </si>
  <si>
    <t>0066T000016lg50QAA</t>
  </si>
  <si>
    <t>2022-REN-Saxo Bank</t>
  </si>
  <si>
    <t>0060W000014ndjtQAA</t>
  </si>
  <si>
    <t>2021-REN-Saxo Bank</t>
  </si>
  <si>
    <t>0060W0000122fp4QAA</t>
  </si>
  <si>
    <t>2020-REN-Saxo Bank</t>
  </si>
  <si>
    <t>0060W00000zP6ipQAC</t>
  </si>
  <si>
    <t>2019 Renewal - Saxo Bank</t>
  </si>
  <si>
    <t>0060W000010wVFgQAM</t>
  </si>
  <si>
    <t>2020 Renewal - HelloFresh</t>
  </si>
  <si>
    <t>0060W00000y7NuaQAE</t>
  </si>
  <si>
    <t>2019 Renewal - HelloFresh</t>
  </si>
  <si>
    <t>0060W00000vvRN5QAM</t>
  </si>
  <si>
    <t>2018 Renewal - Nike.net</t>
  </si>
  <si>
    <t>0060W00000zNN1VQAW</t>
  </si>
  <si>
    <t>2019 Renewal - Nike.net</t>
  </si>
  <si>
    <t>0060W00000zNxuGQAS</t>
  </si>
  <si>
    <t>2019 Renewal - Kindred Group</t>
  </si>
  <si>
    <t>0060W00000wxaKFQAY</t>
  </si>
  <si>
    <t>2018 Renewal - Kindred Group</t>
  </si>
  <si>
    <t>0060W00000wy9NAQAY</t>
  </si>
  <si>
    <t>2018 Renewal - Air Canada</t>
  </si>
  <si>
    <t>0060W0000121id5QAA</t>
  </si>
  <si>
    <t>2020 Renewal - Air Canada</t>
  </si>
  <si>
    <t>0060W00000zNYDYQA4</t>
  </si>
  <si>
    <t>2019 Renewal - Air Canada</t>
  </si>
  <si>
    <t>0060W00000zP6byQAC</t>
  </si>
  <si>
    <t>2021 Renewal - Telegraph</t>
  </si>
  <si>
    <t>0060W00000vXEluQAG</t>
  </si>
  <si>
    <t>2017 Renewal Upsell - Hilton</t>
  </si>
  <si>
    <t>0060W000012tUjhQAE</t>
  </si>
  <si>
    <t>2022-REN-Hilton</t>
  </si>
  <si>
    <t>0060W000010PR0QQAW</t>
  </si>
  <si>
    <t>2020 Renewal - Hilton</t>
  </si>
  <si>
    <t>0060W00000y5WDIQA2</t>
  </si>
  <si>
    <t>2019 Renewal - Hilton</t>
  </si>
  <si>
    <t>0060W00000vXW9sQAG</t>
  </si>
  <si>
    <t>2018 Renewal - Hilton</t>
  </si>
  <si>
    <t>006VH00000fh8YzYAI</t>
  </si>
  <si>
    <t>2026 - REN - Exture Technology, Inc. - Sony</t>
  </si>
  <si>
    <t>0060W000013pbPqQAI</t>
  </si>
  <si>
    <t>2022-REN-Exture Technology, Inc. OBO All Nippon Airways</t>
  </si>
  <si>
    <t>0060W0000136wrIQAQ</t>
  </si>
  <si>
    <t>2021-REN-Exture OBO Tipness</t>
  </si>
  <si>
    <t>0060W00000vvKyDQAU</t>
  </si>
  <si>
    <t>2018 Renewal - Tesco PLC</t>
  </si>
  <si>
    <t>006d000000phDNgAAM</t>
  </si>
  <si>
    <t>2017 Renewal - Tesco PLC</t>
  </si>
  <si>
    <t>006d000000ciacoAAA</t>
  </si>
  <si>
    <t>2016 Renewal - Tesco PLC</t>
  </si>
  <si>
    <t>0060W00000wr0WeQAI</t>
  </si>
  <si>
    <t>2019 Renewal - Tesco PLC</t>
  </si>
  <si>
    <t>0060W00000w72AOQAY</t>
  </si>
  <si>
    <t>2018 Renewal - Disney Parks</t>
  </si>
  <si>
    <t>006d000000sSp8CAAS</t>
  </si>
  <si>
    <t>2017 Renewal - Disney Parks</t>
  </si>
  <si>
    <t>0066T00001ACruRQAT</t>
  </si>
  <si>
    <t>2023 - REN - The Walt Disney</t>
  </si>
  <si>
    <t>0066T000015pHwjQAE</t>
  </si>
  <si>
    <t>2022-REN-Disney Parks</t>
  </si>
  <si>
    <t>0060W000013rAEAQA2</t>
  </si>
  <si>
    <t>2021-REN-Disney Parks</t>
  </si>
  <si>
    <t>0060W0000120Ev5QAE</t>
  </si>
  <si>
    <t>2020 Renewal - Disney Parks</t>
  </si>
  <si>
    <t>0060W00000zMW2sQAG</t>
  </si>
  <si>
    <t>2019 Renewal - Disney Parks</t>
  </si>
  <si>
    <t>006VH00000fMzoPYAS</t>
  </si>
  <si>
    <t>2028 - REN - Securian Financial Group</t>
  </si>
  <si>
    <t>0066T00001Cycv2QAB</t>
  </si>
  <si>
    <t>2025 - REN - Securian Financial Group</t>
  </si>
  <si>
    <t>0066T000016lAX4QAM</t>
  </si>
  <si>
    <t>2023-REN-Securian Financial</t>
  </si>
  <si>
    <t>0060W000011pHtPQAU</t>
  </si>
  <si>
    <t>2021-REN-Securian Financial</t>
  </si>
  <si>
    <t>006VH00000SLsenYAD</t>
  </si>
  <si>
    <t>2026 - REN - SAP</t>
  </si>
  <si>
    <t>006VH00000hpX7dYAE</t>
  </si>
  <si>
    <t>2027 - REN - SAP</t>
  </si>
  <si>
    <t>0060W00000vvXKKQA2</t>
  </si>
  <si>
    <t>2018 Renewal - NFL</t>
  </si>
  <si>
    <t>0066T0000168vgBQAQ</t>
  </si>
  <si>
    <t>2022-REN-NFL</t>
  </si>
  <si>
    <t>0060W000013K2l2QAC</t>
  </si>
  <si>
    <t>2021-REN-NFL</t>
  </si>
  <si>
    <t>0060W000010yP8NQAU</t>
  </si>
  <si>
    <t>2020 Renewal - NFL</t>
  </si>
  <si>
    <t>0060W000010yP5iQAE</t>
  </si>
  <si>
    <t>2019-UP-NFL - CampaignAssurance</t>
  </si>
  <si>
    <t>0060W00000y7AapQAE</t>
  </si>
  <si>
    <t>2019 Renewal - NFL</t>
  </si>
  <si>
    <t>0066T00001AEKYQQA5</t>
  </si>
  <si>
    <t>2023 - REN - ST</t>
  </si>
  <si>
    <t>0066T000016mW30QAE</t>
  </si>
  <si>
    <t>2022-REN-STMicro</t>
  </si>
  <si>
    <t>0066T000015QAoiQAG</t>
  </si>
  <si>
    <t>2021-REN-STMicro_WebAssurance Enterprise</t>
  </si>
  <si>
    <t>0060W0000123Q7PQAU</t>
  </si>
  <si>
    <t>2020-REN-STMicro_WebAssurance Enterprise</t>
  </si>
  <si>
    <t>0060W00000zORTHQA4</t>
  </si>
  <si>
    <t>2019-RENEWAL-STMicro_WebAssurance Enterprise</t>
  </si>
  <si>
    <t>006VH00000A5Q5lYAF</t>
  </si>
  <si>
    <t>2025 - REN - Optum</t>
  </si>
  <si>
    <t>006d000000sXv9BAAS</t>
  </si>
  <si>
    <t>2016 Renewal Fidelity</t>
  </si>
  <si>
    <t>0060W000013IntGQAS</t>
  </si>
  <si>
    <t>2021-REN-American Airlines</t>
  </si>
  <si>
    <t>0060W00000y5lMRQAY</t>
  </si>
  <si>
    <t>2020 Renewal - American Airlines</t>
  </si>
  <si>
    <t>0066T000016987aQAA</t>
  </si>
  <si>
    <t>2024 - REN - CIBC</t>
  </si>
  <si>
    <t>0060W00000y6In9QAE</t>
  </si>
  <si>
    <t>2021 Renewal + Upsell - CIBC</t>
  </si>
  <si>
    <t>0066T000015pxzfQAA</t>
  </si>
  <si>
    <t>2022-REN-Roche Holding AG</t>
  </si>
  <si>
    <t>0060W000013suFuQAI</t>
  </si>
  <si>
    <t>2021-REN-Roche Holding AG</t>
  </si>
  <si>
    <t>0060W0000121P95QAE</t>
  </si>
  <si>
    <t>2020-REN-Roche Holding AG</t>
  </si>
  <si>
    <t>0060W00000zNS52QAG</t>
  </si>
  <si>
    <t>2019 Renewal - Roche Holding AG</t>
  </si>
  <si>
    <t>0060W000013pnNhQAI</t>
  </si>
  <si>
    <t>2023-REN-Experian</t>
  </si>
  <si>
    <t>0060W00000y74rIQAQ</t>
  </si>
  <si>
    <t>2020 Renewal - Experian</t>
  </si>
  <si>
    <t>006d000000YdEp9AAF</t>
  </si>
  <si>
    <t>2015 Renewal - Fandango</t>
  </si>
  <si>
    <t>006d000000hzTuHAAU</t>
  </si>
  <si>
    <t>2016 Renewal - Fandango</t>
  </si>
  <si>
    <t>0060W00000zNKroQAG</t>
  </si>
  <si>
    <t>2020 Renewal - Michael J. Fox</t>
  </si>
  <si>
    <t>0060W00000zN6C9QAK</t>
  </si>
  <si>
    <t>2020 Renewal - Rogers Communications</t>
  </si>
  <si>
    <t>0066T000016k58NQAQ</t>
  </si>
  <si>
    <t>2023 - REN - Blue Cross &amp; Blue Shield of North Carolina</t>
  </si>
  <si>
    <t>0066T000017XUSoQAO</t>
  </si>
  <si>
    <t>2023 - REN - Adobe (Federal)</t>
  </si>
  <si>
    <t>006VH00000XIlBzYAL</t>
  </si>
  <si>
    <t>2026 - REN - Adobe (Federal)</t>
  </si>
  <si>
    <t>0066T00001CMyxsQAD</t>
  </si>
  <si>
    <t>2024 - REN - Adobe (Federal)</t>
  </si>
  <si>
    <t>006VH00000ShcukYAB</t>
  </si>
  <si>
    <t>2026 - REN - ANZ</t>
  </si>
  <si>
    <t>006VH00000gWoBFYA0</t>
  </si>
  <si>
    <t>2027 - REN - ANZ</t>
  </si>
  <si>
    <t>006VH000002eQQtYAM</t>
  </si>
  <si>
    <t>2025 - REN - ANZ</t>
  </si>
  <si>
    <t>0066T00001AEKVCQA5</t>
  </si>
  <si>
    <t>2024 - REN - ANZ</t>
  </si>
  <si>
    <t>0060W00000y51eYQAQ</t>
  </si>
  <si>
    <t>2018 Upsell - Red Hat</t>
  </si>
  <si>
    <t>0060W00000y88rAQAQ</t>
  </si>
  <si>
    <t>2020 Renewal - Red Hat</t>
  </si>
  <si>
    <t>0060W00000zN5q8QAC</t>
  </si>
  <si>
    <t>2020 Renewal - Intuit Canada</t>
  </si>
  <si>
    <t>0066T000016H5zVQAS</t>
  </si>
  <si>
    <t>2022 - REN - Unity Technologies</t>
  </si>
  <si>
    <t>0060W000012sfAEQAY</t>
  </si>
  <si>
    <t>2021-REN-RSA (Part 1 of 2)</t>
  </si>
  <si>
    <t>0060W000015PjcNQAS</t>
  </si>
  <si>
    <t>2021-REN-RSA (Part 2 of 2)</t>
  </si>
  <si>
    <t>0060W00000zMVuyQAG</t>
  </si>
  <si>
    <t>2019 Renewal - Barceló Hotel Group</t>
  </si>
  <si>
    <t>0066T000017UknhQAC</t>
  </si>
  <si>
    <t>2023-REN-Oriental Trading</t>
  </si>
  <si>
    <t>0060W000012tUTOQA2</t>
  </si>
  <si>
    <t>2022-REN-Oriental Trading</t>
  </si>
  <si>
    <t>0060W00000wy35rQAA</t>
  </si>
  <si>
    <t>2018 Renewal - Westpac</t>
  </si>
  <si>
    <t>006d000000vEoZgAAK</t>
  </si>
  <si>
    <t>2018 Renewal - Westpac NZ</t>
  </si>
  <si>
    <t>006d000000ulZpjAAE</t>
  </si>
  <si>
    <t>2017 Renewal - Westpac</t>
  </si>
  <si>
    <t>0060W000014mkHwQAI</t>
  </si>
  <si>
    <t>2022-REN-Westpac</t>
  </si>
  <si>
    <t>0060W00001236bQQAQ</t>
  </si>
  <si>
    <t>2021-REN-Westpac</t>
  </si>
  <si>
    <t>0060W00000zPYmSQAW</t>
  </si>
  <si>
    <t>2020-REN-Westpac NZ</t>
  </si>
  <si>
    <t>0060W00000zPYm8QAG</t>
  </si>
  <si>
    <t>2019 Renewal - Westpac</t>
  </si>
  <si>
    <t>0060W00000wyS7ZQAU</t>
  </si>
  <si>
    <t>2019-REN-Westpac NZ</t>
  </si>
  <si>
    <t>0060W00000zNzXfQAK</t>
  </si>
  <si>
    <t>2019 Renewal - Kingfisher</t>
  </si>
  <si>
    <t>006VH000005XubdYAC</t>
  </si>
  <si>
    <t>2025 - REN - 1&amp;1 Internet</t>
  </si>
  <si>
    <t>0066T00001B9hrkQAB</t>
  </si>
  <si>
    <t>2024 - REN - 1&amp;1 Internet</t>
  </si>
  <si>
    <t>0066T000018FqTsQAK</t>
  </si>
  <si>
    <t>2023 - REN - 1&amp;1 Internet</t>
  </si>
  <si>
    <t>0060W000015PCfmQAG</t>
  </si>
  <si>
    <t>2022 - REN - 1&amp;1</t>
  </si>
  <si>
    <t>0060W000010vC2QQAU</t>
  </si>
  <si>
    <t>2021 Renewal - 1&amp;1</t>
  </si>
  <si>
    <t>006VH00000TnENhYAN</t>
  </si>
  <si>
    <t>2026 - REN - Questrade</t>
  </si>
  <si>
    <t>0066T00001B9IkHQAV</t>
  </si>
  <si>
    <t>2024 - REN - Questrade</t>
  </si>
  <si>
    <t>0066T000017UkVdQAK</t>
  </si>
  <si>
    <t>2023-REN-Questrade</t>
  </si>
  <si>
    <t>0060W000015Ow9uQAC</t>
  </si>
  <si>
    <t>2022-REN-Questrade</t>
  </si>
  <si>
    <t>0060W000012TQo2QAG</t>
  </si>
  <si>
    <t>2021-REN-Questrade</t>
  </si>
  <si>
    <t>0060W00000zOVYdQAO</t>
  </si>
  <si>
    <t>2020 Renewal - Questrade</t>
  </si>
  <si>
    <t>006VH000003rdXlYAI</t>
  </si>
  <si>
    <t>2025 - REN - Sam's Club</t>
  </si>
  <si>
    <t>0066T00001AEndoQAD</t>
  </si>
  <si>
    <t>2024 - REN - Sam's Club</t>
  </si>
  <si>
    <t>0066T000015rEjgQAE</t>
  </si>
  <si>
    <t>2023 - REN - Sam's Club</t>
  </si>
  <si>
    <t>0066T000016mGfAQAU</t>
  </si>
  <si>
    <t>2022 - REN - Shiseido</t>
  </si>
  <si>
    <t>0060W00000y5EsKQAU</t>
  </si>
  <si>
    <t>2019 Renewal - Paul Fredrick</t>
  </si>
  <si>
    <t>006d000000vFBfFAAW</t>
  </si>
  <si>
    <t>2018 Renewal - Paul Fredrick</t>
  </si>
  <si>
    <t>0060W000010O65rQAC</t>
  </si>
  <si>
    <t>2020 Renewal - Paul Fredrick</t>
  </si>
  <si>
    <t>0060W00000vXh6CQAS</t>
  </si>
  <si>
    <t>2018 Renewal - Scotts Miracle-Gro</t>
  </si>
  <si>
    <t>0066T000015qQ3uQAE</t>
  </si>
  <si>
    <t>2022-REN-Scotts Miracle-Gro</t>
  </si>
  <si>
    <t>0060W000013sE9nQAE</t>
  </si>
  <si>
    <t>2021-REN-Scotts Miracle-Gro</t>
  </si>
  <si>
    <t>0060W0000120KyOQAU</t>
  </si>
  <si>
    <t>2020 Renewal - Scotts Miracle-Gro</t>
  </si>
  <si>
    <t>0066T000016mn5oQAA</t>
  </si>
  <si>
    <t>2023-REN-Carmax</t>
  </si>
  <si>
    <t>0060W000014oEnYQAU</t>
  </si>
  <si>
    <t>2022-REN-Carmax</t>
  </si>
  <si>
    <t>0060W000012YFpFQAW</t>
  </si>
  <si>
    <t>2021-REN-Carmax</t>
  </si>
  <si>
    <t>0060W00000zOx8JQAS</t>
  </si>
  <si>
    <t>2020 Renewal - Carmax</t>
  </si>
  <si>
    <t>0060W00000y7O0iQAE</t>
  </si>
  <si>
    <t>2019 Renewal - MasterControl</t>
  </si>
  <si>
    <t>0066T00001EJktrQAD</t>
  </si>
  <si>
    <t>2024 - REN - J.M. Smucker</t>
  </si>
  <si>
    <t>0066T0000190nZjQAI</t>
  </si>
  <si>
    <t>2023 - REN - Smucker Retail Foods, Inc.</t>
  </si>
  <si>
    <t>0060W000010RU39QAG</t>
  </si>
  <si>
    <t>2020 - Renewal Accenture OBO BMW Group</t>
  </si>
  <si>
    <t>0060W000012wfSZQAY</t>
  </si>
  <si>
    <t>2021-REN-Janssen Pharma</t>
  </si>
  <si>
    <t>0060W00000zOx2QQAS</t>
  </si>
  <si>
    <t>2020 Renewal - Janssen Pharma</t>
  </si>
  <si>
    <t>0060W00000y7ETIQA2</t>
  </si>
  <si>
    <t>Ideal Living</t>
  </si>
  <si>
    <t>0060W00000y7uVzQAI</t>
  </si>
  <si>
    <t>2020 Renewal Ideal Living</t>
  </si>
  <si>
    <t>0060W00000zNqaoQAC</t>
  </si>
  <si>
    <t>2019 Renewal - IG</t>
  </si>
  <si>
    <t>0066T000016GbzHQAS</t>
  </si>
  <si>
    <t>2022 - REN - GVC (BWIN)</t>
  </si>
  <si>
    <t>0060W00000y88ofQAA</t>
  </si>
  <si>
    <t>2021 Renewal - GVC (BWIN)</t>
  </si>
  <si>
    <t>0060W00000y8o5dQAA</t>
  </si>
  <si>
    <t>2020 Renewal - NGS</t>
  </si>
  <si>
    <t>0060W000011otbxQAA</t>
  </si>
  <si>
    <t>2022 Renewal - US Cellular</t>
  </si>
  <si>
    <t>0060W00000y8oEkQAI</t>
  </si>
  <si>
    <t>2019 Renewal - US Cellular</t>
  </si>
  <si>
    <t>0060W00000y7qCnQAI</t>
  </si>
  <si>
    <t>2019-REN-Experian</t>
  </si>
  <si>
    <t>0060W000012KkzZQAS</t>
  </si>
  <si>
    <t>2021-REN-Tyson Food Company</t>
  </si>
  <si>
    <t>0066T0000168dddQAA</t>
  </si>
  <si>
    <t>2022-REN-Tyson Food Company</t>
  </si>
  <si>
    <t>006VH00000SaN2pYAF</t>
  </si>
  <si>
    <t>2028 - REN - Brunello Cucinelli</t>
  </si>
  <si>
    <t>0060W000015P7nYQAS</t>
  </si>
  <si>
    <t>2021 - UP - Goldman Sachs - Technology</t>
  </si>
  <si>
    <t>006VH000000gvrVYAQ</t>
  </si>
  <si>
    <t>2025 - REN - Goldman Sachs</t>
  </si>
  <si>
    <t>0060W000012uPxCQAU</t>
  </si>
  <si>
    <t>2021-REN-ServiceMaster</t>
  </si>
  <si>
    <t>0060W000015PJaoQAG</t>
  </si>
  <si>
    <t>2022-REN-ServiceMaster</t>
  </si>
  <si>
    <t>0066T00001DOBsKQAX</t>
  </si>
  <si>
    <t>2024 - REN - Accenture</t>
  </si>
  <si>
    <t>006VH00000SaHlOYAV</t>
  </si>
  <si>
    <t>2026 - REN - Merck KGaA</t>
  </si>
  <si>
    <t>006VH00000hjEndYAE</t>
  </si>
  <si>
    <t>2027 - REN - Merck KGaA</t>
  </si>
  <si>
    <t>006VH000001aOxmYAE</t>
  </si>
  <si>
    <t>2025 - REN - Merck KGaA</t>
  </si>
  <si>
    <t>0066T00001ABvLxQAL</t>
  </si>
  <si>
    <t>2024 - REN - Merck KGaA</t>
  </si>
  <si>
    <t>0060W00000zOCcOQAW</t>
  </si>
  <si>
    <t>2020 Renewal - Exxon</t>
  </si>
  <si>
    <t>0060W0000122L5KQAU</t>
  </si>
  <si>
    <t>2020-REN-SHRM</t>
  </si>
  <si>
    <t>0060W00000zP6nLQAS</t>
  </si>
  <si>
    <t>2019 Renewal - SHRM</t>
  </si>
  <si>
    <t>0060W00000ztL9aQAE</t>
  </si>
  <si>
    <t>2020 Renewal - GEICO</t>
  </si>
  <si>
    <t>0060W000010NiViQAK</t>
  </si>
  <si>
    <t>2020 Renewal - IQVIA</t>
  </si>
  <si>
    <t>0060W00000zNcRGQA0</t>
  </si>
  <si>
    <t>2019 Renewal - Vacasa</t>
  </si>
  <si>
    <t>0060W000015PVUaQAO</t>
  </si>
  <si>
    <t>2022-REN-Thalys-WebAssurance</t>
  </si>
  <si>
    <t>0066T000016js4CQAQ</t>
  </si>
  <si>
    <t>2022-REN-MediaMonks</t>
  </si>
  <si>
    <t>0066T00001DNmUgQAL</t>
  </si>
  <si>
    <t>2024 - REN - Canadian Tire Corporation</t>
  </si>
  <si>
    <t>0066T000015o7aoQAA</t>
  </si>
  <si>
    <t>2022 - REN - Canadian Tire</t>
  </si>
  <si>
    <t>0060W00000zPEW1QAO</t>
  </si>
  <si>
    <t>2021-REN-Royal &amp; Sun Alliance Insurance (Middle East) B.S.C.</t>
  </si>
  <si>
    <t>0060W000015PnJiQAK</t>
  </si>
  <si>
    <t>2022-REN-Royal &amp; Sun Alliance Insurance (Middle East) B.S.C.</t>
  </si>
  <si>
    <t>0066T000016mR8NQAU</t>
  </si>
  <si>
    <t>2023 - REN - Walgreens</t>
  </si>
  <si>
    <t>006VH00000ZPUA5YAP</t>
  </si>
  <si>
    <t>2026 - REN - SBS</t>
  </si>
  <si>
    <t>006VH00000HHkz7YAD</t>
  </si>
  <si>
    <t>2025 - REN - SBS</t>
  </si>
  <si>
    <t>0066T00001C9MOuQAN</t>
  </si>
  <si>
    <t>2024 - REN - SBS</t>
  </si>
  <si>
    <t>0066T000018FcB2QAK</t>
  </si>
  <si>
    <t>2023 - REN - SBS</t>
  </si>
  <si>
    <t>0060W00000zNrscQAC</t>
  </si>
  <si>
    <t>2019 Renewal - The Trainline</t>
  </si>
  <si>
    <t>006d000000qXHHoAAO</t>
  </si>
  <si>
    <t>2018 Renewal - The Trainline</t>
  </si>
  <si>
    <t>0066T000016GtIDQA0</t>
  </si>
  <si>
    <t>2022-REN-The Trainline</t>
  </si>
  <si>
    <t>0060W000013pbM3QAI</t>
  </si>
  <si>
    <t>2021-REN-The Trainline</t>
  </si>
  <si>
    <t>0060W000011TXWTQA4</t>
  </si>
  <si>
    <t>2020 Renewal - The Trainline</t>
  </si>
  <si>
    <t>0060W000015PnNfQAK</t>
  </si>
  <si>
    <t>2022-REN-Disney International</t>
  </si>
  <si>
    <t>0060W000012JcdqQAC</t>
  </si>
  <si>
    <t>2021-REN-Disney International</t>
  </si>
  <si>
    <t>0060W000010QYRnQAO</t>
  </si>
  <si>
    <t>2020 Renewal - Disney International</t>
  </si>
  <si>
    <t>0060W00000zPkffQAC</t>
  </si>
  <si>
    <t>2021 Renewal - Bed Bath &amp; Beyond</t>
  </si>
  <si>
    <t>0066T000016lg1DQAQ</t>
  </si>
  <si>
    <t>2022-REN-Endress Gruppe</t>
  </si>
  <si>
    <t>0060W000014mZ7LQAU</t>
  </si>
  <si>
    <t>2021-REN-Endress Gruppe</t>
  </si>
  <si>
    <t>0060W0000120kJrQAI</t>
  </si>
  <si>
    <t>2020 Renewal - Endress Gruppe</t>
  </si>
  <si>
    <t>0060W00000zNDdfQAG</t>
  </si>
  <si>
    <t>2019 Renewal - Endress Gruppe</t>
  </si>
  <si>
    <t>0060W00000zPmcTQAS</t>
  </si>
  <si>
    <t>2020 Renewal - Cardinal Path OBO Chevron</t>
  </si>
  <si>
    <t>006d000000uEhzlAAC</t>
  </si>
  <si>
    <t>2017 Renewal - Michigan Lottery</t>
  </si>
  <si>
    <t>006d000000uDZR5AAO</t>
  </si>
  <si>
    <t>2016 Renewal - Michigan Lottery</t>
  </si>
  <si>
    <t>0060W00000wwiOBQAY</t>
  </si>
  <si>
    <t>2018 Renewal - Michigan Lottery</t>
  </si>
  <si>
    <t>0060W000012T07HQAS</t>
  </si>
  <si>
    <t>2021-REN-GE Healthcare</t>
  </si>
  <si>
    <t>0060W000010PBIPQA4</t>
  </si>
  <si>
    <t>2020 Renewal - GE Healthcare</t>
  </si>
  <si>
    <t>0060W00000zHAXXQA4</t>
  </si>
  <si>
    <t>2020 Renewal - Radio-Canada</t>
  </si>
  <si>
    <t>0066T000015qQ7SQAU</t>
  </si>
  <si>
    <t>2022-REN-Rent Group Inc.</t>
  </si>
  <si>
    <t>0060W000013r66YQAQ</t>
  </si>
  <si>
    <t>2021-REN-RentPath</t>
  </si>
  <si>
    <t>0060W00000zMzIKQA0</t>
  </si>
  <si>
    <t>2020 Renewal - RentPath</t>
  </si>
  <si>
    <t>0060W0000133uAWQAY</t>
  </si>
  <si>
    <t>2021-REN-SBB-WebAssurance</t>
  </si>
  <si>
    <t>0060W000010Q7oJQAS</t>
  </si>
  <si>
    <t>2020 Renewal - SBB-WebAssurance</t>
  </si>
  <si>
    <t>006VH00000ZhZ4pYAF</t>
  </si>
  <si>
    <t>2026 - REN - Lenovo</t>
  </si>
  <si>
    <t>006VH00000LQGufYAH</t>
  </si>
  <si>
    <t>2025 - REN - Lenovo</t>
  </si>
  <si>
    <t>0066T000016HLlzQAG</t>
  </si>
  <si>
    <t>2022-REN-TE Connectivity</t>
  </si>
  <si>
    <t>0060W000013rgPtQAI</t>
  </si>
  <si>
    <t>2021-REN-TE Connectivity</t>
  </si>
  <si>
    <t>0060W000011SfVtQAK</t>
  </si>
  <si>
    <t>2020 Renewal - TE Connectivity</t>
  </si>
  <si>
    <t>0060W000013tNAWQA2</t>
  </si>
  <si>
    <t>2021-REN-Logitech</t>
  </si>
  <si>
    <t>0060W00000zNDZiQAO</t>
  </si>
  <si>
    <t>2020 Renewal - Logitech</t>
  </si>
  <si>
    <t>0060W00000zNE9RQAW</t>
  </si>
  <si>
    <t>2019 Renewal - 1-800 Contacts</t>
  </si>
  <si>
    <t>006VH00000BIOQYYA5</t>
  </si>
  <si>
    <t>2026 - REN - Fiserv</t>
  </si>
  <si>
    <t>0066T000018FCPIQA4</t>
  </si>
  <si>
    <t>2024 - REN - Fiserv</t>
  </si>
  <si>
    <t>0060W000013JUyBQAW</t>
  </si>
  <si>
    <t>2022-REN-Fiserv Inc</t>
  </si>
  <si>
    <t>0060W00000zONs0QAG</t>
  </si>
  <si>
    <t>2019 Renewal - Wilson Electronics</t>
  </si>
  <si>
    <t>006VH00000AhXmBYAV</t>
  </si>
  <si>
    <t>2026 - REN - New York University</t>
  </si>
  <si>
    <t>0066T000017VtvrQAC</t>
  </si>
  <si>
    <t>2024-REN- NYU Langone Medical</t>
  </si>
  <si>
    <t>0066T000017Wo06QAC</t>
  </si>
  <si>
    <t>2023-REN-Alcon</t>
  </si>
  <si>
    <t>0060W000014oOofQAE</t>
  </si>
  <si>
    <t>2022-REN-Alcon</t>
  </si>
  <si>
    <t>0060W00001243zWQAQ</t>
  </si>
  <si>
    <t>2021-REN-Alcon</t>
  </si>
  <si>
    <t>0060W00000zPceuQAC</t>
  </si>
  <si>
    <t>2020 Renewal - Alcon</t>
  </si>
  <si>
    <t>0066T000016lsdzQAA</t>
  </si>
  <si>
    <t>2022-REN-Capital One US</t>
  </si>
  <si>
    <t>0060W000014md3OQAQ</t>
  </si>
  <si>
    <t>2021-REN-Capital One US</t>
  </si>
  <si>
    <t>0060W0000121pfNQAQ</t>
  </si>
  <si>
    <t>2020 Renewal - Capital One US</t>
  </si>
  <si>
    <t>0060W00000zOwynQAC</t>
  </si>
  <si>
    <t>2019 Renewal - Capital One US</t>
  </si>
  <si>
    <t>0066T000016Gj7uQAC</t>
  </si>
  <si>
    <t>2023-REN-Officeworks</t>
  </si>
  <si>
    <t>0060W000013mYLcQAM</t>
  </si>
  <si>
    <t>2021-REN-Officeworks-WA</t>
  </si>
  <si>
    <t>0060W00000zO7GLQA0</t>
  </si>
  <si>
    <t>2019 Renewal - EliteSEM obo Terminix</t>
  </si>
  <si>
    <t>006VH00000bATWYYA4</t>
  </si>
  <si>
    <t>2026 - REN - Canadian Tire Corporation</t>
  </si>
  <si>
    <t>0066T000017VtyvQAC</t>
  </si>
  <si>
    <t>2023 - REN - Panera Bread - Web</t>
  </si>
  <si>
    <t>0066T000015QW63QAG</t>
  </si>
  <si>
    <t>2022 - REN - Panera Bread - Web</t>
  </si>
  <si>
    <t>0066T000017U0gaQAC</t>
  </si>
  <si>
    <t>2023 - REN - Puma - Technology Governance &amp; Privacy Compliance</t>
  </si>
  <si>
    <t>006VH00000aMrYpYAK</t>
  </si>
  <si>
    <t>2026 - REN - ERGO Group</t>
  </si>
  <si>
    <t>006VH00000GrCBVYA3</t>
  </si>
  <si>
    <t>2025 - REN - ERGO Group</t>
  </si>
  <si>
    <t>0066T000017vpi9QAA</t>
  </si>
  <si>
    <t>2023 - REN - Boston Scientific</t>
  </si>
  <si>
    <t>006VH00000eaxP7YAI</t>
  </si>
  <si>
    <t>2026 - REN - Boston Scientific</t>
  </si>
  <si>
    <t>0066T00001DkFdtQAF</t>
  </si>
  <si>
    <t>2024 - REN - Darden Restaurants</t>
  </si>
  <si>
    <t>006VH00000OSbVAYA1</t>
  </si>
  <si>
    <t>2025 - REN - Darden Restaurants</t>
  </si>
  <si>
    <t>006VH00000dNgg2YAC</t>
  </si>
  <si>
    <t>2026 - REN - Darden Restaurants</t>
  </si>
  <si>
    <t>0066T000016jt2kQAA</t>
  </si>
  <si>
    <t>2022-REN-Allergan Aesthetics</t>
  </si>
  <si>
    <t>0066T000017URRcQAO</t>
  </si>
  <si>
    <t>2023 - REN - Kingfisher tech &amp; privacy</t>
  </si>
  <si>
    <t>0060W000013ITyHQAW</t>
  </si>
  <si>
    <t>2021-REN-Visible</t>
  </si>
  <si>
    <t>0066T000015o7lDQAQ</t>
  </si>
  <si>
    <t>2022-REN-Visible</t>
  </si>
  <si>
    <t>0066T000015RxxkQAC</t>
  </si>
  <si>
    <t>2024 - REN - Macmillan Cancer Support</t>
  </si>
  <si>
    <t>0066T000018z5QuQAI</t>
  </si>
  <si>
    <t>2023 - REN - Hello bank</t>
  </si>
  <si>
    <t>0066T000016nT36QAE</t>
  </si>
  <si>
    <t>2022 - REN OPT IN - Providence St. Joseph Health</t>
  </si>
  <si>
    <t>0066T000015qQ9dQAE</t>
  </si>
  <si>
    <t>2022 - REN - Exact Sciences - Tech Governance</t>
  </si>
  <si>
    <t>0066T000018H2aTQAS</t>
  </si>
  <si>
    <t>2024 - REN - Wyndham Hotels &amp; Resorts</t>
  </si>
  <si>
    <t>006VH00000P7dCjYAJ</t>
  </si>
  <si>
    <t>2025 - REN - Avis Budget Group</t>
  </si>
  <si>
    <t>006VH00000hNq8RYAS</t>
  </si>
  <si>
    <t>2026 - REN - Avis Budget Group</t>
  </si>
  <si>
    <t>0066T00001EJmgrQAD</t>
  </si>
  <si>
    <t>2024 - REN - Avis Budget Group</t>
  </si>
  <si>
    <t>0060W0000134xwkQAA</t>
  </si>
  <si>
    <t>2021-REN-Schibsted Group</t>
  </si>
  <si>
    <t>0066T000016GV8tQAG</t>
  </si>
  <si>
    <t>2022-REN-Schibsted Group</t>
  </si>
  <si>
    <t>0066T00001BAYiwQAH</t>
  </si>
  <si>
    <t>2024 - REN - Honda Motor Company</t>
  </si>
  <si>
    <t>0066T00001BA5aXQAT</t>
  </si>
  <si>
    <t>2024 - REN - Telstra</t>
  </si>
  <si>
    <t>0060W000011SfJEQA0</t>
  </si>
  <si>
    <t>2021 Renewal - MediaCorp</t>
  </si>
  <si>
    <t>0066T000016nSdvQAE</t>
  </si>
  <si>
    <t>2023-REN-MediaCorp</t>
  </si>
  <si>
    <t>006VH00000SaPnlYAF</t>
  </si>
  <si>
    <t>2026 - REN - Virgin Australia Airlines</t>
  </si>
  <si>
    <t>0066T00001AE4DGQA1</t>
  </si>
  <si>
    <t>2024 - REN - DMPG OBO Virgin Australia Airlines</t>
  </si>
  <si>
    <t>0066T000016nSuXQAU</t>
  </si>
  <si>
    <t>2023-REN-Dotdash</t>
  </si>
  <si>
    <t>0066T000017WgJeQAK</t>
  </si>
  <si>
    <t>2024 - REN - Dropbox</t>
  </si>
  <si>
    <t>006VH00000S9tLJYAZ</t>
  </si>
  <si>
    <t>2026 - REN - El Arte De Medir</t>
  </si>
  <si>
    <t>0066T00001921dbQAA</t>
  </si>
  <si>
    <t>2023 - REN - ROI-DNA</t>
  </si>
  <si>
    <t>0066T000018ICdOQAW</t>
  </si>
  <si>
    <t>2023 - REN - Woolworths Group</t>
  </si>
  <si>
    <t>0066T000016lrlTQAQ</t>
  </si>
  <si>
    <t>2022 - REN - On Running</t>
  </si>
  <si>
    <t>0066T00001DnwLxQAJ</t>
  </si>
  <si>
    <t>2025 - REN - Kurt Geiger</t>
  </si>
  <si>
    <t>0066T000016k3y8QAA</t>
  </si>
  <si>
    <t>2023 - REN - Kurt Geiger - Tech Governance &amp; Privacy</t>
  </si>
  <si>
    <t>0066T00001CzLmjQAF</t>
  </si>
  <si>
    <t>2024 - REN - Volkswagen</t>
  </si>
  <si>
    <t>0060W000013suHqQAI</t>
  </si>
  <si>
    <t>2021-REN-Norwegian Cruise Line</t>
  </si>
  <si>
    <t>0066T000015qPxcQAE</t>
  </si>
  <si>
    <t>2022-REN-Norwegian Cruise Line</t>
  </si>
  <si>
    <t>0066T000017Vtt2QAC</t>
  </si>
  <si>
    <t>2024 - REN - Dow</t>
  </si>
  <si>
    <t>006VH00000DeR0RYAV</t>
  </si>
  <si>
    <t>2025 - REN - Walker Analytics</t>
  </si>
  <si>
    <t>0066T000016nRb1QAE</t>
  </si>
  <si>
    <t>2023 - REN - Wilko - Tech Gov</t>
  </si>
  <si>
    <t>0060W000014oVMDQA2</t>
  </si>
  <si>
    <t>2021-REN-Carnival Corporation &amp; plc</t>
  </si>
  <si>
    <t>0066T000016mW3jQAE</t>
  </si>
  <si>
    <t>2022-REN-Carnival Corporation &amp; plc</t>
  </si>
  <si>
    <t>006VH00000PZm6bYAD</t>
  </si>
  <si>
    <t>2025 - REN - Roots Analytics</t>
  </si>
  <si>
    <t>006VH00000dYpknYAC</t>
  </si>
  <si>
    <t>2026 - REN - Roots Analytics</t>
  </si>
  <si>
    <t>0066T00001EJqoLQAT</t>
  </si>
  <si>
    <t>2024 - REN - Roots Analytics</t>
  </si>
  <si>
    <t>0066T0000190EQqQAM</t>
  </si>
  <si>
    <t>2023 - REN - Roots Analytics</t>
  </si>
  <si>
    <t>0066T000016k0daQAA</t>
  </si>
  <si>
    <t>2022 - REN - Roots Analytics</t>
  </si>
  <si>
    <t>0066T000017UayhQAC</t>
  </si>
  <si>
    <t>2023 - REN - H&amp;M Group - 1yr with 6mo opt out part 1</t>
  </si>
  <si>
    <t>0066T000016nRnpQAE</t>
  </si>
  <si>
    <t>2023-REN-Sotheby's</t>
  </si>
  <si>
    <t>006VH00000WL0XHYA1</t>
  </si>
  <si>
    <t>2026 - REN - Truist</t>
  </si>
  <si>
    <t>006VH000008HTiZYAW</t>
  </si>
  <si>
    <t>2025 - REN - Truist (year 3 of 3)</t>
  </si>
  <si>
    <t>0066T00001BB26jQAD</t>
  </si>
  <si>
    <t>2024 - REN - Truist - YEAR 2 of 3</t>
  </si>
  <si>
    <t>0066T000018HiLzQAK</t>
  </si>
  <si>
    <t>2023 - REN - PUBLICIS MEDIA ASIA PACIFIC REGIONAL CENTRE</t>
  </si>
  <si>
    <t>0066T000016kB2uQAE</t>
  </si>
  <si>
    <t>2022 - REN - Publicis Groupe (Singapore)</t>
  </si>
  <si>
    <t>0066T000017vm9qQAA</t>
  </si>
  <si>
    <t>2023 - REN - Vision Service Plan</t>
  </si>
  <si>
    <t>0066T00001Cz9EfQAJ</t>
  </si>
  <si>
    <t>2024 - REN - Indegene</t>
  </si>
  <si>
    <t>0066T000016kHYkQAM</t>
  </si>
  <si>
    <t>2022 - REN - Indegene</t>
  </si>
  <si>
    <t>0066T000016nRfbQAE</t>
  </si>
  <si>
    <t>2023 - REN - Land O' Lakes</t>
  </si>
  <si>
    <t>006VH000000xeflYAA</t>
  </si>
  <si>
    <t>2025 - REN - Frontdoor</t>
  </si>
  <si>
    <t>0066T000016mw6yQAA</t>
  </si>
  <si>
    <t>2024-REN-Elsevier "Global"</t>
  </si>
  <si>
    <t>006VH00000RSTfUYAX</t>
  </si>
  <si>
    <t>2025 - REN - RELX Group</t>
  </si>
  <si>
    <t>006VH00000gF6JVYA0</t>
  </si>
  <si>
    <t>2026 - REN - RELX Group</t>
  </si>
  <si>
    <t>0066T000017Txm2QAC</t>
  </si>
  <si>
    <t>2023 - REN - Lumen</t>
  </si>
  <si>
    <t>0060W000014nR1IQAU</t>
  </si>
  <si>
    <t>2021-REN- Sub Zero via H3 Insights</t>
  </si>
  <si>
    <t>0066T000016mE3cQAE</t>
  </si>
  <si>
    <t>2022-REN- Sub Zero via H3 Insights</t>
  </si>
  <si>
    <t>0066T000018zHXNQA2</t>
  </si>
  <si>
    <t>2023 - REN - Apple</t>
  </si>
  <si>
    <t>006VH00000PYOsmYAH</t>
  </si>
  <si>
    <t>2025 - REN - Apple</t>
  </si>
  <si>
    <t>0066T00001CNG92QAH</t>
  </si>
  <si>
    <t>2024 - REN - Apple</t>
  </si>
  <si>
    <t>006VH000002Fvw8YAC</t>
  </si>
  <si>
    <t>2024 - REN - Navy Federal Credit Union</t>
  </si>
  <si>
    <t>0066T000016mqtOQAQ</t>
  </si>
  <si>
    <t>2024 - REN - Security Service Federal Credit Union</t>
  </si>
  <si>
    <t>006VH00000Pxda1YAB</t>
  </si>
  <si>
    <t>2025 - REN - Dignity Health</t>
  </si>
  <si>
    <t>0066T000017woRDQAY</t>
  </si>
  <si>
    <t>2023 - REN - Dignity Health</t>
  </si>
  <si>
    <t>006VH00000ei9dFYAQ</t>
  </si>
  <si>
    <t>2026 - REN - Dignity Health</t>
  </si>
  <si>
    <t>0066T00001EK2rPQAT</t>
  </si>
  <si>
    <t>2024 - REN - Dignity Health</t>
  </si>
  <si>
    <t>0066T00001C9QniQAF</t>
  </si>
  <si>
    <t>2025 - REN - Ferguson</t>
  </si>
  <si>
    <t>0066T000017V1vnQAC</t>
  </si>
  <si>
    <t>2023 - REN - ASICS via Tealium</t>
  </si>
  <si>
    <t>0060W00000zOeGGQA0</t>
  </si>
  <si>
    <t>2021-REN-Michigan Lottery</t>
  </si>
  <si>
    <t>006VH00000f9sO9YAI</t>
  </si>
  <si>
    <t>2027 - REN - SevenOne Media</t>
  </si>
  <si>
    <t>0066T00001Cya9nQAB</t>
  </si>
  <si>
    <t>2024 - REN - MSC Industrial Supply</t>
  </si>
  <si>
    <t>006VH00000Omhw5YAB</t>
  </si>
  <si>
    <t>2025 - REN - MSC Industrial Supply</t>
  </si>
  <si>
    <t>006VH00000cCO8jYAG</t>
  </si>
  <si>
    <t>2026 - REN - MSC Industrial Supply</t>
  </si>
  <si>
    <t>0060W0000136rvgQAA</t>
  </si>
  <si>
    <t>2022 - REN - LDS Church</t>
  </si>
  <si>
    <t>0066T000017VkHlQAK</t>
  </si>
  <si>
    <t>2023 - REN - LDS Church</t>
  </si>
  <si>
    <t>0066T000017VYncQAG</t>
  </si>
  <si>
    <t>2023 - REN - FTX</t>
  </si>
  <si>
    <t>006VH000002hMhBYAU</t>
  </si>
  <si>
    <t>2025 - REN - Direct Line Group</t>
  </si>
  <si>
    <t>006VH00000BeDEjYAN</t>
  </si>
  <si>
    <t>2025 - REN - HP Inc - 6mo Ext</t>
  </si>
  <si>
    <t>006VH00000XXiIiYAL</t>
  </si>
  <si>
    <t>2025 - REN - HP Inc</t>
  </si>
  <si>
    <t>006VH000001a2AnYAI</t>
  </si>
  <si>
    <t>2024 - REN - Cambia Health Solutions</t>
  </si>
  <si>
    <t>0066T00001ACufYQAT</t>
  </si>
  <si>
    <t>2023 - REN - Ace Group</t>
  </si>
  <si>
    <t>006VH000001UaLjYAK</t>
  </si>
  <si>
    <t>2024 - REN - Ace Group</t>
  </si>
  <si>
    <t>0066T000016lispQAA</t>
  </si>
  <si>
    <t>2022-REN-American Century</t>
  </si>
  <si>
    <t>006VH00000aeWFlYAM</t>
  </si>
  <si>
    <t>2026 - REN - Civic Data</t>
  </si>
  <si>
    <t>0066T000017XqT3QAK</t>
  </si>
  <si>
    <t>2023 - REN - Barclays US - Tech Gov &amp; Privacy</t>
  </si>
  <si>
    <t>0066T00001B9NzRQAV</t>
  </si>
  <si>
    <t>2023 - REN - H&amp;M Group - 1yr with 6mo opt out Part 2</t>
  </si>
  <si>
    <t>0066T00001AEEeJQAX</t>
  </si>
  <si>
    <t>2024 - REN - Financial Times</t>
  </si>
  <si>
    <t>0066T000018zdmVQAQ</t>
  </si>
  <si>
    <t>2023 - REN - Microsoft</t>
  </si>
  <si>
    <t>006VH00000V6Gt4YAF</t>
  </si>
  <si>
    <t>2026 - REN - 1&amp;1 Internet</t>
  </si>
  <si>
    <t>0066T000017vtphQAA</t>
  </si>
  <si>
    <t>2023 - REN - Citi</t>
  </si>
  <si>
    <t>006VH00000ShfChYAJ</t>
  </si>
  <si>
    <t>2025 - REN - Citi (APP: 601)</t>
  </si>
  <si>
    <t>0066T000017VaDFQA0</t>
  </si>
  <si>
    <t>2023 - REN - Room &amp; Board</t>
  </si>
  <si>
    <t>006VH0000036dbFYAQ</t>
  </si>
  <si>
    <t>2026 - REN - Room &amp; Board</t>
  </si>
  <si>
    <t>0060W000012T0gxQAC</t>
  </si>
  <si>
    <t>2022 - REN - Optum.com - Web</t>
  </si>
  <si>
    <t>0066T000017W2vJQAS</t>
  </si>
  <si>
    <t>2024 - REN - Optum.com - Web</t>
  </si>
  <si>
    <t>0066T00001AEtxhQAD</t>
  </si>
  <si>
    <t>2023 - REN - Volkswagen</t>
  </si>
  <si>
    <t>006VH00000P7Sm0YAF</t>
  </si>
  <si>
    <t>2025 - REN - Volkswagen</t>
  </si>
  <si>
    <t>006VH00000hjF29YAE</t>
  </si>
  <si>
    <t>2026 - REN - Volkswagen</t>
  </si>
  <si>
    <t>0066T000017WnBoQAK</t>
  </si>
  <si>
    <t>2025 - REN - Sallie Mae</t>
  </si>
  <si>
    <t>006VH00000U45sfYAB</t>
  </si>
  <si>
    <t>2026 - REN - Target</t>
  </si>
  <si>
    <t>0066T00001BB9DnQAL</t>
  </si>
  <si>
    <t>2024 - REN - Robert Half International</t>
  </si>
  <si>
    <t>006VH00000W3o14YAB</t>
  </si>
  <si>
    <t>2026 - REN - Robert Half International</t>
  </si>
  <si>
    <t>006VH000008xk5RYAQ</t>
  </si>
  <si>
    <t>2025 - REN - Robert Half International</t>
  </si>
  <si>
    <t>0066T00001BA5XOQA1</t>
  </si>
  <si>
    <t>2024 - REN - JPMorgan Chase</t>
  </si>
  <si>
    <t>006VH00000Wha2bYAB</t>
  </si>
  <si>
    <t>2026 - REN - JPMorgan Chase</t>
  </si>
  <si>
    <t>0066T00001AEUO0QAP</t>
  </si>
  <si>
    <t>2024 - REN - Brittany Ferries</t>
  </si>
  <si>
    <t>006VH000002ezIBYAY</t>
  </si>
  <si>
    <t>2025 - REN - Brittany Ferries</t>
  </si>
  <si>
    <t>0066T00001BBK1kQAH</t>
  </si>
  <si>
    <t>2024 - REN - MSG Networks</t>
  </si>
  <si>
    <t>006VH00000Yal8EYAR</t>
  </si>
  <si>
    <t>2026 - REN - Canon Europe</t>
  </si>
  <si>
    <t>006VH00000QIt5VYAT</t>
  </si>
  <si>
    <t>2025 - REN - Three</t>
  </si>
  <si>
    <t>006VH00000RjzW1YAJ</t>
  </si>
  <si>
    <t>2025 - REN - Alliance for Audited Media</t>
  </si>
  <si>
    <t>006VH0000025GUTYA2</t>
  </si>
  <si>
    <t>2024 - REN - UNICEF</t>
  </si>
  <si>
    <t>006VH00000gFSWrYAO</t>
  </si>
  <si>
    <t>2026 - REN - Protiviti</t>
  </si>
  <si>
    <t>006VH00000c6fPEYAY</t>
  </si>
  <si>
    <t>2026 - REN - Otsuka</t>
  </si>
  <si>
    <t>006VH000000NfP3YAK</t>
  </si>
  <si>
    <t>2024 - REN - UnitedHealth Group</t>
  </si>
  <si>
    <t>0066T000016GbpvQAC</t>
  </si>
  <si>
    <t>2022-REN-Rodan + Fields</t>
  </si>
  <si>
    <t>006VH00000JsxpoYAB</t>
  </si>
  <si>
    <t>2025 - REN - Okta</t>
  </si>
  <si>
    <t>0066T00001AEWgmQAH</t>
  </si>
  <si>
    <t>2024 - REN - Alcon</t>
  </si>
  <si>
    <t>006VH00000BA6diYAD</t>
  </si>
  <si>
    <t>2025 - REN - Salesforce</t>
  </si>
  <si>
    <t>006VH00000WiJsaYAF</t>
  </si>
  <si>
    <t>2026 - REN - Salesforce</t>
  </si>
  <si>
    <t>0066T000017XfFZQA0</t>
  </si>
  <si>
    <t>2023 - REN - MSG Networks</t>
  </si>
  <si>
    <t>0066T000017Xn2PQAS</t>
  </si>
  <si>
    <t>2023 - REN - Western Union</t>
  </si>
  <si>
    <t>0066T00001ACdPMQA1</t>
  </si>
  <si>
    <t>2023 - REN - MediaMonks</t>
  </si>
  <si>
    <t>0066T000017UNyLQAW</t>
  </si>
  <si>
    <t>2023-REN-REI</t>
  </si>
  <si>
    <t>0066T00001AE4GoQAL</t>
  </si>
  <si>
    <t>2024 - REN - REI</t>
  </si>
  <si>
    <t>0060W000014oOONQA2</t>
  </si>
  <si>
    <t>2023 - REN - Torrid</t>
  </si>
  <si>
    <t>006VH000003rewsYAA</t>
  </si>
  <si>
    <t>2025 - REN - Torrid</t>
  </si>
  <si>
    <t>0066T00001ACGJEQA5</t>
  </si>
  <si>
    <t>2024 - REN - Torrid</t>
  </si>
  <si>
    <t>0066T00001BB1C2QAL</t>
  </si>
  <si>
    <t>2024 - REN - Eli Lilly</t>
  </si>
  <si>
    <t>006VH00000VaVMnYAN</t>
  </si>
  <si>
    <t>2026 - REN - Eli Lilly</t>
  </si>
  <si>
    <t>0066T00001CMnCAQA1</t>
  </si>
  <si>
    <t>2024 - REN - DMPG</t>
  </si>
  <si>
    <t>0066T000018HnFSQA0</t>
  </si>
  <si>
    <t>2023 - REN - K12</t>
  </si>
  <si>
    <t>0066T000018GeWAQA0</t>
  </si>
  <si>
    <t>2024 - REN - Springer Nature</t>
  </si>
  <si>
    <t>0066T000018HHVSQA4</t>
  </si>
  <si>
    <t>2023 - REN - Follett</t>
  </si>
  <si>
    <t>006VH00000Be74UYAR</t>
  </si>
  <si>
    <t>2025 - REN - Eli Lilly</t>
  </si>
  <si>
    <t>0066T000017vy1WQAQ</t>
  </si>
  <si>
    <t>2023 - REN - Laughlin Constable</t>
  </si>
  <si>
    <t>0066T00001EK7fyQAD</t>
  </si>
  <si>
    <t>2024 - REN - Laughlin Constable</t>
  </si>
  <si>
    <t>006VH000001IymjYAC</t>
  </si>
  <si>
    <t>2024 - REN - PGA TOUR</t>
  </si>
  <si>
    <t>006VH00000RezV4YAJ</t>
  </si>
  <si>
    <t>2025 - REN - PGA TOUR</t>
  </si>
  <si>
    <t>006VH00000gFR7lYAG</t>
  </si>
  <si>
    <t>2026 - REN - PGA TOUR</t>
  </si>
  <si>
    <t>0066T000016GVceQAG</t>
  </si>
  <si>
    <t>2022-REN-Lululemon Athletica Inc</t>
  </si>
  <si>
    <t>0066T000018H3K2QAK</t>
  </si>
  <si>
    <t>2023 - REN - The Swiss Colony</t>
  </si>
  <si>
    <t>0066T00001ACyUQQA1</t>
  </si>
  <si>
    <t>2023 - REN - Sub-Zero, Wolf, &amp; Cove</t>
  </si>
  <si>
    <t>006VH00000PZlthYAD</t>
  </si>
  <si>
    <t>2025 - REN - The Salvation Army International</t>
  </si>
  <si>
    <t>006VH00000hYRmdYAG</t>
  </si>
  <si>
    <t>2027 - REN - Drumline</t>
  </si>
  <si>
    <t>006VH000003U8xkYAC</t>
  </si>
  <si>
    <t>2025 - REN - Drumline</t>
  </si>
  <si>
    <t>0066T00001Do7x6QAB</t>
  </si>
  <si>
    <t>2024 - REN - Lerma</t>
  </si>
  <si>
    <t>0066T00001AFpllQAD</t>
  </si>
  <si>
    <t>2024 - REN - Drumline</t>
  </si>
  <si>
    <t>006VH000002eWknYAE</t>
  </si>
  <si>
    <t>2025 - REN - Home Depot</t>
  </si>
  <si>
    <t>0066T000016lrgJQAQ</t>
  </si>
  <si>
    <t>2022-REN-Genentech</t>
  </si>
  <si>
    <t>006VH00000ROOzKYAX</t>
  </si>
  <si>
    <t>2025 - REN - Genentech</t>
  </si>
  <si>
    <t>006VH00000h44kDYAQ</t>
  </si>
  <si>
    <t>2026 - REN - Genentech</t>
  </si>
  <si>
    <t>006VH000005KA8PYAW</t>
  </si>
  <si>
    <t>2026 - REN - Bread Financial</t>
  </si>
  <si>
    <t>0066T00001B8ZY3QAN</t>
  </si>
  <si>
    <t>2024 - REN - Bread Financial</t>
  </si>
  <si>
    <t>0066T000017URU2QAO</t>
  </si>
  <si>
    <t>2023 - REN -Bread Financial</t>
  </si>
  <si>
    <t>0060W000014oOJ8QAM</t>
  </si>
  <si>
    <t>2022 - REN -Alliance Data -  Comenity</t>
  </si>
  <si>
    <t>0066T00001AEaEtQAL</t>
  </si>
  <si>
    <t>2024 - REN - Reo</t>
  </si>
  <si>
    <t>0066T000015qaG7QAI</t>
  </si>
  <si>
    <t>2022 - REN - Dignity Health</t>
  </si>
  <si>
    <t>0066T000017vqP4QAI</t>
  </si>
  <si>
    <t>2023 - REN - Darden Restaurants</t>
  </si>
  <si>
    <t>006VH00000eKXiLYAW</t>
  </si>
  <si>
    <t>2026 - REN - UPMC</t>
  </si>
  <si>
    <t>006VH00000TtLmHYAV</t>
  </si>
  <si>
    <t>2026 - REN - The Scotts Co. LLC</t>
  </si>
  <si>
    <t>0066T000018zD3pQAE</t>
  </si>
  <si>
    <t>2023 - REN - McDonald's</t>
  </si>
  <si>
    <t>006VH00000c6dNNYAY</t>
  </si>
  <si>
    <t>2026 - REN - FindLaw</t>
  </si>
  <si>
    <t>006VH000004zOnuYAE</t>
  </si>
  <si>
    <t>2025 - REN - Merz Pharma</t>
  </si>
  <si>
    <t>006VH00000UMli9YAD</t>
  </si>
  <si>
    <t>2026 - REN - Merz Pharma</t>
  </si>
  <si>
    <t>0066T000018HnXkQAK</t>
  </si>
  <si>
    <t>2023 - REN - Canadian Tire Corporation</t>
  </si>
  <si>
    <t>006VH00000LQ8ibYAD</t>
  </si>
  <si>
    <t>2025 - REN - Canadian Tire Corporation</t>
  </si>
  <si>
    <t>0066T000016lOAxQAM</t>
  </si>
  <si>
    <t>2022-REN-Marsh &amp; McLennan Companies</t>
  </si>
  <si>
    <t>0066T00001ACEM2QAP</t>
  </si>
  <si>
    <t>2023 - REN - Saxo Bank</t>
  </si>
  <si>
    <t>006VH00000SaLtqYAF</t>
  </si>
  <si>
    <t>2025 - REN - Saxo Bank</t>
  </si>
  <si>
    <t>006VH000001jwX7YAI</t>
  </si>
  <si>
    <t>2024 - REN - Saxo Bank</t>
  </si>
  <si>
    <t>006VH00000YM1Y9YAL</t>
  </si>
  <si>
    <t>2026 - REN - The Home Depot of Canada</t>
  </si>
  <si>
    <t>0066T000016lTDqQAM</t>
  </si>
  <si>
    <t>2022-REN-Extra Space Storage</t>
  </si>
  <si>
    <t>0066T00001BC0l2QAD</t>
  </si>
  <si>
    <t>2024 - REN - Merck</t>
  </si>
  <si>
    <t>0066T00001B8wa5QAB</t>
  </si>
  <si>
    <t>2023 - REN - Thalys International</t>
  </si>
  <si>
    <t>0066T000017Y2TzQAK</t>
  </si>
  <si>
    <t>2024 - REN - RS Components</t>
  </si>
  <si>
    <t>006VH0000096LcUYAU</t>
  </si>
  <si>
    <t>2025 - REN - RS Components</t>
  </si>
  <si>
    <t>0060W00000vWnouQAC</t>
  </si>
  <si>
    <t>2018 - REN - Acceleration - Wunderman Contract</t>
  </si>
  <si>
    <t>006d000000ZgE4UAAV</t>
  </si>
  <si>
    <t>2014 Renewal - Acceleration</t>
  </si>
  <si>
    <t>006d000000hzTaxAAE</t>
  </si>
  <si>
    <t>2016 Renewal - Acceleration</t>
  </si>
  <si>
    <t>0066T000017Ty6RQAS</t>
  </si>
  <si>
    <t>2023-REN-Acceleration-Wunderman Contract</t>
  </si>
  <si>
    <t>0060W000014UljhQAC</t>
  </si>
  <si>
    <t>2022 - REN - Acceleration - Wunderman Contract</t>
  </si>
  <si>
    <t>0060W000012bBqdQAE</t>
  </si>
  <si>
    <t>2021 - REN - Acceleration - Wunderman Contract</t>
  </si>
  <si>
    <t>0060W00000ztjk1QAA</t>
  </si>
  <si>
    <t>2020 - REN - Acceleration - Wunderman Contract</t>
  </si>
  <si>
    <t>0060W00000wz0E4QAI</t>
  </si>
  <si>
    <t>2019 - REN - Acceleration - Wunderman Contract</t>
  </si>
  <si>
    <t>006VH00000E8FZhYAN</t>
  </si>
  <si>
    <t>0066T000016n7DdQAI</t>
  </si>
  <si>
    <t>2023-REN-Sirius XM</t>
  </si>
  <si>
    <t>0066T00001AE8ACQA1</t>
  </si>
  <si>
    <t>2024 - REN - Land O'Lakes</t>
  </si>
  <si>
    <t>006VH00000hj8YXYAY</t>
  </si>
  <si>
    <t>2027 - REN - Land O'Lakes</t>
  </si>
  <si>
    <t>006VH000002GapZYAS</t>
  </si>
  <si>
    <t>2025 - REN - Land O'Lakes</t>
  </si>
  <si>
    <t>0066T00001DI5HbQAL</t>
  </si>
  <si>
    <t>2024 - REN - H&amp;M Group PART 1 of 6mo opt out</t>
  </si>
  <si>
    <t>006VH00000FZhcbYAD</t>
  </si>
  <si>
    <t>2024 - REN - H&amp;M Group Part 2 of 6mo opt out</t>
  </si>
  <si>
    <t>0060W000014nZp8QAE</t>
  </si>
  <si>
    <t>2024 - REN - Qualcomm</t>
  </si>
  <si>
    <t>0066T000017XxLeQAK</t>
  </si>
  <si>
    <t>2024 - REN - EPSON</t>
  </si>
  <si>
    <t>006VH00000YLr7QYAT</t>
  </si>
  <si>
    <t>2026 - REN - EPSON</t>
  </si>
  <si>
    <t>0060W0000121qRyQAI</t>
  </si>
  <si>
    <t>2020-REN- Sub Zero Wolf Inc</t>
  </si>
  <si>
    <t>0066T000017wkFRQAY</t>
  </si>
  <si>
    <t>2023 - REN - Capital One Financial</t>
  </si>
  <si>
    <t>0066T000018z5I2QAI</t>
  </si>
  <si>
    <t>2024 - REN - CenturyLink</t>
  </si>
  <si>
    <t>0066T00001Do36bQAB</t>
  </si>
  <si>
    <t>2024 - REN - AutoZone</t>
  </si>
  <si>
    <t>0066T0000190wTlQAI</t>
  </si>
  <si>
    <t>2023 - REN - AutoZone</t>
  </si>
  <si>
    <t>0066T000015q8U3QAI</t>
  </si>
  <si>
    <t>2022 - REN - AutoZone</t>
  </si>
  <si>
    <t>0066T00001Dk4LiQAJ</t>
  </si>
  <si>
    <t>2024 - REN - Centers for Medicare &amp; Medicaid Services</t>
  </si>
  <si>
    <t>006VH00000ZN5kWYAT</t>
  </si>
  <si>
    <t>2026 - REN - Astellas Pharma</t>
  </si>
  <si>
    <t>006VH000001jSFkYAM</t>
  </si>
  <si>
    <t>2024 - REN - Swinburne University of Technology</t>
  </si>
  <si>
    <t>006VH00000Pn6FaYAJ</t>
  </si>
  <si>
    <t>2027 - REN - Norwegian Cruise Line</t>
  </si>
  <si>
    <t>006VH00000HgX2bYAF</t>
  </si>
  <si>
    <t>2025 - REN - Deloitte</t>
  </si>
  <si>
    <t>006VH00000QLXGYYA5</t>
  </si>
  <si>
    <t>2026 - REN - Mercedes-Benz AG</t>
  </si>
  <si>
    <t>0066T000018zrJZQAY</t>
  </si>
  <si>
    <t>2023 - REN - The Stable</t>
  </si>
  <si>
    <t>006VH00000RjohAYAR</t>
  </si>
  <si>
    <t>2025 - REN - American Century Investments</t>
  </si>
  <si>
    <t>006VH00000AhoF7YAJ</t>
  </si>
  <si>
    <t>2025 - REN - Lufthansa</t>
  </si>
  <si>
    <t>0066T00001CN1blQAD</t>
  </si>
  <si>
    <t>2024 - REN - Bwin</t>
  </si>
  <si>
    <t>006VH000003UvjtYAC</t>
  </si>
  <si>
    <t>2025 - REN - Massachusetts Medical Society</t>
  </si>
  <si>
    <t>0066T00001BAT0WQAX</t>
  </si>
  <si>
    <t>2024 - REN - Analytics Intelligence</t>
  </si>
  <si>
    <t>0066T0000191Po9QAE</t>
  </si>
  <si>
    <t>2023 - REN - Rolex</t>
  </si>
  <si>
    <t>0066T0000190QksQAE</t>
  </si>
  <si>
    <t>2023 - REN - Discovery Ltd</t>
  </si>
  <si>
    <t>006VH0000027xdKYAQ</t>
  </si>
  <si>
    <t>2026 - REN - Keurig Dr Pepper</t>
  </si>
  <si>
    <t>0066T00001CzLXqQAN</t>
  </si>
  <si>
    <t>2024 - REN - Citi (App 601)</t>
  </si>
  <si>
    <t>0066T00001CMcjlQAD</t>
  </si>
  <si>
    <t>2026 - REN - Mastercard</t>
  </si>
  <si>
    <t>006VH0000055Lh0YAE</t>
  </si>
  <si>
    <t>2025 - REN - Grainger</t>
  </si>
  <si>
    <t>006VH00000c6mIbYAI</t>
  </si>
  <si>
    <t>2026 - REN - Cardinal Path</t>
  </si>
  <si>
    <t>0066T000017voXnQAI</t>
  </si>
  <si>
    <t>2023 - REN - Endress+Hauser AG</t>
  </si>
  <si>
    <t>006VH00000h3ljCYAQ</t>
  </si>
  <si>
    <t>2026 - REN - Pollard Banknote</t>
  </si>
  <si>
    <t>006VH000002AXpZYAW</t>
  </si>
  <si>
    <t>2024 - REN - PBL OBO The North Carolina Education Lottery</t>
  </si>
  <si>
    <t>0066T00001AEnn0QAD</t>
  </si>
  <si>
    <t>2023 - REN - PBL OBO The North Carolina Education Lottery</t>
  </si>
  <si>
    <t>006VH0000024XdlYAE</t>
  </si>
  <si>
    <t>2025 - REN - Mediacorp Pte Ltd</t>
  </si>
  <si>
    <t>0066T00001DI593QAD</t>
  </si>
  <si>
    <t>2026 - REN - Dassault Systèmes</t>
  </si>
  <si>
    <t>0066T000017Xq0BQAS</t>
  </si>
  <si>
    <t>2023 - REN - Liberty Global</t>
  </si>
  <si>
    <t>006VH00000BnUwHYAV</t>
  </si>
  <si>
    <t>2025 - REN - GroupM Nexus</t>
  </si>
  <si>
    <t>006VH00000hYNZMYA4</t>
  </si>
  <si>
    <t>2027 - REN - Transparent Partners</t>
  </si>
  <si>
    <t>006VH00000TmjevYAB</t>
  </si>
  <si>
    <t>2026 - REN - Transparent Partners</t>
  </si>
  <si>
    <t>006VH00000ADOEtYAP</t>
  </si>
  <si>
    <t>2025 - REN - Sotheby's</t>
  </si>
  <si>
    <t>006VH00000TTkJmYAL</t>
  </si>
  <si>
    <t>2026 - REN - Sotheby's</t>
  </si>
  <si>
    <t>0066T00001BAQnYQAX</t>
  </si>
  <si>
    <t>2024 - REN - ULTA</t>
  </si>
  <si>
    <t>0066T0000191e7KQAQ</t>
  </si>
  <si>
    <t>2022 - REN - Bain &amp; Company (After 3mo Extension)</t>
  </si>
  <si>
    <t>006VH00000THEM5YAP</t>
  </si>
  <si>
    <t>2025 - REN - Bain &amp; Company</t>
  </si>
  <si>
    <t>006VH00000gcYy9YAE</t>
  </si>
  <si>
    <t>2026 - REN - Bain &amp; Company</t>
  </si>
  <si>
    <t>006VH0000036cKDYAY</t>
  </si>
  <si>
    <t>2024 - REN - Bain &amp; Company</t>
  </si>
  <si>
    <t>0066T000018HbHIQA0</t>
  </si>
  <si>
    <t>2023 - REN - Suncorp Group</t>
  </si>
  <si>
    <t>0066T00001EK2MzQAL</t>
  </si>
  <si>
    <t>2024 - REN - Cornerstone Brands</t>
  </si>
  <si>
    <t>006VH00000PFscnYAD</t>
  </si>
  <si>
    <t>2025 - REN - Cornerstone Brands</t>
  </si>
  <si>
    <t>0066T000018Gc9nQAC</t>
  </si>
  <si>
    <t>2023 - REN - Bwin</t>
  </si>
  <si>
    <t>0066T00001B9IqeQAF</t>
  </si>
  <si>
    <t>2024 - REN - Room &amp; Board</t>
  </si>
  <si>
    <t>0066T0000190d4YQAQ</t>
  </si>
  <si>
    <t>2023 - REN - Centers for Medicare &amp; Medicaid Services</t>
  </si>
  <si>
    <t>0066T00001ABrnJQAT</t>
  </si>
  <si>
    <t>2023 - REN - Adobe (Target) - 4561</t>
  </si>
  <si>
    <t>0066T000018yK7mQAE</t>
  </si>
  <si>
    <t>2022 - REN EXP - Adobe (Target)</t>
  </si>
  <si>
    <t>006VH000000xDvhYAE</t>
  </si>
  <si>
    <t>2024 - REN - Adobe (TARGET) - 4561</t>
  </si>
  <si>
    <t>0066T0000191LULQA2</t>
  </si>
  <si>
    <t>2023 - REN - 120Feet</t>
  </si>
  <si>
    <t>0066T0000190ncsQAA</t>
  </si>
  <si>
    <t>2023 - REN - Roche</t>
  </si>
  <si>
    <t>006VH00000bY2eqYAC</t>
  </si>
  <si>
    <t>2026 - REN - Roche</t>
  </si>
  <si>
    <t>0066T00001DORnxQAH</t>
  </si>
  <si>
    <t>2024 - REN - Roche</t>
  </si>
  <si>
    <t>0066T000018I3NnQAK</t>
  </si>
  <si>
    <t>2023 - REN - Sarani</t>
  </si>
  <si>
    <t>0066T00001DHn4pQAD</t>
  </si>
  <si>
    <t>2024 - REN - Sarani</t>
  </si>
  <si>
    <t>0066T00001CMuajQAD</t>
  </si>
  <si>
    <t>2024 - REN - Duke Health</t>
  </si>
  <si>
    <t>0060W0000123Br8QAE</t>
  </si>
  <si>
    <t>2021 Renewal - Co-operative Bank</t>
  </si>
  <si>
    <t>0060W00000wyHYyQAM</t>
  </si>
  <si>
    <t>2020 Renewal - Co-operative Bank</t>
  </si>
  <si>
    <t>006VH00000ZeZm5YAF</t>
  </si>
  <si>
    <t>2026 - REN - Harvard Business Review</t>
  </si>
  <si>
    <t>0066T00001ACdbCQAT</t>
  </si>
  <si>
    <t>2023 - REN - Bain &amp; Company</t>
  </si>
  <si>
    <t>0066T00001EK2p9QAD</t>
  </si>
  <si>
    <t>2024 - REN - Inspire Brands</t>
  </si>
  <si>
    <t>006VH00000GJIPpYAP</t>
  </si>
  <si>
    <t>2025 - REN - Cotiviti</t>
  </si>
  <si>
    <t>006VH00000Ahd6nYAB</t>
  </si>
  <si>
    <t>2024 - REN - Capital One Financial</t>
  </si>
  <si>
    <t>0066T00001Cz9EeQAJ</t>
  </si>
  <si>
    <t>2024 - REN - Boston Scientific</t>
  </si>
  <si>
    <t>006VH00000KKLG7YAP</t>
  </si>
  <si>
    <t>2024 - REN - AstraZeneca PRIVACY</t>
  </si>
  <si>
    <t>006VH0000045lP3YAI</t>
  </si>
  <si>
    <t>2026 - REN - AstraZeneca</t>
  </si>
  <si>
    <t>0066T00001DnqGaQAJ</t>
  </si>
  <si>
    <t>2024 - REN - 120Feet</t>
  </si>
  <si>
    <t>006VH00000Q3v9GYAR</t>
  </si>
  <si>
    <t>2025 - REN - 120Feet</t>
  </si>
  <si>
    <t>0066T000017wx5oQAA</t>
  </si>
  <si>
    <t>2023 - REN - Genentech</t>
  </si>
  <si>
    <t>0066T00001EK2sDQAT</t>
  </si>
  <si>
    <t>2024 - REN - Genentech</t>
  </si>
  <si>
    <t>006VH00000WpK0hYAF</t>
  </si>
  <si>
    <t>2026 - REN - Adobe (APP ID: 10672) Adobe Digital Strategies and Solutions</t>
  </si>
  <si>
    <t>0060W00000zNz0lQAC</t>
  </si>
  <si>
    <t>2020 Renewal - Elanco Europe</t>
  </si>
  <si>
    <t>006VH00000cCRcrYAG</t>
  </si>
  <si>
    <t>2027 - REN - Elanco</t>
  </si>
  <si>
    <t>0066T00001EJklxQAD</t>
  </si>
  <si>
    <t>2025 - REN - Elanco</t>
  </si>
  <si>
    <t>0060W000014aqzwQAA</t>
  </si>
  <si>
    <t>2023 - REN - Elanco Europe</t>
  </si>
  <si>
    <t>0066T00001Do39KQAR</t>
  </si>
  <si>
    <t>2025 - REN - Financial Times</t>
  </si>
  <si>
    <t>0066T000016nR8cQAE</t>
  </si>
  <si>
    <t>2023-REN-Whitbread</t>
  </si>
  <si>
    <t>0066T00001B9Pq1QAF</t>
  </si>
  <si>
    <t>2024 - REN - Whitbread Group</t>
  </si>
  <si>
    <t>006VH000003XXziYAG</t>
  </si>
  <si>
    <t>2025 - REN - Adobe (TAM 10588)</t>
  </si>
  <si>
    <t>0066T00001ACme7QAD</t>
  </si>
  <si>
    <t>2023 - REN - Deluxe</t>
  </si>
  <si>
    <t>006VH00000PZmWPYA1</t>
  </si>
  <si>
    <t>2025 - REN - Deluxe</t>
  </si>
  <si>
    <t>006VH00000h45egYAA</t>
  </si>
  <si>
    <t>2026 - REN - Deluxe</t>
  </si>
  <si>
    <t>006VH000000SA7hYAG</t>
  </si>
  <si>
    <t>2024 - REN - Deluxe</t>
  </si>
  <si>
    <t>0066T00001ACrzgQAD</t>
  </si>
  <si>
    <t>2024 - REN - Ramsey</t>
  </si>
  <si>
    <t>0066T000016kiwZQAQ</t>
  </si>
  <si>
    <t>2022 - REN - ESI Media</t>
  </si>
  <si>
    <t>0060W00000zNxtSQAS</t>
  </si>
  <si>
    <t>2021 Renewal - ESI Media</t>
  </si>
  <si>
    <t>006VH00000grCUHYA2</t>
  </si>
  <si>
    <t>2027 - REN - UBS</t>
  </si>
  <si>
    <t>006VH00000UWbKwYAL</t>
  </si>
  <si>
    <t>2026 - REN - UBS</t>
  </si>
  <si>
    <t>006VH000003LUKnYAO</t>
  </si>
  <si>
    <t>2025 - REN - Allianz</t>
  </si>
  <si>
    <t>006VH00000bJ7TXYA0</t>
  </si>
  <si>
    <t>2027 - REN - SolarWinds</t>
  </si>
  <si>
    <t>0066T0000190w6MQAQ</t>
  </si>
  <si>
    <t>2023 - REN - Emeritus</t>
  </si>
  <si>
    <t>0066T00001AFpvCQAT</t>
  </si>
  <si>
    <t>2024 - REN - AT&amp;T</t>
  </si>
  <si>
    <t>006VH0000027xYUYAY</t>
  </si>
  <si>
    <t>2025 - REN - Ramsey</t>
  </si>
  <si>
    <t>0066T00001EK2QmQAL</t>
  </si>
  <si>
    <t>2024 - REN - Protiviti</t>
  </si>
  <si>
    <t>0066T00001Dk4MmQAJ</t>
  </si>
  <si>
    <t>2024 - REN - The Salvation Army International</t>
  </si>
  <si>
    <t>006VH00000QLbVUYA1</t>
  </si>
  <si>
    <t>2025 - REN - Healthgrades</t>
  </si>
  <si>
    <t>0066T000017wVWpQAM</t>
  </si>
  <si>
    <t>2023 - REN - ALDI Süd</t>
  </si>
  <si>
    <t>0066T000018HNhVQAW</t>
  </si>
  <si>
    <t>2023 - REN - Astellas Pharma</t>
  </si>
  <si>
    <t>0066T000015qFroQAE</t>
  </si>
  <si>
    <t>2022 - REN - OptumRx</t>
  </si>
  <si>
    <t>0066T00001ACsA5QAL</t>
  </si>
  <si>
    <t>2023 - REN - OptumRx</t>
  </si>
  <si>
    <t>0066T000016kJAgQAM</t>
  </si>
  <si>
    <t>2023 - REN - JM Family</t>
  </si>
  <si>
    <t>006VH00000e3aEPYAY</t>
  </si>
  <si>
    <t>2027 - REN - JM Family Enterprises</t>
  </si>
  <si>
    <t>0066T00001DnsEJQAZ</t>
  </si>
  <si>
    <t>2025 - REN - JM Family Enterprises</t>
  </si>
  <si>
    <t>0066T00001ACsPJQA1</t>
  </si>
  <si>
    <t>2023 - REN - Carmichael Lynch OBO Subaru</t>
  </si>
  <si>
    <t>0066T00001C9SLCQA3</t>
  </si>
  <si>
    <t>2024 - REN - Astellas Pharma</t>
  </si>
  <si>
    <t>006VH00000ONys5YAD</t>
  </si>
  <si>
    <t>2025 - REN - Otsuka</t>
  </si>
  <si>
    <t>0066T00001EK2jaQAD</t>
  </si>
  <si>
    <t>2024 - REN - Otsuka</t>
  </si>
  <si>
    <t>006VH000005PH4RYAW</t>
  </si>
  <si>
    <t>2025 - REN - Four Seasons Hotels</t>
  </si>
  <si>
    <t>006VH00000V9vN1YAJ</t>
  </si>
  <si>
    <t>2026 - REN - Four Seasons Hotels</t>
  </si>
  <si>
    <t>0066T000017VqsvQAC</t>
  </si>
  <si>
    <t>2023-REN-Agilent</t>
  </si>
  <si>
    <t>006VH00000WSqCYYA1</t>
  </si>
  <si>
    <t>2026 - REN - Agilent</t>
  </si>
  <si>
    <t>006VH000008HXXdYAO</t>
  </si>
  <si>
    <t>2025 - REN - Agilent</t>
  </si>
  <si>
    <t>0066T00001AEe9cQAD</t>
  </si>
  <si>
    <t>2023 - REN - FCA Group</t>
  </si>
  <si>
    <t>006VH00000T98CBYAZ</t>
  </si>
  <si>
    <t>2025 - REN - FCA Group</t>
  </si>
  <si>
    <t>006VH00000gz12DYAQ</t>
  </si>
  <si>
    <t>2026 - REN - FCA Group</t>
  </si>
  <si>
    <t>006VH00000YLz1hYAD</t>
  </si>
  <si>
    <t>2027 - REN - Ferguson</t>
  </si>
  <si>
    <t>0066T00001BBU1QQAX</t>
  </si>
  <si>
    <t>2024 - REN - HP Inc</t>
  </si>
  <si>
    <t>006VH00000h3fIqYAI</t>
  </si>
  <si>
    <t>2026 - REN - Mutual of Omaha</t>
  </si>
  <si>
    <t>006VH00000ApQfSYAV</t>
  </si>
  <si>
    <t>2025 - REN - Accenture BRAZIL</t>
  </si>
  <si>
    <t>006VH00000WKyf8YAD</t>
  </si>
  <si>
    <t>2026 - REN - Accenture</t>
  </si>
  <si>
    <t>0066T00001CNXIeQAP</t>
  </si>
  <si>
    <t>2024 - REN - Follett</t>
  </si>
  <si>
    <t>006VH00000T9aunYAB</t>
  </si>
  <si>
    <t>2026 - REN - Amica Mutual Insurance</t>
  </si>
  <si>
    <t>0066T000018yb66QAA</t>
  </si>
  <si>
    <t>2023 - REN - Trainline</t>
  </si>
  <si>
    <t>0066T00001DHnbjQAD</t>
  </si>
  <si>
    <t>2024 - REN - Wunderman Thompson</t>
  </si>
  <si>
    <t>0060W000014oEzjQAE</t>
  </si>
  <si>
    <t>2023-REN-Vodafone-UK</t>
  </si>
  <si>
    <t>006VH00000hp4C6YAI</t>
  </si>
  <si>
    <t>2026 - REN - Inspire Brands</t>
  </si>
  <si>
    <t>006VH00000UvWQ5YAN</t>
  </si>
  <si>
    <t>2026 - REN - Malwarebytes Inc.</t>
  </si>
  <si>
    <t>006VH00000ajWLZYA2</t>
  </si>
  <si>
    <t>2028 - REN - SPIE</t>
  </si>
  <si>
    <t>006VH00000LfzWTYAZ</t>
  </si>
  <si>
    <t>2025 - REN - SPIE</t>
  </si>
  <si>
    <t>0066T00001ADf5vQAD</t>
  </si>
  <si>
    <t>2024 - REN - Direct Line Group</t>
  </si>
  <si>
    <t>0066T000018zD0gQAE</t>
  </si>
  <si>
    <t>2023 - REN - Norwegian Cruise Line</t>
  </si>
  <si>
    <t>0066T00001Dk46FQAR</t>
  </si>
  <si>
    <t>2024 - REN - Norwegian Cruise Line</t>
  </si>
  <si>
    <t>0066T000017vongQAA</t>
  </si>
  <si>
    <t>2024 - REN - Sage</t>
  </si>
  <si>
    <t>0066T000017XUUuQAO</t>
  </si>
  <si>
    <t>2023 - REN - Trakken Web Services</t>
  </si>
  <si>
    <t>006VH00000YM0QnYAL</t>
  </si>
  <si>
    <t>2026 - REN - Trakken</t>
  </si>
  <si>
    <t>006VH00000GQGnvYAH</t>
  </si>
  <si>
    <t>2025 - REN - Trakken</t>
  </si>
  <si>
    <t>0066T00001ACO19QAH</t>
  </si>
  <si>
    <t>2024 - REN - Trakken</t>
  </si>
  <si>
    <t>0066T00001BBTOOQA5</t>
  </si>
  <si>
    <t>2024 - REN - Walgreens Boots Alliance</t>
  </si>
  <si>
    <t>006VH00000Z0WWqYAN</t>
  </si>
  <si>
    <t>2026 - REN - Walgreens Boots Alliance</t>
  </si>
  <si>
    <t>006VH00000FBZmbYAH</t>
  </si>
  <si>
    <t>2025 - REN - Walgreens Boots Alliance</t>
  </si>
  <si>
    <t>0066T00001CNX3JQAX</t>
  </si>
  <si>
    <t>2024 - REN - Verisign</t>
  </si>
  <si>
    <t>006VH00000J2fgsYAB</t>
  </si>
  <si>
    <t>2025 - REN - Verisign</t>
  </si>
  <si>
    <t>0066T0000190nEJQAY</t>
  </si>
  <si>
    <t>2023 - REN - OMD</t>
  </si>
  <si>
    <t>0066T00001CzIYRQA3</t>
  </si>
  <si>
    <t>2024 - REN - OMD</t>
  </si>
  <si>
    <t>0066T00001CyceVQAR</t>
  </si>
  <si>
    <t>2026 - REN - Pure Storage</t>
  </si>
  <si>
    <t>0060W00000y5V4PQAU</t>
  </si>
  <si>
    <t>2019 Renewal - iProspect OBO Specsavers</t>
  </si>
  <si>
    <t>0066T000017wB1jQAE</t>
  </si>
  <si>
    <t>2023 - REN - William Hill</t>
  </si>
  <si>
    <t>006VH000000MPb1YAG</t>
  </si>
  <si>
    <t>2024 - REN - William Hill</t>
  </si>
  <si>
    <t>0066T00001BBIMfQAP</t>
  </si>
  <si>
    <t>2024 - REN - CVS Pharmacy</t>
  </si>
  <si>
    <t>006VH00000ApjTZYAZ</t>
  </si>
  <si>
    <t>2026 - REN - CVS Pharmacy</t>
  </si>
  <si>
    <t>0066T000018FKMaQAO</t>
  </si>
  <si>
    <t>2025 - REN - GORE</t>
  </si>
  <si>
    <t>006VH00000Z7e1NYAR</t>
  </si>
  <si>
    <t>2027 - REN - GORE</t>
  </si>
  <si>
    <t>006VH00000gEDYHYA4</t>
  </si>
  <si>
    <t>2026 - REN - Chartis</t>
  </si>
  <si>
    <t>006VH000001pnanYAA</t>
  </si>
  <si>
    <t>2024 - REN - Chartis</t>
  </si>
  <si>
    <t>006VH00000dF3dXYAS</t>
  </si>
  <si>
    <t>2026 - REN - Western Governors University</t>
  </si>
  <si>
    <t>0066T0000190L9UQAU</t>
  </si>
  <si>
    <t>2024 - REN - UPS</t>
  </si>
  <si>
    <t>0066T00001ADjNYQA1</t>
  </si>
  <si>
    <t>2025 - REN - Providence Health &amp; Services</t>
  </si>
  <si>
    <t>006VH00000UFNnpYAH</t>
  </si>
  <si>
    <t>2028 - REN - Providence Health &amp; Services</t>
  </si>
  <si>
    <t>0066T000018zHbZQAU</t>
  </si>
  <si>
    <t>2023 - REN - MSC Industrial Supply</t>
  </si>
  <si>
    <t>006VH000003HScWYAW</t>
  </si>
  <si>
    <t>2024 - REN - FCA Group</t>
  </si>
  <si>
    <t>0066T00001CNSDAQA5</t>
  </si>
  <si>
    <t>2024 - REN - Discovery Ltd</t>
  </si>
  <si>
    <t>0066T00001Dk4EcQAJ</t>
  </si>
  <si>
    <t>2024 - REN - The Co-operators</t>
  </si>
  <si>
    <t>006VH00000OSoIbYAL</t>
  </si>
  <si>
    <t>2025 - REN - The Co-operators</t>
  </si>
  <si>
    <t>006VH00000OCgNTYA1</t>
  </si>
  <si>
    <t>2025 - REN - McDonald's</t>
  </si>
  <si>
    <t>0066T000018zHTGQA2</t>
  </si>
  <si>
    <t>2023 - REN - PetSmart</t>
  </si>
  <si>
    <t>0066T00001DI5GdQAL</t>
  </si>
  <si>
    <t>2024 - REN - PetSmart</t>
  </si>
  <si>
    <t>0066T00001ACO4DQAX</t>
  </si>
  <si>
    <t>2024 - REN - Allianz</t>
  </si>
  <si>
    <t>006VH00000Shkp4YAB</t>
  </si>
  <si>
    <t>2026 - REN - Allianz</t>
  </si>
  <si>
    <t>006VH00000ApgfPYAR</t>
  </si>
  <si>
    <t>2025 - REN - Lumen</t>
  </si>
  <si>
    <t>006VH00000THPKfYAP</t>
  </si>
  <si>
    <t>2026 - REN - Lumen</t>
  </si>
  <si>
    <t>006VH00000TTo2OYAT</t>
  </si>
  <si>
    <t>2026 - REN - Direct Line Group</t>
  </si>
  <si>
    <t>0066T000015RFZfQAO</t>
  </si>
  <si>
    <t>2023 - REN - FedEx</t>
  </si>
  <si>
    <t>0066T00001C8yIZQAZ</t>
  </si>
  <si>
    <t>2024 - REN - FedEx</t>
  </si>
  <si>
    <t>006VH0000024tMgYAI</t>
  </si>
  <si>
    <t>2025 - REN - Amazon Web Services</t>
  </si>
  <si>
    <t>0066T00001926lKQAQ</t>
  </si>
  <si>
    <t>2023 - REN - Allergan</t>
  </si>
  <si>
    <t>0066T000018Gk5gQAC</t>
  </si>
  <si>
    <t>2023 - REN - Okta</t>
  </si>
  <si>
    <t>0066T00001CzLXpQAN</t>
  </si>
  <si>
    <t>2025 - REN - Compare the Market</t>
  </si>
  <si>
    <t>006VH00000cMGg9YAG</t>
  </si>
  <si>
    <t>2027 - REN - Compare the Market</t>
  </si>
  <si>
    <t>0066T00001AC5qoQAD</t>
  </si>
  <si>
    <t>2023 - REN - PepsiCo</t>
  </si>
  <si>
    <t>006VH000001pmmnYAA</t>
  </si>
  <si>
    <t>2024 - REN - PepsiCo</t>
  </si>
  <si>
    <t>0066T00001BBUWaQAP</t>
  </si>
  <si>
    <t>2024 - REN - Adobe (Business.com)</t>
  </si>
  <si>
    <t>0066T000017vplcQAA</t>
  </si>
  <si>
    <t>2023 - REN - 8th Layer Marketing</t>
  </si>
  <si>
    <t>0066T00001BB66GQAT</t>
  </si>
  <si>
    <t>2024 - REN - La Prairie Group</t>
  </si>
  <si>
    <t>006VH00000ApksgYAB</t>
  </si>
  <si>
    <t>2025 - REN - La Prairie Group</t>
  </si>
  <si>
    <t>0066T00001Dk4NZQAZ</t>
  </si>
  <si>
    <t>2024 - REN - ROI-DNA</t>
  </si>
  <si>
    <t>006VH00000RvPWyYAN</t>
  </si>
  <si>
    <t>2027 - REN - Chubb</t>
  </si>
  <si>
    <t>0066T000018zILLQA2</t>
  </si>
  <si>
    <t>2024 - REN - Mercedes-Benz AG</t>
  </si>
  <si>
    <t>006VH00000XU3bmYAD</t>
  </si>
  <si>
    <t>2026 - REN - Under Armour</t>
  </si>
  <si>
    <t>0066T00001CydbBQAR</t>
  </si>
  <si>
    <t>2024 - REN - SONY 2</t>
  </si>
  <si>
    <t>006VH0000036nifYAA</t>
  </si>
  <si>
    <t>2025 - REN - FSA Store</t>
  </si>
  <si>
    <t>006VH00000BvGmWYAV</t>
  </si>
  <si>
    <t>2025 - REN - BlackRock</t>
  </si>
  <si>
    <t>0066T00001AEqa8QAD</t>
  </si>
  <si>
    <t>2024 - REN - Adobe (TAM)</t>
  </si>
  <si>
    <t>006VH00000THMcxYAH</t>
  </si>
  <si>
    <t>2026 - REN - Adobe (TAM 10588)</t>
  </si>
  <si>
    <t>006VH00000hYUkUYAW</t>
  </si>
  <si>
    <t>2027 - REN - Adobe (TAM 10588)</t>
  </si>
  <si>
    <t>006VH00000hYV2FYAW</t>
  </si>
  <si>
    <t>2027 - REN - Brittany Ferries</t>
  </si>
  <si>
    <t>006VH00000S0OF7YAN</t>
  </si>
  <si>
    <t>2026 - REN - Brittany Ferries</t>
  </si>
  <si>
    <t>0066T00001B8u9SQAR</t>
  </si>
  <si>
    <t>2024 - REN - Lumen</t>
  </si>
  <si>
    <t>006VH00000A5WW9YAN</t>
  </si>
  <si>
    <t>2025 - REN - Adobe Team Digital Strategy &amp; Solutions</t>
  </si>
  <si>
    <t>0066T00001BBUWfQAP</t>
  </si>
  <si>
    <t>2024 - REN - Adobe Team Digital Strategy &amp; Solutions</t>
  </si>
  <si>
    <t>006VH00000TaMZCYA3</t>
  </si>
  <si>
    <t>2027 - REN - Abbott</t>
  </si>
  <si>
    <t>006VH00000gKl93YAC</t>
  </si>
  <si>
    <t>2026 - REN - Sub-Zero, Wolf, &amp; Cove</t>
  </si>
  <si>
    <t>006VH00000SukRRYAZ</t>
  </si>
  <si>
    <t>2026 - REN - Drumline</t>
  </si>
  <si>
    <t>0066T00001ACEHvQAP</t>
  </si>
  <si>
    <t>2023 - REN - The Salvation Army International</t>
  </si>
  <si>
    <t>006VH00000KdvhGYAR</t>
  </si>
  <si>
    <t>2025 - REN - Lululemon Athletica</t>
  </si>
  <si>
    <t>0066T00001CNGFUQA5</t>
  </si>
  <si>
    <t>2024 - REN - Together Financial Services</t>
  </si>
  <si>
    <t>006VH00000KKCr7YAH</t>
  </si>
  <si>
    <t>2025 - REN - Together Financial Services</t>
  </si>
  <si>
    <t>006VH00000fixxdYAA</t>
  </si>
  <si>
    <t>2026 - REN - Carhartt</t>
  </si>
  <si>
    <t>0066T00001CN7BQQA1</t>
  </si>
  <si>
    <t>2024 - REN - WarnerMedia Services, LLC  (Warner Bros. Entertainment)</t>
  </si>
  <si>
    <t>006VH00000XU5AXYA1</t>
  </si>
  <si>
    <t>2026 - REN - European Union</t>
  </si>
  <si>
    <t>0066T00001CN3ZPQA1</t>
  </si>
  <si>
    <t>2025 - REN - The Sun</t>
  </si>
  <si>
    <t>0066T0000190gdYQAQ</t>
  </si>
  <si>
    <t>2023 - REN - Sherwin-Williams</t>
  </si>
  <si>
    <t>006VH00000ONsecYAD</t>
  </si>
  <si>
    <t>2025 - REN - Sherwin-Williams</t>
  </si>
  <si>
    <t>006VH00000bJ9IPYA0</t>
  </si>
  <si>
    <t>2026 - REN - Sherwin-Williams</t>
  </si>
  <si>
    <t>0066T00001DNctzQAD</t>
  </si>
  <si>
    <t>2024 - REN - Sherwin-Williams</t>
  </si>
  <si>
    <t>0066T00001AEwwtQAD</t>
  </si>
  <si>
    <t>2024 - REN - MJH Life Sciences</t>
  </si>
  <si>
    <t>006VH000002eTv1YAE</t>
  </si>
  <si>
    <t>2025 - REN - MJH Life Sciences</t>
  </si>
  <si>
    <t>0066T00001AC5wuQAD</t>
  </si>
  <si>
    <t>2023 - REN - Charles Schwab</t>
  </si>
  <si>
    <t>006VH00000FU8vZYAT</t>
  </si>
  <si>
    <t>2025 - REN - Charles Schwab</t>
  </si>
  <si>
    <t>006VH00000ONvnvYAD</t>
  </si>
  <si>
    <t>2025 - REN - ROI-DNA</t>
  </si>
  <si>
    <t>0066T0000191noUQAQ</t>
  </si>
  <si>
    <t>2023 - REN - PGA TOUR</t>
  </si>
  <si>
    <t>0066T00001CN3bkQAD</t>
  </si>
  <si>
    <t>2024 - REN - BRP</t>
  </si>
  <si>
    <t>006VH00000gz1NBYAY</t>
  </si>
  <si>
    <t>2027 - REN - Zenni Optical</t>
  </si>
  <si>
    <t>0066T00001DkFgYQAV</t>
  </si>
  <si>
    <t>2024 - REN - ALDI Süd</t>
  </si>
  <si>
    <t>006VH00000N6iqjYAB</t>
  </si>
  <si>
    <t>2026 - REN - ALDI Süd</t>
  </si>
  <si>
    <t>0066T000017x5YFQAY</t>
  </si>
  <si>
    <t>2023 - REN - Visible Systems</t>
  </si>
  <si>
    <t>0066T00001CyvUUQAZ</t>
  </si>
  <si>
    <t>2024 - REN - Citi</t>
  </si>
  <si>
    <t>0066T00001AC8qAQAT</t>
  </si>
  <si>
    <t>2024 - REN - GlaxoSmithKline</t>
  </si>
  <si>
    <t>006VH00000WKuV5YAL</t>
  </si>
  <si>
    <t>2026 - REN - Analytics Intelligence</t>
  </si>
  <si>
    <t>0060W000013r6r5QAA</t>
  </si>
  <si>
    <t>2023-REN-Dassault Systemes-WebAssurance</t>
  </si>
  <si>
    <t>006VH000002Aff7YAC</t>
  </si>
  <si>
    <t>2024 - REN - Chipotle Mexican Grill</t>
  </si>
  <si>
    <t>0066T00001BABF3QAP</t>
  </si>
  <si>
    <t>2024 - REN - Dotdash</t>
  </si>
  <si>
    <t>006VH00000GC2G9YAL</t>
  </si>
  <si>
    <t>2025 - REN - Harvard Business Review</t>
  </si>
  <si>
    <t>006VH00000gFFeWYAW</t>
  </si>
  <si>
    <t>2026 - REN - NP Digital</t>
  </si>
  <si>
    <t>006VH000001UtjFYAS</t>
  </si>
  <si>
    <t>2024 - REN - NP Digital</t>
  </si>
  <si>
    <t>0066T00001BBKWYQA5</t>
  </si>
  <si>
    <t>2024 - REN - Mitsubishi Motors</t>
  </si>
  <si>
    <t>0066T00001CzLlMQAV</t>
  </si>
  <si>
    <t>2024 - REN - Immobilien Scout</t>
  </si>
  <si>
    <t>006VH00000Rf4bBYAR</t>
  </si>
  <si>
    <t>2025 - REN - NP Digital</t>
  </si>
  <si>
    <t>006VH00000A5Y6ZYAV</t>
  </si>
  <si>
    <t>2025 - REN - Solvation</t>
  </si>
  <si>
    <t>006VH00000aeVJhYAM</t>
  </si>
  <si>
    <t>2026 - REN - Aktion Mensch</t>
  </si>
  <si>
    <t>006VH00000Zhb3NYAR</t>
  </si>
  <si>
    <t>2026 - REN - Okta</t>
  </si>
  <si>
    <t>006VH0000045vOMYAY</t>
  </si>
  <si>
    <t>2025 - REN - Berkeley Research Group</t>
  </si>
  <si>
    <t>006VH000007abD9YAI</t>
  </si>
  <si>
    <t>2025 - REN - RCS MediaGroup</t>
  </si>
  <si>
    <t>006VH00000VuN4yYAF</t>
  </si>
  <si>
    <t>2026 - REN - RCS MediaGroup</t>
  </si>
  <si>
    <t>006VH00000WKzrLYAT</t>
  </si>
  <si>
    <t>2026 - REN - Solvation</t>
  </si>
  <si>
    <t>0066T00001C8yctQAB</t>
  </si>
  <si>
    <t>2024 - REN - Walker Analytics</t>
  </si>
  <si>
    <t>0066T00001DnwLyQAJ</t>
  </si>
  <si>
    <t>2024 - REN - Adobe (Experience League Domains)</t>
  </si>
  <si>
    <t>006VH00000SuK3xYAF</t>
  </si>
  <si>
    <t>2025 - REN - Prudential Financial Inc.</t>
  </si>
  <si>
    <t>006VH00000gKc8zYAC</t>
  </si>
  <si>
    <t>2026 - REN - Prudential Financial Inc.</t>
  </si>
  <si>
    <t>006VH00000TpsVWYAZ</t>
  </si>
  <si>
    <t>2026 - REN - Puma</t>
  </si>
  <si>
    <t>006VH00000Rxu6fYAB</t>
  </si>
  <si>
    <t>2025 - REN - Banco BPI</t>
  </si>
  <si>
    <t>0066T00001BBQpJQAX</t>
  </si>
  <si>
    <t>2024 - REN - Cox Automotive</t>
  </si>
  <si>
    <t>006VH0000076nurYAA</t>
  </si>
  <si>
    <t>2025 - REN - Cox Automotive</t>
  </si>
  <si>
    <t>0066T00001DkNg2QAF</t>
  </si>
  <si>
    <t>2024 - REN - Google (Marketing - 15134)</t>
  </si>
  <si>
    <t>006VH000004sbGSYAY</t>
  </si>
  <si>
    <t>2024 - REN - Google (Cloud - 1467)</t>
  </si>
  <si>
    <t>0066T00001CNvcRQAT</t>
  </si>
  <si>
    <t>2024 - REN - GM Financial</t>
  </si>
  <si>
    <t>006VH00000JzGGDYA3</t>
  </si>
  <si>
    <t>2025 - REN - GM Financial</t>
  </si>
  <si>
    <t>006VH00000a9jIvYAI</t>
  </si>
  <si>
    <t>2026 - REN - GM Financial</t>
  </si>
  <si>
    <t>0066T00001BB4efQAD</t>
  </si>
  <si>
    <t>2024 - REN - Under Armour</t>
  </si>
  <si>
    <t>0066T000018HCUdQAO</t>
  </si>
  <si>
    <t>2024 - REN - British Airways</t>
  </si>
  <si>
    <t>006VH00000aaIEbYAM</t>
  </si>
  <si>
    <t>2025 - REN - British Airways (Part 2)</t>
  </si>
  <si>
    <t>0066T00001AFFGLQA5</t>
  </si>
  <si>
    <t>2024 - REN - Puma</t>
  </si>
  <si>
    <t>006VH000004VEfVYAW</t>
  </si>
  <si>
    <t>2025 - REN - Puma</t>
  </si>
  <si>
    <t>0066T00001C9QogQAF</t>
  </si>
  <si>
    <t>2024 - REN - REA Group</t>
  </si>
  <si>
    <t>0066T00001CO8l1QAD</t>
  </si>
  <si>
    <t>2024 - REN - Cotiviti</t>
  </si>
  <si>
    <t>0066T00001DnqAhQAJ</t>
  </si>
  <si>
    <t>2024 - REN - Whirlpool</t>
  </si>
  <si>
    <t>0066T00001CN1XZQA1</t>
  </si>
  <si>
    <t>2024 - REN - Microsoft</t>
  </si>
  <si>
    <t>006VH00000akD2LYAU</t>
  </si>
  <si>
    <t>2026 - REN - Microsoft</t>
  </si>
  <si>
    <t>0066T00001BAQtlQAH</t>
  </si>
  <si>
    <t>2025 - REN - Centene</t>
  </si>
  <si>
    <t>0066T00001CNq7CQAT</t>
  </si>
  <si>
    <t>2024 - REN - McDonald's</t>
  </si>
  <si>
    <t>0066T00001EJyTpQAL</t>
  </si>
  <si>
    <t>2024 - REN - Three</t>
  </si>
  <si>
    <t>006VH000000pCgmYAE</t>
  </si>
  <si>
    <t>2024 - REN - Encompass Health</t>
  </si>
  <si>
    <t>006VH00000QoPVhYAN</t>
  </si>
  <si>
    <t>2025 - REN - Encompass Health</t>
  </si>
  <si>
    <t>0066T00001DNcimQAD</t>
  </si>
  <si>
    <t>2024 - REN - Woolworths Group</t>
  </si>
  <si>
    <t>006VH00000M7t1VYAR</t>
  </si>
  <si>
    <t>2025 - REN - Woolworths Group</t>
  </si>
  <si>
    <t>006VH00000aMlQ9YAK</t>
  </si>
  <si>
    <t>2026 - REN - Woolworths Group</t>
  </si>
  <si>
    <t>006VH00000aQgrhYAC</t>
  </si>
  <si>
    <t>2026 - REN - Together Financial Services</t>
  </si>
  <si>
    <t>0066T00001EJtAHQA1</t>
  </si>
  <si>
    <t>2024 - REN - Latchmill</t>
  </si>
  <si>
    <t>006VH00000OzOikYAF</t>
  </si>
  <si>
    <t>2025 - REN - Latchmill</t>
  </si>
  <si>
    <t>006VH00000gTzuLYAS</t>
  </si>
  <si>
    <t>2026 - REN - Latchmill</t>
  </si>
  <si>
    <t>0066T000018FRwkQAG</t>
  </si>
  <si>
    <t>2024 - REN - Amazon Web Services</t>
  </si>
  <si>
    <t>0066T00001DORpkQAH</t>
  </si>
  <si>
    <t>2025 - REN - Neiman Marcus</t>
  </si>
  <si>
    <t>006VH00000c6lmLYAQ</t>
  </si>
  <si>
    <t>2026 - REN - Neiman Marcus</t>
  </si>
  <si>
    <t>006VH00000PYFpSYAX</t>
  </si>
  <si>
    <t>2025 - REN - AuditBoard Inc.</t>
  </si>
  <si>
    <t>006VH00000V60ySYAR</t>
  </si>
  <si>
    <t>2026 - REN - Kia Corporation</t>
  </si>
  <si>
    <t>006VH00000VugCPYAZ</t>
  </si>
  <si>
    <t>2026 - REN - Klick - ITCI</t>
  </si>
  <si>
    <t>006VH00000eKa6jYAC</t>
  </si>
  <si>
    <t>2026 - REN - Klick</t>
  </si>
  <si>
    <t>006VH00000aKd3hYAC</t>
  </si>
  <si>
    <t>2026 - REN - Cotiviti</t>
  </si>
  <si>
    <t>0066T00001DORjWQAX</t>
  </si>
  <si>
    <t>2025 - REN - Swisscom</t>
  </si>
  <si>
    <t>006VH00000c6ka9YAA</t>
  </si>
  <si>
    <t>2027 - REN - Swisscom</t>
  </si>
  <si>
    <t>006VH00000T26FCYAZ</t>
  </si>
  <si>
    <t>2025 - REN - Protiviti</t>
  </si>
  <si>
    <t>006VH00000f7RBxYAM</t>
  </si>
  <si>
    <t>2026 - REN - OMD</t>
  </si>
  <si>
    <t>0066T00001DNd6eQAD</t>
  </si>
  <si>
    <t>2024 - REN - Tv2/Danmark</t>
  </si>
  <si>
    <t>006VH00000e0HwHYAU</t>
  </si>
  <si>
    <t>2026 - REN - Cambia Health Solutions</t>
  </si>
  <si>
    <t>006VH00000dFJtVYAW</t>
  </si>
  <si>
    <t>2026 - REN - Tv2/Danmark</t>
  </si>
  <si>
    <t>006VH00000Omfz8YAB</t>
  </si>
  <si>
    <t>2025 - REN - Tv2/Danmark</t>
  </si>
  <si>
    <t>006VH00000RxvFdYAJ</t>
  </si>
  <si>
    <t>2027 - REN - CUF, S.A.</t>
  </si>
  <si>
    <t>006VH00000PxeELYAZ</t>
  </si>
  <si>
    <t>2025 - REN - Boston Scientific</t>
  </si>
  <si>
    <t>006VH00000cCQ5hYAG</t>
  </si>
  <si>
    <t>2026 - REN - The Salvation Army International</t>
  </si>
  <si>
    <t>006VH00000d4JKBYA2</t>
  </si>
  <si>
    <t>2026 - REN - Cornerstone Brands</t>
  </si>
  <si>
    <t>0066T00001B9hpPQAR</t>
  </si>
  <si>
    <t>2024 - REN - Kingfisher</t>
  </si>
  <si>
    <t>006VH0000067hmOYAQ</t>
  </si>
  <si>
    <t>2025 - REN - Kingfisher</t>
  </si>
  <si>
    <t>006VH00000cZSOaYAO</t>
  </si>
  <si>
    <t>2026 - REN - Mars</t>
  </si>
  <si>
    <t>006VH00000KynggYAB</t>
  </si>
  <si>
    <t>2025 - REN - Mars</t>
  </si>
  <si>
    <t>006VH00000ZjgrlYAB</t>
  </si>
  <si>
    <t>2026 - REN - Viking Cruises</t>
  </si>
  <si>
    <t>0066T00001BBcX1QAL</t>
  </si>
  <si>
    <t>2024 - REN - Western Union</t>
  </si>
  <si>
    <t>0066T00001ACd2FQAT</t>
  </si>
  <si>
    <t>2025 - REN - Southwest Airlines</t>
  </si>
  <si>
    <t>006VH00000gTydJYAS</t>
  </si>
  <si>
    <t>2028 - REN - Southwest Airlines</t>
  </si>
  <si>
    <t>0066T00001BAXV6QAP</t>
  </si>
  <si>
    <t>2024 - REN - Kia</t>
  </si>
  <si>
    <t>0066T000015qRUIQA2</t>
  </si>
  <si>
    <t>2022-REN-Bank of Montreal</t>
  </si>
  <si>
    <t>0066T00001CzLaAQAV</t>
  </si>
  <si>
    <t>2025 - REN - BMO Bank of Montreal</t>
  </si>
  <si>
    <t>006VH00000eiW6nYAE</t>
  </si>
  <si>
    <t>2026 - REN - Invesco</t>
  </si>
  <si>
    <t>0066T00001BBIJHQA5</t>
  </si>
  <si>
    <t>2024 - REN - SAP Concur</t>
  </si>
  <si>
    <t>006VH00000ZIZeHYAX</t>
  </si>
  <si>
    <t>2025 - REN - SAP Concur (2nd 2025 Renewal)</t>
  </si>
  <si>
    <t>006VH000004SgWiYAK</t>
  </si>
  <si>
    <t>2025 - REN - SAP Concur</t>
  </si>
  <si>
    <t>006VH00000ZbQ93YAF</t>
  </si>
  <si>
    <t>2026 - REN - Softcrylic</t>
  </si>
  <si>
    <t>006VH00000Kcod1YAB</t>
  </si>
  <si>
    <t>2025 - REN - Crowdstrike</t>
  </si>
  <si>
    <t>006VH0000045xJhYAI</t>
  </si>
  <si>
    <t>2025 - REN - Accent Group</t>
  </si>
  <si>
    <t>006VH000002f2skYAA</t>
  </si>
  <si>
    <t>2024 - REN - United Healthcare-Services-M&amp;R</t>
  </si>
  <si>
    <t>006VH000002uPKLYA2</t>
  </si>
  <si>
    <t>2025 - REN - Kemin</t>
  </si>
  <si>
    <t>0066T00001BC0K6QAL</t>
  </si>
  <si>
    <t>2024 - REN - Hopkins</t>
  </si>
  <si>
    <t>0066T00001Cz99iQAB</t>
  </si>
  <si>
    <t>2024 - REN - Inspired Thinking Group</t>
  </si>
  <si>
    <t>006VH000008HDVjYAO</t>
  </si>
  <si>
    <t>2025 - REN - Analytics Intelligence</t>
  </si>
  <si>
    <t>006VH00000YnUKkYAN</t>
  </si>
  <si>
    <t>2026 - REN - DMPG</t>
  </si>
  <si>
    <t>0066T0000191qjNQAQ</t>
  </si>
  <si>
    <t>2023 - REN - Whirlpool</t>
  </si>
  <si>
    <t>006VH000001plAnYAI</t>
  </si>
  <si>
    <t>2025 - REN - Sage</t>
  </si>
  <si>
    <t>006VH00000PHx8YYAT</t>
  </si>
  <si>
    <t>2025 - REN - Indegene</t>
  </si>
  <si>
    <t>006VH00000OoOu9YAF</t>
  </si>
  <si>
    <t>2025 - REN - Inspired Thinking Group</t>
  </si>
  <si>
    <t>006VH00000QAzxhYAD</t>
  </si>
  <si>
    <t>2026 - REN - WestJet</t>
  </si>
  <si>
    <t>006VH00000dNuflYAC</t>
  </si>
  <si>
    <t>2026 - REN - Conrad Electronic International GmbH and Co KG</t>
  </si>
  <si>
    <t>006VH000003KU9uYAG</t>
  </si>
  <si>
    <t>2025 - REN - Tulos</t>
  </si>
  <si>
    <t>006VH00000RjfYwYAJ</t>
  </si>
  <si>
    <t>2025 - REN - Adobe (MASTER ACCOUNT) - 12941</t>
  </si>
  <si>
    <t>006VH00000gcKIUYA2</t>
  </si>
  <si>
    <t>2026 - REN - Adobe - Experience League - 12491</t>
  </si>
  <si>
    <t>006VH00000cMeQkYAK</t>
  </si>
  <si>
    <t>2026 - REN - Citizens Financial Group</t>
  </si>
  <si>
    <t>0066T00001EK1T1QAL</t>
  </si>
  <si>
    <t>2024 - REN - New York Post</t>
  </si>
  <si>
    <t>006VH00000PbEgmYAF</t>
  </si>
  <si>
    <t>2025 - REN - New York Post</t>
  </si>
  <si>
    <t>006VH00000gFQmnYAG</t>
  </si>
  <si>
    <t>2026 - REN - Alliance for Audited Media</t>
  </si>
  <si>
    <t>0066T00001EK1NIQA1</t>
  </si>
  <si>
    <t>2024 - REN - Alliance for Audited Media</t>
  </si>
  <si>
    <t>006d000000dPl4mAAC</t>
  </si>
  <si>
    <t>2015 Renewal - Lenovo</t>
  </si>
  <si>
    <t>006d000000ZcnLLAAZ</t>
  </si>
  <si>
    <t>2015 Autorenewal - Nielsen</t>
  </si>
  <si>
    <t>006d000000VQaUJAA1</t>
  </si>
  <si>
    <t>2014 Renewal - Nielsen Online</t>
  </si>
  <si>
    <t>0066T00001ACdokQAD</t>
  </si>
  <si>
    <t>2023 - REN - Adobe (Customer Success)</t>
  </si>
  <si>
    <t>006VH00000RjsnvYAB</t>
  </si>
  <si>
    <t>2025 - REN - Adobe (MASTER ACCOUNT) - 9654 (Customer Success)</t>
  </si>
  <si>
    <t>006VH00000exNzFYAU</t>
  </si>
  <si>
    <t>2026 - REN - Adobe - 9654 (Customer Success)</t>
  </si>
  <si>
    <t>006VH000002zfmnYAA</t>
  </si>
  <si>
    <t>2024 - REN - Adobe (Customer Success)</t>
  </si>
  <si>
    <t>006d000000ctAptAAE</t>
  </si>
  <si>
    <t>2015 Renewal - BitBang</t>
  </si>
  <si>
    <t>0060W00000wwHS1QAM</t>
  </si>
  <si>
    <t>2018 Renewal - BPA Worldwide</t>
  </si>
  <si>
    <t>006d000000Yi4XKAAZ</t>
  </si>
  <si>
    <t>2015 Renewal - BPA Worldwide</t>
  </si>
  <si>
    <t>006d000000VQaRnAAL</t>
  </si>
  <si>
    <t>2014 Renewal - BPA Worldwide</t>
  </si>
  <si>
    <t>006d000000ttipqAAA</t>
  </si>
  <si>
    <t>2017 Renewal - BPA Worldwide</t>
  </si>
  <si>
    <t>006d000000hsc9PAAQ</t>
  </si>
  <si>
    <t>2016 Renewal - BPA Worldwide</t>
  </si>
  <si>
    <t>0066T000015qQL0QAM</t>
  </si>
  <si>
    <t>2022-REN-BPA Worldwide</t>
  </si>
  <si>
    <t>0060W000013suDeQAI</t>
  </si>
  <si>
    <t>2021-REN-BPA Worldwide</t>
  </si>
  <si>
    <t>0060W000011UuRLQA0</t>
  </si>
  <si>
    <t>2020 Renewal - BPA Worldwide</t>
  </si>
  <si>
    <t>0060W00000zMgFYQA0</t>
  </si>
  <si>
    <t>2019 Renewal - BPA Worldwide</t>
  </si>
  <si>
    <t>006d000000ZkdSlAAJ</t>
  </si>
  <si>
    <t>2014 Renewal - Datalicious</t>
  </si>
  <si>
    <t>006d000000hzTniAAE</t>
  </si>
  <si>
    <t>2016 Renewal - Datalicious</t>
  </si>
  <si>
    <t>006d000000Yd54oAAB</t>
  </si>
  <si>
    <t>2016 Critical Mass Renewal</t>
  </si>
  <si>
    <t>006d000000VQaXxAAL</t>
  </si>
  <si>
    <t>2014 Renewal - Critical Mass</t>
  </si>
  <si>
    <t>006d000000i04emAAA</t>
  </si>
  <si>
    <t>2017 Renewal - Critical Mass</t>
  </si>
  <si>
    <t>006d000000b9kC4AAI</t>
  </si>
  <si>
    <t>2015 Critical Mass Renewal</t>
  </si>
  <si>
    <t>006d000000ctCCZAA2</t>
  </si>
  <si>
    <t>2015 Renewal - Mirum</t>
  </si>
  <si>
    <t>0060W00000vvWVtQAM</t>
  </si>
  <si>
    <t>Genentech Upsell</t>
  </si>
  <si>
    <t>006d000000ZWbShAAL</t>
  </si>
  <si>
    <t>2014 Renewal - Genentech</t>
  </si>
  <si>
    <t>006d000000Yd5EDAAZ</t>
  </si>
  <si>
    <t>2015 Renewal - Genentech</t>
  </si>
  <si>
    <t>006d000000mSHbtAAG</t>
  </si>
  <si>
    <t>Genetech Managed Services</t>
  </si>
  <si>
    <t>006d000000i1boEAAQ</t>
  </si>
  <si>
    <t>2016 Renewal - Genentech</t>
  </si>
  <si>
    <t>0060W000014oPNlQAM</t>
  </si>
  <si>
    <t>2021-REN-Genentech</t>
  </si>
  <si>
    <t>0060W0000121JxqQAE</t>
  </si>
  <si>
    <t>2020-REN-Genentech - Dec31</t>
  </si>
  <si>
    <t>0060W000010qS2bQAE</t>
  </si>
  <si>
    <t>2019-REN-Genentech - Dec31</t>
  </si>
  <si>
    <t>0060W00000vx0oqQAA</t>
  </si>
  <si>
    <t>2018 Renewal - Genentech</t>
  </si>
  <si>
    <t>006d000000bECAlAAO</t>
  </si>
  <si>
    <t>2015 Renewal - J&amp;J</t>
  </si>
  <si>
    <t>006d000000ZVn7vAAD</t>
  </si>
  <si>
    <t>2015 Renewal - Johnson &amp; Johnson</t>
  </si>
  <si>
    <t>006d000000lVEiyAAG</t>
  </si>
  <si>
    <t>2017 Renewal - Lima-America Interactiva</t>
  </si>
  <si>
    <t>006d000000VQqZsAAL</t>
  </si>
  <si>
    <t>2014 Renewal - News Digital Media</t>
  </si>
  <si>
    <t>0060W00000vIPVAQA4</t>
  </si>
  <si>
    <t>2018 Renewal - Red Hat</t>
  </si>
  <si>
    <t>006d000000oy0dSAAQ</t>
  </si>
  <si>
    <t>2017 Renewal - Red Hat</t>
  </si>
  <si>
    <t>006d000000fQQ0QAAW</t>
  </si>
  <si>
    <t>2016 Renewal - Red Hat</t>
  </si>
  <si>
    <t>006d000000e4XjAAAU</t>
  </si>
  <si>
    <t>2015 Renewal - Red Hat</t>
  </si>
  <si>
    <t>006d000000ZmBTNAA3</t>
  </si>
  <si>
    <t>2014 Renewal - Rise Interactive</t>
  </si>
  <si>
    <t>006d000000UpB0WAAV</t>
  </si>
  <si>
    <t>2015 Renewal - Rise Interactive</t>
  </si>
  <si>
    <t>006d000000Yd67IAAR</t>
  </si>
  <si>
    <t>2015 Renewal - The World Bank</t>
  </si>
  <si>
    <t>006d000000VQaSCAA1</t>
  </si>
  <si>
    <t>2014 Renewal - The World Bank</t>
  </si>
  <si>
    <t>006d000000ct4vwAAA</t>
  </si>
  <si>
    <t>2015 Renewal - Website Behavior Specialists</t>
  </si>
  <si>
    <t>006d000000ZVxSjAAL</t>
  </si>
  <si>
    <t>2015 Renewal - Starwood Hotels &amp; Resorts</t>
  </si>
  <si>
    <t>006d000000ZVwAZAA1</t>
  </si>
  <si>
    <t>2014 Renewal - Starwood Hotels &amp; Resorts Worldwide</t>
  </si>
  <si>
    <t>006d000000mpOXMAA2</t>
  </si>
  <si>
    <t>2017 Renewal - Starwood Hotels &amp; Resorts</t>
  </si>
  <si>
    <t>006d000000VQaU4AAL</t>
  </si>
  <si>
    <t>2014 Renewal - Turner Broadcasting System</t>
  </si>
  <si>
    <t>006d000000hzTfnAAE</t>
  </si>
  <si>
    <t>2016 Renewal - Turner Broadcasting System</t>
  </si>
  <si>
    <t>006d000000ct4xnAAA</t>
  </si>
  <si>
    <t>2015 Renewal - Turner Broadcasting System</t>
  </si>
  <si>
    <t>006d000000VQaSqAAL</t>
  </si>
  <si>
    <t>2014 Renewal - The Hearst Corporation</t>
  </si>
  <si>
    <t>006d000000d26qeAAA</t>
  </si>
  <si>
    <t>2015 Renewal - Web Analytics Central</t>
  </si>
  <si>
    <t>006d000000eP04hAAC</t>
  </si>
  <si>
    <t>2015 Renewal - iDimension</t>
  </si>
  <si>
    <t>006d000000Yd7VHAAZ</t>
  </si>
  <si>
    <t>2015 Renewal - Carbonite</t>
  </si>
  <si>
    <t>006d000000VQaVCAA1</t>
  </si>
  <si>
    <t>2014 Renewal - Carbonite</t>
  </si>
  <si>
    <t>006VH00000OSm8mYAD</t>
  </si>
  <si>
    <t>2025 - REN - Optimal Ways</t>
  </si>
  <si>
    <t>006VH00000cOTsbYAG</t>
  </si>
  <si>
    <t>2026 - REN - Optimal Ways</t>
  </si>
  <si>
    <t>006d000000ct4pIAAQ</t>
  </si>
  <si>
    <t>2015 Renewal - Optimal Ways</t>
  </si>
  <si>
    <t>0066T00001Cycv3QAB</t>
  </si>
  <si>
    <t>2024 - REN - Optimal Ways</t>
  </si>
  <si>
    <t>0066T0000190EEGQA2</t>
  </si>
  <si>
    <t>2023 - REN - Optimal Ways</t>
  </si>
  <si>
    <t>006d000000VQaRiAAL</t>
  </si>
  <si>
    <t>2014 Renewal - Hotwire</t>
  </si>
  <si>
    <t>006d000000UYWgIAAX</t>
  </si>
  <si>
    <t>2015 Renewal - Telenor Group</t>
  </si>
  <si>
    <t>0060W00000vvLL3QAM</t>
  </si>
  <si>
    <t>2019 Renewal - Trakken</t>
  </si>
  <si>
    <t>006d000000VQaX4AAL</t>
  </si>
  <si>
    <t>2015 Renewal - Trakken</t>
  </si>
  <si>
    <t>006d000000VQaW0AAL</t>
  </si>
  <si>
    <t>2014 Renewal - Trakken</t>
  </si>
  <si>
    <t>006d000000i0BXvAAM</t>
  </si>
  <si>
    <t>2017 Renewal - Trakken</t>
  </si>
  <si>
    <t>0066T000015QfIlQAK</t>
  </si>
  <si>
    <t>2022-REN-Trakken</t>
  </si>
  <si>
    <t>0060W000012KFQIQA4</t>
  </si>
  <si>
    <t>2021-REN-Trakken</t>
  </si>
  <si>
    <t>0060W000010wkyzQAA</t>
  </si>
  <si>
    <t>2020 Renewal - Trakken</t>
  </si>
  <si>
    <t>0060W00000vIMKIQA4</t>
  </si>
  <si>
    <t>2018 Renewal - Comcast Corporation</t>
  </si>
  <si>
    <t>006d000000Sra8bAAB</t>
  </si>
  <si>
    <t>2015 Renewal - Comcast</t>
  </si>
  <si>
    <t>006d000000gbGbDAAU</t>
  </si>
  <si>
    <t>2017 Renewal - Comcast Corporation</t>
  </si>
  <si>
    <t>006d000000cFn0mAAC</t>
  </si>
  <si>
    <t>2016 Renewal - Comcast Corporation</t>
  </si>
  <si>
    <t>0060W000010qDEHQA2</t>
  </si>
  <si>
    <t>2020 Renewal - Comcast Corporation</t>
  </si>
  <si>
    <t>0060W00000wypJpQAI</t>
  </si>
  <si>
    <t>2019 Renewal - Comcast Corporation</t>
  </si>
  <si>
    <t>006d000000cFmwhAAC</t>
  </si>
  <si>
    <t>2016 Renewal - Bankrate, Inc.</t>
  </si>
  <si>
    <t>006d000000Sra8JAAR</t>
  </si>
  <si>
    <t>2015 Renewal - Bankrate</t>
  </si>
  <si>
    <t>0060W00000wyyyKQAQ</t>
  </si>
  <si>
    <t>2019 Renewal - Nationwide Insurance Company</t>
  </si>
  <si>
    <t>006d000000Yd5NSAAZ</t>
  </si>
  <si>
    <t>2015 Renewal - Nationwide Insurance Company</t>
  </si>
  <si>
    <t>006d000000VQoOdAAL</t>
  </si>
  <si>
    <t>2014 Renewal - Nationwide Insurance Company</t>
  </si>
  <si>
    <t>006d000000vEoOsAAK</t>
  </si>
  <si>
    <t>2017 Renewal - Nationwide Insurance Company</t>
  </si>
  <si>
    <t>006d000000uE5olAAC</t>
  </si>
  <si>
    <t>2016 Renewal - Nationwide Insurance Company</t>
  </si>
  <si>
    <t>006VH00000aeY33YAE</t>
  </si>
  <si>
    <t>2027 - REN - US Bancorp</t>
  </si>
  <si>
    <t>006d000000YdOLlAAN</t>
  </si>
  <si>
    <t>2015 Renewal - US Bancorp</t>
  </si>
  <si>
    <t>006d000000hzTtiAAE</t>
  </si>
  <si>
    <t>2016 Renewal - US Bancorp</t>
  </si>
  <si>
    <t>0066T000016HAYvQAO</t>
  </si>
  <si>
    <t>2022 - REN - U.S. Bank</t>
  </si>
  <si>
    <t>0066T00001AEdjOQAT</t>
  </si>
  <si>
    <t>2024 - REN - The Home Depot</t>
  </si>
  <si>
    <t>0066T000016meQHQAY</t>
  </si>
  <si>
    <t>2023 - REN - Home Depot</t>
  </si>
  <si>
    <t>0060W000014oPQpQAM</t>
  </si>
  <si>
    <t>2022 - REN - Home Depot</t>
  </si>
  <si>
    <t>0060W00000zGt05QAC</t>
  </si>
  <si>
    <t>2021 - REN - Home Depot</t>
  </si>
  <si>
    <t>006d000000e5YfZAAU</t>
  </si>
  <si>
    <t>2016 Renewal - Agilent Technologies, Inc.</t>
  </si>
  <si>
    <t>006d000000Sra8MAAR</t>
  </si>
  <si>
    <t>2015 Renewal - Toys R Us</t>
  </si>
  <si>
    <t>006d000000e5YlXAAU</t>
  </si>
  <si>
    <t>2016 Renewal - Digi-Key Electronics</t>
  </si>
  <si>
    <t>006d000000Sra8UAAR</t>
  </si>
  <si>
    <t>2015 Renewal - Digi-Key</t>
  </si>
  <si>
    <t>0066T000018HFF1QAO</t>
  </si>
  <si>
    <t>2022 - REN - Abbott</t>
  </si>
  <si>
    <t>006d000000umpUBAAY</t>
  </si>
  <si>
    <t>2017 Renewal - Abbott</t>
  </si>
  <si>
    <t>006d000000Sra8LAAR</t>
  </si>
  <si>
    <t>2015 Renewal - Abbott</t>
  </si>
  <si>
    <t>006d000000i0BOeAAM</t>
  </si>
  <si>
    <t>2016 Renewal - Abbott</t>
  </si>
  <si>
    <t>006d000000bEDKAAA4</t>
  </si>
  <si>
    <t>2015 #2 Renewal - Abbott</t>
  </si>
  <si>
    <t>0066T00001AERW2QAP</t>
  </si>
  <si>
    <t>2023 - REN - Abbott</t>
  </si>
  <si>
    <t>006d000000cFmzlAAC</t>
  </si>
  <si>
    <t>2016 Renewal - Inetasia Solutions</t>
  </si>
  <si>
    <t>006d000000vEoBJAA0</t>
  </si>
  <si>
    <t>2018 Renewal - Inetasia Solutions</t>
  </si>
  <si>
    <t>006d000000Sra8KAAR</t>
  </si>
  <si>
    <t>2015 Renewal - Inetasia</t>
  </si>
  <si>
    <t>006d000000kWiE6AAK</t>
  </si>
  <si>
    <t>2017 Renewal - Inetasia Solutions</t>
  </si>
  <si>
    <t>006d000000Yd532AAB</t>
  </si>
  <si>
    <t>2015 Renewal - Air Canada</t>
  </si>
  <si>
    <t>006d000000VQabrAAD</t>
  </si>
  <si>
    <t>2014 Renewal - Air Canada</t>
  </si>
  <si>
    <t>006d000000hzTe1AAE</t>
  </si>
  <si>
    <t>2016 Renewal - Air Canada</t>
  </si>
  <si>
    <t>006d000000e5YmBAAU</t>
  </si>
  <si>
    <t>2016 Renewal - GameStop</t>
  </si>
  <si>
    <t>006d000000Sra8XAAR</t>
  </si>
  <si>
    <t>2015 Renewal - Gamestop</t>
  </si>
  <si>
    <t>0060W00000vQnbzQAC</t>
  </si>
  <si>
    <t>2018 Renewal - Illumina</t>
  </si>
  <si>
    <t>006d000000ZWbSXAA1</t>
  </si>
  <si>
    <t>2014 Renewal - Illumina</t>
  </si>
  <si>
    <t>006d000000VQaREAA1</t>
  </si>
  <si>
    <t>2015 Renewal - Illumina</t>
  </si>
  <si>
    <t>006d000000s23UqAAI</t>
  </si>
  <si>
    <t>2017 Renewal - Illumina</t>
  </si>
  <si>
    <t>006d000000hrjb2AAA</t>
  </si>
  <si>
    <t>2016 Renewal - Illumina</t>
  </si>
  <si>
    <t>0066T00001ABrKlQAL</t>
  </si>
  <si>
    <t>2024 - REN - Illumina</t>
  </si>
  <si>
    <t>0060W00000y8RowQAE</t>
  </si>
  <si>
    <t>2019 Renewal - Illumina</t>
  </si>
  <si>
    <t>006d000000Sra8WAAR</t>
  </si>
  <si>
    <t>2015 Renewal - Salmon</t>
  </si>
  <si>
    <t>0060W00000vvmBtQAI</t>
  </si>
  <si>
    <t>2018 Renewal - TXU</t>
  </si>
  <si>
    <t>006d000000hpcSWAAY</t>
  </si>
  <si>
    <t>2016 Renewal - TXU</t>
  </si>
  <si>
    <t>0060W00000y72iDQAQ</t>
  </si>
  <si>
    <t>2019 Renewal - TXU</t>
  </si>
  <si>
    <t>006d000000hsXTUAA2</t>
  </si>
  <si>
    <t>2016 Renewal - News Digital Media</t>
  </si>
  <si>
    <t>006d000000ZStaJAAT</t>
  </si>
  <si>
    <t>2015 Renewal - News Digital Media</t>
  </si>
  <si>
    <t>006d000000uEX94AAG</t>
  </si>
  <si>
    <t>2017 Renewal - News Corp Australia</t>
  </si>
  <si>
    <t>0066T0000190hQfQAI</t>
  </si>
  <si>
    <t>2025 - REN - TIAA</t>
  </si>
  <si>
    <t>006VH00000e0Ih3YAE</t>
  </si>
  <si>
    <t>2028 - REN - TIAA</t>
  </si>
  <si>
    <t>006d000000Sra8OAAR</t>
  </si>
  <si>
    <t>2015 Renewal - Safeway</t>
  </si>
  <si>
    <t>0060W00000wvp0YQAQ</t>
  </si>
  <si>
    <t>2018 Renewal - Cox Media Group</t>
  </si>
  <si>
    <t>006d000000YAUNcAAP</t>
  </si>
  <si>
    <t>2015 Renewal - Cox Media Group</t>
  </si>
  <si>
    <t>006d000000VQaSbAAL</t>
  </si>
  <si>
    <t>2014 Renewal - Cox Media Group</t>
  </si>
  <si>
    <t>006d000000tuygNAAQ</t>
  </si>
  <si>
    <t>2017 Renewal - Cox Media Group</t>
  </si>
  <si>
    <t>006d000000hsS8sAAE</t>
  </si>
  <si>
    <t>2016 Renewal - Cox Media Group</t>
  </si>
  <si>
    <t>0060W0000120L2uQAE</t>
  </si>
  <si>
    <t>2020 Renewal - Cox Media Group</t>
  </si>
  <si>
    <t>0060W00000zMzXUQA0</t>
  </si>
  <si>
    <t>2019 Renewal - Cox Media Group</t>
  </si>
  <si>
    <t>006d000000Yd5pYAAR</t>
  </si>
  <si>
    <t>2015 Renewal -Trend Micro</t>
  </si>
  <si>
    <t>006d000000VQaSHAA1</t>
  </si>
  <si>
    <t>2014 Renewal - Trend Micro</t>
  </si>
  <si>
    <t>006d000000ulaX8AAI</t>
  </si>
  <si>
    <t>2017 Renewal -Trend Micro</t>
  </si>
  <si>
    <t>006d000000hzTubAAE</t>
  </si>
  <si>
    <t>2016 Renewal -Trend Micro</t>
  </si>
  <si>
    <t>006d000000hpciPAAQ</t>
  </si>
  <si>
    <t>2016 Renewal - Aunica (Submarino Viagens)</t>
  </si>
  <si>
    <t>0060W00000wzAwgQAE</t>
  </si>
  <si>
    <t>2018 Renewal - Marriott</t>
  </si>
  <si>
    <t>006d000000vFBmgAAG</t>
  </si>
  <si>
    <t>2017 Renewal - Marriott</t>
  </si>
  <si>
    <t>006d000000uFJvaAAG</t>
  </si>
  <si>
    <t>2016 Renewal - Marriott</t>
  </si>
  <si>
    <t>0060W000014ndh9QAA</t>
  </si>
  <si>
    <t>2021-REN-Marriott</t>
  </si>
  <si>
    <t>0060W0000123qkvQAA</t>
  </si>
  <si>
    <t>2020-REN-Marriott</t>
  </si>
  <si>
    <t>0060W00000zP8HMQA0</t>
  </si>
  <si>
    <t>2019 Renewal - Marriott</t>
  </si>
  <si>
    <t>006d000000VQaTPAA1</t>
  </si>
  <si>
    <t>2014 Renewal - Hibu</t>
  </si>
  <si>
    <t>006d000000umRMQAA2</t>
  </si>
  <si>
    <t>2016 Renewal - Chrysler</t>
  </si>
  <si>
    <t>006d000000Y2ureAAB</t>
  </si>
  <si>
    <t>2015 Renewal - The American Institute of Architects</t>
  </si>
  <si>
    <t>006d000000TFLhdAAH</t>
  </si>
  <si>
    <t>2015 Renewal - Autodesk</t>
  </si>
  <si>
    <t>006d000000UYce8AAD</t>
  </si>
  <si>
    <t>2015 Renewal - News UK 2015 Renewal</t>
  </si>
  <si>
    <t>006d000000hsno6AAA</t>
  </si>
  <si>
    <t>2016 Renewal - WestJet Airlines</t>
  </si>
  <si>
    <t>0060W00000wwFEAQA2</t>
  </si>
  <si>
    <t>2018 Renewal - Darden</t>
  </si>
  <si>
    <t>006d000000tvmsuAAA</t>
  </si>
  <si>
    <t>2017 Renewal - Darden</t>
  </si>
  <si>
    <t>006d000000hsa8FAAQ</t>
  </si>
  <si>
    <t>2016 Renewal - Darden</t>
  </si>
  <si>
    <t>006d000000c14zpAAA</t>
  </si>
  <si>
    <t>2015 Renewal - Darden</t>
  </si>
  <si>
    <t>006d000000ZWbSNAA1</t>
  </si>
  <si>
    <t>2014 Renewal - Target</t>
  </si>
  <si>
    <t>006d000000YjGWHAA3</t>
  </si>
  <si>
    <t>2015 Renewal - Target</t>
  </si>
  <si>
    <t>0060W00000y5xgXQAQ</t>
  </si>
  <si>
    <t>2021 Renewal - The Hartford Financial</t>
  </si>
  <si>
    <t>006d000000jcHFzAAM</t>
  </si>
  <si>
    <t>2018 Renewal - The Hartford Financial</t>
  </si>
  <si>
    <t>0060W000015P0nFQAS</t>
  </si>
  <si>
    <t>2024-REN-The Hartford Financial</t>
  </si>
  <si>
    <t>006d000000hzTraAAE</t>
  </si>
  <si>
    <t>2016 Renewal - Adidas 2</t>
  </si>
  <si>
    <t>006d000000YdBbjAAF</t>
  </si>
  <si>
    <t>2015 Renewal - Adidas 2</t>
  </si>
  <si>
    <t>006d000000ZLCGKAA5</t>
  </si>
  <si>
    <t>2015 Renewal - The Hearst Corportation</t>
  </si>
  <si>
    <t>006d000000hpGEkAAM</t>
  </si>
  <si>
    <t>2016 Renewal - Merkle</t>
  </si>
  <si>
    <t>0060W00000xoDWhQAM</t>
  </si>
  <si>
    <t>2019 Renewal - Bluestem Brands</t>
  </si>
  <si>
    <t>006d000000vEo65AAC</t>
  </si>
  <si>
    <t>2018 Renewal - Bluestem Brands</t>
  </si>
  <si>
    <t>006d000000ghfvrAAA</t>
  </si>
  <si>
    <t>2017 Renewal - Bluestem Brands</t>
  </si>
  <si>
    <t>006d000000cFmvPAAS</t>
  </si>
  <si>
    <t>2016 Renewal - Bluestem Brands</t>
  </si>
  <si>
    <t>0060W000012bBjhQAE</t>
  </si>
  <si>
    <t>2021-REN-Bluestem Brands</t>
  </si>
  <si>
    <t>0060W00000ztjV6QAI</t>
  </si>
  <si>
    <t>2020 Renewal - Bluestem Brands</t>
  </si>
  <si>
    <t>006d000000i1bfnAAA</t>
  </si>
  <si>
    <t>2016 Renewal - T-Mobile</t>
  </si>
  <si>
    <t>006d000000UP7kLAAT</t>
  </si>
  <si>
    <t>2015 Renewal - T-Mobile</t>
  </si>
  <si>
    <t>006d000000hsgQIAAY</t>
  </si>
  <si>
    <t>2016 Renewal - Guitar Center</t>
  </si>
  <si>
    <t>006d000000YdGHGAA3</t>
  </si>
  <si>
    <t>2015 Renewal - Guitar Center</t>
  </si>
  <si>
    <t>006d000000bEDM1AAO</t>
  </si>
  <si>
    <t>2015 #2 Renewal - EMC</t>
  </si>
  <si>
    <t>006d000000umpXBAAY</t>
  </si>
  <si>
    <t>2017 Renewal - EMC</t>
  </si>
  <si>
    <t>006d000000Sra8cAAB</t>
  </si>
  <si>
    <t>2015 Renewal - EMC</t>
  </si>
  <si>
    <t>006d000000i0BPXAA2</t>
  </si>
  <si>
    <t>2016 Renewal - EMC</t>
  </si>
  <si>
    <t>006d000000UKeM2AAL</t>
  </si>
  <si>
    <t>2015 Renewal - Time Warner Cable</t>
  </si>
  <si>
    <t>006d000000VQaUiAAL</t>
  </si>
  <si>
    <t>2014 Renewal - Time Warner Cable</t>
  </si>
  <si>
    <t>0060W00000wwmOkQAI</t>
  </si>
  <si>
    <t>2018 Renewal - Hyatt Contract</t>
  </si>
  <si>
    <t>006d000000ttiRVAAY</t>
  </si>
  <si>
    <t>2017 Renewal - Hyatt Contract</t>
  </si>
  <si>
    <t>0066T000017x1bXQAQ</t>
  </si>
  <si>
    <t>2023 - REN - Healthgrades Marketplace, LLC</t>
  </si>
  <si>
    <t>0066T000016meKnQAI</t>
  </si>
  <si>
    <t>2022 - REN - Healthgrades</t>
  </si>
  <si>
    <t>0060W000014nIpUQAU</t>
  </si>
  <si>
    <t>2021 - REN - Healthgrades</t>
  </si>
  <si>
    <t>0060W00000vuyeeQAA</t>
  </si>
  <si>
    <t>2018 Renewal - Deloitte</t>
  </si>
  <si>
    <t>006VH00000YAn77YAD</t>
  </si>
  <si>
    <t>2026 - REN - Deloitte</t>
  </si>
  <si>
    <t>006d000000lS20HAAS</t>
  </si>
  <si>
    <t>2017 Renewal - Deloitte</t>
  </si>
  <si>
    <t>0066T00001B8d1MQAR</t>
  </si>
  <si>
    <t>2024 - REN - Deloitte</t>
  </si>
  <si>
    <t>0066T000017Vqd7QAC</t>
  </si>
  <si>
    <t>2023-REN-Deloitte</t>
  </si>
  <si>
    <t>0066T000015PzmXQAS</t>
  </si>
  <si>
    <t>2022-REN-Deloitte</t>
  </si>
  <si>
    <t>0060W000012Ju6aQAC</t>
  </si>
  <si>
    <t>2021-REN-Deloitte-XSELL Privacy</t>
  </si>
  <si>
    <t>0060W000010xXXwQAM</t>
  </si>
  <si>
    <t>2020 Renewal - Deloitte</t>
  </si>
  <si>
    <t>0060W00000y5wQXQAY</t>
  </si>
  <si>
    <t>2019 Renewal - Deloitte</t>
  </si>
  <si>
    <t>0060W00000zOxTHQA0</t>
  </si>
  <si>
    <t>2019 Renewal - Elsevier "Global"</t>
  </si>
  <si>
    <t>006d000000rpbGaAAI</t>
  </si>
  <si>
    <t>2018 Renewal - Elsevier "Global"</t>
  </si>
  <si>
    <t>0060W000014m8HRQAY</t>
  </si>
  <si>
    <t>2021-REN-Elsevier "Global"</t>
  </si>
  <si>
    <t>0060W0000121qMyQAI</t>
  </si>
  <si>
    <t>2020 Renewal - Elsevier "Global"</t>
  </si>
  <si>
    <t>006d000000hylXSAAY</t>
  </si>
  <si>
    <t>2016 Renewal - Adobe Systems - Acrobat &amp; EchoSign</t>
  </si>
  <si>
    <t>006d000000YdNUeAAN</t>
  </si>
  <si>
    <t>2015 Renewal - Adobe Systems - Acrobat &amp; EchoSign</t>
  </si>
  <si>
    <t>006d000000un2MEAAY</t>
  </si>
  <si>
    <t>2016 Upsell Adobe Systems - Acrobat &amp; EchoSign</t>
  </si>
  <si>
    <t>006d000000uDZvlAAG</t>
  </si>
  <si>
    <t>2017 Renewal - Adobe Systems - Acrobat &amp; EchoSign</t>
  </si>
  <si>
    <t>006d000000hpcf6AAA</t>
  </si>
  <si>
    <t>2016 Renewal - eBay</t>
  </si>
  <si>
    <t>006d000000Vp0MIAAZ</t>
  </si>
  <si>
    <t>2015 Renewal - eBay</t>
  </si>
  <si>
    <t>006d000000ZVrTvAAL</t>
  </si>
  <si>
    <t>2015 Renewal - Hotels.com</t>
  </si>
  <si>
    <t>006d000000ZVkWWAA1</t>
  </si>
  <si>
    <t>2014 Renewal - Hotels.com</t>
  </si>
  <si>
    <t>006d000000eLYQxAAO</t>
  </si>
  <si>
    <t>2016 Renewal - Hotels.com</t>
  </si>
  <si>
    <t>006d000000hsS9WAAU</t>
  </si>
  <si>
    <t>2016 Renewal - HUGE, LLC</t>
  </si>
  <si>
    <t>006d000000W34eKAAR</t>
  </si>
  <si>
    <t>2015 Renewal - Project Management Institute</t>
  </si>
  <si>
    <t>0060W00000zNGL8QAO</t>
  </si>
  <si>
    <t>2019 Renewal - TIAA CREF</t>
  </si>
  <si>
    <t>006d000000Yd5oVAAR</t>
  </si>
  <si>
    <t>2015  Renewal - TIAA-CREF</t>
  </si>
  <si>
    <t>006d000000VQbxFAAT</t>
  </si>
  <si>
    <t>2014 Renewal - TIAA CREF</t>
  </si>
  <si>
    <t>006d000000tw3c4AAA</t>
  </si>
  <si>
    <t>2018 Renewal - TIAA CREF</t>
  </si>
  <si>
    <t>006d000000tuzrVAAQ</t>
  </si>
  <si>
    <t>2016 Renewal - TIAA CREF</t>
  </si>
  <si>
    <t>0066T000015qQ5MQAU</t>
  </si>
  <si>
    <t>2022-REN-TIAA CREF</t>
  </si>
  <si>
    <t>0060W000014ZtWEQA0</t>
  </si>
  <si>
    <t>2021-REN-TIAA CREF</t>
  </si>
  <si>
    <t>0060W0000120wfJQAQ</t>
  </si>
  <si>
    <t>2020 Renewal - TIAA CREF</t>
  </si>
  <si>
    <t>006d000000aesK2AAI</t>
  </si>
  <si>
    <t>2015 Renewal - Nordstrom</t>
  </si>
  <si>
    <t>006d000000cFmuHAAS</t>
  </si>
  <si>
    <t>2016 Renewal - Humana</t>
  </si>
  <si>
    <t>006d000000Sra8QAAR</t>
  </si>
  <si>
    <t>2015 Renewal - Humana</t>
  </si>
  <si>
    <t>006d000000i0BQtAAM</t>
  </si>
  <si>
    <t>2017 Renewal - Humana</t>
  </si>
  <si>
    <t>0060W00000vXzZGQA0</t>
  </si>
  <si>
    <t>2018 Renewal - Quest Software</t>
  </si>
  <si>
    <t>006d000000Yd5CTAAZ</t>
  </si>
  <si>
    <t>2015 Renewal - Dell Software</t>
  </si>
  <si>
    <t>006d000000VQaT0AAL</t>
  </si>
  <si>
    <t>2014 Renewal - Dell Software</t>
  </si>
  <si>
    <t>0060W00000wrACcQAM</t>
  </si>
  <si>
    <t>2019 Renewal - Quest Software</t>
  </si>
  <si>
    <t>006d000000YdM9zAAF</t>
  </si>
  <si>
    <t>2015 Renewal - Benefit Cosmetics</t>
  </si>
  <si>
    <t>0060W00000wwHA7QAM</t>
  </si>
  <si>
    <t>2018 Renewal - Staples</t>
  </si>
  <si>
    <t>006d000000VQaUsAAL</t>
  </si>
  <si>
    <t>2014 Renewal - Staples</t>
  </si>
  <si>
    <t>006d000000umRXOAA2</t>
  </si>
  <si>
    <t>2017 Renewal - Staples</t>
  </si>
  <si>
    <t>006d000000d1zs5AAA</t>
  </si>
  <si>
    <t>2015 Renewal - Staples</t>
  </si>
  <si>
    <t>0060W00000wyDbgQAE</t>
  </si>
  <si>
    <t>2018 Renewal - GE-Power</t>
  </si>
  <si>
    <t>006d000000uGS7dAAG</t>
  </si>
  <si>
    <t>2017 Renewal - GE-Power</t>
  </si>
  <si>
    <t>0066T000016llc6QAA</t>
  </si>
  <si>
    <t>2022-REN-GE Power</t>
  </si>
  <si>
    <t>0060W000014mnhCQAQ</t>
  </si>
  <si>
    <t>2021-REN-GE Power</t>
  </si>
  <si>
    <t>0060W000012YeMoQAK</t>
  </si>
  <si>
    <t>2020-REN-GE Power</t>
  </si>
  <si>
    <t>0060W00000zOxSYQA0</t>
  </si>
  <si>
    <t>2019 Renewal - GE-Power</t>
  </si>
  <si>
    <t>006d000000e5DPrAAM</t>
  </si>
  <si>
    <t>2016 Renewal - British Telecom Company- Anthony Magee/Karmarama</t>
  </si>
  <si>
    <t>006d000000nCtE1AAK</t>
  </si>
  <si>
    <t>2017 Renewal - 1-800 Contacts</t>
  </si>
  <si>
    <t>006VH000001srgIYAQ</t>
  </si>
  <si>
    <t>2024 - REN - Disneyland &amp; Disney Resort</t>
  </si>
  <si>
    <t>0060W00000vuvY8QAI</t>
  </si>
  <si>
    <t>2018 Renewal - St. Jude</t>
  </si>
  <si>
    <t>006d000000oBqwdAAC</t>
  </si>
  <si>
    <t>2017-UP-St. Jude Children's Research Hospital - 2017 Managed Services</t>
  </si>
  <si>
    <t>0060W00000y76zwQAA</t>
  </si>
  <si>
    <t>2019 Renewal - St. Jude</t>
  </si>
  <si>
    <t>0060W00000vXEmxQAG</t>
  </si>
  <si>
    <t>2017 Renewal Upsell - St. Jude</t>
  </si>
  <si>
    <t>0060W00000wxZ4pQAE</t>
  </si>
  <si>
    <t>2018 Renewal - Shutterfly</t>
  </si>
  <si>
    <t>0060W00000zOxFKQA0</t>
  </si>
  <si>
    <t>2020 - REN - Shutterfly</t>
  </si>
  <si>
    <t>006d000000kRnY4AAK</t>
  </si>
  <si>
    <t>2018 Renewal - Tumi</t>
  </si>
  <si>
    <t>0060W00000zPClKQAW</t>
  </si>
  <si>
    <t>2019 Renewal - Cancer Treatment Centers of America</t>
  </si>
  <si>
    <t>0060W00000xoDdJQAU</t>
  </si>
  <si>
    <t>2018 Renewal - Cancer Treatment Centers of America</t>
  </si>
  <si>
    <t>0060W00000vvGZTQA2</t>
  </si>
  <si>
    <t>2019 Renewal - Morgan Stanley</t>
  </si>
  <si>
    <t>006d000000uoOTuAAM</t>
  </si>
  <si>
    <t>2017 Renewal - Liberty Mutual</t>
  </si>
  <si>
    <t>006d000000ZkWu2AAF</t>
  </si>
  <si>
    <t>AMAA 2014 Renewal</t>
  </si>
  <si>
    <t>006d000000uEhIXAA0</t>
  </si>
  <si>
    <t>2017 Renewal - AMAA</t>
  </si>
  <si>
    <t>006d000000hzTXnAAM</t>
  </si>
  <si>
    <t>2016 Renewal - AMAA</t>
  </si>
  <si>
    <t>006d000000buuZwAAI</t>
  </si>
  <si>
    <t>2015 Renewal - AMAA</t>
  </si>
  <si>
    <t>0060W00000wytMsQAI</t>
  </si>
  <si>
    <t>2019 Renewal - NBCNews/ MSNBC / Today</t>
  </si>
  <si>
    <t>006d000000r3ZLZAA2</t>
  </si>
  <si>
    <t>2017 Renewal - NBCNews/ MSNBC / Today</t>
  </si>
  <si>
    <t>006d000000i1biIAAQ</t>
  </si>
  <si>
    <t>2016 Renewal - NBCNews/ MSNBC / Today</t>
  </si>
  <si>
    <t>0066T000016ndFfQAI</t>
  </si>
  <si>
    <t>2023-REN-New York Life</t>
  </si>
  <si>
    <t>0060W000014oOlRQAU</t>
  </si>
  <si>
    <t>2022-REN-New York Life</t>
  </si>
  <si>
    <t>0060W000012ZGjDQAW</t>
  </si>
  <si>
    <t>2021-REN-New York Life</t>
  </si>
  <si>
    <t>0060W00000zPmkDQAS</t>
  </si>
  <si>
    <t>2020 Renewal - New York Life</t>
  </si>
  <si>
    <t>0060W00000wz9rVQAQ</t>
  </si>
  <si>
    <t>2019 Renewal - New York Life</t>
  </si>
  <si>
    <t>006d000000bmW4mAAE</t>
  </si>
  <si>
    <t>2016 Renewal - TrueCar</t>
  </si>
  <si>
    <t>006d000000oqauhAAA</t>
  </si>
  <si>
    <t>2017 Renewal - TrueCar</t>
  </si>
  <si>
    <t>0066T000016lrWJQAY</t>
  </si>
  <si>
    <t>2022 - REN - Verisk - ISO.com</t>
  </si>
  <si>
    <t>0066T00001C8xxlQAB</t>
  </si>
  <si>
    <t>2026 - REN - Verisk Analytics</t>
  </si>
  <si>
    <t>0066T00001AESjNQAX</t>
  </si>
  <si>
    <t>2023 - REN - Verisk</t>
  </si>
  <si>
    <t>0066T000016HCu4QAG</t>
  </si>
  <si>
    <t>2022-REN-Xactware</t>
  </si>
  <si>
    <t>0060W000013pnVqQAI</t>
  </si>
  <si>
    <t>2021-REN-Xactware</t>
  </si>
  <si>
    <t>0060W000011SfTyQAK</t>
  </si>
  <si>
    <t>2020 Renewal - Xactware</t>
  </si>
  <si>
    <t>0060W00000y7REvQAM</t>
  </si>
  <si>
    <t>2019 Renewal - Xactware</t>
  </si>
  <si>
    <t>0060W00000wyKE5QAM</t>
  </si>
  <si>
    <t>2018 Renewal - Xactware</t>
  </si>
  <si>
    <t>0060W00000vwza7QAA</t>
  </si>
  <si>
    <t>Xactware Part 2 (Months 7-12)</t>
  </si>
  <si>
    <t>0060W00000vIMRnQAO</t>
  </si>
  <si>
    <t>2018 Renewal - Vivint</t>
  </si>
  <si>
    <t>0060W00000vXPbXQAW</t>
  </si>
  <si>
    <t>2017 Renewal/Upsell - Vivint</t>
  </si>
  <si>
    <t>0060W00000zNY9WQAW</t>
  </si>
  <si>
    <t>2020 Renewal - National Geographic</t>
  </si>
  <si>
    <t>0060W00000vXQ2WQAW</t>
  </si>
  <si>
    <t>2017 Renewal/Upsell - Managed Services</t>
  </si>
  <si>
    <t>006d000000lVY4GAAW</t>
  </si>
  <si>
    <t>2016 Managed Services Renewal - Charles Schwab</t>
  </si>
  <si>
    <t>006d000000lS1ZaAAK</t>
  </si>
  <si>
    <t>2018 Renewal - Charles Schwab</t>
  </si>
  <si>
    <t>006d000000hpGJuAAM</t>
  </si>
  <si>
    <t>2016 Renewal - Charles Schwab</t>
  </si>
  <si>
    <t>0060W000013lcTgQAI</t>
  </si>
  <si>
    <t>2022-REN-Charles Schwab + TD Ameritrade</t>
  </si>
  <si>
    <t>0060W000010x7UEQAY</t>
  </si>
  <si>
    <t>2019 Built in Upsell - Charles Schwab Quota Placeholder</t>
  </si>
  <si>
    <t>0060W00000y7RBSQA2</t>
  </si>
  <si>
    <t>2020 Renewal - Charles Schwab</t>
  </si>
  <si>
    <t>006VH00000ZIUy0YAH</t>
  </si>
  <si>
    <t>2026 - REN - Verisign</t>
  </si>
  <si>
    <t>0060W0000121qKuQAI</t>
  </si>
  <si>
    <t>2021 Renewal - Advance Auto Parts</t>
  </si>
  <si>
    <t>0060W000010wu3QQAQ</t>
  </si>
  <si>
    <t>2020-REN-Advance Auto Parts (including 2019 upsell)</t>
  </si>
  <si>
    <t>0060W00000vwC9sQAE</t>
  </si>
  <si>
    <t>2019 Renewal - Advance Auto Parts</t>
  </si>
  <si>
    <t>0066T00001CMC9SQAX</t>
  </si>
  <si>
    <t>2024 - REN - Charles Schwab</t>
  </si>
  <si>
    <t>006d000000uDZeEAAW</t>
  </si>
  <si>
    <t>2018 Renewal - Fossil Group</t>
  </si>
  <si>
    <t>0060W0000122eXTQAY</t>
  </si>
  <si>
    <t>2021 Renewal - Fossil Group</t>
  </si>
  <si>
    <t>0060W000011pgtLQAQ</t>
  </si>
  <si>
    <t>2020 Renewal - Fossil Group</t>
  </si>
  <si>
    <t>006d000000hzTm6AAE</t>
  </si>
  <si>
    <t>2016 Renewal - Rosetta Stone</t>
  </si>
  <si>
    <t>0060W0000121T52QAE</t>
  </si>
  <si>
    <t>2020-REN-IHG</t>
  </si>
  <si>
    <t>006d000000hp2bNAAQ</t>
  </si>
  <si>
    <t>2016 Renewal - Farmers Insurance Group</t>
  </si>
  <si>
    <t>006d000000mGhG8AAK</t>
  </si>
  <si>
    <t>2017 Renewal - Farmers Insurance Group</t>
  </si>
  <si>
    <t>0060W00000wySGaQAM</t>
  </si>
  <si>
    <t>2019 Renewal - Endurance International</t>
  </si>
  <si>
    <t>0060W00000y5ZGGQA2</t>
  </si>
  <si>
    <t>2020 Renewal - Converse</t>
  </si>
  <si>
    <t>006VH00000TnDZhYAN</t>
  </si>
  <si>
    <t>2026 - REN - Cost Plus World Market</t>
  </si>
  <si>
    <t>0060W00000vId39QAC</t>
  </si>
  <si>
    <t>2018 Renewal - Western Union</t>
  </si>
  <si>
    <t>006d000000i0BYKAA2</t>
  </si>
  <si>
    <t>2017 Renewal - Western Union</t>
  </si>
  <si>
    <t>0066T000015Rz0QQAS</t>
  </si>
  <si>
    <t>2022 - REN -Western Union</t>
  </si>
  <si>
    <t>0060W000012KnynQAC</t>
  </si>
  <si>
    <t>2021 Renewal - Western Union</t>
  </si>
  <si>
    <t>0060W000010wEn8QAE</t>
  </si>
  <si>
    <t>2020 Renewal - Western Union</t>
  </si>
  <si>
    <t>0060W00000y6bfUQAQ</t>
  </si>
  <si>
    <t>2019 Renewal - Western Union</t>
  </si>
  <si>
    <t>0060W00000vxaZ3QAI</t>
  </si>
  <si>
    <t>2018 Renewal - Intouch Solutions</t>
  </si>
  <si>
    <t>006d000000tILDRAA4</t>
  </si>
  <si>
    <t>2017 Renewal - Intouch Solutions</t>
  </si>
  <si>
    <t>006d000000hsS1EAAU</t>
  </si>
  <si>
    <t>2016 Renewal - Intouch Solutions</t>
  </si>
  <si>
    <t>0060W000011Uc6QQAS</t>
  </si>
  <si>
    <t>2020 Renewal - Intouch Solutions</t>
  </si>
  <si>
    <t>0060W00000y8RlYQAU</t>
  </si>
  <si>
    <t>2019 Renewal - Intouch Solutions</t>
  </si>
  <si>
    <t>0060W000011UmyJQAS</t>
  </si>
  <si>
    <t>2020 Renewal - Norwegian Cruise Line</t>
  </si>
  <si>
    <t>0060W00000zMz9OQAS</t>
  </si>
  <si>
    <t>2019 Renewal - Norwegian Cruise Line</t>
  </si>
  <si>
    <t>006d000000hpGHAAA2</t>
  </si>
  <si>
    <t>2016 Renewal - Carnival Cruise</t>
  </si>
  <si>
    <t>006d000000ndsoeAAA</t>
  </si>
  <si>
    <t>2017 Renewal - Carnival Cruise</t>
  </si>
  <si>
    <t>0060W00000wxspsQAA</t>
  </si>
  <si>
    <t>2018 Renewal - Allstate</t>
  </si>
  <si>
    <t>006d000000uDZtfAAG</t>
  </si>
  <si>
    <t>2017 Renewal - Allstate</t>
  </si>
  <si>
    <t>006d000000i1bRLAAY</t>
  </si>
  <si>
    <t>2016 Renewal - Allstate</t>
  </si>
  <si>
    <t>0060W00000zORjpQAG</t>
  </si>
  <si>
    <t>2019 Renewal - Allstate</t>
  </si>
  <si>
    <t>0066T000015q1zIQAQ</t>
  </si>
  <si>
    <t>2022-REN-Optum-STR</t>
  </si>
  <si>
    <t>0060W000014cqv0QAA</t>
  </si>
  <si>
    <t>2021-REN-OptumRx - STR</t>
  </si>
  <si>
    <t>0060W000013K6pXQAS</t>
  </si>
  <si>
    <t>2020-REN-OptumRx Strategic - Pharmacy Engagement / Communications - Platform &amp; Services-STR</t>
  </si>
  <si>
    <t>0060W00000wxCVfQAM</t>
  </si>
  <si>
    <t>2018 Renewal - Quicken Loans</t>
  </si>
  <si>
    <t>006d000000i1QBSAA2</t>
  </si>
  <si>
    <t>2017 Renewal - Quicken Loans</t>
  </si>
  <si>
    <t>0060W00000zNxu1QAC</t>
  </si>
  <si>
    <t>2019 Renewal - Quicken Loans</t>
  </si>
  <si>
    <t>006d000000fXkiEAAS</t>
  </si>
  <si>
    <t>2016 Renewal - Australia Post</t>
  </si>
  <si>
    <t>006d000000kdKJhAAM</t>
  </si>
  <si>
    <t>2017 Renewal - Australia Post</t>
  </si>
  <si>
    <t>006d000000exoAJAAY</t>
  </si>
  <si>
    <t>2016 Renewal - TELUS</t>
  </si>
  <si>
    <t>006d000000e5YjlAAE</t>
  </si>
  <si>
    <t>2016 Renewal - Lazada Group</t>
  </si>
  <si>
    <t>006d000000i0OKnAAM</t>
  </si>
  <si>
    <t>2016-UP-Rolex Managed Services</t>
  </si>
  <si>
    <t>0060W000014m8N0QAI</t>
  </si>
  <si>
    <t>2021-REN-Lloyds Bank</t>
  </si>
  <si>
    <t>0060W000012tUJiQAM</t>
  </si>
  <si>
    <t>2020-REN-Lloyds Bank</t>
  </si>
  <si>
    <t>0060W00000zOIBYQA4</t>
  </si>
  <si>
    <t>2019 Renewal - Lloyds Bank</t>
  </si>
  <si>
    <t>0060W00000vXKebQAG</t>
  </si>
  <si>
    <t>2019 Renewal - Business.LinkedIn</t>
  </si>
  <si>
    <t>0066T000017WXQcQAO</t>
  </si>
  <si>
    <t>2024-REN-Business LinkedIn</t>
  </si>
  <si>
    <t>0060W000015OHJhQAO</t>
  </si>
  <si>
    <t>2022-REN-Business LinkedIn</t>
  </si>
  <si>
    <t>0060W000012bB3LQAU</t>
  </si>
  <si>
    <t>2021-REN-Business LinkedIn-XSELL Privacy</t>
  </si>
  <si>
    <t>0060W00000zPmyoQAC</t>
  </si>
  <si>
    <t>2020 Renewal - Business.LinkedIn</t>
  </si>
  <si>
    <t>0060W0000122w8KQAQ</t>
  </si>
  <si>
    <t>2020-REN-Sun Life</t>
  </si>
  <si>
    <t>0060W00000vwp6RQAQ</t>
  </si>
  <si>
    <t>2018 Renewal - Chegg</t>
  </si>
  <si>
    <t>0060W00000vwYuZQAU</t>
  </si>
  <si>
    <t>Chegg Upsell</t>
  </si>
  <si>
    <t>0060W00000vv9hIQAQ</t>
  </si>
  <si>
    <t>2019 Renewal - Marks &amp; Spencer</t>
  </si>
  <si>
    <t>0066T000015QfK3QAK</t>
  </si>
  <si>
    <t>2022-REN-Marks &amp; Spencer</t>
  </si>
  <si>
    <t>0060W000012JcWkQAK</t>
  </si>
  <si>
    <t>2021-REN-Marks &amp; Spencer</t>
  </si>
  <si>
    <t>0060W000010wkznQAA</t>
  </si>
  <si>
    <t>2020 Renewal - Marks &amp; Spencer</t>
  </si>
  <si>
    <t>006d000000VQaPcAAL</t>
  </si>
  <si>
    <t>2014 Renewal - PMI</t>
  </si>
  <si>
    <t>0066T000017WXbQQAW</t>
  </si>
  <si>
    <t>2024-REN-PBS</t>
  </si>
  <si>
    <t>0060W000015PEXMQA4</t>
  </si>
  <si>
    <t>2022-REN-PBS</t>
  </si>
  <si>
    <t>0060W000012TQebQAG</t>
  </si>
  <si>
    <t>2021-REN-PBS</t>
  </si>
  <si>
    <t>0060W000010RW7hQAG</t>
  </si>
  <si>
    <t>2020 Renewal - PBS</t>
  </si>
  <si>
    <t>0060W00000wvVPjQAM</t>
  </si>
  <si>
    <t>2018 Renewal - Fifth Third Bank</t>
  </si>
  <si>
    <t>0066T000015qQMhQAM</t>
  </si>
  <si>
    <t>2022-REN-Fifth Third Bank</t>
  </si>
  <si>
    <t>0060W000013suHRQAY</t>
  </si>
  <si>
    <t>2021-REN-Fifth Third Bank</t>
  </si>
  <si>
    <t>0060W000011Wi9uQAC</t>
  </si>
  <si>
    <t>2020-REN-Fifth Third Bank</t>
  </si>
  <si>
    <t>0060W00000zMqEHQA0</t>
  </si>
  <si>
    <t>2019 Renewal - Fifth Third Bank</t>
  </si>
  <si>
    <t>006d000000hMTcQAAW</t>
  </si>
  <si>
    <t>2017 Renewal - Moz</t>
  </si>
  <si>
    <t>006d000000j1QAnAAM</t>
  </si>
  <si>
    <t>2017 Renewal - Silver Star Brands</t>
  </si>
  <si>
    <t>0060W00000y5ExeQAE</t>
  </si>
  <si>
    <t>2019 Renewal - America First Credit Union</t>
  </si>
  <si>
    <t>006d000000kFFdZAAW</t>
  </si>
  <si>
    <t>2018 Renewal - America First Credit Union</t>
  </si>
  <si>
    <t>0060W00000wvrVLQAY</t>
  </si>
  <si>
    <t>2019 Renewal - Argos</t>
  </si>
  <si>
    <t>006d000000uH6XQAA0</t>
  </si>
  <si>
    <t>2017 Renewal - Argos</t>
  </si>
  <si>
    <t>006d000000hzTSBAA2</t>
  </si>
  <si>
    <t>2016 Renewal - Argos</t>
  </si>
  <si>
    <t>0060W0000121nxwQAA</t>
  </si>
  <si>
    <t>2020-REN-Argos</t>
  </si>
  <si>
    <t>006d000000buuciAAA</t>
  </si>
  <si>
    <t>2015  Renewal - Hotwire</t>
  </si>
  <si>
    <t>006d000000buudCAAQ</t>
  </si>
  <si>
    <t>2015 Renewal - Ideal Living Management</t>
  </si>
  <si>
    <t>006d000000hzTjlAAE</t>
  </si>
  <si>
    <t>2016 Renewal - Ideal Living Management</t>
  </si>
  <si>
    <t>006d000000dPl4SAAS</t>
  </si>
  <si>
    <t>2015 Renewal - FedEx</t>
  </si>
  <si>
    <t>0060W00000vwbIEQAY</t>
  </si>
  <si>
    <t>2019 Renewal - Save The Children Fun</t>
  </si>
  <si>
    <t>006d000000phDUeAAM</t>
  </si>
  <si>
    <t>2017 Renewal - Save The Children Fun</t>
  </si>
  <si>
    <t>006d000000hpcYOAAY</t>
  </si>
  <si>
    <t>2016 Renewal - Save The Children Fun</t>
  </si>
  <si>
    <t>006d000000hylUEAAY</t>
  </si>
  <si>
    <t>2016 Renewal - Breather</t>
  </si>
  <si>
    <t>006d000000tvL48AAE</t>
  </si>
  <si>
    <t>2017 Renewal - Capella</t>
  </si>
  <si>
    <t>006d000000ZcnJZAAZ</t>
  </si>
  <si>
    <t>2015 Auto-renewal Numeric</t>
  </si>
  <si>
    <t>0060W00000vId3dQAC</t>
  </si>
  <si>
    <t>2018 Renewal - HCA Healthcare</t>
  </si>
  <si>
    <t>006d000000mGW7nAAG</t>
  </si>
  <si>
    <t>2017 Renewal - HCA Healthcare</t>
  </si>
  <si>
    <t>0060W00001213WAQAY</t>
  </si>
  <si>
    <t>2020 Renewal - Ciena</t>
  </si>
  <si>
    <t>0060W00000vXCbAQAW</t>
  </si>
  <si>
    <t>2018 Renewal - AMP</t>
  </si>
  <si>
    <t>006d000000kaLi0AAE</t>
  </si>
  <si>
    <t>2017 Renewal - AMP</t>
  </si>
  <si>
    <t>006d000000e5Yc3AAE</t>
  </si>
  <si>
    <t>2016 Renewal - AMP</t>
  </si>
  <si>
    <t>006VH00000PnBVNYA3</t>
  </si>
  <si>
    <t>2025 - REN - Automobile Club of Southern California</t>
  </si>
  <si>
    <t>0066T00001EK6vVQAT</t>
  </si>
  <si>
    <t>2024 - REN - Automobile Club of Southern California</t>
  </si>
  <si>
    <t>0066T00001ACsBcQAL</t>
  </si>
  <si>
    <t>2023 - REN - Automobile Club of Southern California</t>
  </si>
  <si>
    <t>0066T000016lfsDQAQ</t>
  </si>
  <si>
    <t>2022 - REN - AAA - So Cal</t>
  </si>
  <si>
    <t>0060W000014mngJQAQ</t>
  </si>
  <si>
    <t>2021-REN-AAA - So Cal</t>
  </si>
  <si>
    <t>0060W000012309QQAQ</t>
  </si>
  <si>
    <t>2020 Renewal - AAA - So Cal</t>
  </si>
  <si>
    <t>0060W00000zOeK3QAK</t>
  </si>
  <si>
    <t>2019 Renewal - AAA - So Cal</t>
  </si>
  <si>
    <t>0060W00000wwQcXQAU</t>
  </si>
  <si>
    <t>2018 Renewal - AAA - So Cal</t>
  </si>
  <si>
    <t>006d000000ctPOPAA2</t>
  </si>
  <si>
    <t>2015 Renewal IIH Nordic</t>
  </si>
  <si>
    <t>0060W00000vxajSQAQ</t>
  </si>
  <si>
    <t>2018 Renewal - American Medical</t>
  </si>
  <si>
    <t>006d000000Sra8SAAR</t>
  </si>
  <si>
    <t>2015 Renewal - American Medical</t>
  </si>
  <si>
    <t>006d000000hougzAAA</t>
  </si>
  <si>
    <t>2017 Renewal - American Medical</t>
  </si>
  <si>
    <t>006d000000bOG67AAG</t>
  </si>
  <si>
    <t>2016 Renewal - American Medical</t>
  </si>
  <si>
    <t>0060W000012bBn0QAE</t>
  </si>
  <si>
    <t>2021-REN-eHealth</t>
  </si>
  <si>
    <t>0060W00000wz8YRQAY</t>
  </si>
  <si>
    <t>2020 Renewal - eHealth</t>
  </si>
  <si>
    <t>0060W00000vXsV5QAK</t>
  </si>
  <si>
    <t>2018 Renewal - ESPN</t>
  </si>
  <si>
    <t>0060W00000zMzWvQAK</t>
  </si>
  <si>
    <t>2019 Renewal - ESPN</t>
  </si>
  <si>
    <t>0060W00000vIMLfQAO</t>
  </si>
  <si>
    <t>2018 Renewal - Ford EMEA (BlueHive)</t>
  </si>
  <si>
    <t>006d000000i0BSpAAM</t>
  </si>
  <si>
    <t>2017 Renewal - Ford EMEA (BlueHive)</t>
  </si>
  <si>
    <t>0066T000015QMnrQAG</t>
  </si>
  <si>
    <t>2022-REN-Ford EMEA (BlueHive)</t>
  </si>
  <si>
    <t>0060W000013piPBQAY</t>
  </si>
  <si>
    <t>2021-REN-Ford EMEA (BlueHive)</t>
  </si>
  <si>
    <t>0060W000012a4n9QAA</t>
  </si>
  <si>
    <t>2020-REN-Ford EMEA (BlueHive)</t>
  </si>
  <si>
    <t>0060W00000wzZGLQA2</t>
  </si>
  <si>
    <t>2019 Renewal - Ford EMEA (BlueHive)</t>
  </si>
  <si>
    <t>006d000000s9YAlAAM</t>
  </si>
  <si>
    <t>2017 Renewal - Dick's Sporting Goods</t>
  </si>
  <si>
    <t>0060W00000wxuVpQAI</t>
  </si>
  <si>
    <t>2018 Renewal - Harley-Davidson</t>
  </si>
  <si>
    <t>006d000000Yd4yGAAR</t>
  </si>
  <si>
    <t>2015 Renewal - Harley-Davidson</t>
  </si>
  <si>
    <t>006d000000uFr6UAAS</t>
  </si>
  <si>
    <t>2017 Renewal - Harley-Davidson</t>
  </si>
  <si>
    <t>006d000000hzTbRAAU</t>
  </si>
  <si>
    <t>2016 Renewal - Harley-Davidson</t>
  </si>
  <si>
    <t>0060W000011pHMEQA2</t>
  </si>
  <si>
    <t>2020 Renewal - Harley-Davidson</t>
  </si>
  <si>
    <t>0060W00000zOcf1QAC</t>
  </si>
  <si>
    <t>2019 Renewal - Harley-Davidson</t>
  </si>
  <si>
    <t>0066T000015o7VFQAY</t>
  </si>
  <si>
    <t>2023 - REN - Neiman Marcus</t>
  </si>
  <si>
    <t>0060W000011UO9RQAW</t>
  </si>
  <si>
    <t>Renewal 2021 - Neiman Marcus</t>
  </si>
  <si>
    <t>0060W00000wy5uoQAA</t>
  </si>
  <si>
    <t>2018 Renewal - Purch, Inc</t>
  </si>
  <si>
    <t>006d000000umpNKAAY</t>
  </si>
  <si>
    <t>2017 Renewal - Purch, Inc</t>
  </si>
  <si>
    <t>006d000000i02r0AAA</t>
  </si>
  <si>
    <t>2016 Renewal - Purch, Inc</t>
  </si>
  <si>
    <t>0060W00000wyScvQAE</t>
  </si>
  <si>
    <t>2019-REN-Whitbread</t>
  </si>
  <si>
    <t>006d000000uo98rAAA</t>
  </si>
  <si>
    <t>2018-REN-Whitbread</t>
  </si>
  <si>
    <t>006d000000i08eHAAQ</t>
  </si>
  <si>
    <t>2017-REN-Whitbread</t>
  </si>
  <si>
    <t>0060W00000zPbmPQAS</t>
  </si>
  <si>
    <t>2020-REN-Whitbread</t>
  </si>
  <si>
    <t>0066T000016GVVsQAO</t>
  </si>
  <si>
    <t>2022 - REN - Liberty Global</t>
  </si>
  <si>
    <t>0060W000015O0YqQAK</t>
  </si>
  <si>
    <t>2021 - REN - Liberty Global</t>
  </si>
  <si>
    <t>0060W000011pSIoQAM</t>
  </si>
  <si>
    <t>2020 Renewal - Liberty Global</t>
  </si>
  <si>
    <t>0060W00000y8oMZQAY</t>
  </si>
  <si>
    <t>2019 Renewal - Liberty Global</t>
  </si>
  <si>
    <t>0060W00000vx7UyQAI</t>
  </si>
  <si>
    <t>2018 Renewal - Liberty Global</t>
  </si>
  <si>
    <t>006d000000i1bLUAAY</t>
  </si>
  <si>
    <t>2017 Renewal - Classic Industries</t>
  </si>
  <si>
    <t>0066T000018H43AQAS</t>
  </si>
  <si>
    <t>2023 - REN - SPIE</t>
  </si>
  <si>
    <t>0066T00001CNGD4QAP</t>
  </si>
  <si>
    <t>2024 - REN - SPIE</t>
  </si>
  <si>
    <t>0066T000015RXPSQA4</t>
  </si>
  <si>
    <t>2022-REN-Epson America</t>
  </si>
  <si>
    <t>0060W000012KhlDQAS</t>
  </si>
  <si>
    <t>2021-REN-Epson America</t>
  </si>
  <si>
    <t>0060W000010wUWeQAM</t>
  </si>
  <si>
    <t>2020 Renewal - Epson America</t>
  </si>
  <si>
    <t>0060W00000vwrMmQAI</t>
  </si>
  <si>
    <t>2018 Renewal - Project Management Institute</t>
  </si>
  <si>
    <t>006d000000pLs0vAAC</t>
  </si>
  <si>
    <t>2017 Renewal - Project Management Institute</t>
  </si>
  <si>
    <t>006d000000hpcjNAAQ</t>
  </si>
  <si>
    <t>2016 Renewal - Project Management Institute</t>
  </si>
  <si>
    <t>0060W000010yCFtQAM</t>
  </si>
  <si>
    <t>2020 Renewal - Project Management Institute</t>
  </si>
  <si>
    <t>0060W00000y7c7rQAA</t>
  </si>
  <si>
    <t>2019 Renewal - Project Management Institute</t>
  </si>
  <si>
    <t>0060W00000vXVZvQAO</t>
  </si>
  <si>
    <t>2018 Renewal - iDimension_Partner</t>
  </si>
  <si>
    <t>006VH00000W3oIoYAJ</t>
  </si>
  <si>
    <t>2028 - REN - iDimension</t>
  </si>
  <si>
    <t>006VH0000045mZeYAI</t>
  </si>
  <si>
    <t>2025 - REN - iDimension</t>
  </si>
  <si>
    <t>006d000000uFbzrAAC</t>
  </si>
  <si>
    <t>2017 Renewal/Upsell - iDimension_Partner</t>
  </si>
  <si>
    <t>006d000000hzTt4AAE</t>
  </si>
  <si>
    <t>2016 Renewal - iDimension_Partner</t>
  </si>
  <si>
    <t>0066T00001ADjUeQAL</t>
  </si>
  <si>
    <t>2024 - REN - iDimension</t>
  </si>
  <si>
    <t>0066T000017V1hbQAC</t>
  </si>
  <si>
    <t>2023-REN-iDimension_Partner</t>
  </si>
  <si>
    <t>0060W000015PbndQAC</t>
  </si>
  <si>
    <t>2022-REN-iDimension_Partner</t>
  </si>
  <si>
    <t>0060W000012uCOJQA2</t>
  </si>
  <si>
    <t>2021-REN-iDimension_Partner</t>
  </si>
  <si>
    <t>0060W000010O5z3QAC</t>
  </si>
  <si>
    <t>2020 Renewal - iDimension_Partner</t>
  </si>
  <si>
    <t>0060W00000xoFqEQAU</t>
  </si>
  <si>
    <t>2019 Renewal - iDimension_Partner</t>
  </si>
  <si>
    <t>0060W0000122VSOQA2</t>
  </si>
  <si>
    <t>2021-REN-UHC</t>
  </si>
  <si>
    <t>0066T000016mW1nQAE</t>
  </si>
  <si>
    <t>2023-REN-UHC-Services-M&amp;R</t>
  </si>
  <si>
    <t>0060W000013mQaaQAE</t>
  </si>
  <si>
    <t>2021-REN-Lowe's</t>
  </si>
  <si>
    <t>0066T00001ADeeWQAT</t>
  </si>
  <si>
    <t>2025 - REN - Brunello Cucinelli</t>
  </si>
  <si>
    <t>006VH00000QhRaiYAF</t>
  </si>
  <si>
    <t>2025 - REN - Moncler SpA</t>
  </si>
  <si>
    <t>006VH00000OSioIYAT</t>
  </si>
  <si>
    <t>2025 - REN - Explora Journeys</t>
  </si>
  <si>
    <t>006VH00000IDeZxYAL</t>
  </si>
  <si>
    <t>2025 - REN - BitBang</t>
  </si>
  <si>
    <t>006d000000uElXJAA0</t>
  </si>
  <si>
    <t>2017 Renewal - Manheim</t>
  </si>
  <si>
    <t>006d000000hsYmiAAE</t>
  </si>
  <si>
    <t>2016 Renewal - Manheim</t>
  </si>
  <si>
    <t>0066T000017XrgpQAC</t>
  </si>
  <si>
    <t>2023 - REN - Consumer Reports</t>
  </si>
  <si>
    <t>0060W00000vXSPEQA4</t>
  </si>
  <si>
    <t>2018 Renewal - Vodafone</t>
  </si>
  <si>
    <t>006d000000kUlk3AAC</t>
  </si>
  <si>
    <t>2017 Renewal - Vodafone</t>
  </si>
  <si>
    <t>006d000000eLfCHAA0</t>
  </si>
  <si>
    <t>2016 Renewal - Vodafone</t>
  </si>
  <si>
    <t>0060W00000wvbdrQAA</t>
  </si>
  <si>
    <t>2019 Renewal - Bose WebAssurance</t>
  </si>
  <si>
    <t>0060W00000vvmARQAY</t>
  </si>
  <si>
    <t>2018 Renewal - Career Education</t>
  </si>
  <si>
    <t>0060W00000vwmHOQAY</t>
  </si>
  <si>
    <t>2018 Renewal - Synopsys</t>
  </si>
  <si>
    <t>0060W00000wvrOUQAY</t>
  </si>
  <si>
    <t>2018 Renewal - MD Anderson Cancer Center</t>
  </si>
  <si>
    <t>006d000000ttylSAAQ</t>
  </si>
  <si>
    <t>2017 Renewal - MD Anderson Cancer Center</t>
  </si>
  <si>
    <t>006d000000hsS3FAAU</t>
  </si>
  <si>
    <t>2016 Renewal - MD Anderson Cancer Center</t>
  </si>
  <si>
    <t>0060W000011otfGQAQ</t>
  </si>
  <si>
    <t>2022 Renewal - MD Anderson Cancer Center</t>
  </si>
  <si>
    <t>0060W00000zMWAIQA4</t>
  </si>
  <si>
    <t>2019 Renewal - MD Anderson Cancer Center</t>
  </si>
  <si>
    <t>006d000000qprpUAAQ</t>
  </si>
  <si>
    <t>2017 Renewal - Salesforce Marketing Cloud</t>
  </si>
  <si>
    <t>006d000000i0TwPAAU</t>
  </si>
  <si>
    <t>2017 Renewal - Direct General</t>
  </si>
  <si>
    <t>0060W00000vxDeuQAE</t>
  </si>
  <si>
    <t>2018 Renewal - Sears</t>
  </si>
  <si>
    <t>006d000000riKBKAA2</t>
  </si>
  <si>
    <t>2017 Renewal - Sears</t>
  </si>
  <si>
    <t>0060W00000vviDgQAI</t>
  </si>
  <si>
    <t>2018 Renewal - Vanguard</t>
  </si>
  <si>
    <t>006d000000phcC8AAI</t>
  </si>
  <si>
    <t>2017 Renewal - Vanguard</t>
  </si>
  <si>
    <t>0060W000010yUCWQA2</t>
  </si>
  <si>
    <t>2020 Renewal - Vanguard</t>
  </si>
  <si>
    <t>0060W00000y7EHCQA2</t>
  </si>
  <si>
    <t>2019 Renewal - Vanguard</t>
  </si>
  <si>
    <t>0060W00000wwQdVQAU</t>
  </si>
  <si>
    <t>2018 Renewal - Air New Zealand</t>
  </si>
  <si>
    <t>006d000000uEhFxAAK</t>
  </si>
  <si>
    <t>2017 Renewal - Air New Zealand</t>
  </si>
  <si>
    <t>006d000000hzTTnAAM</t>
  </si>
  <si>
    <t>2016 Renewal - Air New Zealand</t>
  </si>
  <si>
    <t>0060W00000wxYEoQAM</t>
  </si>
  <si>
    <t>2018 Renewal - Deluxe Corporation</t>
  </si>
  <si>
    <t>006d000000i1bCZAAY</t>
  </si>
  <si>
    <t>2017 Renewal - Deluxe Corporation</t>
  </si>
  <si>
    <t>0060W00000vvLkSQAU</t>
  </si>
  <si>
    <t>2020 Renewal - Stanford Health Care</t>
  </si>
  <si>
    <t>006d000000jcHJMAA2</t>
  </si>
  <si>
    <t>2017 Renewal - Stanford Health Care</t>
  </si>
  <si>
    <t>006d000000hpFjlAAE</t>
  </si>
  <si>
    <t>2016 Renewal - Stanford Health Care</t>
  </si>
  <si>
    <t>0066T0000168AoFQAU</t>
  </si>
  <si>
    <t>2024-REN-Stanford Health Care</t>
  </si>
  <si>
    <t>0060W000012KYSdQAO</t>
  </si>
  <si>
    <t>2021-REN-Stanford Health Care</t>
  </si>
  <si>
    <t>006d000000hzTs9AAE</t>
  </si>
  <si>
    <t>2016 Renewal - Imagitas inc- Move.com</t>
  </si>
  <si>
    <t>006d000000fXkvXAAS</t>
  </si>
  <si>
    <t>2016 Renewal - Digitas - Renault-Nissan</t>
  </si>
  <si>
    <t>006d000000kWki3AAC</t>
  </si>
  <si>
    <t>2017 Renewal - Digitas - Renault-Nissan</t>
  </si>
  <si>
    <t>0060W00000vxDbgQAE</t>
  </si>
  <si>
    <t>2018 Renewal - IMS - Colony Brands</t>
  </si>
  <si>
    <t>006d000000i0BaKAAU</t>
  </si>
  <si>
    <t>2017 Renewal - IMS - Colony Brands</t>
  </si>
  <si>
    <t>0060W000013qAOzQAM</t>
  </si>
  <si>
    <t>2021-REN-IMS - Colony Brands</t>
  </si>
  <si>
    <t>0060W000010yZeHQAU</t>
  </si>
  <si>
    <t>2020 Renewal - IMS - Colony Brands</t>
  </si>
  <si>
    <t>0060W00000y7r2bQAA</t>
  </si>
  <si>
    <t>2019 Renewal - IMS - Colony Brands</t>
  </si>
  <si>
    <t>006d000000kRnLzAAK</t>
  </si>
  <si>
    <t>2018 Renewal - 22squared OBO Publix Supermarkets</t>
  </si>
  <si>
    <t>0060W00000y88mRQAQ</t>
  </si>
  <si>
    <t>2019 Renewal - TaxSlayer</t>
  </si>
  <si>
    <t>0066T000017U0lLQAS</t>
  </si>
  <si>
    <t>2022 - REN - Volkswagen AG - Web</t>
  </si>
  <si>
    <t>0060W000014mlDSQAY</t>
  </si>
  <si>
    <t>2021 - REN - Volkswagen AG - Web</t>
  </si>
  <si>
    <t>0060W00000zP755QAC</t>
  </si>
  <si>
    <t>2019 Renewal - Toll Brothers</t>
  </si>
  <si>
    <t>0060W00000wyJybQAE</t>
  </si>
  <si>
    <t>2018 Renewal - Toll Brothers</t>
  </si>
  <si>
    <t>0060W000010P45IQAS</t>
  </si>
  <si>
    <t>2020 Renewal - Zions Bank</t>
  </si>
  <si>
    <t>0060W000015PjLjQAK</t>
  </si>
  <si>
    <t>2022-REN-Zions Bank</t>
  </si>
  <si>
    <t>0060W0000137BqJQAU</t>
  </si>
  <si>
    <t>2021-REN-Zions Bank</t>
  </si>
  <si>
    <t>006d000000i0IqHAAU</t>
  </si>
  <si>
    <t>2017 Renewal - The Globe and Mail</t>
  </si>
  <si>
    <t>006d000000tuXx0AAE</t>
  </si>
  <si>
    <t>2018 Renewal - The Toronto Dominion Bank</t>
  </si>
  <si>
    <t>006d000000tuXz1AAE</t>
  </si>
  <si>
    <t>2017 MS Renewal - The Toronto Dominion Bank</t>
  </si>
  <si>
    <t>0060W00000vwLroQAE</t>
  </si>
  <si>
    <t>2017 Renewal - Charter/ Spectrum</t>
  </si>
  <si>
    <t>006d000000hpcPFAAY</t>
  </si>
  <si>
    <t>2016 Renewal - Time Warner Cable</t>
  </si>
  <si>
    <t>0066T00001CMyOTQA1</t>
  </si>
  <si>
    <t>2026 - REN - Charter Communications Operating, LLC</t>
  </si>
  <si>
    <t>0066T0000168YjCQAU</t>
  </si>
  <si>
    <t>2023-REN-Charter - Spectrum</t>
  </si>
  <si>
    <t>0060W000010q4XBQAY</t>
  </si>
  <si>
    <t>2021 Renewal - Charter/ Spectrum</t>
  </si>
  <si>
    <t>0060W00000wxEAuQAM</t>
  </si>
  <si>
    <t>2019 Renewal - Charter/ Spectrum</t>
  </si>
  <si>
    <t>006d000000hrjVmAAI</t>
  </si>
  <si>
    <t>2016 Renewal - RentPath- Rent.com</t>
  </si>
  <si>
    <t>006d000000umpSPAAY</t>
  </si>
  <si>
    <t>2017 Renewal - Burberry</t>
  </si>
  <si>
    <t>006d000000i0BPDAA2</t>
  </si>
  <si>
    <t>2016 Renewal - Burberry</t>
  </si>
  <si>
    <t>006VH00000XOatlYAD</t>
  </si>
  <si>
    <t>2026 - REN - The Vanguard Group</t>
  </si>
  <si>
    <t>0066T00001CMAYrQAP</t>
  </si>
  <si>
    <t>2025 - REN - The Vanguard Group</t>
  </si>
  <si>
    <t>0066T000018GVV9QAO</t>
  </si>
  <si>
    <t>2023 - REN - The Vanguard Group</t>
  </si>
  <si>
    <t>0066T0000168Yo2QAE</t>
  </si>
  <si>
    <t>2022-REN-Vanguard</t>
  </si>
  <si>
    <t>0060W000012KiDlQAK</t>
  </si>
  <si>
    <t>2021 Renewal - Vanguard</t>
  </si>
  <si>
    <t>006d000000hzTc0AAE</t>
  </si>
  <si>
    <t>2016 Renewal - PennyMac Loan Services</t>
  </si>
  <si>
    <t>006d000000i0BX2AAM</t>
  </si>
  <si>
    <t>2017 Renewal - Strayer University</t>
  </si>
  <si>
    <t>006d000000i0BRDAA2</t>
  </si>
  <si>
    <t>2017 Renewal - Progress Software</t>
  </si>
  <si>
    <t>0060W00000vw370QAA</t>
  </si>
  <si>
    <t>2017 Renewal/Upsell - Accenture Ltd</t>
  </si>
  <si>
    <t>0066T000015pmMFQAY</t>
  </si>
  <si>
    <t>2023 Renewal - Accenture Ltd</t>
  </si>
  <si>
    <t>0060W000011WDnRQAW</t>
  </si>
  <si>
    <t>2021 Renewal - Accenture Ltd</t>
  </si>
  <si>
    <t>0060W00000y8Q1PQAU</t>
  </si>
  <si>
    <t>2019 Renewal - Accenture Ltd</t>
  </si>
  <si>
    <t>0060W00000vwdYiQAI</t>
  </si>
  <si>
    <t>2018 Renewal - Accenture Ltd</t>
  </si>
  <si>
    <t>0060W00000vxVEOQA2</t>
  </si>
  <si>
    <t>2018 Renewal - Viacom - Nick Jr Addition</t>
  </si>
  <si>
    <t>006d000000sAn7bAAC</t>
  </si>
  <si>
    <t>2017 Renewal - Viacom - Nick Jr Addition</t>
  </si>
  <si>
    <t>0060W000011WeewQAC</t>
  </si>
  <si>
    <t>2020-REN-Elevate</t>
  </si>
  <si>
    <t>0060W00000zMbJVQA0</t>
  </si>
  <si>
    <t>2019 Renewal - Elevate</t>
  </si>
  <si>
    <t>0060W00000vvjdHQAQ</t>
  </si>
  <si>
    <t>2018 Renewal - Bonneville Communications</t>
  </si>
  <si>
    <t>006d000000oSS81AAG</t>
  </si>
  <si>
    <t>2017 Renewal - Bonneville Communications</t>
  </si>
  <si>
    <t>006d000000hpcWvAAI</t>
  </si>
  <si>
    <t>2016 Renewal - Bonneville Communications</t>
  </si>
  <si>
    <t>0060W000010xXaMQAU</t>
  </si>
  <si>
    <t>2020 Renewal - Bonneville Communications</t>
  </si>
  <si>
    <t>0060W00000y7OJ6QAM</t>
  </si>
  <si>
    <t>2019 Renewal - Bonneville Communications</t>
  </si>
  <si>
    <t>0060W0000121potQAA</t>
  </si>
  <si>
    <t>2020 Renewal - Coastal Contacts</t>
  </si>
  <si>
    <t>0060W00000zNpMGQA0</t>
  </si>
  <si>
    <t>2019 Renewal - Coastal Contacts</t>
  </si>
  <si>
    <t>006VH000003dCArYAM</t>
  </si>
  <si>
    <t>2025 - REN - GEICO</t>
  </si>
  <si>
    <t>0066T000015PzkCQAS</t>
  </si>
  <si>
    <t>2022-REN-Sallie Mae</t>
  </si>
  <si>
    <t>0060W0000133tkOQAQ</t>
  </si>
  <si>
    <t>2021-REN-Sallie Mae</t>
  </si>
  <si>
    <t>0060W000010vKkmQAE</t>
  </si>
  <si>
    <t>2020 Renewal - Sallie Mae</t>
  </si>
  <si>
    <t>0060W00000wxuUhQAI</t>
  </si>
  <si>
    <t>2018 Renewal - AARP</t>
  </si>
  <si>
    <t>006d000000i1bEkAAI</t>
  </si>
  <si>
    <t>2017 Renewal - AARP</t>
  </si>
  <si>
    <t>0060W00000vvrQVQAY</t>
  </si>
  <si>
    <t>2018 Renewal - Esri Opp</t>
  </si>
  <si>
    <t>0060W00000y74n1QAA</t>
  </si>
  <si>
    <t>2019 Renewal - Esri Opp</t>
  </si>
  <si>
    <t>0060W00000wxkrgQAA</t>
  </si>
  <si>
    <t>2018 Renewal - Yard Digital</t>
  </si>
  <si>
    <t>006d000000i1bBbAAI</t>
  </si>
  <si>
    <t>2017 Renewal - Yard Digital</t>
  </si>
  <si>
    <t>0060W00000zOXkVQAW</t>
  </si>
  <si>
    <t>2019 Renewal - Yard Digital</t>
  </si>
  <si>
    <t>0060W00000vwRHKQA2</t>
  </si>
  <si>
    <t>2018 Renewal - TracFone Wireless</t>
  </si>
  <si>
    <t>006d000000oqVmxAAE</t>
  </si>
  <si>
    <t>2017 Renewal - TracFone Wireless</t>
  </si>
  <si>
    <t>006VH00000Oo6AsYAJ</t>
  </si>
  <si>
    <t>2025 - REN - UPS</t>
  </si>
  <si>
    <t>0066T00001B8ZaJQAV</t>
  </si>
  <si>
    <t>2024 - REN - Shutterfly</t>
  </si>
  <si>
    <t>006VH000006PgrvYAC</t>
  </si>
  <si>
    <t>2025 - REN - Shutterfly</t>
  </si>
  <si>
    <t>006VH000003sbH2YAI</t>
  </si>
  <si>
    <t>2025 - REN - Frontier Communications</t>
  </si>
  <si>
    <t>006VH00000QfSJ7YAN</t>
  </si>
  <si>
    <t>2025 - REN - Conrad Electronic International GmbH and Co KG</t>
  </si>
  <si>
    <t>0066T000016l80BQAQ</t>
  </si>
  <si>
    <t>2022-REN-Citigroup</t>
  </si>
  <si>
    <t>0060W000014b5cIQAQ</t>
  </si>
  <si>
    <t>2021-REN-Citigroup</t>
  </si>
  <si>
    <t>006d000000i0BQUAA2</t>
  </si>
  <si>
    <t>2016 Renewal - Astound Commerce - LLX/Jimmy Choo</t>
  </si>
  <si>
    <t>006d000000umpZcAAI</t>
  </si>
  <si>
    <t>2017 Renewal - Astound Commerce - LLX/Jimmy Choo</t>
  </si>
  <si>
    <t>0060W00000xojtHQAQ</t>
  </si>
  <si>
    <t>2020 Renewal - REI</t>
  </si>
  <si>
    <t>006d000000i1bNJAAY</t>
  </si>
  <si>
    <t>2018 Renewal - REI</t>
  </si>
  <si>
    <t>0060W000012T0YjQAK</t>
  </si>
  <si>
    <t>2022-REN-REI</t>
  </si>
  <si>
    <t>006d000000cFn0AAAS</t>
  </si>
  <si>
    <t>2016 Renewal - Eddie Bauer</t>
  </si>
  <si>
    <t>006d000000Sra8VAAR</t>
  </si>
  <si>
    <t>2015 Renewal - Eddie Bauer</t>
  </si>
  <si>
    <t>0060W00000vvlFzQAI</t>
  </si>
  <si>
    <t>2017 Upsell/Renewal - Texas Instruments</t>
  </si>
  <si>
    <t>006d000000ZWbSDAA1</t>
  </si>
  <si>
    <t>2014 Renewal - Texas Instruments</t>
  </si>
  <si>
    <t>006d000000Sra8ZAAR</t>
  </si>
  <si>
    <t>2015 Renewal - Texas Instruments</t>
  </si>
  <si>
    <t>006d000000i1bX1AAI</t>
  </si>
  <si>
    <t>2016 Renewal - Texas Instruments</t>
  </si>
  <si>
    <t>0066T000018FvCKQA0</t>
  </si>
  <si>
    <t>2024 - REN - Texas Instruments</t>
  </si>
  <si>
    <t>0060W000012Ki8bQAC</t>
  </si>
  <si>
    <t>2022 Renewal - Texas Instruments</t>
  </si>
  <si>
    <t>0060W000010yCKjQAM</t>
  </si>
  <si>
    <t>2020 Renewal - Texas Instruments</t>
  </si>
  <si>
    <t>0060W00000y7lrxQAA</t>
  </si>
  <si>
    <t>2019 Renewal - Texas Instruments</t>
  </si>
  <si>
    <t>0060W00000vwYruQAE</t>
  </si>
  <si>
    <t>2018 Renewal - Texas Instruments</t>
  </si>
  <si>
    <t>0060W00000y5Te4QAE</t>
  </si>
  <si>
    <t>2018 Renewal - Suncorp</t>
  </si>
  <si>
    <t>006d000000sjYtiAAE</t>
  </si>
  <si>
    <t>2017 Renewal - Suncorp</t>
  </si>
  <si>
    <t>006d000000hrja9AAA</t>
  </si>
  <si>
    <t>2016 Renewal - Suncorp</t>
  </si>
  <si>
    <t>0060W0000120UxhQAE</t>
  </si>
  <si>
    <t>2019-REN-Suncorp-Script Services</t>
  </si>
  <si>
    <t>0060W00000zMmoOQAS</t>
  </si>
  <si>
    <t>2019 Renewal - Suncorp</t>
  </si>
  <si>
    <t>006d000000hsnnNAAQ</t>
  </si>
  <si>
    <t>2016 Renewal - GlaxoSmithKline</t>
  </si>
  <si>
    <t>0066T00001ACmcBQAT</t>
  </si>
  <si>
    <t>2023 - REN - Immobilien Scout</t>
  </si>
  <si>
    <t>006d000000t16OwAAI</t>
  </si>
  <si>
    <t>2016 Renewal - STYLEPIT</t>
  </si>
  <si>
    <t>0060W00000vuvYmQAI</t>
  </si>
  <si>
    <t>2018 Renewal - Tinkoff Bank</t>
  </si>
  <si>
    <t>006d000000orTO9AAM</t>
  </si>
  <si>
    <t>2017 Renewal - Tinkoff Bank</t>
  </si>
  <si>
    <t>0060W00000zMmrcQAC</t>
  </si>
  <si>
    <t>2019 Renewal - Tinkoff Bank</t>
  </si>
  <si>
    <t>0060W00000xo2EQQAY</t>
  </si>
  <si>
    <t>2019 Renewal - CNBC</t>
  </si>
  <si>
    <t>006d000000umRfgAAE</t>
  </si>
  <si>
    <t>2017 Renewal - CNBC</t>
  </si>
  <si>
    <t>0066T000016nZ8hQAE</t>
  </si>
  <si>
    <t>2023-REN-CNBC</t>
  </si>
  <si>
    <t>0060W000014oGg0QAE</t>
  </si>
  <si>
    <t>2022-REN-CNBC</t>
  </si>
  <si>
    <t>0060W000012ZN00QAG</t>
  </si>
  <si>
    <t>2021-REN-CNBC</t>
  </si>
  <si>
    <t>0060W00000zPl3wQAC</t>
  </si>
  <si>
    <t>2020 Renewal - CNBC</t>
  </si>
  <si>
    <t>006d000000hpcb4AAA</t>
  </si>
  <si>
    <t>2016 Renewal - The Aldo Group</t>
  </si>
  <si>
    <t>006d000000hpcR2AAI</t>
  </si>
  <si>
    <t>2016 Renewal - SmarterHQ</t>
  </si>
  <si>
    <t>0060W00000zPHvdQAG</t>
  </si>
  <si>
    <t>2020 Renewal - NBCNews/ MSNBC / Today / Telemundo</t>
  </si>
  <si>
    <t>006d000000ultayAAA</t>
  </si>
  <si>
    <t>NBC ENT+AppAssurance (Today.com - iOS &amp; Android)</t>
  </si>
  <si>
    <t>0060W000014oOlqQAE</t>
  </si>
  <si>
    <t>2022-REN-NBCNews/ MSNBC / Today / Telemundo</t>
  </si>
  <si>
    <t>0060W0000121aKCQAY</t>
  </si>
  <si>
    <t>2021 Renewal - NBCNews/ MSNBC / Today / Telemundo</t>
  </si>
  <si>
    <t>006d000000hpcjmAAA</t>
  </si>
  <si>
    <t>2016 Renewal - Anglian Group</t>
  </si>
  <si>
    <t>006d000000i1bpbAAA</t>
  </si>
  <si>
    <t>2016 Managed Services Renewal</t>
  </si>
  <si>
    <t>006d000000i1xUaAAI</t>
  </si>
  <si>
    <t>2016 Renewal - Kate Spade</t>
  </si>
  <si>
    <t>006d000000hpce3AAA</t>
  </si>
  <si>
    <t>2016 Renewal - Insurance Australia Group</t>
  </si>
  <si>
    <t>006d000000hpGIIAA2</t>
  </si>
  <si>
    <t>2016 Renewal - Telstra</t>
  </si>
  <si>
    <t>006d000000hpcehAAA</t>
  </si>
  <si>
    <t>2016 Renewal - Webtrends</t>
  </si>
  <si>
    <t>006d000000phBbEAAU</t>
  </si>
  <si>
    <t>2017 Renewal - Webtrends</t>
  </si>
  <si>
    <t>006d000000YiBwwAAF</t>
  </si>
  <si>
    <t>2015 Renewal - A&amp;E Television</t>
  </si>
  <si>
    <t>006d000000hplYXAAY</t>
  </si>
  <si>
    <t>2016 Renewal - CBS Interactive</t>
  </si>
  <si>
    <t>006d000000rb8EnAAI</t>
  </si>
  <si>
    <t>2018 Renewal - CBS Interactive</t>
  </si>
  <si>
    <t>006d000000hpjXrAAI</t>
  </si>
  <si>
    <t>2016 Renewal - Hallmark</t>
  </si>
  <si>
    <t>006d000000Wust2AAB</t>
  </si>
  <si>
    <t>2015 Renewal - Hallmark</t>
  </si>
  <si>
    <t>006d000000c1OnIAAU</t>
  </si>
  <si>
    <t>2015 Renewal - United Airlines</t>
  </si>
  <si>
    <t>006d000000i1U3XAAU</t>
  </si>
  <si>
    <t>2018 Renewal - Amway</t>
  </si>
  <si>
    <t>006d000000hpclsAAA</t>
  </si>
  <si>
    <t>2016 Renewal - Verizon Wireless</t>
  </si>
  <si>
    <t>006d000000TFLhbAAH</t>
  </si>
  <si>
    <t>2015 Renewal - Verizon Wireless</t>
  </si>
  <si>
    <t>0060W00000vwbsgQAA</t>
  </si>
  <si>
    <t>2018 Renewal - Lululemon Athletica Inc</t>
  </si>
  <si>
    <t>006d000000i0BayAAE</t>
  </si>
  <si>
    <t>2017 Renewal - Lululemon Athletica Inc</t>
  </si>
  <si>
    <t>0060W000013piRaQAI</t>
  </si>
  <si>
    <t>2021-REN-Lululemon Athletica Inc</t>
  </si>
  <si>
    <t>0060W000010pqQTQAY</t>
  </si>
  <si>
    <t>2020 Renewal - Lululemon Athletica Inc</t>
  </si>
  <si>
    <t>0060W00000y7qytQAA</t>
  </si>
  <si>
    <t>2019 Renewal - Lululemon Athletica Inc</t>
  </si>
  <si>
    <t>006d000000ct6k6AAA</t>
  </si>
  <si>
    <t>2015 Renewal - PWC</t>
  </si>
  <si>
    <t>0060W00000vxTESQA2</t>
  </si>
  <si>
    <t>Placeholder - EHI 2nd year upsell</t>
  </si>
  <si>
    <t>0060W00000vXQlWQAW</t>
  </si>
  <si>
    <t>2020 Renewal - RS Components</t>
  </si>
  <si>
    <t>006d000000kcYucAAE</t>
  </si>
  <si>
    <t>2017 Renewal - RS Components</t>
  </si>
  <si>
    <t>0060W000012uP1JQAU</t>
  </si>
  <si>
    <t>2022-REN-RS Components</t>
  </si>
  <si>
    <t>0060W000010xGMjQAM</t>
  </si>
  <si>
    <t>2020 Renewal - O2</t>
  </si>
  <si>
    <t>006d000000kRnUtAAK</t>
  </si>
  <si>
    <t>2017 Renewal - TBC</t>
  </si>
  <si>
    <t>0060W000012aS1XQAU</t>
  </si>
  <si>
    <t>2023-REN-Radisson Global</t>
  </si>
  <si>
    <t>0060W00000wxa7BQAQ</t>
  </si>
  <si>
    <t>2018 Renewal - La Capitale</t>
  </si>
  <si>
    <t>006d000000uEaIpAAK</t>
  </si>
  <si>
    <t>2017 Renewal - La Capitale</t>
  </si>
  <si>
    <t>006d000000hzTeVAAU</t>
  </si>
  <si>
    <t>2016 Renewal - La Capitale</t>
  </si>
  <si>
    <t>0066T000015RXxjQAG</t>
  </si>
  <si>
    <t>2022-REN-La Capitale</t>
  </si>
  <si>
    <t>0060W0000122CASQA2</t>
  </si>
  <si>
    <t>2020-REN-La Capitale</t>
  </si>
  <si>
    <t>0060W00000zOxRuQAK</t>
  </si>
  <si>
    <t>2019 Renewal - La Capitale</t>
  </si>
  <si>
    <t>0060W00000vXSRZQA4</t>
  </si>
  <si>
    <t>2018 Renewal - Cablevision</t>
  </si>
  <si>
    <t>006d000000iFUE4AAO</t>
  </si>
  <si>
    <t>2017 Renewal - Cablevision</t>
  </si>
  <si>
    <t>0060W00000wxaITQAY</t>
  </si>
  <si>
    <t>2019 Renewal - Azul</t>
  </si>
  <si>
    <t>0066T000017UCK4QAO</t>
  </si>
  <si>
    <t>2023-REN-Lloyds Bank</t>
  </si>
  <si>
    <t>0060W00000wxsmKQAQ</t>
  </si>
  <si>
    <t>2018 Renewal - Orvis</t>
  </si>
  <si>
    <t>006d000000rbezMAAQ</t>
  </si>
  <si>
    <t>2017 Renewal - Orvis</t>
  </si>
  <si>
    <t>0060W0000122L2zQAE</t>
  </si>
  <si>
    <t>2020-REN-Orvis</t>
  </si>
  <si>
    <t>0060W00000zP7MfQAK</t>
  </si>
  <si>
    <t>2019 Renewal - Orvis</t>
  </si>
  <si>
    <t>0060W00000vX925QAC</t>
  </si>
  <si>
    <t>2017 Renewal/Upsell - RBC AppAssurance</t>
  </si>
  <si>
    <t>0066T000015qdahQAA</t>
  </si>
  <si>
    <t>2022-REN-RBC</t>
  </si>
  <si>
    <t>0060W000014bs45QAA</t>
  </si>
  <si>
    <t>2021-REN-RBC</t>
  </si>
  <si>
    <t>0060W000011VhCTQA0</t>
  </si>
  <si>
    <t>2020 Renewal - RBC</t>
  </si>
  <si>
    <t>0060W00000zNKnDQAW</t>
  </si>
  <si>
    <t>2019 Renewal - RBC</t>
  </si>
  <si>
    <t>0060W00000xoU7jQAE</t>
  </si>
  <si>
    <t>2018 Renewal - RBC</t>
  </si>
  <si>
    <t>0066T00001ADVMuQAP</t>
  </si>
  <si>
    <t>2024 - REN - Selfridges &amp; Co.</t>
  </si>
  <si>
    <t>0060W000014UlkkQAC</t>
  </si>
  <si>
    <t>2023-REN-Selfridges</t>
  </si>
  <si>
    <t>0060W0000123qnGQAQ</t>
  </si>
  <si>
    <t>2021-REN-Selfridges</t>
  </si>
  <si>
    <t>0060W00000zNr7iQAC</t>
  </si>
  <si>
    <t>2020 Renewal - Selfridges</t>
  </si>
  <si>
    <t>006d000000hrjXdAAI</t>
  </si>
  <si>
    <t>2016 Renewal - Intheswim.com</t>
  </si>
  <si>
    <t>0060W00000vvjWkQAI</t>
  </si>
  <si>
    <t>2017 Renewal - Bank of Nova Scotia</t>
  </si>
  <si>
    <t>0060W00000y6lVpQAI</t>
  </si>
  <si>
    <t>2019 Renewal - Bank of Nova Scotia</t>
  </si>
  <si>
    <t>0060W00000vvRbRQAU</t>
  </si>
  <si>
    <t>2018 Renewal - Bank of Nova Scotia</t>
  </si>
  <si>
    <t>0060W00000vx0tAQAQ</t>
  </si>
  <si>
    <t>2019 Renewal - EE</t>
  </si>
  <si>
    <t>0066T000016HLgfQAG</t>
  </si>
  <si>
    <t>2022-REN-SPIE</t>
  </si>
  <si>
    <t>0060W000013pntOQAQ</t>
  </si>
  <si>
    <t>2021-REN-SPIE</t>
  </si>
  <si>
    <t>0060W000010yZbSQAU</t>
  </si>
  <si>
    <t>2020 Renewal - SPIE</t>
  </si>
  <si>
    <t>0060W00000y8o8rQAA</t>
  </si>
  <si>
    <t>2019 Renewal - SPIE</t>
  </si>
  <si>
    <t>006d000000raqHxAAI</t>
  </si>
  <si>
    <t>2018 Renewal - Mezzo Labs</t>
  </si>
  <si>
    <t>0060W00000wyJAHQA2</t>
  </si>
  <si>
    <t>2018 Renewal - Direct Line Group</t>
  </si>
  <si>
    <t>0066T000016nSoKQAU</t>
  </si>
  <si>
    <t>2023-REN-Direct Line Group</t>
  </si>
  <si>
    <t>0060W0000121ivsQAA</t>
  </si>
  <si>
    <t>2021-REN-Direct Line Group</t>
  </si>
  <si>
    <t>0060W00000zOcewQAC</t>
  </si>
  <si>
    <t>2019 Renewal - Direct Line Group</t>
  </si>
  <si>
    <t>0060W00000zONp6QAG</t>
  </si>
  <si>
    <t>2019 Renewal - Barclays UK</t>
  </si>
  <si>
    <t>006d000000uEhgoAAC</t>
  </si>
  <si>
    <t>2017 Renewal - Rolex</t>
  </si>
  <si>
    <t>0066T000016js7BQAQ</t>
  </si>
  <si>
    <t>2022-REN-Rolex</t>
  </si>
  <si>
    <t>0060W000013sE2SQAU</t>
  </si>
  <si>
    <t>2021-REN-Rolex</t>
  </si>
  <si>
    <t>0060W0000120L1NQAU</t>
  </si>
  <si>
    <t>2020 Renewal - Rolex</t>
  </si>
  <si>
    <t>0060W00000zMmtdQAC</t>
  </si>
  <si>
    <t>2019 Renewal - Rolex</t>
  </si>
  <si>
    <t>0060W00000wvm6RQAQ</t>
  </si>
  <si>
    <t>2018 Renewal - Rolex</t>
  </si>
  <si>
    <t>0060W000010yOqxQAE</t>
  </si>
  <si>
    <t>2020 Renewal - Eventim</t>
  </si>
  <si>
    <t>0066T0000168YrZQAU</t>
  </si>
  <si>
    <t>2022-REN-Eventim</t>
  </si>
  <si>
    <t>0060W000013lKwlQAE</t>
  </si>
  <si>
    <t>2021-REN-Eventim</t>
  </si>
  <si>
    <t>0060W00000y7cARQAY</t>
  </si>
  <si>
    <t>2019 Renewal - Eventim</t>
  </si>
  <si>
    <t>0060W00000wwgwGQAQ</t>
  </si>
  <si>
    <t>2018 Renewal - Netapp</t>
  </si>
  <si>
    <t>0060W00000y8XlYQAU</t>
  </si>
  <si>
    <t>2019 Renewal - Netapp</t>
  </si>
  <si>
    <t>006d000000i1XrOAAU</t>
  </si>
  <si>
    <t>2018 Renewal - AT&amp;T</t>
  </si>
  <si>
    <t>0066T000017Wf7CQAS</t>
  </si>
  <si>
    <t>2023 - REN - Robert Half International</t>
  </si>
  <si>
    <t>0066T000015PzCyQAK</t>
  </si>
  <si>
    <t>2022 - REN - Robert Half International</t>
  </si>
  <si>
    <t>0060W000010R5mJQAS</t>
  </si>
  <si>
    <t>2020 Renewal - Robert Half</t>
  </si>
  <si>
    <t>0060W00000wwHCrQAM</t>
  </si>
  <si>
    <t>2018 Renewal - Jet2.com</t>
  </si>
  <si>
    <t>006d000000rXZhDAAW</t>
  </si>
  <si>
    <t>2017 Renewal - Jet2.com</t>
  </si>
  <si>
    <t>006d000000hylWUAAY</t>
  </si>
  <si>
    <t>2016 Renewal - Jet2.com</t>
  </si>
  <si>
    <t>0060W00000zN6BBQA0</t>
  </si>
  <si>
    <t>2019 Renewal - Jet2.com</t>
  </si>
  <si>
    <t>0066T00001CNGBDQA5</t>
  </si>
  <si>
    <t>2024 - REN - The Swiss Colony</t>
  </si>
  <si>
    <t>006d000000hsS74AAE</t>
  </si>
  <si>
    <t>2016 Renewal - Children's Place</t>
  </si>
  <si>
    <t>0060W00000vX0H6QAK</t>
  </si>
  <si>
    <t>2018 Renewal - Kaspersky</t>
  </si>
  <si>
    <t>006d000000XWN2sAAH</t>
  </si>
  <si>
    <t>Kaspersky - Renewal &amp; Upsell</t>
  </si>
  <si>
    <t>006d000000vEzJpAAK</t>
  </si>
  <si>
    <t>2017 Renewal/Upsell - Kaspersky</t>
  </si>
  <si>
    <t>0060W00000xog0QQAQ</t>
  </si>
  <si>
    <t>2019 Renewal - Kaspersky</t>
  </si>
  <si>
    <t>0060W00000xoiEsQAI</t>
  </si>
  <si>
    <t>2019 Renewal - Bell Canada Enterprises</t>
  </si>
  <si>
    <t>0060W00000y5AQXQA2</t>
  </si>
  <si>
    <t>2019 Renewal - T4Media OBO Mercedes</t>
  </si>
  <si>
    <t>006d000000kiou2AAA</t>
  </si>
  <si>
    <t>2018 Renewal - T4Media OBO Mercedes</t>
  </si>
  <si>
    <t>0060W000012SzscQAC</t>
  </si>
  <si>
    <t>2021-REN-T4Media OBO Mercedes</t>
  </si>
  <si>
    <t>0060W000010Q88dQAC</t>
  </si>
  <si>
    <t>2020 Renewal - T4Media OBO Mercedes</t>
  </si>
  <si>
    <t>0060W00000wypMjQAI</t>
  </si>
  <si>
    <t>2019-REN-Biogen</t>
  </si>
  <si>
    <t>006d000000uo9L2AAI</t>
  </si>
  <si>
    <t>2018-REN-Biogen</t>
  </si>
  <si>
    <t>0060W00000zPINNQA4</t>
  </si>
  <si>
    <t>2020-REN-Biogen</t>
  </si>
  <si>
    <t>0060W00000wyBLVQA2</t>
  </si>
  <si>
    <t>2018-REN-FCA</t>
  </si>
  <si>
    <t>0066T000016mW3AQAU</t>
  </si>
  <si>
    <t>2022-REN-FCA</t>
  </si>
  <si>
    <t>0060W000014UdjEQAS</t>
  </si>
  <si>
    <t>2021-REN-FCA</t>
  </si>
  <si>
    <t>0060W0000123Q14QAE</t>
  </si>
  <si>
    <t>2020-REN-FCA</t>
  </si>
  <si>
    <t>0060W00000zPnCRQA0</t>
  </si>
  <si>
    <t>2019 Renewal - FCA</t>
  </si>
  <si>
    <t>0060W00000vXXb3QAG</t>
  </si>
  <si>
    <t>2017 Renewal/Upsell - Bayer</t>
  </si>
  <si>
    <t>0066T000016lfkYQAQ</t>
  </si>
  <si>
    <t>2022 - REN - Oysho - Tech Gov</t>
  </si>
  <si>
    <t>0060W000013sS1oQAE</t>
  </si>
  <si>
    <t>2021-REN-Oysho(Inditex)</t>
  </si>
  <si>
    <t>0060W000011WdZlQAK</t>
  </si>
  <si>
    <t>2020-REN-Oysho(Inditex)</t>
  </si>
  <si>
    <t>006d000000nc5YuAAI</t>
  </si>
  <si>
    <t>2017 Renewal - Tailor Brands</t>
  </si>
  <si>
    <t>0060W00000vwROGQA2</t>
  </si>
  <si>
    <t>2018 Renewal - RWJF</t>
  </si>
  <si>
    <t>006VH00000QdhhFYAR</t>
  </si>
  <si>
    <t>2025 - REN - Robert Wood Johnson Foundation</t>
  </si>
  <si>
    <t>006VH00000eXhS9YAK</t>
  </si>
  <si>
    <t>2026 - REN - Robert Wood Johnson Foundation</t>
  </si>
  <si>
    <t>006d000000qWoRqAAK</t>
  </si>
  <si>
    <t>2017 Renewal - RWJF</t>
  </si>
  <si>
    <t>0066T00001CzLhAQAV</t>
  </si>
  <si>
    <t>2024 - REN - Robert Wood Johnson Foundation</t>
  </si>
  <si>
    <t>0066T000017wAzgQAE</t>
  </si>
  <si>
    <t>2023 - REN - Robert Wood Johnson Foundation</t>
  </si>
  <si>
    <t>0066T000016Gc60QAC</t>
  </si>
  <si>
    <t>2022-REN-RWJF</t>
  </si>
  <si>
    <t>0060W000013pnsaQAA</t>
  </si>
  <si>
    <t>2021-REN-RWJF + Touchpoints XSELL-POC Dylan</t>
  </si>
  <si>
    <t>0060W000011SewZQAS</t>
  </si>
  <si>
    <t>2020 Renewal - RWJF</t>
  </si>
  <si>
    <t>0060W00000y863jQAA</t>
  </si>
  <si>
    <t>2019 Renewal - RWJF</t>
  </si>
  <si>
    <t>0060W000011SacMQAS</t>
  </si>
  <si>
    <t>2019 Renewal - Ubisoft</t>
  </si>
  <si>
    <t>0066T000016GmwkQAC</t>
  </si>
  <si>
    <t>2023-REN-Ubisoft</t>
  </si>
  <si>
    <t>0060W000012bDI4QAM</t>
  </si>
  <si>
    <t>2021-REN-Ubisoft</t>
  </si>
  <si>
    <t>006d000000tud29AAA</t>
  </si>
  <si>
    <t>2019 Renewal - BB&amp;T</t>
  </si>
  <si>
    <t>006d000000tud4KAAQ</t>
  </si>
  <si>
    <t>2017 Renewal/Upsell - BB&amp;T</t>
  </si>
  <si>
    <t>0060W00000vXC3cQAG</t>
  </si>
  <si>
    <t>2017 Renewal/Upsell - FedEx</t>
  </si>
  <si>
    <t>0060W000010wVXBQA2</t>
  </si>
  <si>
    <t>2021 Renewal - FedEx</t>
  </si>
  <si>
    <t>0060W00000y5chlQAA</t>
  </si>
  <si>
    <t>2019 Renewal - FedEx</t>
  </si>
  <si>
    <t>0060W00000vXKi8QAG</t>
  </si>
  <si>
    <t>2018 Renewal - FedEx</t>
  </si>
  <si>
    <t>0060W00000y55jfQAA</t>
  </si>
  <si>
    <t>2019 Renewal - Jet.com</t>
  </si>
  <si>
    <t>0060W000010QLg8QAG</t>
  </si>
  <si>
    <t>2020 Renewal - Jet.com</t>
  </si>
  <si>
    <t>0060W00000vvm3zQAA</t>
  </si>
  <si>
    <t>2018 Renewal - E! Online</t>
  </si>
  <si>
    <t>006d000000oC0kGAAS</t>
  </si>
  <si>
    <t>2017 Renewal - E! Online</t>
  </si>
  <si>
    <t>006d000000ltU0hAAE</t>
  </si>
  <si>
    <t>2017 Renewal - Chegg</t>
  </si>
  <si>
    <t>0066T00001AFFHhQAP</t>
  </si>
  <si>
    <t>2024 - REN - Biogen</t>
  </si>
  <si>
    <t>006VH00000SuX9KYAV</t>
  </si>
  <si>
    <t>2026 - REN - Biogen</t>
  </si>
  <si>
    <t>006VH00000hYYPtYAO</t>
  </si>
  <si>
    <t>2027 - REN - Biogen</t>
  </si>
  <si>
    <t>006VH000000xFsfYAE</t>
  </si>
  <si>
    <t>2025 - REN - Biogen</t>
  </si>
  <si>
    <t>0066T0000190wCFQAY</t>
  </si>
  <si>
    <t>2025 - REN - TE Connectivity</t>
  </si>
  <si>
    <t>006VH00000eYPJVYA4</t>
  </si>
  <si>
    <t>2026 - REN - TE Connectivity</t>
  </si>
  <si>
    <t>006VH00000Qhf4BYAR</t>
  </si>
  <si>
    <t>2025 - REN - Navy Federal Credit Union</t>
  </si>
  <si>
    <t>006VH00000d4NCTYA2</t>
  </si>
  <si>
    <t>2026 - REN - Navy Federal Credit Union</t>
  </si>
  <si>
    <t>006d000000qprkVAAQ</t>
  </si>
  <si>
    <t>2018 Renewal - Kaiser Permanente</t>
  </si>
  <si>
    <t>0060W000010x7dQQAQ</t>
  </si>
  <si>
    <t>2019 Built in upsell - Kaiser Permanente Quota Placeholder</t>
  </si>
  <si>
    <t>0060W00000zMW6kQAG</t>
  </si>
  <si>
    <t>2021 Renewal - Kaiser Permanente</t>
  </si>
  <si>
    <t>0060W00000vvf8FQAQ</t>
  </si>
  <si>
    <t>2019 Renewal - American Century</t>
  </si>
  <si>
    <t>0060W000014nx96QAA</t>
  </si>
  <si>
    <t>2021-REN-American Century</t>
  </si>
  <si>
    <t>0060W000012YxJBQA0</t>
  </si>
  <si>
    <t>2020-REN-American Century</t>
  </si>
  <si>
    <t>0060W00000zORbCQAW</t>
  </si>
  <si>
    <t>2020 Renewal - American Century</t>
  </si>
  <si>
    <t>0060W00000vvUT4QAM</t>
  </si>
  <si>
    <t>American Century 2nd Term</t>
  </si>
  <si>
    <t>0066T00001AEEyiQAH</t>
  </si>
  <si>
    <t>2023 - REN - Verizon</t>
  </si>
  <si>
    <t>006VH00000SzUp4YAF</t>
  </si>
  <si>
    <t>2025 - REN - Verizon</t>
  </si>
  <si>
    <t>006VH00000hdXTBYA2</t>
  </si>
  <si>
    <t>2026 - REN - Verizon</t>
  </si>
  <si>
    <t>006VH000002AJg9YAG</t>
  </si>
  <si>
    <t>2024 - REN - Verizon</t>
  </si>
  <si>
    <t>0060W00000vvWNuQAM</t>
  </si>
  <si>
    <t>Cardinal Health Part 2</t>
  </si>
  <si>
    <t>0060W000013rWbgQAE</t>
  </si>
  <si>
    <t>2021-REN-Intouch Solutions</t>
  </si>
  <si>
    <t>006VH00000Rjs9dYAB</t>
  </si>
  <si>
    <t>2025 - REN - Intouch Solutions</t>
  </si>
  <si>
    <t>006VH00000gFPXNYA4</t>
  </si>
  <si>
    <t>2026 - REN - Intouch Solutions</t>
  </si>
  <si>
    <t>006VH000002uG91YAE</t>
  </si>
  <si>
    <t>2024 - REN - Intouch Solutions</t>
  </si>
  <si>
    <t>0066T00001ACGH8QAP</t>
  </si>
  <si>
    <t>2023 - REN - Eversana Intouch</t>
  </si>
  <si>
    <t>0066T000016mC0uQAE</t>
  </si>
  <si>
    <t>2022-REN-Eversana Intouch</t>
  </si>
  <si>
    <t>0060W00000vWdkZQAS</t>
  </si>
  <si>
    <t>Fiat - Upsell and Partner Change</t>
  </si>
  <si>
    <t>0060W00000wwwflQAA</t>
  </si>
  <si>
    <t>2019 Renewal - Fiat</t>
  </si>
  <si>
    <t>0066T000018zmuzQAA</t>
  </si>
  <si>
    <t>2023 - REN - American Century Investments</t>
  </si>
  <si>
    <t>006VH000001ItGsYAK</t>
  </si>
  <si>
    <t>2024 - REN - American Century Investments</t>
  </si>
  <si>
    <t>0066T00001Dk4MlQAJ</t>
  </si>
  <si>
    <t>2024 - REN - Rolex</t>
  </si>
  <si>
    <t>006d000000uEWuiAAG</t>
  </si>
  <si>
    <t>2018 Renewal - Anthem Health Plan</t>
  </si>
  <si>
    <t>0060W00000zOYP9QAO</t>
  </si>
  <si>
    <t>2019 Renewal - Anthem Health Plan</t>
  </si>
  <si>
    <t>006d000000n6KbLAAU</t>
  </si>
  <si>
    <t>2018 Renewal - MasterCard</t>
  </si>
  <si>
    <t>0060W000012Xx3UQAS</t>
  </si>
  <si>
    <t>2021-REN-Whitbread</t>
  </si>
  <si>
    <t>0060W000014oMoJQAU</t>
  </si>
  <si>
    <t>2022-REN-Whitbread</t>
  </si>
  <si>
    <t>0060W00000wyUpBQAU</t>
  </si>
  <si>
    <t>2018 Renewal - Dixons Carphone</t>
  </si>
  <si>
    <t>006d000000i0E2UAAU</t>
  </si>
  <si>
    <t>2017 Renewal - Dixons Carphone</t>
  </si>
  <si>
    <t>0060W00000y8ccaQAA</t>
  </si>
  <si>
    <t>2020 Renewal - Dixons Carphone</t>
  </si>
  <si>
    <t>0060W00000y6M6CQAU</t>
  </si>
  <si>
    <t>2019 Renewal - ConsumerReports</t>
  </si>
  <si>
    <t>006d000000kaLmtAAE</t>
  </si>
  <si>
    <t>2018 Renewal - ConsumerReports</t>
  </si>
  <si>
    <t>0060W000015P0tSQAS</t>
  </si>
  <si>
    <t>2022-REN-ConsumerReports</t>
  </si>
  <si>
    <t>0060W000012KFORQA4</t>
  </si>
  <si>
    <t>2021-REN-ConsumerReports</t>
  </si>
  <si>
    <t>0060W000010vtGUQAY</t>
  </si>
  <si>
    <t>2020 Renewal - ConsumerReports</t>
  </si>
  <si>
    <t>0066T000015r3uVQAQ</t>
  </si>
  <si>
    <t>2022-REN-McDonald's</t>
  </si>
  <si>
    <t>0060W000014anXJQAY</t>
  </si>
  <si>
    <t>2021-REN-McDonald's</t>
  </si>
  <si>
    <t>0060W0000121QNSQA2</t>
  </si>
  <si>
    <t>2020-REN-McDonald's</t>
  </si>
  <si>
    <t>0060W00000ww7QSQAY</t>
  </si>
  <si>
    <t>2019-Sep Renewal - McDonald's</t>
  </si>
  <si>
    <t>006d000000i0BZRAA2</t>
  </si>
  <si>
    <t>2017 Renewal - American Cancer Society</t>
  </si>
  <si>
    <t>0066T000018FCJAQA4</t>
  </si>
  <si>
    <t>2023 - REN - Marks and Spencer</t>
  </si>
  <si>
    <t>006VH00000FT189YAD</t>
  </si>
  <si>
    <t>2025 - REN - Marks and Spencer</t>
  </si>
  <si>
    <t>0066T00001C984tQAB</t>
  </si>
  <si>
    <t>2024 - REN - Marks and Spencer</t>
  </si>
  <si>
    <t>0060W00000vx0vuQAA</t>
  </si>
  <si>
    <t>2018 Renewal - Melaleuca</t>
  </si>
  <si>
    <t>006d000000nUZNRAA4</t>
  </si>
  <si>
    <t>2017 Renewal - Melaleuca</t>
  </si>
  <si>
    <t>006d000000hpGFxAAM</t>
  </si>
  <si>
    <t>2016 Renewal - Melaleuca</t>
  </si>
  <si>
    <t>0060W00000vWoPsQAK</t>
  </si>
  <si>
    <t>2018 Renewal - ActiveNetwork</t>
  </si>
  <si>
    <t>0060W000010OVj2QAG</t>
  </si>
  <si>
    <t>2020 Renewal - ActiveNetwork</t>
  </si>
  <si>
    <t>0060W00000y5aj3QAA</t>
  </si>
  <si>
    <t>2019 Renewal - ActiveNetwork</t>
  </si>
  <si>
    <t>006d000000rI8epAAC</t>
  </si>
  <si>
    <t>2017 Renewal - CHIP Digital GmbH-</t>
  </si>
  <si>
    <t>006d000000q5pAQAAY</t>
  </si>
  <si>
    <t>2018 Renewal - MicroFocus- Novell</t>
  </si>
  <si>
    <t>006d000000kFFkaAAG</t>
  </si>
  <si>
    <t>2017 Renewal - Vivo Brazil POC</t>
  </si>
  <si>
    <t>0066T00001Cz9MSQAZ</t>
  </si>
  <si>
    <t>2024 - REN - MultiMinds</t>
  </si>
  <si>
    <t>006VH00000Q1BbxYAF</t>
  </si>
  <si>
    <t>2025 - REN - MultiMinds</t>
  </si>
  <si>
    <t>006d000000uEh9uAAC</t>
  </si>
  <si>
    <t>2017 Renewal - Multiminds</t>
  </si>
  <si>
    <t>006d000000hzTVwAAM</t>
  </si>
  <si>
    <t>2016 Renewal - Multiminds</t>
  </si>
  <si>
    <t>0060W00000vQtVaQAK</t>
  </si>
  <si>
    <t>2018-UP-Recruit Co</t>
  </si>
  <si>
    <t>006VH00000W1GLHYA3</t>
  </si>
  <si>
    <t>2026 - REN - Recruit</t>
  </si>
  <si>
    <t>0066T00001B9wllQAB</t>
  </si>
  <si>
    <t>2024 - REN - Recruit Holdings</t>
  </si>
  <si>
    <t>0066T000017Wf5BQAS</t>
  </si>
  <si>
    <t>2023-REN-Recruit Co</t>
  </si>
  <si>
    <t>0060W000015PTAqQAO</t>
  </si>
  <si>
    <t>2022-REN-Recruit Co</t>
  </si>
  <si>
    <t>0060W0000136kSOQAY</t>
  </si>
  <si>
    <t>2021-REN-Recruit Co</t>
  </si>
  <si>
    <t>0060W000010QLkyQAG</t>
  </si>
  <si>
    <t>2020 Renewal - Recruit Co</t>
  </si>
  <si>
    <t>0060W00000y4zvwQAA</t>
  </si>
  <si>
    <t>2019 Renewal - Recruit Co</t>
  </si>
  <si>
    <t>0060W00000wxU4SQAU</t>
  </si>
  <si>
    <t>2018 Renewal - Adobe Consulting Group</t>
  </si>
  <si>
    <t>006d000000tvmwoAAA</t>
  </si>
  <si>
    <t>2017 Renewal - Adobe Consulting Group</t>
  </si>
  <si>
    <t>006d000000hzTYMAA2</t>
  </si>
  <si>
    <t>2016 Renewal - Adobe Consulting Group</t>
  </si>
  <si>
    <t>0066T00001ADnCJQA1</t>
  </si>
  <si>
    <t>2023 - REN - Adobe (Consulting) - 133</t>
  </si>
  <si>
    <t>0060W000014bpEkQAI</t>
  </si>
  <si>
    <t>2021-REN-Adobe Consulting Group</t>
  </si>
  <si>
    <t>0060W0000121KCbQAM</t>
  </si>
  <si>
    <t>2020-REN-Adobe Consulting Group</t>
  </si>
  <si>
    <t>0060W00000zONjcQAG</t>
  </si>
  <si>
    <t>2019 Renewal - Adobe Consulting Group</t>
  </si>
  <si>
    <t>0060W000012sea1QAA</t>
  </si>
  <si>
    <t>2022-REN-Analog Devices</t>
  </si>
  <si>
    <t>006d000000hzTctAAE</t>
  </si>
  <si>
    <t>2016 Renewal - Cars.com</t>
  </si>
  <si>
    <t>006d000000uDZv2AAG</t>
  </si>
  <si>
    <t>2017 Renewal - Cars.com</t>
  </si>
  <si>
    <t>0066T000016HLaxQAG</t>
  </si>
  <si>
    <t>2022-REN-IMS - Colony Brands</t>
  </si>
  <si>
    <t>0060W00000vId2GQAS</t>
  </si>
  <si>
    <t>2018 Renewal - Resolution Media EMEA</t>
  </si>
  <si>
    <t>006d000000lUG66AAG</t>
  </si>
  <si>
    <t>2017 Renewal - Resolution Media EMEA</t>
  </si>
  <si>
    <t>0060W000010RUBrQAO</t>
  </si>
  <si>
    <t>2020 Renewal - Resolution Media EMEA</t>
  </si>
  <si>
    <t>0060W00000y5PEyQAM</t>
  </si>
  <si>
    <t>2019 Renewal - Resolution Media EMEA</t>
  </si>
  <si>
    <t>0060W00000wx9AeQAI</t>
  </si>
  <si>
    <t>2018 Renewal - AutoZone</t>
  </si>
  <si>
    <t>0066T00001ADVUfQAP</t>
  </si>
  <si>
    <t>2023 - REN - H‑E‑B</t>
  </si>
  <si>
    <t>0060W00000wxA8oQAE</t>
  </si>
  <si>
    <t>2017 Renewal - AutoZone</t>
  </si>
  <si>
    <t>0060W0000120KXXQA2</t>
  </si>
  <si>
    <t>2020 Renewal - City Of Hope</t>
  </si>
  <si>
    <t>0060W00000zNsaRQAS</t>
  </si>
  <si>
    <t>2019 Renewal - City Of Hope</t>
  </si>
  <si>
    <t>0060W00000vwyfpQAA</t>
  </si>
  <si>
    <t>2018 Renewal - Jump Start Auto</t>
  </si>
  <si>
    <t>006d000000i0BXRAA2</t>
  </si>
  <si>
    <t>2017 Renewal - Jump Start Auto</t>
  </si>
  <si>
    <t>0060W00000y6BSoQAM</t>
  </si>
  <si>
    <t>2019 Renewal - Jump Start Auto</t>
  </si>
  <si>
    <t>006VH00000PIV0XYAX</t>
  </si>
  <si>
    <t>2025 - REN - Centers for Medicare &amp; Medicaid Services</t>
  </si>
  <si>
    <t>006d000000hsS7aAAE</t>
  </si>
  <si>
    <t>2016 Renewal - Nielsen</t>
  </si>
  <si>
    <t>0060W00000wvZBBQA2</t>
  </si>
  <si>
    <t>2018 Renewal - Murad</t>
  </si>
  <si>
    <t>006d000000qWqV4AAK</t>
  </si>
  <si>
    <t>2017 Renewal - Murad</t>
  </si>
  <si>
    <t>006d000000hrjYcAAI</t>
  </si>
  <si>
    <t>2016 Renewal - Murad</t>
  </si>
  <si>
    <t>0060W000013rWVEQA2</t>
  </si>
  <si>
    <t>2021-REN-Murad</t>
  </si>
  <si>
    <t>0060W000011TbjLQAS</t>
  </si>
  <si>
    <t>2020 Renewal - Murad</t>
  </si>
  <si>
    <t>0060W00000y8Rr7QAE</t>
  </si>
  <si>
    <t>2019 Renewal - Murad</t>
  </si>
  <si>
    <t>0060W00000zP84DQAS</t>
  </si>
  <si>
    <t>2019 Renewal - TSB- not renewing.</t>
  </si>
  <si>
    <t>0060W00000wypBvQAI</t>
  </si>
  <si>
    <t>2018 Renewal - TSB</t>
  </si>
  <si>
    <t>0060W00000y8RqTQAU</t>
  </si>
  <si>
    <t>2019 Renewal - Swanson Health</t>
  </si>
  <si>
    <t>0060W00000vxmT4QAI</t>
  </si>
  <si>
    <t>2018 Renewal - Swanson Health</t>
  </si>
  <si>
    <t>006VH000000xFHZYA2</t>
  </si>
  <si>
    <t>2024 - REN - Adobe (Consulting) - 133</t>
  </si>
  <si>
    <t>0060W00000vX0F5QAK</t>
  </si>
  <si>
    <t>2018 Renewal Hotels.com</t>
  </si>
  <si>
    <t>006d000000up0NfAAI</t>
  </si>
  <si>
    <t>2017 Renewal/Upsell Hotels.com</t>
  </si>
  <si>
    <t>0060W00000wytRJQAY</t>
  </si>
  <si>
    <t>2019 Renewal Hotels.com</t>
  </si>
  <si>
    <t>0060W00000xoKLhQAM</t>
  </si>
  <si>
    <t>2019 Renewal - Ryanair</t>
  </si>
  <si>
    <t>0060W00000vxaXgQAI</t>
  </si>
  <si>
    <t>SL1 Upgrade - Suncorp</t>
  </si>
  <si>
    <t>0066T000015pYnJQAU</t>
  </si>
  <si>
    <t>2022-REN-Suncorp</t>
  </si>
  <si>
    <t>0060W000013r75RQAQ</t>
  </si>
  <si>
    <t>2021-REN-Suncorp</t>
  </si>
  <si>
    <t>0060W000011UuXiQAK</t>
  </si>
  <si>
    <t>2020 Renewal - Suncorp</t>
  </si>
  <si>
    <t>006VH00000ddVBxYAM</t>
  </si>
  <si>
    <t>2026 - REN - Automobile Club of Southern California</t>
  </si>
  <si>
    <t>006d000000uEuyQAAS</t>
  </si>
  <si>
    <t>2018 Renewal - Rank Group</t>
  </si>
  <si>
    <t>0060W00000vx2ifQAA</t>
  </si>
  <si>
    <t>2019 Renewal - Brother Industries USA</t>
  </si>
  <si>
    <t>006d000000n6KXxAAM</t>
  </si>
  <si>
    <t>2017 Renewal - CBC.ca</t>
  </si>
  <si>
    <t>0060W00000vQll1QAC</t>
  </si>
  <si>
    <t>2018 Renewal - Showtime</t>
  </si>
  <si>
    <t>006d000000rX9hLAAS</t>
  </si>
  <si>
    <t>2017 Renewal - Showtime</t>
  </si>
  <si>
    <t>0060W00000y8qePQAQ</t>
  </si>
  <si>
    <t>2020 Renewal - Showtime</t>
  </si>
  <si>
    <t>0060W00000vvlDAQAY</t>
  </si>
  <si>
    <t>2017 Renewal - Medifast, Inc.</t>
  </si>
  <si>
    <t>0060W00000y865BQAQ</t>
  </si>
  <si>
    <t>2019 Renewal - Medifast, Inc.</t>
  </si>
  <si>
    <t>0060W00000vx0wJQAQ</t>
  </si>
  <si>
    <t>2018 Renewal - Medifast, Inc.</t>
  </si>
  <si>
    <t>0060W00000wx7iUQAQ</t>
  </si>
  <si>
    <t>2019 Renewal - Whirlpool Corporation</t>
  </si>
  <si>
    <t>0066T000015rEm1QAE</t>
  </si>
  <si>
    <t>2022-REN-Whirlpool Corporation</t>
  </si>
  <si>
    <t>0060W0000121K8FQAU</t>
  </si>
  <si>
    <t>2021-REN-Whirlpool Corporation</t>
  </si>
  <si>
    <t>0060W00000wx4RQQAY</t>
  </si>
  <si>
    <t>2018 Renewal - Sanofi OBO Cognizant</t>
  </si>
  <si>
    <t>0060W00000zPn9XQAS</t>
  </si>
  <si>
    <t>2020 Renewal - Stage Stores</t>
  </si>
  <si>
    <t>0060W00000vwGwQQAU</t>
  </si>
  <si>
    <t>2018 Renewal - The Church of Jesus Christ of Latter-Day Saints</t>
  </si>
  <si>
    <t>0060W00000y6lWnQAI</t>
  </si>
  <si>
    <t>2019 Renewal - The Church of Jesus Christ of Latter-Day Saints</t>
  </si>
  <si>
    <t>0060W00000vYANyQAO</t>
  </si>
  <si>
    <t>2017 Renewal/Upsell - T-Mobile MetroPCS</t>
  </si>
  <si>
    <t>0066T000015qCWyQAM</t>
  </si>
  <si>
    <t>2022 - REN - T-Mobile</t>
  </si>
  <si>
    <t>0060W000013r7HXQAY</t>
  </si>
  <si>
    <t>2021 - REN - T-Mobile</t>
  </si>
  <si>
    <t>0060W000013r7DkQAI</t>
  </si>
  <si>
    <t>2019-UP-T-Mobile-LiveConnect</t>
  </si>
  <si>
    <t>0060W000010vIKrQAM</t>
  </si>
  <si>
    <t>2020 Renewal - T-Mobile</t>
  </si>
  <si>
    <t>0060W00000zNMy7QAG</t>
  </si>
  <si>
    <t>2019 Renewal - T-Mobile</t>
  </si>
  <si>
    <t>0060W00000wwi9VQAQ</t>
  </si>
  <si>
    <t>2018 Renewal - T-Mobile</t>
  </si>
  <si>
    <t>006d000000oERg0AAG</t>
  </si>
  <si>
    <t>2017 Renewal - NewEnergyMind OBO Sky Italy</t>
  </si>
  <si>
    <t>006d000000twZONAA2</t>
  </si>
  <si>
    <t>2017 Renewal - APJ Symantec</t>
  </si>
  <si>
    <t>0060W00000zNMz5QAG</t>
  </si>
  <si>
    <t>2019 Renewal - Ancestry.com</t>
  </si>
  <si>
    <t>006d000000to47lAAA</t>
  </si>
  <si>
    <t>2018 Renewal - Ancestry.com</t>
  </si>
  <si>
    <t>0060W00000wzET6QAM</t>
  </si>
  <si>
    <t>2018 Renewal - Pfizer</t>
  </si>
  <si>
    <t>006d000000uGd1vAAC</t>
  </si>
  <si>
    <t>2017 Renewal - Pfizer</t>
  </si>
  <si>
    <t>0060W00000zPj4oQAC</t>
  </si>
  <si>
    <t>2019 Renewal - Pfizer</t>
  </si>
  <si>
    <t>0066T000018GoWWQA0</t>
  </si>
  <si>
    <t>2023 - REN - GM Financial</t>
  </si>
  <si>
    <t>0066T000016H6G0QAK</t>
  </si>
  <si>
    <t>2022-REN-GM Financial</t>
  </si>
  <si>
    <t>0060W000013qAUYQA2</t>
  </si>
  <si>
    <t>2021-REN-GM Financial</t>
  </si>
  <si>
    <t>0060W000011SaAXQA0</t>
  </si>
  <si>
    <t>2020 Renewal - GM Financial</t>
  </si>
  <si>
    <t>0060W00000vvGqjQAE</t>
  </si>
  <si>
    <t>2018 Renewal - BBVA</t>
  </si>
  <si>
    <t>0060W000011TXzfQAG</t>
  </si>
  <si>
    <t>2020 Renewal - BBVA</t>
  </si>
  <si>
    <t>0060W00000y6WmBQAU</t>
  </si>
  <si>
    <t>2018 Upsell - BBVA</t>
  </si>
  <si>
    <t>0060W00000y5ZIqQAM</t>
  </si>
  <si>
    <t>2019 Renewal - BBVA</t>
  </si>
  <si>
    <t>006d000000teDBtAAM</t>
  </si>
  <si>
    <t>2017 Renewal - Edmunds.com</t>
  </si>
  <si>
    <t>0060W000010uxmoQAA</t>
  </si>
  <si>
    <t>2020 Renewal - Macy's</t>
  </si>
  <si>
    <t>0060W00000y5Z9tQAE</t>
  </si>
  <si>
    <t>2019 Renewal - Macy's</t>
  </si>
  <si>
    <t>0066T00001ACNqFQAX</t>
  </si>
  <si>
    <t>2023 - REN - Trend Micro - US</t>
  </si>
  <si>
    <t>0066T000016livPQAQ</t>
  </si>
  <si>
    <t>2022-REN-Trend Micro</t>
  </si>
  <si>
    <t>0060W000014nMWlQAM</t>
  </si>
  <si>
    <t>2021-REN-Trend Micro</t>
  </si>
  <si>
    <t>0060W0000122L0PQAU</t>
  </si>
  <si>
    <t>2020-REN-Trend Micro</t>
  </si>
  <si>
    <t>0060W00000zP7MVQA0</t>
  </si>
  <si>
    <t>2019 Renewal -Trend Micro</t>
  </si>
  <si>
    <t>0060W00000wxskEQAQ</t>
  </si>
  <si>
    <t>2018 Renewal -Trend Micro</t>
  </si>
  <si>
    <t>0060W00000y8BIOQA2</t>
  </si>
  <si>
    <t>2020 Renewal - CBS</t>
  </si>
  <si>
    <t>0066T000015ojkkQAA</t>
  </si>
  <si>
    <t>2022-REN-CBS</t>
  </si>
  <si>
    <t>0060W000014crHfQAI</t>
  </si>
  <si>
    <t>2021-REN-CBS</t>
  </si>
  <si>
    <t>0060W00000wvwySQAQ</t>
  </si>
  <si>
    <t>2018 Renewal - BBG</t>
  </si>
  <si>
    <t>0060W00000wwHQoQAM</t>
  </si>
  <si>
    <t>2018 Renewal - National Appraisal Guide</t>
  </si>
  <si>
    <t>006d000000rbgPeAAI</t>
  </si>
  <si>
    <t>2017 Renewal - National Appraisal Guide</t>
  </si>
  <si>
    <t>0060W000012t6iXQAQ</t>
  </si>
  <si>
    <t>2021-REN-TMBI</t>
  </si>
  <si>
    <t>0060W000010QTZkQAO</t>
  </si>
  <si>
    <t>2020 Renewal - TMBI</t>
  </si>
  <si>
    <t>0060W00000y5GAMQA2</t>
  </si>
  <si>
    <t>2019 Renewal - TMBI</t>
  </si>
  <si>
    <t>006d000000twhqmAAA</t>
  </si>
  <si>
    <t>2017 Renewal - GoDaddy</t>
  </si>
  <si>
    <t>0066T000017XeyxQAC</t>
  </si>
  <si>
    <t>2023 - REN - Hugo Boss</t>
  </si>
  <si>
    <t>0066T00001BC34SQAT</t>
  </si>
  <si>
    <t>2024 - REN - Hugo Boss</t>
  </si>
  <si>
    <t>0066T00001CN7GzQAL</t>
  </si>
  <si>
    <t>2025 - REN - British American Tobacco</t>
  </si>
  <si>
    <t>006VH00000aidlhYAA</t>
  </si>
  <si>
    <t>2027 - REN - British American Tobacco</t>
  </si>
  <si>
    <t>006d000000uHXO8AAO</t>
  </si>
  <si>
    <t>2017 Renewal - ABC - News</t>
  </si>
  <si>
    <t>006d000000ttiuvAAA</t>
  </si>
  <si>
    <t>2018 Renewal - Ford Mexico (GTB)</t>
  </si>
  <si>
    <t>006d000000tw2lhAAA</t>
  </si>
  <si>
    <t>2017 Renewal - Dollar Shave Club</t>
  </si>
  <si>
    <t>0060W00000zNKwUQAW</t>
  </si>
  <si>
    <t>2019 Renewal - moo.com</t>
  </si>
  <si>
    <t>006d000000tvFzxAAE</t>
  </si>
  <si>
    <t>2018 Renewal - moo.com</t>
  </si>
  <si>
    <t>0060W0000122uZhQAI</t>
  </si>
  <si>
    <t>2020-REN-moo.com</t>
  </si>
  <si>
    <t>0066T00001CN7FXQA1</t>
  </si>
  <si>
    <t>2025 - REN - Kohler</t>
  </si>
  <si>
    <t>0060W00000vISAtQAO</t>
  </si>
  <si>
    <t>2018 Renewal - HSN</t>
  </si>
  <si>
    <t>0060W00000y5hBqQAI</t>
  </si>
  <si>
    <t>2019 Renewal - HSN</t>
  </si>
  <si>
    <t>0060W00000wwUx6QAE</t>
  </si>
  <si>
    <t>2018 Renewal - Bourne Leisure Group</t>
  </si>
  <si>
    <t>006d000000uF4MgAAK</t>
  </si>
  <si>
    <t>2017 Renewal - Bourne Leisure Group</t>
  </si>
  <si>
    <t>0060W00000zNpVcQAK</t>
  </si>
  <si>
    <t>2019 Renewal - Bourne Leisure Group</t>
  </si>
  <si>
    <t>0060W00000vX8vzQAC</t>
  </si>
  <si>
    <t>2018 Renewal - Epsilon OBO Teva Pharma</t>
  </si>
  <si>
    <t>0060W00000wxPmVQAU</t>
  </si>
  <si>
    <t>2018 Renewal - Aberdeen Asset Management</t>
  </si>
  <si>
    <t>006d000000tvV5oAAE</t>
  </si>
  <si>
    <t>2017 NDGC Upsel - Aberdeen Asset Management</t>
  </si>
  <si>
    <t>0060W00000zN7xsQAC</t>
  </si>
  <si>
    <t>2019 Renewal - Aberdeen Asset Management</t>
  </si>
  <si>
    <t>0060W00000wx9F5QAI</t>
  </si>
  <si>
    <t>2018 Renewal - BT Financial</t>
  </si>
  <si>
    <t>006d000000uEldvAAC</t>
  </si>
  <si>
    <t>2017 Renewal - BT Financial</t>
  </si>
  <si>
    <t>0060W0000120LBKQA2</t>
  </si>
  <si>
    <t>2020-REN-BT Financial</t>
  </si>
  <si>
    <t>0060W00000zNpVIQA0</t>
  </si>
  <si>
    <t>2019 Renewal - BT Financial</t>
  </si>
  <si>
    <t>006d000000qprgOAAQ</t>
  </si>
  <si>
    <t>2018 Renewal - Discover</t>
  </si>
  <si>
    <t>0060W00000y4qu0QAA</t>
  </si>
  <si>
    <t>Carrefour - Upsell - 2018</t>
  </si>
  <si>
    <t>0060W0000137BxFQAU</t>
  </si>
  <si>
    <t>2021-REN-Carrefour- WebAssurance</t>
  </si>
  <si>
    <t>0060W000010QXiYQAW</t>
  </si>
  <si>
    <t>2020 Renewal - Carrefour- WebAssurance</t>
  </si>
  <si>
    <t>0060W00000y686gQAA</t>
  </si>
  <si>
    <t>2019 Renewal - Carrefour</t>
  </si>
  <si>
    <t>006d000000twXVKAA2</t>
  </si>
  <si>
    <t>2018 Renewal - JC Penney</t>
  </si>
  <si>
    <t>006VH000000XdFVYA0</t>
  </si>
  <si>
    <t>2024 - REN - Western Governors University</t>
  </si>
  <si>
    <t>006d000000tq93HAAQ</t>
  </si>
  <si>
    <t>2018 Renewal - Western Governors University</t>
  </si>
  <si>
    <t>0066T00001ABrCIQA1</t>
  </si>
  <si>
    <t>2023 - REN - Western Governors University</t>
  </si>
  <si>
    <t>0060W000014oF6LQAU</t>
  </si>
  <si>
    <t>2022-REN-Western Governors University</t>
  </si>
  <si>
    <t>0060W00000zOCjjQAG</t>
  </si>
  <si>
    <t>2020 Renewal - Western Governors University - WEB and STR</t>
  </si>
  <si>
    <t>006VH00000XNWgvYAH</t>
  </si>
  <si>
    <t>2026 - REN - Lufthansa</t>
  </si>
  <si>
    <t>0060W00000y62q3QAA</t>
  </si>
  <si>
    <t>2017 Renewal - VW</t>
  </si>
  <si>
    <t>006d000000ttiAjAAI</t>
  </si>
  <si>
    <t>2018 Renewal -VW</t>
  </si>
  <si>
    <t>0060W000010R5cSQAS</t>
  </si>
  <si>
    <t>2022 Renewal -VW</t>
  </si>
  <si>
    <t>0060W00000zP7MQQA0</t>
  </si>
  <si>
    <t>2019 Renewal -VW</t>
  </si>
  <si>
    <t>0066T000015r3xZQAQ</t>
  </si>
  <si>
    <t>2022 - REN - Ancestry.com</t>
  </si>
  <si>
    <t>0060W000013suIAQAY</t>
  </si>
  <si>
    <t>2021 - REN - Ancestry.com</t>
  </si>
  <si>
    <t>0060W0000120KTzQAM</t>
  </si>
  <si>
    <t>2020 - REN - Ancestry.com</t>
  </si>
  <si>
    <t>0066T000016l84mQAA</t>
  </si>
  <si>
    <t>2022-REN-Express</t>
  </si>
  <si>
    <t>0060W000014mx4QQAQ</t>
  </si>
  <si>
    <t>2021-REN-Express</t>
  </si>
  <si>
    <t>0060W00000zOcYPQA0</t>
  </si>
  <si>
    <t>2020 Renewal - Express</t>
  </si>
  <si>
    <t>0066T00001698e5QAA</t>
  </si>
  <si>
    <t>2023 - REN - News UK</t>
  </si>
  <si>
    <t>0060W00000vIRoTQAW</t>
  </si>
  <si>
    <t>2018 Renewal - Jet.com</t>
  </si>
  <si>
    <t>0060W00000wvtgQQAQ</t>
  </si>
  <si>
    <t>2017 Renewal - Medhost</t>
  </si>
  <si>
    <t>006d000000uEvChAAK</t>
  </si>
  <si>
    <t>2018 Renewal - WebMD / Medscape</t>
  </si>
  <si>
    <t>0060W000014mK5RQAU</t>
  </si>
  <si>
    <t>2021-REN-K. Hovnanian Homes</t>
  </si>
  <si>
    <t>0060W0000121pdlQAA</t>
  </si>
  <si>
    <t>2020 Renewal - K. Hovnanian Homes</t>
  </si>
  <si>
    <t>0060W00000zOeDqQAK</t>
  </si>
  <si>
    <t>2019 Renewal - K. Hovnanian Homes</t>
  </si>
  <si>
    <t>0060W00000wwtlSQAQ</t>
  </si>
  <si>
    <t>2018 Renewal - K. Hovnanian Homes</t>
  </si>
  <si>
    <t>0060W00000wx9xRQAQ</t>
  </si>
  <si>
    <t>2018 Renewal - The Zimmerman Agency OBO Nissan</t>
  </si>
  <si>
    <t>006d000000ulg1pAAA</t>
  </si>
  <si>
    <t>2017 Renewal - The Zimmerman Agency OBO Nissan</t>
  </si>
  <si>
    <t>0060W000014nMXoQAM</t>
  </si>
  <si>
    <t>2022 - REN - OMD, LLC OBO Nissan</t>
  </si>
  <si>
    <t>0060W0000123KbeQAE</t>
  </si>
  <si>
    <t>2020 REN - OMD, LLC OBO Nissan</t>
  </si>
  <si>
    <t>0060W00000zOjt7QAC</t>
  </si>
  <si>
    <t>2019 Renewal - The Zimmerman Agency OBO Nissan</t>
  </si>
  <si>
    <t>006d000000unyIfAAI</t>
  </si>
  <si>
    <t>2017 Renewal - ABC - Free Form</t>
  </si>
  <si>
    <t>0060W00000vxab4QAA</t>
  </si>
  <si>
    <t>2018 Renewal - WestJet Airlines</t>
  </si>
  <si>
    <t>006d000000tuCgWAAU</t>
  </si>
  <si>
    <t>2017 Renewal - WestJet Airlines</t>
  </si>
  <si>
    <t>0066T000016jwHdQAI</t>
  </si>
  <si>
    <t>2022 - REN - WestJet Airlines</t>
  </si>
  <si>
    <t>0060W000014mx5iQAA</t>
  </si>
  <si>
    <t>2021 - REN - WestJet Airlines</t>
  </si>
  <si>
    <t>0060W0000121qKfQAI</t>
  </si>
  <si>
    <t>2020 Renewal - WestJet Airlines</t>
  </si>
  <si>
    <t>0060W00000zMqGIQA0</t>
  </si>
  <si>
    <t>2019 Renewal - WestJet Airlines</t>
  </si>
  <si>
    <t>006VH00000Qf4ogYAB</t>
  </si>
  <si>
    <t>2025 - REN - Pollard Banknote</t>
  </si>
  <si>
    <t>006d000000twaM2AAI</t>
  </si>
  <si>
    <t>2017 Renewal - Dave Ramsey</t>
  </si>
  <si>
    <t>0060W00000vwylnQAA</t>
  </si>
  <si>
    <t>2019 Renewal - Cigna</t>
  </si>
  <si>
    <t>0060W000010yUAGQA2</t>
  </si>
  <si>
    <t>2021 Renewal - Cigna</t>
  </si>
  <si>
    <t>0066T000016mh5TQAQ</t>
  </si>
  <si>
    <t>2022-REN-Canon Europe - Script Services</t>
  </si>
  <si>
    <t>0066T0000168uiOQAQ</t>
  </si>
  <si>
    <t>2024-REN-Canon Europe</t>
  </si>
  <si>
    <t>0060W000013lKxjQAE</t>
  </si>
  <si>
    <t>2021-REN-Canon Europe</t>
  </si>
  <si>
    <t>0066T00001EJkrgQAD</t>
  </si>
  <si>
    <t>2025 - REN - Eurostar</t>
  </si>
  <si>
    <t>0060W00000wzCGZQA2</t>
  </si>
  <si>
    <t>2019 Renewal - Stepstone</t>
  </si>
  <si>
    <t>006d000000vFMlBAAW</t>
  </si>
  <si>
    <t>2018 Renewal - Stepstone</t>
  </si>
  <si>
    <t>0060W00000wxKHPQA2</t>
  </si>
  <si>
    <t>2018 Renewal - Sage/Jellyfish</t>
  </si>
  <si>
    <t>0060W000010voEHQAY</t>
  </si>
  <si>
    <t>2020 Renewal - Caterpillar</t>
  </si>
  <si>
    <t>0060W000012T0TSQA0</t>
  </si>
  <si>
    <t>2021-REN-Caterpillar</t>
  </si>
  <si>
    <t>0060W00000vwE8WQAU</t>
  </si>
  <si>
    <t>2018 Renewal - Tele2</t>
  </si>
  <si>
    <t>0060W000012KhMDQA0</t>
  </si>
  <si>
    <t>2021-REN-Tele2</t>
  </si>
  <si>
    <t>0060W000010x5zNQAQ</t>
  </si>
  <si>
    <t>2020 Renewal - Tele2</t>
  </si>
  <si>
    <t>0060W00000y6XRJQA2</t>
  </si>
  <si>
    <t>2019 Renewal - Tele2</t>
  </si>
  <si>
    <t>006d000000uEvKtAAK</t>
  </si>
  <si>
    <t>2017 Renewal - Smart Digital GmbH on Behalf of VW</t>
  </si>
  <si>
    <t>006d000000umRdkAAE</t>
  </si>
  <si>
    <t>2017 Renewal - Delivery Hero</t>
  </si>
  <si>
    <t>006d000000uFbrTAAS</t>
  </si>
  <si>
    <t>2017 Renewal - Six Pack Shortcuts</t>
  </si>
  <si>
    <t>006d000000hzTvjAAE</t>
  </si>
  <si>
    <t>2016 Renewal - Satsuma Loans</t>
  </si>
  <si>
    <t>006d000000umpYYAAY</t>
  </si>
  <si>
    <t>2017 Renewal - Satsuma Loans</t>
  </si>
  <si>
    <t>0060W00000vQlr4QAC</t>
  </si>
  <si>
    <t>2018 Renewal - Investor's Business Daily</t>
  </si>
  <si>
    <t>0066T000015pHypQAE</t>
  </si>
  <si>
    <t>2022-REN-Investor's Business Daily</t>
  </si>
  <si>
    <t>0060W000013rgNwQAI</t>
  </si>
  <si>
    <t>2021-REN-Investor's Business Daily</t>
  </si>
  <si>
    <t>0060W000010yw7PQAQ</t>
  </si>
  <si>
    <t>2020 Renewal - Investor's Business Daily</t>
  </si>
  <si>
    <t>0060W00000zMeawQAC</t>
  </si>
  <si>
    <t>2019 Renewal - Investor's Business Daily</t>
  </si>
  <si>
    <t>0060W00000wynwtQAA</t>
  </si>
  <si>
    <t>2018 Renewal - J&amp;J</t>
  </si>
  <si>
    <t>006d000000uoPEwAAM</t>
  </si>
  <si>
    <t>2018 Renewal &amp; Ent License- J&amp;J</t>
  </si>
  <si>
    <t>006d000000i0BOFAA2</t>
  </si>
  <si>
    <t>2017 Renewal &amp; Ent License- J&amp;J</t>
  </si>
  <si>
    <t>0060W000012ZN0oQAG</t>
  </si>
  <si>
    <t>2021-REN-Johnson&amp;Johnson</t>
  </si>
  <si>
    <t>0060W00000zP7MpQAK</t>
  </si>
  <si>
    <t>2020 Renewal - J&amp;J</t>
  </si>
  <si>
    <t>0060W00000y5PudQAE</t>
  </si>
  <si>
    <t>2020 Renewal - Bloomberg</t>
  </si>
  <si>
    <t>006d000000vFMqGAAW</t>
  </si>
  <si>
    <t>2019 Renewal - Palliser Furniture</t>
  </si>
  <si>
    <t>0060W00000y8oP9QAI</t>
  </si>
  <si>
    <t>2019 Renewal - ABC - Disney</t>
  </si>
  <si>
    <t>0060W00000wx9RQQAY</t>
  </si>
  <si>
    <t>2017 Renewal - Shutterfly</t>
  </si>
  <si>
    <t>0060W00000y5AiqQAE</t>
  </si>
  <si>
    <t>2020 Renewal - HSBC</t>
  </si>
  <si>
    <t>0066T000015QYqlQAG</t>
  </si>
  <si>
    <t>2024-REN-HSBC</t>
  </si>
  <si>
    <t>0060W000013lp4qQAA</t>
  </si>
  <si>
    <t>2021-REN-HSBC</t>
  </si>
  <si>
    <t>006d000000mY2e6AAC</t>
  </si>
  <si>
    <t>2018 Renewal - Catherines</t>
  </si>
  <si>
    <t>0060W00000wySHOQA2</t>
  </si>
  <si>
    <t>2018 Renewal - Adidas</t>
  </si>
  <si>
    <t>006d000000umRQFAA2</t>
  </si>
  <si>
    <t>2017 Renewal - Adidas</t>
  </si>
  <si>
    <t>006VH000009MBviYAG</t>
  </si>
  <si>
    <t>2026 - REN - Rubrik</t>
  </si>
  <si>
    <t>006d000000tEl3vAAC</t>
  </si>
  <si>
    <t>2017 Renewal - Waste Management</t>
  </si>
  <si>
    <t>0060W00000y86psQAA</t>
  </si>
  <si>
    <t>2020 Renewal - Universal Orlando</t>
  </si>
  <si>
    <t>006VH000004zN0cYAE</t>
  </si>
  <si>
    <t>2025 - REN - Amica Mutual Insurance</t>
  </si>
  <si>
    <t>006d000000kioqtAAA</t>
  </si>
  <si>
    <t>2018 Renewal - Universal Orlando</t>
  </si>
  <si>
    <t>0060W000013Mab4QAC</t>
  </si>
  <si>
    <t>2022-REN-Universal Orlando</t>
  </si>
  <si>
    <t>0060W00000y74pqQAA</t>
  </si>
  <si>
    <t>2019 Renewal - Paypal</t>
  </si>
  <si>
    <t>006d000000q5pHGAAY</t>
  </si>
  <si>
    <t>2018 Renewal - Paypal</t>
  </si>
  <si>
    <t>0060W000011ScxSQAS</t>
  </si>
  <si>
    <t>2020 Renewal - Paypal</t>
  </si>
  <si>
    <t>0066T00001ACsSNQA1</t>
  </si>
  <si>
    <t>2023 - REN - Pfizer</t>
  </si>
  <si>
    <t>006d000000uoFoCAAU</t>
  </si>
  <si>
    <t>2017 Renewal/Upsell - Maurices</t>
  </si>
  <si>
    <t>006d000000sveDyAAI</t>
  </si>
  <si>
    <t>2017 Renewal - Lexmark International</t>
  </si>
  <si>
    <t>0060W000013rWeVQAU</t>
  </si>
  <si>
    <t>2021-REN-Illumina</t>
  </si>
  <si>
    <t>0066T000016n1bTQAQ</t>
  </si>
  <si>
    <t>2022-REN-Illumina</t>
  </si>
  <si>
    <t>0060W00000vuydvQAA</t>
  </si>
  <si>
    <t>2018 Renewal - Hello Bank</t>
  </si>
  <si>
    <t>0060W00000y60nQQAQ</t>
  </si>
  <si>
    <t>2019 Renewal - Hello Bank</t>
  </si>
  <si>
    <t>0060W000012KKw7QAG</t>
  </si>
  <si>
    <t>2022-REN-Hello Bank</t>
  </si>
  <si>
    <t>0060W000011UPBSQA4</t>
  </si>
  <si>
    <t>2020-REN-Hello Bank</t>
  </si>
  <si>
    <t>006d000000i1bK7AAI</t>
  </si>
  <si>
    <t>2017 Renewal - Havas Belgium</t>
  </si>
  <si>
    <t>0060W00000vxadPQAQ</t>
  </si>
  <si>
    <t>2018 Renewal - Hewlett-Packard Enterprise</t>
  </si>
  <si>
    <t>006d000000ttjKZAAY</t>
  </si>
  <si>
    <t>2017 Renewal - Hewlett-Packard Enterprise</t>
  </si>
  <si>
    <t>0060W00000zN0rcQAC</t>
  </si>
  <si>
    <t>2019 Renewal - Hewlett-Packard Enterprise</t>
  </si>
  <si>
    <t>0060W00000vIRMwQAO</t>
  </si>
  <si>
    <t>2017 Renewal / Upsell- Ford Asia Pacific #3</t>
  </si>
  <si>
    <t>0060W00000y5fElQAI</t>
  </si>
  <si>
    <t>2019 Renewal - Ford Asia Pacific</t>
  </si>
  <si>
    <t>0060W00000vWccEQAS</t>
  </si>
  <si>
    <t>2017 Renewal / Upsell- Ford Asia Pacific #2</t>
  </si>
  <si>
    <t>0060W00000vIVAjQAO</t>
  </si>
  <si>
    <t>2018 Renewal - Ford Asia Pacific</t>
  </si>
  <si>
    <t>0060W00000vIRN1QAO</t>
  </si>
  <si>
    <t>2017 Renewal / Upsell- Ford Asia Pacific #1</t>
  </si>
  <si>
    <t>0060W00000vwGebQAE</t>
  </si>
  <si>
    <t>2019 Renewal - CVS</t>
  </si>
  <si>
    <t>0066T000015QY5uQAG</t>
  </si>
  <si>
    <t>2023-REN-CVS</t>
  </si>
  <si>
    <t>0060W000010wrrSQAQ</t>
  </si>
  <si>
    <t>2021 Renewal - CVS</t>
  </si>
  <si>
    <t>0060W00000y5OLuQAM</t>
  </si>
  <si>
    <t>2019 Renewal - Concur</t>
  </si>
  <si>
    <t>0066T000017Wf3KQAS</t>
  </si>
  <si>
    <t>2023-REN-Concur</t>
  </si>
  <si>
    <t>0060W000014da2aQAA</t>
  </si>
  <si>
    <t>2022-REN-Concur</t>
  </si>
  <si>
    <t>0060W000012tvK8QAI</t>
  </si>
  <si>
    <t>2021-REN-Concur</t>
  </si>
  <si>
    <t>0060W000010voYHQAY</t>
  </si>
  <si>
    <t>2020 Renewal - Concur</t>
  </si>
  <si>
    <t>0060W00000vvJdUQAU</t>
  </si>
  <si>
    <t>2019 Renewal - CA Technologies</t>
  </si>
  <si>
    <t>006d000000uEa5WAAS</t>
  </si>
  <si>
    <t>2017 Renewal - Turner Broadcasting System</t>
  </si>
  <si>
    <t>0060W00001236dWQAQ</t>
  </si>
  <si>
    <t>2020-REN-Turner Broadcasting System</t>
  </si>
  <si>
    <t>0060W00000zP76rQAC</t>
  </si>
  <si>
    <t>2019 Renewal - Turner Broadcasting System</t>
  </si>
  <si>
    <t>0060W00000wz7YeQAI</t>
  </si>
  <si>
    <t>2018 Renewal - Turner Broadcasting System</t>
  </si>
  <si>
    <t>0060W00000vISPZQA4</t>
  </si>
  <si>
    <t>2018 Renewal - Cognizant OBO Nissan</t>
  </si>
  <si>
    <t>0060W00000vvGKEQA2</t>
  </si>
  <si>
    <t>2018 Renewal True Local AU</t>
  </si>
  <si>
    <t>0060W00000y5wRaQAI</t>
  </si>
  <si>
    <t>2019 Renewal - True Local AU</t>
  </si>
  <si>
    <t>0060W00000vIMerQAG</t>
  </si>
  <si>
    <t>2018 Renewal - TELUS</t>
  </si>
  <si>
    <t>0060W00000wqxRjQAI</t>
  </si>
  <si>
    <t>2019 Renewal - TELUS</t>
  </si>
  <si>
    <t>0060W00000vXXbIQAW</t>
  </si>
  <si>
    <t>2017 Renewal/Upsell - TELUS</t>
  </si>
  <si>
    <t>0060W00000vwcxhQAA</t>
  </si>
  <si>
    <t>2018 Renewal - Destination Canada</t>
  </si>
  <si>
    <t>0060W000011WiCeQAK</t>
  </si>
  <si>
    <t>2020-REN-Destination Canada</t>
  </si>
  <si>
    <t>0060W00000y84cbQAA</t>
  </si>
  <si>
    <t>2019 Renewal - Destination Canada</t>
  </si>
  <si>
    <t>0060W00000y72PTQAY</t>
  </si>
  <si>
    <t>2019 Renewal - Westgate Resorts</t>
  </si>
  <si>
    <t>0060W00000vw1JiQAI</t>
  </si>
  <si>
    <t>2018 Renewal - Westgate Resorts</t>
  </si>
  <si>
    <t>0060W00000wvkMHQAY</t>
  </si>
  <si>
    <t>2018 Renewal - Blast Analytics OBO CMS</t>
  </si>
  <si>
    <t>0066T000015qQ1FQAU</t>
  </si>
  <si>
    <t>2022-REN-Blast Analytics OBO CMS</t>
  </si>
  <si>
    <t>0060W000013sXgZQAU</t>
  </si>
  <si>
    <t>2021-REN-Blast Analytics OBO CMS</t>
  </si>
  <si>
    <t>0060W000011WYOUQA4</t>
  </si>
  <si>
    <t>2020 Renewal - Blast Analytics OBO CMS</t>
  </si>
  <si>
    <t>0060W00000zNHFLQA4</t>
  </si>
  <si>
    <t>2019 Renewal - Blast Analytics OBO CMS</t>
  </si>
  <si>
    <t>006VH000000lS7JYAU</t>
  </si>
  <si>
    <t>2024 - REN - MetaRouter</t>
  </si>
  <si>
    <t>006VH000005AVUHYA4</t>
  </si>
  <si>
    <t>2025 - REN - Questrade</t>
  </si>
  <si>
    <t>0066T00001CzLoLQAV</t>
  </si>
  <si>
    <t>2024 - REN - Neutrogena</t>
  </si>
  <si>
    <t>006VH00000RA5znYAD</t>
  </si>
  <si>
    <t>2025 - REN - MetaRouter</t>
  </si>
  <si>
    <t>0066T00001CNq7BQAT</t>
  </si>
  <si>
    <t>2024 - REN - Okta</t>
  </si>
  <si>
    <t>0066T0000190gYnQAI</t>
  </si>
  <si>
    <t>2024 - REN - Currys PC World</t>
  </si>
  <si>
    <t>006VH00000PSBILYA5</t>
  </si>
  <si>
    <t>2026 - REN - Currys PC World</t>
  </si>
  <si>
    <t>0066T000017vpk5QAA</t>
  </si>
  <si>
    <t>2023 - REN - Carnival Cruise Lines</t>
  </si>
  <si>
    <t>0066T000018HObQQAW</t>
  </si>
  <si>
    <t>2025 - REN - US Bancorp</t>
  </si>
  <si>
    <t>006VH000002eGzNYAU</t>
  </si>
  <si>
    <t>2025 - REN - CarMax</t>
  </si>
  <si>
    <t>0066T00001AC4HtQAL</t>
  </si>
  <si>
    <t>2023 - REN - Shiseido</t>
  </si>
  <si>
    <t>006VH000001sjUJYAY</t>
  </si>
  <si>
    <t>2024 - REN - Shiseido 2</t>
  </si>
  <si>
    <t>006VH00000DdFMMYA3</t>
  </si>
  <si>
    <t>2025 - REN - Hike &amp; Foxter</t>
  </si>
  <si>
    <t>006VH00000Rf2pVYAR</t>
  </si>
  <si>
    <t>2025 - REN - UNICEF</t>
  </si>
  <si>
    <t>006VH000005JXrpYAG</t>
  </si>
  <si>
    <t>2025 - REN - Pipedrive UK Limited</t>
  </si>
  <si>
    <t>006VH00000de0u5YAA</t>
  </si>
  <si>
    <t>2026 - REN - Stryker Corporation</t>
  </si>
  <si>
    <t>006VH00000RjZZyYAN</t>
  </si>
  <si>
    <t>2025 - REN - Stryker Corporation</t>
  </si>
  <si>
    <t>006VH00000gU19lYAC</t>
  </si>
  <si>
    <t>2026 - REN - Disneyland &amp; Disney Resort</t>
  </si>
  <si>
    <t>0066T00001CMAN0QAP</t>
  </si>
  <si>
    <t>2024 - REN - Novartis</t>
  </si>
  <si>
    <t>0066T00001DO7R4QAL</t>
  </si>
  <si>
    <t>2024 - REN - Hard Rock Cafe</t>
  </si>
  <si>
    <t>006VH00000DeTOoYAN</t>
  </si>
  <si>
    <t>2025 - REN - Hopkins</t>
  </si>
  <si>
    <t>0066T000016mjiIQAQ</t>
  </si>
  <si>
    <t>2025-REN-Zenni Optical</t>
  </si>
  <si>
    <t>006VH00000WsJeMYAV</t>
  </si>
  <si>
    <t>2026 - REN - Charles Schwab</t>
  </si>
  <si>
    <t>006VH00000cREYrYAO</t>
  </si>
  <si>
    <t>2026 - REN - Centers for Medicare &amp; Medicaid Services</t>
  </si>
  <si>
    <t>006VH00000RvVtyYAF</t>
  </si>
  <si>
    <t>2025 - REN - H E B</t>
  </si>
  <si>
    <t>006VH00000Rex3RYAR</t>
  </si>
  <si>
    <t>2025 - REN - Chartis</t>
  </si>
  <si>
    <t>006VH000003su57YAA</t>
  </si>
  <si>
    <t>2025 - REN - WPROMOTE</t>
  </si>
  <si>
    <t>0066T00001BBS6NQAX</t>
  </si>
  <si>
    <t>2026 - REN - Zions Bancorporation</t>
  </si>
  <si>
    <t>006VH00000aichcYAA</t>
  </si>
  <si>
    <t>2027 - REN - Mediacorp Pte Ltd</t>
  </si>
  <si>
    <t>006VH000002v1ENYAY</t>
  </si>
  <si>
    <t>2025 - REN - Courier Newsroom</t>
  </si>
  <si>
    <t>0060W000014aLLRQA2</t>
  </si>
  <si>
    <t>2023 - REN - Hewlett-Packard Enterprise</t>
  </si>
  <si>
    <t>006VH00000TQ8u5YAD</t>
  </si>
  <si>
    <t>2026 - REN - Berkeley Research Group</t>
  </si>
  <si>
    <t>006VH00000bgdfZYAQ</t>
  </si>
  <si>
    <t>006VH00000OABUDYA5</t>
  </si>
  <si>
    <t>2025 - REN - Accenture (app id 341)</t>
  </si>
  <si>
    <t>0066T000017wWhNQAU</t>
  </si>
  <si>
    <t>2023 - REN - Macy's</t>
  </si>
  <si>
    <t>006VH00000PpkooYAB</t>
  </si>
  <si>
    <t>2025 - REN - Macy's</t>
  </si>
  <si>
    <t>006VH00000dpA0UYAU</t>
  </si>
  <si>
    <t>2026 - REN - Macy's</t>
  </si>
  <si>
    <t>0066T00001Cz3GzQAJ</t>
  </si>
  <si>
    <t>2024 - REN - Macy's</t>
  </si>
  <si>
    <t>006VH00000SaHtRYAV</t>
  </si>
  <si>
    <t>2025 - REN - Harley-Davidson Inc.</t>
  </si>
  <si>
    <t>006VH00000efkO6YAI</t>
  </si>
  <si>
    <t>2026 - REN - Harley-Davidson Inc.</t>
  </si>
  <si>
    <t>006VH00000TTtoPYAT</t>
  </si>
  <si>
    <t>2026 - REN - Zenni Optical</t>
  </si>
  <si>
    <t>006VH000000XarEYAS</t>
  </si>
  <si>
    <t>2024 - REN - ST</t>
  </si>
  <si>
    <t>006VH00000TCpneYAD</t>
  </si>
  <si>
    <t>2025 - REN - ST</t>
  </si>
  <si>
    <t>006VH00000fiDWeYAM</t>
  </si>
  <si>
    <t>2026 - REN - ST</t>
  </si>
  <si>
    <t>006VH00000hYZIjYAO</t>
  </si>
  <si>
    <t>2027 - REN - Tulos</t>
  </si>
  <si>
    <t>006VH00000SufA2YAJ</t>
  </si>
  <si>
    <t>2026 - REN - Tulos</t>
  </si>
  <si>
    <t>006VH0000035lG0YAI</t>
  </si>
  <si>
    <t>2024 - REN - Hewlett Packard Enterprise</t>
  </si>
  <si>
    <t>006VH00000GQG4jYAH</t>
  </si>
  <si>
    <t>2025 - REN - Tyson Foods</t>
  </si>
  <si>
    <t>006VH00000Ysz9OYAR</t>
  </si>
  <si>
    <t>2026 - REN - Tyson Foods</t>
  </si>
  <si>
    <t>006VH00000Ahfi6YAB</t>
  </si>
  <si>
    <t>2026 - REN - Novo Nordisk</t>
  </si>
  <si>
    <t>006VH00000JzANoYAN</t>
  </si>
  <si>
    <t>2025 - REN - Tesco Bank</t>
  </si>
  <si>
    <t>006VH000007EuO8YAK</t>
  </si>
  <si>
    <t>2025 - REN - EssenceMediacom</t>
  </si>
  <si>
    <t>006VH00000Tt7kvYAB</t>
  </si>
  <si>
    <t>2026 - REN - Synchrony Bank</t>
  </si>
  <si>
    <t>006VH000004IQ6gYAG</t>
  </si>
  <si>
    <t>2025 - REN - VML Map</t>
  </si>
  <si>
    <t>006VH00000SukUhYAJ</t>
  </si>
  <si>
    <t>2026 - REN - VML Map</t>
  </si>
  <si>
    <t>0066T00001DO8zRQAT</t>
  </si>
  <si>
    <t>2024 - REN - Money and Pensions Service</t>
  </si>
  <si>
    <t>006VH00000BemPPYAZ</t>
  </si>
  <si>
    <t>2025 - REN - Duke Health</t>
  </si>
  <si>
    <t>006VH00000ds8mvYAA</t>
  </si>
  <si>
    <t>2026 - REN - Discover Financial Services - 3rd year of 3 year deal</t>
  </si>
  <si>
    <t>006VH00000SueFaYAJ</t>
  </si>
  <si>
    <t>2026 - REN - WPROMOTE</t>
  </si>
  <si>
    <t>006VH00000fzbmDYAQ</t>
  </si>
  <si>
    <t>006VH00000W1FU5YAN</t>
  </si>
  <si>
    <t>2026 - REN - Cox Automotive</t>
  </si>
  <si>
    <t>006VH000003tF6LYAU</t>
  </si>
  <si>
    <t>2025 - REN - Cost Plus World Market</t>
  </si>
  <si>
    <t>006VH00000UfM6tYAF</t>
  </si>
  <si>
    <t>2026 - REN - Pipedrive UK Limited</t>
  </si>
  <si>
    <t>006VH00000WT9ohYAD</t>
  </si>
  <si>
    <t>2026 - REN - Standard Chartered</t>
  </si>
  <si>
    <t>006VH00000FBaXNYA1</t>
  </si>
  <si>
    <t>2025 - REN - Western Union</t>
  </si>
  <si>
    <t>0066T00001B8YywQAF</t>
  </si>
  <si>
    <t>2024 - REN - Sotheby's</t>
  </si>
  <si>
    <t>006VH00000SaKo6YAF</t>
  </si>
  <si>
    <t>2026 - REN - Kemin</t>
  </si>
  <si>
    <t>006VH00000A5LiwYAF</t>
  </si>
  <si>
    <t>2025 - REN - Target</t>
  </si>
  <si>
    <t>0066T00001BBd08QAD</t>
  </si>
  <si>
    <t>2024 - REN - The Home Depot of Canada</t>
  </si>
  <si>
    <t>006VH00000Dk4E7YAJ</t>
  </si>
  <si>
    <t>2026 - REN - HSBC</t>
  </si>
  <si>
    <t>006VH00000a4H5ZYAU</t>
  </si>
  <si>
    <t>2026 - REN - American Express (Consumer)</t>
  </si>
  <si>
    <t>006VH00000GBzi5YAD</t>
  </si>
  <si>
    <t>2025 - REN - American Express (Consumer)</t>
  </si>
  <si>
    <t>006VH00000Q3iK9YAJ</t>
  </si>
  <si>
    <t>2025 - REN - OMD</t>
  </si>
  <si>
    <t>006VH00000UfTmMYAV</t>
  </si>
  <si>
    <t>2026 - REN - Accent Group</t>
  </si>
  <si>
    <t>006VH00000WL1oHYAT</t>
  </si>
  <si>
    <t>2026 - REN - Kaizen Gaming</t>
  </si>
  <si>
    <t>0066T00001CMnM0QAL</t>
  </si>
  <si>
    <t>2024 - REN - Tyson Foods</t>
  </si>
  <si>
    <t>006VH00000TX869YAD</t>
  </si>
  <si>
    <t>2026 - REN - Financial Times</t>
  </si>
  <si>
    <t>006VH00000ajT9BYAU</t>
  </si>
  <si>
    <t>2026 - REN - Innocean</t>
  </si>
  <si>
    <t>006VH00000VuWoAYAV</t>
  </si>
  <si>
    <t>2026 - REN - Prophet</t>
  </si>
  <si>
    <t>006VH00000ajElGYAU</t>
  </si>
  <si>
    <t>2026 - REN - UniSalute Spa</t>
  </si>
  <si>
    <t>006VH00000UvY5JYAV</t>
  </si>
  <si>
    <t>2026 - REN - Softcat PLC (OBO ADECCO GROUP)</t>
  </si>
  <si>
    <t>006VH00000BesUrYAJ</t>
  </si>
  <si>
    <t>2025 - REN - VertoDigital</t>
  </si>
  <si>
    <t>006VH00000WL0k9YAD</t>
  </si>
  <si>
    <t>2026 - REN - VertoDigital</t>
  </si>
  <si>
    <t>006VH00000S8QbVYAV</t>
  </si>
  <si>
    <t>2025 - REN - Disneyland &amp; Disney Resort</t>
  </si>
  <si>
    <t>0066T00001ACdfYQAT</t>
  </si>
  <si>
    <t>2024 - REN - Newfold Digital</t>
  </si>
  <si>
    <t>006VH00000QIi3hYAD</t>
  </si>
  <si>
    <t>2026 - REN - Newfold Digital</t>
  </si>
  <si>
    <t>006VH00000Z0dWgYAJ</t>
  </si>
  <si>
    <t>2026 - REN - Marks and Spencer</t>
  </si>
  <si>
    <t>006VH00000YP1YQYA1</t>
  </si>
  <si>
    <t>2026 - REN - Loop Horizon</t>
  </si>
  <si>
    <t>0066T00001B9ssCQAR</t>
  </si>
  <si>
    <t>2024 - REN - K12</t>
  </si>
  <si>
    <t>006VH00000ZggA1YAJ</t>
  </si>
  <si>
    <t>2026 - REN - K12</t>
  </si>
  <si>
    <t>006VH00000I0NX6YAN</t>
  </si>
  <si>
    <t>2025 - REN - K12</t>
  </si>
  <si>
    <t>006VH00000JsH49YAF</t>
  </si>
  <si>
    <t>2025 - REN - Booking.com</t>
  </si>
  <si>
    <t>006VH00000A5GL0YAN</t>
  </si>
  <si>
    <t>2025 - REN - Under Armour</t>
  </si>
  <si>
    <t>006VH00000DJQydYAH</t>
  </si>
  <si>
    <t>2025 - REN - Bethlehem Shared Services</t>
  </si>
  <si>
    <t>006VH00000WzWOkYAN</t>
  </si>
  <si>
    <t>2026 - REN - Bethlehem Shared Services</t>
  </si>
  <si>
    <t>006VH00000RvO4VYAV</t>
  </si>
  <si>
    <t>2025 - REN - UHC M&amp;R</t>
  </si>
  <si>
    <t>006VH00000gFMhaYAG</t>
  </si>
  <si>
    <t>2026 - REN - CultHealth</t>
  </si>
  <si>
    <t>006VH00000SHFXBYA5</t>
  </si>
  <si>
    <t>2025 - REN - CultHealth</t>
  </si>
  <si>
    <t>006VH00000OVeubYAD</t>
  </si>
  <si>
    <t>2025 - REN - Cardinal Path</t>
  </si>
  <si>
    <t>006VH00000EEQqcYAH</t>
  </si>
  <si>
    <t>2025 - REN - Zelst</t>
  </si>
  <si>
    <t>006VH00000Xq0FbYAJ</t>
  </si>
  <si>
    <t>2026 - REN - Hopkins</t>
  </si>
  <si>
    <t>006VH00000agtBSYAY</t>
  </si>
  <si>
    <t>2028 - REN - The Standard</t>
  </si>
  <si>
    <t>006VH00000PxbYDYAZ</t>
  </si>
  <si>
    <t>2025 - REN - Hotspex</t>
  </si>
  <si>
    <t>006VH00000Xpy5cYAB</t>
  </si>
  <si>
    <t>2026 - REN - Hike &amp; Foxter</t>
  </si>
  <si>
    <t>006VH00000WteYfYAJ</t>
  </si>
  <si>
    <t>2026 - REN - MongoDB Inc.</t>
  </si>
  <si>
    <t>006VH00000EU6BBYA1</t>
  </si>
  <si>
    <t>2025 - REN - WarnerMedia Services</t>
  </si>
  <si>
    <t>006VH000000xBKVYA2</t>
  </si>
  <si>
    <t>2024 - REN - CDW</t>
  </si>
  <si>
    <t>0066T00001Cyd07QAB</t>
  </si>
  <si>
    <t>2024 - REN - Authentic Digital</t>
  </si>
  <si>
    <t>006VH00000hlvriYAA</t>
  </si>
  <si>
    <t>2026 - REN - Perficient</t>
  </si>
  <si>
    <t>006VH00000fzPrbYAE</t>
  </si>
  <si>
    <t>2026 - REN - Frontdoor</t>
  </si>
  <si>
    <t>006VH00000c6aVxYAI</t>
  </si>
  <si>
    <t>2026 - REN - NetNut</t>
  </si>
  <si>
    <t>006VH00000UWgxJYAT</t>
  </si>
  <si>
    <t>2026 - REN - Kingfisher</t>
  </si>
  <si>
    <t>006VH00000RmW4TYAV</t>
  </si>
  <si>
    <t>2026 - REN - Travelers</t>
  </si>
  <si>
    <t>0066T00001DnsuVQAR</t>
  </si>
  <si>
    <t>2024 - REN - Schneider Electric</t>
  </si>
  <si>
    <t>006VH00000hpLJNYA2</t>
  </si>
  <si>
    <t>2027 - REN - Sewell Automotive</t>
  </si>
  <si>
    <t>006VH00000WzX33YAF</t>
  </si>
  <si>
    <t>2026 - REN - Mazda Motor Corporation</t>
  </si>
  <si>
    <t>006VH00000eh3EwYAI</t>
  </si>
  <si>
    <t>2026 - REN - Ally</t>
  </si>
  <si>
    <t>006VH0000076fu8YAA</t>
  </si>
  <si>
    <t>2026 - REN - Dow</t>
  </si>
  <si>
    <t>0066T000017wWk2QAE</t>
  </si>
  <si>
    <t>2025 - REN - Corebridge Financial</t>
  </si>
  <si>
    <t>006VH00000gB6A1YAK</t>
  </si>
  <si>
    <t>2026 - REN - Corebridge Financial</t>
  </si>
  <si>
    <t>006VH00000hpMfFYAU</t>
  </si>
  <si>
    <t>2027 - REN - Lerma</t>
  </si>
  <si>
    <t>0066T0000191LHrQAM</t>
  </si>
  <si>
    <t>2025 - REN - Exact Sciences</t>
  </si>
  <si>
    <t>006VH00000fhFDtYAM</t>
  </si>
  <si>
    <t>2026 - REN - LA Jolla Beach and Tennis Club</t>
  </si>
  <si>
    <t>006VH00000XIo6cYAD</t>
  </si>
  <si>
    <t>2027 - REN - Optum</t>
  </si>
  <si>
    <t>006VH000001IxHBYA0</t>
  </si>
  <si>
    <t>2024 - REN - Carnival Corporation &amp; plc</t>
  </si>
  <si>
    <t>006VH00000dMqw0YAC</t>
  </si>
  <si>
    <t>2026 - REN - Hewlett Packard Enterprise</t>
  </si>
  <si>
    <t>006VH00000cCGEQYA4</t>
  </si>
  <si>
    <t>2026 - REN - Broadridge</t>
  </si>
  <si>
    <t>006VH00000cCLKXYA4</t>
  </si>
  <si>
    <t>2026 - REN - GroupM Netherlands</t>
  </si>
  <si>
    <t>006VH00000QBPNVYA5</t>
  </si>
  <si>
    <t>2025 - REN - Western Governors University</t>
  </si>
  <si>
    <t>006VH00000HBckvYAD</t>
  </si>
  <si>
    <t>2025 - REN - University of New South Wales</t>
  </si>
  <si>
    <t>006VH00000YLwWrYAL</t>
  </si>
  <si>
    <t>2026 - REN - University of New South Wales</t>
  </si>
  <si>
    <t>006VH00000XPJFlYAP</t>
  </si>
  <si>
    <t>2026 - REN - Intuit</t>
  </si>
  <si>
    <t>0060W000010yP33QAE</t>
  </si>
  <si>
    <t>2020 Renewal - Maurices</t>
  </si>
  <si>
    <t>006d000000pdwpSAAQ</t>
  </si>
  <si>
    <t>2019 Renewal - Maurices</t>
  </si>
  <si>
    <t>006VH00000atQUzYAM</t>
  </si>
  <si>
    <t>2026 - REN - Vital Farms</t>
  </si>
  <si>
    <t>006VH00000MW43tYAD</t>
  </si>
  <si>
    <t>2025 - REN - Vital Farms</t>
  </si>
  <si>
    <t>006VH00000PSNXxYAP</t>
  </si>
  <si>
    <t>2025 - REN - Citi</t>
  </si>
  <si>
    <t>006VH00000a01fJYAQ</t>
  </si>
  <si>
    <t>2026 - REN - Sky Group Limited</t>
  </si>
  <si>
    <t>006VH00000efmw8YAA</t>
  </si>
  <si>
    <t>2026 - REN - Wheelhouse Digital Marketing Group</t>
  </si>
  <si>
    <t>006VH00000Q18URYAZ</t>
  </si>
  <si>
    <t>2025 - REN - Wheelhouse Digital Marketing Group</t>
  </si>
  <si>
    <t>006VH00000e9cblYAA</t>
  </si>
  <si>
    <t>2026 - REN - Henkel</t>
  </si>
  <si>
    <t>006VH00000TsCoIYAV</t>
  </si>
  <si>
    <t>2026 - REN - Versace</t>
  </si>
  <si>
    <t>006VH00000Y6PrOYAV</t>
  </si>
  <si>
    <t>2026 - REN - RBC</t>
  </si>
  <si>
    <t>006VH000005rARSYA2</t>
  </si>
  <si>
    <t>2025 - REN - Kia Corporation</t>
  </si>
  <si>
    <t>006VH00000QLcmTYAT</t>
  </si>
  <si>
    <t>2025 - REN - Cambia Health Solutions</t>
  </si>
  <si>
    <t>006VH00000gYVQzYAO</t>
  </si>
  <si>
    <t>2027 - REN - Crowdstrike</t>
  </si>
  <si>
    <t>006VH00000Y6HFaYAN</t>
  </si>
  <si>
    <t>2026 - EXT - Crowdstrike - 7 months</t>
  </si>
  <si>
    <t>006VH00000TtIDJYA3</t>
  </si>
  <si>
    <t>2026 - REN - CNBC International</t>
  </si>
  <si>
    <t>006VH000000x1g3YAA</t>
  </si>
  <si>
    <t>2024 - REN - Wish</t>
  </si>
  <si>
    <t>006VH00000RX2DGYA1</t>
  </si>
  <si>
    <t>2025 - REN - Wish</t>
  </si>
  <si>
    <t>006VH0000024T2HYAU</t>
  </si>
  <si>
    <t>2024 - REN - AbbVie</t>
  </si>
  <si>
    <t>006VH00000S0R3LYAV</t>
  </si>
  <si>
    <t>2025 - REN - AbbVie</t>
  </si>
  <si>
    <t>006VH00000dNuRFYA0</t>
  </si>
  <si>
    <t>2026 - REN - Hotspex</t>
  </si>
  <si>
    <t>006VH00000LYHNJYA5</t>
  </si>
  <si>
    <t>2025 - REN - Astellas Pharma</t>
  </si>
  <si>
    <t>006VH00000PZlorYAD</t>
  </si>
  <si>
    <t>2025 - REN - Schneider Electric</t>
  </si>
  <si>
    <t>006VH00000fpCkLYAU</t>
  </si>
  <si>
    <t>2026 - REN - CDW</t>
  </si>
  <si>
    <t>006VH00000Tt7Y6YAJ</t>
  </si>
  <si>
    <t>2025 - REN - CDW</t>
  </si>
  <si>
    <t>006VH00000PZmJVYA1</t>
  </si>
  <si>
    <t>2025 - REN - Immobilien Scout</t>
  </si>
  <si>
    <t>006VH00000eKWUXYA4</t>
  </si>
  <si>
    <t>2026 - REN - BMO Bank of Montreal</t>
  </si>
  <si>
    <t>006VH00000cMKDVYA4</t>
  </si>
  <si>
    <t>2026 - REN - Money and Pensions Service</t>
  </si>
  <si>
    <t>006VH00000e8w6EYAQ</t>
  </si>
  <si>
    <t>2026 - REN - Sapient Daisy</t>
  </si>
  <si>
    <t>006VH00000NDYrRYAX</t>
  </si>
  <si>
    <t>2025 - REN - Sarani</t>
  </si>
  <si>
    <t>006VH00000en6wTYAQ</t>
  </si>
  <si>
    <t>2026 - REN - Axeno</t>
  </si>
  <si>
    <t>006VH00000gr9plYAA</t>
  </si>
  <si>
    <t>2026 - REN - William Hill</t>
  </si>
  <si>
    <t>006VH00000SHEKzYAP</t>
  </si>
  <si>
    <t>2025 - REN - William Hill</t>
  </si>
  <si>
    <t>006VH00000g1qh7YAA</t>
  </si>
  <si>
    <t>2026 - REN - Zenfolio</t>
  </si>
  <si>
    <t>006VH00000XQMBbYAP</t>
  </si>
  <si>
    <t>2026 - REN - Brunswick</t>
  </si>
  <si>
    <t>006VH00000a9Z54YAE</t>
  </si>
  <si>
    <t>2026 - REN - Booking.com</t>
  </si>
  <si>
    <t>006VH000002CsGRYA0</t>
  </si>
  <si>
    <t>2025 - REN - Walgreens</t>
  </si>
  <si>
    <t>006VH00000ff7CPYAY</t>
  </si>
  <si>
    <t>2026 - REN - Cvrx</t>
  </si>
  <si>
    <t>006VH00000TZj6PYAT</t>
  </si>
  <si>
    <t>2026 - REN - Sam's Club</t>
  </si>
  <si>
    <t>006VH00000hphgTYAQ</t>
  </si>
  <si>
    <t>2027 - REN - Lumen</t>
  </si>
  <si>
    <t>006VH00000aPRpyYAG</t>
  </si>
  <si>
    <t>2026 - REN - TDECU</t>
  </si>
  <si>
    <t>006VH00000OSkrjYAD</t>
  </si>
  <si>
    <t>2025 - REN - TDECU</t>
  </si>
  <si>
    <t>006VH00000QP3WpYAL</t>
  </si>
  <si>
    <t>2025 - REN - Kellanova</t>
  </si>
  <si>
    <t>006VH00000de0hBYAQ</t>
  </si>
  <si>
    <t>2026 - REN - Kellanova</t>
  </si>
  <si>
    <t>0066T00001DnsKqQAJ</t>
  </si>
  <si>
    <t>2024 - REN - Spark New Zealand</t>
  </si>
  <si>
    <t>006VH00000OmgFFYAZ</t>
  </si>
  <si>
    <t>2025 - REN - Spark New Zealand</t>
  </si>
  <si>
    <t>006VH00000d4Bb9YAE</t>
  </si>
  <si>
    <t>2026 - REN - Spark New Zealand</t>
  </si>
  <si>
    <t>006VH00000gTttmYAC</t>
  </si>
  <si>
    <t>2026 - REN - Nasdaq</t>
  </si>
  <si>
    <t>006VH00000SXXwMYAX</t>
  </si>
  <si>
    <t>2025 - REN - Nasdaq</t>
  </si>
  <si>
    <t>0060W000014mp6oQAA</t>
  </si>
  <si>
    <t>2025-REN-Barclays UK</t>
  </si>
  <si>
    <t>006VH00000fhFtrYAE</t>
  </si>
  <si>
    <t>2026 - REN - Barclays (UK Division)</t>
  </si>
  <si>
    <t>006VH00000fvTSKYA2</t>
  </si>
  <si>
    <t>2026 - REN - Green Arrow Consultancy</t>
  </si>
  <si>
    <t>006VH00000S8HgIYAV</t>
  </si>
  <si>
    <t>2025 - REN - Sub-Zero, Wolf, &amp; Cove</t>
  </si>
  <si>
    <t>006VH00000hmaurYAA</t>
  </si>
  <si>
    <t>2027 - REN - Sorenson - (2nd of 2 year)</t>
  </si>
  <si>
    <t>006VH00000gyzy5YAA</t>
  </si>
  <si>
    <t>2026 - REN - Kiewit</t>
  </si>
  <si>
    <t>006VH0000025JGzYAM</t>
  </si>
  <si>
    <t>2024 - REN - Carmichael Lynch OBO Subaru</t>
  </si>
  <si>
    <t>006VH00000RjyQHYAZ</t>
  </si>
  <si>
    <t>2025 - REN - Carmichael Lynch OBO Subaru</t>
  </si>
  <si>
    <t>006VH00000gFNSMYA4</t>
  </si>
  <si>
    <t>2026 - REN - Carmichael Lynch</t>
  </si>
  <si>
    <t>006VH0000032xn8YAA</t>
  </si>
  <si>
    <t>2025 - REN - SAP</t>
  </si>
  <si>
    <t>006VH00000YsxifYAB</t>
  </si>
  <si>
    <t>2026 - REN - Avon</t>
  </si>
  <si>
    <t>006VH00000eVF8bYAG</t>
  </si>
  <si>
    <t>2026 - REN - UnitedHealth Group</t>
  </si>
  <si>
    <t>006VH00000Q18asYAB</t>
  </si>
  <si>
    <t>2025 - REN - UnitedHealth Group</t>
  </si>
  <si>
    <t>006VH00000gB3nHYAS</t>
  </si>
  <si>
    <t>2028 - REN - Lloyds Bank</t>
  </si>
  <si>
    <t>006VH00000hNx6gYAC</t>
  </si>
  <si>
    <t>2027 - REN - Klick</t>
  </si>
  <si>
    <t>006VH00000S7p9QYAR</t>
  </si>
  <si>
    <t>2026 - REN - Klick (Apellis)</t>
  </si>
  <si>
    <t>006VH00000UFRoDYAX</t>
  </si>
  <si>
    <t>2026 - REN - Bright Horizons Family Solutions Inc.</t>
  </si>
  <si>
    <t>006VH00000A5PzKYAV</t>
  </si>
  <si>
    <t>2025 - REN - Kaizen Gaming</t>
  </si>
  <si>
    <t>006VH00000Z7oXUYAZ</t>
  </si>
  <si>
    <t>2026 - REN - BitBang</t>
  </si>
  <si>
    <t>006VH00000RAdlJYAT</t>
  </si>
  <si>
    <t>2025 - REN - State of Utah</t>
  </si>
  <si>
    <t>006VH00000f3n6DYAQ</t>
  </si>
  <si>
    <t>2026 - REN - State of Utah</t>
  </si>
  <si>
    <t>006VH00000RjsJGYAZ</t>
  </si>
  <si>
    <t>2025 - REN - Perficient</t>
  </si>
  <si>
    <t>006VH00000hYUfdYAG</t>
  </si>
  <si>
    <t>2027 - REN - Sage</t>
  </si>
  <si>
    <t>006VH00000RxtaRYAR</t>
  </si>
  <si>
    <t>2026 - REN - Sage</t>
  </si>
  <si>
    <t>006VH00000ROOxhYAH</t>
  </si>
  <si>
    <t>2025 - REN - Carnival Corporation &amp; plc</t>
  </si>
  <si>
    <t>006VH00000dOqF8YAK</t>
  </si>
  <si>
    <t>2026 - REN - E-CENS</t>
  </si>
  <si>
    <t>006VH00000afYYsYAM</t>
  </si>
  <si>
    <t>2026 - REN - DeVry University</t>
  </si>
  <si>
    <t>006VH00000Xiq9ZYAR</t>
  </si>
  <si>
    <t>2026 - REN - Institute of Chartered Accountants in England and Wales</t>
  </si>
  <si>
    <t>006VH00000Y4haiYAB</t>
  </si>
  <si>
    <t>2026 - REN - Novo Nordisk Inc.</t>
  </si>
  <si>
    <t>006VH00000WSoDyYAL</t>
  </si>
  <si>
    <t>2026 - REN - BDO USA LLP</t>
  </si>
  <si>
    <t>0066T000017vvD0QAI</t>
  </si>
  <si>
    <t>2024 - REN - AutoNation</t>
  </si>
  <si>
    <t>006VH00000RAnCnYAL</t>
  </si>
  <si>
    <t>2026 - REN - AutoNation</t>
  </si>
  <si>
    <t>006VH00000eXNtLYAW</t>
  </si>
  <si>
    <t>006VH00000Vun19YAB</t>
  </si>
  <si>
    <t>006VH00000VugdtYAB</t>
  </si>
  <si>
    <t>006VH00000RLyfzYAD</t>
  </si>
  <si>
    <t>2027 - REN - Endress+Hauser AG</t>
  </si>
  <si>
    <t>006VH00000ewiuUYAQ</t>
  </si>
  <si>
    <t>2026 - REN - Workday</t>
  </si>
  <si>
    <t>006VH00000PyBtVYAV</t>
  </si>
  <si>
    <t>2025 - REN - Discover Financial Services - 2nd of 3 year deal</t>
  </si>
  <si>
    <t>0066T000016jsAKQAY</t>
  </si>
  <si>
    <t>2024 - REN - M&amp;T Bank</t>
  </si>
  <si>
    <t>006VH00000P1mx4YAB</t>
  </si>
  <si>
    <t>2027 - REN - M&amp;T Bank</t>
  </si>
  <si>
    <t>0066T000018GrDwQAK</t>
  </si>
  <si>
    <t>2023 - REN - Mayo Clinic</t>
  </si>
  <si>
    <t>006VH00000VfQUXYA3</t>
  </si>
  <si>
    <t>2026 - REN - Holafly</t>
  </si>
  <si>
    <t>006VH00000C2W3LYAV</t>
  </si>
  <si>
    <t>2025 - REN - Choice Hotels</t>
  </si>
  <si>
    <t>006VH00000DeW1hYAF</t>
  </si>
  <si>
    <t>2025 - REN - Adobe (Federal)</t>
  </si>
  <si>
    <t>006VH00000NvylNYAR</t>
  </si>
  <si>
    <t>2027 - REN - PetSmart</t>
  </si>
  <si>
    <t>006VH00000YoIPZYA3</t>
  </si>
  <si>
    <t>2026 - REN - RDO Equipment</t>
  </si>
  <si>
    <t>0066T00001B9yLVQAZ</t>
  </si>
  <si>
    <t>2025 - REN - United Healthcare (Providers Operations)</t>
  </si>
  <si>
    <t>006VH00000VIJn7YAH</t>
  </si>
  <si>
    <t>2027 - REN - UHC Provider Operations</t>
  </si>
  <si>
    <t>006VH00000M7tr8YAB</t>
  </si>
  <si>
    <t>2025 - REN - Money and Pensions Service</t>
  </si>
  <si>
    <t>006VH00000AhjqaYAB</t>
  </si>
  <si>
    <t>2025 - REN - AT&amp;T</t>
  </si>
  <si>
    <t>006VH000008QOuvYAG</t>
  </si>
  <si>
    <t>2026 - REN - Honda Motor Company</t>
  </si>
  <si>
    <t>006VH000002kCrRYAU</t>
  </si>
  <si>
    <t>2026 - REN - Selfridges &amp; Co.</t>
  </si>
  <si>
    <t>006VH0000045inoYAA</t>
  </si>
  <si>
    <t>2025 - REN - Versace</t>
  </si>
  <si>
    <t>006VH000003KPdFYAW</t>
  </si>
  <si>
    <t>2025 - REN - V Shred</t>
  </si>
  <si>
    <t>006VH00000S8N5oYAF</t>
  </si>
  <si>
    <t>2026 - REN - V Shred</t>
  </si>
  <si>
    <t>006VH00000ONyDlYAL</t>
  </si>
  <si>
    <t>2025 - REN - Roche</t>
  </si>
  <si>
    <t>006VH00000SLBDJYA5</t>
  </si>
  <si>
    <t>2025 - REN - America's Credit Unions</t>
  </si>
  <si>
    <t>006VH00000XHzvNYAT</t>
  </si>
  <si>
    <t>2026 - REN - Big Orange Lab</t>
  </si>
  <si>
    <t>006VH00000GrpzFYAR</t>
  </si>
  <si>
    <t>2025 - REN - Microsoft</t>
  </si>
  <si>
    <t>006VH000002eHc8YAE</t>
  </si>
  <si>
    <t>2024 - REN - Sub-Zero, Wolf, &amp; Cove</t>
  </si>
  <si>
    <t>006VH00000WwRTeYAN</t>
  </si>
  <si>
    <t>2026 - REN - Ziff Davis Inc.</t>
  </si>
  <si>
    <t>0066T00001AEsnbQAD</t>
  </si>
  <si>
    <t>2025 - REN - New York Life Insurance</t>
  </si>
  <si>
    <t>006VH00000Ts7OnYAJ</t>
  </si>
  <si>
    <t>2027 - REN - New York Life Insurance</t>
  </si>
  <si>
    <t>006VH00000WkPaVYAV</t>
  </si>
  <si>
    <t>2026 - REN - GroupM Danmark</t>
  </si>
  <si>
    <t>006VH00000gcXu1YAE</t>
  </si>
  <si>
    <t>2026 - REN - Shiseido 2</t>
  </si>
  <si>
    <t>006VH00000ThkbdYAB</t>
  </si>
  <si>
    <t>2026 - REN - Hookflash Analytics Limited</t>
  </si>
  <si>
    <t>006VH00000hdYHBYA2</t>
  </si>
  <si>
    <t>2027 - REN - Hookflash Analytics Limited</t>
  </si>
  <si>
    <t>006VH00000WhZRVYA3</t>
  </si>
  <si>
    <t>2026 - REN - Medifast Inc.</t>
  </si>
  <si>
    <t>0066T00001ADMwIQAX</t>
  </si>
  <si>
    <t>2025 - REN - CNBC International</t>
  </si>
  <si>
    <t>006VH000003ZrxNYAS</t>
  </si>
  <si>
    <t>2025 - REN - UBS</t>
  </si>
  <si>
    <t>006VH00000IDbNZYA1</t>
  </si>
  <si>
    <t>2025 - REN - General Motors Company</t>
  </si>
  <si>
    <t>006VH00000efrnjYAA</t>
  </si>
  <si>
    <t>2026 - REN - HP Inc</t>
  </si>
  <si>
    <t>006VH00000A5Va5YAF</t>
  </si>
  <si>
    <t>2025 - REN - Citadel Federal Credit Union</t>
  </si>
  <si>
    <t>006VH00000XDNLaYAP</t>
  </si>
  <si>
    <t>2026 - REN - Citadel Federal Credit Union</t>
  </si>
  <si>
    <t>006VH00000bvibiYAA</t>
  </si>
  <si>
    <t>2026 - REN - Travel Guard</t>
  </si>
  <si>
    <t>006VH00000a58Q1YAI</t>
  </si>
  <si>
    <t>2026 - REN - Ricoh</t>
  </si>
  <si>
    <t>006VH00000E2BfIYAV</t>
  </si>
  <si>
    <t>2025 - REN - The Home Depot of Canada</t>
  </si>
  <si>
    <t>006VH00000V65mOYAR</t>
  </si>
  <si>
    <t>2027 - REN - Gap</t>
  </si>
  <si>
    <t>006VH00000ak4geYAA</t>
  </si>
  <si>
    <t>2026 - REN - Arc'Teryx</t>
  </si>
  <si>
    <t>006VH00000VZgnMYAT</t>
  </si>
  <si>
    <t>2027 - REN - Staysure Ltd.</t>
  </si>
  <si>
    <t>006VH00000Vure5YAB</t>
  </si>
  <si>
    <t>2026 - REN - CSA Latam</t>
  </si>
  <si>
    <t>006VH00000DJt4XYAT</t>
  </si>
  <si>
    <t>2025 - REN - Novartis</t>
  </si>
  <si>
    <t>006VH00000VuR6yYAF</t>
  </si>
  <si>
    <t>2026 - REN - Novartis</t>
  </si>
  <si>
    <t>006VH00000aMvXaYAK</t>
  </si>
  <si>
    <t>2026 - REN - Volvo Car</t>
  </si>
  <si>
    <t>006VH00000hphGfYAI</t>
  </si>
  <si>
    <t>2027 - REN - Frontier Communications</t>
  </si>
  <si>
    <t>006VH00000SaJ7IYAV</t>
  </si>
  <si>
    <t>2026 - REN - Frontier Communications</t>
  </si>
  <si>
    <t>006VH0000074O1MYAU</t>
  </si>
  <si>
    <t>2025 - REN - Caleres</t>
  </si>
  <si>
    <t>006VH00000VufGLYAZ</t>
  </si>
  <si>
    <t>2026 - REN - Caleres</t>
  </si>
  <si>
    <t>006VH000007ZvXFYA0</t>
  </si>
  <si>
    <t>2025 - REN - Prophet</t>
  </si>
  <si>
    <t>006VH00000WKqbAYAT</t>
  </si>
  <si>
    <t>2027 - REN - Jet2.COM Ltd.</t>
  </si>
  <si>
    <t>006VH00000WL0gxYAD</t>
  </si>
  <si>
    <t>2026 - REN - Owens Corning</t>
  </si>
  <si>
    <t>006VH00000WodGfYAJ</t>
  </si>
  <si>
    <t>2026 - REN - Kaufland E-Commerce</t>
  </si>
  <si>
    <t>006VH0000076aT3YAI</t>
  </si>
  <si>
    <t>2025 - REN - Standard Chartered</t>
  </si>
  <si>
    <t>006VH00000P1xFlYAJ</t>
  </si>
  <si>
    <t>2025 - REN - JPMorgan Chase</t>
  </si>
  <si>
    <t>006VH00000Tq0T3YAJ</t>
  </si>
  <si>
    <t>2027 - REN - Centene</t>
  </si>
  <si>
    <t>006VH00000XU30fYAD</t>
  </si>
  <si>
    <t>2026 - REN - Mouser Electronics</t>
  </si>
  <si>
    <t>006VH00000LPw9jYAD</t>
  </si>
  <si>
    <t>2025 - REN - American Express (Merchant)</t>
  </si>
  <si>
    <t>006VH00000fzalJYAQ</t>
  </si>
  <si>
    <t>2026 - REN - Signet Jewelers</t>
  </si>
  <si>
    <t>006VH00000eVH3xYAG</t>
  </si>
  <si>
    <t>2026 - NB - Next - NB after POC</t>
  </si>
  <si>
    <t>006VH00000ajztpYAA</t>
  </si>
  <si>
    <t>2027 - REN - Athenahealth</t>
  </si>
  <si>
    <t>006VH00000eD3YvYAK</t>
  </si>
  <si>
    <t>2027 - REN - Whirlpool</t>
  </si>
  <si>
    <t>006VH00000QBKE9YAP</t>
  </si>
  <si>
    <t>2025 - REN - Whirlpool</t>
  </si>
  <si>
    <t>006VH00000ex0D3YAI</t>
  </si>
  <si>
    <t>2026 - REN - Moncler SpA</t>
  </si>
  <si>
    <t>006VH00000WsFXWYA3</t>
  </si>
  <si>
    <t>2026 - REN - GroupM Nexus</t>
  </si>
  <si>
    <t>006VH00000gAmHlYAK</t>
  </si>
  <si>
    <t>2027 - REN - Goldman Sachs</t>
  </si>
  <si>
    <t>006VH00000KJwkjYAD</t>
  </si>
  <si>
    <t>2025 - REN - British Airways (6 months)</t>
  </si>
  <si>
    <t>006VH00000h3ZQKYA2</t>
  </si>
  <si>
    <t>2027 - REN - Capital One Financial</t>
  </si>
  <si>
    <t>006VH00000RmWSfYAN</t>
  </si>
  <si>
    <t>2026 - REN - Capital One Financial</t>
  </si>
  <si>
    <t>006VH00000T9GmRYAV</t>
  </si>
  <si>
    <t>2026 - REN - Torrid</t>
  </si>
  <si>
    <t>006VH00000hNw94YAC</t>
  </si>
  <si>
    <t>2027 - REN - Advocate Health - (year 2 of 3)</t>
  </si>
  <si>
    <t>006VH00000ZgceEYAR</t>
  </si>
  <si>
    <t>2026 - REN - Sanitas Companies</t>
  </si>
  <si>
    <t>006VH000000S6vJYAS</t>
  </si>
  <si>
    <t>2025 - REN - Carhartt</t>
  </si>
  <si>
    <t>006VH00000e0JlBYAU</t>
  </si>
  <si>
    <t>2026 - REN - Apple</t>
  </si>
  <si>
    <t>006VH00000aaazgYAA</t>
  </si>
  <si>
    <t>2026 - REN - Google (Marketing)</t>
  </si>
  <si>
    <t>006VH00000KzvXKYAZ</t>
  </si>
  <si>
    <t>2025 - REN - Google (Marketing)</t>
  </si>
  <si>
    <t>006VH00000YM2cHYAT</t>
  </si>
  <si>
    <t>2026 - REN - American Express (Merchant)</t>
  </si>
  <si>
    <t>006VH00000gKfYMYA0</t>
  </si>
  <si>
    <t>2026 - REN - PepsiCo</t>
  </si>
  <si>
    <t>006VH00000RxwRpYAJ</t>
  </si>
  <si>
    <t>2025 - REN - PepsiCo</t>
  </si>
  <si>
    <t>006VH00000auem1YAA</t>
  </si>
  <si>
    <t>2026 - REN - Parallel Path</t>
  </si>
  <si>
    <t>006VH000002u6HiYAI</t>
  </si>
  <si>
    <t>2025 - REN - Lloyds Bank</t>
  </si>
  <si>
    <t>006VH00000a43tqYAA</t>
  </si>
  <si>
    <t>2026 - REN - Tesco Bank</t>
  </si>
  <si>
    <t>006VH00000fhHArYAM</t>
  </si>
  <si>
    <t>2026 - REN - Croud</t>
  </si>
  <si>
    <t>0066T00001DO7GpQAL</t>
  </si>
  <si>
    <t>2025 - REN - SolarWinds</t>
  </si>
  <si>
    <t>0066T00001ACEX0QAP</t>
  </si>
  <si>
    <t>2025 - REN - Owens Corning</t>
  </si>
  <si>
    <t>006VH00000aapX8YAI</t>
  </si>
  <si>
    <t>2026 - REN - Reckitt</t>
  </si>
  <si>
    <t>006VH00000HzvyuYAB</t>
  </si>
  <si>
    <t>2025 - REN - Reckitt</t>
  </si>
  <si>
    <t>006VH00000HgUZNYA3</t>
  </si>
  <si>
    <t>2025 - REN - DMPG</t>
  </si>
  <si>
    <t>006VH00000acOMPYA2</t>
  </si>
  <si>
    <t>2026 - REN - Accenture - Stategy &amp; Consulting</t>
  </si>
  <si>
    <t>006VH00000Lf93FYAR</t>
  </si>
  <si>
    <t>2025 - REN - Caesars Entertainment</t>
  </si>
  <si>
    <t>006VH00000ISTKrYAP</t>
  </si>
  <si>
    <t>2025 - REN - Sky UK</t>
  </si>
  <si>
    <t>006VH00000ZbvcfYAB</t>
  </si>
  <si>
    <t>2026 - REN - WarnerMedia Services</t>
  </si>
  <si>
    <t>006VH00000dNtwbYAC</t>
  </si>
  <si>
    <t>2026 - REN - McDonald's</t>
  </si>
  <si>
    <t>006VH00000ZsO61YAF</t>
  </si>
  <si>
    <t>2028 - REN - The Sun</t>
  </si>
  <si>
    <t>006VH00000bjBBhYAM</t>
  </si>
  <si>
    <t>2026 - REN - Diamond Website Conversion</t>
  </si>
  <si>
    <t>006VH00000WKt9EYAT</t>
  </si>
  <si>
    <t>2026 - REN - Ross Stores Inc.</t>
  </si>
  <si>
    <t>006VH00000ZPyT5YAL</t>
  </si>
  <si>
    <t>2026 - REN - Springer Nature</t>
  </si>
  <si>
    <t>0066T00001BAEwSQAX</t>
  </si>
  <si>
    <t>2024 - REN - RingCentral</t>
  </si>
  <si>
    <t>006VH000007aNmtYAE</t>
  </si>
  <si>
    <t>2025 - REN - RingCentral</t>
  </si>
  <si>
    <t>006VH00000atMJKYA2</t>
  </si>
  <si>
    <t>2026 - REN - AuditBoard Inc.</t>
  </si>
  <si>
    <t>006VH00000Ysu1hYAB</t>
  </si>
  <si>
    <t>2026 - REN - Third and Grove</t>
  </si>
  <si>
    <t>006VH00000TpppOYAR</t>
  </si>
  <si>
    <t>2026 - REN - Bluebeam Inc.</t>
  </si>
  <si>
    <t>006VH00000csnqgYAA</t>
  </si>
  <si>
    <t>2027 - REN - Cloudera</t>
  </si>
  <si>
    <t>Auto_Renewal__c</t>
  </si>
  <si>
    <t>next_renewal_opportunity_id</t>
  </si>
  <si>
    <t>0010W00002IukZwQAJ</t>
  </si>
  <si>
    <t>BAUHAUS</t>
  </si>
  <si>
    <t>0010W00002ZMgmOQAT</t>
  </si>
  <si>
    <t>WPROMOTE</t>
  </si>
  <si>
    <t>0016T00002quWQmQAM</t>
  </si>
  <si>
    <t>El Arte De Medir</t>
  </si>
  <si>
    <t>0016T00002rVOvnQAG</t>
  </si>
  <si>
    <t>Zahlen Solutions</t>
  </si>
  <si>
    <t>001d000001ezqfhAAA</t>
  </si>
  <si>
    <t>Sotheby's</t>
  </si>
  <si>
    <t>001d000001qtaZuAAI</t>
  </si>
  <si>
    <t>Allianz</t>
  </si>
  <si>
    <t>0010W00002cBeLdQAK</t>
  </si>
  <si>
    <t>Inspire Brands</t>
  </si>
  <si>
    <t>0010W00002CiZRtQAN</t>
  </si>
  <si>
    <t>New York University</t>
  </si>
  <si>
    <t>0010W00002diNNfQAM</t>
  </si>
  <si>
    <t>Drumline</t>
  </si>
  <si>
    <t>0010W00002dxOmFQAU</t>
  </si>
  <si>
    <t>University of New South Wales</t>
  </si>
  <si>
    <t>0010W00002dxPBNQA2</t>
  </si>
  <si>
    <t>Merz Pharma</t>
  </si>
  <si>
    <t>0010W00002dxPkqQAE</t>
  </si>
  <si>
    <t>Softcat PLC</t>
  </si>
  <si>
    <t>0010W00002dxPyQQAU</t>
  </si>
  <si>
    <t>Kiewit</t>
  </si>
  <si>
    <t>0010W00002dxQcmQAE</t>
  </si>
  <si>
    <t>Penumbra</t>
  </si>
  <si>
    <t>0010W00002dxQNGQA2</t>
  </si>
  <si>
    <t>Moncler SpA</t>
  </si>
  <si>
    <t>0010W00002dxQr5QAE</t>
  </si>
  <si>
    <t>Brittany Ferries</t>
  </si>
  <si>
    <t>0010W00002dxQUdQAM</t>
  </si>
  <si>
    <t>Frontdoor</t>
  </si>
  <si>
    <t>0010W00002dxQx1QAE</t>
  </si>
  <si>
    <t>Deutsche Bahn</t>
  </si>
  <si>
    <t>0010W00002dxRaHQAU</t>
  </si>
  <si>
    <t>Sky Group Limited</t>
  </si>
  <si>
    <t>0010W00002dxRfnQAE</t>
  </si>
  <si>
    <t>JVCKENWOOD</t>
  </si>
  <si>
    <t>0010W00002dxRviQAE</t>
  </si>
  <si>
    <t>Brunswick</t>
  </si>
  <si>
    <t>0010W00002dxRxIQAU</t>
  </si>
  <si>
    <t>Swisscom</t>
  </si>
  <si>
    <t>0010W00002dxSBLQA2</t>
  </si>
  <si>
    <t>Bain &amp; Company</t>
  </si>
  <si>
    <t>0010W00002dxSf7QAE</t>
  </si>
  <si>
    <t>Brunello Cucinelli</t>
  </si>
  <si>
    <t>0010W00002dxSGSQA2</t>
  </si>
  <si>
    <t>Banco BPI</t>
  </si>
  <si>
    <t>0010W00002dxSMWQA2</t>
  </si>
  <si>
    <t>RDO Equipment</t>
  </si>
  <si>
    <t>0010W00002dxTipQAE</t>
  </si>
  <si>
    <t>Cotiviti</t>
  </si>
  <si>
    <t>0010W00002dxTMPQA2</t>
  </si>
  <si>
    <t>Brisa - Auto-Estradas de Portugal</t>
  </si>
  <si>
    <t>0010W00002dxTO4QAM</t>
  </si>
  <si>
    <t>Accent Group</t>
  </si>
  <si>
    <t>0010W00002FHrNrQAL</t>
  </si>
  <si>
    <t>Indegene</t>
  </si>
  <si>
    <t>0010W00002FIYx5QAH</t>
  </si>
  <si>
    <t>Legal &amp; General</t>
  </si>
  <si>
    <t>0010W00002gEqN1QAK</t>
  </si>
  <si>
    <t>DMPG</t>
  </si>
  <si>
    <t>0010W00002HaKncQAF</t>
  </si>
  <si>
    <t>European Union</t>
  </si>
  <si>
    <t>0010W00002HyT70QAF</t>
  </si>
  <si>
    <t>Torrid</t>
  </si>
  <si>
    <t>0010W00002L08pJQAR</t>
  </si>
  <si>
    <t>Pure Storage</t>
  </si>
  <si>
    <t>0010W00002Mx4NUQAZ</t>
  </si>
  <si>
    <t>Novartis</t>
  </si>
  <si>
    <t>0010W00002MyvWcQAJ</t>
  </si>
  <si>
    <t>Endress+Hauser AG</t>
  </si>
  <si>
    <t>0010W00002OJ30cQAD</t>
  </si>
  <si>
    <t>Springer Nature</t>
  </si>
  <si>
    <t>0010W00002OzRcnQAF</t>
  </si>
  <si>
    <t>Okta</t>
  </si>
  <si>
    <t>0010W00002OzRdlQAF</t>
  </si>
  <si>
    <t>Barclays (UK Division)</t>
  </si>
  <si>
    <t>0010W00002OzRgfQAF</t>
  </si>
  <si>
    <t>Walgreens Boots Alliance</t>
  </si>
  <si>
    <t>0010W00002OzRiRQAV</t>
  </si>
  <si>
    <t>Ricoh</t>
  </si>
  <si>
    <t>0010W00002OzRsvQAF</t>
  </si>
  <si>
    <t>Mazda Motor Corporation</t>
  </si>
  <si>
    <t>0010W00002OzSHqQAN</t>
  </si>
  <si>
    <t>Keurig Dr Pepper</t>
  </si>
  <si>
    <t>0010W00002Pl4DtQAJ</t>
  </si>
  <si>
    <t>Rubrik</t>
  </si>
  <si>
    <t>0010W00002QIfUXQA1</t>
  </si>
  <si>
    <t>Hugo Boss</t>
  </si>
  <si>
    <t>0010W00002RgwSQQAZ</t>
  </si>
  <si>
    <t>Exture Technology, Inc.</t>
  </si>
  <si>
    <t>0010W00002RhS2nQAF</t>
  </si>
  <si>
    <t>Transparent Partners</t>
  </si>
  <si>
    <t>0010W00002TgpdrQAB</t>
  </si>
  <si>
    <t>British American Tobacco</t>
  </si>
  <si>
    <t>0010W00002UrzeyQAB</t>
  </si>
  <si>
    <t>Crowdstrike</t>
  </si>
  <si>
    <t>0010W00002VpN2bQAF</t>
  </si>
  <si>
    <t>Klick</t>
  </si>
  <si>
    <t>0010W00002Vwn2uQAB</t>
  </si>
  <si>
    <t>Tv2/Danmark</t>
  </si>
  <si>
    <t>0010W00002VwnJfQAJ</t>
  </si>
  <si>
    <t>Conrad Electronic International GmbH and Co KG</t>
  </si>
  <si>
    <t>0010W00002VytlpQAB</t>
  </si>
  <si>
    <t>Merck KGaA</t>
  </si>
  <si>
    <t>0010W00002YBpoZQAT</t>
  </si>
  <si>
    <t>Analytics Intelligence</t>
  </si>
  <si>
    <t>0010W00002YBv1sQAD</t>
  </si>
  <si>
    <t>CUF, S.A.</t>
  </si>
  <si>
    <t>0010W00002YCJDeQAP</t>
  </si>
  <si>
    <t>E-CENS</t>
  </si>
  <si>
    <t>0010W00002YCWggQAH</t>
  </si>
  <si>
    <t>Discovery Ltd</t>
  </si>
  <si>
    <t>0010W00002ZJLgdQAH</t>
  </si>
  <si>
    <t>The Standard</t>
  </si>
  <si>
    <t>0010W00002ZqiEdQAJ</t>
  </si>
  <si>
    <t>Spark New Zealand</t>
  </si>
  <si>
    <t>0010W00002ZTGWoQAP</t>
  </si>
  <si>
    <t>Truist</t>
  </si>
  <si>
    <t>0016T00002jkwx0QAA</t>
  </si>
  <si>
    <t>Loop Horizon</t>
  </si>
  <si>
    <t>0016T00002jmmtYQAQ</t>
  </si>
  <si>
    <t>Staysure Ltd.</t>
  </si>
  <si>
    <t>0016T00002lBRENQA4</t>
  </si>
  <si>
    <t>Roots Analytics</t>
  </si>
  <si>
    <t>0016T00002lDCrqQAG</t>
  </si>
  <si>
    <t>Civic Data</t>
  </si>
  <si>
    <t>0016T00002lvc6GQAQ</t>
  </si>
  <si>
    <t>Hopkins</t>
  </si>
  <si>
    <t>0016T00002lvu9dQAA</t>
  </si>
  <si>
    <t>ICAEW</t>
  </si>
  <si>
    <t>0016T00002mODFlQAO</t>
  </si>
  <si>
    <t>Pollard Banknote</t>
  </si>
  <si>
    <t>0016T00002mODVyQAO</t>
  </si>
  <si>
    <t>Lumen</t>
  </si>
  <si>
    <t>0016T00002mOP9yQAG</t>
  </si>
  <si>
    <t>Together Financial Services</t>
  </si>
  <si>
    <t>0016T00002mzfDuQAI</t>
  </si>
  <si>
    <t>NP Digital</t>
  </si>
  <si>
    <t>0016T00002n1FuOQAU</t>
  </si>
  <si>
    <t>Malwarebytes Inc.</t>
  </si>
  <si>
    <t>0016T00002quWSsQAM</t>
  </si>
  <si>
    <t>Hike &amp; Foxter</t>
  </si>
  <si>
    <t>0016T00002tpKTxQAM</t>
  </si>
  <si>
    <t>MongoDB Inc.</t>
  </si>
  <si>
    <t>0016T000030mDHZQA2</t>
  </si>
  <si>
    <t>Berkeley Research Group</t>
  </si>
  <si>
    <t>0016T000030nJr7QAE</t>
  </si>
  <si>
    <t>Solvation</t>
  </si>
  <si>
    <t>0016T000031siTrQAI</t>
  </si>
  <si>
    <t>Aktion Mensch</t>
  </si>
  <si>
    <t>0016T000031tHvhQAE</t>
  </si>
  <si>
    <t>AuditBoard Inc.</t>
  </si>
  <si>
    <t>0016T000034EAQOQA4</t>
  </si>
  <si>
    <t>Money and Pensions Service</t>
  </si>
  <si>
    <t>0016T000034gmmAQAQ</t>
  </si>
  <si>
    <t>Lerma</t>
  </si>
  <si>
    <t>0016T000034SPyVQAW</t>
  </si>
  <si>
    <t>Latchmill</t>
  </si>
  <si>
    <t>0016T000035ZtXyQAK</t>
  </si>
  <si>
    <t>Kaizen Gaming</t>
  </si>
  <si>
    <t>0016T0000370hJ1QAI</t>
  </si>
  <si>
    <t>Prophet</t>
  </si>
  <si>
    <t>0016T000037Fr6TQAS</t>
  </si>
  <si>
    <t>VertoDigital</t>
  </si>
  <si>
    <t>0016T000037UTrpQAG</t>
  </si>
  <si>
    <t>Tulos</t>
  </si>
  <si>
    <t>0016T000038DSg6QAG</t>
  </si>
  <si>
    <t>Chartis</t>
  </si>
  <si>
    <t>001d000000vhmucAAA</t>
  </si>
  <si>
    <t>Trakken</t>
  </si>
  <si>
    <t>001d000000VO7iMAAT</t>
  </si>
  <si>
    <t>Target</t>
  </si>
  <si>
    <t>001d000000VOc86AAD</t>
  </si>
  <si>
    <t>The Church of Jesus Christ of Latter-day Saints</t>
  </si>
  <si>
    <t>001d000000VOLPRAA5</t>
  </si>
  <si>
    <t>BitBang</t>
  </si>
  <si>
    <t>001d000000VOQibAAH</t>
  </si>
  <si>
    <t>iDimension</t>
  </si>
  <si>
    <t>001d000000W5avlAAB</t>
  </si>
  <si>
    <t>Harley-Davidson Inc.</t>
  </si>
  <si>
    <t>001d000000W6ISjAAN</t>
  </si>
  <si>
    <t>Volkswagen</t>
  </si>
  <si>
    <t>001d000000XnXbcAAF</t>
  </si>
  <si>
    <t>Optimal Ways</t>
  </si>
  <si>
    <t>001d00000105PplAAE</t>
  </si>
  <si>
    <t>Saxo Bank</t>
  </si>
  <si>
    <t>001d000001aSHgOAAW</t>
  </si>
  <si>
    <t>Alliance for Audited Media</t>
  </si>
  <si>
    <t>001d000001buDIzAAM</t>
  </si>
  <si>
    <t>Prudential Financial Inc.</t>
  </si>
  <si>
    <t>001d000001dKAOzAAO</t>
  </si>
  <si>
    <t>PNC</t>
  </si>
  <si>
    <t>001d000001dLn7JAAS</t>
  </si>
  <si>
    <t>Healthgrades</t>
  </si>
  <si>
    <t>001d000001dMZ1nAAG</t>
  </si>
  <si>
    <t>Deloitte</t>
  </si>
  <si>
    <t>001d000001eAbd9AAC</t>
  </si>
  <si>
    <t>Mars</t>
  </si>
  <si>
    <t>001d000001eAQacAAG</t>
  </si>
  <si>
    <t>Southwest Airlines</t>
  </si>
  <si>
    <t>001d000001ezcwzAAA</t>
  </si>
  <si>
    <t>Canadian Tire Corporation</t>
  </si>
  <si>
    <t>001d000001eziBmAAI</t>
  </si>
  <si>
    <t>PetSmart</t>
  </si>
  <si>
    <t>001d000001ezk5tAAA</t>
  </si>
  <si>
    <t>Sherwin-Williams</t>
  </si>
  <si>
    <t>001d000001ezp64AAA</t>
  </si>
  <si>
    <t>ULTA</t>
  </si>
  <si>
    <t>001d000001ezRezAAE</t>
  </si>
  <si>
    <t>Kingfisher</t>
  </si>
  <si>
    <t>001d000001ezRF3AAM</t>
  </si>
  <si>
    <t>H E B</t>
  </si>
  <si>
    <t>001d000001ezRkOAAU</t>
  </si>
  <si>
    <t>Marks and Spencer</t>
  </si>
  <si>
    <t>001d000001ezRksAAE</t>
  </si>
  <si>
    <t>Currys PC World</t>
  </si>
  <si>
    <t>001d000001f0QvMAAU</t>
  </si>
  <si>
    <t>Vodafone Group</t>
  </si>
  <si>
    <t>001d000001fiz8gAAA</t>
  </si>
  <si>
    <t>Avon</t>
  </si>
  <si>
    <t>001d000001fj7YtAAI</t>
  </si>
  <si>
    <t>Under Armour</t>
  </si>
  <si>
    <t>001d000001fj8i1AAA</t>
  </si>
  <si>
    <t>Signet Jewelers</t>
  </si>
  <si>
    <t>001d000001fj9BuAAI</t>
  </si>
  <si>
    <t>Caleres</t>
  </si>
  <si>
    <t>001d000001fjMCuAAM</t>
  </si>
  <si>
    <t>Carhartt</t>
  </si>
  <si>
    <t>001d000001fjMD9AAM</t>
  </si>
  <si>
    <t>The Scotts Co. LLC</t>
  </si>
  <si>
    <t>001d000001FmM0rAAF</t>
  </si>
  <si>
    <t>Texas Instruments</t>
  </si>
  <si>
    <t>001d000001gO0rjAAC</t>
  </si>
  <si>
    <t>M&amp;T Bank</t>
  </si>
  <si>
    <t>001d000001gPBaDAAW</t>
  </si>
  <si>
    <t>Room &amp; Board</t>
  </si>
  <si>
    <t>001d000001gPzWxAAK</t>
  </si>
  <si>
    <t>Mastercard</t>
  </si>
  <si>
    <t>001d000001gQ0DSAA0</t>
  </si>
  <si>
    <t>PGA TOUR</t>
  </si>
  <si>
    <t>001d000001gQEqUAAW</t>
  </si>
  <si>
    <t>Selfridges &amp; Co.</t>
  </si>
  <si>
    <t>001d000001gQH3fAAG</t>
  </si>
  <si>
    <t>Mary Kay</t>
  </si>
  <si>
    <t>001d000001gQQ9cAAG</t>
  </si>
  <si>
    <t>Caesars Entertainment</t>
  </si>
  <si>
    <t>001d000001gQXw6AAG</t>
  </si>
  <si>
    <t>Financial Times</t>
  </si>
  <si>
    <t>001d000001gQZo2AAG</t>
  </si>
  <si>
    <t>Discover Financial Services</t>
  </si>
  <si>
    <t>001d000001gyl5WAAQ</t>
  </si>
  <si>
    <t>Mayo Clinic</t>
  </si>
  <si>
    <t>001d000001gyl8VAAQ</t>
  </si>
  <si>
    <t>Goldman Sachs</t>
  </si>
  <si>
    <t>001d000001gyrE9AAI</t>
  </si>
  <si>
    <t>Workday</t>
  </si>
  <si>
    <t>001d000001gyrjcAAA</t>
  </si>
  <si>
    <t>UBS</t>
  </si>
  <si>
    <t>001d000001gytRtAAI</t>
  </si>
  <si>
    <t>Tyson Foods</t>
  </si>
  <si>
    <t>001d000001gywGSAAY</t>
  </si>
  <si>
    <t>Thermo Fisher Scientific</t>
  </si>
  <si>
    <t>001d000001gz7TGAAY</t>
  </si>
  <si>
    <t>Ally</t>
  </si>
  <si>
    <t>001d000001gzb3OAAQ</t>
  </si>
  <si>
    <t>AstraZeneca</t>
  </si>
  <si>
    <t>001d000001gzYmpAAE</t>
  </si>
  <si>
    <t>Verisk Analytics</t>
  </si>
  <si>
    <t>001d000001gzYnJAAU</t>
  </si>
  <si>
    <t>Bristol-Myers Squibb</t>
  </si>
  <si>
    <t>001d000001gzYwuAAE</t>
  </si>
  <si>
    <t>JPMorgan Chase</t>
  </si>
  <si>
    <t>001d000001h1fCyAAI</t>
  </si>
  <si>
    <t>BMO Bank of Montreal</t>
  </si>
  <si>
    <t>001d000001h1j1fAAA</t>
  </si>
  <si>
    <t>Accenture</t>
  </si>
  <si>
    <t>001d000001h1YQ6AAM</t>
  </si>
  <si>
    <t>William Hill</t>
  </si>
  <si>
    <t>001d000001h2BWjAAM</t>
  </si>
  <si>
    <t>RBC</t>
  </si>
  <si>
    <t>001d000001h2JsUAAU</t>
  </si>
  <si>
    <t>Kohler</t>
  </si>
  <si>
    <t>001d000001h2KniAAE</t>
  </si>
  <si>
    <t>Verisign</t>
  </si>
  <si>
    <t>001d000001HbzQ2AAJ</t>
  </si>
  <si>
    <t>Project Management Institute</t>
  </si>
  <si>
    <t>001d000001hS0BGAA0</t>
  </si>
  <si>
    <t>Roche</t>
  </si>
  <si>
    <t>001d000001hS85fAAC</t>
  </si>
  <si>
    <t>ANZ</t>
  </si>
  <si>
    <t>001d000001hS8dSAAS</t>
  </si>
  <si>
    <t>Qualcomm</t>
  </si>
  <si>
    <t>001d000001hSdntAAC</t>
  </si>
  <si>
    <t>Navy Federal Credit Union</t>
  </si>
  <si>
    <t>001d000001hSh4fAAC</t>
  </si>
  <si>
    <t>Avis Budget Group</t>
  </si>
  <si>
    <t>001d000001hSKVVAA4</t>
  </si>
  <si>
    <t>Invesco</t>
  </si>
  <si>
    <t>001d000001hT2YNAA0</t>
  </si>
  <si>
    <t>Woolworths Group</t>
  </si>
  <si>
    <t>001d000001hUc1BAAS</t>
  </si>
  <si>
    <t>Alcon</t>
  </si>
  <si>
    <t>001d000001hUe4KAAS</t>
  </si>
  <si>
    <t>Amica Mutual Insurance</t>
  </si>
  <si>
    <t>001d000001hUh0qAAC</t>
  </si>
  <si>
    <t>Biogen</t>
  </si>
  <si>
    <t>001d000001hV12yAAC</t>
  </si>
  <si>
    <t>Travelers</t>
  </si>
  <si>
    <t>001d000001hVcViAAK</t>
  </si>
  <si>
    <t>Questrade</t>
  </si>
  <si>
    <t>001d000001hVdPVAA0</t>
  </si>
  <si>
    <t>SBS</t>
  </si>
  <si>
    <t>001d000001hVEBdAAO</t>
  </si>
  <si>
    <t>Norwegian Cruise Line</t>
  </si>
  <si>
    <t>001d000001hVEw9AAG</t>
  </si>
  <si>
    <t>Perficient</t>
  </si>
  <si>
    <t>001d000001hVeY4AAK</t>
  </si>
  <si>
    <t>AutoNation</t>
  </si>
  <si>
    <t>001d000001hVFfdAAG</t>
  </si>
  <si>
    <t>Citadel Federal Credit Union</t>
  </si>
  <si>
    <t>001d000001hVnNnAAK</t>
  </si>
  <si>
    <t>Frontier Communications</t>
  </si>
  <si>
    <t>001d000001hVYsPAAW</t>
  </si>
  <si>
    <t>Novo Nordisk</t>
  </si>
  <si>
    <t>001d000001hW3i9AAC</t>
  </si>
  <si>
    <t>Athenahealth</t>
  </si>
  <si>
    <t>001d000001hW4ZqAAK</t>
  </si>
  <si>
    <t>PepsiCo</t>
  </si>
  <si>
    <t>001d000001i8blnAAA</t>
  </si>
  <si>
    <t>Centene</t>
  </si>
  <si>
    <t>001d000001i8bNKAAY</t>
  </si>
  <si>
    <t>DeVry University</t>
  </si>
  <si>
    <t>001d000001i8ZU3AAM</t>
  </si>
  <si>
    <t>Stanford Health Care</t>
  </si>
  <si>
    <t>001d000001i9vL3AAI</t>
  </si>
  <si>
    <t>PBS</t>
  </si>
  <si>
    <t>001d000001iAAszAAG</t>
  </si>
  <si>
    <t>CIBC</t>
  </si>
  <si>
    <t>001d000001iAhtlAAC</t>
  </si>
  <si>
    <t>Ziff Davis Inc.</t>
  </si>
  <si>
    <t>001d000001iAHXzAAO</t>
  </si>
  <si>
    <t>Western Governors University</t>
  </si>
  <si>
    <t>001d000001ikmKuAAI</t>
  </si>
  <si>
    <t>RCS MediaGroup</t>
  </si>
  <si>
    <t>001d000001ikoYyAAI</t>
  </si>
  <si>
    <t>Ferguson</t>
  </si>
  <si>
    <t>001d000001ikpedAAA</t>
  </si>
  <si>
    <t>The Salvation Army International</t>
  </si>
  <si>
    <t>001d000001ikzE3AAI</t>
  </si>
  <si>
    <t>Synchrony Bank</t>
  </si>
  <si>
    <t>001d000001iljYrAAI</t>
  </si>
  <si>
    <t>Cloudera</t>
  </si>
  <si>
    <t>001d000001IYGjgAAH</t>
  </si>
  <si>
    <t>TIAA</t>
  </si>
  <si>
    <t>001d000001je1qLAAQ</t>
  </si>
  <si>
    <t>ALDI Süd</t>
  </si>
  <si>
    <t>001d000001jeVvNAAU</t>
  </si>
  <si>
    <t>Booking.com</t>
  </si>
  <si>
    <t>001d000001kBTbiAAG</t>
  </si>
  <si>
    <t>Charter Communications</t>
  </si>
  <si>
    <t>001d000001l9FWMAA2</t>
  </si>
  <si>
    <t>Viking Cruises</t>
  </si>
  <si>
    <t>001d000001l9P6UAAU</t>
  </si>
  <si>
    <t>ST</t>
  </si>
  <si>
    <t>001d000001lsJGaAAM</t>
  </si>
  <si>
    <t>Astellas Pharma</t>
  </si>
  <si>
    <t>001d000001MElmOAAT</t>
  </si>
  <si>
    <t>Boston Scientific</t>
  </si>
  <si>
    <t>001d000001mk3RAAAY</t>
  </si>
  <si>
    <t>SolarWinds</t>
  </si>
  <si>
    <t>001d000001mk4jKAAQ</t>
  </si>
  <si>
    <t>Dow</t>
  </si>
  <si>
    <t>001d000001mk4ZLAAY</t>
  </si>
  <si>
    <t>Mattress Firm</t>
  </si>
  <si>
    <t>001d000001mmtWRAAY</t>
  </si>
  <si>
    <t>TE Connectivity</t>
  </si>
  <si>
    <t>001d000001noLxfAAE</t>
  </si>
  <si>
    <t>Eli Lilly</t>
  </si>
  <si>
    <t>001d000001npvMlAAI</t>
  </si>
  <si>
    <t>Softcrylic</t>
  </si>
  <si>
    <t>001d000001npWDXAA2</t>
  </si>
  <si>
    <t>Mutual of Omaha</t>
  </si>
  <si>
    <t>001d000001pPRk5AAG</t>
  </si>
  <si>
    <t>Blue Cross &amp; Blue Shield of North Carolina</t>
  </si>
  <si>
    <t>001d000001pPY3CAAW</t>
  </si>
  <si>
    <t>Direct Line Group</t>
  </si>
  <si>
    <t>001d000001pPYPsAAO</t>
  </si>
  <si>
    <t>HSBC</t>
  </si>
  <si>
    <t>001d000001pQafEAAS</t>
  </si>
  <si>
    <t>Robert Half International</t>
  </si>
  <si>
    <t>001d000001Qad7AAAR</t>
  </si>
  <si>
    <t>001d000001QaOm5AAF</t>
  </si>
  <si>
    <t>US Bancorp</t>
  </si>
  <si>
    <t>001d000001qslNWAAY</t>
  </si>
  <si>
    <t>Medifast Inc.</t>
  </si>
  <si>
    <t>001d000001qtacXAAQ</t>
  </si>
  <si>
    <t>Dassault Systèmes</t>
  </si>
  <si>
    <t>001d000001qtadqAAA</t>
  </si>
  <si>
    <t>Versace</t>
  </si>
  <si>
    <t>001d000001qtahhAAA</t>
  </si>
  <si>
    <t>SPIE</t>
  </si>
  <si>
    <t>001d000001qtahTAAQ</t>
  </si>
  <si>
    <t>Sewell Automotive</t>
  </si>
  <si>
    <t>001d000001qtIBmAAM</t>
  </si>
  <si>
    <t>Consumer Reports</t>
  </si>
  <si>
    <t>001d000001qtIFcAAM</t>
  </si>
  <si>
    <t>K12</t>
  </si>
  <si>
    <t>001d000001qtIHSAA2</t>
  </si>
  <si>
    <t>Nasdaq</t>
  </si>
  <si>
    <t>001d000001qtILeAAM</t>
  </si>
  <si>
    <t>Owens Corning</t>
  </si>
  <si>
    <t>001d000001qtIN6AAM</t>
  </si>
  <si>
    <t>Robert Wood Johnson Foundation</t>
  </si>
  <si>
    <t>001d000001qtIN9AAM</t>
  </si>
  <si>
    <t>Ross Stores Inc.</t>
  </si>
  <si>
    <t>001d000001qtIOeAAM</t>
  </si>
  <si>
    <t>Stryker Corporation</t>
  </si>
  <si>
    <t>001d000001qtIQjAAM</t>
  </si>
  <si>
    <t>UPMC</t>
  </si>
  <si>
    <t>001d000001qtIRUAA2</t>
  </si>
  <si>
    <t>GORE</t>
  </si>
  <si>
    <t>001d000001qtMfvAAE</t>
  </si>
  <si>
    <t>FCA Group</t>
  </si>
  <si>
    <t>001d000001qtMKFAA2</t>
  </si>
  <si>
    <t>Bright Horizons Family Solutions Inc.</t>
  </si>
  <si>
    <t>001d000001qtMMMAA2</t>
  </si>
  <si>
    <t>Cambia Health Solutions</t>
  </si>
  <si>
    <t>001d000001qtMQMAA2</t>
  </si>
  <si>
    <t>Citizens Financial Group</t>
  </si>
  <si>
    <t>001d000001qtMymAAE</t>
  </si>
  <si>
    <t>JM Family Enterprises</t>
  </si>
  <si>
    <t>001d000001qtN2tAAE</t>
  </si>
  <si>
    <t>Land O'Lakes</t>
  </si>
  <si>
    <t>001d000001qtN8uAAE</t>
  </si>
  <si>
    <t>McDonald's</t>
  </si>
  <si>
    <t>001d000001qtN9GAAU</t>
  </si>
  <si>
    <t>Mediacorp Pte Ltd</t>
  </si>
  <si>
    <t>001d000001qtNbFAAU</t>
  </si>
  <si>
    <t>Securian Financial Group</t>
  </si>
  <si>
    <t>001d000001qtNF9AAM</t>
  </si>
  <si>
    <t>The National Trust</t>
  </si>
  <si>
    <t>001d000001qtNfPAAU</t>
  </si>
  <si>
    <t>Sorenson</t>
  </si>
  <si>
    <t>001d000001qtNh9AAE</t>
  </si>
  <si>
    <t>Standard Chartered</t>
  </si>
  <si>
    <t>001d000001qtNYqAAM</t>
  </si>
  <si>
    <t>Sage</t>
  </si>
  <si>
    <t>001d000001qtO0GAAU</t>
  </si>
  <si>
    <t>State of Utah</t>
  </si>
  <si>
    <t>001d000001qtO8LAAU</t>
  </si>
  <si>
    <t>Zions Bancorporation</t>
  </si>
  <si>
    <t>001d000001qtOxXAAU</t>
  </si>
  <si>
    <t>Puma</t>
  </si>
  <si>
    <t>001d000001qtP8fAAE</t>
  </si>
  <si>
    <t>Export Development Canada</t>
  </si>
  <si>
    <t>001d000001qtP8jAAE</t>
  </si>
  <si>
    <t>Sub-Zero, Wolf, &amp; Cove</t>
  </si>
  <si>
    <t>001d000001qtPDNAA2</t>
  </si>
  <si>
    <t>K. Hovnanian</t>
  </si>
  <si>
    <t>001d000001QZVqaAAH</t>
  </si>
  <si>
    <t>Sallie Mae</t>
  </si>
  <si>
    <t>001d000001RcsVKAAZ</t>
  </si>
  <si>
    <t>Agilent</t>
  </si>
  <si>
    <t>001d000001RczW1AAJ</t>
  </si>
  <si>
    <t>RELX Group</t>
  </si>
  <si>
    <t>001d000001RdQ9FAAV</t>
  </si>
  <si>
    <t>Apple</t>
  </si>
  <si>
    <t>001d000001RdR33AAF</t>
  </si>
  <si>
    <t>Microsoft</t>
  </si>
  <si>
    <t>001d000001RdT1hAAF</t>
  </si>
  <si>
    <t>Hewlett Packard Enterprise</t>
  </si>
  <si>
    <t>001d000001RdTG3AAN</t>
  </si>
  <si>
    <t>Intuit</t>
  </si>
  <si>
    <t>001d000001RdTLhAAN</t>
  </si>
  <si>
    <t>Grainger</t>
  </si>
  <si>
    <t>001d000001RdTV8AAN</t>
  </si>
  <si>
    <t>Macy's</t>
  </si>
  <si>
    <t>001d000001RdTYMAA3</t>
  </si>
  <si>
    <t>Gap</t>
  </si>
  <si>
    <t>001d000001RdU2gAAF</t>
  </si>
  <si>
    <t>Verizon</t>
  </si>
  <si>
    <t>001d000001RemPSAAZ</t>
  </si>
  <si>
    <t>Shutterfly</t>
  </si>
  <si>
    <t>001d000001RemRSAAZ</t>
  </si>
  <si>
    <t>Salesforce</t>
  </si>
  <si>
    <t>001d000001RemTNAAZ</t>
  </si>
  <si>
    <t>American Express</t>
  </si>
  <si>
    <t>001d000001ReohoAAB</t>
  </si>
  <si>
    <t>Honda Motor Company</t>
  </si>
  <si>
    <t>001d000001ReoYNAAZ</t>
  </si>
  <si>
    <t>GEICO</t>
  </si>
  <si>
    <t>001d000001rfjZCAAY</t>
  </si>
  <si>
    <t>Chubb</t>
  </si>
  <si>
    <t>001d000001rfvy8AAA</t>
  </si>
  <si>
    <t>Recruit</t>
  </si>
  <si>
    <t>001d000001rgTbzAAE</t>
  </si>
  <si>
    <t>Adobe</t>
  </si>
  <si>
    <t>001d000001rhMlyAAE</t>
  </si>
  <si>
    <t>Zenni Optical</t>
  </si>
  <si>
    <t>001d000001SO2D7AAL</t>
  </si>
  <si>
    <t>UnitedHealth Group</t>
  </si>
  <si>
    <t>001d000001SO2EyAAL</t>
  </si>
  <si>
    <t>Whirlpool</t>
  </si>
  <si>
    <t>001d000001SO2igAAD</t>
  </si>
  <si>
    <t>Deluxe</t>
  </si>
  <si>
    <t>001d000001SO2JUAA1</t>
  </si>
  <si>
    <t>The Hartford</t>
  </si>
  <si>
    <t>001d000001tOikuAAC</t>
  </si>
  <si>
    <t>Dell Technologies Inc.</t>
  </si>
  <si>
    <t>001d000001TPxniAAD</t>
  </si>
  <si>
    <t>Seagate</t>
  </si>
  <si>
    <t>001d000001TPxu1AAD</t>
  </si>
  <si>
    <t>MSC Industrial Supply</t>
  </si>
  <si>
    <t>001d000001TQZ6yAAH</t>
  </si>
  <si>
    <t>Marriott</t>
  </si>
  <si>
    <t>001d000001TsTmnAAF</t>
  </si>
  <si>
    <t>Capital One Financial</t>
  </si>
  <si>
    <t>001d000001u534eAAA</t>
  </si>
  <si>
    <t>SAP</t>
  </si>
  <si>
    <t>001d000001uofWIAAY</t>
  </si>
  <si>
    <t>Shiseido 2</t>
  </si>
  <si>
    <t>001d000001VcaBmAAJ</t>
  </si>
  <si>
    <t>New York Life Insurance</t>
  </si>
  <si>
    <t>001d000001VdOD4AAN</t>
  </si>
  <si>
    <t>The Sun</t>
  </si>
  <si>
    <t>001d000001wNH0NAAW</t>
  </si>
  <si>
    <t>HP Inc</t>
  </si>
  <si>
    <t>001d000001X6fERAAZ</t>
  </si>
  <si>
    <t>CDW</t>
  </si>
  <si>
    <t>001d000001X9SNEAA3</t>
  </si>
  <si>
    <t>CVS Pharmacy</t>
  </si>
  <si>
    <t>001d000001xQAnqAAG</t>
  </si>
  <si>
    <t>Broadridge</t>
  </si>
  <si>
    <t>001d000001XWAxOAAX</t>
  </si>
  <si>
    <t>WestJet</t>
  </si>
  <si>
    <t>001d000001XWB0NAAX</t>
  </si>
  <si>
    <t>Darden Restaurants</t>
  </si>
  <si>
    <t>001d000001yKegKAAS</t>
  </si>
  <si>
    <t>Croud</t>
  </si>
  <si>
    <t>001d000001yKer2AAC</t>
  </si>
  <si>
    <t>OMD</t>
  </si>
  <si>
    <t>001d000001Yq4yIAAR</t>
  </si>
  <si>
    <t>Charles Schwab</t>
  </si>
  <si>
    <t>001d000001zaZcpAAE</t>
  </si>
  <si>
    <t>Providence Health &amp; Services</t>
  </si>
  <si>
    <t>001d000001zb04GAAQ</t>
  </si>
  <si>
    <t>Fiserv</t>
  </si>
  <si>
    <t>001d000001ze83KAAQ</t>
  </si>
  <si>
    <t>Four Seasons Hotels</t>
  </si>
  <si>
    <t>001d0000020jGPkAAM</t>
  </si>
  <si>
    <t>Wellpoint</t>
  </si>
  <si>
    <t>001d00000247756AAA</t>
  </si>
  <si>
    <t>Henkel</t>
  </si>
  <si>
    <t>001d0000024k0ScAAI</t>
  </si>
  <si>
    <t>Reckitt</t>
  </si>
  <si>
    <t>001d0000026TT5sAAG</t>
  </si>
  <si>
    <t>Massachusetts Medical Society</t>
  </si>
  <si>
    <t>001d0000027WiOlAAK</t>
  </si>
  <si>
    <t>Newfold Digital</t>
  </si>
  <si>
    <t>001VH000001Dn5aYAC</t>
  </si>
  <si>
    <t>Hotspex</t>
  </si>
  <si>
    <t>001VH000001edtRYAQ</t>
  </si>
  <si>
    <t>Bread Financial</t>
  </si>
  <si>
    <t>001VH000002AwT3YAK</t>
  </si>
  <si>
    <t>Axeno Consulting</t>
  </si>
  <si>
    <t>001VH00000386CzYAI</t>
  </si>
  <si>
    <t>Kellanova</t>
  </si>
  <si>
    <t>001VH00000b2I6nYAE</t>
  </si>
  <si>
    <t>Parallel Path</t>
  </si>
  <si>
    <t>001VH00000BMd1MYAT</t>
  </si>
  <si>
    <t>TDECU</t>
  </si>
  <si>
    <t>001VH00000btL8MYAU</t>
  </si>
  <si>
    <t>NetNut</t>
  </si>
  <si>
    <t>001VH00000DilOmYAJ</t>
  </si>
  <si>
    <t>Holafly</t>
  </si>
  <si>
    <t>001VH00000Dln4IYAR</t>
  </si>
  <si>
    <t>Vital Farms</t>
  </si>
  <si>
    <t>001VH00000F8cNiYAJ</t>
  </si>
  <si>
    <t>Wheelhouse Digital Marketing Group</t>
  </si>
  <si>
    <t>001VH00000fbNkTYAU</t>
  </si>
  <si>
    <t>Diamond Website Conversion</t>
  </si>
  <si>
    <t>001VH00000g98hPYAQ</t>
  </si>
  <si>
    <t>LA Jolla Beach and Tennis Club</t>
  </si>
  <si>
    <t>001VH00000GiK5MYAV</t>
  </si>
  <si>
    <t>Hookflash Analytics Limited</t>
  </si>
  <si>
    <t>001VH00000jcCUXYA2</t>
  </si>
  <si>
    <t>Sapient Daisy</t>
  </si>
  <si>
    <t>001VH00000kcYqzYAE</t>
  </si>
  <si>
    <t>Zenfolio</t>
  </si>
  <si>
    <t>001VH00000lmbi9YAA</t>
  </si>
  <si>
    <t>Green Arrow Consultancy</t>
  </si>
  <si>
    <t>001VH00000lVWBqYAO</t>
  </si>
  <si>
    <t>Cvrx</t>
  </si>
  <si>
    <t>001VH00000NXVJQYA5</t>
  </si>
  <si>
    <t>Kaufland E-Commerce</t>
  </si>
  <si>
    <t>001VH00000ONly7YAD</t>
  </si>
  <si>
    <t>Advocate Health</t>
  </si>
  <si>
    <t>001VH00000QYZMEYA5</t>
  </si>
  <si>
    <t>Big Orange Lab</t>
  </si>
  <si>
    <t>001VH00000T67qxYAB</t>
  </si>
  <si>
    <t>Volvo Car</t>
  </si>
  <si>
    <t>001VH00000UGWNeYAP</t>
  </si>
  <si>
    <t>UniSalute Spa</t>
  </si>
  <si>
    <t>001VH00000WYFs0YAH</t>
  </si>
  <si>
    <t>Third and Grove</t>
  </si>
  <si>
    <t>0010W00002QJVd6QAH</t>
  </si>
  <si>
    <t>Adobe (Federal)</t>
  </si>
  <si>
    <t>001d000001gOUjTAAW</t>
  </si>
  <si>
    <t>Disneyland &amp; Disney Resort</t>
  </si>
  <si>
    <t>0010W00002dxRfjQAE</t>
  </si>
  <si>
    <t>BDO USA LLP</t>
  </si>
  <si>
    <t>0010W00002dxShlQAE</t>
  </si>
  <si>
    <t>Hard Rock Cafe</t>
  </si>
  <si>
    <t>0010W00002dxTOiQAM</t>
  </si>
  <si>
    <t>Otsuka</t>
  </si>
  <si>
    <t>0010W00002f3EAzQAM</t>
  </si>
  <si>
    <t>Mercedes-Benz AG</t>
  </si>
  <si>
    <t>0010W00002L1onRQAR</t>
  </si>
  <si>
    <t>Elanco</t>
  </si>
  <si>
    <t>0010W00002MypIbQAJ</t>
  </si>
  <si>
    <t>The Walt Disney Company - EMEA</t>
  </si>
  <si>
    <t>0010W00002OKh7OQAT</t>
  </si>
  <si>
    <t>Optum</t>
  </si>
  <si>
    <t>0010W00002OzRgLQAV</t>
  </si>
  <si>
    <t>Cox Automotive</t>
  </si>
  <si>
    <t>0010W00002OzSBiQAN</t>
  </si>
  <si>
    <t>Innocean</t>
  </si>
  <si>
    <t>0010W00002VzNumQAF</t>
  </si>
  <si>
    <t>United Healthcare</t>
  </si>
  <si>
    <t>0010W00002YBLKsQAP</t>
  </si>
  <si>
    <t>Wish</t>
  </si>
  <si>
    <t>0010W00002YBLLVQA5</t>
  </si>
  <si>
    <t>Corebridge Financial</t>
  </si>
  <si>
    <t>0010W00002ZuVFoQAN</t>
  </si>
  <si>
    <t>Protiviti</t>
  </si>
  <si>
    <t>0016T00002mPXyiQAG</t>
  </si>
  <si>
    <t>WarnerMedia Services</t>
  </si>
  <si>
    <t>0016T00002sln5PQAQ</t>
  </si>
  <si>
    <t>Pipedrive UK Limited</t>
  </si>
  <si>
    <t>0016T000035Z9hUQAS</t>
  </si>
  <si>
    <t>GroupM Danmark</t>
  </si>
  <si>
    <t>001d000000VOLPfAAP</t>
  </si>
  <si>
    <t>Genentech</t>
  </si>
  <si>
    <t>001d000000VOLPJAA5</t>
  </si>
  <si>
    <t>Lenovo</t>
  </si>
  <si>
    <t>001d000000VOLPmAAP</t>
  </si>
  <si>
    <t>Cardinal Path</t>
  </si>
  <si>
    <t>001d000001ezJ3bAAE</t>
  </si>
  <si>
    <t>Walgreens</t>
  </si>
  <si>
    <t>001d000001fioeBAAQ</t>
  </si>
  <si>
    <t>Tesco Bank</t>
  </si>
  <si>
    <t>001d000001gOaJoAAK</t>
  </si>
  <si>
    <t>Cost Plus World Market</t>
  </si>
  <si>
    <t>001d000001gOPrZAAW</t>
  </si>
  <si>
    <t>CNBC International</t>
  </si>
  <si>
    <t>001d000001gOUoYAAW</t>
  </si>
  <si>
    <t>Sam's Club</t>
  </si>
  <si>
    <t>001d000001gP5szAAC</t>
  </si>
  <si>
    <t>Cornerstone Brands</t>
  </si>
  <si>
    <t>001d000001gQEduAAG</t>
  </si>
  <si>
    <t>EPSON</t>
  </si>
  <si>
    <t>001d000001gyeK6AAI</t>
  </si>
  <si>
    <t>Sanitas Companies</t>
  </si>
  <si>
    <t>001d000001gysD8AAI</t>
  </si>
  <si>
    <t>Intouch Solutions</t>
  </si>
  <si>
    <t>001d000001gysV2AAI</t>
  </si>
  <si>
    <t>SAP Concur</t>
  </si>
  <si>
    <t>001d000001hSqCBAA0</t>
  </si>
  <si>
    <t>Officeworks</t>
  </si>
  <si>
    <t>001d000001hT7UgAAK</t>
  </si>
  <si>
    <t>Kia Corporation</t>
  </si>
  <si>
    <t>001d000001hTYXNAA4</t>
  </si>
  <si>
    <t>Harvard Business Review</t>
  </si>
  <si>
    <t>001d000001hULQWAA4</t>
  </si>
  <si>
    <t>Lloyds Bank</t>
  </si>
  <si>
    <t>001d000001hUnCHAA0</t>
  </si>
  <si>
    <t>Arc'Teryx</t>
  </si>
  <si>
    <t>001d000001hV493AAC</t>
  </si>
  <si>
    <t>Mouser Electronics</t>
  </si>
  <si>
    <t>001d000001hVzDKAA0</t>
  </si>
  <si>
    <t>British Airways</t>
  </si>
  <si>
    <t>001d000001i8OcbAAE</t>
  </si>
  <si>
    <t>1&amp;1 Internet</t>
  </si>
  <si>
    <t>001d000001ijufNAAQ</t>
  </si>
  <si>
    <t>Compare the Market</t>
  </si>
  <si>
    <t>001d000001iknk6AAA</t>
  </si>
  <si>
    <t>Automobile Club of Southern California</t>
  </si>
  <si>
    <t>001d000001pQXdlAAG</t>
  </si>
  <si>
    <t>Jet2.COM Ltd.</t>
  </si>
  <si>
    <t>001d000001qroSHAAY</t>
  </si>
  <si>
    <t>SevenOne Media</t>
  </si>
  <si>
    <t>001d000001qtIQJAA2</t>
  </si>
  <si>
    <t>Travel Guard</t>
  </si>
  <si>
    <t>001d000001qtMdpAAE</t>
  </si>
  <si>
    <t>ERGO Group</t>
  </si>
  <si>
    <t>001d000001qtMLcAAM</t>
  </si>
  <si>
    <t>Bwin</t>
  </si>
  <si>
    <t>001d000001qtMMdAAM</t>
  </si>
  <si>
    <t>Canon Europe</t>
  </si>
  <si>
    <t>001d000001qtOx0AAE</t>
  </si>
  <si>
    <t>FindLaw</t>
  </si>
  <si>
    <t>001d000001RdQ9ZAAV</t>
  </si>
  <si>
    <t>Google</t>
  </si>
  <si>
    <t>001d000001sa50vAAA</t>
  </si>
  <si>
    <t>Hello bank</t>
  </si>
  <si>
    <t>001d000001SQDx3AAH</t>
  </si>
  <si>
    <t>American Funds</t>
  </si>
  <si>
    <t>001d000001sZVHYAA4</t>
  </si>
  <si>
    <t>The Home Depot of Canada</t>
  </si>
  <si>
    <t>001d000001u3VEmAAM</t>
  </si>
  <si>
    <t>Lufthansa</t>
  </si>
  <si>
    <t>001d000001VcbkzAAB</t>
  </si>
  <si>
    <t>dp6</t>
  </si>
  <si>
    <t>001d000001VfKncAAF</t>
  </si>
  <si>
    <t>The Vanguard Group</t>
  </si>
  <si>
    <t>001d000001YoGDQAA3</t>
  </si>
  <si>
    <t>Neiman Marcus</t>
  </si>
  <si>
    <t>001d0000020UAv5AAG</t>
  </si>
  <si>
    <t>Bluebeam Inc.</t>
  </si>
  <si>
    <t>001d0000021NjZEAA0</t>
  </si>
  <si>
    <t>GM Financial</t>
  </si>
  <si>
    <t>001d00000234XY8AAM</t>
  </si>
  <si>
    <t>Dignity Health</t>
  </si>
  <si>
    <t>001d00000236In7AAE</t>
  </si>
  <si>
    <t>Centers for Medicare &amp; Medicaid Services</t>
  </si>
  <si>
    <t>001d0000028pilmAAA</t>
  </si>
  <si>
    <t>Carmichael Lynch</t>
  </si>
  <si>
    <t>001VH000001zLAOYA2</t>
  </si>
  <si>
    <t>VML Map</t>
  </si>
  <si>
    <t>001VH000008jFWJYA2</t>
  </si>
  <si>
    <t>GroupM Nexus</t>
  </si>
  <si>
    <t>001VH00000BbsMeYAJ</t>
  </si>
  <si>
    <t>Bethlehem Shared Services</t>
  </si>
  <si>
    <t>001VH00000BuwWBYAZ</t>
  </si>
  <si>
    <t>CultHealth</t>
  </si>
  <si>
    <t>001VH00000gBmpNYAS</t>
  </si>
  <si>
    <t>GroupM Netherlands</t>
  </si>
  <si>
    <t>001VH00000NMqJ2YAL</t>
  </si>
  <si>
    <t>Novo Nordisk Inc.</t>
  </si>
  <si>
    <t>001VH00000P9kiCYAR</t>
  </si>
  <si>
    <t>CSA Latam</t>
  </si>
  <si>
    <t>Email Domains</t>
  </si>
  <si>
    <t>torrid.com</t>
  </si>
  <si>
    <t>accentgr.com.au</t>
  </si>
  <si>
    <t>thinkbrg.com, merz.com</t>
  </si>
  <si>
    <t>amica.com</t>
  </si>
  <si>
    <t>bluebeam.com</t>
  </si>
  <si>
    <t>worldmarket.com</t>
  </si>
  <si>
    <t>questrade.com</t>
  </si>
  <si>
    <t>caleres.com</t>
  </si>
  <si>
    <t>mongodb.com</t>
  </si>
  <si>
    <t>ros.com</t>
  </si>
  <si>
    <t>cvshealth.com</t>
  </si>
  <si>
    <t>optavia.com, contractor.optavia.com</t>
  </si>
  <si>
    <t>ziffdavis.com</t>
  </si>
  <si>
    <t>agilent.com</t>
  </si>
  <si>
    <t>brunswick.com</t>
  </si>
  <si>
    <t>rdoffutt.com</t>
  </si>
  <si>
    <t>tyson.com</t>
  </si>
  <si>
    <t>seagate.com</t>
  </si>
  <si>
    <t>verisign.com</t>
  </si>
  <si>
    <t>officeworks.com.au</t>
  </si>
  <si>
    <t>pmi.org</t>
  </si>
  <si>
    <t>caesars.com</t>
  </si>
  <si>
    <t>cotiviti.com</t>
  </si>
  <si>
    <t>devry.edu</t>
  </si>
  <si>
    <t>woolworths.com.au</t>
  </si>
  <si>
    <t>darden.com</t>
  </si>
  <si>
    <t>spark.co.nz</t>
  </si>
  <si>
    <t>westjet.com</t>
  </si>
  <si>
    <t>bsci.com</t>
  </si>
  <si>
    <t>commonspirit.org</t>
  </si>
  <si>
    <t>rwjf.org</t>
  </si>
  <si>
    <t>zenfolioinc.com</t>
  </si>
  <si>
    <t>khov.com</t>
  </si>
  <si>
    <t>prudential.com, pgim.com</t>
  </si>
  <si>
    <t>cdw.com</t>
  </si>
  <si>
    <t>mms.org</t>
  </si>
  <si>
    <t>biogen.com</t>
  </si>
  <si>
    <t>crowdstrike.com</t>
  </si>
  <si>
    <t>accenture.com</t>
  </si>
  <si>
    <t>athenahealth.com</t>
  </si>
  <si>
    <t>mediacorp.com.sg</t>
  </si>
  <si>
    <t>setoyota.com</t>
  </si>
  <si>
    <t>Task ID</t>
  </si>
  <si>
    <t>Type</t>
  </si>
  <si>
    <t>Number</t>
  </si>
  <si>
    <t>Title</t>
  </si>
  <si>
    <t>Priority</t>
  </si>
  <si>
    <t>State</t>
  </si>
  <si>
    <t>Repository</t>
  </si>
  <si>
    <t>URL</t>
  </si>
  <si>
    <t>Assignees</t>
  </si>
  <si>
    <t>Labels</t>
  </si>
  <si>
    <t>Created At</t>
  </si>
  <si>
    <t>Updated At</t>
  </si>
  <si>
    <t>Closed At</t>
  </si>
  <si>
    <t>Custom Fields</t>
  </si>
  <si>
    <t>PVTI_lAHOBXQWPs4BLZXmzgjkAkE</t>
  </si>
  <si>
    <t>ISSUE</t>
  </si>
  <si>
    <t>Bluebeam - Create an end of year review style presentation before contract is up to show value</t>
  </si>
  <si>
    <t>Blocked</t>
  </si>
  <si>
    <t>OPEN</t>
  </si>
  <si>
    <t>johndavis92790/OP-Tasklist</t>
  </si>
  <si>
    <t>https://github.com/johndavis92790/OP-Tasklist/issues/32</t>
  </si>
  <si>
    <t>Title: Bluebeam - Create an end of year review style presentation before contract is up to show value</t>
  </si>
  <si>
    <t>PVTI_lAHOBXQWPs4BLZXmzgjPGIg</t>
  </si>
  <si>
    <t>Update time allocations</t>
  </si>
  <si>
    <t>Done</t>
  </si>
  <si>
    <t>CLOSED</t>
  </si>
  <si>
    <t>https://github.com/johndavis92790/OP-Tasklist/issues/15</t>
  </si>
  <si>
    <t>Title: Update time allocations</t>
  </si>
  <si>
    <t>PVTI_lAHOBXQWPs4BLZXmzgjnSEA</t>
  </si>
  <si>
    <t>Ross - Send email to explain data retention options</t>
  </si>
  <si>
    <t>https://github.com/johndavis92790/OP-Tasklist/issues/34</t>
  </si>
  <si>
    <t>Title: Ross - Send email to explain data retention options</t>
  </si>
  <si>
    <t>PVTI_lAHOBXQWPs4BLZXmzgjPEnA</t>
  </si>
  <si>
    <t>Athena Health - Look into some custom code that was setup as the pre-audit action that is not working perfectly</t>
  </si>
  <si>
    <t>Backlog</t>
  </si>
  <si>
    <t>https://github.com/johndavis92790/OP-Tasklist/issues/13</t>
  </si>
  <si>
    <t>Title: Athena Health - Look into some custom code that was setup as the pre-audit action that is not working perfectly</t>
  </si>
  <si>
    <t>PVTI_lAHOBXQWPs4BLZXmzgjPBGU</t>
  </si>
  <si>
    <t>Bluebeam  - Send email to schedule sync, in drafts!</t>
  </si>
  <si>
    <t>https://github.com/johndavis92790/OP-Tasklist/issues/11</t>
  </si>
  <si>
    <t>Title: Bluebeam  - Send email to schedule sync, in drafts!</t>
  </si>
  <si>
    <t>PVTI_lAHOBXQWPs4BLZXmzgjPujQ</t>
  </si>
  <si>
    <t>Agilent - Put success criteria into slack and salesforce</t>
  </si>
  <si>
    <t>https://github.com/johndavis92790/OP-Tasklist/issues/24</t>
  </si>
  <si>
    <t>Title: Agilent - Put success criteria into slack and salesforce</t>
  </si>
  <si>
    <t>PVTI_lAHOBXQWPs4BLZXmzgjAqqU</t>
  </si>
  <si>
    <t>this is a sub task</t>
  </si>
  <si>
    <t>https://github.com/johndavis92790/OP-Tasklist/issues/3</t>
  </si>
  <si>
    <t>Title: this is a sub task</t>
  </si>
  <si>
    <t>PVTI_lAHOBXQWPs4BLZXmzgjAq1g</t>
  </si>
  <si>
    <t>parent task</t>
  </si>
  <si>
    <t>https://github.com/johndavis92790/OP-Tasklist/issues/2</t>
  </si>
  <si>
    <t>Title: parent task</t>
  </si>
  <si>
    <t>PVTI_lAHOBXQWPs4BLZXmzgjO8tI</t>
  </si>
  <si>
    <t>Dignity Health - Build example journey</t>
  </si>
  <si>
    <t>Ready</t>
  </si>
  <si>
    <t>Medium</t>
  </si>
  <si>
    <t>https://github.com/johndavis92790/OP-Tasklist/issues/7</t>
  </si>
  <si>
    <t>Title: Dignity Health - Build example journey</t>
  </si>
  <si>
    <t>PVTI_lAHOBXQWPs4BLZXmzgjO8N8</t>
  </si>
  <si>
    <t>Dignity Health - Work on automating txt file checks</t>
  </si>
  <si>
    <t>https://github.com/johndavis92790/OP-Tasklist/issues/5</t>
  </si>
  <si>
    <t>Title: Dignity Health - Work on automating txt file checks</t>
  </si>
  <si>
    <t>PVTI_lAHOBXQWPs4BLZXmzgjPA7s</t>
  </si>
  <si>
    <t>Accent Group - Work with Todd with renewal</t>
  </si>
  <si>
    <t>https://github.com/johndavis92790/OP-Tasklist/issues/9</t>
  </si>
  <si>
    <t>Title: Accent Group - Work with Todd with renewal</t>
  </si>
  <si>
    <t>PVTI_lAHOBXQWPs4BLZXmzgjPA-o</t>
  </si>
  <si>
    <t>Merz - Work with Andy on renewal</t>
  </si>
  <si>
    <t>Critical</t>
  </si>
  <si>
    <t>https://github.com/johndavis92790/OP-Tasklist/issues/10</t>
  </si>
  <si>
    <t>Title: Merz - Work with Andy on renewal</t>
  </si>
  <si>
    <t>PVTI_lAHOBXQWPs4BLZXmzgjPEDY</t>
  </si>
  <si>
    <t>Check influence maps on every customer</t>
  </si>
  <si>
    <t>https://github.com/johndavis92790/OP-Tasklist/issues/12</t>
  </si>
  <si>
    <t>Title: Check influence maps on every customer</t>
  </si>
  <si>
    <t>PVTI_lAHOBXQWPs4BLZXmzgjPFx0</t>
  </si>
  <si>
    <t>Ziff Davis - Prepare for meeting on Feb 3rd, maybe ask for help on what to do about their privacy use cases</t>
  </si>
  <si>
    <t>https://github.com/johndavis92790/OP-Tasklist/issues/14</t>
  </si>
  <si>
    <t>Title: Ziff Davis - Prepare for meeting on Feb 3rd, maybe ask for help on what to do about their privacy use cases</t>
  </si>
  <si>
    <t>PVTI_lAHOBXQWPs4BLZXmzgjO9e0</t>
  </si>
  <si>
    <t>Seagate - Followup with Taylor Everding about regex question, long slack thread</t>
  </si>
  <si>
    <t>In progress</t>
  </si>
  <si>
    <t>High</t>
  </si>
  <si>
    <t>https://github.com/johndavis92790/OP-Tasklist/issues/8</t>
  </si>
  <si>
    <t>Title: Seagate - Followup with Taylor Everding about regex question, long slack thread</t>
  </si>
  <si>
    <t>PVTI_lAHOBXQWPs4BLZXmzgjPM5Q</t>
  </si>
  <si>
    <t>EDC - Broken external links report custom solution</t>
  </si>
  <si>
    <t>https://github.com/johndavis92790/OP-Tasklist/issues/17</t>
  </si>
  <si>
    <t>Title: EDC - Broken external links report custom solution</t>
  </si>
  <si>
    <t>PVTI_lAHOBXQWPs4BLZXmzgjsHgQ</t>
  </si>
  <si>
    <t>Update forecast for all customers</t>
  </si>
  <si>
    <t>https://github.com/johndavis92790/OP-Tasklist/issues/37</t>
  </si>
  <si>
    <t>Title: Update forecast for all customers</t>
  </si>
  <si>
    <t>PVTI_lAHOBXQWPs4BLZXmzgjPSzk</t>
  </si>
  <si>
    <t>Bluebeam - Privacy next steps project</t>
  </si>
  <si>
    <t>https://github.com/johndavis92790/OP-Tasklist/issues/20</t>
  </si>
  <si>
    <t>Title: Bluebeam - Privacy next steps project</t>
  </si>
  <si>
    <t>PVTI_lAHOBXQWPs4BLZXmzgjPUek</t>
  </si>
  <si>
    <t>Fill up my calendar with time blocks to work on specific tasks</t>
  </si>
  <si>
    <t>https://github.com/johndavis92790/OP-Tasklist/issues/21</t>
  </si>
  <si>
    <t>Title: Fill up my calendar with time blocks to work on specific tasks</t>
  </si>
  <si>
    <t>PVTI_lAHOBXQWPs4BLZXmzgjPnes</t>
  </si>
  <si>
    <t>Biogen - Setup a first syncup, invite Andy as well</t>
  </si>
  <si>
    <t>https://github.com/johndavis92790/OP-Tasklist/issues/22</t>
  </si>
  <si>
    <t>Title: Biogen - Setup a first syncup, invite Andy as well</t>
  </si>
  <si>
    <t>PVTI_lAHOBXQWPs4BLZXmzgjPNE4</t>
  </si>
  <si>
    <t>Mongo - Build custom solution for importing custom report into google sheets</t>
  </si>
  <si>
    <t>https://github.com/johndavis92790/OP-Tasklist/issues/18</t>
  </si>
  <si>
    <t>Title: Mongo - Build custom solution for importing custom report into google sheets</t>
  </si>
  <si>
    <t>PVTI_lAHOBXQWPs4BLZXmzgjPriQ</t>
  </si>
  <si>
    <t>Agilent - Setup ClickAll for homepage, ClickSemiAll for other pages (search)</t>
  </si>
  <si>
    <t>Low</t>
  </si>
  <si>
    <t>https://github.com/johndavis92790/OP-Tasklist/issues/23</t>
  </si>
  <si>
    <t>Title: Agilent - Setup ClickAll for homepage, ClickSemiAll for other pages (search)</t>
  </si>
  <si>
    <t>PVTI_lAHOBXQWPs4BLZXmzgjPR1E</t>
  </si>
  <si>
    <t>Seagate - Setup and test custom pre-audit action for opting out because it seems like the onetrust opt outs are not working?</t>
  </si>
  <si>
    <t>https://github.com/johndavis92790/OP-Tasklist/issues/19</t>
  </si>
  <si>
    <t>Title: Seagate - Setup and test custom pre-audit action for opting out because it seems like the onetrust opt outs are not working?</t>
  </si>
  <si>
    <t>PVTI_lAHOBXQWPs4BLZXmzgjO8UE</t>
  </si>
  <si>
    <t>Amica  - Followup with SE or Mike about combining adobe and OP data</t>
  </si>
  <si>
    <t>https://github.com/johndavis92790/OP-Tasklist/issues/6</t>
  </si>
  <si>
    <t>Title: Amica  - Followup with SE or Mike about combining adobe and OP data</t>
  </si>
  <si>
    <t>PVTI_lAHOBXQWPs4BLZXmzgjjtA8</t>
  </si>
  <si>
    <t>Dignity - Make sure to get the txt use case google sheet from Stanton</t>
  </si>
  <si>
    <t>https://github.com/johndavis92790/OP-Tasklist/issues/30</t>
  </si>
  <si>
    <t>Title: Dignity - Make sure to get the txt use case google sheet from Stanton</t>
  </si>
  <si>
    <t>PVTI_lAHOBXQWPs4BLZXmzgjPIpI</t>
  </si>
  <si>
    <t>Lumen - Look into the state of the sitemap request and what the next steps are</t>
  </si>
  <si>
    <t>https://github.com/johndavis92790/OP-Tasklist/issues/16</t>
  </si>
  <si>
    <t>Title: Lumen - Look into the state of the sitemap request and what the next steps are</t>
  </si>
  <si>
    <t>PVTI_lAHOBXQWPs4BLZXmzgjVsQc</t>
  </si>
  <si>
    <t>Email Zack @ Crowdstrike to setup meeting</t>
  </si>
  <si>
    <t>https://github.com/johndavis92790/OP-Tasklist/issues/26</t>
  </si>
  <si>
    <t>Title: Email Zack @ Crowdstrike to setup meeting</t>
  </si>
  <si>
    <t>PVTI_lAHOBXQWPs4BLZXmzgjTQTY</t>
  </si>
  <si>
    <t>2025 Year in review replies</t>
  </si>
  <si>
    <t>https://github.com/johndavis92790/OP-Tasklist/issues/25</t>
  </si>
  <si>
    <t>Title: 2025 Year in review replies</t>
  </si>
  <si>
    <t>PVTI_lAHOBXQWPs4BLZXmzgjXcLU</t>
  </si>
  <si>
    <t>Talk to Jered White about joining next call with Ceasars to show off HAR and Live Connect</t>
  </si>
  <si>
    <t>https://github.com/johndavis92790/OP-Tasklist/issues/27</t>
  </si>
  <si>
    <t>Title: Talk to Jered White about joining next call with Ceasars to show off HAR and Live Connect</t>
  </si>
  <si>
    <t>PVTI_lAHOBXQWPs4BLZXmzgjamW4</t>
  </si>
  <si>
    <t>Send out extended data retention offer email blast</t>
  </si>
  <si>
    <t>https://github.com/johndavis92790/OP-Tasklist/issues/28</t>
  </si>
  <si>
    <t>Title: Send out extended data retention offer email blast</t>
  </si>
  <si>
    <t>PVTI_lAHOBXQWPs4BLZXmzgjamck</t>
  </si>
  <si>
    <t>Send out EDGE pre-registration email blast</t>
  </si>
  <si>
    <t>https://github.com/johndavis92790/OP-Tasklist/issues/29</t>
  </si>
  <si>
    <t>Title: Send out EDGE pre-registration email blast</t>
  </si>
  <si>
    <t>PVTI_lAHOBXQWPs4BLZXmzgjjz54</t>
  </si>
  <si>
    <t>RDO - Followup and try to schedule a meeting with them</t>
  </si>
  <si>
    <t>https://github.com/johndavis92790/OP-Tasklist/issues/31</t>
  </si>
  <si>
    <t>Title: RDO - Followup and try to schedule a meeting with them</t>
  </si>
  <si>
    <t>PVTI_lAHOBXQWPs4BLZXmzgjnGkE</t>
  </si>
  <si>
    <t>Merz - Send renewal contract with extended data protection addendum</t>
  </si>
  <si>
    <t>https://github.com/johndavis92790/OP-Tasklist/issues/33</t>
  </si>
  <si>
    <t>Title: Merz - Send renewal contract with extended data protection addendum</t>
  </si>
  <si>
    <t>PVTI_lAHOBXQWPs4BLZXmzgjn6F8</t>
  </si>
  <si>
    <t>Setup github project with Accounts Toolbelt appscripts</t>
  </si>
  <si>
    <t>https://github.com/johndavis92790/OP-Tasklist/issues/35</t>
  </si>
  <si>
    <t>Title: Setup github project with Accounts Toolbelt appscripts</t>
  </si>
  <si>
    <t>PVTI_lAHOBXQWPs4BLZXmzgjrM9Q</t>
  </si>
  <si>
    <t>EDC - Send email and loop in AE to setup renewal meeting if needed</t>
  </si>
  <si>
    <t>https://github.com/johndavis92790/OP-Tasklist/issues/36</t>
  </si>
  <si>
    <t>Title: EDC - Send email and loop in AE to setup renewal meeting if needed</t>
  </si>
  <si>
    <t>PVTI_lAHOBXQWPs4BLZXmzgjsIXE</t>
  </si>
  <si>
    <t>Try and get refund from Amazon for returned car parts</t>
  </si>
  <si>
    <t>https://github.com/johndavis92790/OP-Tasklist/issues/38</t>
  </si>
  <si>
    <t>Title: Try and get refund from Amazon for returned car parts</t>
  </si>
  <si>
    <t>PVTI_lAHOBXQWPs4BLZXmzgjuj_Y</t>
  </si>
  <si>
    <t>Agilent - Reply to to Raghu email</t>
  </si>
  <si>
    <t>https://github.com/johndavis92790/OP-Tasklist/issues/39</t>
  </si>
  <si>
    <t>Title: Agilent - Reply to to Raghu email</t>
  </si>
  <si>
    <t>Last Sync Date</t>
  </si>
  <si>
    <t>Email Count</t>
  </si>
  <si>
    <t>Message ID</t>
  </si>
  <si>
    <t>Date</t>
  </si>
  <si>
    <t>From</t>
  </si>
  <si>
    <t>From Domain</t>
  </si>
  <si>
    <t>To</t>
  </si>
  <si>
    <t>To Domains</t>
  </si>
  <si>
    <t>CC</t>
  </si>
  <si>
    <t>CC Domains</t>
  </si>
  <si>
    <t>Subject</t>
  </si>
  <si>
    <t>Body Preview</t>
  </si>
  <si>
    <t>Opportunity</t>
  </si>
  <si>
    <t>Thread ID</t>
  </si>
  <si>
    <t>19bb2fd5a2cd8b70</t>
  </si>
  <si>
    <t>Revenue Operations &lt;salesops@observepoint.com&gt;</t>
  </si>
  <si>
    <t>observepoint.com</t>
  </si>
  <si>
    <t>"nic.suder@observepoint.com" &lt;nic.suder@observepoint.com&gt;, "stuart.heggie@accentgr.com.au" &lt;stuart.heggie@accentgr.com.au&gt;, "john.davis@observepoint.com" &lt;john.davis@observepoint.com&gt;, "todd.wilkerson@observepoint.com" &lt;todd.wilkerson@observepoint.com&gt;</t>
  </si>
  <si>
    <t>observepoint.com, accentgr.com.au</t>
  </si>
  <si>
    <t>Upcoming ObservePoint Renewal on February 11, 2026 - Accent Group</t>
  </si>
  <si>
    <t xml:space="preserve">
[image: ObservePoint Logo_Gray_ON_YEllow_LOGO.jpeg]
A friendly reminder that it's time to renew.
Hi Stuart,
The last day of your current term is *February 11, 2026*.
If you have already completed renewal paperwork or opted to auto-renew your 
agreement, no action is required.
Please reach out to your account team if you have any questions.
*Customer Success Manager -* john.davis@observepoint.com
*Account Executive - * todd.wilkerson@observepoint.com
</t>
  </si>
  <si>
    <t>19b9afec1cbb3057</t>
  </si>
  <si>
    <t>"IALONGO, FRANCESCO S." &lt;FIALONGO@amica.com&gt;</t>
  </si>
  <si>
    <t>John Davis &lt;john.davis@observepoint.com&gt;</t>
  </si>
  <si>
    <t>Accepted: ObservePoint | Amica Sync</t>
  </si>
  <si>
    <t xml:space="preserve">
**********************************************************************
This email and any files transmitted with it are confidential and intended solely for the use of the individual or entity to which they are addressed.  Contact us if you have any questions related to the content of this email or if you have received it in error.  Confidential and personally identifiable information should not be transmitted to Amica via email or email attachment.  Amica is not responsible for the loss, u</t>
  </si>
  <si>
    <t>19b9a189be0d77c7</t>
  </si>
  <si>
    <t>John Davis &lt;john.davis@observepoint.com&gt;, Macey Bell &lt;macey.bell@observepoint.com&gt;</t>
  </si>
  <si>
    <t>Recall: Amica ObservePoint Usage</t>
  </si>
  <si>
    <t>IALONGO, FRANCESCO S. would like to recall the message, "Amica ObservePoint Usage".
**********************************************************************
This email and any files transmitted with it are confidential and intended solely for the use of the individual or entity to which they are addressed.  Contact us if you have any questions related to the content of this email or if you have received it in error.  Confidential and personally identifiable information should not be transmitte</t>
  </si>
  <si>
    <t>19b9a16f062badbc</t>
  </si>
  <si>
    <t>Amica ObservePoint Usage</t>
  </si>
  <si>
    <t>Hi John and Macey,
I received a notification that we have reached mx amount of scans for audits in OP
Can you please look into it?
Does it mean we cannot audit more until end of current contract?
Thank you,
Francesco S Ialongo | Lead Adobe Analytics Administrator
Amica Mutual Insurance Company | Marketing, Communications &amp; Growth
50 Amica Way | Lincoln, RI | 02865-1155
Voice: 800-652-6422 ext. 22312 | Fax: 401-333-5349
fialongo@amica.com&lt;mailto:%20fialongo@amica.com&gt; | Amica</t>
  </si>
  <si>
    <t>19b9a19ef9472ac8</t>
  </si>
  <si>
    <t>RE: Amica ObservePoint Usage</t>
  </si>
  <si>
    <t xml:space="preserve">
Hi John and Macey,
I received a notification that we have reached mx amount of scans for audits in OP
Can you please look into it?
Does it mean we cannot audit more until end of current contract?
I read just now that  we are at 90% capacity, where can I tweak setting to run more scans? Also if I am reading this right and we are at 90% can you please help me by stopping all audits that re automated to re run?
Thank you,
Francesco S Ialongo | Lead Adobe Analytics Administrato</t>
  </si>
  <si>
    <t>19b9a49b3c1b752f</t>
  </si>
  <si>
    <t>Macey Bell &lt;macey.bell@observepoint.com&gt;, Dallin Madsen &lt;dallin.madsen@observepoint.com&gt;</t>
  </si>
  <si>
    <t>Re: Amica ObservePoint Usage</t>
  </si>
  <si>
    <t xml:space="preserve">Hey Frank,
Yes this looks like you are at capacity for your current contract. I just
met with your AE (Dallin Madsen) about Amica and he also left you a
voicemail while we chatted. I need to cancel our regular meeting on Jan
13th anyways because I have a personal conflict, so let's take this
opportunity to find a time that works for both Dallin and myself:
Meeting length: 30 Minutes
Time Zone: (GMT-7) MST/Denver
Thu Jan 8 Fri Jan 9 Mon Jan 12 Tue Jan 13 Wed Jan 14 Thu Jan 15 Fri Jan </t>
  </si>
  <si>
    <t>19b9a7fb855dcd9d</t>
  </si>
  <si>
    <t>RE: [EXTERNAL] Re: Amica ObservePoint Usage</t>
  </si>
  <si>
    <t>Hi,
Do you have something 1:30est on Friday the 9th?
Thanks,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John Davis &lt;john.davis@observepoint.com&gt;
Sent: Wednesday, January 7, 2026 4:08 PM
To: IALONGO, FRANCESCO S. &lt;FIAL</t>
  </si>
  <si>
    <t>19b9a83c970d343e</t>
  </si>
  <si>
    <t>Re: [EXTERNAL] Re: Amica ObservePoint Usage</t>
  </si>
  <si>
    <t>Sure, you should get an invite in a separate email, thanks Frank!
*Regards, *
John Davis *   |    * *Customer Success Manager*
Cell: 801.633.6013
john.davis@observepoint.com
www.observepoint.com
&lt;https://groove.grvlnk4.com/url/typa6byifukvbtijwod94/aHR0cDovL3d3dy5vYnNlcnZlcG9pbnQuY29tLyNncm9vdmVzdW06LTc2MTEwNTM3MA%3D%3D&gt;
On Wed, Jan 7, 2026, 3:07 PM IALONGO, FRANCESCO S. &lt;FIALONGO@amica.com&gt;
wrote:
&gt; Hi,
&gt;
&gt;
&gt;
&gt; Do you have something 1:30est on Friday the 9th?
&gt;
&gt;
&gt; T</t>
  </si>
  <si>
    <t>19b950800854f6c8</t>
  </si>
  <si>
    <t>fialongo@amica.com, Macey Bell &lt;macey.bell@observepoint.com&gt;, John Davis &lt;john.davis@observepoint.com&gt;</t>
  </si>
  <si>
    <t>amica.com, observepoint.com</t>
  </si>
  <si>
    <t>ObservePoint | Amica Weekly Sync</t>
  </si>
  <si>
    <t>Hey Frank, are you able to join our meeting now?
ObservePoint | Amica Weekly Sync
Tuesday Jan 6, 2026 ⋅ 1:30pm – 2pm
Mountain Time - Denver
Join Zoom Meeting
https://observepoint.zoom.us/j/3628593272?pwd=OfxX2kwpsuA5labBaZXephHbiAXlz9.1&amp;omn=97416106400&amp;jst=2
Join by phone
(US) +1 877-853-5247
passcode: 183089
Joining instructions
https://www.google.com/url?q=https://applications.zoom.us/addon/invitation/detail?meetingUuid%3D%252BxDqK6eKTw2WS8m7taevvw%253D%253D%26signature%3</t>
  </si>
  <si>
    <t>19b958a0508bc751</t>
  </si>
  <si>
    <t>Re: [EXTERNAL] ObservePoint | Amica Weekly Sync</t>
  </si>
  <si>
    <t>Hi John,
My apologies as i was out sick this afternoon
Francesco
________________________________
From: Google Calendar &lt;calendar-notification@google.com&gt; on behalf of John Davis &lt;john.davis@observepoint.com&gt;
Sent: Tuesday, January 6, 2026 3:38:08 PM
To: IALONGO, FRANCESCO S. &lt;FIALONGO@AMICA.COM&gt;; Macey Bell &lt;macey.bell@observepoint.com&gt;; John Davis &lt;john.davis@observepoint.com&gt;
Subject: [EXTERNAL] ObservePoint | Amica Weekly Sync
ObservePoint | Amica Weekly Sync
Hey Frank, ar</t>
  </si>
  <si>
    <t>19b958ab11e2287f</t>
  </si>
  <si>
    <t>No worries, I'll catch you on the next one. Hope you feel better soon!
*Regards, *
John Davis *   |    * *Customer Success Manager*
Cell: 801.633.6013
john.davis@observepoint.com
www.observepoint.com
&lt;https://us-3129.email-composer-webhooks.gong.io/email-tracking/clicked?email-info-token=eyJhbGciOiJIUzI1NiJ9.eyJjb21wYW55SWQiOiI4OTgyMjM2MTQxODc2Mjk3NzAiLCJkcmFmdElkIjoicjI3MjM2MjI1NzcwMzMzMzk4ODUiLCJsaW5rVXJsIjoiaHR0cHM6Ly9ncm9vdmUuZ3J2bG5rNC5jb20vdXJsL3R5cGE2YnlpZnVrdmJ0aWp3b2Q5NC9hSF</t>
  </si>
  <si>
    <t>19b950168d835410</t>
  </si>
  <si>
    <t>alex.langridge@accentgr.com.au</t>
  </si>
  <si>
    <t>john.davis@observepoint.com</t>
  </si>
  <si>
    <t>In case you missed it: Here's Your 2025 ObservePoint Year in Review</t>
  </si>
  <si>
    <t xml:space="preserve"> Email Template 
See how your auditing and governance efforts paid off in 2025. 
 ‌ ‌ ‌ ‌ ‌ ‌ ‌ ‌ ‌ ‌ ‌ ‌ ‌ ‌ ‌ ‌ ‌ ‌ 
[image: ObservePoint Logo] 
[image: 2025 Year in Review] 
What Did Your Website Audits Reveal Last Year? 
654 
Unique Pages Scanned 
30 
Domains Scanned 
Accent Group 
REPORT PERIOD 
Since Jan 1, 2025 
Top 10 Domains Unique Pages Scanned Last Scan 
lacoste.com.au 
&lt;https://go.observepoint.com/dc/rCj7yxSAWWezFj4WAnabbDY2_q8-fwvcXUvKXkQg5qY=/NDQyLU1EUi0zNTkAAAGfM_nasusMEdxyHRWRV</t>
  </si>
  <si>
    <t>19b95015783ffa3a</t>
  </si>
  <si>
    <t>stuart.heggie@accentgr.com.au</t>
  </si>
  <si>
    <t xml:space="preserve"> Email Template 
See how your auditing and governance efforts paid off in 2025. 
 ‌ ‌ ‌ ‌ ‌ ‌ ‌ ‌ ‌ ‌ ‌ ‌ ‌ ‌ ‌ ‌ ‌ ‌ 
[image: ObservePoint Logo] 
[image: 2025 Year in Review] 
What Did Your Website Audits Reveal Last Year? 
654 
Unique Pages Scanned 
30 
Domains Scanned 
Accent Group 
REPORT PERIOD 
Since Jan 1, 2025 
Top 10 Domains Unique Pages Scanned Last Scan 
lacoste.com.au 
&lt;https://go.observepoint.com/dc/rCj7yxSAWWezFj4WAnabbDY2_q8-fwvcXUvKXkQg5qY=/NDQyLU1EUi0zNTkAAAGfM_nQM1_J5xmdIB2Cp</t>
  </si>
  <si>
    <t>19b950147cb6bd5d</t>
  </si>
  <si>
    <t>jordan.robinson@accentgr.com.au</t>
  </si>
  <si>
    <t xml:space="preserve"> Email Template 
See how your auditing and governance efforts paid off in 2025. 
 ‌ ‌ ‌ ‌ ‌ ‌ ‌ ‌ ‌ ‌ ‌ ‌ ‌ ‌ ‌ ‌ ‌ ‌ 
[image: ObservePoint Logo] 
[image: 2025 Year in Review] 
What Did Your Website Audits Reveal Last Year? 
654 
Unique Pages Scanned 
30 
Domains Scanned 
Accent Group 
REPORT PERIOD 
Since Jan 1, 2025 
Top 10 Domains Unique Pages Scanned Last Scan 
lacoste.com.au 
&lt;https://go.observepoint.com/dc/rCj7yxSAWWezFj4WAnabbDY2_q8-fwvcXUvKXkQg5qY=/NDQyLU1EUi0zNTkAAAGfM_nMOOi13sPlBAdEv</t>
  </si>
  <si>
    <t>19b9501414a48b88</t>
  </si>
  <si>
    <t>arasheed@amica.com</t>
  </si>
  <si>
    <t xml:space="preserve"> Email Template 
See how your auditing and governance efforts paid off in 2025. 
 ‌ ‌ ‌ ‌ ‌ ‌ ‌ ‌ ‌ ‌ ‌ ‌ ‌ ‌ ‌ ‌ ‌ ‌ 
[image: ObservePoint Logo] 
[image: 2025 Year in Review] 
What Did Your Website Audits Reveal Last Year? 
7,358 
Unique Pages Scanned 
93 
Domains Scanned 
Amica Mutual Insurance 
REPORT PERIOD 
Since Jan 1, 2025 
Top 10 Domains Unique Pages Scanned Last Scan 
careers.amica.com 
&lt;https://go.observepoint.com/dc/hREH2SNGs7-xv_tDVs5PG9X83EUmKqg7Hb169v4eaBw=/NDQyLU1EUi0zNTkAAAGfM_</t>
  </si>
  <si>
    <t>19b95013f6e50e74</t>
  </si>
  <si>
    <t>bwalsh@torrid.com</t>
  </si>
  <si>
    <t xml:space="preserve"> Email Template 
See how your auditing and governance efforts paid off in 2025. 
 ‌ ‌ ‌ ‌ ‌ ‌ ‌ ‌ ‌ ‌ ‌ ‌ ‌ ‌ ‌ ‌ ‌ ‌ 
[image: ObservePoint Logo] 
[image: 2025 Year in Review] 
What Did Your Website Audits Reveal Last Year? 
65,268 
Unique Pages Scanned 
12 
Domains Scanned 
Torrid LLC 
REPORT PERIOD 
Since Jan 1, 2025 
Top 10 Domains Unique Pages Scanned Last Scan 
www.torrid.com 
&lt;https://go.observepoint.com/dc/JFEJ9XPsqvxw6f567PDUWAZpiAGUz41jKxPcxAXyC14=/NDQyLU1EUi0zNTkAAAGfM_nKk090UOyhjQ5X</t>
  </si>
  <si>
    <t>19b95012f0840823</t>
  </si>
  <si>
    <t>lukasz.gogolkiewicz@accentgr.com.au</t>
  </si>
  <si>
    <t xml:space="preserve"> Email Template 
See how your auditing and governance efforts paid off in 2025. 
 ‌ ‌ ‌ ‌ ‌ ‌ ‌ ‌ ‌ ‌ ‌ ‌ ‌ ‌ ‌ ‌ ‌ ‌ 
[image: ObservePoint Logo] 
[image: 2025 Year in Review] 
What Did Your Website Audits Reveal Last Year? 
654 
Unique Pages Scanned 
30 
Domains Scanned 
Accent Group 
REPORT PERIOD 
Since Jan 1, 2025 
Top 10 Domains Unique Pages Scanned Last Scan 
lacoste.com.au 
&lt;https://go.observepoint.com/dc/rCj7yxSAWWezFj4WAnabbDY2_q8-fwvcXUvKXkQg5qY=/NDQyLU1EUi0zNTkAAAGfM_nGthyWCS_-K1EgV</t>
  </si>
  <si>
    <t>19b95012b8de93d4</t>
  </si>
  <si>
    <t>elvis.ruiz@merz.com</t>
  </si>
  <si>
    <t>merz.com</t>
  </si>
  <si>
    <t xml:space="preserve"> Email Template 
See how your auditing and governance efforts paid off in 2025. 
 ‌ ‌ ‌ ‌ ‌ ‌ ‌ ‌ ‌ ‌ ‌ ‌ ‌ ‌ ‌ ‌ ‌ ‌ 
[image: ObservePoint Logo] 
[image: 2025 Year in Review] 
What Did Your Website Audits Reveal Last Year? 
278 
Unique Pages Scanned 
15 
Domains Scanned 
Merz Pharma 
REPORT PERIOD 
Since Jan 1, 2025 
Top 10 Domains Unique Pages Scanned Last Scan 
hcp.xeomin.com 
&lt;https://go.observepoint.com/dc/SlF5octyR1Tx-JbHDvc-00RsWoQhQbrRkay-ZIikCTk=/NDQyLU1EUi0zNTkAAAGfM_nFst3v48bEJxt81S</t>
  </si>
  <si>
    <t>19b95012878f7dcd</t>
  </si>
  <si>
    <t>fialongo@amica.com</t>
  </si>
  <si>
    <t>19b950118f27957a</t>
  </si>
  <si>
    <t>clanni@amica.com</t>
  </si>
  <si>
    <t>19b7a575ccc0186c</t>
  </si>
  <si>
    <t>"nic.suder@observepoint.com" &lt;nic.suder@observepoint.com&gt;, "tverga@torrid.com" &lt;tverga@torrid.com&gt;, "clarke.anderson@observepoint.com" &lt;clarke.anderson@observepoint.com&gt;, "john.davis@observepoint.com" &lt;john.davis@observepoint.com&gt;</t>
  </si>
  <si>
    <t>observepoint.com, torrid.com</t>
  </si>
  <si>
    <t>Upcoming ObservePoint Renewal on January 31, 2026 - Torrid</t>
  </si>
  <si>
    <t xml:space="preserve">
[image: ObservePoint Logo_Gray_ON_YEllow_LOGO.jpeg]
A friendly reminder that it's time to renew.
Hi Thomas,
The last day of your current term is *January 31, 2026*.
If you have already completed renewal paperwork or opted to auto-renew your 
agreement, no action is required.
Please reach out to your account team if you have any questions.
*Customer Success Manager -* john.davis@observepoint.com
*Account Executive - * clarke.anderson@observepoint.com
</t>
  </si>
  <si>
    <t>19b700aa7633a1ae</t>
  </si>
  <si>
    <t>"nic.suder@observepoint.com" &lt;nic.suder@observepoint.com&gt;, "clanni@amica.com" &lt;clanni@amica.com&gt;, "john.davis@observepoint.com" &lt;john.davis@observepoint.com&gt;, "dallin.madsen@observepoint.com" &lt;dallin.madsen@observepoint.com&gt;</t>
  </si>
  <si>
    <t>observepoint.com, amica.com</t>
  </si>
  <si>
    <t>Upcoming ObservePoint Renewal on February 28, 2026 - Amica Mutual Insurance</t>
  </si>
  <si>
    <t xml:space="preserve">
[image: ObservePoint Logo_Gray_ON_YEllow_LOGO.jpeg]
A friendly reminder that it's time to renew.
Hi Catherine,
Thank you for being an ObservePoint customer!
This is an automated notification to let you know that the end of your 
current term is* February 28, 2026*.
We know approval and procurement processes can take time, and we want to 
avoid any interruption of service, hence we are reaching out now.
Please reach out to your account team if you have any questions, or if you 
anticipa</t>
  </si>
  <si>
    <t>19b700aa70faa295</t>
  </si>
  <si>
    <t>"nic.suder@observepoint.com" &lt;nic.suder@observepoint.com&gt;, "preah.dalton@merz.com" &lt;preah.dalton@merz.com&gt;, "john.davis@observepoint.com" &lt;john.davis@observepoint.com&gt;, "andy.compas@observepoint.com" &lt;andy.compas@observepoint.com&gt;</t>
  </si>
  <si>
    <t>observepoint.com, merz.com</t>
  </si>
  <si>
    <t>Upcoming ObservePoint Renewal on February 28, 2026 - Merz Pharma</t>
  </si>
  <si>
    <t xml:space="preserve">
[image: ObservePoint Logo_Gray_ON_YEllow_LOGO.jpeg]
A friendly reminder that it's time to renew.
Hi Preah,
Thank you for being an ObservePoint customer!
This is an automated notification to let you know that the end of your 
current term is* February 28, 2026*.
We know approval and procurement processes can take time, and we want to 
avoid any interruption of service, hence we are reaching out now.
Please reach out to your account team if you have any questions, or if you 
anticipate a</t>
  </si>
  <si>
    <t>19b471df5b9fa092</t>
  </si>
  <si>
    <t>Accepted: ObservePoint | Amica Weekly Sync</t>
  </si>
  <si>
    <t>19b43a0f0228d154</t>
  </si>
  <si>
    <t>Macey Bell &lt;macey.bell@observepoint.com&gt;</t>
  </si>
  <si>
    <t>Jordan Robinson &lt;jordan.robinson@accentgr.com.au&gt;, John Davis &lt;john.davis@observepoint.com&gt;</t>
  </si>
  <si>
    <t>accentgr.com.au, observepoint.com</t>
  </si>
  <si>
    <t>Stuart Heggie &lt;stuart.heggie@accentgr.com.au&gt;</t>
  </si>
  <si>
    <t>Re: Updated invitation with note: ObservePoint | Accent Group - Sync @ Mon Dec 22, 2025 3:30pm - 4pm (MST) (jordan.robinson@accentgr.com.au)</t>
  </si>
  <si>
    <t>Hey Jordan, I wanted to introduce you to John who is the new customer 
success manager that will be working with you in the coming year but it 
looks like he’s actually also out of office on Monday so maybe it will be 
best to just postpone until after the holidays!
Sent from my iPhone
On Dec 21, 2025, at 2:35 PM, Jordan Robinson 
&lt;jordan.robinson@accentgr.com.au&gt; wrote:
﻿ 
Hey Macey,
Just wanted to touch base and let you know that Stuart is now on leave 
until January so will not be able to</t>
  </si>
  <si>
    <t>19b38ac99d9bbc3a</t>
  </si>
  <si>
    <t>John Davis &lt;john.davis@observepoint.com&gt;, stuart.heggie@accentgr.com.au, jordan.robinson@accentgr.com.au, Todd Wilkerson &lt;todd.wilkerson@observepoint.com&gt;</t>
  </si>
  <si>
    <t>Invitation: ObservePoint | Accent Group - Sync @ Mon Dec 22, 2025 3:30pm - 4pm (MST) (John Davis)</t>
  </si>
  <si>
    <t>ObservePoint | Accent Group - Sync
Monday Dec 22, 2025 ⋅ 3:30pm – 4pm
Mountain Time - Denver
Join Zoom Meeting
https://observepoint.zoom.us/j/3742631971?pwd=Z2JhWG1yV1ZtOVBnMVZaRDR0bjVDZz09&amp;omn=96098404359
Join by phone
(US) +1 888-788-0099
passcode: 318688
Joining instructions
https://www.google.com/url?q=https://applications.zoom.us/addon/invitation/detail?meetingUuid%3DsBkOBDHfRiW%252FApwUXWxyzA%253D%253D%26signature%3D82487b0b7281398609f133d1eb9f3d19113427031b84694f223b8c1</t>
  </si>
  <si>
    <t>19b33b4e1dd9e328</t>
  </si>
  <si>
    <t>Todd Wilkerson &lt;todd.wilkerson@observepoint.com&gt;</t>
  </si>
  <si>
    <t>Stuart Heggie &lt;Stuart.Heggie@accentgr.com.au&gt;</t>
  </si>
  <si>
    <t>"nic.suder@observepoint.com" &lt;nic.suder@observepoint.com&gt;, "macey.bell@observepoint.com" &lt;macey.bell@observepoint.com&gt;, John Davis &lt;john.davis@observepoint.com&gt;</t>
  </si>
  <si>
    <t>Re: Upcoming ObservePoint Renewal on February 11, 2026 - Accent Group</t>
  </si>
  <si>
    <t xml:space="preserve">Hi Stuart,
Our pricing is now available online &lt;https://www.observepoint.com/pricing/&gt;.
We can certainly decrease the Journey volume and increase the Audit scans
as requested.
Based on these changes, reducing the Journeys would result in a savings of
$5,850 USD. However, increasing the Audit volume to 500k scans would
increase that portion of the agreement from $18,750 to $62,380 USD.
Overall, the total for the renewal would be $66,530, compared to last
year's total of $28,750.
</t>
  </si>
  <si>
    <t>19b33f71e8854cb8</t>
  </si>
  <si>
    <t>RE: Upcoming ObservePoint Renewal on February 11, 2026 - Accent Group</t>
  </si>
  <si>
    <t>Hi Todd, okay that does make sense.
Please reduce the number of scans to 75k (2 scans per week per website) and the reduced volume of journeys.
Thanks, Stuart.
Stuart Heggie
Head of Marketing Technology
[cid:image001.jpg@01DC70D2.0D5AF4A0]
Tel: +61 3 9427 9422 | Email: Stuart.Heggie@accentgr.com.au&lt;mailto:Stuart.Heggie@accentgr.com.au&gt; | Web: www.accentgr.com.au&lt;http://www.accentgr.com.au/&gt;
Accent Group Limited
2/64 Balmain St
Cremorne, VIC 3121 AU
The information in this e</t>
  </si>
  <si>
    <t>19b34027ab866255</t>
  </si>
  <si>
    <t>Hi Stuart,
Is that going to be enough?  It's a serious drop from 500k scans.
Regardless, here's how it rolls out:
   - 75k annual scans is $11,380 USD
Other options:
   - 120k annual scans is $16,780
   - 150k annual scans is $20,380
Simply choose the prefered scan option and add $4,150 for the journeys.
Let me know if you have any questions.
Thanks, Todd
On Thu, Dec 18, 2025 at 5:16 PM Stuart Heggie &lt;Stuart.Heggie@accentgr.com.au&gt;
wrote:
&gt; Hi Todd, okay that does</t>
  </si>
  <si>
    <t>19b340e3b6ba1754</t>
  </si>
  <si>
    <t>Hi Todd,
I was under the impression that the bulk of the costs were associated with Journeys and therefore assumed that a reduction in Journey volume would help offset the increase in scans.
Unfortunately we need to significantly decrease the expenditure here if we want to keep the tool within the business.
Thanks, Stuart.
Stuart Heggie
Head of Marketing Technology
[cid:image001.jpg@01DC70DB.595AE4B0]
Tel: +61 3 9427 9422 | Email: Stuart.Heggie@accentgr.com.au&lt;mailto:Stuart.Heggie</t>
  </si>
  <si>
    <t>19b388e04bd1b1c7</t>
  </si>
  <si>
    <t>Hi Stuart,
Unfortunately, it's the opposite.  Most of the expense comes from the scans
themselves.  Did you take a look at our online pricing calculator
&lt;https://us-3129.email-composer-webhooks.gong.io/email-tracking/clicked?email-info-token=eyJhbGciOiJIUzI1NiJ9.eyJjb21wYW55SWQiOiI4OTgyMjM2MTQxODc2Mjk3NzAiLCJkcmFmdElkIjoici00Mzc3MDQ4NjYwNjc4ODE3MDkzIiwibGlua1VybCI6Imh0dHBzOi8vd3d3Lm9ic2VydmVwb2ludC5jb20vcHJpY2luZy8iLCJsaW5rVGV4dCI6ImNhbGN1bGF0b3IiLCJ0ZW1wbGF0ZUlkIjoiIiwiZXhwIjoxNzY3OTk0Nzcx</t>
  </si>
  <si>
    <t>19b9b06cd0087878</t>
  </si>
  <si>
    <t>Hi Todd, hope you had a nice break over the new year. Circling back to this renewal, if you could please produce a contract for the following volumes - I should be able to get this through;
120k scans
5k journeys
Cheers, Stuart
stuart.heggie@accentgr.com.au
________________________________
From: Todd Wilkerson &lt;todd.wilkerson@observepoint.com&gt;
Sent: 20 December 2025 8:39 AM
To: Stuart Heggie &lt;Stuart.Heggie@accentgr.com.au&gt;
Cc: nic.suder@observepoint.com &lt;nic.suder@observepoi</t>
  </si>
  <si>
    <t>19bb40ca9aacb1a4</t>
  </si>
  <si>
    <t>"nic.suder@observepoint.com" &lt;nic.suder@observepoint.com&gt;, John Davis &lt;john.davis@observepoint.com&gt;</t>
  </si>
  <si>
    <t>Hello Stuart,
Sorry for the delay.  I was OOO last week.  Please find the attached
Service Order.  Do you want me to send this via Docusign?
On Wed, Jan 7, 2026 at 5:34 PM Stuart Heggie &lt;Stuart.Heggie@accentgr.com.au&gt;
wrote:
&gt; Hi Todd, hope you had a nice break over the new year. Circling back to
&gt; this renewal, if you could please produce a contract for the following
&gt; volumes - I should be able to get this through;
&gt;
&gt; 120k scans
&gt; 5k journeys
&gt;
&gt; Cheers, Stuart
&gt; stuart.heg</t>
  </si>
  <si>
    <t>19b3362dac7d1fe6</t>
  </si>
  <si>
    <t>19b32ab75e178211</t>
  </si>
  <si>
    <t>ObservePoint &lt;support@observepoint.com&gt;</t>
  </si>
  <si>
    <t>John Davis &lt;john.davis@observepoint.com&gt;, Macey Bell &lt;macey.bell@observepoint.com&gt;, "PATEL, MAYUR A." &lt;MPATEL2@amica.com&gt;, "SMITH, PAUL" &lt;PSMITH2@amica.com&gt;</t>
  </si>
  <si>
    <t>https://app.observepoint.com/web-journey/522025/run/66152964/results?action=17   - "PS2 ADC Amica.com Auto Quote Funnel Dev (Validated) *NEW" -  Fix needed for Journey</t>
  </si>
  <si>
    <t>Hi OP Support Team,
Was hoping you could rush a fix to this journey https://app.observepoint.com/web-journey/522025/run/66152964/results?action=17
Named "PS2 ADC Amica.com Auto Quote Funnel Dev (Validated) *NEW"
Please reply to this group with any updates. Ideally we need this up and running by EOD today
Thank you!
Francesco S Ialongo | Lead Adobe Analytics Administrator
Amica Mutual Insurance Company | Marketing, Communications &amp; Growth
50 Amica Way | Lincoln, RI | 02865-1155</t>
  </si>
  <si>
    <t>19b32abdac6977cf</t>
  </si>
  <si>
    <t>ObservePoint AI from ObservePoint &lt;support@observepoint.com&gt;</t>
  </si>
  <si>
    <t>john.davis@observepoint.com, macey.bell@observepoint.com, mpatel2@amica.com, psmith2@amica.com</t>
  </si>
  <si>
    <t>Re: https://app.observepoint.com/web-journey/522025/run/66152964/results?action=17   - "PS2 ADC Amica.com Auto Quote Funnel Dev (Validated) *NEW" -  Fix needed for Journey</t>
  </si>
  <si>
    <t xml:space="preserve"> 
#61075325: 
https://app.observepoint.com/web-journey/522025/run/66152964/results?action=17 
- "PS2 ADC Amica.com Auto Quote Funnel Dev (Validated) *NEW" - Fix needed 
for Journey 
Submitted 
We'll pick up your ticket soon 
Hi OP Support Team, Was hoping you could rush a fix to this journey 
https://app.observepoint.com/web-journey/522025/run/66152964/results?action=17 
Named “PS2 ADC Amica.com Auto Quote Funnel Dev (Validated) *NEW” Please 
reply to this group with any updates. Ideally we nee</t>
  </si>
  <si>
    <t>19b32b40666eb5ad</t>
  </si>
  <si>
    <t>ObservePoint &lt;support@observepoint.com&gt;, John Davis &lt;john.davis@observepoint.com&gt;, "PATEL, MAYUR A." &lt;MPATEL2@amica.com&gt;, "SMITH, PAUL" &lt;PSMITH2@amica.com&gt;</t>
  </si>
  <si>
    <t>Re: https://app.observepoint.com/web-journey/522025/run/66152964/results?action=17 - "PS2 ADC Amica.com Auto Quote Funnel Dev (Validated) *NEW" - Fix needed for Journey</t>
  </si>
  <si>
    <t>Hi Franc, the team is on it and setting out to fix by end of today. They
will let you know if there are any obstacles or something they need from
you.
On Thu, Dec 18, 2025 at 11:14 AM IALONGO, FRANCESCO S. &lt;FIALONGO@amica.com&gt;
wrote:
&gt; Hi OP Support Team,
&gt;
&gt;
&gt;
&gt; Was hoping you could rush a fix to this journey
&gt; https://app.observepoint.com/web-journey/522025/run/66152964/results?action=17
&gt;
&gt;
&gt;
&gt; Named “PS2 ADC Amica.com Auto Quote Funnel Dev (Validated) *NEW”
&gt;
&gt;
&gt;
&gt; Plea</t>
  </si>
  <si>
    <t>19b32bb1cbc72313</t>
  </si>
  <si>
    <t>RE: [EXTERNAL] Re: https://app.observepoint.com/web-journey/522025/run/66152964/results?action=17 - "PS2 ADC Amica.com Auto Quote Funnel Dev (Validated) *NEW" - Fix needed for Journey</t>
  </si>
  <si>
    <t>Hi!
That is awesome news!
As they have time, was also hoping they could fix the production one here
PRODUCTION JOURNEY:Prod ADC Amica.com Auto Quote Funnel V1
https://app.observepoint.com/web-journey/451571/run/66210565/results?action=8&amp;tab=4
Let me know if I should send a separate email for this request. Also can you please remind me when you will be closed?
Thank you!
Francesco S Ialongo | Lead Adobe Analytics Administrator
Amica Mutual Insurance Company | Marketing</t>
  </si>
  <si>
    <t>19b330e394ec6ce5</t>
  </si>
  <si>
    <t>Re: [EXTERNAL] Re: https://app.observepoint.com/web-journey/522025/run/66152964/results?action=17 - "PS2 ADC Amica.com Auto Quote Funnel Dev (Validated) *NEW" - Fix needed for Journey</t>
  </si>
  <si>
    <t>Hey Franc can you shed any light on the message the journey is giving? Do
we need to change anything or is this expected?
The journey is ready.
https://app.observepoint.com/web-journey/522025/run/66467245/results
We're getting this error at step 21 in the browser and the application(see
the picture):
"We're sorry
Unfortunately, we're unable to provide you with a quote at this time."
Maybe because it is the end of the year?
On Thu, Dec 18, 2025 at 11:31 AM IALONGO, FRANCESCO S. &lt;</t>
  </si>
  <si>
    <t>19b368714888144d</t>
  </si>
  <si>
    <t>Anghelus from ObservePoint &lt;support@observepoint.com&gt;</t>
  </si>
  <si>
    <t>macey.bell@observepoint.com</t>
  </si>
  <si>
    <t>Francesco Ialongo &lt;fialongo@amica.com&gt;, Mayur Patel &lt;mpatel2@amica.com&gt;, Paul Smith &lt;psmith2@amica.com&gt;, john.davis@observepoint.com</t>
  </si>
  <si>
    <t>Hi Francesco, 
 ​We are reviewing your request and will reply as soon as possible. 
 Thanks, 
 Anghelus</t>
  </si>
  <si>
    <t>19b36871c4270e64</t>
  </si>
  <si>
    <t xml:space="preserve"> 
#61075325: 
https://app.observepoint.com/web-journey/522025/run/66152964/results?action=17 
- "PS2 ADC Amica.com Auto Quote Funnel Dev (Validated) *NEW" - Fix needed 
for Journey 
In progress 
We're working on your ticket 
Hi OP Support Team, Was hoping you could rush a fix to this journey 
https://app.observepoint.com/web-journey/522025/run/66152964/results?action=17 
Named “PS2 ADC Amica.com Auto Quote Funnel Dev (Validated) *NEW” Please 
reply to this group with any updates. Ideally we nee</t>
  </si>
  <si>
    <t>19b36e3fd769fe2b</t>
  </si>
  <si>
    <t>Anghelus from ObservePoint &lt;support@observepoint.com&gt;, "macey.bell@observepoint.com" &lt;macey.bell@observepoint.com&gt;</t>
  </si>
  <si>
    <t>"PATEL, MAYUR A." &lt;MPATEL2@amica.com&gt;, "SMITH, PAUL" &lt;PSMITH2@amica.com&gt;, "john.davis@observepoint.com" &lt;john.davis@observepoint.com&gt;</t>
  </si>
  <si>
    <t>RE: [EXTERNAL] Re: https://app.observepoint.com/web-journey/522025/run/66152964/results?action=17   - "PS2 ADC Amica.com Auto Quote Funnel Dev (Validated) *NEW" -  Fix needed for Journey</t>
  </si>
  <si>
    <t>Thank you!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Anghelus from ObservePoint &lt;support@observepoint.com&gt;
Sent: Friday, December 19, 2025 7:13 AM
To: macey.bell@observepoint.com
Cc: IALONGO, FRANCESCO S. &lt;FIALONGO@AMICA.</t>
  </si>
  <si>
    <t>19b38915b20ef599</t>
  </si>
  <si>
    <t>macey.bell@observepoint.com, Mayur Patel &lt;mpatel2@amica.com&gt;, Paul Smith &lt;psmith2@amica.com&gt;, john.davis@observepoint.com</t>
  </si>
  <si>
    <t xml:space="preserve">Hi Francesco, 
 PS2 ADC Amica.com Auto Quote Funnel Dev (Validated) *NEW 
 https://app.observepoint.com/web-journey/522025/run/66471733/results 
 Prod ADC Amica.com Auto Quote Funnel V1 
 https://app.observepoint.com/web-journey/451571/run/66472265/results 
 We're getting this error at step 19 for the first journey and at step 18 for the second one, in the browser and the application(see the picture): 
 "We're sorry. Unfortunately, we're unable to provide you with a quote at this time." 
</t>
  </si>
  <si>
    <t>19b389160dfde68f</t>
  </si>
  <si>
    <t xml:space="preserve"> 
#61075325: 
https://app.observepoint.com/web-journey/522025/run/66152964/results?action=17 
- "PS2 ADC Amica.com Auto Quote Funnel Dev (Validated) *NEW" - Fix needed 
for Journey 
Resolved 
We've completed your ticket 
Hi OP Support Team, Was hoping you could rush a fix to this journey 
https://app.observepoint.com/web-journey/522025/run/66152964/results?action=17 
Named “PS2 ADC Amica.com Auto Quote Funnel Dev (Validated) *NEW” Please 
reply to this group with any updates. Ideally we need th</t>
  </si>
  <si>
    <t>19b47e28d3d5ff31</t>
  </si>
  <si>
    <t>"john.davis@observepoint.com" &lt;john.davis@observepoint.com&gt;, "macey.bell@observepoint.com" &lt;macey.bell@observepoint.com&gt;, "PATEL, MAYUR A." &lt;MPATEL2@amica.com&gt;, "SMITH, PAUL" &lt;PSMITH2@amica.com&gt;</t>
  </si>
  <si>
    <t>Hi,
Please see https://app.observepoint.com/web-journey/522025/run/66152964/results?action=17
I updated the address to not have business fails, can you please work on the click on step 17?
Thank you,
Francesco S Ialongo | Lead Adobe Analytics Administrator
Amica Mutual Insurance Company | Marketing, Communications &amp; Growth
50 Amica Way | Lincoln, RI | 02865-1155
Voice: 800-652-6422 ext. 22312 | Fax: 401-333-5349
fialongo@amica.com&lt;mailto:%20fialongo@amica.com&gt; | Amica.com&lt;http:</t>
  </si>
  <si>
    <t>19b47e2ec9b98c66</t>
  </si>
  <si>
    <t>Re: RE: [EXTERNAL] Re: https://app.observepoint.com/web-journey/522025/run/66152964/results?action=17   - "PS2 ADC Amica.com Auto Quote Funnel Dev (Validated) *NEW" -  Fix needed for Journey</t>
  </si>
  <si>
    <t xml:space="preserve"> 
#62217658: RE: [EXTERNAL] Re: 
https://app.observepoint.com/web-journey/522025/run/66152964/results?action=17 
- "PS2 ADC Amica.com Auto Quote Funnel Dev (Validated) *NEW" - Fix needed 
for Journey 
Submitted 
We'll pick up your ticket soon 
Hi, Please see 
https://app.observepoint.com/web-journey/522025/run/66152964/results?action=17 
I updated the address to not have business fails, can you please work on 
the click on step 17? Thank you, *Francesco S Ialongo | *Lead Adobe 
Analytics Admini</t>
  </si>
  <si>
    <t>19b4ab7cf0927119</t>
  </si>
  <si>
    <t>19b4ab7dc134a575</t>
  </si>
  <si>
    <t xml:space="preserve"> 
#62217658: RE: [EXTERNAL] Re: 
https://app.observepoint.com/web-journey/522025/run/66152964/results?action=17 
- "PS2 ADC Amica.com Auto Quote Funnel Dev (Validated) *NEW" - Fix needed 
for Journey 
In progress 
We're working on your ticket 
Hi, Please see 
https://app.observepoint.com/web-journey/522025/run/66152964/results?action=17 
I updated the address to not have business fails, can you please work on 
the click on step 17? Thank you, *Francesco S Ialongo | *Lead Adobe 
Analytics Admini</t>
  </si>
  <si>
    <t>19b4b1568626fb3d</t>
  </si>
  <si>
    <t>Hi Francesco, 
 The journey is ready. 
 https://app.observepoint.com/web-journey/522025/run/66489324/results 
 Thanks, 
 Anghelus</t>
  </si>
  <si>
    <t>19b4b157266c573e</t>
  </si>
  <si>
    <t xml:space="preserve"> 
#62217658: RE: [EXTERNAL] Re: 
https://app.observepoint.com/web-journey/522025/run/66152964/results?action=17 
- "PS2 ADC Amica.com Auto Quote Funnel Dev (Validated) *NEW" - Fix needed 
for Journey 
Resolved 
We've completed your ticket 
Hi, Please see 
https://app.observepoint.com/web-journey/522025/run/66152964/results?action=17 
I updated the address to not have business fails, can you please work on 
the click on step 17? Thank you, *Francesco S Ialongo | *Lead Adobe 
Analytics Administra</t>
  </si>
  <si>
    <t>19b4b8bd98b1ce84</t>
  </si>
  <si>
    <t>"macey.bell@observepoint.com" &lt;macey.bell@observepoint.com&gt;, "PATEL, MAYUR A." &lt;MPATEL2@amica.com&gt;, "SMITH, PAUL" &lt;PSMITH2@amica.com&gt;, "john.davis@observepoint.com" &lt;john.davis@observepoint.com&gt;</t>
  </si>
  <si>
    <t>RE: RE: [EXTERNAL] Re: https://app.observepoint.com/web-journey/522025/run/66152964/results?action=17   - "PS2 ADC Amica.com Auto Quote Funnel Dev (Validated) *NEW" -  Fix needed for Journey</t>
  </si>
  <si>
    <t>Thank you Anghelus!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Anghelus from ObservePoint &lt;support@observepoint.com&gt;
Sent: Tuesday, December 23, 2025 7:01 AM
To: IALONGO, FRANCESCO S. &lt;FIALONGO@AMICA.COM&gt;
Cc: macey.bell@ob</t>
  </si>
  <si>
    <t>19b2e21ba6100ac0</t>
  </si>
  <si>
    <t>Andy Compas &lt;andy.compas@observepoint.com&gt;</t>
  </si>
  <si>
    <t>Amy Lewis &lt;alewis@thinkbrg.com&gt;</t>
  </si>
  <si>
    <t>thinkbrg.com</t>
  </si>
  <si>
    <t>Following up with you and Bluebeam</t>
  </si>
  <si>
    <t xml:space="preserve">Hi Amy,
Following up to see if you have made any headway with Bluebeam.
Thank you
Best,
*Andy Compas* *   |    Account Executive*
  801.361.4079
  *andy.compas@observepoint.com &lt;andy.compas@observepoint.com&gt;*
  *www.observepoint.com &lt;http://www.observepoint.com&gt;*
</t>
  </si>
  <si>
    <t>19b2e290f715e280</t>
  </si>
  <si>
    <t>RE: [EXT] Following up with you and Bluebeam</t>
  </si>
  <si>
    <t>Hi Andy,
I didn’t get a response from Merz unfortunately (I assume this is who you meant 😊). I assume they’re working on wrapping up end-of-year stuff. I’ll let you know if they get back with me.
Amy
Amy Lewis | Associate Director, Privacy and Data Protection
She/Her
CIPP-US | CIPP-E | CIPM
BRG
4509 Creedmoor Rd. Suite 201 | Raleigh, NC 27612
M 314.276.0736
alewis@thinkbrg.com&lt;mailto:%20alewis@thinkbrg.com&gt; | thinkbrg.com&lt;http://thinkbrg.com/&gt;
From: Andy Compas &lt;andy.compas@</t>
  </si>
  <si>
    <t>19b2e30a6c7dcf81</t>
  </si>
  <si>
    <t>Re: [EXT] Following up with you and Bluebeam</t>
  </si>
  <si>
    <t xml:space="preserve">yeah - exactly - my mind is in Alpha mode right now. Sorry about that
*Andy Compas* *   |    Account Executive*
  801.361.4079
  *andy.compas@observepoint.com &lt;andy.compas@observepoint.com&gt;*
  *www.observepoint.com &lt;http://www.observepoint.com&gt;*
On Wed, Dec 17, 2025 at 2:13 PM Amy Lewis &lt;alewis@thinkbrg.com&gt; wrote:
&gt; Hi Andy,
&gt;
&gt; I didn’t get a response from Merz unfortunately (I assume this is who you
&gt; meant 😊). I assume they’re working on wrapping up end-of-year </t>
  </si>
  <si>
    <t>19b0e63d3a7ea8e2</t>
  </si>
  <si>
    <t>Macey Bell &lt;macey.bell@observepoint.com&gt;, John Davis &lt;john.davis@observepoint.com&gt;</t>
  </si>
  <si>
    <t>RE: ObservePoint | Amica - Sync</t>
  </si>
  <si>
    <t>Hi John and Macey,
Let me know if you (either of you) have a few minutes to connect tomorrow.
Wanted to go over a few things:
  *   need to get some documentation on OP MFA SSO azure compatible SMAL 2.0
  *   expand the use of the tool - training for various amica groups
  *   3rd party tags alerts and inventory – each tag with page list
Thank you!
Francesco S Ialongo | Lead Adobe Analytics Administrator
Amica Mutual Insurance Company | Marketing, Communications &amp; Growth
5</t>
  </si>
  <si>
    <t>19b0e6aee316db33</t>
  </si>
  <si>
    <t>Re: ObservePoint | Amica - Sync</t>
  </si>
  <si>
    <t>Hey Frank,
I am actually on PTO tomorrow and Macey woke up sick today so do you think
we could push this to next week?
Here are some times that work for us, go ahead and grab one that works for
you
Meeting length: 30 Minutes
Time Zone: (GMT-7) MST/Denver
Mon Dec 15 Tue Dec 16 Wed Dec 17 Thu Dec 18 Fri Dec 19
 1:30  PM
&lt;https://observepoint.chilipiper.com/suggested-times/ff5df25e-fda1-4731-a4ba-b0395d3484a8?slotStartsAt=2025-12-15T20:30:00.000Z&gt;
 11:30  AM
&lt;https://observepoint.c</t>
  </si>
  <si>
    <t>19b2e158dbfd04fb</t>
  </si>
  <si>
    <t>John Davis &lt;john.davis@observepoint.com&gt;, Jered White &lt;jered.white@observepoint.com&gt;</t>
  </si>
  <si>
    <t xml:space="preserve"> Hey Jered!
Can you help with this SSO question?
On Thu, Dec 11, 2025 at 10:17 AM John Davis &lt;john.davis@observepoint.com&gt;
wrote:
&gt; Hey Frank,
&gt;
&gt; I am actually on PTO tomorrow and Macey woke up sick today so do you think
&gt; we could push this to next week?
&gt;
&gt; Here are some times that work for us, go ahead and grab one that works for
&gt; you
&gt;
&gt; Meeting length: 30 Minutes
&gt; Time Zone: (GMT-7) MST/Denver
&gt; Mon Dec 15 Tue Dec 16 Wed Dec 17 Thu Dec 18 Fri Dec 19
&gt;  1:30  PM
&gt; &lt;h</t>
  </si>
  <si>
    <t>19b2e5ffeb02716b</t>
  </si>
  <si>
    <t>Hey Frank,
Here are some times to start a bi-weekly sync up, feel free to grab a slot
that works for you and your team
Meeting length: 30 Minutes
Time Zone: (GMT-7) MST/Denver
Tue Jan 6 Wed Jan 7 Thu Jan 8 Fri Jan 9
 10:00  AM
&lt;https://us-3129.email-composer-webhooks.gong.io/email-tracking/clicked?email-info-token=eyJhbGciOiJIUzI1NiJ9.eyJjb21wYW55SWQiOiI4OTgyMjM2MTQxODc2Mjk3NzAiLCJkcmFmdElkIjoici00MjQ1ODYyNzc5NTM1MDk5MTYyIiwibGlua1VybCI6Imh0dHBzOi8vb2JzZXJ2ZXBvaW50LmNoaWxpcGlwZXIuY29t</t>
  </si>
  <si>
    <t>19b2edf36ebec317</t>
  </si>
  <si>
    <t>Jered White &lt;jered.white@observepoint.com&gt;</t>
  </si>
  <si>
    <t>John Davis &lt;john.davis@observepoint.com&gt;, "IALONGO, FRANCESCO S." &lt;FIALONGO@amica.com&gt;</t>
  </si>
  <si>
    <t>Hello Frank,
We support SAML 2.0, so our systems should play well with Azure.
Our current SSO help docs honestly need a refresh, so it may actually
result in confusion. If you were just confirming SAML 2.0 will work then we
are in good shape! I will send the appropriate xml attached here. If you
were just exploring the option, this file should have all the information
needed to configure in Azure when the time comes.
On Wed, Dec 17, 2025 at 1:52 PM Macey Bell &lt;macey.bell@observepoin</t>
  </si>
  <si>
    <t>19b32b082346f723</t>
  </si>
  <si>
    <t>RE: [EXTERNAL] Re: ObservePoint | Amica - Sync</t>
  </si>
  <si>
    <t>Hi John,
I believe Tuesdays 230 might be the best time
Was also hoping we could setup a second connect on Fridays at 11am. Let me know.
Thanks again for sharing!
Francesco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t>
  </si>
  <si>
    <t>19b32b916e7dfb61</t>
  </si>
  <si>
    <t>Jered White &lt;jered.white@observepoint.com&gt;, Macey Bell &lt;macey.bell@observepoint.com&gt;</t>
  </si>
  <si>
    <t>Hi Jared,
Thanks you for sharing!
I will pass it along and let you know if the team has any questions
Thank you,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Jered White &lt;jered.white@observepoint.com&gt;
Sent: Wednesday,</t>
  </si>
  <si>
    <t>19b386c3868192d1</t>
  </si>
  <si>
    <t>Hi John
Some small misunderstanding, I replied to the hrs in EST time.
Can we move the Tuesday meeting to 330pm est?
Thank you,
Francesco S Ialongo | Lead Adobe Analytics Administrator
Amica Mutual Insurance Company | Marketing, Communications &amp; Growth
50 Amica Way | Lincoln, RI | 02865-1155
Voice: 800-652-6422 ext. 22312 | Fax: 401-333-5349
fialongo@amica.com&lt;mailto:%20fialongo@amica.com&gt; | Amica.com&lt;http://www.amica.com/&gt;
From: John Davis &lt;john.davis@observepoint.com&gt;
Sen</t>
  </si>
  <si>
    <t>19b4707030809384</t>
  </si>
  <si>
    <t>Re: [EXTERNAL] Re: ObservePoint | Amica - Sync</t>
  </si>
  <si>
    <t>Hey Frank,
Yes, 3:30pm EST should work fine moving forward, you should've received an
updated invite.
I am working on another idea for Fridays, I was thinking we could get one
of our Solutions Engineers to do a recurring educational session for you to
help you get the most value out of ObservePoint in the future. I am still
working on the details, but it's hard to nail something like this down
during the holidays. I will keep you in the loop.
*Regards, *
John Davis *   |    * *C</t>
  </si>
  <si>
    <t>19b471f5a93d93c9</t>
  </si>
  <si>
    <t>Hi John,
Thank you for accommodating and my apologies for the misunderstanding since I saw in your original you mentioned  MT and not EST
I like the technical training idea!
Thank you,
Francesco S Ialongo | Lead Adobe Analytics Administrator
Amica Mutual Insurance Company | Marketing, Communications &amp; Growth
50 Amica Way | Lincoln, RI | 02865-1155
Voice: 800-652-6422 ext. 22312 | Fax: 401-333-5349
fialongo@amica.com&lt;mailto:%20fialongo@amica.com&gt; | Amica.com&lt;http://www.amica.com</t>
  </si>
  <si>
    <t>19b0423c3e33d63c</t>
  </si>
  <si>
    <t>John Davis &lt;john.davis@observepoint.com&gt;, Macey Bell &lt;macey.bell@observepoint.com&gt;, alewis@thinkbrg.com</t>
  </si>
  <si>
    <t>observepoint.com, thinkbrg.com</t>
  </si>
  <si>
    <t>Invitation: Macey, Andy and Amy to connect  @ Tue Dec 9, 2025 12pm - 12:30pm (MST) (John Davis)</t>
  </si>
  <si>
    <t>Macey, Andy and Amy to connect
Tuesday Dec 9, 2025 ⋅ 12pm – 12:30pm
Mountain Time - Denver
Join Zoom Meeting
https://observepoint.zoom.us/j/7542703968?pwd=ZzFXUGswZDYycHpwVzJ6YWtwMmRodz09&amp;omn=94760324854&amp;jst=2
Join by phone
(US) +1 877-853-5247
passcode: 986750
Joining instructions
https://www.google.com/url?q=https://applications.zoom.us/addon/invitation/detail?meetingUuid%3DSDIOjtogSn27gYO4T82HQg%253D%253D%26signature%3Dbeab6a9643512955cb418ab6994cacd6b243e6dac10b07303a7fa39</t>
  </si>
  <si>
    <t>19aba33ceccb7c86</t>
  </si>
  <si>
    <t>John Davis &lt;john.davis@observepoint.com&gt;, fialongo@amica.com, mpatel2@amica.com, psmith2@amica.com, spalavalasa@amica.com, kmusku@amica.com, krenaud@amica.com, mfwood@amica.com, "VALETI, GOWTHAM KUMAR" &lt;gvaleti@amica.com&gt;, "RASHEED, ABDUL" &lt;arasheed@amica.com&gt;</t>
  </si>
  <si>
    <t>Invitation: ObservePoint | Amica - Sync @ Weekly from 1:30pm to 2pm on Wednesday (MST) (John Davis)</t>
  </si>
  <si>
    <t>ObservePoint | Amica - Sync
Weekly from 1:30pm to 2pm on Wednesday
Mountain Time - Denver
Join Zoom Meeting
https://observepoint.zoom.us/j/3742631971?pwd=Z2JhWG1yV1ZtOVBnMVZaRDR0bjVDZz09&amp;omn=96471481894
Join by phone
(US) +1 888-788-0099
passcode: 318688
Joining instructions
https://www.google.com/url?q=https://applications.zoom.us/addon/invitation/detail?meetingUuid%3DKydQXyYyRLqp6frg4ynYBw%253D%253D%26signature%3Df1a055bc70027755e6e4eee099201e9590ded95ed7cd42496c22262f5cfea7</t>
  </si>
  <si>
    <t>19bb43c2e8fa3324</t>
  </si>
  <si>
    <t>"Liszka, Kerry" &lt;Kerry.Liszka@lumen.com&gt;</t>
  </si>
  <si>
    <t>lumen.com</t>
  </si>
  <si>
    <t>Accepted: Observepoint | Lumen - Sync</t>
  </si>
  <si>
    <t xml:space="preserve">
----------------------------------------------------------------------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the communication and any attachments.
</t>
  </si>
  <si>
    <t>19bb396dbb85923d</t>
  </si>
  <si>
    <t>Mark Tozer &lt;mtozer@bluebeam.com&gt;</t>
  </si>
  <si>
    <t>Accepted: ObservePoint | Bluebeam Inc. Sync</t>
  </si>
  <si>
    <t>19bb38432d77e1cf</t>
  </si>
  <si>
    <t>Nicole Burns &lt;nburns@bluebeam.com&gt;</t>
  </si>
  <si>
    <t xml:space="preserve">
</t>
  </si>
  <si>
    <t>19b9fbd8ae97ae05</t>
  </si>
  <si>
    <t>Clauria Yang &lt;cyang@questrade.com&gt;, Raymond Chau &lt;rchau@questrade.com&gt;, Winnie Ho &lt;who@questrade.com&gt;</t>
  </si>
  <si>
    <t>Journey Followup</t>
  </si>
  <si>
    <t>Hey Raymond and Winnie,
I just wanted to follow up on that Journey that we added that extra step to
today to see if it succeeded or not? Can you send me the link to it
regardless? I am not sure which exact one we were working on. Thanks!
*Regards, *
John Davis *   |    * *Customer Success Manager*
Cell: 801.633.6013
john.davis@observepoint.com
www.observepoint.com
&lt;https://groove.grvlnk4.com/url/typa6byifukvbtijwod94/aHR0cDovL3d3dy5vYnNlcnZlcG9pbnQuY29tLyNncm9vdmVzdW06LTc2MTEwNT</t>
  </si>
  <si>
    <t>19b9fbbe7e819736</t>
  </si>
  <si>
    <t>19ba4aadc14e55a3</t>
  </si>
  <si>
    <t>Raymond Chau &lt;rchau@questrade.com&gt;</t>
  </si>
  <si>
    <t>Clauria Yang &lt;cyang@questrade.com&gt;, Winnie Ho &lt;who@questrade.com&gt;, Macey Bell &lt;macey.bell@observepoint.com&gt;</t>
  </si>
  <si>
    <t>questrade.com, observepoint.com</t>
  </si>
  <si>
    <t>Re: Journey Followup</t>
  </si>
  <si>
    <t>Hi John
Thanks for checking in! The journey that I am looking at is:
https://app.observepoint.com/web-journey/73169/run/66562317/results?action=10&amp;tab=4
Supposedly the journey will end on on the following screen (
https://myportal.uat.questrade.com/open-account-application):
[image: image.png]
But then in the journey it got stuck in loading the content. I took a look
at the logs and I found this error:
[image: image.png]
Do you have an idea on what happened here and how I should r</t>
  </si>
  <si>
    <t>19ba4afecc803ced</t>
  </si>
  <si>
    <t>Raymond Chau &lt;rchau@questrade.com&gt;, ObservePoint AI from ObservePoint &lt;support@observepoint.com&gt;</t>
  </si>
  <si>
    <t>I have looped in our support team that should be able to help with both the
Journey and the LiveConnect issue.
ObservePoint Support - Let me know how I can help from my side, thanks!
*Regards, *
John Davis *   |    * *Customer Success Manager*
Cell: 801.633.6013
john.davis@observepoint.com
www.observepoint.com
&lt;https://groove.grvlnk4.com/url/typa6byifukvbtijwod94/aHR0cDovL3d3dy5vYnNlcnZlcG9pbnQuY29tLyNncm9vdmVzdW06LTc2MTEwNTM3MA%3D%3D&gt;
On Fri, Jan 9, 2026 at 2:30 PM Raymon</t>
  </si>
  <si>
    <t>19ba4b0835dd5412</t>
  </si>
  <si>
    <t>rchau@questrade.com, cyang@questrade.com, who@questrade.com, macey.bell@observepoint.com</t>
  </si>
  <si>
    <t>Re: Re: Journey Followup</t>
  </si>
  <si>
    <t xml:space="preserve"> 
#65799684: Re: Journey Followup 
Submitted 
We'll pick up your ticket soon 
I have looped in our support team that should be able to help with both the 
Journey and the LiveConnect issue. 
ObservePoint Support - Let me know how I can help from my side, thanks! *Regards, 
* John Davis* | * *Customer Success Manager* Cell: 801.633.6013 
john.davis@observepoint.com 
*ObservePoint AI*
ObservePoint
[image: intercom] </t>
  </si>
  <si>
    <t>19bb1f34e7a7b039</t>
  </si>
  <si>
    <t>Bogdan from ObservePoint &lt;support@observepoint.com&gt;</t>
  </si>
  <si>
    <t>Winnie Ho &lt;who@questrade.com&gt;, Raymond Chau &lt;rchau@questrade.com&gt;, Clauria Yang &lt;cyang@questrade.com&gt;, macey.bell@observepoint.com</t>
  </si>
  <si>
    <t>Hello, 
 Thank you for reaching out! 
 We are looking into your request and we will get back with an answer as soon as possible.</t>
  </si>
  <si>
    <t>19bb1f359258d98c</t>
  </si>
  <si>
    <t xml:space="preserve"> 
#65799684: Re: Journey Followup 
In progress 
We're working on your ticket 
I have looped in our support team that should be able to help with both the 
Journey and the LiveConnect issue. 
ObservePoint Support - Let me know how I can help from my side, thanks! *Regards, 
* John Davis* | * *Customer Success Manager* Cell: 801.633.6013 
john.davis@observepoint.com 
*Bogdan*
ObservePoint
[image: intercom] </t>
  </si>
  <si>
    <t>19b9ee041a4165a5</t>
  </si>
  <si>
    <t>"Black, Neil" &lt;Neil.Black@lumen.com&gt;</t>
  </si>
  <si>
    <t>19b9a5001de29f3f</t>
  </si>
  <si>
    <t>Accepted: ObservePoint | Questrade Sync @ Thu Jan 8, 2026 1pm - 1:30pm (MST) (john.davis@observepoint.com)</t>
  </si>
  <si>
    <t>Raymond Chau has accepted this invitation.
ObservePoint | Questrade Sync
Thursday Jan 8, 2026 ⋅ 1pm – 1:30pm
Mountain Time - Denver
Location
https://observepoint.zoom.us/j/95215276664	
https://www.google.com/url?q=https%3A%2F%2Fobservepoint.zoom.us%2Fj%2F95215276664&amp;sa=D&amp;source=calendar&amp;ust=1768252440000000&amp;usg=AOvVaw17lpuP8KhoiiH1qzbQhh7x
Looking forward to connecting.
If you need to reschedule, please use the link:  
https://observepoint.chilipiper.com/reschedule/6f60202a-ed</t>
  </si>
  <si>
    <t>19b95016d56f947f</t>
  </si>
  <si>
    <t>jasmine.smith@lumen.com</t>
  </si>
  <si>
    <t xml:space="preserve"> Email Template 
See how your auditing and governance efforts paid off in 2025. 
 ‌ ‌ ‌ ‌ ‌ ‌ ‌ ‌ ‌ ‌ ‌ ‌ ‌ ‌ ‌ ‌ ‌ ‌ 
[image: ObservePoint Logo] 
[image: 2025 Year in Review] 
What Did Your Website Audits Reveal Last Year? 
13,699 
Unique Pages Scanned 
84 
Domains Scanned 
Lumen 
REPORT PERIOD 
Since Jan 1, 2025 
Top 10 Domains Unique Pages Scanned Last Scan 
www.centurylink.com 
&lt;https://go.observepoint.com/dc/1g_IPHiF4hSe-bgW3WrOzFVao7GqHtwiKrFufyS6wc0=/NDQyLU1EUi0zNTkAAAGfM_nanoWXXeo-XeCh</t>
  </si>
  <si>
    <t>19b950168060578f</t>
  </si>
  <si>
    <t>wferlis@caleres.com</t>
  </si>
  <si>
    <t xml:space="preserve"> Email Template 
See how your auditing and governance efforts paid off in 2025. 
 ‌ ‌ ‌ ‌ ‌ ‌ ‌ ‌ ‌ ‌ ‌ ‌ ‌ ‌ ‌ ‌ ‌ ‌ 
[image: ObservePoint Logo] 
[image: 2025 Year in Review] 
What Did Your Website Audits Reveal Last Year? 
23,075 
Unique Pages Scanned 
11 
Domains Scanned 
Caleres 
REPORT PERIOD 
Since Jan 1, 2025 
Top 10 Domains Unique Pages Scanned Last Scan 
www.famousfootwear.com 
&lt;https://go.observepoint.com/dc/gXGvKcrcsHMsvA-V7JMLJLYgk9rfqBdf8RA2Tn5fJIQ=/NDQyLU1EUi0zNTkAAAGfM_najcpIjrd</t>
  </si>
  <si>
    <t>19b9501673d8eda5</t>
  </si>
  <si>
    <t>nburns@bluebeam.com</t>
  </si>
  <si>
    <t xml:space="preserve"> Email Template 
See how your auditing and governance efforts paid off in 2025. 
 ‌ ‌ ‌ ‌ ‌ ‌ ‌ ‌ ‌ ‌ ‌ ‌ ‌ ‌ ‌ ‌ ‌ ‌ 
[image: ObservePoint Logo] 
[image: 2025 Year in Review] 
What Did Your Website Audits Reveal Last Year? 
34,387 
Unique Pages Scanned 
63 
Domains Scanned 
Bluebeam 
REPORT PERIOD 
Since Jan 1, 2025 
Top 10 Domains Unique Pages Scanned Last Scan 
support.bluebeam.com 
&lt;https://go.observepoint.com/dc/b6sbuI8htwxiUMfj_0LFMe26uQur-qgeL-FUnlOYRlE=/NDQyLU1EUi0zNTkAAAGfM_namsySZNOu</t>
  </si>
  <si>
    <t>19b950164b2b1e7f</t>
  </si>
  <si>
    <t>rchau@questrade.com</t>
  </si>
  <si>
    <t xml:space="preserve"> Email Template 
See how your auditing and governance efforts paid off in 2025. 
 ‌ ‌ ‌ ‌ ‌ ‌ ‌ ‌ ‌ ‌ ‌ ‌ ‌ ‌ ‌ ‌ ‌ ‌ 
[image: ObservePoint Logo] 
[image: 2025 Year in Review] 
What Did Your Website Audits Reveal Last Year? 
2,310 
Unique Pages Scanned 
12 
Domains Scanned 
Questrade 
REPORT PERIOD 
Since Jan 1, 2025 
Top 10 Domains Unique Pages Scanned Last Scan 
www.questrade.com 
&lt;https://go.observepoint.com/dc/u8IvYC4RgiVZebDzA1MKmHQnDniNM_HqBhB64NsuXZc=/NDQyLU1EUi0zNTkAAAGfM_naSzUFlknyjpd</t>
  </si>
  <si>
    <t>19b95016446e3554</t>
  </si>
  <si>
    <t>cmills@caleres.com</t>
  </si>
  <si>
    <t xml:space="preserve"> Email Template 
See how your auditing and governance efforts paid off in 2025. 
 ‌ ‌ ‌ ‌ ‌ ‌ ‌ ‌ ‌ ‌ ‌ ‌ ‌ ‌ ‌ ‌ ‌ ‌ 
[image: ObservePoint Logo] 
[image: 2025 Year in Review] 
What Did Your Website Audits Reveal Last Year? 
23,075 
Unique Pages Scanned 
11 
Domains Scanned 
Caleres 
REPORT PERIOD 
Since Jan 1, 2025 
Top 10 Domains Unique Pages Scanned Last Scan 
www.famousfootwear.com 
&lt;https://go.observepoint.com/dc/gXGvKcrcsHMsvA-V7JMLJLYgk9rfqBdf8RA2Tn5fJIQ=/NDQyLU1EUi0zNTkAAAGfM_nWHOZskwB</t>
  </si>
  <si>
    <t>19b95015c5da8eed</t>
  </si>
  <si>
    <t>jesse.dykhoff@worldmarket.com</t>
  </si>
  <si>
    <t xml:space="preserve"> Email Template 
See how your auditing and governance efforts paid off in 2025. 
 ‌ ‌ ‌ ‌ ‌ ‌ ‌ ‌ ‌ ‌ ‌ ‌ ‌ ‌ ‌ ‌ ‌ ‌ 
[image: ObservePoint Logo] 
[image: 2025 Year in Review] 
What Did Your Website Audits Reveal Last Year? 
69,083 
Unique Pages Scanned 
15 
Domains Scanned 
World Market 
REPORT PERIOD 
Since Jan 1, 2025 
Top 10 Domains Unique Pages Scanned Last Scan 
www.worldmarket.com 
&lt;https://go.observepoint.com/dc/E_Eh2G4s8lB-LmoEjJcT96zGQ-NuxsB9nZRQqom40sM=/NDQyLU1EUi0zNTkAAAGfM_nUwFF0U</t>
  </si>
  <si>
    <t>19b95015a0eac888</t>
  </si>
  <si>
    <t>jdavila@questrade.com</t>
  </si>
  <si>
    <t xml:space="preserve"> Email Template 
See how your auditing and governance efforts paid off in 2025. 
 ‌ ‌ ‌ ‌ ‌ ‌ ‌ ‌ ‌ ‌ ‌ ‌ ‌ ‌ ‌ ‌ ‌ ‌ 
[image: ObservePoint Logo] 
[image: 2025 Year in Review] 
What Did Your Website Audits Reveal Last Year? 
2,310 
Unique Pages Scanned 
12 
Domains Scanned 
Questrade 
REPORT PERIOD 
Since Jan 1, 2025 
Top 10 Domains Unique Pages Scanned Last Scan 
www.questrade.com 
&lt;https://go.observepoint.com/dc/u8IvYC4RgiVZebDzA1MKmHQnDniNM_HqBhB64NsuXZc=/NDQyLU1EUi0zNTkAAAGfM_nS46wItqflgRT</t>
  </si>
  <si>
    <t>19b950159ba0d0ae</t>
  </si>
  <si>
    <t>adrookman@questrade.com</t>
  </si>
  <si>
    <t xml:space="preserve"> Email Template 
See how your auditing and governance efforts paid off in 2025. 
 ‌ ‌ ‌ ‌ ‌ ‌ ‌ ‌ ‌ ‌ ‌ ‌ ‌ ‌ ‌ ‌ ‌ ‌ 
[image: ObservePoint Logo] 
[image: 2025 Year in Review] 
What Did Your Website Audits Reveal Last Year? 
2,310 
Unique Pages Scanned 
12 
Domains Scanned 
Questrade 
REPORT PERIOD 
Since Jan 1, 2025 
Top 10 Domains Unique Pages Scanned Last Scan 
www.questrade.com 
&lt;https://go.observepoint.com/dc/u8IvYC4RgiVZebDzA1MKmHQnDniNM_HqBhB64NsuXZc=/NDQyLU1EUi0zNTkAAAGfM_nNabENCtg5QYI</t>
  </si>
  <si>
    <t>19b9501584c342b1</t>
  </si>
  <si>
    <t>slising@questrade.com</t>
  </si>
  <si>
    <t xml:space="preserve"> Email Template 
See how your auditing and governance efforts paid off in 2025. 
 ‌ ‌ ‌ ‌ ‌ ‌ ‌ ‌ ‌ ‌ ‌ ‌ ‌ ‌ ‌ ‌ ‌ ‌ 
[image: ObservePoint Logo] 
[image: 2025 Year in Review] 
What Did Your Website Audits Reveal Last Year? 
2,310 
Unique Pages Scanned 
12 
Domains Scanned 
Questrade 
REPORT PERIOD 
Since Jan 1, 2025 
Top 10 Domains Unique Pages Scanned Last Scan 
www.questrade.com 
&lt;https://go.observepoint.com/dc/u8IvYC4RgiVZebDzA1MKmHQnDniNM_HqBhB64NsuXZc=/NDQyLU1EUi0zNTkAAAGfM_nPQ6l6h1zY4ai</t>
  </si>
  <si>
    <t>19b950155fef2c73</t>
  </si>
  <si>
    <t>tyang@caleres.com</t>
  </si>
  <si>
    <t xml:space="preserve"> Email Template 
See how your auditing and governance efforts paid off in 2025. 
 ‌ ‌ ‌ ‌ ‌ ‌ ‌ ‌ ‌ ‌ ‌ ‌ ‌ ‌ ‌ ‌ ‌ ‌ 
[image: ObservePoint Logo] 
[image: 2025 Year in Review] 
What Did Your Website Audits Reveal Last Year? 
23,075 
Unique Pages Scanned 
11 
Domains Scanned 
Caleres 
REPORT PERIOD 
Since Jan 1, 2025 
Top 10 Domains Unique Pages Scanned Last Scan 
www.famousfootwear.com 
&lt;https://go.observepoint.com/dc/gXGvKcrcsHMsvA-V7JMLJLYgk9rfqBdf8RA2Tn5fJIQ=/NDQyLU1EUi0zNTkAAAGfM_nO4W31uUI</t>
  </si>
  <si>
    <t>19b950154ffc5699</t>
  </si>
  <si>
    <t>grant.menefee@worldmarket.com</t>
  </si>
  <si>
    <t xml:space="preserve"> Email Template 
See how your auditing and governance efforts paid off in 2025. 
 ‌ ‌ ‌ ‌ ‌ ‌ ‌ ‌ ‌ ‌ ‌ ‌ ‌ ‌ ‌ ‌ ‌ ‌ 
[image: ObservePoint Logo] 
[image: 2025 Year in Review] 
What Did Your Website Audits Reveal Last Year? 
69,083 
Unique Pages Scanned 
15 
Domains Scanned 
World Market 
REPORT PERIOD 
Since Jan 1, 2025 
Top 10 Domains Unique Pages Scanned Last Scan 
www.worldmarket.com 
&lt;https://go.observepoint.com/dc/E_Eh2G4s8lB-LmoEjJcT96zGQ-NuxsB9nZRQqom40sM=/NDQyLU1EUi0zNTkAAAGfM_nO3qUdQ</t>
  </si>
  <si>
    <t>19b950150837dc95</t>
  </si>
  <si>
    <t>dsantos@questrade.com</t>
  </si>
  <si>
    <t xml:space="preserve"> Email Template 
See how your auditing and governance efforts paid off in 2025. 
 ‌ ‌ ‌ ‌ ‌ ‌ ‌ ‌ ‌ ‌ ‌ ‌ ‌ ‌ ‌ ‌ ‌ ‌ 
[image: ObservePoint Logo] 
[image: 2025 Year in Review] 
What Did Your Website Audits Reveal Last Year? 
2,310 
Unique Pages Scanned 
12 
Domains Scanned 
Questrade 
REPORT PERIOD 
Since Jan 1, 2025 
Top 10 Domains Unique Pages Scanned Last Scan 
www.questrade.com 
&lt;https://go.observepoint.com/dc/u8IvYC4RgiVZebDzA1MKmHQnDniNM_HqBhB64NsuXZc=/NDQyLU1EUi0zNTkAAAGfM_nOoNje1d1pQUq</t>
  </si>
  <si>
    <t>19b95014d21576cf</t>
  </si>
  <si>
    <t>gabriela.payano@lumen.com</t>
  </si>
  <si>
    <t xml:space="preserve"> Email Template 
See how your auditing and governance efforts paid off in 2025. 
 ‌ ‌ ‌ ‌ ‌ ‌ ‌ ‌ ‌ ‌ ‌ ‌ ‌ ‌ ‌ ‌ ‌ ‌ 
[image: ObservePoint Logo] 
[image: 2025 Year in Review] 
What Did Your Website Audits Reveal Last Year? 
13,699 
Unique Pages Scanned 
84 
Domains Scanned 
Lumen 
REPORT PERIOD 
Since Jan 1, 2025 
Top 10 Domains Unique Pages Scanned Last Scan 
www.centurylink.com 
&lt;https://go.observepoint.com/dc/1g_IPHiF4hSe-bgW3WrOzFVao7GqHtwiKrFufyS6wc0=/NDQyLU1EUi0zNTkAAAGfM_nNIJQDqTiwabAj</t>
  </si>
  <si>
    <t>19b95014cb21e032</t>
  </si>
  <si>
    <t>drogerson@caleres.com</t>
  </si>
  <si>
    <t xml:space="preserve"> Email Template 
See how your auditing and governance efforts paid off in 2025. 
 ‌ ‌ ‌ ‌ ‌ ‌ ‌ ‌ ‌ ‌ ‌ ‌ ‌ ‌ ‌ ‌ ‌ ‌ 
[image: ObservePoint Logo] 
[image: 2025 Year in Review] 
What Did Your Website Audits Reveal Last Year? 
23,075 
Unique Pages Scanned 
11 
Domains Scanned 
Caleres 
REPORT PERIOD 
Since Jan 1, 2025 
Top 10 Domains Unique Pages Scanned Last Scan 
www.famousfootwear.com 
&lt;https://go.observepoint.com/dc/gXGvKcrcsHMsvA-V7JMLJLYgk9rfqBdf8RA2Tn5fJIQ=/NDQyLU1EUi0zNTkAAAGfM_nM5IDA01c</t>
  </si>
  <si>
    <t>19b95014b08b5f8c</t>
  </si>
  <si>
    <t>neil.black@lumen.com</t>
  </si>
  <si>
    <t xml:space="preserve"> Email Template 
See how your auditing and governance efforts paid off in 2025. 
 ‌ ‌ ‌ ‌ ‌ ‌ ‌ ‌ ‌ ‌ ‌ ‌ ‌ ‌ ‌ ‌ ‌ ‌ 
[image: ObservePoint Logo] 
[image: 2025 Year in Review] 
What Did Your Website Audits Reveal Last Year? 
13,699 
Unique Pages Scanned 
84 
Domains Scanned 
Lumen 
REPORT PERIOD 
Since Jan 1, 2025 
Top 10 Domains Unique Pages Scanned Last Scan 
www.centurylink.com 
&lt;https://go.observepoint.com/dc/1g_IPHiF4hSe-bgW3WrOzFVao7GqHtwiKrFufyS6wc0=/NDQyLU1EUi0zNTkAAAGfM_nNVnc1d63q5ckB</t>
  </si>
  <si>
    <t>19b950149d37e433</t>
  </si>
  <si>
    <t>kerry.liszka@lumen.com</t>
  </si>
  <si>
    <t xml:space="preserve"> Email Template 
See how your auditing and governance efforts paid off in 2025. 
 ‌ ‌ ‌ ‌ ‌ ‌ ‌ ‌ ‌ ‌ ‌ ‌ ‌ ‌ ‌ ‌ ‌ ‌ 
[image: ObservePoint Logo] 
[image: 2025 Year in Review] 
What Did Your Website Audits Reveal Last Year? 
13,699 
Unique Pages Scanned 
84 
Domains Scanned 
Lumen 
REPORT PERIOD 
Since Jan 1, 2025 
Top 10 Domains Unique Pages Scanned Last Scan 
www.centurylink.com 
&lt;https://go.observepoint.com/dc/1g_IPHiF4hSe-bgW3WrOzFVao7GqHtwiKrFufyS6wc0=/NDQyLU1EUi0zNTkAAAGfM_nLFHWBid08DwiK</t>
  </si>
  <si>
    <t>19b95013f968b908</t>
  </si>
  <si>
    <t>clcunha@questrade.com</t>
  </si>
  <si>
    <t xml:space="preserve"> Email Template 
See how your auditing and governance efforts paid off in 2025. 
 ‌ ‌ ‌ ‌ ‌ ‌ ‌ ‌ ‌ ‌ ‌ ‌ ‌ ‌ ‌ ‌ ‌ ‌ 
[image: ObservePoint Logo] 
[image: 2025 Year in Review] 
What Did Your Website Audits Reveal Last Year? 
2,310 
Unique Pages Scanned 
12 
Domains Scanned 
Questrade 
REPORT PERIOD 
Since Jan 1, 2025 
Top 10 Domains Unique Pages Scanned Last Scan 
www.questrade.com 
&lt;https://go.observepoint.com/dc/u8IvYC4RgiVZebDzA1MKmHQnDniNM_HqBhB64NsuXZc=/NDQyLU1EUi0zNTkAAAGfM_nKFOiTiFJ6QTn</t>
  </si>
  <si>
    <t>19b95013f80008a7</t>
  </si>
  <si>
    <t>rbonney@questrade.com</t>
  </si>
  <si>
    <t xml:space="preserve"> Email Template 
See how your auditing and governance efforts paid off in 2025. 
 ‌ ‌ ‌ ‌ ‌ ‌ ‌ ‌ ‌ ‌ ‌ ‌ ‌ ‌ ‌ ‌ ‌ ‌ 
[image: ObservePoint Logo] 
[image: 2025 Year in Review] 
What Did Your Website Audits Reveal Last Year? 
2,310 
Unique Pages Scanned 
12 
Domains Scanned 
Questrade 
REPORT PERIOD 
Since Jan 1, 2025 
Top 10 Domains Unique Pages Scanned Last Scan 
www.questrade.com 
&lt;https://go.observepoint.com/dc/u8IvYC4RgiVZebDzA1MKmHQnDniNM_HqBhB64NsuXZc=/NDQyLU1EUi0zNTkAAAGfM_nKbBbaf9XwQiu</t>
  </si>
  <si>
    <t>19b95013ddfd5966</t>
  </si>
  <si>
    <t>who@questrade.com</t>
  </si>
  <si>
    <t xml:space="preserve"> Email Template 
See how your auditing and governance efforts paid off in 2025. 
 ‌ ‌ ‌ ‌ ‌ ‌ ‌ ‌ ‌ ‌ ‌ ‌ ‌ ‌ ‌ ‌ ‌ ‌ 
[image: ObservePoint Logo] 
[image: 2025 Year in Review] 
What Did Your Website Audits Reveal Last Year? 
2,310 
Unique Pages Scanned 
12 
Domains Scanned 
Questrade 
REPORT PERIOD 
Since Jan 1, 2025 
Top 10 Domains Unique Pages Scanned Last Scan 
www.questrade.com 
&lt;https://go.observepoint.com/dc/u8IvYC4RgiVZebDzA1MKmHQnDniNM_HqBhB64NsuXZc=/NDQyLU1EUi0zNTkAAAGfM_nKELq_CbuLiUY</t>
  </si>
  <si>
    <t>19b95013d0ebe480</t>
  </si>
  <si>
    <t>cyang@questrade.com</t>
  </si>
  <si>
    <t xml:space="preserve"> Email Template 
See how your auditing and governance efforts paid off in 2025. 
 ‌ ‌ ‌ ‌ ‌ ‌ ‌ ‌ ‌ ‌ ‌ ‌ ‌ ‌ ‌ ‌ ‌ ‌ 
[image: ObservePoint Logo] 
[image: 2025 Year in Review] 
What Did Your Website Audits Reveal Last Year? 
2,310 
Unique Pages Scanned 
12 
Domains Scanned 
Questrade 
REPORT PERIOD 
Since Jan 1, 2025 
Top 10 Domains Unique Pages Scanned Last Scan 
www.questrade.com 
&lt;https://go.observepoint.com/dc/u8IvYC4RgiVZebDzA1MKmHQnDniNM_HqBhB64NsuXZc=/NDQyLU1EUi0zNTkAAAGfM_nKZkQcFfqC1dI</t>
  </si>
  <si>
    <t>19b95012ee28b557</t>
  </si>
  <si>
    <t>sarah.hadleygranger@lumen.com</t>
  </si>
  <si>
    <t xml:space="preserve"> Email Template 
See how your auditing and governance efforts paid off in 2025. 
 ‌ ‌ ‌ ‌ ‌ ‌ ‌ ‌ ‌ ‌ ‌ ‌ ‌ ‌ ‌ ‌ ‌ ‌ 
[image: ObservePoint Logo] 
[image: 2025 Year in Review] 
What Did Your Website Audits Reveal Last Year? 
13,699 
Unique Pages Scanned 
84 
Domains Scanned 
Lumen 
REPORT PERIOD 
Since Jan 1, 2025 
Top 10 Domains Unique Pages Scanned Last Scan 
www.centurylink.com 
&lt;https://go.observepoint.com/dc/1g_IPHiF4hSe-bgW3WrOzFVao7GqHtwiKrFufyS6wc0=/NDQyLU1EUi0zNTkAAAGfM_nGYRz80jhHwXJq</t>
  </si>
  <si>
    <t>19b95012d6b254ec</t>
  </si>
  <si>
    <t>mtozer@bluebeam.com</t>
  </si>
  <si>
    <t xml:space="preserve"> Email Template 
See how your auditing and governance efforts paid off in 2025. 
 ‌ ‌ ‌ ‌ ‌ ‌ ‌ ‌ ‌ ‌ ‌ ‌ ‌ ‌ ‌ ‌ ‌ ‌ 
[image: ObservePoint Logo] 
[image: 2025 Year in Review] 
What Did Your Website Audits Reveal Last Year? 
34,387 
Unique Pages Scanned 
63 
Domains Scanned 
Bluebeam 
REPORT PERIOD 
Since Jan 1, 2025 
Top 10 Domains Unique Pages Scanned Last Scan 
support.bluebeam.com 
&lt;https://go.observepoint.com/dc/b6sbuI8htwxiUMfj_0LFMe26uQur-qgeL-FUnlOYRlE=/NDQyLU1EUi0zNTkAAAGfM_nGSpw-KIZR</t>
  </si>
  <si>
    <t>19b95012ce3e81da</t>
  </si>
  <si>
    <t>phillip.mcgee@lumen.com</t>
  </si>
  <si>
    <t xml:space="preserve"> Email Template 
See how your auditing and governance efforts paid off in 2025. 
 ‌ ‌ ‌ ‌ ‌ ‌ ‌ ‌ ‌ ‌ ‌ ‌ ‌ ‌ ‌ ‌ ‌ ‌ 
[image: ObservePoint Logo] 
[image: 2025 Year in Review] 
What Did Your Website Audits Reveal Last Year? 
13,699 
Unique Pages Scanned 
84 
Domains Scanned 
Lumen 
REPORT PERIOD 
Since Jan 1, 2025 
Top 10 Domains Unique Pages Scanned Last Scan 
www.centurylink.com 
&lt;https://go.observepoint.com/dc/1g_IPHiF4hSe-bgW3WrOzFVao7GqHtwiKrFufyS6wc0=/NDQyLU1EUi0zNTkAAAGfM_nGERKX3_J358OB</t>
  </si>
  <si>
    <t>19b9501258d20b2f</t>
  </si>
  <si>
    <t>robert.a.rollner@lumen.com</t>
  </si>
  <si>
    <t xml:space="preserve"> Email Template 
See how your auditing and governance efforts paid off in 2025. 
 ‌ ‌ ‌ ‌ ‌ ‌ ‌ ‌ ‌ ‌ ‌ ‌ ‌ ‌ ‌ ‌ ‌ ‌ 
[image: ObservePoint Logo] 
[image: 2025 Year in Review] 
What Did Your Website Audits Reveal Last Year? 
13,699 
Unique Pages Scanned 
84 
Domains Scanned 
Lumen 
REPORT PERIOD 
Since Jan 1, 2025 
Top 10 Domains Unique Pages Scanned Last Scan 
www.centurylink.com 
&lt;https://go.observepoint.com/dc/1g_IPHiF4hSe-bgW3WrOzFVao7GqHtwiKrFufyS6wc0=/NDQyLU1EUi0zNTkAAAGfM_nFjvXIafAD2etd</t>
  </si>
  <si>
    <t>19b8f9e50c55bab5</t>
  </si>
  <si>
    <t>Winnie Ho &lt;who@questrade.com&gt;</t>
  </si>
  <si>
    <t>Clauria Yang &lt;cyang@questrade.com&gt;, john.davis@observepoint.com, macey.bell@observepoint.com, Raymond Chau &lt;rchau@questrade.com&gt;, Winnie Ho &lt;who@questrade.com&gt;</t>
  </si>
  <si>
    <t>ObservePoint | Questrade Bi-Weekly Syncup</t>
  </si>
  <si>
    <t>Hi John, Sorry for the last minute notice. However we are caught up with  
some urgent issue that took our priority for now and have to call off our  
meeting. Can we move the meeting to later this week? Please share a few  
available timeslots on our end. Sorry again for the late notice. Regards,  
Winnie
ObservePoint | Questrade Bi-Weekly Syncup
Monday Jan 5, 2026 ⋅ 3pm – 3:30pm
Eastern Time - Toronto
Location
https://observepoint.zoom.us/j/93559561258	
https://www.google.com/url</t>
  </si>
  <si>
    <t>19b8fbdf00379aea</t>
  </si>
  <si>
    <t>Clauria Yang &lt;cyang@questrade.com&gt;, macey.bell@observepoint.com, Raymond Chau &lt;rchau@questrade.com&gt;</t>
  </si>
  <si>
    <t>Re: ObservePoint | Questrade Bi-Weekly Syncup</t>
  </si>
  <si>
    <t>Sure here are some available slots, feel free to grab one that works for
you:
Meeting length: 30 Minutes
Time Zone: (GMT-7) MST/Denver
Tue Jan 6 Wed Jan 7 Thu Jan 8 Fri Jan 9
 10:00  AM
&lt;https://us-3129.email-composer-webhooks.gong.io/email-tracking/clicked?email-info-token=eyJhbGciOiJIUzI1NiJ9.eyJjb21wYW55SWQiOiI4OTgyMjM2MTQxODc2Mjk3NzAiLCJkcmFmdElkIjoicjU0Mzg5OTExMTYxMTY1ODUyOTUiLCJsaW5rVXJsIjoiaHR0cHM6Ly9vYnNlcnZlcG9pbnQuY2hpbGlwaXBlci5jb20vc3VnZ2VzdGVkLXRpbWVzLzA1ZDJiOGE0LTg2OGItNDlm</t>
  </si>
  <si>
    <t>19b8f87d94f5a7af</t>
  </si>
  <si>
    <t>Reminder &lt;reminder@chilipiper.com&gt;</t>
  </si>
  <si>
    <t>chilipiper.com</t>
  </si>
  <si>
    <t>rchau@questrade.com, cyang@questrade.com, john.davis@observepoint.com, macey.bell@observepoint.com</t>
  </si>
  <si>
    <t>Our meeting in an hour</t>
  </si>
  <si>
    <t xml:space="preserve"> 
Hi,
Looking forward to speaking to you in a short while.
Best,
</t>
  </si>
  <si>
    <t>19b8e7f5a4d630fe</t>
  </si>
  <si>
    <t>Accepted: ObservePoint | Questrade Bi-Weekly Syncup @ Mon Jan 5, 2026 1pm - 1:30pm (MST) (john.davis@observepoint.com)</t>
  </si>
  <si>
    <t xml:space="preserve">Raymond Chau has accepted this invitation.
ObservePoint | Questrade Bi-Weekly Syncup
Monday Jan 5, 2026 ⋅ 1pm – 1:30pm
Mountain Time - Denver
Location
https://observepoint.zoom.us/j/93559561258	
https://www.google.com/url?q=https%3A%2F%2Fobservepoint.zoom.us%2Fj%2F93559561258&amp;sa=D&amp;source=calendar&amp;ust=1768054260000000&amp;usg=AOvVaw1QnJXEQ1lLrL1HJWLQntig
Agenda - I would love to start building a roadmap for Questrade's goals for  
2026
Looking forward to connecting.
If you need </t>
  </si>
  <si>
    <t>19b753114ac2c303</t>
  </si>
  <si>
    <t>"nic.suder@observepoint.com" &lt;nic.suder@observepoint.com&gt;, "clarke.anderson@observepoint.com" &lt;clarke.anderson@observepoint.com&gt;, "john.davis@observepoint.com" &lt;john.davis@observepoint.com&gt;, "erin.hayes@worldmarket.com" &lt;erin.hayes@worldmarket.com&gt;</t>
  </si>
  <si>
    <t>observepoint.com, worldmarket.com</t>
  </si>
  <si>
    <t>Upcoming ObservePoint Renewal on March 1, 2026 - Cost Plus World Market</t>
  </si>
  <si>
    <t xml:space="preserve">
[image: ObservePoint Logo_Gray_ON_YEllow_LOGO.jpeg]
A friendly reminder that it's time to renew.
Hi Erin,
Thank you for being an ObservePoint customer!
This is an automated notification to let you know that the end of your 
current term is* March 1, 2026*.
We know approval and procurement processes can take time, and we want to 
avoid any interruption of service, hence we are reaching out now.
Please reach out to your account team if you have any questions, or if you 
anticipate any ch</t>
  </si>
  <si>
    <t>19b700aa7d46a531</t>
  </si>
  <si>
    <t>"nic.suder@observepoint.com" &lt;nic.suder@observepoint.com&gt;, "mliebenberg@bluebeam.com" &lt;mliebenberg@bluebeam.com&gt;, "john.davis@observepoint.com" &lt;john.davis@observepoint.com&gt;, "andy.compas@observepoint.com" &lt;andy.compas@observepoint.com&gt;</t>
  </si>
  <si>
    <t>observepoint.com, bluebeam.com</t>
  </si>
  <si>
    <t>Upcoming ObservePoint Renewal on February 28, 2026 - Bluebeam Inc.</t>
  </si>
  <si>
    <t xml:space="preserve">
[image: ObservePoint Logo_Gray_ON_YEllow_LOGO.jpeg]
A friendly reminder that it's time to renew.
Hi Miekie,
Thank you for being an ObservePoint customer!
This is an automated notification to let you know that the end of your 
current term is* February 28, 2026*.
We know approval and procurement processes can take time, and we want to 
avoid any interruption of service, hence we are reaching out now.
Please reach out to your account team if you have any questions, or if you 
anticipate </t>
  </si>
  <si>
    <t>19b700aa6a0fe186</t>
  </si>
  <si>
    <t>"nic.suder@observepoint.com" &lt;nic.suder@observepoint.com&gt;, "john.davis@observepoint.com" &lt;john.davis@observepoint.com&gt;, "kerry.liszka@lumen.com" &lt;kerry.liszka@lumen.com&gt;, "todd.wilkerson@observepoint.com" &lt;todd.wilkerson@observepoint.com&gt;</t>
  </si>
  <si>
    <t>observepoint.com, lumen.com</t>
  </si>
  <si>
    <t>Upcoming ObservePoint Renewal on February 28, 2026 - Lumen</t>
  </si>
  <si>
    <t xml:space="preserve">
[image: ObservePoint Logo_Gray_ON_YEllow_LOGO.jpeg]
A friendly reminder that it's time to renew.
Hi Kerry,
Thank you for being an ObservePoint customer!
This is an automated notification to let you know that the end of your 
current term is* February 28, 2026*.
We know approval and procurement processes can take time, and we want to 
avoid any interruption of service, hence we are reaching out now.
Please reach out to your account team if you have any questions, or if you 
anticipate a</t>
  </si>
  <si>
    <t>19b702718423c558</t>
  </si>
  <si>
    <t>Revenue Operations &lt;salesops@observepoint.com&gt;, "nic.suder@observepoint.com" &lt;nic.suder@observepoint.com&gt;, "john.davis@observepoint.com" &lt;john.davis@observepoint.com&gt;, "todd.wilkerson@observepoint.com" &lt;todd.wilkerson@observepoint.com&gt;</t>
  </si>
  <si>
    <t>Re: Upcoming ObservePoint Renewal on February 28, 2026 - Lumen</t>
  </si>
  <si>
    <t>There were a few ahead of us in line but procurement is working on it! Thank you!
Kerry
________________________________
From: Revenue Operations &lt;salesops@observepoint.com&gt;
Sent: Tuesday, December 30, 2025 11:15 AM
To: nic.suder@observepoint.com &lt;nic.suder@observepoint.com&gt;; john.davis@observepoint.com &lt;john.davis@observepoint.com&gt;; Liszka, Kerry &lt;Kerry.Liszka@lumen.com&gt;; todd.wilkerson@observepoint.com &lt;todd.wilkerson@observepoint.com&gt;
Subject: Upcoming ObservePoint Renewal on February 2</t>
  </si>
  <si>
    <t>19b51247b225f5f9</t>
  </si>
  <si>
    <t>"nic.suder@observepoint.com" &lt;nic.suder@observepoint.com&gt;, "tyang@caleres.com" &lt;tyang@caleres.com&gt;, "bryce.bergen@observepoint.com" &lt;bryce.bergen@observepoint.com&gt;, "john.davis@observepoint.com" &lt;john.davis@observepoint.com&gt;</t>
  </si>
  <si>
    <t>observepoint.com, caleres.com</t>
  </si>
  <si>
    <t>Upcoming ObservePoint Renewal on March 24, 2026 - Caleres</t>
  </si>
  <si>
    <t xml:space="preserve">
[image: ObservePoint Logo_Gray_ON_YEllow_LOGO.jpeg]
A friendly reminder that it's time to renew.
Hi Thor,
Thank you for being an ObservePoint customer!
This is an automated notification to let you know that the end of your 
current term is* March 24, 2026*.
We know approval and procurement processes can take time, and we want to 
avoid any interruption of service, hence we are reaching out now.
Unless you let us know of any changes by February 22, 2026, your 
subscription will automati</t>
  </si>
  <si>
    <t>19b4c19f9e0793cb</t>
  </si>
  <si>
    <t>Automatic reply: Canceled event with note: Observepoint | Lumen - Sync @ Tue Dec 23, 2025 11:30am - 12pm (MST) (neil.black@lumen.com)</t>
  </si>
  <si>
    <t>I’m currently out of the office traveling for an offsite meeting with Palantir. I'll be returning to my normal schedule Thursday Nov 6th.
Thank you,
Neil Black
----------------------------------------------------------------------
This communication is the property of Lumen Technologies and may contain confidential or privileged information. Unauthorized use of this communication is strictly prohibited and may be unlawful. If you have received this communication in error, please immediat</t>
  </si>
  <si>
    <t>19b4a4479dddb534</t>
  </si>
  <si>
    <t>Declined: Observepoint | Lumen - Sync</t>
  </si>
  <si>
    <t>19b481ddf9b8646d</t>
  </si>
  <si>
    <t>"Hong, Arnold" &lt;Arnold.Hong@lumen.com&gt;</t>
  </si>
  <si>
    <t xml:space="preserve">Things are pretty quiet here with the holiday. Let's regroup at the next occurrence of this series.
----------------------------------------------------------------------
This communication is the property of Lumen Technologies and may contain confidential or privileged information. Unauthorized use of this communication is strictly prohibited and may be unlawful. If you have received this communication in error, please immediately notify the sender by reply e-mail and destroy all copies of </t>
  </si>
  <si>
    <t>19b31dd1eeca845b</t>
  </si>
  <si>
    <t>19b2813a7b03b8ec</t>
  </si>
  <si>
    <t>19b28156192ebb63</t>
  </si>
  <si>
    <t>19b22cb704f00347</t>
  </si>
  <si>
    <t>"nic.suder@observepoint.com" &lt;nic.suder@observepoint.com&gt;, "jdavila@questrade.com" &lt;jdavila@questrade.com&gt;, "john.davis@observepoint.com" &lt;john.davis@observepoint.com&gt;, "todd.wilkerson@observepoint.com" &lt;todd.wilkerson@observepoint.com&gt;</t>
  </si>
  <si>
    <t>observepoint.com, questrade.com</t>
  </si>
  <si>
    <t>Upcoming ObservePoint Renewal on March 15, 2026 - Questrade</t>
  </si>
  <si>
    <t xml:space="preserve">
[image: ObservePoint Logo_Gray_ON_YEllow_LOGO.jpeg]
A friendly reminder that it's time to renew.
Hi Jose,
Thank you for being an ObservePoint customer!
This is an automated notification to let you know that the end of your 
current term is* March 15, 2026*.
We know approval and procurement processes can take time, and we want to 
avoid any interruption of service, hence we are reaching out now.
Please reach out to your account team if you have any questions, or if you 
anticipate any c</t>
  </si>
  <si>
    <t>19b22cb714e9b812</t>
  </si>
  <si>
    <t>"nic.suder@observepoint.com" &lt;nic.suder@observepoint.com&gt;, "john.davis@observepoint.com" &lt;john.davis@observepoint.com&gt;, "slising@questrade.com" &lt;slising@questrade.com&gt;, "todd.wilkerson@observepoint.com" &lt;todd.wilkerson@observepoint.com&gt;</t>
  </si>
  <si>
    <t xml:space="preserve">
[image: ObservePoint Logo_Gray_ON_YEllow_LOGO.jpeg]
A friendly reminder that it's time to renew.
Hi Sabrina,
Thank you for being an ObservePoint customer!
This is an automated notification to let you know that the end of your 
current term is* March 15, 2026*.
We know approval and procurement processes can take time, and we want to 
avoid any interruption of service, hence we are reaching out now.
Please reach out to your account team if you have any questions, or if you 
anticipate an</t>
  </si>
  <si>
    <t>19b14995f0fa3fa8</t>
  </si>
  <si>
    <t>John Davis &lt;john.davis@observepoint.com&gt;, tyang@caleres.com, spomerinke@caleres.com, wferlis@caleres.com, cmills@caleres.com</t>
  </si>
  <si>
    <t>Updated invitation with note: ObservePoint | Caleres - Monthly Sync @ Fri Jan 16, 2026 10am - 10:30am (MST) (John Davis)</t>
  </si>
  <si>
    <t>This event has been updated with a note:
"Adding notes to the calendar event outlining a plan moving forward to  
continue privacy effforts! Privacy Roadmap- Follow up on cookie exports of  
all unapproved cookies. Have we categorized them? Review fresh results for  
opted out audits once above is complete. Review results for hard coded  
audits to determine any categorized cookies that still could potentially  
fire when they shouldn't due to firing outside of the tag manager. Build  
au</t>
  </si>
  <si>
    <t>19b13679183f48a7</t>
  </si>
  <si>
    <t>John Davis &lt;john.davis@observepoint.com&gt;, nburns@bluebeam.com, mtozer@bluebeam.com</t>
  </si>
  <si>
    <t>Invitation with note: ObservePoint | Bluebeam - Sync @ Wed Dec 17, 2025 2:30pm - 3pm (MST) (John Davis)</t>
  </si>
  <si>
    <t>You have been invited to the following event with this note:
"Updating with my zoom link"
ObservePoint | Bluebeam - Sync
Wednesday Dec 17, 2025 ⋅ 2:30pm – 3pm
Mountain Time - Denver
Join Zoom Meeting
https://observepoint.zoom.us/j/3742631971?pwd=Z2JhWG1yV1ZtOVBnMVZaRDR0bjVDZz09&amp;omn=91613613758&amp;jst=2
Join by phone
(US) +1 888-788-0099
passcode: 318688
Joining instructions
https://www.google.com/url?q=https://applications.zoom.us/addon/invitation/detail?meetingUuid%3D5IKR36h</t>
  </si>
  <si>
    <t>19b0f53f21c70b1d</t>
  </si>
  <si>
    <t>Accepted: ObservePoint | Questrade Bi-Weekly Syncup @ Every 2 weeks from 1pm to 1:30pm on Monday (MST) (john.davis@observepoint.com)</t>
  </si>
  <si>
    <t>Winnie Ho has accepted this invitation.
ObservePoint | Questrade Bi-Weekly Syncup
Every 2 weeks from 1pm to 1:30pm on Monday
Mountain Time - Denver
Location
https://observepoint.zoom.us/j/93559561258	
https://www.google.com/url?q=https%3A%2F%2Fobservepoint.zoom.us%2Fj%2F93559561258&amp;sa=D&amp;source=calendar&amp;ust=1765920660000000&amp;usg=AOvVaw3eP95zMufTjbfEj4ot4oeO
Looking forward to connecting.
If you need to reschedule, please use the link:  
https://observepoint.chilipiper.com/resche</t>
  </si>
  <si>
    <t>19b0f4998f5ae22e</t>
  </si>
  <si>
    <t>Declined: ObservePoint | Questrade Bi-Weekly Syncup @ Mon Feb 2, 2026 1pm - 1:30pm (MST) (john.davis@observepoint.com)</t>
  </si>
  <si>
    <t xml:space="preserve">Winnie Ho has declined this invitation with a note:
"Declined because I am out of office"
ObservePoint | Questrade Bi-Weekly Syncup
Monday Feb 2, 2026 ⋅ 1pm – 1:30pm
Mountain Time - Denver
Location
https://observepoint.zoom.us/j/93559561258	
https://www.google.com/url?q=https%3A%2F%2Fobservepoint.zoom.us%2Fj%2F93559561258&amp;sa=D&amp;source=calendar&amp;ust=1765920000000000&amp;usg=AOvVaw3rcBYjysTXU2RsnNseR15G
Looking forward to connecting.
If you need to reschedule, please use the link:  
</t>
  </si>
  <si>
    <t>19b0f491227cc3af</t>
  </si>
  <si>
    <t>19b0ea78a871ab99</t>
  </si>
  <si>
    <t>John Davis &lt;john.davis@observepoint.com&gt;, who@questrade.com, rchau@questrade.com</t>
  </si>
  <si>
    <t>Updated invitation: ObservePoint | Questrade - New CSM Instroduction @ Thu Dec 11, 2025 1:30pm - 2pm (MST) (John Davis)</t>
  </si>
  <si>
    <t>This event has been updated
Changed: conferencing
ObservePoint | Questrade - New CSM Instroduction
Thursday Dec 11, 2025 ⋅ 1:30pm – 2pm
Mountain Time - Denver
Join Zoom Meeting
https://observepoint.zoom.us/j/3742631971?pwd=Z2JhWG1yV1ZtOVBnMVZaRDR0bjVDZz09&amp;omn=96475730772&amp;jst=2
Join by phone
(US) +1 888-788-0099
passcode: 318688
Joining instructions
https://www.google.com/url?q=https://applications.zoom.us/addon/invitation/detail?meetingUuid%3DFMFYwiSkS3OiM31zaX5IUQ%253D%</t>
  </si>
  <si>
    <t>19b068da773542bb</t>
  </si>
  <si>
    <t>John Davis &lt;john.davis@observepoint.com&gt;, Clarke Anderson &lt;clarke.anderson@observepoint.com&gt;, grant.menefee@worldmarket.com</t>
  </si>
  <si>
    <t>Updated invitation: ObservePoint | World Market - Sync @ Tue Dec 16, 2025 9:30am - 10am (MST) (John Davis)</t>
  </si>
  <si>
    <t>This event has been updated
Changed: time
ObservePoint | World Market - Sync
Tuesday Dec 16, 2025 ⋅ 9:30am – 10am
Mountain Time - Denver
Join Zoom Meeting
https://observepoint.zoom.us/j/3742631971?pwd=Z2JhWG1yV1ZtOVBnMVZaRDR0bjVDZz09&amp;omn=95210331443&amp;jst=2
Join by phone
(US) +1 888-788-0099
passcode: 318688
Joining instructions
https://www.google.com/url?q=https://applications.zoom.us/addon/invitation/detail?meetingUuid%3DxnSdLxovRZS8%252BcfN0JFHDw%253D%253D%26signature%3</t>
  </si>
  <si>
    <t>19b040e9973ad5b3</t>
  </si>
  <si>
    <t>Nicole Burns &lt;nburns@bluebeam.com&gt;, Andy Compas &lt;andy.compas@observepoint.com&gt;, John Davis &lt;john.davis@observepoint.com&gt;</t>
  </si>
  <si>
    <t>bluebeam.com, observepoint.com</t>
  </si>
  <si>
    <t>Re: ObservePoint Follow Up</t>
  </si>
  <si>
    <t>Hey Mark and Nicole!
We have some awesome data to review from this top pages list that we were
able to scan in ObservePoint.
Do any of these times work to present findings?
Meeting length: 30 Minutes
Time Zone: (GMT-7) MST/Phoenix
Thu Dec 11 Mon Dec 15 Tue Dec 16 Wed Dec 17 Thu Dec 18 Fri Dec 19
 1:00  PM
&lt;https://observepoint.chilipiper.com/suggested-times/23f74518-6a79-43a3-8099-17fcacc5d929?slotStartsAt=2025-12-11T20:00:00.000Z&gt;
 1:00  PM
&lt;https://observepoint.chilipiper.com/sug</t>
  </si>
  <si>
    <t>19aba50503642e05</t>
  </si>
  <si>
    <t>19b8f227fdbe9742</t>
  </si>
  <si>
    <t>Mark Tozer &lt;mtozer@bluebeam.com&gt;, Nicole Burns &lt;nburns@bluebeam.com&gt;, Andy Compas &lt;andy.compas@observepoint.com&gt;</t>
  </si>
  <si>
    <t>Nicole and Mark,
It was great to meet you before the holidays and I look forward to working
with you both.
Here are some times for a quick sync up now that we are back into the swing
of things:
Meeting length: 30 Minutes
Time Zone: (GMT-7) MST/Denver
Tue Jan 6 Wed Jan 7 Thu Jan 8 Fri Jan 9
 11:30  AM
&lt;https://us-3129.email-composer-webhooks.gong.io/email-tracking/clicked?email-info-token=eyJhbGciOiJIUzI1NiJ9.eyJjb21wYW55SWQiOiI4OTgyMjM2MTQxODc2Mjk3NzAiLCJkcmFmdElkIjoicjkyMTI0MjEzN</t>
  </si>
  <si>
    <t>19bb327e71544fd9</t>
  </si>
  <si>
    <t>Mark Tozer &lt;mtozer@bluebeam.com&gt;, Andy Compas &lt;andy.compas@observepoint.com&gt;</t>
  </si>
  <si>
    <t>Hi John and team,
I found a time today we can connect. That said I have some undesirable news.
After reviewing our 2026 initiatives and overall direction, we’ve decided not to renew our Observepoint at this time. While we appreciate the opportunity to explore the solution and added benefits, it unfortunately did not gain the level of attention or traction within our business that we had anticipated. The business has chosen to focus budget on other initiatives moving forward.
We do thank</t>
  </si>
  <si>
    <t>19ae6845612d26bd</t>
  </si>
  <si>
    <t>Re: Service Order for 2026</t>
  </si>
  <si>
    <t>Here you go.
Thanks, Todd
On Wed, Dec 3, 2025 at 3:45 PM Liszka, Kerry &lt;Kerry.Liszka@lumen.com&gt; wrote:
&gt; I'm the worst. Are you able to send this as a word doc? This is my first
&gt; time starting a process with procurement so I'm stumbling through it.
&gt; Thanks!
&gt; Kerry
&gt; ------------------------------
&gt; *From:* Macey Bell &lt;macey.bell@observepoint.com&gt;
&gt; *Sent:* Friday, November 21, 2025 2:40 PM
&gt; *To:* Liszka, Kerry &lt;Kerry.Liszka@lumen.com&gt;
&gt; *Cc:* Todd Wilkerson &lt;todd.wilkerson@o</t>
  </si>
  <si>
    <t>19ae6731404b9c30</t>
  </si>
  <si>
    <t>19aba5588da55d8f</t>
  </si>
  <si>
    <t>Winnie Ho &lt;who@questrade.com&gt;, John Davis &lt;john.davis@observepoint.com&gt;</t>
  </si>
  <si>
    <t>New ObservePoint CSM</t>
  </si>
  <si>
    <t>Hi Winnie,
I just scheduled some time to introduce you to John Davis, who will be your
new main contact with ObservePoint going forward. Let me know if the time
doesn't work and I can send some additional availability that aligns for
both John and I.
I think if it's a discussion that's happened internally already, it would
be great if you could share your biggest goals as a company and as a team
for 2026 with John so he can tailor his support to what will matter most to
you and to qu</t>
  </si>
  <si>
    <t>19abb7fffee257df</t>
  </si>
  <si>
    <t>John Davis &lt;john.davis@observepoint.com&gt;, Raymond Chau &lt;rchau@questrade.com&gt;, Clauria Yang &lt;cyang@questrade.com&gt;</t>
  </si>
  <si>
    <t>Re: New ObservePoint CSM</t>
  </si>
  <si>
    <t>Thanks Macey for the introduction.
Hi John,
Nice to meet you. Great timing to discuss our plan for 2026 :)
2025 has been a year of transition for us in terms of the analytics and
data platform we use in Questrade. Moving forward in 2026, the key tools
that we will need to monitor are Google Analytics, Amplitude, Braze and
media platforms tracking. I'd assume ObservePoint has the capability to
monitor all these platforms, but just wanted to reconfirm.
Also in 1st half of 2026, our w</t>
  </si>
  <si>
    <t>19abc158167f7c15</t>
  </si>
  <si>
    <t>Macey Bell &lt;macey.bell@observepoint.com&gt;, Raymond Chau &lt;rchau@questrade.com&gt;, Clauria Yang &lt;cyang@questrade.com&gt;</t>
  </si>
  <si>
    <t>Thank you for the introduction, Macey.
It's great to meet you all. I'm taking over as your Customer Success
Manager and am here to make this transition as smooth as possible.
Thanks so much Winnie for sending over your thoughts, that is fantastic!
I will go over these action items with our team in preparation for our next
meeting to utilize your time as much as possible. Let me know anything else
that comes to your mind beforehand as well.
On Tue, Nov 25, 2025 at 7:51 AM Winnie Ho</t>
  </si>
  <si>
    <t>19b0f3cabcd4a660</t>
  </si>
  <si>
    <t>Thanks for your time today Winnie and Raymond, it was great to meet you
face to face and I look forward to working with you.
Here are some slots available for starting a bi-weekly cadence with you
guys to help your projects moving forward, feel free to grab one of these
that work for you two
Meeting length: 30 Minutes
Time Zone: (GMT-7) MST/Denver
Mon Jan 5 Tue Jan 6 Wed Jan 7 Thu Jan 8
 1:00  PM
&lt;https://observepoint.chilipiper.com/suggested-times/3bd1ba63-2c25-4915-8386-93d472e764</t>
  </si>
  <si>
    <t>19aba527786e6cd7</t>
  </si>
  <si>
    <t>John Davis &lt;john.davis@observepoint.com&gt;, who@questrade.com</t>
  </si>
  <si>
    <t>Invitation: ObservePoint | Questrade - New CSM Instroduction @ Thu Dec 11, 2025 1:30pm - 2pm (MST) (John Davis)</t>
  </si>
  <si>
    <t>ObservePoint | Questrade - New CSM Instroduction
Thursday Dec 11, 2025 ⋅ 1:30pm – 2pm
Mountain Time - Denver
Organizer
Macey Bell
macey.bell@observepoint.com
Guests
Macey Bell - organizer
John Davis
who@questrade.com
View all guest info  
https://calendar.google.com/calendar/event?action=VIEW&amp;eid=NWludTZyZGhiYWFsNGthbTlsc2I0bml1amogam9obi5kYXZpc0BvYnNlcnZlcG9pbnQuY29t&amp;tok=MjcjbWFjZXkuYmVsbEBvYnNlcnZlcG9pbnQuY29tMGYxZjE0MDBkMDZlOTIzOTI3NDFlOWM3MGVlZWMwZGRjNzEyN2E0ZA&amp;ctz=America</t>
  </si>
  <si>
    <t>19aba38d080d7837</t>
  </si>
  <si>
    <t>Invitation: ObservePoint | Caleres - Monthly Sync @ Monthly from 10am to 10:30am on the third Friday (MST) (John Davis)</t>
  </si>
  <si>
    <t>ObservePoint | Caleres - Monthly Sync
Monthly from 10am to 10:30am on the third Friday
Mountain Time - Denver
Join Zoom Meeting
https://observepoint.zoom.us/j/3742631971?pwd=Z2JhWG1yV1ZtOVBnMVZaRDR0bjVDZz09&amp;omn=99913386137
Join by phone
(US) +1 888-788-0099
passcode: 318688
Joining instructions
https://www.google.com/url?q=https://applications.zoom.us/addon/invitation/detail?meetingUuid%3D8hv3kgOlRcCPhtZnkZDTZw%253D%253D%26signature%3Df143d64acb992989ceb9f62d47956a1217116f50d2</t>
  </si>
  <si>
    <t>19aba3543075e9e4</t>
  </si>
  <si>
    <t>Invitation: ObservePoint | World Market - Sync @ Fri Dec 12, 2025 9:30am - 10am (MST) (John Davis)</t>
  </si>
  <si>
    <t>ObservePoint | World Market - Sync
Friday Dec 12, 2025 ⋅ 9:30am – 10am
Mountain Time - Denver
Join Zoom Meeting
https://observepoint.zoom.us/j/3742631971?pwd=Z2JhWG1yV1ZtOVBnMVZaRDR0bjVDZz09&amp;omn=95210331443&amp;jst=2
Join by phone
(US) +1 888-788-0099
passcode: 318688
Joining instructions
https://www.google.com/url?q=https://applications.zoom.us/addon/invitation/detail?meetingUuid%3DxnSdLxovRZS8%252BcfN0JFHDw%253D%253D%26signature%3Daa4fc7e7f4cb03663b2e9878cad24fec5a0be5d97baa0397</t>
  </si>
  <si>
    <t>19aba349ba40c0d4</t>
  </si>
  <si>
    <t>John Davis &lt;john.davis@observepoint.com&gt;, arnold.hong@lumen.com, neil.black@lumen.com, kerry.liszka@lumen.com</t>
  </si>
  <si>
    <t>Invitation: Observepoint | Lumen - Sync @ Every 2 weeks from 11:30am to 12pm on Thursday (MST) (John Davis)</t>
  </si>
  <si>
    <t>Observepoint | Lumen - Sync
Every 2 weeks from 11:30am to 12pm on Thursday
Mountain Time - Denver
Join Zoom Meeting
https://observepoint.zoom.us/j/3742631971?pwd=Z2JhWG1yV1ZtOVBnMVZaRDR0bjVDZz09&amp;omn=98830099161&amp;jst=2
Join by phone
(US) +1 888-788-0099
passcode: 318688
Joining instructions
https://www.google.com/url?q=https://applications.zoom.us/addon/invitation/detail?meetingUuid%3DiMRDIGtwRfqRtt%252Fit1DXRw%253D%253D%26signature%3D9e4218deb537572694b97480ef8da5794c1162c4f824</t>
  </si>
  <si>
    <t>19ba4a0b7283a5bc</t>
  </si>
  <si>
    <t>Arthur Engelhard &lt;arthur.engelhard@mongodb.com&gt;</t>
  </si>
  <si>
    <t>Quote 2026</t>
  </si>
  <si>
    <t xml:space="preserve">Hey John,
Thanks for the reminder about renewal and joining our meeting today.
I need to submit a request to the procurement team to get the
ball rolling.
Can you send me the quote for the renewal, no updates or increases?
Thanks!
-- 
*{* name     : "Arthur Engelhard",
  title    : "Marketing Operations Manager",
  location : "Tewksbury, MA",
  social   : "LinkedIn
&lt;https://www.linkedin.com/in/arthur-engelhard-408b769/&gt;"*}*
</t>
  </si>
  <si>
    <t>19bb404acb8ee606</t>
  </si>
  <si>
    <t>Dallin Madsen &lt;dallin.madsen@observepoint.com&gt;</t>
  </si>
  <si>
    <t>John Davis &lt;john.davis@observepoint.com&gt;, Arthur Engelhard &lt;arthur.engelhard@mongodb.com&gt;</t>
  </si>
  <si>
    <t>observepoint.com, mongodb.com</t>
  </si>
  <si>
    <t>Re: Quote 2026</t>
  </si>
  <si>
    <t>Hey Arthur!
I'm having my legal team take a quick look at this. It looks to me from the
master service agreement that we can consider the contract renewed on the
same terms of conditions with written confirmation from your side.
Hoping this can save us a lot of time. I will have them take a look at it
and then get back to you shortly.
Best!
Dallin Madsen *   |    * *Enterprise Account Executive*
801.850.3709
dallin.madsen@observepoint.com
Schedule a Meeting With Me!
&lt;https:/</t>
  </si>
  <si>
    <t>19ba48a0f6cc9573</t>
  </si>
  <si>
    <t>John Davis &lt;john.davis@observepoint.com&gt;, Wendi Vien &lt;wendi.vien@mongodb.com&gt;</t>
  </si>
  <si>
    <t>Intercom Chat Issues</t>
  </si>
  <si>
    <t>Hi John,
Wendi reached out to me today with the following Q...
*Hi Arthur,  in the past month, we’ve had two Intercom-related bugs
recently—a broken "Chat Now" button on the Pricing page that triggered a
page reload, and a "dead" mobile button on the Contact Us page.To help us
catch these regressions sooner, do you have any testing tools we could use
to monitor/ test our high-intent Intercom workflows? Thanks!*
For context, Intercom is our chat widget on the site.
Sounds like som</t>
  </si>
  <si>
    <t>19ba4a26e7eddb4e</t>
  </si>
  <si>
    <t>Wendi Vien &lt;wendi.vien@mongodb.com&gt;</t>
  </si>
  <si>
    <t>Re: Intercom Chat Issues</t>
  </si>
  <si>
    <t>Hey Wendi,
Yes I think Journeys would be a great product to help with this. Journeys
are a complete automated end-to-end front end testing suite with the
ObservePoint analytics tracking and other tools built right into it.
Mongo is currently tracking to be below their contracted amount for
Journeys before the contract is renewed at the end of March. So we should
have plenty of space to fit in a few new Journeys now and then we can
discuss how much you will need in the future and addre</t>
  </si>
  <si>
    <t>19bb35d7805f1cc3</t>
  </si>
  <si>
    <t>Thanks for connecting Arthur!
Hi John, what availability do you have next week? It’s a short week for us
on our end, and we’ll largely be heads down with launches.
Thanks,
Wendi
On Fri, Jan 9, 2026 at 1:21 PM John Davis &lt;john.davis@observepoint.com&gt;
wrote:
&gt; Hey Wendi,
&gt;
&gt; Yes I think Journeys would be a great product to help with this. Journeys
&gt; are a complete automated end-to-end front end testing suite with the
&gt; ObservePoint analytics tracking and other tools built right in</t>
  </si>
  <si>
    <t>19ba3664db05815f</t>
  </si>
  <si>
    <t>"Tamara Saban (MARKETING)" &lt;tamara.saban@ros.com&gt;</t>
  </si>
  <si>
    <t>Declined: ObservePoint | Ross Stores Inc. Sync</t>
  </si>
  <si>
    <t xml:space="preserve">We are scheduled for 10:30am PST because I have a conflict at 9:30am.
</t>
  </si>
  <si>
    <t>19b9fa31d85268e4</t>
  </si>
  <si>
    <t>chandra.guin@contractor.optavia.com, grace.stafford@optavia.com, sonia.turumopula@contractor.optavia.com</t>
  </si>
  <si>
    <t>contractor.optavia.com, optavia.com</t>
  </si>
  <si>
    <t>Email Links Validation</t>
  </si>
  <si>
    <t>Hey Chandra,
Just in case you missed Macey's messages in the chat in our Zoom meeting
today, here is our latest documentation on the email links validation tool
that is already available in your account:
https://www.observepoint.com/solutions/email-link-validation/
https://help.observepoint.com/en/articles/9369053-email-link-validation
Let me know if you have any questions about this or if you need help
setting it up, thanks!
*Regards, *
John Davis *   |    * *Customer Succe</t>
  </si>
  <si>
    <t>19b9f9f84ee80010</t>
  </si>
  <si>
    <t>19b9eb0e8a600819</t>
  </si>
  <si>
    <t>john.davis@observepoint.com, Fiona Erickson &lt;fiona.erickson@mongodb.com&gt;, Matt Peloquin &lt;matt.peloquin@mongodb.com&gt;</t>
  </si>
  <si>
    <t>Invitation: Review Rebrand OP Results @ Fri Jan 9, 2026 8:30am - 9am (MST) (john.davis@observepoint.com)</t>
  </si>
  <si>
    <t>Review Rebrand OP Results
Friday Jan 9, 2026 ⋅ 8:30am – 9am
Mountain Time - Denver
Join Zoom Meeting
https://mongodb.zoom.com/j/93365526366?pwd=3bS2FX1ovwbkrAdmFjYza7aCpQnW1Z.1&amp;jst=2
Join by phone
(US) +1 833-548-0276
passcode: 773568
Join using SIP
93365526366@zoomcrc.com
passcode: 773568
Joining instructions
https://www.google.com/url?q=https://applications.zoom.us/addon/invitation/detail?meetingUuid%3DyzJSTsPCTIC20OW8D0mRlw%253D%253D%26signature%3D74d90a39e2ccf3528517</t>
  </si>
  <si>
    <t>19b9e3432135ca4f</t>
  </si>
  <si>
    <t>Accepted: ObservePoint | Ross Stores Inc. Sync</t>
  </si>
  <si>
    <t>19b9e33276bbc88d</t>
  </si>
  <si>
    <t>"Fe Valencia (MARKETING)" &lt;fe.valencia@ros.com&gt;, John Davis &lt;john.davis@observepoint.com&gt;, Macey Bell &lt;macey.bell@observepoint.com&gt;</t>
  </si>
  <si>
    <t>ros.com, observepoint.com</t>
  </si>
  <si>
    <t>ObservePoint | Ross Stores Inc. Sync</t>
  </si>
  <si>
    <t xml:space="preserve">
________________________________________________________________________________
Microsoft Teams Need help?&lt;https://aka.ms/JoinTeamsMeeting?omkt=en-US&gt;
Join the meeting now&lt;https://teams.microsoft.com/l/meetup-join/19%3ameeting_ODhmYmM4ZjQtYTY5MS00ZmRhLWE0NTEtNjQ3ODEyNWU5ZWE1%40thread.v2/0?context=%7b%22Tid%22%3a%220039204c-2313-4416-bdc3-42fcf01fdbd6%22%2c%22Oid%22%3a%22e77ce3e9-e912-4905-bd2b-f926b73563a1%22%7d&gt;
Meeting ID: 250 175 110 293 11
Passcode: tY99UJ6k
_________________________</t>
  </si>
  <si>
    <t>19b9a947966de017</t>
  </si>
  <si>
    <t>"Fe Valencia (MARKETING)" &lt;fe.valencia@ros.com&gt;, Macey Bell &lt;macey.bell@observepoint.com&gt;</t>
  </si>
  <si>
    <t>RE: ObservePoint | Ross Stores Inc. Sync</t>
  </si>
  <si>
    <t>Hi John,
Our schedule has changed. Do you have time to meet next week Tue or Wed?
Thanks,
Tamara
Tamara Saban
Marketing Operations Manager | Ross Stores, Inc.
[A picture containing text, font, logo, graphics  Description automatically generated]
-----Original Appointment-----
From: John Davis &lt;john.davis@observepoint.com&gt;
Sent: Tuesday, December 16, 2025 2:10 PM
To: John Davis; Tamara Saban (MARKETING); Fe Valencia (MARKETING); Macey Bell
Subject: ObservePoint | Ross Stores In</t>
  </si>
  <si>
    <t>19b9b8a073c9b431</t>
  </si>
  <si>
    <t>Re: ObservePoint | Ross Stores Inc. Sync</t>
  </si>
  <si>
    <t>Hey Tamara,
Here are some slots next Tues or Wed, feel free to grab one that works for
you, thanks!
Meeting length: 30 Minutes
Time Zone: (GMT-7) MST/Denver
Tue Jan 13 Wed Jan 14
 10:30  AM
&lt;https://observepoint.chilipiper.com/suggested-times/05ce9b4e-eb9a-4271-ba10-a2c687e0bb5e?slotStartsAt=2026-01-13T17:30:00.000Z&gt;
 10:00  AM
&lt;https://observepoint.chilipiper.com/suggested-times/05ce9b4e-eb9a-4271-ba10-a2c687e0bb5e?slotStartsAt=2026-01-14T17:00:00.000Z&gt;
 11:00  AM
&lt;https://observ</t>
  </si>
  <si>
    <t>19b9e33c8daa10d6</t>
  </si>
  <si>
    <t>RE: [EXTERNAL] Re: ObservePoint | Ross Stores Inc. Sync</t>
  </si>
  <si>
    <t>Just sent you the invite for Tue at 11:30am (I think I converted the time zone correctly).
From: John Davis &lt;john.davis@observepoint.com&gt;
Sent: Wednesday, January 7, 2026 6:58 PM
To: Tamara Saban (MARKETING) &lt;tamara.saban@ros.com&gt;
Cc: Fe Valencia (MARKETING) &lt;fe.valencia@ros.com&gt;; Macey Bell &lt;macey.bell@observepoint.com&gt;
Subject: [EXTERNAL] Re: ObservePoint | Ross Stores Inc. Sync
This message is from an EXTERNAL SENDER - BE CAUTIOUS, particularly with unknown senders, links, and att</t>
  </si>
  <si>
    <t>19b95016a93eb5bc</t>
  </si>
  <si>
    <t>jeffrey.gonda@ros.com</t>
  </si>
  <si>
    <t xml:space="preserve"> Email Template 
See how your auditing and governance efforts paid off in 2025. 
 ‌ ‌ ‌ ‌ ‌ ‌ ‌ ‌ ‌ ‌ ‌ ‌ ‌ ‌ ‌ ‌ ‌ ‌ 
[image: ObservePoint Logo] 
[image: 2025 Year in Review] 
What Did Your Website Audits Reveal Last Year? 
1,252 
Unique Pages Scanned 
11 
Domains Scanned 
Ross Stores 
REPORT PERIOD 
Since Jan 1, 2025 
Top 10 Domains Unique Pages Scanned Last Scan 
investors.rossstores.com 
&lt;https://go.observepoint.com/dc/zwzXEKJrfehQxzYKs7N_OrP-P6yGraWpCRwkGVD1jaQ=/NDQyLU1EUi0zNTkAAAGfM_na9l</t>
  </si>
  <si>
    <t>19b95016794a29a0</t>
  </si>
  <si>
    <t>arthur.engelhard@mongodb.com</t>
  </si>
  <si>
    <t xml:space="preserve"> Email Template 
See how your auditing and governance efforts paid off in 2025. 
 ‌ ‌ ‌ ‌ ‌ ‌ ‌ ‌ ‌ ‌ ‌ ‌ ‌ ‌ ‌ ‌ ‌ ‌ 
[image: ObservePoint Logo] 
[image: 2025 Year in Review] 
What Did Your Website Audits Reveal Last Year? 
4,063 
Unique Pages Scanned 
18 
Domains Scanned 
MongoDB 
REPORT PERIOD 
Since Jan 1, 2025 
Top 10 Domains Unique Pages Scanned Last Scan 
www.mongodb.com 
&lt;https://go.observepoint.com/dc/YZdgvqwbGRw5vplqwcDuFGTAgCWh5EyuowOzM5wD-S4=/NDQyLU1EUi0zNTkAAAGfM_naVEEBn5qFWlMI4Cu</t>
  </si>
  <si>
    <t>19b9501632125ab8</t>
  </si>
  <si>
    <t>katelyn.booth@cvshealth.com</t>
  </si>
  <si>
    <t xml:space="preserve"> Email Template 
See how your auditing and governance efforts paid off in 2025. 
 ‌ ‌ ‌ ‌ ‌ ‌ ‌ ‌ ‌ ‌ ‌ ‌ ‌ ‌ ‌ ‌ ‌ ‌ 
[image: ObservePoint Logo] 
[image: 2025 Year in Review] 
What Did Your Website Audits Reveal Last Year? 
2,099 
Unique Pages Scanned 
12 
Domains Scanned 
CVS Pharmacy, Inc. 
REPORT PERIOD 
Since Jan 1, 2025 
Top 10 Domains Unique Pages Scanned Last Scan 
www.cvs.com 
&lt;https://go.observepoint.com/dc/FSrnu0GOOXSyCIvfQDBEoEeYAcJLNdVPRcIjvQfG7Cc=/NDQyLU1EUi0zNTkAAAGfM_nVWfYhtCyV</t>
  </si>
  <si>
    <t>19b950159895ace1</t>
  </si>
  <si>
    <t>keitaf@cvshealth.com</t>
  </si>
  <si>
    <t xml:space="preserve"> Email Template 
See how your auditing and governance efforts paid off in 2025. 
 ‌ ‌ ‌ ‌ ‌ ‌ ‌ ‌ ‌ ‌ ‌ ‌ ‌ ‌ ‌ ‌ ‌ ‌ 
[image: ObservePoint Logo] 
[image: 2025 Year in Review] 
What Did Your Website Audits Reveal Last Year? 
2,099 
Unique Pages Scanned 
12 
Domains Scanned 
CVS Pharmacy, Inc. 
REPORT PERIOD 
Since Jan 1, 2025 
Top 10 Domains Unique Pages Scanned Last Scan 
www.cvs.com 
&lt;https://go.observepoint.com/dc/FSrnu0GOOXSyCIvfQDBEoEeYAcJLNdVPRcIjvQfG7Cc=/NDQyLU1EUi0zNTkAAAGfM_nQGEVXH1lF</t>
  </si>
  <si>
    <t>19b9501536c70853</t>
  </si>
  <si>
    <t>janhavi.shah@cvshealth.com</t>
  </si>
  <si>
    <t xml:space="preserve"> Email Template 
See how your auditing and governance efforts paid off in 2025. 
 ‌ ‌ ‌ ‌ ‌ ‌ ‌ ‌ ‌ ‌ ‌ ‌ ‌ ‌ ‌ ‌ ‌ ‌ 
[image: ObservePoint Logo] 
[image: 2025 Year in Review] 
What Did Your Website Audits Reveal Last Year? 
2,099 
Unique Pages Scanned 
12 
Domains Scanned 
CVS Pharmacy, Inc. 
REPORT PERIOD 
Since Jan 1, 2025 
Top 10 Domains Unique Pages Scanned Last Scan 
www.cvs.com 
&lt;https://go.observepoint.com/dc/FSrnu0GOOXSyCIvfQDBEoEeYAcJLNdVPRcIjvQfG7Cc=/NDQyLU1EUi0zNTkAAAGfM_nOy4mLVDWC</t>
  </si>
  <si>
    <t>19b9501441b25db7</t>
  </si>
  <si>
    <t>daniel.ayub@mongodb.com</t>
  </si>
  <si>
    <t xml:space="preserve"> Email Template 
See how your auditing and governance efforts paid off in 2025. 
 ‌ ‌ ‌ ‌ ‌ ‌ ‌ ‌ ‌ ‌ ‌ ‌ ‌ ‌ ‌ ‌ ‌ ‌ 
[image: ObservePoint Logo] 
[image: 2025 Year in Review] 
What Did Your Website Audits Reveal Last Year? 
4,063 
Unique Pages Scanned 
18 
Domains Scanned 
MongoDB 
REPORT PERIOD 
Since Jan 1, 2025 
Top 10 Domains Unique Pages Scanned Last Scan 
www.mongodb.com 
&lt;https://go.observepoint.com/dc/YZdgvqwbGRw5vplqwcDuFGTAgCWh5EyuowOzM5wD-S4=/NDQyLU1EUi0zNTkAAAGfM_nKystONdq4Xex5HkS</t>
  </si>
  <si>
    <t>19b9501422378eb1</t>
  </si>
  <si>
    <t>chandra.guin@contractor.optavia.com</t>
  </si>
  <si>
    <t>contractor.optavia.com</t>
  </si>
  <si>
    <t xml:space="preserve"> Email Template 
See how your auditing and governance efforts paid off in 2025. 
 ‌ ‌ ‌ ‌ ‌ ‌ ‌ ‌ ‌ ‌ ‌ ‌ ‌ ‌ ‌ ‌ ‌ ‌ 
[image: ObservePoint Logo] 
[image: 2025 Year in Review] 
What Did Your Website Audits Reveal Last Year? 
4,102 
Unique Pages Scanned 
7 
Domains Scanned 
Medifast 
REPORT PERIOD 
Since Jan 1, 2025 
Top 10 Domains Unique Pages Scanned Last Scan 
www.optavia.com 
&lt;https://go.observepoint.com/dc/6FLmNb7PdjhdXJ9bQIIhL2ICEJVFcwIDXjcCwDwgsbk=/NDQyLU1EUi0zNTkAAAGfM_nKraJSVq8JnRQwNn6</t>
  </si>
  <si>
    <t>19b95013d82708a9</t>
  </si>
  <si>
    <t>grace.stafford@optavia.com</t>
  </si>
  <si>
    <t>optavia.com</t>
  </si>
  <si>
    <t xml:space="preserve"> Email Template 
See how your auditing and governance efforts paid off in 2025. 
 ‌ ‌ ‌ ‌ ‌ ‌ ‌ ‌ ‌ ‌ ‌ ‌ ‌ ‌ ‌ ‌ ‌ ‌ 
[image: ObservePoint Logo] 
[image: 2025 Year in Review] 
What Did Your Website Audits Reveal Last Year? 
4,102 
Unique Pages Scanned 
7 
Domains Scanned 
Medifast 
REPORT PERIOD 
Since Jan 1, 2025 
Top 10 Domains Unique Pages Scanned Last Scan 
www.optavia.com 
&lt;https://go.observepoint.com/dc/6FLmNb7PdjhdXJ9bQIIhL2ICEJVFcwIDXjcCwDwgsbk=/NDQyLU1EUi0zNTkAAAGfM_nLCvPRR5Y3KnbmfOR</t>
  </si>
  <si>
    <t>19b950135f1609bf</t>
  </si>
  <si>
    <t>timothy.paventi@cvshealth.com</t>
  </si>
  <si>
    <t xml:space="preserve"> Email Template 
See how your auditing and governance efforts paid off in 2025. 
 ‌ ‌ ‌ ‌ ‌ ‌ ‌ ‌ ‌ ‌ ‌ ‌ ‌ ‌ ‌ ‌ ‌ ‌ 
[image: ObservePoint Logo] 
[image: 2025 Year in Review] 
What Did Your Website Audits Reveal Last Year? 
2,099 
Unique Pages Scanned 
12 
Domains Scanned 
CVS Pharmacy, Inc. 
REPORT PERIOD 
Since Jan 1, 2025 
Top 10 Domains Unique Pages Scanned Last Scan 
www.cvs.com 
&lt;https://go.observepoint.com/dc/FSrnu0GOOXSyCIvfQDBEoEeYAcJLNdVPRcIjvQfG7Cc=/NDQyLU1EUi0zNTkAAAGfM_nJlHcdO6NR</t>
  </si>
  <si>
    <t>19b950134db43f5c</t>
  </si>
  <si>
    <t>sunday.perez@ros.com</t>
  </si>
  <si>
    <t xml:space="preserve"> Email Template 
See how your auditing and governance efforts paid off in 2025. 
 ‌ ‌ ‌ ‌ ‌ ‌ ‌ ‌ ‌ ‌ ‌ ‌ ‌ ‌ ‌ ‌ ‌ ‌ 
[image: ObservePoint Logo] 
[image: 2025 Year in Review] 
What Did Your Website Audits Reveal Last Year? 
1,252 
Unique Pages Scanned 
11 
Domains Scanned 
Ross Stores 
REPORT PERIOD 
Since Jan 1, 2025 
Top 10 Domains Unique Pages Scanned Last Scan 
investors.rossstores.com 
&lt;https://go.observepoint.com/dc/zwzXEKJrfehQxzYKs7N_OrP-P6yGraWpCRwkGVD1jaQ=/NDQyLU1EUi0zNTkAAAGfM_nI81</t>
  </si>
  <si>
    <t>19b95011fca2e3be</t>
  </si>
  <si>
    <t>tamara.saban@ros.com</t>
  </si>
  <si>
    <t xml:space="preserve"> Email Template 
See how your auditing and governance efforts paid off in 2025. 
 ‌ ‌ ‌ ‌ ‌ ‌ ‌ ‌ ‌ ‌ ‌ ‌ ‌ ‌ ‌ ‌ ‌ ‌ 
[image: ObservePoint Logo] 
[image: 2025 Year in Review] 
What Did Your Website Audits Reveal Last Year? 
1,252 
Unique Pages Scanned 
11 
Domains Scanned 
Ross Stores 
REPORT PERIOD 
Since Jan 1, 2025 
Top 10 Domains Unique Pages Scanned Last Scan 
investors.rossstores.com 
&lt;https://go.observepoint.com/dc/zwzXEKJrfehQxzYKs7N_OrP-P6yGraWpCRwkGVD1jaQ=/NDQyLU1EUi0zNTkAAAGfM_nDs5</t>
  </si>
  <si>
    <t>19b753117e2d45eb</t>
  </si>
  <si>
    <t>"nic.suder@observepoint.com" &lt;nic.suder@observepoint.com&gt;, "clarke.anderson@observepoint.com" &lt;clarke.anderson@observepoint.com&gt;, "john.davis@observepoint.com" &lt;john.davis@observepoint.com&gt;, "deepa.neary@ros.com" &lt;deepa.neary@ros.com&gt;</t>
  </si>
  <si>
    <t>observepoint.com, ros.com</t>
  </si>
  <si>
    <t>Upcoming ObservePoint Renewal on March 31, 2026 - Ross Stores Inc.</t>
  </si>
  <si>
    <t xml:space="preserve">
[image: ObservePoint Logo_Gray_ON_YEllow_LOGO.jpeg]
A friendly reminder that it's time to renew.
Hi Deepa,
Thank you for being an ObservePoint customer!
This is an automated notification to let you know that the end of your 
current term is* March 31, 2026*.
We know approval and procurement processes can take time, and we want to 
avoid any interruption of service, hence we are reaching out now.
Please reach out to your account team if you have any questions, or if you 
anticipate any </t>
  </si>
  <si>
    <t>19b8ee37132cdce9</t>
  </si>
  <si>
    <t>"nic.suder@observepoint.com" &lt;nic.suder@observepoint.com&gt;, "clarke.anderson@observepoint.com" &lt;clarke.anderson@observepoint.com&gt;, "john.davis@observepoint.com" &lt;john.davis@observepoint.com&gt;</t>
  </si>
  <si>
    <t>FW: [EXTERNAL] Upcoming ObservePoint Renewal on March 31, 2026 - Ross Stores Inc.</t>
  </si>
  <si>
    <t>Hello,
Can you please add me to the future emails? I handle marketing contracts and need to be in the loop.
Much appreciated!
And Happy New Year!
Tamara
---
Tamara Saban
Marketing Operations Manager | Ross Stores, Inc.
[A picture containing text, font, logo, graphics  Description automatically generated]
From: Deepa Neary (Marketing) &lt;Deepa.Neary@ros.com&gt;
Sent: Wednesday, December 31, 2025 8:18 AM
To: Tamara Saban (MARKETING) &lt;tamara.saban@ros.com&gt;
Subject: FW: [EXTERNAL]</t>
  </si>
  <si>
    <t>19b8f088d69cfaf6</t>
  </si>
  <si>
    <t>Clarke Anderson &lt;clarke.anderson@observepoint.com&gt;</t>
  </si>
  <si>
    <t>Revenue Operations &lt;salesops@observepoint.com&gt;, "nic.suder@observepoint.com" &lt;nic.suder@observepoint.com&gt;, "john.davis@observepoint.com" &lt;john.davis@observepoint.com&gt;</t>
  </si>
  <si>
    <t>Re: FW: [EXTERNAL] Upcoming ObservePoint Renewal on March 31, 2026 - Ross Stores Inc.</t>
  </si>
  <si>
    <t>Yes, Happy New Year indeed! I've added you to our Billing contact list for
all future contract communications. Thanks for letting us know.
Clarke Anderson *   |    * *Account Executive*
m: (818) 421-3713
clarke.anderson@observepoint.com
On Mon, Jan 5, 2026 at 9:00 AM Tamara Saban (MARKETING) &lt;
tamara.saban@ros.com&gt; wrote:
&gt; Hello,
&gt;
&gt;
&gt;
&gt; Can you please add me to the future emails? I handle marketing contracts
&gt; and need to be in the loop.
&gt;
&gt;
&gt;
&gt; Much appreciat</t>
  </si>
  <si>
    <t>19b7531158082db3</t>
  </si>
  <si>
    <t>"nic.suder@observepoint.com" &lt;nic.suder@observepoint.com&gt;, "john.davis@observepoint.com" &lt;john.davis@observepoint.com&gt;, "daniel.ayub@mongodb.com" &lt;daniel.ayub@mongodb.com&gt;, "dallin.madsen@observepoint.com" &lt;dallin.madsen@observepoint.com&gt;</t>
  </si>
  <si>
    <t>Upcoming ObservePoint Renewal on March 31, 2026 - MongoDB Inc.</t>
  </si>
  <si>
    <t xml:space="preserve">
[image: ObservePoint Logo_Gray_ON_YEllow_LOGO.jpeg]
A friendly reminder that it's time to renew.
Hi Daniel,
Thank you for being an ObservePoint customer!
This is an automated notification to let you know that the end of your 
current term is* March 31, 2026*.
We know approval and procurement processes can take time, and we want to 
avoid any interruption of service, hence we are reaching out now.
Please reach out to your account team if you have any questions, or if you 
anticipate any</t>
  </si>
  <si>
    <t>19bb3e834ebff80d</t>
  </si>
  <si>
    <t>Daniel Ayub &lt;daniel.ayub@mongodb.com&gt;</t>
  </si>
  <si>
    <t>Revenue Operations &lt;salesops@observepoint.com&gt;, Arthur Engelhard &lt;arthur.engelhard@mongodb.com&gt;</t>
  </si>
  <si>
    <t>"nic.suder@observepoint.com" &lt;nic.suder@observepoint.com&gt;, "john.davis@observepoint.com" &lt;john.davis@observepoint.com&gt;, "dallin.madsen@observepoint.com" &lt;dallin.madsen@observepoint.com&gt;</t>
  </si>
  <si>
    <t>Re: Upcoming ObservePoint Renewal on March 31, 2026 - MongoDB Inc.</t>
  </si>
  <si>
    <t>Hey team, @Arthur Engelhard &lt;arthur.engelhard@mongodb.com&gt; will spearhead
this.
Ty!
On Wed, Dec 31, 2025 at 1:15 PM Revenue Operations &lt;
salesops@observepoint.com&gt; wrote:
&gt; [image: ObservePoint Logo_Gray_ON_YEllow_LOGO.jpeg]
&gt;
&gt; A friendly reminder that it's time to renew.
&gt;
&gt;
&gt; Hi Daniel,
&gt;
&gt;
&gt; Thank you for being an ObservePoint customer!
&gt;
&gt; This is an automated notification to let you know that the end of your
&gt; current term is* March 31, 2026*.
&gt;
&gt; We know approval and</t>
  </si>
  <si>
    <t>19b2edae78075923</t>
  </si>
  <si>
    <t>Maria E DaPonte &lt;Maria.DaPonte@cvshealth.com&gt;, Amy Rondinelli &lt;Amy.Rondinelli@cvshealth.com&gt;, John Davis &lt;john.davis@observepoint.com&gt;</t>
  </si>
  <si>
    <t>cvshealth.com, observepoint.com</t>
  </si>
  <si>
    <t>Observepoint allowlisting</t>
  </si>
  <si>
    <t>Hey both,
 Curious to hear now that ObservePoint is in archer whether the allow listing process has been able to progress? 
Would love to chat more about this tomorrow during our call, especially in the case that I can provide any more information or detail on the ObservePoint end that can help with this. 
Additionally, I want to introduce you to John Davis who’s going to be your main point of contact moving forward. One of my colleagues has taken on a new management position internally</t>
  </si>
  <si>
    <t>19b2facdb6739c09</t>
  </si>
  <si>
    <t>Maria E DaPonte &lt;Maria.DaPonte@cvshealth.com&gt;, Amy Rondinelli &lt;Amy.Rondinelli@cvshealth.com&gt;</t>
  </si>
  <si>
    <t>Re: Observepoint allowlisting</t>
  </si>
  <si>
    <t>Thanks for the intro Macey
Hey Maria and Amy,
I look forward to meeting you tomorrow and hearing about the projects
you are working on.
*Regards, *
John Davis *   |    * *Customer Success Manager*
Cell: 801.633.6013
john.davis@observepoint.com
www.observepoint.com
&lt;https://us-3129.email-composer-webhooks.gong.io/email-tracking/clicked?email-info-token=eyJhbGciOiJIUzI1NiJ9.eyJjb21wYW55SWQiOiI4OTgyMjM2MTQxODc2Mjk3NzAiLCJkcmFmdElkIjoici0xMjgzNDg2NDQ5NzA1NDcwMTMzIiwibGlua1VybCI6Im</t>
  </si>
  <si>
    <t>19b37d06c7087e4b</t>
  </si>
  <si>
    <t>"DaPonte, Maria E" &lt;Maria.DaPonte@cvshealth.com&gt;</t>
  </si>
  <si>
    <t>"Rondinelli, Amy" &lt;Amy.Rondinelli@cvshealth.com&gt;</t>
  </si>
  <si>
    <t>Re: [EXTERNAL] Re: Observepoint allowlisting</t>
  </si>
  <si>
    <t>Hi John,
I was telling my boss about our call yesterday and our plans to resync after the new year re: 2026 goals.
She was interested in being prepared for the contract renewal.  We don't currently "own" that process, but it could end up landing in our lap 🙂 so in order to be prepared we wanted to get our arms around the following:
What is our current contract? Can you send me a copy?
Trying to understand - what package/access we currently have - what that entails.
  *
What ar</t>
  </si>
  <si>
    <t>19b7fa1d4b2f1860</t>
  </si>
  <si>
    <t>Macey Bell &lt;macey.bell@observepoint.com&gt;, "Rondinelli, Amy" &lt;Amy.Rondinelli@cvshealth.com&gt;, Todd Wilkerson &lt;todd.wilkerson@observepoint.com&gt;</t>
  </si>
  <si>
    <t>observepoint.com, cvshealth.com</t>
  </si>
  <si>
    <t>Hey Maria,
I have attached your current signed agreement, which is set to expire on
April 14, 2026.
I have also attached a new agreement for review. It is identical to your
last contract in terms of the length, volume and pricing. It is a two-year
contract, which includes 600k yearly page scans and 6k yearly page
journeys.
While current usage is low due to previous allowlisting challenges, we
expect volume to reach or exceed your limits once your scans are running at
a regular cad</t>
  </si>
  <si>
    <t>19b7fa5115d8af74</t>
  </si>
  <si>
    <t>Thank you!
________________________________
From: John Davis &lt;john.davis@observepoint.com&gt;
Sent: Friday, January 2, 2026 11:54 AM
To: DaPonte, Maria E &lt;Maria.DaPonte@CVSHealth.com&gt;
Cc: Macey Bell &lt;macey.bell@observepoint.com&gt;; Rondinelli, Amy &lt;Amy.Rondinelli@CVSHealth.com&gt;; Todd Wilkerson &lt;todd.wilkerson@observepoint.com&gt;
Subject: Re: [EXTERNAL] Re: Observepoint allowlisting
**** External Email - Use Caution ****
________________________________
Hey Maria,
I have attached your curr</t>
  </si>
  <si>
    <t>19b293b9087b2675</t>
  </si>
  <si>
    <t>"Fe Valencia (MARKETING)" &lt;fe.valencia@ros.com&gt;</t>
  </si>
  <si>
    <t>19b293abb4127807</t>
  </si>
  <si>
    <t>19b241c7c45a3d55</t>
  </si>
  <si>
    <t>Accepted: Meeting with John</t>
  </si>
  <si>
    <t>19b2401712965c8f</t>
  </si>
  <si>
    <t>New Time Proposed: Meeting with John</t>
  </si>
  <si>
    <t>19b23ef480214909</t>
  </si>
  <si>
    <t>Macey Bell &lt;macey.bell@observepoint.com&gt;, fe.valencia@ros.com, tamara.saban@ros.com</t>
  </si>
  <si>
    <t>Sync Up Scheduling</t>
  </si>
  <si>
    <t xml:space="preserve">Hey Tamara and Fe,
It's great to meet you both. I'm taking over as your Customer Success
Manager and am here to make this transition as smooth as possible.
I would love to learn more about your goals for your audits next year and
discuss how we can partner with you to meet and exceed those goals.
Go ahead and pick up a slot to schedule our next meeting and then I will
convert it to a monthly sync moving forward.
Meeting length: 30 Minutes
Time Zone: (GMT-7) MST/Denver
Mon Jan 5 </t>
  </si>
  <si>
    <t>19b23dade27691c3</t>
  </si>
  <si>
    <t>19b23ff73bdf026b</t>
  </si>
  <si>
    <t>Macey Bell &lt;macey.bell@observepoint.com&gt;, "Fe Valencia (MARKETING)" &lt;fe.valencia@ros.com&gt;</t>
  </si>
  <si>
    <t>RE: [EXTERNAL] Sync Up Scheduling</t>
  </si>
  <si>
    <t>Hi John,
It was nice to meet you.
With the upcoming holidays, we really won’t have much of an update until second half of January. How’s your availability around January 23rd?
Thanks,
Tamara
Tamara Saban
Marketing Operations Manager | Ross Stores, Inc.
[A picture containing text, font, logo, graphics  Description automatically generated]
From: John Davis &lt;john.davis@observepoint.com&gt;
Sent: Monday, December 15, 2025 1:34 PM
To: Macey Bell &lt;macey.bell@observepoint.com&gt;; Fe Valenc</t>
  </si>
  <si>
    <t>19b2932816b97f55</t>
  </si>
  <si>
    <t>Re: [EXTERNAL] Sync Up Scheduling</t>
  </si>
  <si>
    <t>Sure thing, it looks like Fe scheduled something on Jan 5th so I will
cancel that and below are some later datetimes in the month that you can
pick from that work for both of you:
Meeting length: 30 Minutes
Time Zone: (GMT-7) MST/Denver
Thu Jan 22 Fri Jan 23 Mon Jan 26 Tue Jan 27 Wed Jan 28
 10:00  AM
&lt;https://observepoint.chilipiper.com/suggested-times/f4cce178-b809-4b33-abe3-cb66903ec289?slotStartsAt=2026-01-22T17:00:00.000Z&gt;
 10:30  AM
&lt;https://observepoint.chilipiper.com/suggested</t>
  </si>
  <si>
    <t>19b12deeefb1f62f</t>
  </si>
  <si>
    <t>Happy Holidays Re: Rebranding Audit and Analysis</t>
  </si>
  <si>
    <t xml:space="preserve">I am off on December 12th, please reach out to support@observepoint.com if 
you have something urgent, otherwise I will get back to you next week, 
thanks!
-- 
*Regards, *
John Davis *   |    * *Customer Success Manager*
Cell: 801.633.6013
john.davis@observepoint.com
www.observepoint.com 
&lt;https://groove.grvlnk4.com/url/typa6byifukvbtijwod94/aHR0cDovL3d3dy5vYnNlcnZlcG9pbnQuY29tLyNncm9vdmVzdW06LTc2MTEwNTM3MA%3D%3D&gt;
</t>
  </si>
  <si>
    <t>19b0fae0be33650c</t>
  </si>
  <si>
    <t>John Davis &lt;john.davis@observepoint.com&gt;, "Tamara Saban (MARKETING)" &lt;tamara.saban@ros.com&gt;, fe.valencia@ros.com</t>
  </si>
  <si>
    <t>Invitation: Ross/ObservePoint TB @ Mon Dec 15, 2025 2pm - 2:30pm (MST) (null)</t>
  </si>
  <si>
    <t>Ross/ObservePoint TB
Monday Dec 15, 2025 ⋅ 2pm – 2:30pm
Mountain Standard Time - Phoenix
Location
Microsoft Teams Meeting	
https://www.google.com/maps/search/Microsoft+Teams+Meeting?hl=en
We’ll talk about the GPC signal testing and the year ahead.
________________________________________________________________________________
Microsoft Teams Need help?
Join the meeting now
Meeting ID: 297 647 782 742 00
Passcode: M7UZ9J6J
________________________________
Join on a video c</t>
  </si>
  <si>
    <t>19b0f3f54e5a50ff</t>
  </si>
  <si>
    <t>Observepoint Initiatives</t>
  </si>
  <si>
    <t>Hey John, as we discussed here's the doc i've been using to track the
initiatives and some notes.
Observepoint Initiatives
   -
   🔴Landing Page Validation 2.0 (Q1)
   - [image: unchecked]
      Arthur Engelhard &lt;arthur.engelhard@mongodb.com&gt; : work with team to
      enable API Feeds to send data from our back end on conversion rate/page
      - [image: checked]
      macey.bell@observepoint.com:
      - [image: checked]
         Make copy of : ObservePoint Landing Pag</t>
  </si>
  <si>
    <t>19b0f36212801f98</t>
  </si>
  <si>
    <t>Macey Bell &lt;macey.bell@observepoint.com&gt;, John Davis &lt;john.davis@observepoint.com&gt;, Fiona Erickson &lt;fiona.erickson@mongodb.com&gt;, Matt Peloquin &lt;matt.peloquin@mongodb.com&gt;</t>
  </si>
  <si>
    <t>Rebranding Audit and Analysis</t>
  </si>
  <si>
    <t>Hey Team,
I want to introduce Matt and Fiona on the Mongo side to Macey and John on
the Observepoint side. John agreed to help us (mostly me) out and push this
one across the finish line. I briefed him on the purpose and some of the
technicals already.
*Next Steps:*
   1. Validate that the results are accurate by comparing the current
   results to a manual test of 2-4 pages.
   2. Update the script/audit so the export of data is easier to ready (use
   browser console logs instea</t>
  </si>
  <si>
    <t>19b0f6cc2a5ba905</t>
  </si>
  <si>
    <t>Re: Rebranding Audit and Analysis</t>
  </si>
  <si>
    <t>Thanks Arthur!
Here is some quick code that I whipped up for you that you could add to
your on-page action javascript, right before your last line of code when
you call opReqGetAsync():
// Log results in a filterable format for audit reports
if (foundAtlas) {
// Summary log with prefix for easy filtering
console.log('[ATLAS_SEARCH_FOUND]', JSON.stringify({
url: window.location.href,
totalMatches: matchCount,
timestamp: new Date().toISOString()
}));
// Individual match logs for de</t>
  </si>
  <si>
    <t>19b12decda34aa53</t>
  </si>
  <si>
    <t>Looking good but seems to be a bit off.
When I run this on the home page (just in my own console), I see some
oddities right off the bat.
It seems to be finding the same link but with different matchedTerm. Also
seems like the calling the first one "[ATLAS_SEARCH_MATCH]" doesn't match
the matchedTerm.  Not sure what is wrong with the code but I think it's
before your newest addition.
[ATLAS_SEARCH_MATCH] {
"url":"https://www.mongodb.com/",
"element":"a.css-14evboh",
"attribute":"hr</t>
  </si>
  <si>
    <t>19b23003884b7ed5</t>
  </si>
  <si>
    <t>Yep I see that. After taking another look, I think its because the code is
looping through each baseTerm in checkValue when it doesn't need to and I
think you might need a Set to make sure there are no duplicate matches on
the same value. Try this updated code:
function opReqGetAsync(paramObject, acct, callback) {
var baseURL = 'https://opreq.observepoint.com/?acct=' + acct;
var opReq = new XMLHttpRequest();
opReq.onreadystatechange = function () {
if (opReq.readyState == 4 &amp;&amp; opReq.st</t>
  </si>
  <si>
    <t>19b31bdd41c0bf72</t>
  </si>
  <si>
    <t>Hey John,
I ran this in a test audit and got an error message. But when I run the
code manually on the home page I do not get an error message.  Can you help
review?
Audit I tested with:
https://mongodb.app.observepoint.com/audit/1779156/run/8481907/report/page-summary
Error message:
[image: image.png]
On Mon, Dec 15, 2025 at 12:13 PM John Davis &lt;john.davis@observepoint.com&gt;
wrote:
&gt; Yep I see that. After taking another look, I think its because the code is
&gt; looping throu</t>
  </si>
  <si>
    <t>19b37ed2e72260c7</t>
  </si>
  <si>
    <t>Hmm it looks like it ran again yesterday and worked? I don't see that
you made any changes to the js code though so I am not sure what happened?
https://mongodb.app.observepoint.com/audit/1779156/run/8510304/report/page-summary
*Regards, *
John Davis *   |    * *Customer Success Manager*
Cell: 801.633.6013
john.davis@observepoint.com
www.observepoint.com
&lt;https://groove.grvlnk4.com/url/typa6byifukvbtijwod94/aHR0cDovL3d3dy5vYnNlcnZlcG9pbnQuY29tLyNncm9vdmVzdW06LTc2MTEwNTM3MA%3D%3D&gt;</t>
  </si>
  <si>
    <t>19b381666db611e9</t>
  </si>
  <si>
    <t xml:space="preserve">odd but Ill take the win.
I am not at my work pc.
Can you update the rebranding audit with the latest code and give it a run?
On Fri, Dec 19, 2025, 1:44 PM John Davis &lt;john.davis@observepoint.com&gt;
wrote:
&gt; Hmm it looks like it ran again yesterday and worked? I don't see that
&gt; you made any changes to the js code though so I am not sure what happened?
&gt;
&gt;
&gt; https://mongodb.app.observepoint.com/audit/1779156/run/8510304/report/page-summary
&gt;
&gt; *Regards, *
&gt;
&gt; John Davis *   |   </t>
  </si>
  <si>
    <t>19b3842f31f4498a</t>
  </si>
  <si>
    <t>Sure thing. I also went head and saved this as an action set so we can
apply to multiple audits or journeys and only have to maintain the code
once:
[image: image.png]
I ran the audit and then went ahead and created this MVP report for you if
you haven't already done so:
https://mongodb.app.observepoint.com/reports/16076
*Regards, *
John Davis *   |    * *Customer Success Manager*
Cell: 801.633.6013
john.davis@observepoint.com
www.observepoint.com
&lt;https://groove.grvlnk4.co</t>
  </si>
  <si>
    <t>19b38767885c285f</t>
  </si>
  <si>
    <t>Ill check it out on monday, thanks john!
On Fri, Dec 19, 2025, 3:18 PM John Davis &lt;john.davis@observepoint.com&gt;
wrote:
&gt; Sure thing. I also went head and saved this as an action set so we can
&gt; apply to multiple audits or journeys and only have to maintain the code
&gt; once:
&gt;
&gt; [image: image.png]
&gt;
&gt; I ran the audit and then went ahead and created this MVP report for you if
&gt; you haven't already done so:
&gt; https://mongodb.app.observepoint.com/reports/16076
&gt;
&gt; *Regards, *
&gt;
&gt; J</t>
  </si>
  <si>
    <t>19b38795d8f7df4f</t>
  </si>
  <si>
    <t>Sounds good, have a great weekend!
*Regards, *
John Davis *   |    * *Customer Success Manager*
Cell: 801.633.6013
john.davis@observepoint.com
www.observepoint.com
&lt;https://groove.grvlnk4.com/url/typa6byifukvbtijwod94/aHR0cDovL3d3dy5vYnNlcnZlcG9pbnQuY29tLyNncm9vdmVzdW06LTc2MTEwNTM3MA%3D%3D&gt;
On Fri, Dec 19, 2025 at 2:14 PM Arthur Engelhard &lt;
arthur.engelhard@mongodb.com&gt; wrote:
&gt; Ill check it out on monday, thanks john!
&gt;
&gt; On Fri, Dec 19, 2025, 3:18 PM John Davis &lt;john.d</t>
  </si>
  <si>
    <t>19b466cbcc5927bf</t>
  </si>
  <si>
    <t>Hey John,
Results are very promising but I found two odd results. Can you review and
troubleshoot?
[image: image.png]
[image: image.png]
On Fri, Dec 19, 2025 at 4:17 PM John Davis &lt;john.davis@observepoint.com&gt;
wrote:
&gt; Sounds good, have a great weekend!
&gt;
&gt; *Regards, *
&gt;
&gt; John Davis *   |    * *Customer Success Manager*
&gt;
&gt; Cell: 801.633.6013
&gt; john.davis@observepoint.com
&gt; www.observepoint.com
&gt; &lt;https://groove.grvlnk4.com/url/typa6byifukvbtijwod94/aHR0cDovL3d3dy5vYnNlc</t>
  </si>
  <si>
    <t>19b4710783f37d4f</t>
  </si>
  <si>
    <t>Arthur Engelhard &lt;arthur.engelhard@mongodb.com&gt;, Macey Bell &lt;macey.bell@observepoint.com&gt;</t>
  </si>
  <si>
    <t>mongodb.com, observepoint.com</t>
  </si>
  <si>
    <t>So both of those errors don't really have anything to do with the code we
wrote honestly. This is my bad, in that report I was filtering down to logs
that included "ATLAS", rather than "ATLAS_SEARCH_MATCH". I have updated
that report and saved it. Try it again when you have a minute.
*Regards, *
John Davis *   |    * *Customer Success Manager*
Cell: 801.633.6013
john.davis@observepoint.com
www.observepoint.com
&lt;https://groove.grvlnk4.com/url/typa6byifukvbtijwod94/aHR0cDovL3d3dy5vY</t>
  </si>
  <si>
    <t>19b477d69acd7269</t>
  </si>
  <si>
    <t>ah got it!
ok kicking off the full audit now.
On Mon, Dec 22, 2025 at 12:17 PM John Davis &lt;john.davis@observepoint.com&gt;
wrote:
&gt; So both of those errors don't really have anything to do with the code we
&gt; wrote honestly. This is my bad, in that report I was filtering down to logs
&gt; that included "ATLAS", rather than "ATLAS_SEARCH_MATCH". I have updated
&gt; that report and saved it. Try it again when you have a minute.
&gt;
&gt; *Regards, *
&gt;
&gt; John Davis *   |    * *Customer Success Manag</t>
  </si>
  <si>
    <t>19b4b83b024f3e96</t>
  </si>
  <si>
    <t>Hey John,
the results are in and the data is too much to export/import into google
sheets.
Can you draft an app script to pull the report results into a google sheet?
On Mon, Dec 22, 2025 at 2:15 PM Arthur Engelhard &lt;
arthur.engelhard@mongodb.com&gt; wrote:
&gt; ah got it!
&gt; ok kicking off the full audit now.
&gt;
&gt; On Mon, Dec 22, 2025 at 12:17 PM John Davis &lt;john.davis@observepoint.com&gt;
&gt; wrote:
&gt;
&gt;&gt; So both of those errors don't really have anything to do with the code we
&gt;&gt; wrote</t>
  </si>
  <si>
    <t>19b94babca98289d</t>
  </si>
  <si>
    <t>hey John, hope you had a good year end.  just following up on this.
On Tue, Dec 23, 2025 at 9:00 AM Arthur Engelhard &lt;
arthur.engelhard@mongodb.com&gt; wrote:
&gt; Hey John,
&gt;
&gt; the results are in and the data is too much to export/import into google
&gt; sheets.
&gt; Can you draft an app script to pull the report results into a google
&gt; sheet?
&gt;
&gt;
&gt; On Mon, Dec 22, 2025 at 2:15 PM Arthur Engelhard &lt;
&gt; arthur.engelhard@mongodb.com&gt; wrote:
&gt;
&gt;&gt; ah got it!
&gt;&gt; ok kicking off the full audit n</t>
  </si>
  <si>
    <t>19b9540029757ead</t>
  </si>
  <si>
    <t>Hey Arthur,
Sorry for the delay on this solution, you can use this sheet:
https://docs.google.com/spreadsheets/d/1kD-y91hfDo_ti7vEaeklnmupMzEamE0ZadK7UhDN1xE/edit?usp=sharing
&lt;https://us-3129.email-composer-webhooks.gong.io/email-tracking/clicked?email-info-token=eyJhbGciOiJIUzI1NiJ9.eyJjb21wYW55SWQiOiI4OTgyMjM2MTQxODc2Mjk3NzAiLCJkcmFmdElkIjoicjgyMDY3Njk0MjEzOTExNDg1ODgiLCJsaW5rVXJsIjoiaHR0cHM6Ly9kb2NzLmdvb2dsZS5jb20vc3ByZWFkc2hlZXRzL2QvMWtELXk5MWhmRG9fdGk3dkVhZWtsbm11cE16RWFtRTBaYWRLN1VoRE</t>
  </si>
  <si>
    <t>19b98c36b63714bf</t>
  </si>
  <si>
    <t>Awesome, thanks!
Made a copy and i've started working on analyzing it.
On Tue, Jan 6, 2026 at 4:39 PM John Davis &lt;john.davis@observepoint.com&gt;
wrote:
&gt; Hey Arthur,
&gt;
&gt; Sorry for the delay on this solution, you can use this sheet:
&gt;
&gt; https://docs.google.com/spreadsheets/d/1kD-y91hfDo_ti7vEaeklnmupMzEamE0ZadK7UhDN1xE/edit?usp=sharing
&gt; &lt;https://us-3129.email-composer-webhooks.gong.io/email-tracking/clicked?email-info-token=eyJhbGciOiJIUzI1NiJ9.eyJjb21wYW55SWQiOiI4OTgyMjM2MTQxODc2Mjk3</t>
  </si>
  <si>
    <t>19b0e2e52cbb2af5</t>
  </si>
  <si>
    <t>Arthur Engelhard &lt;arthur.engelhard@mongodb.com&gt;, John Davis &lt;john.davis@observepoint.com&gt;</t>
  </si>
  <si>
    <t>Today's sync</t>
  </si>
  <si>
    <t>Hey Arthur!
I want to come prepared to our sync and since we had summit and then I was
traveling, I wanted to touch base with you and check in on anything I may
need to follow up on before we meet today. I know you had a few items
support helped on while I was out- is there anything still pending?
I think there's been a lot of confusion regarding the email links
specifically so I think today we can just go over as much detail as
possible together to provide to team for those specifica</t>
  </si>
  <si>
    <t>19b0e3fcd611c32e</t>
  </si>
  <si>
    <t>Re: Today's sync</t>
  </si>
  <si>
    <t>Hey Macey,
Thanks for reaching out.
We should focus on email validation. I had to put that on pause but need to
confirm it's not impacting our usage.
We should also discuss the rebranding audit and how to proceed with that.
On Thu, Dec 11, 2025 at 11:11 AM Macey Bell &lt;macey.bell@observepoint.com&gt;
wrote:
&gt; Hey Arthur!
&gt;
&gt; I want to come prepared to our sync and since we had summit and then I was
&gt; traveling, I wanted to touch base with you and check in on anything I may
&gt; need to</t>
  </si>
  <si>
    <t>19b0defaf7886387</t>
  </si>
  <si>
    <t>John Davis &lt;john.davis@observepoint.com&gt;, chandra.guin@contractor.optavia.com, sonia.turumopula@contractor.optavia.com, grace.stafford@optavia.com</t>
  </si>
  <si>
    <t>observepoint.com, contractor.optavia.com, optavia.com</t>
  </si>
  <si>
    <t>Updated invitation: ObservePoint | Medifast - Sync @ Thu Dec 18, 2025 8am - 8:30am (MST) (John Davis)</t>
  </si>
  <si>
    <t>This event has been updated
Changed: time
ObservePoint | Medifast - Sync
Thursday Dec 18, 2025 ⋅ 8am – 8:30am
Mountain Time - Denver
Join Zoom Meeting
https://observepoint.zoom.us/j/3742631971?pwd=Z2JhWG1yV1ZtOVBnMVZaRDR0bjVDZz09&amp;omn=93743732863&amp;jst=2
Join by phone
(US) +1 888-788-0099
passcode: 318688
Joining instructions
https://www.google.com/url?q=https://applications.zoom.us/addon/invitation/detail?meetingUuid%3D4qw8oTNrSqGn1q2%252FojvG2g%253D%253D%26signature%3Dae7</t>
  </si>
  <si>
    <t>19b0dea803c8a17b</t>
  </si>
  <si>
    <t>Sonia Turumopula &lt;Sonia.Turumopula@contractor.optavia.com&gt;, John Davis &lt;john.davis@observepoint.com&gt;</t>
  </si>
  <si>
    <t>contractor.optavia.com, observepoint.com</t>
  </si>
  <si>
    <t>Re: New Time Proposed: ObservePoint | Medifast - Sync</t>
  </si>
  <si>
    <t>Hi Sonia!
You will actually have a new primary contact in John Davis moving forward
and I was hoping to introduce him as your new CSM. If this morning is a bad
time can we reschedule to make introductions?
On Thu, Dec 11, 2025 at 7:54 AM Sonia Turumopula &lt;
Sonia.Turumopula@contractor.optavia.com&gt; wrote:
&gt; Hi Macey,
&gt;
&gt; We don't have much to discus. We can pass this meeting. We will reach out
&gt; to you if we need anything.
&gt;
&gt; Thanks you..!
&gt; =====================================</t>
  </si>
  <si>
    <t>19aba6e2a7634761</t>
  </si>
  <si>
    <t>John Davis &lt;john.davis@observepoint.com&gt;, tamara.saban@ros.com</t>
  </si>
  <si>
    <t>Invitation with note: ObservePoint | Ross - Sync @ Tue Dec 9, 2025 2:30pm - 3pm (MST) (John Davis)</t>
  </si>
  <si>
    <t>You have been invited to the following event with this note:
"Adding my zoom link!"
ObservePoint | Ross - Sync
Tuesday Dec 9, 2025 ⋅ 2:30pm – 3pm
Mountain Time - Denver
Join Zoom Meeting
https://observepoint.zoom.us/j/3742631971?pwd=Z2JhWG1yV1ZtOVBnMVZaRDR0bjVDZz09&amp;omn=96047558343&amp;jst=2
Join by phone
(US) +1 888-788-0099
passcode: 318688
Joining instructions
https://www.google.com/url?q=https://applications.zoom.us/addon/invitation/detail?meetingUuid%3DxnSdLxovRZS8%252BcfN</t>
  </si>
  <si>
    <t>19aba383bfe642f8</t>
  </si>
  <si>
    <t>John Davis &lt;john.davis@observepoint.com&gt;, eric.bauer@cvshealth.com, "Rondinelli, Amy" &lt;amy.rondinelli@cvshealth.com&gt;</t>
  </si>
  <si>
    <t>Invitation: ObservePoint | CVS - Sync @ Every 2 weeks from 10:30am to 11am on Thursday (MST) (John Davis)</t>
  </si>
  <si>
    <t>ObservePoint | CVS - Sync
Every 2 weeks from 10:30am to 11am on Thursday
Mountain Time - Denver
Join Zoom Meeting
https://observepoint.zoom.us/j/3742631971?pwd=Z2JhWG1yV1ZtOVBnMVZaRDR0bjVDZz09&amp;omn=99507586359
Join by phone
(US) +1 888-788-0099
passcode: 318688
Joining instructions
https://www.google.com/url?q=https://applications.zoom.us/addon/invitation/detail?meetingUuid%3Dv6Pmec%252FyTjGtc7fBgDeL3w%253D%253D%26signature%3D462bd71da85c406e7d026b26b2fddddb21d67ab4dd5258affa55</t>
  </si>
  <si>
    <t>19aba3469532a375</t>
  </si>
  <si>
    <t>John Davis &lt;john.davis@observepoint.com&gt;, arthur.engelhard@mongodb.com</t>
  </si>
  <si>
    <t>Invitation: ObservePoint | MongoDB - Sync @ Every 4 weeks from 10:30am to 11am on Thursday (MST) (John Davis)</t>
  </si>
  <si>
    <t>ObservePoint | MongoDB - Sync
Every 4 weeks from 10:30am to 11am on Thursday
Mountain Time - Denver
Join Zoom Meeting
https://observepoint.zoom.us/j/3742631971?pwd=Z2JhWG1yV1ZtOVBnMVZaRDR0bjVDZz09&amp;omn=98359001988&amp;jst=2
Join by phone
(US) +1 888-788-0099
passcode: 318688
Joining instructions
https://www.google.com/url?q=https://applications.zoom.us/addon/invitation/detail?meetingUuid%3DW6OqXUlmTd6DGrCY5v%252F6pQ%253D%253D%26signature%3D15a287520b01937d1299ce1ed7ea825ceffc957e64</t>
  </si>
  <si>
    <t>19aba33fb7bc3545</t>
  </si>
  <si>
    <t>Invitation: ObservePoint | Medifast - Sync @ Every 4 weeks from 8am to 8:30am on Thursday (MST) (John Davis)</t>
  </si>
  <si>
    <t>ObservePoint | Medifast - Sync
Every 4 weeks from 8am to 8:30am on Thursday
Mountain Time - Denver
Join Zoom Meeting
https://observepoint.zoom.us/j/3742631971?pwd=Z2JhWG1yV1ZtOVBnMVZaRDR0bjVDZz09&amp;omn=93743732863&amp;jst=2
Join by phone
(US) +1 888-788-0099
passcode: 318688
Joining instructions
https://www.google.com/url?q=https://applications.zoom.us/addon/invitation/detail?meetingUuid%3D4qw8oTNrSqGn1q2%252FojvG2g%253D%253D%26signature%3Dae7b20b651620264d1b8fe8ece4e45e1487b20b6a9f</t>
  </si>
  <si>
    <t>19b95016f19dcaf3</t>
  </si>
  <si>
    <t>keary.pedroza@tyson.com</t>
  </si>
  <si>
    <t xml:space="preserve"> Email Template 
See how your auditing and governance efforts paid off in 2025. 
 ‌ ‌ ‌ ‌ ‌ ‌ ‌ ‌ ‌ ‌ ‌ ‌ ‌ ‌ ‌ ‌ ‌ ‌ 
[image: ObservePoint Logo] 
[image: 2025 Year in Review] 
What Did Your Website Audits Reveal Last Year? 
50 
Unique Pages Scanned 
2 
Domains Scanned 
Tyson Foods 
REPORT PERIOD 
Since Jan 1, 2025 
Top 10 Domains Unique Pages Scanned Last Scan 
www.tysonfoodservice.com 
&lt;https://go.observepoint.com/dc/bvWZwqRykD81pn2bieRDY24z-2KJztkuV2zvSECyJoM=/NDQyLU1EUi0zNTkAAAGfM_nbRpQ4BT</t>
  </si>
  <si>
    <t>19b95016de73c0a3</t>
  </si>
  <si>
    <t>landon.meriweather@tyson.com</t>
  </si>
  <si>
    <t xml:space="preserve"> Email Template 
See how your auditing and governance efforts paid off in 2025. 
 ‌ ‌ ‌ ‌ ‌ ‌ ‌ ‌ ‌ ‌ ‌ ‌ ‌ ‌ ‌ ‌ ‌ ‌ 
[image: ObservePoint Logo] 
[image: 2025 Year in Review] 
What Did Your Website Audits Reveal Last Year? 
50 
Unique Pages Scanned 
2 
Domains Scanned 
Tyson Foods 
REPORT PERIOD 
Since Jan 1, 2025 
Top 10 Domains Unique Pages Scanned Last Scan 
www.tysonfoodservice.com 
&lt;https://go.observepoint.com/dc/bvWZwqRykD81pn2bieRDY24z-2KJztkuV2zvSECyJoM=/NDQyLU1EUi0zNTkAAAGfM_na7Hk2m1</t>
  </si>
  <si>
    <t>19b95016b4ccd160</t>
  </si>
  <si>
    <t>brook.thomas@tyson.com</t>
  </si>
  <si>
    <t xml:space="preserve"> Email Template 
See how your auditing and governance efforts paid off in 2025. 
 ‌ ‌ ‌ ‌ ‌ ‌ ‌ ‌ ‌ ‌ ‌ ‌ ‌ ‌ ‌ ‌ ‌ ‌ 
[image: ObservePoint Logo] 
[image: 2025 Year in Review] 
What Did Your Website Audits Reveal Last Year? 
50 
Unique Pages Scanned 
2 
Domains Scanned 
Tyson Foods 
REPORT PERIOD 
Since Jan 1, 2025 
Top 10 Domains Unique Pages Scanned Last Scan 
www.tysonfoodservice.com 
&lt;https://go.observepoint.com/dc/bvWZwqRykD81pn2bieRDY24z-2KJztkuV2zvSECyJoM=/NDQyLU1EUi0zNTkAAAGfM_na3lZHw_</t>
  </si>
  <si>
    <t>19b9501695b4ff02</t>
  </si>
  <si>
    <t>dave.neels@tyson.com</t>
  </si>
  <si>
    <t xml:space="preserve"> Email Template 
See how your auditing and governance efforts paid off in 2025. 
 ‌ ‌ ‌ ‌ ‌ ‌ ‌ ‌ ‌ ‌ ‌ ‌ ‌ ‌ ‌ ‌ ‌ ‌ 
[image: ObservePoint Logo] 
[image: 2025 Year in Review] 
What Did Your Website Audits Reveal Last Year? 
50 
Unique Pages Scanned 
2 
Domains Scanned 
Tyson Foods 
REPORT PERIOD 
Since Jan 1, 2025 
Top 10 Domains Unique Pages Scanned Last Scan 
www.tysonfoodservice.com 
&lt;https://go.observepoint.com/dc/bvWZwqRykD81pn2bieRDY24z-2KJztkuV2zvSECyJoM=/NDQyLU1EUi0zNTkAAAGfM_naoisxiD</t>
  </si>
  <si>
    <t>19b950163c546c7d</t>
  </si>
  <si>
    <t>alex.tummons@tyson.com</t>
  </si>
  <si>
    <t xml:space="preserve"> Email Template 
See how your auditing and governance efforts paid off in 2025. 
 ‌ ‌ ‌ ‌ ‌ ‌ ‌ ‌ ‌ ‌ ‌ ‌ ‌ ‌ ‌ ‌ ‌ ‌ 
[image: ObservePoint Logo] 
[image: 2025 Year in Review] 
What Did Your Website Audits Reveal Last Year? 
50 
Unique Pages Scanned 
2 
Domains Scanned 
Tyson Foods 
REPORT PERIOD 
Since Jan 1, 2025 
Top 10 Domains Unique Pages Scanned Last Scan 
www.tysonfoodservice.com 
&lt;https://go.observepoint.com/dc/bvWZwqRykD81pn2bieRDY24z-2KJztkuV2zvSECyJoM=/NDQyLU1EUi0zNTkAAAGfM_nWiNFruM</t>
  </si>
  <si>
    <t>19b95015aafa0868</t>
  </si>
  <si>
    <t>ellie.mayberry@tyson.com</t>
  </si>
  <si>
    <t xml:space="preserve"> Email Template 
See how your auditing and governance efforts paid off in 2025. 
 ‌ ‌ ‌ ‌ ‌ ‌ ‌ ‌ ‌ ‌ ‌ ‌ ‌ ‌ ‌ ‌ ‌ ‌ 
[image: ObservePoint Logo] 
[image: 2025 Year in Review] 
What Did Your Website Audits Reveal Last Year? 
50 
Unique Pages Scanned 
2 
Domains Scanned 
Tyson Foods 
REPORT PERIOD 
Since Jan 1, 2025 
Top 10 Domains Unique Pages Scanned Last Scan 
www.tysonfoodservice.com 
&lt;https://go.observepoint.com/dc/bvWZwqRykD81pn2bieRDY24z-2KJztkuV2zvSECyJoM=/NDQyLU1EUi0zNTkAAAGfM_nUlMrnFa</t>
  </si>
  <si>
    <t>19b9501566e9c897</t>
  </si>
  <si>
    <t>jlmoore@rdoffutt.com</t>
  </si>
  <si>
    <t xml:space="preserve"> Email Template 
See how your auditing and governance efforts paid off in 2025. 
 ‌ ‌ ‌ ‌ ‌ ‌ ‌ ‌ ‌ ‌ ‌ ‌ ‌ ‌ ‌ ‌ ‌ ‌ 
[image: ObservePoint Logo] 
[image: 2025 Year in Review] 
What Did Your Website Audits Reveal Last Year? 
5,645 
Unique Pages Scanned 
37 
Domains Scanned 
RDO Equipment Co. 
REPORT PERIOD 
Since Jan 1, 2025 
Top 10 Domains Unique Pages Scanned Last Scan 
www.rdoequipment.com 
&lt;https://go.observepoint.com/dc/ZUVwf1jA1r5OO4vG4YKQap1K2ypAhV3Rq3_MDDZozno=/NDQyLU1EUi0zNTkAAAGfM_nO</t>
  </si>
  <si>
    <t>19b9501552e25b7c</t>
  </si>
  <si>
    <t>tarun.sharma@agilent.com</t>
  </si>
  <si>
    <t xml:space="preserve"> Email Template 
See how your auditing and governance efforts paid off in 2025. 
 ‌ ‌ ‌ ‌ ‌ ‌ ‌ ‌ ‌ ‌ ‌ ‌ ‌ ‌ ‌ ‌ ‌ ‌ 
[image: ObservePoint Logo] 
[image: 2025 Year in Review] 
What Did Your Website Audits Reveal Last Year? 
6,867 
Unique Pages Scanned 
29 
Domains Scanned 
Agilent Technologies 
REPORT PERIOD 
Since Jan 1, 2025 
Top 10 Domains Unique Pages Scanned Last Scan 
www.agilent.com 
&lt;https://go.observepoint.com/dc/YZdgvqwbGRw5vplqwcDuFGZlgwNaBB8vIJOOKqmBDI8=/NDQyLU1EUi0zNTkAAAGfM_nOtD</t>
  </si>
  <si>
    <t>19b950151b39a46d</t>
  </si>
  <si>
    <t>"tarun.sharma@agilent.com" &lt;tarun.sharma@agilent.com&gt;</t>
  </si>
  <si>
    <t>Automatic reply: In case you missed it: Here's Your 2025 ObservePoint Year in Review</t>
  </si>
  <si>
    <t xml:space="preserve">Hi,
Thank you for your message. I’m OOO from 12/20/2025 to 01/25/2026 and won’t be able to respond to the emails.
</t>
  </si>
  <si>
    <t>19b95014abc69b41</t>
  </si>
  <si>
    <t>appar.singh@agilent.com</t>
  </si>
  <si>
    <t xml:space="preserve"> Email Template 
See how your auditing and governance efforts paid off in 2025. 
 ‌ ‌ ‌ ‌ ‌ ‌ ‌ ‌ ‌ ‌ ‌ ‌ ‌ ‌ ‌ ‌ ‌ ‌ 
[image: ObservePoint Logo] 
[image: 2025 Year in Review] 
What Did Your Website Audits Reveal Last Year? 
6,867 
Unique Pages Scanned 
29 
Domains Scanned 
Agilent Technologies 
REPORT PERIOD 
Since Jan 1, 2025 
Top 10 Domains Unique Pages Scanned Last Scan 
www.agilent.com 
&lt;https://go.observepoint.com/dc/YZdgvqwbGRw5vplqwcDuFGZlgwNaBB8vIJOOKqmBDI8=/NDQyLU1EUi0zNTkAAAGfM_nO9M</t>
  </si>
  <si>
    <t>19b9501472752870</t>
  </si>
  <si>
    <t>filippo_caprioli@ziffdavis.com</t>
  </si>
  <si>
    <t xml:space="preserve"> Email Template 
See how your auditing and governance efforts paid off in 2025. 
 ‌ ‌ ‌ ‌ ‌ ‌ ‌ ‌ ‌ ‌ ‌ ‌ ‌ ‌ ‌ ‌ ‌ ‌ 
[image: ObservePoint Logo] 
[image: 2025 Year in Review] 
What Did Your Website Audits Reveal Last Year? 
89 
Unique Pages Scanned 
63 
Domains Scanned 
Ziff Davis 
REPORT PERIOD 
Since Jan 1, 2025 
Top 10 Domains Unique Pages Scanned Last Scan 
www.cnet.com 
&lt;https://go.observepoint.com/dc/eAlmurErtz2aWZqbCI0C9twLDFnDWP7UAd74EQL8-2co8AFJxgeiCV8qUmZYzYWJ/NDQyLU1EUi0zNTkAAAGfM_</t>
  </si>
  <si>
    <t>19b950145aab31ea</t>
  </si>
  <si>
    <t>julianna_orgel-eaton@ziffdavis.com</t>
  </si>
  <si>
    <t>19b950144a06468a</t>
  </si>
  <si>
    <t>david.castagnola@ziffdavis.com</t>
  </si>
  <si>
    <t>19b95014406eb90c</t>
  </si>
  <si>
    <t>preston.tyler@brunswick.com</t>
  </si>
  <si>
    <t xml:space="preserve"> Email Template 
See how your auditing and governance efforts paid off in 2025. 
 ‌ ‌ ‌ ‌ ‌ ‌ ‌ ‌ ‌ ‌ ‌ ‌ ‌ ‌ ‌ ‌ ‌ ‌ 
[image: ObservePoint Logo] 
[image: 2025 Year in Review] 
What Did Your Website Audits Reveal Last Year? 
26 
Unique Pages Scanned 
2 
Domains Scanned 
Brunswick 
REPORT PERIOD 
Since Jan 1, 2025 
Top 10 Domains Unique Pages Scanned Last Scan 
communications2.mercurymarine.com 
&lt;https://go.observepoint.com/dc/-iZETf1AxYSZjrqoK1VgyLbUmh9W56SAlzVB9V0rhbn0K7kosjpf353Y7mLBf9dL/NDQ</t>
  </si>
  <si>
    <t>19b9501430a43a2e</t>
  </si>
  <si>
    <t>joey.fortuna@ziffdavis.com</t>
  </si>
  <si>
    <t>19b95013fb1baf5c</t>
  </si>
  <si>
    <t>robert.taylor@ziffdavis.com</t>
  </si>
  <si>
    <t>19b95013f70922cd</t>
  </si>
  <si>
    <t>john_sechrist@ziffdavis.com</t>
  </si>
  <si>
    <t>19b95013396b7fcd</t>
  </si>
  <si>
    <t>ashton.cothren@tyson.com</t>
  </si>
  <si>
    <t xml:space="preserve"> Email Template 
See how your auditing and governance efforts paid off in 2025. 
 ‌ ‌ ‌ ‌ ‌ ‌ ‌ ‌ ‌ ‌ ‌ ‌ ‌ ‌ ‌ ‌ ‌ ‌ 
[image: ObservePoint Logo] 
[image: 2025 Year in Review] 
What Did Your Website Audits Reveal Last Year? 
50 
Unique Pages Scanned 
2 
Domains Scanned 
Tyson Foods 
REPORT PERIOD 
Since Jan 1, 2025 
Top 10 Domains Unique Pages Scanned Last Scan 
www.tysonfoodservice.com 
&lt;https://go.observepoint.com/dc/bvWZwqRykD81pn2bieRDY24z-2KJztkuV2zvSECyJoM=/NDQyLU1EUi0zNTkAAAGfM_nJVHPbzr</t>
  </si>
  <si>
    <t>19b9501304deda54</t>
  </si>
  <si>
    <t>varun.isaac@agilent.com</t>
  </si>
  <si>
    <t xml:space="preserve"> Email Template 
See how your auditing and governance efforts paid off in 2025. 
 ‌ ‌ ‌ ‌ ‌ ‌ ‌ ‌ ‌ ‌ ‌ ‌ ‌ ‌ ‌ ‌ ‌ ‌ 
[image: ObservePoint Logo] 
[image: 2025 Year in Review] 
What Did Your Website Audits Reveal Last Year? 
6,867 
Unique Pages Scanned 
29 
Domains Scanned 
Agilent Technologies 
REPORT PERIOD 
Since Jan 1, 2025 
Top 10 Domains Unique Pages Scanned Last Scan 
www.agilent.com 
&lt;https://go.observepoint.com/dc/YZdgvqwbGRw5vplqwcDuFGZlgwNaBB8vIJOOKqmBDI8=/NDQyLU1EUi0zNTkAAAGfM_nIqf</t>
  </si>
  <si>
    <t>19b95012ad5303ff</t>
  </si>
  <si>
    <t>brad.weidner@brunswick.com</t>
  </si>
  <si>
    <t>19b950129b064e48</t>
  </si>
  <si>
    <t>sarah.warzecha@brunswick.com</t>
  </si>
  <si>
    <t>19b9501224380395</t>
  </si>
  <si>
    <t>justin.yee@agilent.com</t>
  </si>
  <si>
    <t xml:space="preserve"> Email Template 
See how your auditing and governance efforts paid off in 2025. 
 ‌ ‌ ‌ ‌ ‌ ‌ ‌ ‌ ‌ ‌ ‌ ‌ ‌ ‌ ‌ ‌ ‌ ‌ 
[image: ObservePoint Logo] 
[image: 2025 Year in Review] 
What Did Your Website Audits Reveal Last Year? 
6,867 
Unique Pages Scanned 
29 
Domains Scanned 
Agilent Technologies 
REPORT PERIOD 
Since Jan 1, 2025 
Top 10 Domains Unique Pages Scanned Last Scan 
www.agilent.com 
&lt;https://go.observepoint.com/dc/YZdgvqwbGRw5vplqwcDuFGZlgwNaBB8vIJOOKqmBDI8=/NDQyLU1EUi0zNTkAAAGfM_nCZ_</t>
  </si>
  <si>
    <t>19b95012178a9dae</t>
  </si>
  <si>
    <t>venkata.mallepudi@agilent.com</t>
  </si>
  <si>
    <t xml:space="preserve"> Email Template 
See how your auditing and governance efforts paid off in 2025. 
 ‌ ‌ ‌ ‌ ‌ ‌ ‌ ‌ ‌ ‌ ‌ ‌ ‌ ‌ ‌ ‌ ‌ ‌ 
[image: ObservePoint Logo] 
[image: 2025 Year in Review] 
What Did Your Website Audits Reveal Last Year? 
6,867 
Unique Pages Scanned 
29 
Domains Scanned 
Agilent Technologies 
REPORT PERIOD 
Since Jan 1, 2025 
Top 10 Domains Unique Pages Scanned Last Scan 
www.agilent.com 
&lt;https://go.observepoint.com/dc/YZdgvqwbGRw5vplqwcDuFGZlgwNaBB8vIJOOKqmBDI8=/NDQyLU1EUi0zNTkAAAGfM_nD67</t>
  </si>
  <si>
    <t>19b471fb2eb09fad</t>
  </si>
  <si>
    <t>John Davis &lt;john.davis@observepoint.com&gt;, justin.yee@agilent.com, venkata.mallepudi@agilent.com, varun.isaac@agilent.com</t>
  </si>
  <si>
    <t>observepoint.com, agilent.com</t>
  </si>
  <si>
    <t>Updated invitation: ObservePoint | Agilent - Sync @ Tue Dec 23, 2025 10:30am - 11am (MST) (John Davis)</t>
  </si>
  <si>
    <t>This event has been updated
Changed: time
ObservePoint | Agilent - Sync
Tuesday Dec 23, 2025 ⋅ 10:30am – 11am
Mountain Time - Denver
Join Zoom Meeting
https://observepoint.zoom.us/j/3742631971?pwd=Z2JhWG1yV1ZtOVBnMVZaRDR0bjVDZz09&amp;omn=98949187096
Join by phone
(US) +1 888-788-0099
passcode: 318688
Joining instructions
https://www.google.com/url?q=https://applications.zoom.us/addon/invitation/detail?meetingUuid%3Dul%252BSNSufTRCODW80j33fVQ%253D%253D%26signature%3Ddf9b0fa75</t>
  </si>
  <si>
    <t>19b38ac51364226a</t>
  </si>
  <si>
    <t>Invitation: ObservePoint | Agilent - Sync @ Mon Dec 22, 2025 2pm - 2:30pm (MST) (John Davis)</t>
  </si>
  <si>
    <t>ObservePoint | Agilent - Sync
Monday Dec 22, 2025 ⋅ 2pm – 2:30pm
Mountain Time - Denver
Join Zoom Meeting
https://observepoint.zoom.us/j/3742631971?pwd=Z2JhWG1yV1ZtOVBnMVZaRDR0bjVDZz09&amp;omn=98949187096
Join by phone
(US) +1 888-788-0099
passcode: 318688
Joining instructions
https://www.google.com/url?q=https://applications.zoom.us/addon/invitation/detail?meetingUuid%3Dul%252BSNSufTRCODW80j33fVQ%253D%253D%26signature%3Ddf9b0fa75e9fcfeeafa1296dc23c5ab3b4dd23278369d9b650ff2fe11a62</t>
  </si>
  <si>
    <t>19b349e81a0d0185</t>
  </si>
  <si>
    <t>Bryce Bergen &lt;bryce.bergen@observepoint.com&gt;</t>
  </si>
  <si>
    <t>Brad Weidner &lt;brad.weidner@brunswick.com&gt;, John Davis &lt;john.davis@observepoint.com&gt;</t>
  </si>
  <si>
    <t>brunswick.com, observepoint.com</t>
  </si>
  <si>
    <t>Brad, let me introduce your new CSM John</t>
  </si>
  <si>
    <t>Brad,
It's been a while.  I hope this finds you well.
Due to recent growth, we've added some new faces to our customer success
team.  I'd like to introduce you to your new customer success manager, @John
Davis &lt;john.davis@observepoint.com&gt;.  John will be your primary point of
contact for ongoing support.
Being we haven't connected in a while and with John now taking over your
account, I'd love to find 15 minutes in the next few days or after the
holiday break to jump on a Zoom and in</t>
  </si>
  <si>
    <t>19b9a41cec80d98b</t>
  </si>
  <si>
    <t>Brad Weidner &lt;Brad.Weidner@brunswick.com&gt;</t>
  </si>
  <si>
    <t>Bryce Bergen &lt;bryce.bergen@observepoint.com&gt;, John Davis &lt;john.davis@observepoint.com&gt;</t>
  </si>
  <si>
    <t>RE: Brad, let me introduce your new CSM John</t>
  </si>
  <si>
    <t>Hi Bryce,
I was out for the holiday weeks.
Nice to meet you, John. Let’s sync up next week!
This data is internal to Brunswick.
From: Bryce Bergen &lt;bryce.bergen@observepoint.com&gt;
Sent: Thursday, December 18, 2025 9:19 PM
To: Brad Weidner &lt;Brad.Weidner@brunswick.com&gt;; John Davis &lt;john.davis@observepoint.com&gt;
Subject: Brad, let me introduce your new CSM John
** CAUTION: External email, be careful with links and attachments. **
Brad,
It's been a while.  I hope this finds you</t>
  </si>
  <si>
    <t>19b9a45281617d3b</t>
  </si>
  <si>
    <t>Re: Brad, let me introduce your new CSM John</t>
  </si>
  <si>
    <t xml:space="preserve">Hey Brad,
It's nice to meet you as well, I look forward to working with you and I
hope to make this transition as smooth as possible.
Here are some available slots for Bryce and I next week, feel free to grab
one that works for you:
Meeting length: 30 Minutes
Time Zone: (GMT-7) MST/Denver
Mon Jan 12 Tue Jan 13 Wed Jan 14 Thu Jan 15 Fri Jan 16
 10:00  AM
&lt;https://observepoint.chilipiper.com/suggested-times/042dce12-4e95-4e21-82ef-6f551a6f0e77?slotStartsAt=2026-01-12T17:00:00.000Z&gt;
</t>
  </si>
  <si>
    <t>19b9a660cf3498ad</t>
  </si>
  <si>
    <t>Brad,
I hope you had a good holiday break.  Welcome back.
I just want to make sure that you're meeting with John regularly and
getting the most from ObservePoint.  I'm here as a point of support as well
if you need anything.
How are we doing so far at helping you meet the goals and requirements you
had for ObservePoint?
*Regards, *
Bryce Bergen *   |    * *Senior Account Executive*
Cell: 801.913.4463
bryce.bergen@observepoint.com
www.observepoint.com
&lt;https://www.observep</t>
  </si>
  <si>
    <t>19b29459b057fc04</t>
  </si>
  <si>
    <t>Eric Nordin &lt;enordin@rdoffutt.com&gt;, Bradley Fergel &lt;bfergel@rdoffutt.com&gt;, Jordan Moore &lt;JLMoore@rdoffutt.com&gt;, Macey Bell &lt;macey.bell@observepoint.com&gt;</t>
  </si>
  <si>
    <t>rdoffutt.com, observepoint.com</t>
  </si>
  <si>
    <t>Setup Monthly Sync Up</t>
  </si>
  <si>
    <t>It was great to meet you all today, I look forward to working with you in
the future on your existing tags projects and new privacy projects.
Here are some available times that we could setup for monthly recurring
sync ups, feel free to grab one that works for everyone on your end:
Meeting length: 30 Minutes
Time Zone: (GMT-7) MST/Denver
Tue Jan 6 Wed Jan 7 Thu Jan 8 Fri Jan 9
 11:00  AM
&lt;https://observepoint.chilipiper.com/suggested-times/1a8b8305-382d-4a21-b04a-b86f2baa819c?slotSta</t>
  </si>
  <si>
    <t>19b293edc840e23e</t>
  </si>
  <si>
    <t>19b293eea44104d3</t>
  </si>
  <si>
    <t>Filippo Caprioli &lt;filippo_caprioli@ziffdavis.com&gt;</t>
  </si>
  <si>
    <t>Accepted: ObservePoint | Ziff Davis Inc. 60 min Sync @ Tue Feb 3, 2026 10am - 11am (MST) (john.davis@observepoint.com)</t>
  </si>
  <si>
    <t>Filippo Caprioli has accepted this invitation.
ObservePoint | Ziff Davis Inc. 60 min Sync
Tuesday Feb 3, 2026 ⋅ 10am – 11am
Mountain Time - Denver
Join Zoom Meeting
https://observepoint.zoom.us/j/3628593272?pwd=OfxX2kwpsuA5labBaZXephHbiAXlz9.1&amp;omn=91817608945&amp;jst=2
Join by phone
(US) +1 877-853-5247
passcode: 183089
Joining instructions
https://www.google.com/url?q=https://applications.zoom.us/addon/invitation/detail?meetingUuid%3D%252BxDqK6eKTw2WS8m7taevvw%253D%253D%26sign</t>
  </si>
  <si>
    <t>19b09c208fdca116</t>
  </si>
  <si>
    <t>Robert Taylor &lt;robert.taylor@ziffdavis.com&gt;</t>
  </si>
  <si>
    <t>john.davis@observepoint.com, macey.bell@observepoint.com, Filippo Caprioli &lt;filippo_caprioli@ziffdavis.com&gt;</t>
  </si>
  <si>
    <t>observepoint.com, ziffdavis.com</t>
  </si>
  <si>
    <t>Invitation: ObservePoint/ZD checkin @ Tue Dec 16, 2025 1:30pm - 2pm (MST) (john.davis@observepoint.com)</t>
  </si>
  <si>
    <t>ObservePoint/ZD checkin
Tuesday Dec 16, 2025 ⋅ 1:30pm – 2pm
Mountain Time - Denver
Join with Google Meet
https://meet.google.com/mak-adnp-myd?hs=224
Join by phone
(US) +1 413-276-7136
PIN: 575621145
More phone numbers
https://tel.meet/mak-adnp-myd?pin=9333801669147&amp;hs=0
Organizer
Robert Taylor
robert.taylor@ziffdavis.com
Guests
Robert Taylor - organizer
john.davis@observepoint.com
macey.bell@observepoint.com
Filippo Caprioli
View all guest info  
https://calen</t>
  </si>
  <si>
    <t>19ae466fd750fa6e</t>
  </si>
  <si>
    <t>"bfergel@rdoffutt.com (Google Calendar)" &lt;calendar-notification@google.com&gt;</t>
  </si>
  <si>
    <t>Accepted: ObservePoint | R.D. Offutt Company @ Tue Dec 16, 2025 8am - 8:30am (MST) (john.davis@observepoint.com)</t>
  </si>
  <si>
    <t>bfergel@rdoffutt.com has accepted this invitation.
ObservePoint | R.D. Offutt Company
Tuesday Dec 16, 2025 ⋅ 8am – 8:30am
Mountain Time - Denver
Join Zoom Meeting
https://observepoint.zoom.us/j/3628593272?pwd=OfxX2kwpsuA5labBaZXephHbiAXlz9.1&amp;omn=99334278643&amp;jst=2
Join by phone
(US) +1 877-853-5247
passcode: 183089
Joining instructions
https://www.google.com/url?q=https://applications.zoom.us/addon/invitation/detail?meetingUuid%3DF7%252BqkLGUR2u6XDPBECp8AA%253D%253D%26signat</t>
  </si>
  <si>
    <t>19ae1545baa66648</t>
  </si>
  <si>
    <t>"Moore, Jordan" &lt;JLMoore@rdoffutt.com&gt;</t>
  </si>
  <si>
    <t>Tentative: ObservePoint | R.D. Offutt Company</t>
  </si>
  <si>
    <t>19ae14c9e7eaa36b</t>
  </si>
  <si>
    <t>"Nordin, Eric" &lt;enordin@rdoffutt.com&gt;</t>
  </si>
  <si>
    <t>Accepted: ObservePoint | R.D. Offutt Company</t>
  </si>
  <si>
    <t>19ac0e3a00cb16ad</t>
  </si>
  <si>
    <t>enordin@rdoffutt.com</t>
  </si>
  <si>
    <t>Happy Thanksgiving Re: Observepoint Admin</t>
  </si>
  <si>
    <t>I am on vacation from Nov 26th to Nov 28th for the Thanksgiving holiday, 
please reach out to support@observepoint.com if you have something urgent, 
otherwise I will get back to you next week, thanks!
-- 
*Regards, *
John Davis *   |    * *Customer Success Manager*
Cell: 801.633.6013
john.davis@observepoint.com
www.observepoint.com 
&lt;https://groove.grvlnk4.com/url/typa6byifukvbtijwod94/aHR0cDovL3d3dy5vYnNlcnZlcG9pbnQuY29tLyNncm9vdmVzdW06LTc2MTEwNTM3MA%3D%3D&gt;
&lt;https://groove.grvlnk4.com/ur</t>
  </si>
  <si>
    <t>19aba6d629bebc2c</t>
  </si>
  <si>
    <t>"Moore, Jordan" &lt;JLMoore@rdoffutt.com&gt;, "Nordin, Eric" &lt;enordin@rdoffutt.com&gt;, Nic Suder &lt;nic.suder@observepoint.com&gt;, John Davis &lt;john.davis@observepoint.com&gt;</t>
  </si>
  <si>
    <t>Re: Observepoint Admin</t>
  </si>
  <si>
    <t xml:space="preserve">Hi all,
I went ahead and booked some time on the calendar for us to sync- let me
know if it doesn't work and I can send additional availability. But I'd
love to go over some results I have found in your ObservePoint account with
you and am especially excited to introduce you to John Davis who will be
your new CSM and main point of contact moving forward.
Hope you guys are doing well and happy thanksgiving!
On Fri, Oct 31, 2025 at 2:52 AM Bryce Bergen &lt;bryce.bergen@observepoint.com&gt;
</t>
  </si>
  <si>
    <t>19abbda869a1406b</t>
  </si>
  <si>
    <t>Macey Bell &lt;macey.bell@observepoint.com&gt;, Bryce Bergen &lt;bryce.bergen@observepoint.com&gt;</t>
  </si>
  <si>
    <t>"Moore, Jordan" &lt;JLMoore@rdoffutt.com&gt;, Nic Suder &lt;nic.suder@observepoint.com&gt;, John Davis &lt;john.davis@observepoint.com&gt;</t>
  </si>
  <si>
    <t xml:space="preserve">Thanks for reaching out Macey,
Dec 6 is a good time to regroup on this. It would be good to go over those results and look for items to act on.
Looking forward to meeting John.
Regards,
_______________________________
Eric Nordin, CISSP
Lead IT Security Administrator
R.D. Offutt Company
Phone: +1 (701)  990-2980
________________________________
From: Macey Bell &lt;macey.bell@observepoint.com&gt;
Sent: Tuesday, November 25, 2025 3:51 AM
To: Bryce Bergen &lt;bryce.bergen@observepoint.com&gt;
</t>
  </si>
  <si>
    <t>19abbf9cf6a6d80c</t>
  </si>
  <si>
    <t>Macey Bell &lt;macey.bell@observepoint.com&gt;, "Moore, Jordan" &lt;JLMoore@rdoffutt.com&gt;, Nic Suder &lt;nic.suder@observepoint.com&gt;, John Davis &lt;john.davis@observepoint.com&gt;</t>
  </si>
  <si>
    <t>observepoint.com, rdoffutt.com</t>
  </si>
  <si>
    <t>Wishing you all a safe and happy Thanksgiving.  I'm grateful for our
partnership.
Take care.
*Regards, *
Bryce Bergen *   |    * *Senior Account Executive*
Cell: 801.913.4463
bryce.bergen@observepoint.com
www.observepoint.com
&lt;https://groove.grvlnk4.com/url/7t17ayc09vqb2v0b5m945r/aHR0cDovL3d3dy5vYnNlcnZlcG9pbnQuY29tLyNncm9vdmVzdW06LTc2MTEwNTM3MA%3D%3D&gt;
&lt;https://groove.grvlnk4.com/url/7t17ayc09vqb2v0b5m945r/aHR0cHM6Ly93d3cub2JzZXJ2ZXBvaW50LmNvbS9lbWFpbC1zaWduYXR1cmUvb2ZmZXIvb2Z</t>
  </si>
  <si>
    <t>19ac0e0173f07cb5</t>
  </si>
  <si>
    <t>Eric,
I wonder if there may have been a typo in your email.  You suggested
December 6th, but that's a Saturday.  Did you by chance mean to say the
16th?
*Regards, *
Bryce Bergen *   |    * *Senior Account Executive*
Cell: 801.913.4463
bryce.bergen@observepoint.com
www.observepoint.com
&lt;https://groove.grvlnk4.com/url/s5tc3lybkxqbuggzwwv1tm/aHR0cDovL3d3dy5vYnNlcnZlcG9pbnQuY29tLyNncm9vdmVzdW06LTc2MTEwNTM3MA%3D%3D&gt;
&lt;https://groove.grvlnk4.com/url/s5tc3lybkxqbuggzwwv1tm/aHR0cHM6Ly93</t>
  </si>
  <si>
    <t>19ac0e38f4b9568c</t>
  </si>
  <si>
    <t xml:space="preserve">
Eric,
I wonder if there may have been a typo in your email.  You suggested December 6th, but that's a Saturday.  Did you by chance mean to say the 16th?
That's likely the case. That should be the 16th.
Regards,
_______________________________
Eric Nordin, CISSP
Lead IT Security Administrator
R.D. Offutt Company
Phone: +1 (701)  990-2980
________________________________
From: Bryce Bergen &lt;bryce.bergen@observepoint.com&gt;
Sent: Wednesday, November 26, 2025 9:54 AM
To: Nordin, Er</t>
  </si>
  <si>
    <t>19ac1225a51a5f68</t>
  </si>
  <si>
    <t>Thanks, Eric.
@Macey Bell are you available for this call on December 16th?
*Regards, *
Bryce Bergen *   |    * *Senior Account Executive*
Cell: 801.913.4463
bryce.bergen@observepoint.com
www.observepoint.com
&lt;https://groove.grvlnk4.com/url/wzbqt9sg9zfq1uwv9c4ep/aHR0cDovL3d3dy5vYnNlcnZlcG9pbnQuY29tLyNncm9vdmVzdW06LTc2MTEwNTM3MA%3D%3D&gt;
&lt;https://groove.grvlnk4.com/url/wzbqt9sg9zfq1uwv9c4ep/aHR0cHM6Ly93d3cub2JzZXJ2ZXBvaW50LmNvbS9lbWFpbC1zaWduYXR1cmUvb2ZmZXIvb2ZmZXItdXMucGhwI2dyb29</t>
  </si>
  <si>
    <t>19ac1cd752893048</t>
  </si>
  <si>
    <t>Eric Nordin &lt;enordin@rdoffutt.com&gt;, Jordan Moore &lt;JLMoore@rdoffutt.com&gt;, Nic Suder &lt;nic.suder@observepoint.com&gt;, John Davis &lt;john.davis@observepoint.com&gt;</t>
  </si>
  <si>
    <t>I definitely have time open on the 16th! 
Would 8, 9, 9:30 or 1:30 MST work for you Eric?
On Nov 27, 2025, at 1:07 AM, Bryce Bergen &lt;bryce.bergen@observepoint.com&gt; 
wrote:
﻿
Thanks, Eric.  
@Macey Bell are you available for this call on December 16th? 
*Regards, *
Bryce Bergen *   |    * *Senior Account Executive*
Cell: 801.913.4463
bryce.bergen@observepoint.com
www.observepoint.com 
&lt;https://groove.grvlnk4.com/url/wzbqt9sg9zfq1uwv9c4ep/aHR0cDovL3d3dy5vYnNlcnZlcG9pbnQuY29tLyNncm9vdmVzdW</t>
  </si>
  <si>
    <t>19ac23d445141d15</t>
  </si>
  <si>
    <t>"Moore, Jordan" &lt;JLMoore@rdoffutt.com&gt;, Nic Suder &lt;nic.suder@observepoint.com&gt;, John Davis &lt;john.davis@observepoint.com&gt;, "Fergel, Bradley" &lt;bfergel@rdoffutt.com&gt;</t>
  </si>
  <si>
    <t xml:space="preserve">8am will work. Add Bradley Fergel and Jordan Moore as optionals. Be sure to record, as I'm pretty sure Jordan won't be able to make it.
Thanks,
_______________________________
Eric Nordin, CISSP
Lead IT Security Administrator
R.D. Offutt Company
Phone: +1 (701)  990-2980
________________________________
From: Macey Bell &lt;macey.bell@observepoint.com&gt;
Sent: Wednesday, November 26, 2025 2:14 PM
To: Bryce Bergen &lt;bryce.bergen@observepoint.com&gt;
Cc: Nordin, Eric &lt;enordin@rdoffutt.com&gt;; </t>
  </si>
  <si>
    <t>19ac2455976b3f65</t>
  </si>
  <si>
    <t>Eric Nordin &lt;enordin@rdoffutt.com&gt;</t>
  </si>
  <si>
    <t>Bryce Bergen &lt;bryce.bergen@observepoint.com&gt;, Jordan Moore &lt;JLMoore@rdoffutt.com&gt;, Nic Suder &lt;nic.suder@observepoint.com&gt;, John Davis &lt;john.davis@observepoint.com&gt;, Bradley Fergel &lt;bfergel@rdoffutt.com&gt;</t>
  </si>
  <si>
    <t xml:space="preserve">John do you mind sending the invite for this! That way it will be easiest 
to schedule a follow up utilizing the same zoom link in the future or to 
set a recurring meeting.
On Nov 27, 2025, at 6:16 AM, Nordin, Eric &lt;enordin@rdoffutt.com&gt; wrote:
﻿ 
8am will work. Add Bradley Fergel and Jordan Moore as optionals. Be sure to 
record, as I'm pretty sure Jordan won't be able to make it.
Thanks,
_______________________________
Eric Nordin, CISSP
Lead IT Security Administrator
R.D. Offutt Company
</t>
  </si>
  <si>
    <t>19ae0d57e7956c04</t>
  </si>
  <si>
    <t>Eric Nordin &lt;enordin@rdoffutt.com&gt;, Bryce Bergen &lt;bryce.bergen@observepoint.com&gt;, Jordan Moore &lt;JLMoore@rdoffutt.com&gt;, Nic Suder &lt;nic.suder@observepoint.com&gt;, Bradley Fergel &lt;bfergel@rdoffutt.com&gt;</t>
  </si>
  <si>
    <t xml:space="preserve">Sure thing, I will do that now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&lt;https://groove.grvlnk4.com/url/typa6byifukvbtijwod94/aHR0cHM6Ly93d3cub2JzZXJ2ZXBvaW50LmNvbS9lbWFpbC1zaWduYXR1cmUvb2ZmZXIvb2ZmZXItdXMucGhwI2dyb292ZXN1bTotNTA3NzUxODQz&gt;
On Wed, Nov 26, 2025 at </t>
  </si>
  <si>
    <t>19ae13bfb1b87c43</t>
  </si>
  <si>
    <t xml:space="preserve">Just sent it, I am looking forward to meeting you all!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&lt;https://groove.grvlnk4.com/url/typa6byifukvbtijwod94/aHR0cHM6Ly93d3cub2JzZXJ2ZXBvaW50LmNvbS9lbWFpbC1zaWduYXR1cmUvb2ZmZXIvb2ZmZXItdXMucGhwI2dyb292ZXN1bTotNTA3NzUxODQz&gt;
</t>
  </si>
  <si>
    <t>19aba6b87258d8ec</t>
  </si>
  <si>
    <t>John Davis &lt;john.davis@observepoint.com&gt;, jlmoore@rdoffutt.com, enordin@rdoffutt.com</t>
  </si>
  <si>
    <t>Invitation: ObservePoint | RDO - Sync + CSM Introduction  @ Tue Dec 9, 2025 11am - 11:30am (MST) (John Davis)</t>
  </si>
  <si>
    <t>ObservePoint | RDO - Sync + CSM Introduction
Tuesday Dec 9, 2025 ⋅ 11am – 11:30am
Mountain Time - Denver
Organizer
Macey Bell
macey.bell@observepoint.com
Guests
Macey Bell - organizer
John Davis
jlmoore@rdoffutt.com
enordin@rdoffutt.com
View all guest info  
https://calendar.google.com/calendar/event?action=VIEW&amp;eid=NmsyOWJoajd2bW9hOGQ4bWIwMjl1ZDQ0bnMgam9obi5kYXZpc0BvYnNlcnZlcG9pbnQuY29t&amp;tok=MjcjbWFjZXkuYmVsbEBvYnNlcnZlcG9pbnQuY29tNmM2YzYyMTkwNTdmNTYyMjMzMGFiYjUyMGFiYjBlZWRjY</t>
  </si>
  <si>
    <t>19aba62cf383ad78</t>
  </si>
  <si>
    <t>robert.taylor@ziffdavis.com, John Davis &lt;john.davis@observepoint.com&gt;</t>
  </si>
  <si>
    <t>ziffdavis.com, observepoint.com</t>
  </si>
  <si>
    <t>Re: ObservePoint Check In</t>
  </si>
  <si>
    <t>Hey Robert,
Any update with identifying a main user for ObservePoint?
John Davis is actually going to be your new Customer Success Manager and
your main point of contact moving forward. If you've found someone to head
up the auditing I would love to introduce John to you both on a call. Keep
me posted!
On Fri, Nov 7, 2025 at 12:04 PM Robert Taylor &lt;robert.taylor@ziffdavis.com&gt;
wrote:
&gt; Hi Macey,
&gt;
&gt; Apologies for the delay in getting back to you.  I've been slammed here; I
&gt; h</t>
  </si>
  <si>
    <t>19abc0a1b8baf956</t>
  </si>
  <si>
    <t xml:space="preserve">Hi Robert,
Thank you for the introduction, Macey.
It's great to meet you, Robert. I'm taking over as your Customer Success
Manager and am here to make this transition as smooth as possible.
I would love to learn more about your goals for your audits next year and
discuss how we can partner with you to meet and exceed those goals.
- John
On Tue, Nov 25, 2025 at 2:40 AM Macey Bell &lt;macey.bell@observepoint.com&gt;
wrote:
&gt; Hey Robert,
&gt;
&gt; Any update with identifying a main user </t>
  </si>
  <si>
    <t>19abe3d4611ff01c</t>
  </si>
  <si>
    <t>Thank you.  I'm unfortunately still working on that but should have someone
not too long after Thanksgiving -- the person we have in mind is a bit
overloaded right now with other work.  John, could you touch base early the
second week of December and I'll see if we can get a call on calendar with
the potential auditor we have here?
Thanks again,
Robert
&lt;https://www.ziffdavis.com/&gt; Robert Taylor | Deputy General Counsel
Ziff Davis, Inc. (Nasdaq: ZD)
O: (212) 503-3250
M: (310) 95</t>
  </si>
  <si>
    <t>19ae0d259c47f961</t>
  </si>
  <si>
    <t>The holidays can get crazy for sure. Yes I will follow up with you next
week with some calendar options for a call.
Thanks Robert!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&lt;https://groove.grvlnk4.com/url/typa6byifukvbtijwod94/aHR0cHM6Ly93d3cub2JzZXJ2ZXBvaW50LmNvbS9</t>
  </si>
  <si>
    <t>19b0987675dbd6b8</t>
  </si>
  <si>
    <t>Hey Robert,
Here are some open times for us, feel free to grab one for you and any team
members that you want to include on your end.
Meeting length: 30 Minutes
Time Zone: (GMT-7) MST/Denver
Thu Dec 11 Mon Dec 15 Tue Dec 16 Wed Dec 17 Thu Dec 18 Fri Dec 19
 3:00  PM
&lt;https://observepoint.chilipiper.com/suggested-times/ef56a2aa-c712-4338-af8c-bb57da6a049a?slotStartsAt=2025-12-11T22:00:00.000Z&gt;
 1:30  PM
&lt;https://observepoint.chilipiper.com/suggested-times/ef56a2aa-c712-4338-af8c-bb57</t>
  </si>
  <si>
    <t>19b099099666d62e</t>
  </si>
  <si>
    <t>Macey Bell &lt;macey.bell@observepoint.com&gt;, Filippo Caprioli &lt;filippo_caprioli@ziffdavis.com&gt;</t>
  </si>
  <si>
    <t xml:space="preserve">Thanks John.  Filippo, could you join a call with ObservePoint at any of
the times below next week December 15-19 work for you?  Note this is
Mountain Time, which is one hour later than Pacific Time and two hours
earlier than Eastern Time.
I'll send you a separate email about the call.
Robert
&lt;https://www.ziffdavis.com/&gt; Robert Taylor | Deputy General Counsel
Ziff Davis, Inc. (Nasdaq: ZD)
O: (212) 503-3250
M: (310) 954-9090
https://www.ziffdavis.com
This email, its contents </t>
  </si>
  <si>
    <t>19b09bf5f8181b9b</t>
  </si>
  <si>
    <t xml:space="preserve"> Sure - I can do 12/16 at 1:30pm, or 12/18 at 10am. @robert.taylor
&lt;robert.taylor@ziffdavis.com&gt; whatever works best for you!
Filippo
On 10 Dec 2025 at 19:39:53, Robert Taylor &lt;robert.taylor@ziffdavis.com&gt;
wrote:
&gt; Thanks John.  Filippo, could you join a call with ObservePoint at any of
&gt; the times below next week December 15-19 work for you?  Note this is
&gt; Mountain Time, which is one hour later than Pacific Time and two hours
&gt; earlier than Eastern Time.
&gt;
&gt; I'll send you a</t>
  </si>
  <si>
    <t>19b09c2772d7a14f</t>
  </si>
  <si>
    <t>Thanks!  Just sent an invite.  John, keep me honest if I messed up
timezones.
&lt;https://www.ziffdavis.com/&gt; Robert Taylor | Deputy General Counsel
Ziff Davis, Inc. (Nasdaq: ZD)
O: (212) 503-3250
M: (310) 954-9090
https://www.ziffdavis.com
This email, its contents and attachments contain information from Ziff
Davis, Inc. and/or its affiliates which may be privileged, confidential or
otherwise protected from disclosure. The information is intended to be for
the addressee(s) only. If</t>
  </si>
  <si>
    <t>19b09de746c70dab</t>
  </si>
  <si>
    <t>Filippo Caprioli &lt;filippo_caprioli@ziffdavis.com&gt;, Macey Bell &lt;macey.bell@observepoint.com&gt;</t>
  </si>
  <si>
    <t>Yep it put it on our calendar for Tuesday, December 16 1:30 – 2pm MST (3:30
– 4pm EST)
Thanks to both of you, see you then!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&lt;https://groove.grvlnk4.com/url/typa6byifukvbtijwod94/aHR0cHM6Ly93d3cub2JzZXJ2ZXBvaW50LmNvbS9lbWFpbC</t>
  </si>
  <si>
    <t>19b28e3bcf2a3a72</t>
  </si>
  <si>
    <t>Here is a fresh set of datetimes that work for us, feel free to grab
another one that works for both of you
Meeting length: 30 Minutes
Time Zone: (GMT-7) MST/Denver
Wed Dec 17 Thu Dec 18 Fri Dec 19 Mon Dec 22 Tue Dec 23
 2:00  PM
&lt;https://observepoint.chilipiper.com/suggested-times/71baadce-26f5-4fd1-9f2f-c2438e69247e?slotStartsAt=2025-12-17T21:00:00.000Z&gt;
 1:00  PM
&lt;https://observepoint.chilipiper.com/suggested-times/71baadce-26f5-4fd1-9f2f-c2438e69247e?slotStartsAt=2025-12-18T20:00:0</t>
  </si>
  <si>
    <t>19b28e43afee6dc3</t>
  </si>
  <si>
    <t>Macey, John -- can you rejoin?  Filippo can join shortly.
&lt;https://www.ziffdavis.com/&gt; Robert Taylor | Deputy General Counsel
Ziff Davis, Inc. (Nasdaq: ZD)
O: (212) 503-3250
M: (310) 954-9090
https://www.ziffdavis.com
This email, its contents and attachments contain information from Ziff
Davis, Inc. and/or its affiliates which may be privileged, confidential or
otherwise protected from disclosure. The information is intended to be for
the addressee(s) only. If you are not an addre</t>
  </si>
  <si>
    <t>19b28e5ee71f4569</t>
  </si>
  <si>
    <t xml:space="preserve">Can you rejoin the existing call?
&lt;https://www.ziffdavis.com/&gt; Robert Taylor | Deputy General Counsel
Ziff Davis, Inc. (Nasdaq: ZD)
O: (212) 503-3250
M: (310) 954-9090
https://www.ziffdavis.com
This email, its contents and attachments contain information from Ziff
Davis, Inc. and/or its affiliates which may be privileged, confidential or
otherwise protected from disclosure. The information is intended to be for
the addressee(s) only. If you are not an addressee, any disclosure, </t>
  </si>
  <si>
    <t>19b2927362ce3e83</t>
  </si>
  <si>
    <t>Hey Robert and Filippo,
Here are some links to schedule an hour in early February to help get
things set up the way you're expecting. I will take a deep dive into your
audits and alerts and will come prepared with some solutions and ideas that
I think will help bring down the noise and help with your processes on your
end as well.
Meeting length: 1 Hour
Time Zone: (GMT-7) MST/Denver
Tue Feb 3 Wed Feb 4 Thu Feb 5 Fri Feb 6
 10:00  AM
&lt;https://observepoint.chilipiper.com/suggested-ti</t>
  </si>
  <si>
    <t>19b2939b6481818a</t>
  </si>
  <si>
    <t>Let's plan on Feb 3 at 10 am, so it's not *as* late for Filippo.  We can
reschedule if needed.  Thank you again.
&lt;https://www.ziffdavis.com/&gt; Robert Taylor | Deputy General Counsel
Ziff Davis, Inc. (Nasdaq: ZD)
O: (212) 503-3250
M: (310) 954-9090
https://www.ziffdavis.com
This email, its contents and attachments contain information from Ziff
Davis, Inc. and/or its affiliates which may be privileged, confidential or
otherwise protected from disclosure. The information is intended t</t>
  </si>
  <si>
    <t>19b293d0975672d1</t>
  </si>
  <si>
    <t>Booked!
*Regards, *
John Davis *   |    * *Customer Success Manager*
Cell: 801.633.6013
john.davis@observepoint.com
www.observepoint.com
&lt;https://groove.grvlnk4.com/url/typa6byifukvbtijwod94/aHR0cDovL3d3dy5vYnNlcnZlcG9pbnQuY29tLyNncm9vdmVzdW06LTc2MTEwNTM3MA%3D%3D&gt;
On Tue, Dec 16, 2025 at 3:13 PM Robert Taylor &lt;robert.taylor@ziffdavis.com&gt;
wrote:
&gt; Let's plan on Feb 3 at 10 am, so it's not *as* late for Filippo.  We can
&gt; reschedule if needed.  Thank you again.
&gt;
&gt;
&gt; &lt;h</t>
  </si>
  <si>
    <t>19aba388f14aa1f6</t>
  </si>
  <si>
    <t>John Davis &lt;john.davis@observepoint.com&gt;, landon.meriweather@tyson.com, Todd Wilkerson &lt;todd.wilkerson@observepoint.com&gt;</t>
  </si>
  <si>
    <t>observepoint.com, tyson.com</t>
  </si>
  <si>
    <t>Invitation: ObservePoint | Tyson -Sync  @ Every 2 weeks from 2pm to 2:30pm on Thursday (MST) (John Davis)</t>
  </si>
  <si>
    <t>ObservePoint | Tyson -Sync
Every 2 weeks from 2pm to 2:30pm on Thursday
Mountain Time - Denver
Join Zoom Meeting
https://observepoint.zoom.us/j/3742631971?pwd=Z2JhWG1yV1ZtOVBnMVZaRDR0bjVDZz09&amp;omn=97279073399
Join by phone
(US) +1 888-788-0099
passcode: 318688
Joining instructions
https://www.google.com/url?q=https://applications.zoom.us/addon/invitation/detail?meetingUuid%3DJ%252FcSafPeRdqCrHF66aWmig%253D%253D%26signature%3Dbb2889a06805eaa56f855a50ca4cd1b24afe4ca89ca4d09c389d8</t>
  </si>
  <si>
    <t>19aba3091277b66d</t>
  </si>
  <si>
    <t>Invitation: ObservePoint | Agilent - Sync @ Mon Dec 8, 2025 2pm - 2:30pm (MST) (John Davis)</t>
  </si>
  <si>
    <t>ObservePoint | Agilent - Sync
Monday Dec 8, 2025 ⋅ 2pm – 2:30pm
Mountain Time - Denver
Join Zoom Meeting
https://observepoint.zoom.us/j/3742631971?pwd=Z2JhWG1yV1ZtOVBnMVZaRDR0bjVDZz09&amp;omn=98949187096
Join by phone
(US) +1 888-788-0099
passcode: 318688
Joining instructions
https://www.google.com/url?q=https://applications.zoom.us/addon/invitation/detail?meetingUuid%3Dul%252BSNSufTRCODW80j33fVQ%253D%253D%26signature%3Ddf9b0fa75e9fcfeeafa1296dc23c5ab3b4dd23278369d9b650ff2fe11a622</t>
  </si>
  <si>
    <t>19b9f00cbf41922f</t>
  </si>
  <si>
    <t>Dipendra Bagchee &lt;dipendra.m.bagchee@seagate.com&gt;</t>
  </si>
  <si>
    <t>Accepted:  ObservePoint | Seagate Monthly Sync</t>
  </si>
  <si>
    <t>19b957c206954211</t>
  </si>
  <si>
    <t>Bridget Howell &lt;bhowell@officeworks.com.au&gt;</t>
  </si>
  <si>
    <t>Accepted: ObservePoint | Officeworks</t>
  </si>
  <si>
    <t>________________________________
This email and any attachments may contain privileged and confidential information and are intended for the named addressee only. If you have received this e-mail in error, please notify the sender and delete this e-mail immediately. Any confidentiality, privilege or copyright is not waived or lost because this e-mail has been sent to you in error. It is your responsibility to check this e-mail and any attachments for viruses. No warranty is made that this mater</t>
  </si>
  <si>
    <t>19b95016da901caa</t>
  </si>
  <si>
    <t>abaweja@officeworks.com.au</t>
  </si>
  <si>
    <t xml:space="preserve"> Email Template 
See how your auditing and governance efforts paid off in 2025. 
 ‌ ‌ ‌ ‌ ‌ ‌ ‌ ‌ ‌ ‌ ‌ ‌ ‌ ‌ ‌ ‌ ‌ ‌ 
[image: ObservePoint Logo] 
[image: 2025 Year in Review] 
What Did Your Website Audits Reveal Last Year? 
106,554 
Unique Pages Scanned 
5 
Domains Scanned 
OfficeWorks 
REPORT PERIOD 
Since Jan 1, 2025 
Top 10 Domains Unique Pages Scanned Last Scan 
www.officeworks.com.au 
&lt;https://go.observepoint.com/dc/8KCjVVQVcstYdlXrkWAQAB6EZCH7vnb_Wy9TLwtVp0w=/NDQyLU1EUi0zNTkAAAGfM_na3ir</t>
  </si>
  <si>
    <t>19b9501683d2d543</t>
  </si>
  <si>
    <t>hchamberlain@officeworks.com.au</t>
  </si>
  <si>
    <t xml:space="preserve"> Email Template 
See how your auditing and governance efforts paid off in 2025. 
 ‌ ‌ ‌ ‌ ‌ ‌ ‌ ‌ ‌ ‌ ‌ ‌ ‌ ‌ ‌ ‌ ‌ ‌ 
[image: ObservePoint Logo] 
[image: 2025 Year in Review] 
What Did Your Website Audits Reveal Last Year? 
106,554 
Unique Pages Scanned 
5 
Domains Scanned 
OfficeWorks 
REPORT PERIOD 
Since Jan 1, 2025 
Top 10 Domains Unique Pages Scanned Last Scan 
www.officeworks.com.au 
&lt;https://go.observepoint.com/dc/8KCjVVQVcstYdlXrkWAQAB6EZCH7vnb_Wy9TLwtVp0w=/NDQyLU1EUi0zNTkAAAGfM_na-Sq</t>
  </si>
  <si>
    <t>19b950151605146d</t>
  </si>
  <si>
    <t>mszabo@officeworks.com.au</t>
  </si>
  <si>
    <t xml:space="preserve"> Email Template 
See how your auditing and governance efforts paid off in 2025. 
 ‌ ‌ ‌ ‌ ‌ ‌ ‌ ‌ ‌ ‌ ‌ ‌ ‌ ‌ ‌ ‌ ‌ ‌ 
[image: ObservePoint Logo] 
[image: 2025 Year in Review] 
What Did Your Website Audits Reveal Last Year? 
106,554 
Unique Pages Scanned 
5 
Domains Scanned 
OfficeWorks 
REPORT PERIOD 
Since Jan 1, 2025 
Top 10 Domains Unique Pages Scanned Last Scan 
www.officeworks.com.au 
&lt;https://go.observepoint.com/dc/8KCjVVQVcstYdlXrkWAQAB6EZCH7vnb_Wy9TLwtVp0w=/NDQyLU1EUi0zNTkAAAGfM_nMln3</t>
  </si>
  <si>
    <t>19b95014ef8c2533</t>
  </si>
  <si>
    <t>mpatel@officeworks.com.au</t>
  </si>
  <si>
    <t xml:space="preserve"> Email Template 
See how your auditing and governance efforts paid off in 2025. 
 ‌ ‌ ‌ ‌ ‌ ‌ ‌ ‌ ‌ ‌ ‌ ‌ ‌ ‌ ‌ ‌ ‌ ‌ 
[image: ObservePoint Logo] 
[image: 2025 Year in Review] 
What Did Your Website Audits Reveal Last Year? 
106,554 
Unique Pages Scanned 
5 
Domains Scanned 
OfficeWorks 
REPORT PERIOD 
Since Jan 1, 2025 
Top 10 Domains Unique Pages Scanned Last Scan 
www.officeworks.com.au 
&lt;https://go.observepoint.com/dc/8KCjVVQVcstYdlXrkWAQAB6EZCH7vnb_Wy9TLwtVp0w=/NDQyLU1EUi0zNTkAAAGfM_nN0fX</t>
  </si>
  <si>
    <t>19b95014bcfb9201</t>
  </si>
  <si>
    <t>jorjohnson@caesars.com</t>
  </si>
  <si>
    <t xml:space="preserve"> Email Template 
See how your auditing and governance efforts paid off in 2025. 
 ‌ ‌ ‌ ‌ ‌ ‌ ‌ ‌ ‌ ‌ ‌ ‌ ‌ ‌ ‌ ‌ ‌ ‌ 
[image: ObservePoint Logo] 
[image: 2025 Year in Review] 
What Did Your Website Audits Reveal Last Year? 
5,954 
Unique Pages Scanned 
15 
Domains Scanned 
Caesars 
REPORT PERIOD 
Since Jan 1, 2025 
Top 10 Domains Unique Pages Scanned Last Scan 
www.caesars.com 
&lt;https://go.observepoint.com/dc/j5iSDib9yZAW2a6MFrPsEAyi78B4ymInAOCpatNQ46I=/NDQyLU1EUi0zNTkAAAGfM_nObePimpqmlmIX2lV</t>
  </si>
  <si>
    <t>19b95014a3af9b7e</t>
  </si>
  <si>
    <t>egonzales@verisign.com</t>
  </si>
  <si>
    <t xml:space="preserve"> Email Template 
See how your auditing and governance efforts paid off in 2025. 
 ‌ ‌ ‌ ‌ ‌ ‌ ‌ ‌ ‌ ‌ ‌ ‌ ‌ ‌ ‌ ‌ ‌ ‌ 
[image: ObservePoint Logo] 
[image: 2025 Year in Review] 
What Did Your Website Audits Reveal Last Year? 
404 
Unique Pages Scanned 
13 
Domains Scanned 
Verisign 
REPORT PERIOD 
Since Jan 1, 2025 
Top 10 Domains Unique Pages Scanned Last Scan 
www.verisign.com 
&lt;https://go.observepoint.com/dc/smT4bVZ8RFGamz1QmG4ZYPJGsj9hId06kgwb3Qg8XxI=/NDQyLU1EUi0zNTkAAAGfM_nO2SoFthb0gSZ0W7E</t>
  </si>
  <si>
    <t>19b9501477ea55de</t>
  </si>
  <si>
    <t>nsimpson@officeworks.com.au</t>
  </si>
  <si>
    <t xml:space="preserve"> Email Template 
See how your auditing and governance efforts paid off in 2025. 
 ‌ ‌ ‌ ‌ ‌ ‌ ‌ ‌ ‌ ‌ ‌ ‌ ‌ ‌ ‌ ‌ ‌ ‌ 
[image: ObservePoint Logo] 
[image: 2025 Year in Review] 
What Did Your Website Audits Reveal Last Year? 
106,554 
Unique Pages Scanned 
5 
Domains Scanned 
OfficeWorks 
REPORT PERIOD 
Since Jan 1, 2025 
Top 10 Domains Unique Pages Scanned Last Scan 
www.officeworks.com.au 
&lt;https://go.observepoint.com/dc/8KCjVVQVcstYdlXrkWAQAB6EZCH7vnb_Wy9TLwtVp0w=/NDQyLU1EUi0zNTkAAAGfM_nLODG</t>
  </si>
  <si>
    <t>19b950140edd2965</t>
  </si>
  <si>
    <t>kristin.s.kohuth@seagate.com</t>
  </si>
  <si>
    <t xml:space="preserve"> Email Template 
See how your auditing and governance efforts paid off in 2025. 
 ‌ ‌ ‌ ‌ ‌ ‌ ‌ ‌ ‌ ‌ ‌ ‌ ‌ ‌ ‌ ‌ ‌ ‌ 
[image: ObservePoint Logo] 
[image: 2025 Year in Review] 
What Did Your Website Audits Reveal Last Year? 
28,843 
Unique Pages Scanned 
48 
Domains Scanned 
Seagate 
REPORT PERIOD 
Since Jan 1, 2025 
Top 10 Domains Unique Pages Scanned Last Scan 
branding.seagate.com 
&lt;https://go.observepoint.com/dc/IXa7a3qCNsfykCKMTv6sTAnJfTKznusj4kWLcweBKYs=/NDQyLU1EUi0zNTkAAAGfM_nJQiOmTViTF</t>
  </si>
  <si>
    <t>19b950140752d08a</t>
  </si>
  <si>
    <t>cdugger@caesars.com</t>
  </si>
  <si>
    <t xml:space="preserve"> Email Template 
See how your auditing and governance efforts paid off in 2025. 
 ‌ ‌ ‌ ‌ ‌ ‌ ‌ ‌ ‌ ‌ ‌ ‌ ‌ ‌ ‌ ‌ ‌ ‌ 
[image: ObservePoint Logo] 
[image: 2025 Year in Review] 
What Did Your Website Audits Reveal Last Year? 
5,954 
Unique Pages Scanned 
15 
Domains Scanned 
Caesars 
REPORT PERIOD 
Since Jan 1, 2025 
Top 10 Domains Unique Pages Scanned Last Scan 
www.caesars.com 
&lt;https://go.observepoint.com/dc/j5iSDib9yZAW2a6MFrPsEAyi78B4ymInAOCpatNQ46I=/NDQyLU1EUi0zNTkAAAGfM_nIv2cVGRFM9jm4Sq9</t>
  </si>
  <si>
    <t>19b95013cb4f328f</t>
  </si>
  <si>
    <t>rkashyap@officeworks.com.au</t>
  </si>
  <si>
    <t xml:space="preserve"> Email Template 
See how your auditing and governance efforts paid off in 2025. 
 ‌ ‌ ‌ ‌ ‌ ‌ ‌ ‌ ‌ ‌ ‌ ‌ ‌ ‌ ‌ ‌ ‌ ‌ 
[image: ObservePoint Logo] 
[image: 2025 Year in Review] 
What Did Your Website Audits Reveal Last Year? 
106,554 
Unique Pages Scanned 
5 
Domains Scanned 
OfficeWorks 
REPORT PERIOD 
Since Jan 1, 2025 
Top 10 Domains Unique Pages Scanned Last Scan 
www.officeworks.com.au 
&lt;https://go.observepoint.com/dc/8KCjVVQVcstYdlXrkWAQAB6EZCH7vnb_Wy9TLwtVp0w=/NDQyLU1EUi0zNTkAAAGfM_nJtAH</t>
  </si>
  <si>
    <t>19b95013bbb8f066</t>
  </si>
  <si>
    <t>sagar.vishnu@pmi.org</t>
  </si>
  <si>
    <t xml:space="preserve"> Email Template 
See how your auditing and governance efforts paid off in 2025. 
 ‌ ‌ ‌ ‌ ‌ ‌ ‌ ‌ ‌ ‌ ‌ ‌ ‌ ‌ ‌ ‌ ‌ ‌ 
[image: ObservePoint Logo] 
[image: 2025 Year in Review] 
What Did Your Website Audits Reveal Last Year? 
12,957 
Unique Pages Scanned 
57 
Domains Scanned 
Project Management Institute 
REPORT PERIOD 
Since Jan 1, 2025 
Top 10 Domains Unique Pages Scanned Last Scan 
www.projectmanagement.com 
&lt;https://go.observepoint.com/dc/HaltY9V0hOVWIgYdaM1l14F_ZVhfDV1VJSEseF7apo0X7ewQpDfv</t>
  </si>
  <si>
    <t>19b95013a1713aa5</t>
  </si>
  <si>
    <t>eric.s.hopkins@seagate.com</t>
  </si>
  <si>
    <t xml:space="preserve"> Email Template 
See how your auditing and governance efforts paid off in 2025. 
 ‌ ‌ ‌ ‌ ‌ ‌ ‌ ‌ ‌ ‌ ‌ ‌ ‌ ‌ ‌ ‌ ‌ ‌ 
[image: ObservePoint Logo] 
[image: 2025 Year in Review] 
What Did Your Website Audits Reveal Last Year? 
28,843 
Unique Pages Scanned 
48 
Domains Scanned 
Seagate 
REPORT PERIOD 
Since Jan 1, 2025 
Top 10 Domains Unique Pages Scanned Last Scan 
branding.seagate.com 
&lt;https://go.observepoint.com/dc/IXa7a3qCNsfykCKMTv6sTAnJfTKznusj4kWLcweBKYs=/NDQyLU1EUi0zNTkAAAGfM_nKRhQtavC8F</t>
  </si>
  <si>
    <t>19b9501353cf55d6</t>
  </si>
  <si>
    <t>dlee@officeworks.com.au</t>
  </si>
  <si>
    <t xml:space="preserve"> Email Template 
See how your auditing and governance efforts paid off in 2025. 
 ‌ ‌ ‌ ‌ ‌ ‌ ‌ ‌ ‌ ‌ ‌ ‌ ‌ ‌ ‌ ‌ ‌ ‌ 
[image: ObservePoint Logo] 
[image: 2025 Year in Review] 
What Did Your Website Audits Reveal Last Year? 
106,554 
Unique Pages Scanned 
5 
Domains Scanned 
OfficeWorks 
REPORT PERIOD 
Since Jan 1, 2025 
Top 10 Domains Unique Pages Scanned Last Scan 
www.officeworks.com.au 
&lt;https://go.observepoint.com/dc/8KCjVVQVcstYdlXrkWAQAB6EZCH7vnb_Wy9TLwtVp0w=/NDQyLU1EUi0zNTkAAAGfM_nHhwP</t>
  </si>
  <si>
    <t>19b95012f239c3d1</t>
  </si>
  <si>
    <t>pfrei@caesars.com</t>
  </si>
  <si>
    <t xml:space="preserve"> Email Template 
See how your auditing and governance efforts paid off in 2025. 
 ‌ ‌ ‌ ‌ ‌ ‌ ‌ ‌ ‌ ‌ ‌ ‌ ‌ ‌ ‌ ‌ ‌ ‌ 
[image: ObservePoint Logo] 
[image: 2025 Year in Review] 
What Did Your Website Audits Reveal Last Year? 
5,954 
Unique Pages Scanned 
15 
Domains Scanned 
Caesars 
REPORT PERIOD 
Since Jan 1, 2025 
Top 10 Domains Unique Pages Scanned Last Scan 
www.caesars.com 
&lt;https://go.observepoint.com/dc/j5iSDib9yZAW2a6MFrPsEAyi78B4ymInAOCpatNQ46I=/NDQyLU1EUi0zNTkAAAGfM_nIn0o3UhXkGthiS3A</t>
  </si>
  <si>
    <t>19b950125b974bc2</t>
  </si>
  <si>
    <t>anthony.mcmahon@pmi.org</t>
  </si>
  <si>
    <t>19b95012452462ca</t>
  </si>
  <si>
    <t>rhook@officeworks.com.au</t>
  </si>
  <si>
    <t xml:space="preserve"> Email Template 
See how your auditing and governance efforts paid off in 2025. 
 ‌ ‌ ‌ ‌ ‌ ‌ ‌ ‌ ‌ ‌ ‌ ‌ ‌ ‌ ‌ ‌ ‌ ‌ 
[image: ObservePoint Logo] 
[image: 2025 Year in Review] 
What Did Your Website Audits Reveal Last Year? 
106,554 
Unique Pages Scanned 
5 
Domains Scanned 
OfficeWorks 
REPORT PERIOD 
Since Jan 1, 2025 
Top 10 Domains Unique Pages Scanned Last Scan 
www.officeworks.com.au 
&lt;https://go.observepoint.com/dc/8KCjVVQVcstYdlXrkWAQAB6EZCH7vnb_Wy9TLwtVp0w=/NDQyLU1EUi0zNTkAAAGfM_nET3x</t>
  </si>
  <si>
    <t>19b950121ab24901</t>
  </si>
  <si>
    <t>tmcdonald@verisign.com</t>
  </si>
  <si>
    <t xml:space="preserve"> Email Template 
See how your auditing and governance efforts paid off in 2025. 
 ‌ ‌ ‌ ‌ ‌ ‌ ‌ ‌ ‌ ‌ ‌ ‌ ‌ ‌ ‌ ‌ ‌ ‌ 
[image: ObservePoint Logo] 
[image: 2025 Year in Review] 
What Did Your Website Audits Reveal Last Year? 
404 
Unique Pages Scanned 
13 
Domains Scanned 
Verisign 
REPORT PERIOD 
Since Jan 1, 2025 
Top 10 Domains Unique Pages Scanned Last Scan 
www.verisign.com 
&lt;https://go.observepoint.com/dc/smT4bVZ8RFGamz1QmG4ZYPJGsj9hId06kgwb3Qg8XxI=/NDQyLU1EUi0zNTkAAAGfM_nEEIqiiuxn8Bu4Urq</t>
  </si>
  <si>
    <t>19b9501179c39252</t>
  </si>
  <si>
    <t>bnoll@verisign.com</t>
  </si>
  <si>
    <t xml:space="preserve"> Email Template 
See how your auditing and governance efforts paid off in 2025. 
 ‌ ‌ ‌ ‌ ‌ ‌ ‌ ‌ ‌ ‌ ‌ ‌ ‌ ‌ ‌ ‌ ‌ ‌ 
[image: ObservePoint Logo] 
[image: 2025 Year in Review] 
What Did Your Website Audits Reveal Last Year? 
404 
Unique Pages Scanned 
13 
Domains Scanned 
Verisign 
REPORT PERIOD 
Since Jan 1, 2025 
Top 10 Domains Unique Pages Scanned Last Scan 
www.verisign.com 
&lt;https://go.observepoint.com/dc/smT4bVZ8RFGamz1QmG4ZYPJGsj9hId06kgwb3Qg8XxI=/NDQyLU1EUi0zNTkAAAGfM_nDNwo2q-sWxuou4w-</t>
  </si>
  <si>
    <t>19b8f455408b9824</t>
  </si>
  <si>
    <t>Ash Chan &lt;achan4@officeworks.com.au&gt;</t>
  </si>
  <si>
    <t>Automatic reply: ObservePoint touch base</t>
  </si>
  <si>
    <t>Hi, I am OOO and working intermittently during the end of year period (29-30 Dec and 2 Jan). For critical tickets, submit a service escalation. - ADT related: OfficeworksAnalyticsDigitalTagging@officeworks.com.au Otherwise, I will return to your email when I am next working.
________________________________
This email and any attachments may contain privileged and confidential information and are intended for the named addressee only. If you have received this e-mail in error, please notify th</t>
  </si>
  <si>
    <t>19b28bd861790815</t>
  </si>
  <si>
    <t>John Davis &lt;john.davis@observepoint.com&gt;, pfrei@caesars.com, jparkinson@caesars.com, cdugger@caesars.com</t>
  </si>
  <si>
    <t>observepoint.com, caesars.com</t>
  </si>
  <si>
    <t>Invitation: ObservePoint | Caesars - Sync @ Every 4 weeks from 1pm to 1:30pm on Tuesday (MST) (John Davis)</t>
  </si>
  <si>
    <t>ObservePoint | Caesars - Sync
Every 4 weeks from 1pm to 1:30pm on Tuesday
Mountain Time - Denver
Join Zoom Meeting
https://observepoint.zoom.us/j/3742631971?pwd=Z2JhWG1yV1ZtOVBnMVZaRDR0bjVDZz09&amp;omn=94764147512&amp;jst=2
Join by phone
(US) +1 888-788-0099
passcode: 318688
Joining instructions
https://www.google.com/url?q=https://applications.zoom.us/addon/invitation/detail?meetingUuid%3DRwPnfnERS46%252BOzs%252BKjCkIA%253D%253D%26signature%3D345e9bc2a085131b2b2afefa327ab8fb69fcd1593</t>
  </si>
  <si>
    <t>19b0b77fa8a8cedc</t>
  </si>
  <si>
    <t>Henry Hebron &lt;hhebron@officeworks.com.au&gt;</t>
  </si>
  <si>
    <t>Accepted: Invitation: Meeting with John @ Fri Jan 16, 2026 9:30am - 10am (AEDT) (hchamberlain@officeworks.com.au)</t>
  </si>
  <si>
    <t>19b0b0843ed9f16f</t>
  </si>
  <si>
    <t>________________________________
 This email and any attachments may contain privileged and confidential information and are intended for the named addressee only. If you have received this e-mail in error, please notify the sender and delete this e-mail immediately. Any confidentiality, privilege or copyright is not waived or lost because this e-mail has been sent to you in error. It is your responsibility to check this e-mail and any attachments for viruses. No warranty is made that this mate</t>
  </si>
  <si>
    <t>19b0b04b60c0206b</t>
  </si>
  <si>
    <t>Hayley Chamberlain &lt;HChamberlain@officeworks.com.au&gt;</t>
  </si>
  <si>
    <t>19b0a4e9d83cc8ac</t>
  </si>
  <si>
    <t>hchamberlain &lt;hchamberlain@officeworks.com.au&gt;, Macey Bell &lt;macey.bell@observepoint.com&gt;</t>
  </si>
  <si>
    <t>officeworks.com.au, observepoint.com</t>
  </si>
  <si>
    <t>ObservePoint Next Sync Up</t>
  </si>
  <si>
    <t>Hey Hayley,
It was great to meet you and hear about your ObservePoint experience so far!
Here are some time slots for after the holidays that are available for
myself and Macey, feel free to grab one that works for you, Ash and Henry
and anyone else that you feel the need to invite on your side.
I would love to see and example journey in one of your sites to put
together a POC for you as well, thanks!
Meeting length: 30 Minutes
Time Zone: (GMT-7) MST/Denver
Mon Jan 5 Tue Jan 6</t>
  </si>
  <si>
    <t>19b0a49ae815716a</t>
  </si>
  <si>
    <t>19b0a2d4e3ac2ead</t>
  </si>
  <si>
    <t>John Davis &lt;john.davis@observepoint.com&gt;, hchamberlain@officeworks.com.au</t>
  </si>
  <si>
    <t>observepoint.com, officeworks.com.au</t>
  </si>
  <si>
    <t>Updated invitation with note: ObservePoint | Officeworks - Sync @ Wed Dec 10, 2025 2:30pm - 3pm (MST) (John Davis)</t>
  </si>
  <si>
    <t>This event has been updated with a note:
"Sorry Haley! Updating this to a zoom link instead. It autopopulated with  
google for some reason."
Changed: conferencing
ObservePoint | Officeworks - Sync
Wednesday Dec 10, 2025 ⋅ 2:30pm – 3pm
Mountain Time - Denver
Join Zoom Meeting
https://observepoint.zoom.us/j/3742631971?pwd=Z2JhWG1yV1ZtOVBnMVZaRDR0bjVDZz09&amp;omn=95482405169&amp;jst=2
Join by phone
(US) +1 888-788-0099
passcode: 318688
Joining instructions
https://www.google.com</t>
  </si>
  <si>
    <t>19b09f4e525ba5fc</t>
  </si>
  <si>
    <t>john.davis@observepoint.com, macey.bell@observepoint.com</t>
  </si>
  <si>
    <t>19b04fa88ee112ac</t>
  </si>
  <si>
    <t>John Davis &lt;john.davis@observepoint.com&gt;, dipendra.m.bagchee@seagate.com, dipendra.bagchee@seagate.com</t>
  </si>
  <si>
    <t>observepoint.com, seagate.com</t>
  </si>
  <si>
    <t>Updated invitation: ObservePoint | Seagate- Sync @ Thu Dec 18, 2025 12pm - 12:30pm (MST) (John Davis)</t>
  </si>
  <si>
    <t>This event has been updated
Changed: time
ObservePoint | Seagate- Sync
Thursday Dec 18, 2025 ⋅ 12pm – 12:30pm
Mountain Time - Denver
Join Zoom Meeting
https://observepoint.zoom.us/j/3742631971?pwd=Z2JhWG1yV1ZtOVBnMVZaRDR0bjVDZz09&amp;omn=96553474536&amp;jst=2
Join by phone
(US) +1 888-788-0099
passcode: 318688
Joining instructions
https://www.google.com/url?q=https://applications.zoom.us/addon/invitation/detail?meetingUuid%3DA43JT%252FAdQtytusCvPtlgqg%253D%253D%26signature%3Da89</t>
  </si>
  <si>
    <t>19b011e3e3743c23</t>
  </si>
  <si>
    <t>Updated invitation: ObservePoint | Caesars - Sync @ Fri Dec 12, 2025 12pm - 12:30pm (MST) (John Davis)</t>
  </si>
  <si>
    <t>This event has been updated
Changed: time
ObservePoint | Caesars - Sync
Friday Dec 12, 2025 ⋅ 12pm – 12:30pm
Mountain Time - Denver
Join Zoom Meeting
https://observepoint.zoom.us/j/3742631971?pwd=Z2JhWG1yV1ZtOVBnMVZaRDR0bjVDZz09&amp;omn=94764147512&amp;jst=2
Join by phone
(US) +1 888-788-0099
passcode: 318688
Joining instructions
https://www.google.com/url?q=https://applications.zoom.us/addon/invitation/detail?meetingUuid%3DRwPnfnERS46%252BOzs%252BKjCkIA%253D%253D%26signature%3D</t>
  </si>
  <si>
    <t>19abf9708f93ef6a</t>
  </si>
  <si>
    <t>Updated invitation: ObservePoint | Officeworks - Sync @ Wed Dec 10, 2025 2:30pm - 3pm (MST) (John Davis)</t>
  </si>
  <si>
    <t>This event has been updated
Changed: title
ObservePoint | Officeworks - Sync
Wednesday Dec 10, 2025 ⋅ 2:30pm – 3pm
Mountain Time - Denver
Join with Google Meet
https://meet.google.com/viy-uudi-vqa?hs=224
Join by phone
(US) +1 641-732-2446
PIN: 361000872
More phone numbers
https://tel.meet/viy-uudi-vqa?pin=7816297832666&amp;hs=0
Looking forward to connecting.
If you need to reschedule, please use the link:  
https://observepoint.chilipiper.com/reschedule/d1dda5c0-1a36</t>
  </si>
  <si>
    <t>19abf96b154891c8</t>
  </si>
  <si>
    <t>Updated invitation with note: Meeting with Macey @ Wed Dec 10, 2025 2:30pm - 3pm (MST) (John Davis)</t>
  </si>
  <si>
    <t>This event has been updated with a note:
"Does 30 minutes earlier work? There is apparently a conflict at the time  
we had scheduled."
Changed: time
Meeting with Macey
Wednesday Dec 10, 2025 ⋅ 2:30pm – 3pm
Mountain Time - Denver
Join with Google Meet
https://meet.google.com/viy-uudi-vqa?hs=224
Join by phone
(US) +1 641-732-2446
PIN: 361000872
More phone numbers
https://tel.meet/viy-uudi-vqa?pin=7816297832666&amp;hs=0
Looking forward to connecting.
If you need to re</t>
  </si>
  <si>
    <t>19abc1031222fe26</t>
  </si>
  <si>
    <t>Invitation: Meeting with Macey @ Wed Dec 10, 2025 3pm - 3:30pm (MST) (John Davis)</t>
  </si>
  <si>
    <t>Meeting with Macey
Wednesday Dec 10, 2025 ⋅ 3pm – 3:30pm
Mountain Time - Denver
Join with Google Meet
https://meet.google.com/viy-uudi-vqa?hs=224
Join by phone
(US) +1 641-732-2446
PIN: 361000872
More phone numbers
https://tel.meet/viy-uudi-vqa?pin=7816297832666&amp;hs=0
Looking forward to connecting.
If you need to reschedule, please use the link:  
https://observepoint.chilipiper.com/reschedule/d1dda5c0-1a36-44eb-8aca-47980ab2e656
Organizer
Macey Bell
macey.bell@obs</t>
  </si>
  <si>
    <t>19aba7ce54feaff4</t>
  </si>
  <si>
    <t>hchamberlain &lt;hchamberlain@officeworks.com.au&gt;, John Davis &lt;john.davis@observepoint.com&gt;</t>
  </si>
  <si>
    <t>ObservePoint touch base</t>
  </si>
  <si>
    <t>Hey Hayley,
I reached out to Renee recently but received notice she is still on
maternity leave. I think she should be back somewhat soon but wanted to be
sure to reach out to you as OfficeWorks will have a new CSM and main point
of contact moving forward, John Davis. I'd love to introduce John to
yourself as well as anyone else involved in using ObservePoint on a call.
Do any of the following times work for you?
Meeting length: 30 Minutes
Time Zone: (GMT-7) MST/Denver
Tue Dec 9 Wed</t>
  </si>
  <si>
    <t>19abc0f31928f375</t>
  </si>
  <si>
    <t>hchamberlain &lt;hchamberlain@officeworks.com.au&gt;</t>
  </si>
  <si>
    <t>Re: ObservePoint touch base</t>
  </si>
  <si>
    <t>Hi Hayley,
Thank you for the introduction, Macey.
It's great to meet you, Hayley. I'm taking over as your Customer Success
Manager and am here to make this transition as smooth as possible.
I would love to learn more about your goals for your audits next year and
discuss how we can partner with you to meet and exceed those goals.
On Tue, Nov 25, 2025 at 3:08 AM Macey Bell &lt;macey.bell@observepoint.com&gt;
wrote:
&gt; Hey Hayley,
&gt;
&gt; I reached out to Renee recently but received notic</t>
  </si>
  <si>
    <t>19b0b03c1811e2bb</t>
  </si>
  <si>
    <t>Macey Bell &lt;macey.bell@observepoint.com&gt;, John Davis &lt;john.davis@observepoint.com&gt;, Ash Chan &lt;achan4@officeworks.com.au&gt;</t>
  </si>
  <si>
    <t>Hi Both,
Great to chat today, looks like the meeting invite was a bit buggy as Ash had it in his calendar for 9 am, but I have given him a rundown of what we caught up about.
I have attached a copy of one of the marketing emails you asked for; hopefully, it works for what you need.
Regarding the Journeys ask, I am going to hand this one off to Ash, as he has a bit of time in the coming weeks, as well as some catch-ups with some of our digital teams, so he can probably source some good j</t>
  </si>
  <si>
    <t>19b8f400dcd864fc</t>
  </si>
  <si>
    <t>Macey Bell &lt;macey.bell@observepoint.com&gt;, Ash Chan &lt;achan4@officeworks.com.au&gt;, Henry Hebron &lt;hhebron@officeworks.com.au&gt;</t>
  </si>
  <si>
    <t>Hayley,
Hope you have a great holiday break!
I have made sure Ash, Henry and yourself are invited to our meeting on the
16th. I also was wondering if there was anyone else from your email team
that you might want to invite as well?
Either way, I am excited to meet again and go over your 2026 goals!
*Regards, *
John Davis *   |    * *Customer Success Manager*
Cell: 801.633.6013
john.davis@observepoint.com
www.observepoint.com
&lt;https://us-3129.email-composer-webhooks.gong.io</t>
  </si>
  <si>
    <t>19b90fee968269db</t>
  </si>
  <si>
    <t>Macey Bell &lt;macey.bell@observepoint.com&gt;, Ash Chan &lt;achan4@officeworks.com.au&gt;, Henry Hebron &lt;hhebron@officeworks.com.au&gt;, Bridget Howell &lt;bhowell@officeworks.com.au&gt;</t>
  </si>
  <si>
    <t>Hi John,
I hope you had a wonderful Christmas and New year period 🙂
Maybe include Bridget Howell as an optional in the invite, but otherwise that is probably it for now 🙂
Thanks,
Hayley
[cid:3ae12ee2-e914-423d-aa0f-4dcafed2d2b5]
Hayley Chamberlain (She/Her)
Audience Lead
E: hchamberlain@officeworks.com.au&lt;mailto:hchamberlain@officeworks.com.au&gt;
officeworks.com.au
[cid:2639e718-e752-4649-9f1f-316645531d62]&lt;https://www.facebook.com/officeworks&gt; [cid:8c</t>
  </si>
  <si>
    <t>19b940d7621cd9f9</t>
  </si>
  <si>
    <t>Added, see you all then, thanks!
*Regards, *
John Davis *   |    * *Customer Success Manager*
Cell: 801.633.6013
john.davis@observepoint.com
www.observepoint.com
&lt;https://us-3129.email-composer-webhooks.gong.io/email-tracking/clicked?email-info-token=eyJhbGciOiJIUzI1NiJ9.eyJjb21wYW55SWQiOiI4OTgyMjM2MTQxODc2Mjk3NzAiLCJkcmFmdElkIjoicjY2NjMwMzIwNjcxNzIxMjk2MCIsImxpbmtVcmwiOiJodHRwczovL2dyb292ZS5ncnZsbms0LmNvbS91cmwvdHlwYTZieWlmdWt2YnRpandvZDk0L2FIUjBjRG92TDNkM2R5NXZZbk5sY25abGNHOXBiblF1</t>
  </si>
  <si>
    <t>19aba34f0745e192</t>
  </si>
  <si>
    <t>Invitation: ObservePoint | Seagate- Sync @ Every 2 weeks from 12pm to 12:30pm on Thursday (MST) (John Davis)</t>
  </si>
  <si>
    <t>ObservePoint | Seagate- Sync
Every 2 weeks from 12pm to 12:30pm on Thursday
Mountain Time - Denver
Join Zoom Meeting
https://observepoint.zoom.us/j/3742631971?pwd=Z2JhWG1yV1ZtOVBnMVZaRDR0bjVDZz09&amp;omn=96553474536&amp;jst=2
Join by phone
(US) +1 888-788-0099
passcode: 318688
Joining instructions
https://www.google.com/url?q=https://applications.zoom.us/addon/invitation/detail?meetingUuid%3DA43JT%252FAdQtytusCvPtlgqg%253D%253D%26signature%3Da8947aad9e3f55a8c7185d2f691eb57046ed8eee171</t>
  </si>
  <si>
    <t>19aba33945764344</t>
  </si>
  <si>
    <t>John Davis &lt;john.davis@observepoint.com&gt;, anthony.mcmahon@pmi.org, Abel Gomez &lt;abel.gomez@observepoint.com&gt;</t>
  </si>
  <si>
    <t>observepoint.com, pmi.org</t>
  </si>
  <si>
    <t>Invitation: PMI | ObservePoint Monthly Sync @ Wed Dec 10, 2025 11:30am - 12pm (MST) (John Davis)</t>
  </si>
  <si>
    <t>PMI | ObservePoint Monthly Sync
Wednesday Dec 10, 2025 ⋅ 11:30am – 12pm
Mountain Time - Denver
Join Zoom Meeting
https://observepoint.zoom.us/j/3742631971?pwd=Z2JhWG1yV1ZtOVBnMVZaRDR0bjVDZz09&amp;omn=92049937401
Join by phone
(US) +1 888-788-0099
passcode: 318688
Joining instructions
https://www.google.com/url?q=https://applications.zoom.us/addon/invitation/detail?meetingUuid%3DQLDzuW4gRnqYOUDdvgB8PQ%253D%253D%26signature%3Dcc93c786984f6556ac431a15441f4f79b44e2e2f36d124f1cd4d9495b</t>
  </si>
  <si>
    <t>19aba31e7b4f3e9a</t>
  </si>
  <si>
    <t>Invitation: ObservePoint | Caesars - Sync @ Tue Dec 9, 2025 1pm - 1:30pm (MST) (John Davis)</t>
  </si>
  <si>
    <t>ObservePoint | Caesars - Sync
Tuesday Dec 9, 2025 ⋅ 1pm – 1:30pm
Mountain Time - Denver
Join Zoom Meeting
https://observepoint.zoom.us/j/3742631971?pwd=Z2JhWG1yV1ZtOVBnMVZaRDR0bjVDZz09&amp;omn=94764147512&amp;jst=2
Join by phone
(US) +1 888-788-0099
passcode: 318688
Joining instructions
https://www.google.com/url?q=https://applications.zoom.us/addon/invitation/detail?meetingUuid%3DRwPnfnERS46%252BOzs%252BKjCkIA%253D%253D%26signature%3D345e9bc2a085131b2b2afefa327ab8fb69fcd15939e96eeb9f</t>
  </si>
  <si>
    <t>19bb3ed575c186e8</t>
  </si>
  <si>
    <t>Mycal Tamariki &lt;Mycal.Tamariki@spark.co.nz&gt;</t>
  </si>
  <si>
    <t>Declined: ObservePoint | Spark Bi-Weekly Sync Up</t>
  </si>
  <si>
    <t>19bb3eccddd846a0</t>
  </si>
  <si>
    <t>Krushi Radadiya &lt;krushi.radadiya@spark.co.nz&gt;, Macey Bell &lt;macey.bell@observepoint.com&gt;, Mycal Tamariki &lt;mycal.tamariki@spark.co.nz&gt;, Scott Kempster &lt;scott.kempster@spark.co.nz&gt;, John Davis &lt;john.davis@observepoint.com&gt;</t>
  </si>
  <si>
    <t>spark.co.nz, observepoint.com</t>
  </si>
  <si>
    <t>ObservePoint | Spark Bi-Weekly Sync Up</t>
  </si>
  <si>
    <t>Hey team
Can we cancel today's session its our 2nd day back were still getting our feet under the desks
Cheers
Mycal
Get Outlook for Android&lt;https://aka.ms/AAb9ysg&gt;
________________________________
This email, including any attachments, is confidential. If you have received this email in error, please let me know and then delete it - do not read, use, or distribute it or its contents. This email does not designate an information system for the purposes of the Contract and Commerc</t>
  </si>
  <si>
    <t>19bb3f9d742a53bb</t>
  </si>
  <si>
    <t>Krushi Radadiya &lt;krushi.radadiya@spark.co.nz&gt;, Macey Bell &lt;macey.bell@observepoint.com&gt;, Scott Kempster &lt;scott.kempster@spark.co.nz&gt;</t>
  </si>
  <si>
    <t>Re: ObservePoint | Spark Bi-Weekly Sync Up</t>
  </si>
  <si>
    <t>Sure thing,
We can either wait until our next scheduled meeting on the 27th, or here
are some slots available next week that you can pick from in *New Zealand
Time*:
Meeting length: 30 Minutes
Time Zone: (GMT+13) NZDT/Auckland
Tue Jan 20 Wed Jan 21 Thu Jan 22 Fri Jan 23 Sat Jan 24
 11:00  AM
&lt;https://observepoint.chilipiper.com/suggested-times/950d177d-38f7-4258-acaf-93a5b210359f?slotStartsAt=2026-01-19T22:00:00.000Z&gt;
 10:00  AM
&lt;https://observepoint.chilipiper.com/suggested-times/</t>
  </si>
  <si>
    <t>19b9f8696f1b6227</t>
  </si>
  <si>
    <t>John Davis &lt;john.davis@observepoint.com&gt;, walter.bottlick@cotiviti.com, chris.tack@cotiviti.com</t>
  </si>
  <si>
    <t>observepoint.com, cotiviti.com</t>
  </si>
  <si>
    <t>Invitation: Meeting with Macey @ Thu Jan 15, 2026 1:30pm - 2pm (MST) (John Davis)</t>
  </si>
  <si>
    <t>Meeting with Macey
Thursday Jan 15, 2026 ⋅ 1:30pm – 2pm
Mountain Time - Denver
Join with Google Meet
https://meet.google.com/wam-bhgm-edh?hs=224
Join by phone
(US) +1 252-843-1145
PIN: 272727418
More phone numbers
https://tel.meet/wam-bhgm-edh?pin=5708940295851&amp;hs=0
Looking forward to connecting.
If you need to reschedule, please use the link:  
https://observepoint.chilipiper.com/reschedule/86485666-fb69-4260-b7dd-1e58e040d7de
Organizer
Macey Bell
macey.bell@obse</t>
  </si>
  <si>
    <t>19b9f85f028458e4</t>
  </si>
  <si>
    <t>"Bottlick, Walter" &lt;walter.bottlick@cotiviti.com&gt;</t>
  </si>
  <si>
    <t>Macey Bell &lt;macey.bell@observepoint.com&gt;, "Tack, Chris" &lt;chris.tack@cotiviti.com&gt;, John Davis &lt;john.davis@observepoint.com&gt;</t>
  </si>
  <si>
    <t>RE: **** EXTERNAL EMAIL - USE CAUTION **** ObservePoint Catch-Up + New CSM</t>
  </si>
  <si>
    <t>Hey Macey, sounds good. Can we shoot for the 1/15 at 1:30 MST slot?
From: Macey Bell &lt;macey.bell@observepoint.com&gt;
Sent: Thursday, January 8, 2026 2:52 PM
To: Bottlick, Walter &lt;walter.bottlick@cotiviti.com&gt;; Tack, Chris &lt;chris.tack@cotiviti.com&gt;; John Davis &lt;john.davis@observepoint.com&gt;
Subject: **** EXTERNAL EMAIL - USE CAUTION **** ObservePoint Catch-Up + New CSM
CAUTION: This email originated from outside of the organization. Do not click links or open attachments unless you recogniz</t>
  </si>
  <si>
    <t>19b9f92b194b4bc0</t>
  </si>
  <si>
    <t>Macey Bell &lt;macey.bell@observepoint.com&gt;, "Tack, Chris" &lt;chris.tack@cotiviti.com&gt;</t>
  </si>
  <si>
    <t>Re: **** EXTERNAL EMAIL - USE CAUTION **** ObservePoint Catch-Up + New CSM</t>
  </si>
  <si>
    <t>Hey Walter and Chris,
Yes I think that will work for us, thanks
I'm excited to meet you all and go over your ObservePoint goals for 2026!
*Regards, *
John Davis *   |    * *Customer Success Manager*
Cell: 801.633.6013
john.davis@observepoint.com
www.observepoint.com
&lt;https://groove.grvlnk4.com/url/typa6byifukvbtijwod94/aHR0cDovL3d3dy5vYnNlcnZlcG9pbnQuY29tLyNncm9vdmVzdW06LTc2MTEwNTM3MA%3D%3D&gt;
On Thu, Jan 8, 2026 at 2:31 PM Bottlick, Walter &lt;
walter.bottlick@cotiviti.com&gt;</t>
  </si>
  <si>
    <t>19b9f2a846b792df</t>
  </si>
  <si>
    <t>"Bottlick, Walter" &lt;walter.bottlick@cotiviti.com&gt;, "Tack, Chris" &lt;chris.tack@cotiviti.com&gt;, John Davis &lt;john.davis@observepoint.com&gt;</t>
  </si>
  <si>
    <t>cotiviti.com, observepoint.com</t>
  </si>
  <si>
    <t>ObservePoint Catch-Up + New CSM</t>
  </si>
  <si>
    <t>Hey Walter and Chris,
I would love to catch up to go over progress made with your privacy QA as
well as go over what your team and company goals and metrics will be for
2026 so ObservePoint can best help and be aligned with Cotiviti's
priorities. Also, I'd like to introduce you to John Davis, who will be the
assigned CSM and main point of contact for Cotiviti moving forward. I'm
still at ObservePoint so you'd better come to Edge again this year!
Would any of these times work to sync u</t>
  </si>
  <si>
    <t>19b95016e2d08ca1</t>
  </si>
  <si>
    <t>krushi.radadiya@spark.co.nz</t>
  </si>
  <si>
    <t xml:space="preserve"> Email Template 
See how your auditing and governance efforts paid off in 2025. 
 ‌ ‌ ‌ ‌ ‌ ‌ ‌ ‌ ‌ ‌ ‌ ‌ ‌ ‌ ‌ ‌ ‌ ‌ 
[image: ObservePoint Logo] 
[image: 2025 Year in Review] 
What Did Your Website Audits Reveal Last Year? 
24,198 
Unique Pages Scanned 
11 
Domains Scanned 
Spark NZ 
REPORT PERIOD 
Since Jan 1, 2025 
Top 10 Domains Unique Pages Scanned Last Scan 
cloudphone.spark.co.nz 
&lt;https://go.observepoint.com/dc/EmQVnyk5WP78FNkWKg7LZJGeGNQgGv7odmSs_oS2nLY=/NDQyLU1EUi0zNTkAAAGfM_nbEQMSc3</t>
  </si>
  <si>
    <t>19b95016c4711638</t>
  </si>
  <si>
    <t>jcharman@darden.com</t>
  </si>
  <si>
    <t xml:space="preserve"> Email Template 
See how your auditing and governance efforts paid off in 2025. 
 ‌ ‌ ‌ ‌ ‌ ‌ ‌ ‌ ‌ ‌ ‌ ‌ ‌ ‌ ‌ ‌ ‌ ‌ 
[image: ObservePoint Logo] 
[image: 2025 Year in Review] 
What Did Your Website Audits Reveal Last Year? 
10,014 
Unique Pages Scanned 
28 
Domains Scanned 
Darden 
REPORT PERIOD 
Since Jan 1, 2025 
Top 10 Domains Unique Pages Scanned Last Scan 
www.bahamabreeze.com 
&lt;https://go.observepoint.com/dc/gJVP8Rk9nfWRUx6MKKoGb-yZF3Xuc1nyK0CWd9ukdZ0=/NDQyLU1EUi0zNTkAAAGfM_na9I8ExDtxBK</t>
  </si>
  <si>
    <t>19b950167a5b9bfd</t>
  </si>
  <si>
    <t>btymoniewicz@darden.com</t>
  </si>
  <si>
    <t xml:space="preserve"> Email Template 
See how your auditing and governance efforts paid off in 2025. 
 ‌ ‌ ‌ ‌ ‌ ‌ ‌ ‌ ‌ ‌ ‌ ‌ ‌ ‌ ‌ ‌ ‌ ‌ 
[image: ObservePoint Logo] 
[image: 2025 Year in Review] 
What Did Your Website Audits Reveal Last Year? 
10,014 
Unique Pages Scanned 
28 
Domains Scanned 
Darden 
REPORT PERIOD 
Since Jan 1, 2025 
Top 10 Domains Unique Pages Scanned Last Scan 
www.bahamabreeze.com 
&lt;https://go.observepoint.com/dc/gJVP8Rk9nfWRUx6MKKoGb-yZF3Xuc1nyK0CWd9ukdZ0=/NDQyLU1EUi0zNTkAAAGfM_nabcOgDb56a2</t>
  </si>
  <si>
    <t>19b95015ecd504df</t>
  </si>
  <si>
    <t>charlotte.castillo@devry.edu</t>
  </si>
  <si>
    <t xml:space="preserve"> Email Template 
See how your auditing and governance efforts paid off in 2025. 
 ‌ ‌ ‌ ‌ ‌ ‌ ‌ ‌ ‌ ‌ ‌ ‌ ‌ ‌ ‌ ‌ ‌ ‌ 
[image: ObservePoint Logo] 
[image: 2025 Year in Review] 
What Did Your Website Audits Reveal Last Year? 
1,944 
Unique Pages Scanned 
3 
Domains Scanned 
DeVry University 
REPORT PERIOD 
Since Jan 1, 2025 
Top 10 Domains Unique Pages Scanned Last Scan 
www.devry.edu 
&lt;https://go.observepoint.com/dc/ZHwA4LzRo6IdTlyeJK8t5aMMRORRaGHHSEWDuL5GukU=/NDQyLU1EUi0zNTkAAAGfM_nVFnzr48tuV</t>
  </si>
  <si>
    <t>19b95014f8ae2af2</t>
  </si>
  <si>
    <t>ashley.barajas@cotiviti.com</t>
  </si>
  <si>
    <t xml:space="preserve"> Email Template 
See how your auditing and governance efforts paid off in 2025. 
 ‌ ‌ ‌ ‌ ‌ ‌ ‌ ‌ ‌ ‌ ‌ ‌ ‌ ‌ ‌ ‌ ‌ ‌ 
[image: ObservePoint Logo] 
[image: 2025 Year in Review] 
What Did Your Website Audits Reveal Last Year? 
3,172 
Unique Pages Scanned 
20 
Domains Scanned 
Cotiviti 
REPORT PERIOD 
Since Jan 1, 2025 
Top 10 Domains Unique Pages Scanned Last Scan 
www.edifecs.com 
&lt;https://go.observepoint.com/dc/IXa7a3qCNsfykCKMTv6sTHffgtPR_AaXqARTUrfQ8ck=/NDQyLU1EUi0zNTkAAAGfM_nM8vFTxeoJuUUITg</t>
  </si>
  <si>
    <t>19b95014daae3f75</t>
  </si>
  <si>
    <t>walter.bottlick@cotiviti.com</t>
  </si>
  <si>
    <t xml:space="preserve"> Email Template 
See how your auditing and governance efforts paid off in 2025. 
 ‌ ‌ ‌ ‌ ‌ ‌ ‌ ‌ ‌ ‌ ‌ ‌ ‌ ‌ ‌ ‌ ‌ ‌ 
[image: ObservePoint Logo] 
[image: 2025 Year in Review] 
What Did Your Website Audits Reveal Last Year? 
3,172 
Unique Pages Scanned 
20 
Domains Scanned 
Cotiviti 
REPORT PERIOD 
Since Jan 1, 2025 
Top 10 Domains Unique Pages Scanned Last Scan 
www.edifecs.com 
&lt;https://go.observepoint.com/dc/IXa7a3qCNsfykCKMTv6sTHffgtPR_AaXqARTUrfQ8ck=/NDQyLU1EUi0zNTkAAAGfM_nNZXZZMXBuMKZvIq</t>
  </si>
  <si>
    <t>19b950144277c617</t>
  </si>
  <si>
    <t>chris.tack@cotiviti.com</t>
  </si>
  <si>
    <t xml:space="preserve"> Email Template 
See how your auditing and governance efforts paid off in 2025. 
 ‌ ‌ ‌ ‌ ‌ ‌ ‌ ‌ ‌ ‌ ‌ ‌ ‌ ‌ ‌ ‌ ‌ ‌ 
[image: ObservePoint Logo] 
[image: 2025 Year in Review] 
What Did Your Website Audits Reveal Last Year? 
3,172 
Unique Pages Scanned 
20 
Domains Scanned 
Cotiviti 
REPORT PERIOD 
Since Jan 1, 2025 
Top 10 Domains Unique Pages Scanned Last Scan 
www.edifecs.com 
&lt;https://go.observepoint.com/dc/IXa7a3qCNsfykCKMTv6sTHffgtPR_AaXqARTUrfQ8ck=/NDQyLU1EUi0zNTkAAAGfM_nMxkrHWzro_58eKp</t>
  </si>
  <si>
    <t>19b95014303077ad</t>
  </si>
  <si>
    <t>mlanier@darden.com</t>
  </si>
  <si>
    <t xml:space="preserve"> Email Template 
See how your auditing and governance efforts paid off in 2025. 
 ‌ ‌ ‌ ‌ ‌ ‌ ‌ ‌ ‌ ‌ ‌ ‌ ‌ ‌ ‌ ‌ ‌ ‌ 
[image: ObservePoint Logo] 
[image: 2025 Year in Review] 
What Did Your Website Audits Reveal Last Year? 
10,014 
Unique Pages Scanned 
28 
Domains Scanned 
Darden 
REPORT PERIOD 
Since Jan 1, 2025 
Top 10 Domains Unique Pages Scanned Last Scan 
www.bahamabreeze.com 
&lt;https://go.observepoint.com/dc/gJVP8Rk9nfWRUx6MKKoGb-yZF3Xuc1nyK0CWd9ukdZ0=/NDQyLU1EUi0zNTkAAAGfM_nLs7RBzRCa9-</t>
  </si>
  <si>
    <t>19b950141857bba7</t>
  </si>
  <si>
    <t>esjostrom@darden.com</t>
  </si>
  <si>
    <t xml:space="preserve"> Email Template 
See how your auditing and governance efforts paid off in 2025. 
 ‌ ‌ ‌ ‌ ‌ ‌ ‌ ‌ ‌ ‌ ‌ ‌ ‌ ‌ ‌ ‌ ‌ ‌ 
[image: ObservePoint Logo] 
[image: 2025 Year in Review] 
What Did Your Website Audits Reveal Last Year? 
10,014 
Unique Pages Scanned 
28 
Domains Scanned 
Darden 
REPORT PERIOD 
Since Jan 1, 2025 
Top 10 Domains Unique Pages Scanned Last Scan 
www.bahamabreeze.com 
&lt;https://go.observepoint.com/dc/gJVP8Rk9nfWRUx6MKKoGb-yZF3Xuc1nyK0CWd9ukdZ0=/NDQyLU1EUi0zNTkAAAGfM_nK38LFrZMmsz</t>
  </si>
  <si>
    <t>19b950138dc92291</t>
  </si>
  <si>
    <t>ikannan@woolworths.com.au</t>
  </si>
  <si>
    <t xml:space="preserve"> Email Template 
See how your auditing and governance efforts paid off in 2025. 
 ‌ ‌ ‌ ‌ ‌ ‌ ‌ ‌ ‌ ‌ ‌ ‌ ‌ ‌ ‌ ‌ ‌ ‌ 
[image: ObservePoint Logo] 
[image: 2025 Year in Review] 
What Did Your Website Audits Reveal Last Year? 
12,522 
Unique Pages Scanned 
8 
Domains Scanned 
Woolworths 
REPORT PERIOD 
Since Jan 1, 2025 
Top 10 Domains Unique Pages Scanned Last Scan 
www.woolworths.com.au 
&lt;https://go.observepoint.com/dc/0j-AlL_sdLq_Rs0eEH7tAHTE6HzMyCaO3AtftpiYdng=/NDQyLU1EUi0zNTkAAAGfM_nJ0-Jf22</t>
  </si>
  <si>
    <t>19b9501370aa9e4f</t>
  </si>
  <si>
    <t>david.sals@devry.edu</t>
  </si>
  <si>
    <t xml:space="preserve"> Email Template 
See how your auditing and governance efforts paid off in 2025. 
 ‌ ‌ ‌ ‌ ‌ ‌ ‌ ‌ ‌ ‌ ‌ ‌ ‌ ‌ ‌ ‌ ‌ ‌ 
[image: ObservePoint Logo] 
[image: 2025 Year in Review] 
What Did Your Website Audits Reveal Last Year? 
1,944 
Unique Pages Scanned 
3 
Domains Scanned 
DeVry University 
REPORT PERIOD 
Since Jan 1, 2025 
Top 10 Domains Unique Pages Scanned Last Scan 
www.devry.edu 
&lt;https://go.observepoint.com/dc/ZHwA4LzRo6IdTlyeJK8t5aMMRORRaGHHSEWDuL5GukU=/NDQyLU1EUi0zNTkAAAGfM_nKRlF8_btjR</t>
  </si>
  <si>
    <t>19b950122d45ed2c</t>
  </si>
  <si>
    <t>gramasamy@darden.com</t>
  </si>
  <si>
    <t xml:space="preserve"> Email Template 
See how your auditing and governance efforts paid off in 2025. 
 ‌ ‌ ‌ ‌ ‌ ‌ ‌ ‌ ‌ ‌ ‌ ‌ ‌ ‌ ‌ ‌ ‌ ‌ 
[image: ObservePoint Logo] 
[image: 2025 Year in Review] 
What Did Your Website Audits Reveal Last Year? 
10,014 
Unique Pages Scanned 
28 
Domains Scanned 
Darden 
REPORT PERIOD 
Since Jan 1, 2025 
Top 10 Domains Unique Pages Scanned Last Scan 
www.bahamabreeze.com 
&lt;https://go.observepoint.com/dc/gJVP8Rk9nfWRUx6MKKoGb-yZF3Xuc1nyK0CWd9ukdZ0=/NDQyLU1EUi0zNTkAAAGfM_nEESTv8ujoPT</t>
  </si>
  <si>
    <t>19b4737e0e9a570c</t>
  </si>
  <si>
    <t>varun.metha@devry.edu, chris.hawkes@observepoint.com, colton.matheson@devry.edu, john.davis@observepoint.com, david.sals@devry.edu</t>
  </si>
  <si>
    <t>devry.edu, observepoint.com</t>
  </si>
  <si>
    <t>19b33b227decd5a3</t>
  </si>
  <si>
    <t>Chris Hawkes &lt;chris.hawkes@observepoint.com&gt;</t>
  </si>
  <si>
    <t>John Davis &lt;john.davis@observepoint.com&gt;, colton.matheson@devry.edu, david.sals@devry.edu, charlotte.castillo@devry.edu, varun.metha@devry.edu</t>
  </si>
  <si>
    <t>observepoint.com, devry.edu</t>
  </si>
  <si>
    <t>Invitation: ObservePoint &amp; DeVry University || CSM Introduction @ Mon Dec 22, 2025 12pm - 12:30pm (MST) (John Davis)</t>
  </si>
  <si>
    <t>ObservePoint &amp; DeVry University || CSM Introduction
Monday Dec 22, 2025 ⋅ 12pm – 12:30pm
Mountain Time - Denver
Location
https://observepoint.zoom.us/j/91033742956	
https://www.google.com/url?q=https%3A%2F%2Fobservepoint.zoom.us%2Fj%2F91033742956&amp;sa=D&amp;source=calendar&amp;ust=1766530860000000&amp;usg=AOvVaw3cdabzEXsVPQG2uN2FZ1zZ
Looking forward to connecting.
If you need to reschedule, please use the link:  
https://observepoint.chilipiper.com/reschedule/9fe9922a-a849-4a42-bf00-e3392abb21</t>
  </si>
  <si>
    <t>19b327a8fcdd118a</t>
  </si>
  <si>
    <t>"Castillo, Charlotte" &lt;charlotte.castillo@devry.edu&gt;, "Matheson, Colton" &lt;colton.matheson@devry.edu&gt;, "Sals, David" &lt;david.sals@devry.edu&gt;, varun.metha@devry.edu</t>
  </si>
  <si>
    <t>ObservePoint CSM Introduction</t>
  </si>
  <si>
    <t>Hi DeVry Team,
Hope you've all been well since we last spoke! I wanted to introduce you to
your new Customer Success Manager, John Davis (CC'd). John will take my
place as your primary point of contact for all these relating to
ObservePoint.
Let's set up a quick 30 minute sync to get you all acquainted with John,
sometime before or after the holidays. Please select a date/time from my
calendar below
Click here to find a time in the calendar
&lt;https://us-3129.email-composer-webhooks</t>
  </si>
  <si>
    <t>19b33b37e02d8916</t>
  </si>
  <si>
    <t>"Castillo, Charlotte" &lt;Charlotte.Castillo@devry.edu&gt;</t>
  </si>
  <si>
    <t>Chris Hawkes &lt;chris.hawkes@observepoint.com&gt;, "Matheson, Colton" &lt;Colton.Matheson@devry.edu&gt;, "Sals, David" &lt;David.Sals@devry.edu&gt;, "varun.metha@devry.edu" &lt;varun.metha@devry.edu&gt;</t>
  </si>
  <si>
    <t>John Davis &lt;john.davis@observepoint.com&gt;, "Nugent, Chris" &lt;Chris.Nugent@devry.edu&gt;</t>
  </si>
  <si>
    <t>RE: [EXTERNAL] ObservePoint CSM Introduction</t>
  </si>
  <si>
    <t>Hi Chris &amp; John,
Thanks so much, appreciated. Looking forward to meeting on Monday,
Charlotte Castillo | Senior Manager, Marketing Analytics
Pronouns: She/Her/Hers
M 310.210.6251 | E charlotte.castillo@devry.edu
[Blue text on a black background  AI-generated content may be incorrect.]
From: Chris Hawkes &lt;chris.hawkes@observepoint.com&gt;
Sent: Thursday, December 18, 2025 9:21 AM
To: Castillo, Charlotte &lt;Charlotte.Castillo@devry.edu&gt;; Matheson, Colton &lt;Colton.Matheson@devry.edu&gt;; Sals,</t>
  </si>
  <si>
    <t>19b4794c0deca921</t>
  </si>
  <si>
    <t>Chris Hawkes &lt;chris.hawkes@observepoint.com&gt;, "Matheson, Colton" &lt;Colton.Matheson@devry.edu&gt;, "Sals, David" &lt;David.Sals@devry.edu&gt;, "varun.metha@devry.edu" &lt;varun.metha@devry.edu&gt;, "Nugent, Chris" &lt;Chris.Nugent@devry.edu&gt;</t>
  </si>
  <si>
    <t>Re: [EXTERNAL] ObservePoint CSM Introduction</t>
  </si>
  <si>
    <t xml:space="preserve">Charlotte and David,
It was great to meet you today and talk about DeVry and how ObservePoint
can help your team in 2026.
Don't hesitate to reach out with any questions you might have or if you
want to just bounce ideas off of me.
Here are some times available to set up our monthly syncup. Feel free to
grab one that works for you and your team.
Happy Holidays in the meantime!
Meeting length: 30 Minutes
Time Zone: (GMT-7) MST/Denver
Mon Jan 19 Tue Jan 20 Wed Jan 21 Thu Jan 22 </t>
  </si>
  <si>
    <t>19b4bd8581424688</t>
  </si>
  <si>
    <t>Hi John,
It was great to meet you as well and appreciate you and Chris’ great insights into our account.
Here are follow ups from the meeting:
David/IT –
  *   David to confirm whether AEM developers and other development teams run automated tests during code deployments, such as Selenium based testing. I am not aware of automated coverage for SSWA, given prior launches with broken functionality, but this needs confirmation. Please include how automation works for site forms, especia</t>
  </si>
  <si>
    <t>19b4bde3d00cd2d7</t>
  </si>
  <si>
    <t>FW: RE: [EXTERNAL] ObservePoint CSM Introduction</t>
  </si>
  <si>
    <t>... Apologies John, could you please correct Varun's email address? It should be: Varun.Mehta@devry.edu&lt;mailto:Varun.Mehta@devry.edu&gt;
Charlotte Castillo | Senior Manager, Marketing Analytics
Pronouns: She/Her/Hers
M 310.210.6251 | E charlotte.castillo@devry.edu
[Blue text on a black background  AI-generated content may be incorrect.]
From: Microsoft Outlook &lt;MicrosoftExchange329e71ec88ae4615bbc36ab6ce41109e@devryu.onmicrosoft.com&gt;
Sent: Tuesday, December 23, 2025 7:34 AM
To: Castillo,</t>
  </si>
  <si>
    <t>19b0a6da0e5ed043</t>
  </si>
  <si>
    <t>Scott Kempster &lt;Scott.Kempster@spark.co.nz&gt;</t>
  </si>
  <si>
    <t>Accepted: ObservePoint | Spark Bi-Weekly Sync Up</t>
  </si>
  <si>
    <t xml:space="preserve">________________________________
This email, including any attachments, is confidential. If you have received this email in error, please let me know and then delete it - do not read, use, or distribute it or its contents. This email does not designate an information system for the purposes of the Contract and Commercial Law Act 2017.
</t>
  </si>
  <si>
    <t>19b09f9505523928</t>
  </si>
  <si>
    <t>Krushi Radadiya &lt;Krushi.Radadiya@spark.co.nz&gt;</t>
  </si>
  <si>
    <t>Accepted: ObservePoint | Spark - New CSM Introduction</t>
  </si>
  <si>
    <t xml:space="preserve">
________________________________
This email, including any attachments, is confidential. If you have received this email in error, please let me know and then delete it - do not read, use, or distribute it or its contents. This email does not designate an information system for the purposes of the Contract and Commercial Law Act 2017.
</t>
  </si>
  <si>
    <t>19b04bf1f7938058</t>
  </si>
  <si>
    <t>19ae2c3770032bc8</t>
  </si>
  <si>
    <t>19abf92ce62433c1</t>
  </si>
  <si>
    <t>John Davis &lt;john.davis@observepoint.com&gt;, mycal.tamariki@spark.co.nz, scott.kempster@spark.co.nz, krushi.radadiya@spark.co.nz</t>
  </si>
  <si>
    <t>observepoint.com, spark.co.nz</t>
  </si>
  <si>
    <t>Updated invitation with note: ObservePoint | Spark NZ - Sync @ Mon Dec 15, 2025 1pm - 1:30pm (MST) (John Davis)</t>
  </si>
  <si>
    <t>This event has been updated with a note:
"updated with my zoom link"
Changed: title, conferencing
ObservePoint | Spark NZ - Sync
Monday Dec 15, 2025 ⋅ 1pm – 1:30pm
Mountain Time - Denver
Join Zoom Meeting
https://observepoint.zoom.us/j/3742631971?pwd=Z2JhWG1yV1ZtOVBnMVZaRDR0bjVDZz09&amp;omn=91714766569&amp;jst=2
Join by phone
(US) +1 888-788-0099
passcode: 318688
Joining instructions
https://www.google.com/url?q=https://applications.zoom.us/addon/invitation/detail?meetingUuid%3</t>
  </si>
  <si>
    <t>19abc1111e921b34</t>
  </si>
  <si>
    <t>Invitation: Meeting with Macey @ Mon Dec 15, 2025 1pm - 1:30pm (MST) (John Davis)</t>
  </si>
  <si>
    <t>Meeting with Macey
Monday Dec 15, 2025 ⋅ 1pm – 1:30pm
Mountain Time - Denver
Join with Google Meet
https://meet.google.com/wok-irnt-kbr?hs=224
Join by phone
(US) +1 951-666-5010
PIN: 667340859
More phone numbers
https://tel.meet/wok-irnt-kbr?pin=9881558602424&amp;hs=0
Looking forward to connecting.
If you need to reschedule, please use the link:  
https://observepoint.chilipiper.com/reschedule/dff48407-3c07-49a9-8958-c04d9f668ead
Organizer
Macey Bell
macey.bell@observ</t>
  </si>
  <si>
    <t>19aba8b060cd32a5</t>
  </si>
  <si>
    <t>Krushi Radadiya &lt;krushi.radadiya@spark.co.nz&gt;, Mycal Tamariki &lt;mycal.tamariki@spark.co.nz&gt;, Scott Kempster &lt;Scott.Kempster@spark.co.nz&gt;, John Davis &lt;john.davis@observepoint.com&gt;</t>
  </si>
  <si>
    <t>New CSM Introduction</t>
  </si>
  <si>
    <t>Hey team!
I would love to schedule a call to introduce you to your new CSM, John
Davis, who will be your main point of contact moving forward regarding your
ObservePoint account.
Do any of these times work to introduce you?
Meeting length: 30 Minutes
Time Zone: (GMT-7) MST/Denver
Wed Dec 10 Thu Dec 11 Mon Dec 15 Wed Dec 17 Thu Dec 18
 2:00  PM
&lt;https://us-3129.email-composer-webhooks.gong.io/email-tracking/clicked?email-info-token=eyJhbGciOiJIUzI1NiJ9.eyJjb21wYW55SWQiOiI4OTgyMjM2M</t>
  </si>
  <si>
    <t>19abc104141ceda9</t>
  </si>
  <si>
    <t>Krushi Radadiya &lt;krushi.radadiya@spark.co.nz&gt;, Mycal Tamariki &lt;mycal.tamariki@spark.co.nz&gt;, Scott Kempster &lt;Scott.Kempster@spark.co.nz&gt;</t>
  </si>
  <si>
    <t>Re: New CSM Introduction</t>
  </si>
  <si>
    <t>Thank you for the introduction, Macey.
It's great to meet you all. I'm taking over as your Customer Success
Manager and am here to make this transition as smooth as possible.
I would love to learn more about your goals for your audits next year and
discuss how we can partner with you to meet and exceed those goals.
On Tue, Nov 25, 2025 at 3:24 AM Macey Bell &lt;macey.bell@observepoint.com&gt;
wrote:
&gt; Hey team!
&gt;
&gt; I would love to schedule a call to introduce you to your new CSM, John</t>
  </si>
  <si>
    <t>19abcac71a37f0a7</t>
  </si>
  <si>
    <t>Krushi Radadiya &lt;krushi.radadiya@spark.co.nz&gt;, Mycal Tamariki &lt;mycal.tamariki@spark.co.nz&gt;</t>
  </si>
  <si>
    <t>I think we're all okay with the time Macey booked already, does that work for you John?
cheers
Scott Kempster
He / Him
Architect
Spark New Zealand Trading Limited
+64 210320287
[Spark NZ Ltd]&lt;https://www.spark.co.nz/&gt;                [SparkNZ Facebook] &lt;https://facebook.com/spark4nz&gt;      [SparkNZ Instagram] &lt;https://www.instagram.com/sparknz/&gt;        [Spark NZ X] &lt;https://x.com/sparknz&gt;    [SparkNZ LinkedIn] &lt;https://www.linkedin.com/company/2115&gt;
______________________</t>
  </si>
  <si>
    <t>19abcdec5a869b5d</t>
  </si>
  <si>
    <t>Scott Kempster &lt;Scott.Kempster@spark.co.nz&gt;, John Davis &lt;john.davis@observepoint.com&gt;, Macey Bell &lt;macey.bell@observepoint.com&gt;</t>
  </si>
  <si>
    <t>Krushi Radadiya &lt;krushi.radadiya@spark.co.nz&gt;</t>
  </si>
  <si>
    <t>Hey team,
Krushi and I can't do that day unfortunately, can do the day before or after at the same time if that works for you?
Cheers
Mycal
[cid:2b841f12-887a-4e66-a321-bca206c06c2d][cid:b1c9a449-87e6-4f7f-bc9d-329b9fd35f33]
[spark]
Mycal Tamariki
Chapter Lead – Digital Optimisation
Spark New Zealand Trading Limited
M
021 069 1979
E
Mycal.Tamariki@spark.co.nz&lt;mailto:Mycal.Tamariki@spark.co.nz&gt;
Level 4 Purple, Spark City
167 Victor</t>
  </si>
  <si>
    <t>19abd40312aaa86a</t>
  </si>
  <si>
    <t>Mycal Tamariki &lt;Mycal.Tamariki@spark.co.nz&gt;, John Davis &lt;john.davis@observepoint.com&gt;, Macey Bell &lt;macey.bell@observepoint.com&gt;</t>
  </si>
  <si>
    <t>That would be a Sunday evening for Observepoint 🙂
Can we do the 11th Nz time 10 th usa
Scott Kempster
He / Him
Architect
Spark New Zealand Trading Limited
+64 210320287
[Spark NZ Ltd]&lt;https://www.spark.co.nz/&gt;                [SparkNZ Facebook] &lt;https://facebook.com/spark4nz&gt;      [SparkNZ Instagram] &lt;https://www.instagram.com/sparknz/&gt;        [Spark NZ X] &lt;https://x.com/sparknz&gt;    [SparkNZ LinkedIn] &lt;https://www.linkedin.com/company/2115&gt;
_____________________</t>
  </si>
  <si>
    <t>19abd50b7765203a</t>
  </si>
  <si>
    <t>Scott.Kempster@spark.co.nz, krushi.radadiya@spark.co.nz, Mycal.Tamariki@spark.co.nz, macey.bell@observepoint.com</t>
  </si>
  <si>
    <t>John Davis | Customer Success Manager is inviting you to a scheduled Zoom 
meeting.
Topic: New CSM Introduction
Time: Nov 25, 2025 05:00 PM Mountain Time (US and Canada)
Join Zoom Meeting
https://observepoint.zoom.us/j/3628593272?pwd=OfxX2kwpsuA5labBaZXephHbiAXlz9.1&amp;omn=99908147870
Meeting ID: 362 859 3272
Passcode: 183089
---
One tap mobile
+19292056099,,3628593272# US (New York)
+12532050468,,3628593272# US
Join instructions
https://observepoint.zoom.us/meetings/99908147870/invitations?si</t>
  </si>
  <si>
    <t>19abd54cc232aff5</t>
  </si>
  <si>
    <t>Woops, disregard that last email about the zoom, sorry I am still setting
up all my apps.
- John
On Tue, Nov 25, 2025 at 4:19 PM &lt;john.davis@observepoint.com&gt; wrote:
&gt; John Davis | Customer Success Manager is inviting you to a scheduled Zoom
&gt; meeting.
&gt;
&gt; Topic: New CSM Introduction
&gt; Time: Nov 25, 2025 05:00 PM Mountain Time (US and Canada)
&gt; Join Zoom Meeting
&gt;
&gt; https://observepoint.zoom.us/j/3628593272?pwd=OfxX2kwpsuA5labBaZXephHbiAXlz9.1&amp;omn=99908147870
&gt;
&gt; Meeting ID: 3</t>
  </si>
  <si>
    <t>19abd5cf71942faa</t>
  </si>
  <si>
    <t>It looks like we do have availability on the 10th between 2-3pm US mountain
time, so 10-11am on the 11th NZ time, does that work for you?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&lt;https://groove.grvlnk4.com/url/typa6byifukvbtijwod94/aHR0cHM6Ly93d3cub2JzZXJ2ZXBvaW50LmN</t>
  </si>
  <si>
    <t>19ae142402a8f859</t>
  </si>
  <si>
    <t>I went ahead and scheduled another meeting for 2pm US mountain time on the
10th, 10am NZ time on the 11th. Let me know if you need to change that
time, thanks all!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t>
  </si>
  <si>
    <t>19aba38973be0ed0</t>
  </si>
  <si>
    <t>John Davis &lt;john.davis@observepoint.com&gt;, ikannan@woolworths.com.au, mfalley1@woolworths.com.au, rsaraf@woolworths.com.au, aphilip1@woolworths.com.au, anandrajog1@woolworths.com.au, jalcantara1@woolworths.com.au, jzhang15@woolworths.com.au, schandrahasan1@woolworths.com.au, jalcantara3@woolworths.com.au, wwan5@woolworths.com.au, ssingh60@woolworths.com.au, zzhang4@woolworths.com.au, mmuthe@woolworths.com.au</t>
  </si>
  <si>
    <t>observepoint.com, woolworths.com.au</t>
  </si>
  <si>
    <t>Invitation: OP | Woolworths - Sync @ Monthly from 5pm to 5:30pm on the third Thursday (MST) (John Davis)</t>
  </si>
  <si>
    <t>OP | Woolworths - Sync
Monthly from 5pm to 5:30pm on the third Thursday
Mountain Time - Denver
Join Zoom Meeting
https://observepoint.zoom.us/j/3742631971?pwd=Z2JhWG1yV1ZtOVBnMVZaRDR0bjVDZz09&amp;omn=91296973684
Join by phone
(US) +1 888-788-0099
passcode: 318688
Joining instructions
https://www.google.com/url?q=https://applications.zoom.us/addon/invitation/detail?meetingUuid%3DDz%252FjabMuSWKQnjDpuyYl5A%253D%253D%26signature%3Da8489ae47f4d6c9ac903945d24e4d65cab6ff5add955a4a1e0083</t>
  </si>
  <si>
    <t>19aba36b0a646896</t>
  </si>
  <si>
    <t>John Davis &lt;john.davis@observepoint.com&gt;, btymoniewicz@darden.com, esjostrom@darden.com</t>
  </si>
  <si>
    <t>observepoint.com, darden.com</t>
  </si>
  <si>
    <t>Invitation: ObservePoint | Darden Restaurants Sync @ Every 2 weeks from 1pm to 1:30pm on Wednesday (MST) (John Davis)</t>
  </si>
  <si>
    <t>ObservePoint | Darden Restaurants Sync
Every 2 weeks from 1pm to 1:30pm on Wednesday
Mountain Time - Denver
Join Zoom Meeting
https://observepoint.zoom.us/j/3742631971?pwd=Z2JhWG1yV1ZtOVBnMVZaRDR0bjVDZz09&amp;omn=92489291227
Join by phone
(US) +1 888-788-0099
passcode: 318688
Joining instructions
https://www.google.com/url?q=https://applications.zoom.us/addon/invitation/detail?meetingUuid%3DVYQXo3aQTeS3QtbSa6Xh7g%253D%253D%26signature%3D4245300e37a1e1ce3c512ab445ececbf5dea5db87dbf</t>
  </si>
  <si>
    <t>19b9521460cf7e19</t>
  </si>
  <si>
    <t>stanton.richard@commonspirit.org</t>
  </si>
  <si>
    <t>Syncup Meeting</t>
  </si>
  <si>
    <t>Are you able to join our meeting now?
*Regards, *
John Davis *   |    * *Customer Success Manager*
Cell: 801.633.6013
john.davis@observepoint.com
www.observepoint.com
&lt;https://us-3129.email-composer-webhooks.gong.io/email-tracking/clicked?email-info-token=eyJhbGciOiJIUzI1NiJ9.eyJjb21wYW55SWQiOiI4OTgyMjM2MTQxODc2Mjk3NzAiLCJkcmFmdElkIjoicjIwMTQ1NTYyODkzNzgxMTI3ODMiLCJsaW5rVXJsIjoiaHR0cHM6Ly9ncm9vdmUuZ3J2bG5rNC5jb20vdXJsL3R5cGE2YnlpZnVrdmJ0aWp3b2Q5NC9hSFIwY0RvdkwzZDNkeTV2WW5ObGNuWmxjRzl</t>
  </si>
  <si>
    <t>19b951fe7aafb04c</t>
  </si>
  <si>
    <t>19b98a8cf56f4799</t>
  </si>
  <si>
    <t>Stanton Richard WA-SEATTLE &lt;stanton.richard@commonspirit.org&gt;</t>
  </si>
  <si>
    <t>Re: Syncup Meeting</t>
  </si>
  <si>
    <t>Hi John,
I'm sorry I missed our meeting. I had a family emergency and couldn't make
it. Apologies
On Tue, Jan 6, 2026 at 1:05 PM John Davis &lt;john.davis@observepoint.com&gt;
wrote:
&gt; *USE CAUTION - EXTERNAL EMAIL*
&gt; ------------------------------
&gt; Are you able to join our meeting now?
&gt;
&gt; *Regards, *
&gt;
&gt; John Davis *   |    * *Customer Success Manager*
&gt;
&gt; Cell: 801.633.6013
&gt; john.davis@observepoint.com
&gt; www.observepoint.com
&gt; &lt;https://urldefense.proofpoint.com/v2/url?u=http</t>
  </si>
  <si>
    <t>19b9a79a151bd5fe</t>
  </si>
  <si>
    <t>No worries at all, I hope things are ok and everyone is safe.
Here are some slots listed in *Mountain Time* to meet before our next
scheduled meeting on Feb 3rd, feel free to grab one that works for you:
Meeting length: 30 Minutes
Time Zone: (GMT-7) MST/Denver
Fri Jan 9 Mon Jan 12 Tue Jan 13 Wed Jan 14 Thu Jan 15
 10:00  AM
&lt;https://observepoint.chilipiper.com/suggested-times/43f09e0e-e07b-4ea1-b450-022aa06232e4?slotStartsAt=2026-01-09T17:00:00.000Z&gt;
 10:00  AM
&lt;https://observepoint</t>
  </si>
  <si>
    <t>19b9df2f4ae358c1</t>
  </si>
  <si>
    <t>Thanks, just scheduled it for Monday at 12 noon PST.
On Wed, Jan 7, 2026 at 2:00 PM John Davis &lt;john.davis@observepoint.com&gt;
wrote:
&gt; *USE CAUTION - EXTERNAL EMAIL*
&gt; ------------------------------
&gt; No worries at all, I hope things are ok and everyone is safe.
&gt;
&gt; Here are some slots listed in *Mountain Time* to meet before our next
&gt; scheduled meeting on Feb 3rd, feel free to grab one that works for you:
&gt;
&gt; Meeting length: 30 Minutes
&gt; Time Zone: (GMT-7) MST/Denver
&gt; Fri Jan 9</t>
  </si>
  <si>
    <t>19b950162f3f6c40</t>
  </si>
  <si>
    <t>jcarter@khov.com</t>
  </si>
  <si>
    <t xml:space="preserve"> Email Template 
See how your auditing and governance efforts paid off in 2025. 
 ‌ ‌ ‌ ‌ ‌ ‌ ‌ ‌ ‌ ‌ ‌ ‌ ‌ ‌ ‌ ‌ ‌ ‌ 
[image: ObservePoint Logo] 
[image: 2025 Year in Review] 
What Did Your Website Audits Reveal Last Year? 
163,783 
Unique Pages Scanned 
536 
Domains Scanned 
K. Hovnanian Homes 
REPORT PERIOD 
Since Jan 1, 2025 
Top 10 Domains Unique Pages Scanned Last Scan 
www.khov.com 
&lt;https://go.observepoint.com/dc/OMIkFmdW_O3Ns1P1a13WLImafD67fF1Fvn8yffQQHog=/NDQyLU1EUi0zNTkAAAGfM_nVR8-Y</t>
  </si>
  <si>
    <t>19b950160edad3db</t>
  </si>
  <si>
    <t>stacey.malone@commonspirit.org</t>
  </si>
  <si>
    <t xml:space="preserve"> Email Template 
See how your auditing and governance efforts paid off in 2025. 
 ‌ ‌ ‌ ‌ ‌ ‌ ‌ ‌ ‌ ‌ ‌ ‌ ‌ ‌ ‌ ‌ ‌ ‌ 
[image: ObservePoint Logo] 
[image: 2025 Year in Review] 
What Did Your Website Audits Reveal Last Year? 
64,515 
Unique Pages Scanned 
328 
Domains Scanned 
Dignity Health 
REPORT PERIOD 
Since Jan 1, 2025 
Top 10 Domains Unique Pages Scanned Last Scan 
www.dignityhealth.org 
&lt;https://go.observepoint.com/dc/MazoiJybvV0yvkXwWRTI8Q==/NDQyLU1EUi0zNTkAAAGfM_nVr8qEZGCQAqCmELRnm32p</t>
  </si>
  <si>
    <t>19b9501604dce9e7</t>
  </si>
  <si>
    <t xml:space="preserve"> Email Template 
See how your auditing and governance efforts paid off in 2025. 
 ‌ ‌ ‌ ‌ ‌ ‌ ‌ ‌ ‌ ‌ ‌ ‌ ‌ ‌ ‌ ‌ ‌ ‌ 
[image: ObservePoint Logo] 
[image: 2025 Year in Review] 
What Did Your Website Audits Reveal Last Year? 
64,515 
Unique Pages Scanned 
328 
Domains Scanned 
Dignity Health 
REPORT PERIOD 
Since Jan 1, 2025 
Top 10 Domains Unique Pages Scanned Last Scan 
www.dignityhealth.org 
&lt;https://go.observepoint.com/dc/MazoiJybvV0yvkXwWRTI8Q==/NDQyLU1EUi0zNTkAAAGfM_nVaWQYGmnUkv_j4NpHQOaF</t>
  </si>
  <si>
    <t>19b95015e3269133</t>
  </si>
  <si>
    <t>carolina.lizama@westjet.com</t>
  </si>
  <si>
    <t xml:space="preserve"> Email Template 
See how your auditing and governance efforts paid off in 2025. 
 ‌ ‌ ‌ ‌ ‌ ‌ ‌ ‌ ‌ ‌ ‌ ‌ ‌ ‌ ‌ ‌ ‌ ‌ 
[image: ObservePoint Logo] 
[image: 2025 Year in Review] 
What Did Your Website Audits Reveal Last Year? 
3,069 
Unique Pages Scanned 
4 
Domains Scanned 
WestJet 
REPORT PERIOD 
Since Jan 1, 2025 
Top 10 Domains Unique Pages Scanned Last Scan 
www.westjet.com 
&lt;https://go.observepoint.com/dc/qiYFeyZ2ZdoCumqi_g3jbF8aky5JlpPnRiT2Ky9Vrzo=/NDQyLU1EUi0zNTkAAAGfM_nVIMo8E4-gCrvFGvGz</t>
  </si>
  <si>
    <t>19b95015c09458bd</t>
  </si>
  <si>
    <t>debra.veik@commonspirit.org</t>
  </si>
  <si>
    <t xml:space="preserve"> Email Template 
See how your auditing and governance efforts paid off in 2025. 
 ‌ ‌ ‌ ‌ ‌ ‌ ‌ ‌ ‌ ‌ ‌ ‌ ‌ ‌ ‌ ‌ ‌ ‌ 
[image: ObservePoint Logo] 
[image: 2025 Year in Review] 
What Did Your Website Audits Reveal Last Year? 
64,515 
Unique Pages Scanned 
328 
Domains Scanned 
Dignity Health 
REPORT PERIOD 
Since Jan 1, 2025 
Top 10 Domains Unique Pages Scanned Last Scan 
www.dignityhealth.org 
&lt;https://go.observepoint.com/dc/MazoiJybvV0yvkXwWRTI8Q==/NDQyLU1EUi0zNTkAAAGfM_nUrC40jFhx0HicA3Ajpz5i</t>
  </si>
  <si>
    <t>19b950156c89f2a4</t>
  </si>
  <si>
    <t>david.adams903@commonspirit.org</t>
  </si>
  <si>
    <t xml:space="preserve"> Email Template 
See how your auditing and governance efforts paid off in 2025. 
 ‌ ‌ ‌ ‌ ‌ ‌ ‌ ‌ ‌ ‌ ‌ ‌ ‌ ‌ ‌ ‌ ‌ ‌ 
[image: ObservePoint Logo] 
[image: 2025 Year in Review] 
What Did Your Website Audits Reveal Last Year? 
64,515 
Unique Pages Scanned 
328 
Domains Scanned 
Dignity Health 
REPORT PERIOD 
Since Jan 1, 2025 
Top 10 Domains Unique Pages Scanned Last Scan 
www.dignityhealth.org 
&lt;https://go.observepoint.com/dc/MazoiJybvV0yvkXwWRTI8Q==/NDQyLU1EUi0zNTkAAAGfM_nPCf_cnFVf4zXWsC9bYx9k</t>
  </si>
  <si>
    <t>19b95015303217e2</t>
  </si>
  <si>
    <t>tom.case@commonspirit.org</t>
  </si>
  <si>
    <t xml:space="preserve"> Email Template 
See how your auditing and governance efforts paid off in 2025. 
 ‌ ‌ ‌ ‌ ‌ ‌ ‌ ‌ ‌ ‌ ‌ ‌ ‌ ‌ ‌ ‌ ‌ ‌ 
[image: ObservePoint Logo] 
[image: 2025 Year in Review] 
What Did Your Website Audits Reveal Last Year? 
64,515 
Unique Pages Scanned 
328 
Domains Scanned 
Dignity Health 
REPORT PERIOD 
Since Jan 1, 2025 
Top 10 Domains Unique Pages Scanned Last Scan 
www.dignityhealth.org 
&lt;https://go.observepoint.com/dc/MazoiJybvV0yvkXwWRTI8Q==/NDQyLU1EUi0zNTkAAAGfM_nMvF2e6SCV22lh3f8LGt0u</t>
  </si>
  <si>
    <t>19b950140ea44bbb</t>
  </si>
  <si>
    <t>jschlaier@khov.com</t>
  </si>
  <si>
    <t xml:space="preserve"> Email Template 
See how your auditing and governance efforts paid off in 2025. 
 ‌ ‌ ‌ ‌ ‌ ‌ ‌ ‌ ‌ ‌ ‌ ‌ ‌ ‌ ‌ ‌ ‌ ‌ 
[image: ObservePoint Logo] 
[image: 2025 Year in Review] 
What Did Your Website Audits Reveal Last Year? 
163,783 
Unique Pages Scanned 
536 
Domains Scanned 
K. Hovnanian Homes 
REPORT PERIOD 
Since Jan 1, 2025 
Top 10 Domains Unique Pages Scanned Last Scan 
www.khov.com 
&lt;https://go.observepoint.com/dc/OMIkFmdW_O3Ns1P1a13WLImafD67fF1Fvn8yffQQHog=/NDQyLU1EUi0zNTkAAAGfM_nKizfV</t>
  </si>
  <si>
    <t>19b95013f2306326</t>
  </si>
  <si>
    <t>habdelmagid@khov.com</t>
  </si>
  <si>
    <t xml:space="preserve"> Email Template 
See how your auditing and governance efforts paid off in 2025. 
 ‌ ‌ ‌ ‌ ‌ ‌ ‌ ‌ ‌ ‌ ‌ ‌ ‌ ‌ ‌ ‌ ‌ ‌ 
[image: ObservePoint Logo] 
[image: 2025 Year in Review] 
What Did Your Website Audits Reveal Last Year? 
163,783 
Unique Pages Scanned 
536 
Domains Scanned 
K. Hovnanian Homes 
REPORT PERIOD 
Since Jan 1, 2025 
Top 10 Domains Unique Pages Scanned Last Scan 
www.khov.com 
&lt;https://go.observepoint.com/dc/OMIkFmdW_O3Ns1P1a13WLImafD67fF1Fvn8yffQQHog=/NDQyLU1EUi0zNTkAAAGfM_nIjNYu</t>
  </si>
  <si>
    <t>19b95013b67e7b60</t>
  </si>
  <si>
    <t>brandie.green@bsci.com</t>
  </si>
  <si>
    <t xml:space="preserve"> Email Template 
See how your auditing and governance efforts paid off in 2025. 
 ‌ ‌ ‌ ‌ ‌ ‌ ‌ ‌ ‌ ‌ ‌ ‌ ‌ ‌ ‌ ‌ ‌ ‌ 
[image: ObservePoint Logo] 
[image: 2025 Year in Review] 
What Did Your Website Audits Reveal Last Year? 
20,104 
Unique Pages Scanned 
86 
Domains Scanned 
Boston Scientific 
REPORT PERIOD 
Since Jan 1, 2025 
Top 10 Domains Unique Pages Scanned Last Scan 
www.bostonscientific.com 
&lt;https://go.observepoint.com/dc/P7_TwTjlsPk_Zvf1yBBQIvFXm9AqEGF46JKvOtnFiq8=/NDQyLU1EUi0zNTkAAAG</t>
  </si>
  <si>
    <t>19b95013294a9b67</t>
  </si>
  <si>
    <t>maushami.desai@westjet.com</t>
  </si>
  <si>
    <t xml:space="preserve"> Email Template 
See how your auditing and governance efforts paid off in 2025. 
 ‌ ‌ ‌ ‌ ‌ ‌ ‌ ‌ ‌ ‌ ‌ ‌ ‌ ‌ ‌ ‌ ‌ ‌ 
[image: ObservePoint Logo] 
[image: 2025 Year in Review] 
What Did Your Website Audits Reveal Last Year? 
3,069 
Unique Pages Scanned 
4 
Domains Scanned 
WestJet 
REPORT PERIOD 
Since Jan 1, 2025 
Top 10 Domains Unique Pages Scanned Last Scan 
www.westjet.com 
&lt;https://go.observepoint.com/dc/qiYFeyZ2ZdoCumqi_g3jbF8aky5JlpPnRiT2Ky9Vrzo=/NDQyLU1EUi0zNTkAAAGfM_nHA4J8NFlcotcyWbJB</t>
  </si>
  <si>
    <t>19b9501313ba7344</t>
  </si>
  <si>
    <t>webtech@rwjf.org</t>
  </si>
  <si>
    <t xml:space="preserve"> Email Template 
See how your auditing and governance efforts paid off in 2025. 
 ‌ ‌ ‌ ‌ ‌ ‌ ‌ ‌ ‌ ‌ ‌ ‌ ‌ ‌ ‌ ‌ ‌ ‌ 
[image: ObservePoint Logo] 
[image: 2025 Year in Review] 
What Did Your Website Audits Reveal Last Year? 
13,370 
Unique Pages Scanned 
7 
Domains Scanned 
Robert Wood Johnson Foundation 
REPORT PERIOD 
Since Jan 1, 2025 
Top 10 Domains Unique Pages Scanned Last Scan 
www.rwjf.org 
&lt;https://go.observepoint.com/dc/r-XUyChqt3d3MM4nKNTPazduHKyULbCwlesAv3d7ifc=/NDQyLU1EUi0zNTkAAAG</t>
  </si>
  <si>
    <t>19b95012d6cea899</t>
  </si>
  <si>
    <t>sanjusha.durgam@bsci.com</t>
  </si>
  <si>
    <t>19b95012ce7e819c</t>
  </si>
  <si>
    <t>devon.kerscher@westjet.com</t>
  </si>
  <si>
    <t xml:space="preserve"> Email Template 
See how your auditing and governance efforts paid off in 2025. 
 ‌ ‌ ‌ ‌ ‌ ‌ ‌ ‌ ‌ ‌ ‌ ‌ ‌ ‌ ‌ ‌ ‌ ‌ 
[image: ObservePoint Logo] 
[image: 2025 Year in Review] 
What Did Your Website Audits Reveal Last Year? 
3,069 
Unique Pages Scanned 
4 
Domains Scanned 
WestJet 
REPORT PERIOD 
Since Jan 1, 2025 
Top 10 Domains Unique Pages Scanned Last Scan 
www.westjet.com 
&lt;https://go.observepoint.com/dc/qiYFeyZ2ZdoCumqi_g3jbF8aky5JlpPnRiT2Ky9Vrzo=/NDQyLU1EUi0zNTkAAAGfM_nGgTlZVEiQP_X4LHws</t>
  </si>
  <si>
    <t>19b95012c020520f</t>
  </si>
  <si>
    <t>nicholas.eldridge@bsci.com</t>
  </si>
  <si>
    <t>19b950125300e285</t>
  </si>
  <si>
    <t>phagerty@rwjf.org</t>
  </si>
  <si>
    <t>19b95011762a3e73</t>
  </si>
  <si>
    <t>pdamera@khov.com</t>
  </si>
  <si>
    <t xml:space="preserve"> Email Template 
See how your auditing and governance efforts paid off in 2025. 
 ‌ ‌ ‌ ‌ ‌ ‌ ‌ ‌ ‌ ‌ ‌ ‌ ‌ ‌ ‌ ‌ ‌ ‌ 
[image: ObservePoint Logo] 
[image: 2025 Year in Review] 
What Did Your Website Audits Reveal Last Year? 
163,783 
Unique Pages Scanned 
536 
Domains Scanned 
K. Hovnanian Homes 
REPORT PERIOD 
Since Jan 1, 2025 
Top 10 Domains Unique Pages Scanned Last Scan 
www.khov.com 
&lt;https://go.observepoint.com/dc/OMIkFmdW_O3Ns1P1a13WLImafD67fF1Fvn8yffQQHog=/NDQyLU1EUi0zNTkAAAGfM_nDChnJ</t>
  </si>
  <si>
    <t>19b900448f3f2bca</t>
  </si>
  <si>
    <t>John Davis &lt;john.davis@observepoint.com&gt;, david.krause@commonspirit.org, philip.leach@commonspirit.org, debra.veik@commonspirit.org, eric.davis902@commonspirit.org, ken.johanson@commonspirit.org, stanton.richard@commonspirit.org, abel.gomez@observepoint.com</t>
  </si>
  <si>
    <t>observepoint.com, commonspirit.org</t>
  </si>
  <si>
    <t>Invitation: OP | Dignity Health - Sync @ Monthly from 2pm to 2:30pm on the first Tuesday from Tue Jan 6 to Mon Feb 2 (MST) (John Davis)</t>
  </si>
  <si>
    <t>OP | Dignity Health - Sync
Monthly from 2pm to 2:30pm on the first Tuesday from Tuesday Jan 6 to  
Monday Feb 2
Mountain Time - Denver
Join Zoom Meeting
https://observepoint.zoom.us/j/3742631971?pwd=Z2JhWG1yV1ZtOVBnMVZaRDR0bjVDZz09&amp;omn=92563328990
Join by phone
(US) +1 888-788-0099
passcode: 318688
Joining instructions
https://www.google.com/url?q=https://applications.zoom.us/addon/invitation/detail?meetingUuid%3DuwbEVSZaSHucNTqXQGo9tw%253D%253D%26signature%3D261a60bca9107976</t>
  </si>
  <si>
    <t>19b8fdd305e4386f</t>
  </si>
  <si>
    <t>ObservePoint Followup</t>
  </si>
  <si>
    <t>Hey Stanton,
Hope you had a great holiday break!
I wanted to reach for two reasons, first to schedule our first sync up for
2026, feel free to grab a slot that works for you, or let me know if you
need a different week:
Meeting length: 30 Minutes
Time Zone: (GMT-7) MST/Denver
Mon Jan 12 Tue Jan 13 Wed Jan 14 Thu Jan 15 Fri Jan 16
 1:30  PM
&lt;https://us-3129.email-composer-webhooks.gong.io/email-tracking/clicked?email-info-token=eyJhbGciOiJIUzI1NiJ9.eyJjb21wYW55SWQiOiI4OTgyMjM2MTQxO</t>
  </si>
  <si>
    <t>19b8fd74f1a7db75</t>
  </si>
  <si>
    <t>19b9df6fbe12fa87</t>
  </si>
  <si>
    <t>Re: ObservePoint Followup</t>
  </si>
  <si>
    <t>Can you remind me what the txt file use case is about? I remember talking
about best practices for analytics auditing and custom journeys but not
about a txt file use case.
On Mon, Jan 5, 2026 at 12:33 PM John Davis &lt;john.davis@observepoint.com&gt;
wrote:
&gt; *USE CAUTION - EXTERNAL EMAIL*
&gt; ------------------------------
&gt; Hey Stanton,
&gt;
&gt; Hope you had a great holiday break!
&gt;
&gt; I wanted to reach for two reasons, first to schedule our first sync up for
&gt; 2026, feel free to grab a slo</t>
  </si>
  <si>
    <t>19b9e878574a7022</t>
  </si>
  <si>
    <t xml:space="preserve">Hey Stanton, guessing that refers to just generally validating the on
webpage files that are your pricing transparency details! I think it may
not be txt files but they are non web pages.
I don't remember if we discussed it on our last call but I have been
catching John up to speed on that project since it has been valuable and is
more of a custom use case.
On Thu, Jan 8, 2026 at 7:16 AM Stanton Richard WA-SEATTLE &lt;
stanton.richard@commonspirit.org&gt; wrote:
&gt; Can you remind me what </t>
  </si>
  <si>
    <t>19ba33b294db50ef</t>
  </si>
  <si>
    <t>Thanks Macey,
Then the txt use case is in reference to the Price Compliance audit which
checks txt files.
Here's an example John. For Price Compliance audit the dignityhealth.org
website has to have a machine readable txt file at:
https://www.dignityhealth.org/cms-hpt.txt
which contains links to Source Pages and machine readable JSON files as
well as contact information
location-name: Sequoia Hospital
source-page-url:
https://www.dignityhealth.org/bayarea/locations/sequoia/pa</t>
  </si>
  <si>
    <t>19ba348cf5bb6771</t>
  </si>
  <si>
    <t>Awesome, thanks for sending this over Stanton!
So to clarify, you are hoping to crawl the links in these text files to at
least check if they are dead or not?
I will build a POC for this and get back to you.
*Regards, *
John Davis *   |    * *Customer Success Manager*
Cell: 801.633.6013
john.davis@observepoint.com
www.observepoint.com
&lt;https://groove.grvlnk4.com/url/typa6byifukvbtijwod94/aHR0cDovL3d3dy5vYnNlcnZlcG9pbnQuY29tLyNncm9vdmVzdW06LTc2MTEwNTM3MA%3D%3D&gt;
On Fri, Jan</t>
  </si>
  <si>
    <t>19ba425413a6330d</t>
  </si>
  <si>
    <t>Yes, checking the links in the JSON files would be great. Just even
checking the existence of the JSON files currently doesn't work.
I created this audit to check just the existence of the JSON files and OP
can't verify if the pages are there or not:
https://app.observepoint.com/share/6jZf4rkHhcY3qjPhyzwRmhs
Fortunately I do know ahead of time the content in the JSON so I've instead
split out checking that content into multiple audits:
The other 3 audits work.
1. CMS Compliance</t>
  </si>
  <si>
    <t>19ba4c8d9926078b</t>
  </si>
  <si>
    <t>Ok I did some digging into this a bit and I think it might be easier for me
to just show you at our next meeting on Monday, if that works for you?
*Regards, *
John Davis *   |    * *Customer Success Manager*
Cell: 801.633.6013
john.davis@observepoint.com
www.observepoint.com
&lt;https://groove.grvlnk4.com/url/typa6byifukvbtijwod94/aHR0cDovL3d3dy5vYnNlcnZlcG9pbnQuY29tLyNncm9vdmVzdW06LTc2MTEwNTM3MA%3D%3D&gt;
On Fri, Jan 9, 2026 at 12:04 PM Stanton Richard WA-SEATTLE &lt;
stanton.richar</t>
  </si>
  <si>
    <t>19bb3beb443c7060</t>
  </si>
  <si>
    <t>Sure, that works for me
On Fri, Jan 9, 2026 at 2:03 PM John Davis &lt;john.davis@observepoint.com&gt;
wrote:
&gt; *USE CAUTION - EXTERNAL EMAIL*
&gt; ------------------------------
&gt; Ok I did some digging into this a bit and I think it might be easier for
&gt; me to just show you at our next meeting on Monday, if that works for you?
&gt;
&gt; *Regards, *
&gt;
&gt; John Davis *   |    * *Customer Success Manager*
&gt;
&gt; Cell: 801.633.6013
&gt; john.davis@observepoint.com
&gt; www.observepoint.com
&gt; &lt;https://urlde</t>
  </si>
  <si>
    <t>19bb41a7936ae4b9</t>
  </si>
  <si>
    <t xml:space="preserve">Hi John,
Great meeting and good discussion regarding the Price Compliance audits.
I'll go ahead and enable the Check MRF audit since you noticed that it is
working a lot better now.
Attached is the Price Transparency worksheet which describes the validation
process and lists all the links.  They do get updated occasionally but not
often.
On Mon, Jan 12, 2026 at 11:45 AM Stanton Richard WA-SEATTLE &lt;
stanton.richard@commonspirit.org&gt; wrote:
&gt; Sure, that works for me
&gt;
&gt; On Fri, </t>
  </si>
  <si>
    <t>19bb43b255cc54a1</t>
  </si>
  <si>
    <t>Thanks, Stanton!
I'll keep you in the loop on what I come up with.
*Regards, *
John Davis *   |    * *Customer Success Manager*
Cell: 801.633.6013
john.davis@observepoint.com
www.observepoint.com
&lt;https://groove.grvlnk4.com/url/typa6byifukvbtijwod94/aHR0cDovL3d3dy5vYnNlcnZlcG9pbnQuY29tLyNncm9vdmVzdW06LTc2MTEwNTM3MA%3D%3D&gt;
On Mon, Jan 12, 2026 at 2:26 PM Stanton Richard WA-SEATTLE &lt;
stanton.richard@commonspirit.org&gt; wrote:
&gt; Hi John,
&gt;
&gt; Great meeting and good discussi</t>
  </si>
  <si>
    <t>19b27aa9f411280f</t>
  </si>
  <si>
    <t>"Hagerty, Philip" &lt;phagerty@rwjf.org&gt;</t>
  </si>
  <si>
    <t>Macey Bell &lt;macey.bell@observepoint.com&gt;, Andy Compas &lt;andy.compas@observepoint.com&gt;, John Davis &lt;john.davis@observepoint.com&gt;</t>
  </si>
  <si>
    <t>RE: ObservePoint | RWJF - Sync</t>
  </si>
  <si>
    <t>Macey, I'm out of office today, and we're closed rest of year starting next week.  Have a great holiday and safe travels if you're traveling,  See you in January!
-----Original Appointment-----
From: Macey Bell &lt;macey.bell@observepoint.com&gt;
Sent: Tuesday, November 25, 2025 3:52 AM
To: Macey Bell; Hagerty, Philip; Andy Compas; John Davis
Subject: ObservePoint | RWJF - Sync
When: Tuesday, December 16, 2025 12:00 PM-12:30 PM America/Denver.
Where:
ObservePoint | RWJF - Sync
This em</t>
  </si>
  <si>
    <t>19b2319eeb873857</t>
  </si>
  <si>
    <t>Macey Bell &lt;macey.bell@observepoint.com&gt;, csatam@westjet.com, devon.kerscher@westjet.com, farzaan.hoque@westjet.com, jason.wiegand@westjet.com, maushami.desai@westjet.com, Todd Wilkerson &lt;todd.wilkerson@observepoint.com&gt;, John Davis &lt;john.davis@observepoint.com&gt;</t>
  </si>
  <si>
    <t>observepoint.com, westjet.com</t>
  </si>
  <si>
    <t>WestJet | ObservePoint Monthly Sync</t>
  </si>
  <si>
    <t xml:space="preserve">Can we reschedule this? We are out of office between Christmas and New  
Years. Use this link to schedule something before the holidays that works  
for your team:  
https://observepoint.chilipiper.com/me/john-davis/meeting-with-john Thanks!  
- John
WestJet | ObservePoint Monthly Sync
Thursday Jan 1, 2026 ⋅ 9:30am – 10am
Mountain Time - Denver
Join Zoom Meeting
https://observepoint.zoom.us/j/3742631971?pwd=Z2JhWG1yV1ZtOVBnMVZaRDR0bjVDZz09&amp;omn=93833907298
Join by phone
(US) </t>
  </si>
  <si>
    <t>19b2316d256f5010</t>
  </si>
  <si>
    <t>Macey Bell &lt;macey.bell@observepoint.com&gt;, efraticelli@khov.com, jcarter@khov.com, mprotopopova@khov.com, pdamera@khov.com, John Davis &lt;john.davis@observepoint.com&gt;</t>
  </si>
  <si>
    <t>observepoint.com, khov.com</t>
  </si>
  <si>
    <t>K. Hovnanian | ObservePoint Monthly Sync</t>
  </si>
  <si>
    <t>Can we reschedule this? We are out of office between Christmas and New  
Years. Use this link to schedule something before the holidays that works  
for your team:  
https://observepoint.chilipiper.com/me/john-davis/meeting-with-john Thanks!  
- John
K. Hovnanian | ObservePoint Monthly Sync
Friday Dec 26, 2025 ⋅ 1pm – 1:30pm
Mountain Time - Denver
Join Zoom Meeting
https://observepoint.zoom.us/j/3742631971?pwd=Z2JhWG1yV1ZtOVBnMVZaRDR0bjVDZz09&amp;omn=93400097744
Join by phone
(U</t>
  </si>
  <si>
    <t>19b0dee33e33278d</t>
  </si>
  <si>
    <t>Chinmay Satam &lt;chinmay.satam@westjet.com&gt;, John Davis &lt;john.davis@observepoint.com&gt;</t>
  </si>
  <si>
    <t>westjet.com, observepoint.com</t>
  </si>
  <si>
    <t>Maushami Desai &lt;Maushami.Desai@westjet.com&gt;</t>
  </si>
  <si>
    <t>Re: Request to Skip Today’s Connect - WestJet (Chinmay)</t>
  </si>
  <si>
    <t>Hi Chinmay!
The main topic today was going to be introducing you to John Davis who will
be the new CSM for WestJet moving forward. If things are a bit busy we can
have you meet him after the new year.
I think it would be great if for that sync you can come with WestJet's
major objectives and KPIs for 2026 that align specifically with you and
your team in order to give John a clear idea of how he can best support you
for the coming year and make creative suggestions for strategies to u</t>
  </si>
  <si>
    <t>19b0e24e53199b66</t>
  </si>
  <si>
    <t>Chinmay Satam &lt;chinmay.satam@westjet.com&gt;</t>
  </si>
  <si>
    <t xml:space="preserve">Hi Macey,
Sounds perfect, we can meet in new year and also will be prepared with our 2026 goals and objectives.
Thanks,
Chinmay Satam | Int. Analyst | Advanced Analytics &amp; Automation | Digital
chinmay.satam@westjet.com&lt;mailto:csatam@westjet.com&gt;
[L_WestJet_LWYG_Bottom_RGB.test]
Our Team Values: Collaboration, Dependability, Integrity, Transparency
________________________________
From: Macey Bell &lt;macey.bell@observepoint.com&gt;
Sent: Thursday, December 11, 2025 10:00 AM
</t>
  </si>
  <si>
    <t>19aba36743a8ad8f</t>
  </si>
  <si>
    <t>John Davis &lt;john.davis@observepoint.com&gt;, phagerty@rwjf.org, Andy Compas &lt;andy.compas@observepoint.com&gt;</t>
  </si>
  <si>
    <t>observepoint.com, rwjf.org</t>
  </si>
  <si>
    <t>Invitation: ObservePoint | RWJF - Sync @ Weekly from 12pm to 12:30pm on Tuesday (MST) (John Davis)</t>
  </si>
  <si>
    <t>ObservePoint | RWJF - Sync
Weekly from 12pm to 12:30pm on Tuesday
Mountain Time - Denver
Join Zoom Meeting
https://observepoint.zoom.us/j/3742631971?pwd=Z2JhWG1yV1ZtOVBnMVZaRDR0bjVDZz09&amp;omn=92652801956
Join by phone
(US) +1 888-788-0099
passcode: 318688
Joining instructions
https://www.google.com/url?q=https://applications.zoom.us/addon/invitation/detail?meetingUuid%3D6T5S25t0RDWH2cPujkVMEQ%253D%253D%26signature%3Dd166d8a9aea6a727c75ae97fb6e9e2e8adc5946acaa4632124d5e4f556cd107</t>
  </si>
  <si>
    <t>19aba35f33ff3015</t>
  </si>
  <si>
    <t>John Davis &lt;john.davis@observepoint.com&gt;, jcarter@khov.com, mprotopopova@khov.com, pdamera@khov.com</t>
  </si>
  <si>
    <t>Invitation: K. Hovnanian | ObservePoint Monthly Sync @ Monthly from 1pm to 1:30pm on the last Friday (MST) (John Davis)</t>
  </si>
  <si>
    <t>K. Hovnanian | ObservePoint Monthly Sync
Monthly from 1pm to 1:30pm on the last Friday
Mountain Time - Denver
Join Zoom Meeting
https://observepoint.zoom.us/j/3742631971?pwd=Z2JhWG1yV1ZtOVBnMVZaRDR0bjVDZz09&amp;omn=93400097744
Join by phone
(US) +1 888-788-0099
passcode: 318688
Joining instructions
https://www.google.com/url?q=https://applications.zoom.us/addon/invitation/detail?meetingUuid%3DGK0DgNQvRm2HfQ%252FWEFBB1Q%253D%253D%26signature%3Debe0ae461c9a503bb750fdf484cd12922929e9</t>
  </si>
  <si>
    <t>19aba352f6572763</t>
  </si>
  <si>
    <t>John Davis &lt;john.davis@observepoint.com&gt;, brandie.green@bsci.com, Abel Gomez &lt;abel.gomez@observepoint.com&gt;</t>
  </si>
  <si>
    <t>observepoint.com, bsci.com</t>
  </si>
  <si>
    <t>Invitation: ObservePoint | Boston Scientific - Sync @ Monthly from 9:30am to 10am on the first Friday (MST) (John Davis)</t>
  </si>
  <si>
    <t>ObservePoint | Boston Scientific - Sync
Monthly from 9:30am to 10am on the first Friday
Mountain Time - Denver
Join Zoom Meeting
https://observepoint.zoom.us/j/3742631971?pwd=Z2JhWG1yV1ZtOVBnMVZaRDR0bjVDZz09&amp;omn=94546244430
Join by phone
(US) +1 888-788-0099
passcode: 318688
Joining instructions
https://www.google.com/url?q=https://applications.zoom.us/addon/invitation/detail?meetingUuid%3DnqgqSGhQTmukruEnk8Fzfw%253D%253D%26signature%3D42d47f8c08cf7e3927e5c412258626f1aee51bf0b</t>
  </si>
  <si>
    <t>19aba344c2b95eb8</t>
  </si>
  <si>
    <t>John Davis &lt;john.davis@observepoint.com&gt;, csatam@westjet.com, maushami.desai@westjet.com, devon.kerscher@westjet.com, Todd Wilkerson &lt;todd.wilkerson@observepoint.com&gt;, farzaan.hoque@westjet.com, jason.wiegand@westjet.com</t>
  </si>
  <si>
    <t>Invitation: WestJet | ObservePoint Monthly Sync @ Monthly from 9:30am to 10am on the first Thursday (MST) (John Davis)</t>
  </si>
  <si>
    <t>WestJet | ObservePoint Monthly Sync
Monthly from 9:30am to 10am on the first Thursday
Mountain Time - Denver
Join Zoom Meeting
https://observepoint.zoom.us/j/3742631971?pwd=Z2JhWG1yV1ZtOVBnMVZaRDR0bjVDZz09&amp;omn=93833907298
Join by phone
(US) +1 888-788-0099
passcode: 318688
Joining instructions
https://www.google.com/url?q=https://applications.zoom.us/addon/invitation/detail?meetingUuid%3Du5UTuLgjR7umaoO1RIYVVA%253D%253D%26signature%3D74886dac59628544b0d926784e54b054e77afc80d83</t>
  </si>
  <si>
    <t>19aba320fd5cd5ad</t>
  </si>
  <si>
    <t>John Davis &lt;john.davis@observepoint.com&gt;, david.krause@commonspirit.org, philip.leach@commonspirit.org, david.adams903@commonspirit.org, debra.veik@commonspirit.org, eric.davis902@commonspirit.org, stanton.richard@commonspirit.org, Abel Gomez &lt;abel.gomez@observepoint.com&gt;</t>
  </si>
  <si>
    <t>Invitation: OP | Dignity Health - Sync @ Tue Dec 9, 2025 2pm - 2:30pm (MST) (John Davis)</t>
  </si>
  <si>
    <t>OP | Dignity Health - Sync
Tuesday Dec 9, 2025 ⋅ 2pm – 2:30pm
Mountain Time - Denver
Join Zoom Meeting
https://observepoint.zoom.us/j/3742631971?pwd=Z2JhWG1yV1ZtOVBnMVZaRDR0bjVDZz09&amp;omn=92563328990
Join by phone
(US) +1 888-788-0099
passcode: 318688
Joining instructions
https://www.google.com/url?q=https://applications.zoom.us/addon/invitation/detail?meetingUuid%3DuwbEVSZaSHucNTqXQGo9tw%253D%253D%26signature%3D261a60bca910797695afc7aca672fc14bf3687d2153140f6113d984ecc5329f6%26</t>
  </si>
  <si>
    <t>19aba31a84ba1e0c</t>
  </si>
  <si>
    <t>Invitation: ObservePoint | RWJF - Sync @ Tue Dec 9, 2025 12pm - 12:30pm (MST) (John Davis)</t>
  </si>
  <si>
    <t>ObservePoint | RWJF - Sync
Tuesday Dec 9, 2025 ⋅ 12pm – 12:30pm
Mountain Time - Denver
Join Zoom Meeting
https://observepoint.zoom.us/j/3742631971?pwd=Z2JhWG1yV1ZtOVBnMVZaRDR0bjVDZz09&amp;omn=92652801956
Join by phone
(US) +1 888-788-0099
passcode: 318688
Joining instructions
https://www.google.com/url?q=https://applications.zoom.us/addon/invitation/detail?meetingUuid%3D6T5S25t0RDWH2cPujkVMEQ%253D%253D%26signature%3Dd166d8a9aea6a727c75ae97fb6e9e2e8adc5946acaa4632124d5e4f556cd107c%</t>
  </si>
  <si>
    <t>19b9f672277b6d88</t>
  </si>
  <si>
    <t>Tatyana Zachary &lt;tatyana.zachary@cdw.com&gt;</t>
  </si>
  <si>
    <t>Automatic reply: Billing Info</t>
  </si>
  <si>
    <t xml:space="preserve">Thank you for your message.
I will be on PTO from Jan 8th through Jan 16th
Tatyana
</t>
  </si>
  <si>
    <t>19b9f6426af7c045</t>
  </si>
  <si>
    <t>Audrey Bombeck-Massel &lt;audrbom@cdw.com&gt;, Tatyana Zachary &lt;tatyana.zachary@cdw.com&gt;</t>
  </si>
  <si>
    <t>Macey Bell &lt;macey.bell@observepoint.com&gt;, Andy Compas &lt;andy.compas@observepoint.com&gt;</t>
  </si>
  <si>
    <t>Billing Info</t>
  </si>
  <si>
    <t>Hey Audrey and Tatyana,
I was looking over your account and our documents and noticed our billing
info for you guys hasn't been updated in awhile. Do you mind filling out
this attached form so I have all the right contacts for the future?
*Regards, *
John Davis *   |    * *Customer Success Manager*
Cell: 801.633.6013
john.davis@observepoint.com
www.observepoint.com
&lt;https://groove.grvlnk4.com/url/typa6byifukvbtijwod94/aHR0cDovL3d3dy5vYnNlcnZlcG9pbnQuY29tLyNncm9vdmVzdW06LTc2MTEwN</t>
  </si>
  <si>
    <t>19b9f6141ce5c5d0</t>
  </si>
  <si>
    <t>19b955f843e0a23f</t>
  </si>
  <si>
    <t>adrian.soto@accenture.com, tim.howland@biogen.com, keinersolano.miranda@biogen.com</t>
  </si>
  <si>
    <t>accenture.com, biogen.com</t>
  </si>
  <si>
    <t>Schedule Sync Up</t>
  </si>
  <si>
    <t>Hey Biogen and Accenture teams!
I would like to introduce myself as your new CSM moving forward. I have
CC'd Andy Compass, your ObservePoint AE, in this email as well.
I would love to schedule a first sync up with you all to learn about your
ObservePoint use cases and how we can help moving forward to make sure
you're getting the most value out of ObservePoint.
Here are some slots that work for us next week, feel free to grab one that
works for your team:
Meeting length: 30 Minut</t>
  </si>
  <si>
    <t>19b9559d4fce3dd4</t>
  </si>
  <si>
    <t>19b9519567e24b98</t>
  </si>
  <si>
    <t>Steve Choi &lt;steve.choi@prudential.com&gt;</t>
  </si>
  <si>
    <t>prudential.com</t>
  </si>
  <si>
    <t>Technology Renewals &lt;technologyrenewals@prudential.com&gt;, Dallin Madsen &lt;dallin.madsen@observepoint.com&gt;, John Davis &lt;john.davis@observepoint.com&gt;, Dylan Sellers &lt;dylan.sellers@observepoint.com&gt;</t>
  </si>
  <si>
    <t>prudential.com, observepoint.com</t>
  </si>
  <si>
    <t>Vaibhav Sharma &lt;vaibhav.3.sharma@prudential.com&gt;</t>
  </si>
  <si>
    <t>RE: Quote Renewals For 2025-ObservePoint contract renewal</t>
  </si>
  <si>
    <t>+@John Davis&lt;mailto:john.davis@observepoint.com&gt; and @Dylan Sellers&lt;mailto:dylan.sellers@observepoint.com&gt;
From: Technology Renewals &lt;technologyrenewals@prudential.com&gt;
Sent: Tuesday, January 6, 2026 2:19 PM
To: Dallin Madsen &lt;dallin.madsen@observepoint.com&gt;
Cc: Vaibhav Sharma &lt;vaibhav.3.sharma@prudential.com&gt;; Steve Choi &lt;steve.choi@prudential.com&gt;
Subject: RE: Quote Renewals For 2025-ObservePoint contract renewal
Importance: High
Hello Dallin,
I hope you’re doing well.
I wante</t>
  </si>
  <si>
    <t>19b951b9c59b0ccf</t>
  </si>
  <si>
    <t>Technology Renewals &lt;technologyrenewals@prudential.com&gt;, John Davis &lt;john.davis@observepoint.com&gt;, Dylan Sellers &lt;dylan.sellers@observepoint.com&gt;, Vaibhav Sharma &lt;vaibhav.3.sharma@prudential.com&gt;</t>
  </si>
  <si>
    <t>Re: Quote Renewals For 2025-ObservePoint contract renewal</t>
  </si>
  <si>
    <t>Hi Steve,
I answered this in another thread with your procurement folks--apologies, i
thought you were CCed.
Our contract has *already* auto-renewed per the agreement. You will
receive an invoice from ar@observepoint.com
&lt;https://us-3129.email-composer-webhooks.gong.io/email-tracking/clicked?email-info-token=eyJhbGciOiJIUzI1NiJ9.eyJjb21wYW55SWQiOiI4OTgyMjM2MTQxODc2Mjk3NzAiLCJkcmFmdElkIjoicjQ0MjIzMTM0OTg0NDQ2ODI5MDQiLCJsaW5rVXJsIjoiaHR0cHM6Ly9vYnNlcnZlcG9pbnQuY29tLyIsImxpbmtUZXh0Ijoib2Jz</t>
  </si>
  <si>
    <t>19b95636fda1d584</t>
  </si>
  <si>
    <t>Dallin Madsen &lt;dallin.madsen@observepoint.com&gt;, Lalitha Kavutharapu &lt;lalitha.kavutharapu@prudential.com&gt;, Emily Owens &lt;emily.owens@prudential.com&gt;, Nishant Kumar &lt;nishant.kumar@prudential.com&gt;</t>
  </si>
  <si>
    <t>observepoint.com, prudential.com</t>
  </si>
  <si>
    <t>Hi @Nishant Kumar&lt;mailto:nishant.kumar@prudential.com&gt;
Is there specific email ObservePoint send the invoice to?
Thanks,
Steve
From: Dallin Madsen &lt;dallin.madsen@observepoint.com&gt;
Sent: Tuesday, January 6, 2026 3:59 PM
To: Steve Choi &lt;steve.choi@prudential.com&gt;
Cc: Technology Renewals &lt;technologyrenewals@prudential.com&gt;; John Davis &lt;john.davis@observepoint.com&gt;; Dylan Sellers &lt;dylan.sellers@observepoint.com&gt;; Vaibhav Sharma &lt;vaibhav.3.sharma@prudential.com&gt;
Subject: Re: Quote Ren</t>
  </si>
  <si>
    <t>19b98f416b273619</t>
  </si>
  <si>
    <t>Technology Renewals &lt;technologyrenewals@prudential.com&gt;</t>
  </si>
  <si>
    <t>Steve Choi &lt;steve.choi@prudential.com&gt;, Dallin Madsen &lt;dallin.madsen@observepoint.com&gt;, Lalitha Kavutharapu &lt;lalitha.kavutharapu@prudential.com&gt;</t>
  </si>
  <si>
    <t>John Davis &lt;john.davis@observepoint.com&gt;, Dylan Sellers &lt;dylan.sellers@observepoint.com&gt;, Vaibhav Sharma &lt;vaibhav.3.sharma@prudential.com&gt;, Emily Owens &lt;emily.owens@prudential.com&gt;</t>
  </si>
  <si>
    <t xml:space="preserve">Hello Steve,
The invoice will likely be sent to invoice.technology.procurement@prudential.com or to our Technology Renewals mailbox.
@Dallin Madsen&lt;mailto:dallin.madsen@observepoint.com&gt;, please confirm as soon as the invoice is shared.
Feel free to reach out if you have any questions.
Nishant Kumar
Technology Renewals
Global Sourcing &amp; Procurement
technologyrenewals@prudential.com&lt;mailto:technologyrenewals@prudential.com&gt;
[A black background with blue text  AI-generated content may </t>
  </si>
  <si>
    <t>19b98f60ec04223b</t>
  </si>
  <si>
    <t>Steve Choi &lt;steve.choi@prudential.com&gt;, Lalitha Kavutharapu &lt;lalitha.kavutharapu@prudential.com&gt;, John Davis &lt;john.davis@observepoint.com&gt;, Vaibhav Sharma &lt;vaibhav.3.sharma@prudential.com&gt;, Emily Owens &lt;emily.owens@prudential.com&gt;, Lynsie Lassig &lt;lynsie.lassig@observepoint.com&gt;</t>
  </si>
  <si>
    <t>@Lynsie Lassig &lt;lynsie.lassig@observepoint.com&gt; can you please send the
invoice for Prudential to this email?
Thank you!
Dallin Madsen *   |    * *Enterprise Account Executive*
801.850.3709
dallin.madsen@observepoint.com
Schedule a Meeting With Me!
&lt;https://us-3129.email-composer-webhooks.gong.io/email-tracking/clicked?email-info-token=eyJhbGciOiJIUzI1NiJ9.eyJjb21wYW55SWQiOiI4OTgyMjM2MTQxODc2Mjk3NzAiLCJkcmFmdElkIjoici0xMDg3NTAxNzA3MjgxMzkxNjEyIiwibGlua1VybCI6Imh0dHBzOi8vb2JzZXJ2ZXBv</t>
  </si>
  <si>
    <t>19b9eaa2bb9049d2</t>
  </si>
  <si>
    <t>Lynsie Lassig &lt;ar@observepoint.com&gt;</t>
  </si>
  <si>
    <t>Technology Renewals &lt;technologyrenewals@prudential.com&gt;, Steve Choi &lt;steve.choi@prudential.com&gt;</t>
  </si>
  <si>
    <t>Lalitha Kavutharapu &lt;lalitha.kavutharapu@prudential.com&gt;, John Davis &lt;john.davis@observepoint.com&gt;, Vaibhav Sharma &lt;vaibhav.3.sharma@prudential.com&gt;, Emily Owens &lt;emily.owens@prudential.com&gt;, Dallin Madsen &lt;dallin.madsen@observepoint.com&gt;</t>
  </si>
  <si>
    <t>Hi Team,
The invoice was billed directly to Steve on Jan 1, 2026 to request a
current PO number. I will resend it to your invoicing emails under separate
cover from our system shortly. Please let me know if you have any questions
or need anything else.
Thank you!
*Lynsie Lassig* *   |    * *Accounts Receivable Specialist*
Our bank details have changed. We are now with JPMorgan Chase and our
Silicon Valley Bank account is closed. Please contact me directly for
updated bank inform</t>
  </si>
  <si>
    <t>19b95016c51c5589</t>
  </si>
  <si>
    <t>damon.hall@crowdstrike.com</t>
  </si>
  <si>
    <t xml:space="preserve"> Email Template 
See how your auditing and governance efforts paid off in 2025. 
 ‌ ‌ ‌ ‌ ‌ ‌ ‌ ‌ ‌ ‌ ‌ ‌ ‌ ‌ ‌ ‌ ‌ ‌ 
[image: ObservePoint Logo] 
[image: 2025 Year in Review] 
What Did Your Website Audits Reveal Last Year? 
18,386 
Unique Pages Scanned 
43 
Domains Scanned 
CrowdStrike 
REPORT PERIOD 
Since Jan 1, 2025 
Top 10 Domains Unique Pages Scanned Last Scan 
www.crowdstrike.com 
&lt;https://go.observepoint.com/dc/wv8kM_N7KOy8j1zc1FnpW3JhY8fMOjuRYz8FANesXrI=/NDQyLU1EUi0zNTkAAAGfM_na5FqZqQ</t>
  </si>
  <si>
    <t>19b950168d70bd6f</t>
  </si>
  <si>
    <t>brian.zolnierczyk@cdw.com</t>
  </si>
  <si>
    <t xml:space="preserve"> Email Template 
See how your auditing and governance efforts paid off in 2025. 
 ‌ ‌ ‌ ‌ ‌ ‌ ‌ ‌ ‌ ‌ ‌ ‌ ‌ ‌ ‌ ‌ ‌ ‌ 
[image: ObservePoint Logo] 
[image: 2025 Year in Review] 
What Did Your Website Audits Reveal Last Year? 
39,011 
Unique Pages Scanned 
11 
Domains Scanned 
CDW 
REPORT PERIOD 
Since Jan 1, 2025 
Top 10 Domains Unique Pages Scanned Last Scan 
www.cdw.com 
&lt;https://go.observepoint.com/dc/-lm-g8HjmPCXjaO8_AaCF6O_UO9tZU07h9g-PkKuvnc=/NDQyLU1EUi0zNTkAAAGfM_naoUe5JZXWr7bQYlm9FMAuu_</t>
  </si>
  <si>
    <t>19b9501688fe9623</t>
  </si>
  <si>
    <t>kaeloco@cdw.com</t>
  </si>
  <si>
    <t xml:space="preserve"> Email Template 
See how your auditing and governance efforts paid off in 2025. 
 ‌ ‌ ‌ ‌ ‌ ‌ ‌ ‌ ‌ ‌ ‌ ‌ ‌ ‌ ‌ ‌ ‌ ‌ 
[image: ObservePoint Logo] 
[image: 2025 Year in Review] 
What Did Your Website Audits Reveal Last Year? 
39,011 
Unique Pages Scanned 
11 
Domains Scanned 
CDW 
REPORT PERIOD 
Since Jan 1, 2025 
Top 10 Domains Unique Pages Scanned Last Scan 
www.cdw.com 
&lt;https://go.observepoint.com/dc/-lm-g8HjmPCXjaO8_AaCF6O_UO9tZU07h9g-PkKuvnc=/NDQyLU1EUi0zNTkAAAGfM_naiJK3MjfEgdeZpXkOHS41rj</t>
  </si>
  <si>
    <t>19b9501665f3e1e9</t>
  </si>
  <si>
    <t>tatyana.zachary@cdw.com</t>
  </si>
  <si>
    <t xml:space="preserve"> Email Template 
See how your auditing and governance efforts paid off in 2025. 
 ‌ ‌ ‌ ‌ ‌ ‌ ‌ ‌ ‌ ‌ ‌ ‌ ‌ ‌ ‌ ‌ ‌ ‌ 
[image: ObservePoint Logo] 
[image: 2025 Year in Review] 
What Did Your Website Audits Reveal Last Year? 
39,011 
Unique Pages Scanned 
11 
Domains Scanned 
CDW 
REPORT PERIOD 
Since Jan 1, 2025 
Top 10 Domains Unique Pages Scanned Last Scan 
www.cdw.com 
&lt;https://go.observepoint.com/dc/-lm-g8HjmPCXjaO8_AaCF6O_UO9tZU07h9g-PkKuvnc=/NDQyLU1EUi0zNTkAAAGfM_naUibNz7T6NGnF321oO0720L</t>
  </si>
  <si>
    <t>19b95015a17f2b11</t>
  </si>
  <si>
    <t>sainath.revankar@cdw.com</t>
  </si>
  <si>
    <t xml:space="preserve"> Email Template 
See how your auditing and governance efforts paid off in 2025. 
 ‌ ‌ ‌ ‌ ‌ ‌ ‌ ‌ ‌ ‌ ‌ ‌ ‌ ‌ ‌ ‌ ‌ ‌ 
[image: ObservePoint Logo] 
[image: 2025 Year in Review] 
What Did Your Website Audits Reveal Last Year? 
39,011 
Unique Pages Scanned 
11 
Domains Scanned 
CDW 
REPORT PERIOD 
Since Jan 1, 2025 
Top 10 Domains Unique Pages Scanned Last Scan 
www.cdw.com 
&lt;https://go.observepoint.com/dc/-lm-g8HjmPCXjaO8_AaCF6O_UO9tZU07h9g-PkKuvnc=/NDQyLU1EUi0zNTkAAAGfM_nUY_TwmheKbbUZASL4NL3wxc</t>
  </si>
  <si>
    <t>19b950158e8d67c1</t>
  </si>
  <si>
    <t>zack.rosen@crowdstrike.com</t>
  </si>
  <si>
    <t xml:space="preserve"> Email Template 
See how your auditing and governance efforts paid off in 2025. 
 ‌ ‌ ‌ ‌ ‌ ‌ ‌ ‌ ‌ ‌ ‌ ‌ ‌ ‌ ‌ ‌ ‌ ‌ 
[image: ObservePoint Logo] 
[image: 2025 Year in Review] 
What Did Your Website Audits Reveal Last Year? 
18,386 
Unique Pages Scanned 
43 
Domains Scanned 
CrowdStrike 
REPORT PERIOD 
Since Jan 1, 2025 
Top 10 Domains Unique Pages Scanned Last Scan 
www.crowdstrike.com 
&lt;https://go.observepoint.com/dc/wv8kM_N7KOy8j1zc1FnpW3JhY8fMOjuRYz8FANesXrI=/NDQyLU1EUi0zNTkAAAGfM_nPT_FL4y</t>
  </si>
  <si>
    <t>19b95015879aa2e8</t>
  </si>
  <si>
    <t>steve.choi@prudential.com</t>
  </si>
  <si>
    <t xml:space="preserve"> Email Template 
See how your auditing and governance efforts paid off in 2025. 
 ‌ ‌ ‌ ‌ ‌ ‌ ‌ ‌ ‌ ‌ ‌ ‌ ‌ ‌ ‌ ‌ ‌ ‌ 
[image: ObservePoint Logo] 
[image: 2025 Year in Review] 
What Did Your Website Audits Reveal Last Year? 
26,462 
Unique Pages Scanned 
59 
Domains Scanned 
Prudential Financial 
REPORT PERIOD 
Since Jan 1, 2025 
Top 10 Domains Unique Pages Scanned Last Scan 
www.prudential.com 
&lt;https://go.observepoint.com/dc/OZ94TI6mypYWdXN8Y1fFHDzPPWFDEVSJpOW4bFzNOi4vzyui2bAw8MssX1hTBcBH/ND</t>
  </si>
  <si>
    <t>19b95015651864b2</t>
  </si>
  <si>
    <t>annvrba@cdw.com</t>
  </si>
  <si>
    <t xml:space="preserve"> Email Template 
See how your auditing and governance efforts paid off in 2025. 
 ‌ ‌ ‌ ‌ ‌ ‌ ‌ ‌ ‌ ‌ ‌ ‌ ‌ ‌ ‌ ‌ ‌ ‌ 
[image: ObservePoint Logo] 
[image: 2025 Year in Review] 
What Did Your Website Audits Reveal Last Year? 
39,011 
Unique Pages Scanned 
11 
Domains Scanned 
CDW 
REPORT PERIOD 
Since Jan 1, 2025 
Top 10 Domains Unique Pages Scanned Last Scan 
www.cdw.com 
&lt;https://go.observepoint.com/dc/-lm-g8HjmPCXjaO8_AaCF6O_UO9tZU07h9g-PkKuvnc=/NDQyLU1EUi0zNTkAAAGfM_nPFLgiYVdAUEkFMHGe_LiM9Z</t>
  </si>
  <si>
    <t>19b95014f5d776ad</t>
  </si>
  <si>
    <t>keinersolano.miranda@biogen.com</t>
  </si>
  <si>
    <t xml:space="preserve"> Email Template 
See how your auditing and governance efforts paid off in 2025. 
 ‌ ‌ ‌ ‌ ‌ ‌ ‌ ‌ ‌ ‌ ‌ ‌ ‌ ‌ ‌ ‌ ‌ ‌ 
[image: ObservePoint Logo] 
[image: 2025 Year in Review] 
What Did Your Website Audits Reveal Last Year? 
1,414 
Unique Pages Scanned 
18 
Domains Scanned 
Biogen 
REPORT PERIOD 
Since Jan 1, 2025 
Top 10 Domains Unique Pages Scanned Last Scan 
www.abovems.com 
&lt;https://go.observepoint.com/dc/XTcQj4m3nrpdb2xVar7R7Fb_DryU29WL9hvouf3Fl-o=/NDQyLU1EUi0zNTkAAAGfM_nOj2whNaDzaAtDkyMo</t>
  </si>
  <si>
    <t>19b95014f14a8bce</t>
  </si>
  <si>
    <t>robert.ernest@prudential.com</t>
  </si>
  <si>
    <t>19b950144b16655c</t>
  </si>
  <si>
    <t>victdob@cdw.com</t>
  </si>
  <si>
    <t xml:space="preserve"> Email Template 
See how your auditing and governance efforts paid off in 2025. 
 ‌ ‌ ‌ ‌ ‌ ‌ ‌ ‌ ‌ ‌ ‌ ‌ ‌ ‌ ‌ ‌ ‌ ‌ 
[image: ObservePoint Logo] 
[image: 2025 Year in Review] 
What Did Your Website Audits Reveal Last Year? 
39,011 
Unique Pages Scanned 
11 
Domains Scanned 
CDW 
REPORT PERIOD 
Since Jan 1, 2025 
Top 10 Domains Unique Pages Scanned Last Scan 
www.cdw.com 
&lt;https://go.observepoint.com/dc/-lm-g8HjmPCXjaO8_AaCF6O_UO9tZU07h9g-PkKuvnc=/NDQyLU1EUi0zNTkAAAGfM_nLAMqa7o6jNie4aIJCeLUxOS</t>
  </si>
  <si>
    <t>19b95013f5d58af6</t>
  </si>
  <si>
    <t>scott.sweeney@cdw.com</t>
  </si>
  <si>
    <t xml:space="preserve"> Email Template 
See how your auditing and governance efforts paid off in 2025. 
 ‌ ‌ ‌ ‌ ‌ ‌ ‌ ‌ ‌ ‌ ‌ ‌ ‌ ‌ ‌ ‌ ‌ ‌ 
[image: ObservePoint Logo] 
[image: 2025 Year in Review] 
What Did Your Website Audits Reveal Last Year? 
39,011 
Unique Pages Scanned 
11 
Domains Scanned 
CDW 
REPORT PERIOD 
Since Jan 1, 2025 
Top 10 Domains Unique Pages Scanned Last Scan 
www.cdw.com 
&lt;https://go.observepoint.com/dc/-lm-g8HjmPCXjaO8_AaCF6O_UO9tZU07h9g-PkKuvnc=/NDQyLU1EUi0zNTkAAAGfM_nLs7HjHpfy72v0w6_qhz4dL3</t>
  </si>
  <si>
    <t>19b95012ead88de9</t>
  </si>
  <si>
    <t>harshavardhan.chunduri@cdw.com</t>
  </si>
  <si>
    <t xml:space="preserve"> Email Template 
See how your auditing and governance efforts paid off in 2025. 
 ‌ ‌ ‌ ‌ ‌ ‌ ‌ ‌ ‌ ‌ ‌ ‌ ‌ ‌ ‌ ‌ ‌ ‌ 
[image: ObservePoint Logo] 
[image: 2025 Year in Review] 
What Did Your Website Audits Reveal Last Year? 
39,011 
Unique Pages Scanned 
11 
Domains Scanned 
CDW 
REPORT PERIOD 
Since Jan 1, 2025 
Top 10 Domains Unique Pages Scanned Last Scan 
www.cdw.com 
&lt;https://go.observepoint.com/dc/-lm-g8HjmPCXjaO8_AaCF6O_UO9tZU07h9g-PkKuvnc=/NDQyLU1EUi0zNTkAAAGfM_nGX8SLiLkZcl-J5D-Rrdj7gF</t>
  </si>
  <si>
    <t>19b95012e2fc286b</t>
  </si>
  <si>
    <t>audrbom@cdw.com</t>
  </si>
  <si>
    <t xml:space="preserve"> Email Template 
See how your auditing and governance efforts paid off in 2025. 
 ‌ ‌ ‌ ‌ ‌ ‌ ‌ ‌ ‌ ‌ ‌ ‌ ‌ ‌ ‌ ‌ ‌ ‌ 
[image: ObservePoint Logo] 
[image: 2025 Year in Review] 
What Did Your Website Audits Reveal Last Year? 
39,011 
Unique Pages Scanned 
11 
Domains Scanned 
CDW 
REPORT PERIOD 
Since Jan 1, 2025 
Top 10 Domains Unique Pages Scanned Last Scan 
www.cdw.com 
&lt;https://go.observepoint.com/dc/-lm-g8HjmPCXjaO8_AaCF6O_UO9tZU07h9g-PkKuvnc=/NDQyLU1EUi0zNTkAAAGfM_nGGP5ftm5xwu-mvmY4mc7a4j</t>
  </si>
  <si>
    <t>19b95012de9c3556</t>
  </si>
  <si>
    <t>arpita.ninganure@cdw.com</t>
  </si>
  <si>
    <t xml:space="preserve"> Email Template 
See how your auditing and governance efforts paid off in 2025. 
 ‌ ‌ ‌ ‌ ‌ ‌ ‌ ‌ ‌ ‌ ‌ ‌ ‌ ‌ ‌ ‌ ‌ ‌ 
[image: ObservePoint Logo] 
[image: 2025 Year in Review] 
What Did Your Website Audits Reveal Last Year? 
39,011 
Unique Pages Scanned 
11 
Domains Scanned 
CDW 
REPORT PERIOD 
Since Jan 1, 2025 
Top 10 Domains Unique Pages Scanned Last Scan 
www.cdw.com 
&lt;https://go.observepoint.com/dc/-lm-g8HjmPCXjaO8_AaCF6O_UO9tZU07h9g-PkKuvnc=/NDQyLU1EUi0zNTkAAAGfM_nGH6W-7Jx1XkRKA8owmETt1Y</t>
  </si>
  <si>
    <t>19b95012d71169cb</t>
  </si>
  <si>
    <t>adripue@cdw.com</t>
  </si>
  <si>
    <t xml:space="preserve"> Email Template 
See how your auditing and governance efforts paid off in 2025. 
 ‌ ‌ ‌ ‌ ‌ ‌ ‌ ‌ ‌ ‌ ‌ ‌ ‌ ‌ ‌ ‌ ‌ ‌ 
[image: ObservePoint Logo] 
[image: 2025 Year in Review] 
What Did Your Website Audits Reveal Last Year? 
39,011 
Unique Pages Scanned 
11 
Domains Scanned 
CDW 
REPORT PERIOD 
Since Jan 1, 2025 
Top 10 Domains Unique Pages Scanned Last Scan 
www.cdw.com 
&lt;https://go.observepoint.com/dc/-lm-g8HjmPCXjaO8_AaCF6O_UO9tZU07h9g-PkKuvnc=/NDQyLU1EUi0zNTkAAAGfM_nFiMcoS5LDlLkucd6U7cLhWF</t>
  </si>
  <si>
    <t>19b95012abd9c90b</t>
  </si>
  <si>
    <t>sravanth.venna@cdw.com</t>
  </si>
  <si>
    <t xml:space="preserve"> Email Template 
See how your auditing and governance efforts paid off in 2025. 
 ‌ ‌ ‌ ‌ ‌ ‌ ‌ ‌ ‌ ‌ ‌ ‌ ‌ ‌ ‌ ‌ ‌ ‌ 
[image: ObservePoint Logo] 
[image: 2025 Year in Review] 
What Did Your Website Audits Reveal Last Year? 
39,011 
Unique Pages Scanned 
11 
Domains Scanned 
CDW 
REPORT PERIOD 
Since Jan 1, 2025 
Top 10 Domains Unique Pages Scanned Last Scan 
www.cdw.com 
&lt;https://go.observepoint.com/dc/-lm-g8HjmPCXjaO8_AaCF6O_UO9tZU07h9g-PkKuvnc=/NDQyLU1EUi0zNTkAAAGfM_nFwVMihNtjnauL6S88LgIeAF</t>
  </si>
  <si>
    <t>19b95011d9352800</t>
  </si>
  <si>
    <t>crose@mms.org</t>
  </si>
  <si>
    <t xml:space="preserve"> Email Template 
See how your auditing and governance efforts paid off in 2025. 
 ‌ ‌ ‌ ‌ ‌ ‌ ‌ ‌ ‌ ‌ ‌ ‌ ‌ ‌ ‌ ‌ ‌ ‌ 
[image: ObservePoint Logo] 
[image: 2025 Year in Review] 
What Did Your Website Audits Reveal Last Year? 
14,666 
Unique Pages Scanned 
19 
Domains Scanned 
Massachusetts Medical Society 
REPORT PERIOD 
Since Jan 1, 2025 
Top 10 Domains Unique Pages Scanned Last Scan 
www.nejm.org 
&lt;https://go.observepoint.com/dc/B4beL62IRHKlPMmH8bXJQbRzyzCiFqrkP6WyQskuQoc=/NDQyLU1EUi0zNTkAAAG</t>
  </si>
  <si>
    <t>19b95011a9b2ddb7</t>
  </si>
  <si>
    <t>jeangua@cdw.com</t>
  </si>
  <si>
    <t xml:space="preserve"> Email Template 
See how your auditing and governance efforts paid off in 2025. 
 ‌ ‌ ‌ ‌ ‌ ‌ ‌ ‌ ‌ ‌ ‌ ‌ ‌ ‌ ‌ ‌ ‌ ‌ 
[image: ObservePoint Logo] 
[image: 2025 Year in Review] 
What Did Your Website Audits Reveal Last Year? 
39,011 
Unique Pages Scanned 
11 
Domains Scanned 
CDW 
REPORT PERIOD 
Since Jan 1, 2025 
Top 10 Domains Unique Pages Scanned Last Scan 
www.cdw.com 
&lt;https://go.observepoint.com/dc/-lm-g8HjmPCXjaO8_AaCF6O_UO9tZU07h9g-PkKuvnc=/NDQyLU1EUi0zNTkAAAGfM_nDieH-OjE0Vq1GhnSMu4W1b0</t>
  </si>
  <si>
    <t>19b8ead16be22a44</t>
  </si>
  <si>
    <t>Macey Bell &lt;macey.bell@observepoint.com&gt;, "john.davis@observepoint.com" &lt;john.davis@observepoint.com&gt;, "dylan.sellers@observepoint.com" &lt;dylan.sellers@observepoint.com&gt;</t>
  </si>
  <si>
    <t>ObservePoint AI from ObservePoint &lt;support@observepoint.com&gt;, Baijnath Gupta &lt;baijnath.gupta@prudential.com&gt;</t>
  </si>
  <si>
    <t>Latest ObservePoint audit reports for Prudential.com &amp; PGIM</t>
  </si>
  <si>
    <t>Hi @'Macey Bell'&lt;mailto:macey.bell@observepoint.com&gt; or @john.davis@observepoint.com&lt;mailto:john.davis@observepoint.com&gt;,
Please provide few available times or calendar link so we can review the latest audit reports for Prudential.com and PGIM from last week.
Thanks,
Steve
From: Steve Choi
Sent: Monday, January 5, 2026 9:58 AM
To: 'Macey Bell' &lt;macey.bell@observepoint.com&gt;; john.davis@observepoint.com; dylan.sellers@observepoint.com
Cc: Robert Ernest &lt;robert.ernest@prudential.com&gt;</t>
  </si>
  <si>
    <t>19b8f26727270f59</t>
  </si>
  <si>
    <t>Macey Bell &lt;macey.bell@observepoint.com&gt;, "dylan.sellers@observepoint.com" &lt;dylan.sellers@observepoint.com&gt;, ObservePoint AI from ObservePoint &lt;support@observepoint.com&gt;, Baijnath Gupta &lt;baijnath.gupta@prudential.com&gt;</t>
  </si>
  <si>
    <t>Re: Latest ObservePoint audit reports for Prudential.com &amp; PGIM</t>
  </si>
  <si>
    <t>Hey Steve,
Here are some times this week that work for us, feel free to grab one that
works for you:
Meeting length: 30 Minutes
Time Zone: (GMT-7) MST/Denver
Tue Jan 6 Wed Jan 7 Thu Jan 8
 10:00  AM
&lt;https://us-3129.email-composer-webhooks.gong.io/email-tracking/clicked?email-info-token=eyJhbGciOiJIUzI1NiJ9.eyJjb21wYW55SWQiOiI4OTgyMjM2MTQxODc2Mjk3NzAiLCJkcmFmdElkIjoicjc3NDQzMTc0MTgyNTE1ODM3MzMiLCJsaW5rVXJsIjoiaHR0cHM6Ly9vYnNlcnZlcG9pbnQuY2hpbGlwaXBlci5jb20vc3VnZ2VzdGVkLXRpbWVzL2EwYmMy</t>
  </si>
  <si>
    <t>19b9ad415d83e38e</t>
  </si>
  <si>
    <t>RE: Latest ObservePoint audit reports for Prudential.com &amp; PGIM</t>
  </si>
  <si>
    <t>Hi John,
Sorry I missed.  Can you provide other available times for this Friday 1/9, next Monday 1/12, next Thursday 1/15?
Thanks,
Steve
From: John Davis &lt;john.davis@observepoint.com&gt;
Sent: Monday, January 5, 2026 12:14 PM
To: Steve Choi &lt;steve.choi@prudential.com&gt;
Cc: Macey Bell &lt;macey.bell@observepoint.com&gt;; dylan.sellers@observepoint.com; ObservePoint AI from ObservePoint &lt;support@observepoint.com&gt;; Baijnath Gupta &lt;baijnath.gupta@prudential.com&gt;
Subject: Re: Latest ObservePoin</t>
  </si>
  <si>
    <t>19b9b86a1ac38294</t>
  </si>
  <si>
    <t>Hey Steve,
Well we already have our weekly meeting scheduled for Monday 1/12 @ 2:30pm
MST (4:30pm EST), is that still going to work for you? I was just wondering
if you wanted to throw in an extra one this week since I had to cancel this
past Monday, but we can wait until this coming Monday, no worries.
*Regards, *
John Davis *   |    * *Customer Success Manager*
Cell: 801.633.6013
john.davis@observepoint.com
www.observepoint.com
&lt;https://groove.grvlnk4.com/url/typa6byifukvbtij</t>
  </si>
  <si>
    <t>19bb2d9ab2c92057</t>
  </si>
  <si>
    <t>Macey Bell &lt;macey.bell@observepoint.com&gt;, "dylan.sellers@observepoint.com" &lt;dylan.sellers@observepoint.com&gt;, ObservePoint AI from ObservePoint &lt;support@observepoint.com&gt;</t>
  </si>
  <si>
    <t>Hi John,
I have conflict at 4:30 ET today, 1/12.  Can you provide some availability for this Thursday or  Friday?
Thanks,
Steve
From: John Davis &lt;john.davis@observepoint.com&gt;
Sent: Wednesday, January 7, 2026 9:54 PM
To: Steve Choi &lt;steve.choi@prudential.com&gt;
Cc: Macey Bell &lt;macey.bell@observepoint.com&gt;; dylan.sellers@observepoint.com; ObservePoint AI from ObservePoint &lt;support@observepoint.com&gt;; Baijnath Gupta &lt;baijnath.gupta@prudential.com&gt;
Subject: Re: Latest ObservePoint audit</t>
  </si>
  <si>
    <t>19bb2da131c4b74a</t>
  </si>
  <si>
    <t>john.davis@observepoint.com, macey.bell@observepoint.com, dylan.sellers@observepoint.com</t>
  </si>
  <si>
    <t>Re: RE: Latest ObservePoint audit reports for Prudential.com &amp; PGIM</t>
  </si>
  <si>
    <t xml:space="preserve"> 
#66284702: RE: Latest ObservePoint audit reports for Prudential.com &amp; PGIM 
Submitted 
We'll pick up your ticket soon 
Hi John, I have conflict at 4:30 ET today, 1/12. Can you provide some 
availability for this Thursday or Friday? Thanks, Steve *From:* John Davis 
&lt;john.davis@observepoint.com&gt; 
*Sent:* Wednesday, January 7, 2026 9:54 PM
*To:* Steve Choi &lt;steve.choi@prudential.com&gt;
*Cc:* Macey Bell &lt;macey.bell@observepoint.com&gt;; 
dylan.sellers@observepoint.com; ObservePoint AI from ObservePoi</t>
  </si>
  <si>
    <t>19bb328c1147f9c4</t>
  </si>
  <si>
    <t>steve.choi@prudential.com, macey.bell@observepoint.com, dylan.sellers@observepoint.com</t>
  </si>
  <si>
    <t>Hey Steve,
Here are some available slots those two days, in *Eastern Time*:
Meeting length: 30 Minutes
Time Zone: (GMT-5) EST/New_York
Thu Jan 15 Fri Jan 16
 12:00  PM
&lt;https://observepoint.chilipiper.com/suggested-times/2b19e5e1-d167-4d9f-98a2-cb5f614106a8?slotStartsAt=2026-01-15T17:00:00.000Z&gt;
 12:30  PM
&lt;https://observepoint.chilipiper.com/suggested-times/2b19e5e1-d167-4d9f-98a2-cb5f614106a8?slotStartsAt=2026-01-16T17:30:00.000Z&gt;
 1:30  PM
&lt;https://observepoint.chilipiper.com/su</t>
  </si>
  <si>
    <t>19b8e3e341d65284</t>
  </si>
  <si>
    <t>Weekly Sync</t>
  </si>
  <si>
    <t>Hey Steve,
I have a dentist appointment that I scheduled a while ago that is going to
conflict with our weekly sync later today @ 2:30pm MST. It sounds like you
got some great help from Dylan and Macey over the holiday break with a few
things.
Are you ok if we cancel this week and plan on next Monday for our first
sync of the year? If that isn't going to work for you and need some help
quicker, then we could reschedule this week.
Let me know what will work best for you.
*Regards</t>
  </si>
  <si>
    <t>19b8c942495926ff</t>
  </si>
  <si>
    <t>19b7f00195c1f1da</t>
  </si>
  <si>
    <t>Robert Ernest &lt;robert.ernest@prudential.com&gt;</t>
  </si>
  <si>
    <t>Steve Choi &lt;steve.choi@prudential.com&gt;, Dylan Sellers &lt;dylan.sellers@observepoint.com&gt;, ObservePoint AI from ObservePoint &lt;support@observepoint.com&gt;, "john.davis@observepoint.com" &lt;john.davis@observepoint.com&gt;, Macey Bell &lt;macey.bell@observepoint.com&gt;</t>
  </si>
  <si>
    <t>Lalitha Kavutharapu &lt;lalitha.kavutharapu@prudential.com&gt;, Nandhitha B &lt;nandhitha.p.b@prudential.com&gt;</t>
  </si>
  <si>
    <t>Canceled: Troubleshoot Observepoint SSO Issue</t>
  </si>
  <si>
    <t>Cancelling the call since we're just waiting for the certificate to be updated.
________________________________________________________________________________
Microsoft Teams Need help?&lt;https://aka.ms/JoinTeamsMeeting?omkt=en-US&gt;
Join the meeting now&lt;https://teams.microsoft.com/l/meetup-join/19%3ameeting_OGU5MzQzMzYtOWE4MC00M2VjLWExZTItOTNjMDdkNmQ0ZmIw%40thread.v2/0?context=%7b%22Tid%22%3a%22d8fde2f5-9392-4260-8a03-0ad01f4746e9%22%2c%22Oid%22%3a%2282e148f0-3610-4982-9eeb-103c283f6139%22</t>
  </si>
  <si>
    <t>19b7f008115355f5</t>
  </si>
  <si>
    <t>steve.choi@prudential.com, dylan.sellers@observepoint.com, john.davis@observepoint.com, macey.bell@observepoint.com, lalitha.kavutharapu@prudential.com, nandhitha.p.b@prudential.com</t>
  </si>
  <si>
    <t>Re: Canceled: Troubleshoot Observepoint SSO Issue</t>
  </si>
  <si>
    <t xml:space="preserve"> 
#64117705: Canceled: Troubleshoot Observepoint SSO Issue 
Submitted 
We'll pick up your ticket soon 
Cancelling the call since we’re just waiting for the certificate to be 
updated. 
________________________________________________________________________________ 
*Microsoft Teams*Need help? &lt;https://aka.ms/JoinTeamsMeeting?omkt=en-US&gt; 
Meeting ID: 211 699 887 724 41 Passcode: 5ft24GF6 *Dial in by phone* +1 
201-268-5459,,385671899#United States, Jersey City Phone conference ID: 385 
671 899#</t>
  </si>
  <si>
    <t>19b7a575d864b9ee</t>
  </si>
  <si>
    <t>"nic.suder@observepoint.com" &lt;nic.suder@observepoint.com&gt;, "crose@mms.org" &lt;crose@mms.org&gt;, "john.davis@observepoint.com" &lt;john.davis@observepoint.com&gt;, "andy.compas@observepoint.com" &lt;andy.compas@observepoint.com&gt;</t>
  </si>
  <si>
    <t>observepoint.com, mms.org</t>
  </si>
  <si>
    <t>Upcoming ObservePoint Renewal on January 31, 2026 - Massachusetts Medical Society</t>
  </si>
  <si>
    <t xml:space="preserve">
[image: ObservePoint Logo_Gray_ON_YEllow_LOGO.jpeg]
A friendly reminder that it's time to renew.
Hi Caryn-Amy,
The last day of your current term is *January 31, 2026*.
If you have already completed renewal paperwork or opted to auto-renew your 
agreement, no action is required.
Please reach out to your account team if you have any questions.
*Customer Success Manager -* john.davis@observepoint.com
*Account Executive - * andy.compas@observepoint.com
</t>
  </si>
  <si>
    <t>19b7a575c63b165c</t>
  </si>
  <si>
    <t>"nic.suder@observepoint.com" &lt;nic.suder@observepoint.com&gt;, "john.davis@observepoint.com" &lt;john.davis@observepoint.com&gt;, "andy.compas@observepoint.com" &lt;andy.compas@observepoint.com&gt;, "paul.chita@biogen.com" &lt;paul.chita@biogen.com&gt;</t>
  </si>
  <si>
    <t>observepoint.com, biogen.com</t>
  </si>
  <si>
    <t>Upcoming ObservePoint Renewal on January 31, 2026 - Biogen</t>
  </si>
  <si>
    <t xml:space="preserve">
[image: ObservePoint Logo_Gray_ON_YEllow_LOGO.jpeg]
A friendly reminder that it's time to renew.
Hi Paul,
The last day of your current term is *January 31, 2026*.
If you have already completed renewal paperwork or opted to auto-renew your 
agreement, no action is required.
Please reach out to your account team if you have any questions.
*Customer Success Manager -* john.davis@observepoint.com
*Account Executive - * andy.compas@observepoint.com
</t>
  </si>
  <si>
    <t>19b754c04141ff1b</t>
  </si>
  <si>
    <t>Troubleshoot Observepoint SSO Issue</t>
  </si>
  <si>
    <t xml:space="preserve">
________________________________________________________________________________
Microsoft Teams Need help?&lt;https://aka.ms/JoinTeamsMeeting?omkt=en-US&gt;
Join the meeting now&lt;https://teams.microsoft.com/l/meetup-join/19%3ameeting_OGU5MzQzMzYtOWE4MC00M2VjLWExZTItOTNjMDdkNmQ0ZmIw%40thread.v2/0?context=%7b%22Tid%22%3a%22d8fde2f5-9392-4260-8a03-0ad01f4746e9%22%2c%22Oid%22%3a%2282e148f0-3610-4982-9eeb-103c283f6139%22%7d&gt;
Meeting ID: 211 699 887 724 41
Passcode: 5ft24GF6
_________________________</t>
  </si>
  <si>
    <t>19b754c7c15174fc</t>
  </si>
  <si>
    <t>Re: Troubleshoot Observepoint SSO Issue</t>
  </si>
  <si>
    <t xml:space="preserve"> 
#63890944: Troubleshoot Observepoint SSO Issue 
Submitted 
We'll pick up your ticket soon 
________________________________________________________________________________ 
*Microsoft Teams*Need help? &lt;https://aka.ms/JoinTeamsMeeting?omkt=en-US&gt; 
Meeting ID: 211 699 887 724 41 Passcode: 5ft24GF6 *Dial in by phone* +1 
201-268-5459,,385671899#United States, Jersey City Phone conference ID: 385 
671 899# *Join on a video conferencing device* Tenant key: pru@m.webex.com 
Video ID: 117 969 579 5 </t>
  </si>
  <si>
    <t>19b8d994646b19bb</t>
  </si>
  <si>
    <t>Adrian from ObservePoint &lt;support@observepoint.com&gt;</t>
  </si>
  <si>
    <t xml:space="preserve"> 
#63890944: Troubleshoot Observepoint SSO Issue 
Resolved 
We've completed your ticket 
________________________________________________________________________________ 
*Microsoft Teams*Need help? &lt;https://aka.ms/JoinTeamsMeeting?omkt=en-US&gt; 
Meeting ID: 211 699 887 724 41 Passcode: 5ft24GF6 *Dial in by phone* +1 
201-268-5459,,385671899#United States, Jersey City Phone conference ID: 385 
671 899# *Join on a video conferencing device* Tenant key: pru@m.webex.com 
Video ID: 117 969 579 5 For </t>
  </si>
  <si>
    <t>19b711bc14100706</t>
  </si>
  <si>
    <t>"Rose, Caryn-Amy" &lt;crose@mms.org&gt;, John Davis &lt;john.davis@observepoint.com&gt;</t>
  </si>
  <si>
    <t>mms.org, observepoint.com</t>
  </si>
  <si>
    <t>Re: [EXT] ObservePoint Renewal</t>
  </si>
  <si>
    <t>Sure thing! I think it can be done by Friday most likely but I will keep
you posted. Not sure if any of our signers are extending time off.
On Tue, Dec 30, 2025 at 1:13 PM Rose, Caryn-Amy &lt;crose@mms.org&gt; wrote:
&gt; Hi Macey! Here is our signed renewal order form. Would you kindly return a
&gt; fully-executed copy when everyone is back?
&gt;
&gt;
&gt;
&gt; Thanks so much!
&gt;
&gt;
&gt;
&gt; Happy New Year!
&gt;
&gt;
&gt;
&gt; Best,
&gt;
&gt;
&gt;
&gt; Caryn-Amy
&gt;
&gt;
&gt;
&gt;
&gt;
&gt; *From:* Macey Bell &lt;macey.bell@observepoint.c</t>
  </si>
  <si>
    <t>19b51f1babce316c</t>
  </si>
  <si>
    <t>Steve Choi &lt;steve.choi@prudential.com&gt;, "dylan.sellers@observepoint.com" &lt;dylan.sellers@observepoint.com&gt;, Lalitha Kavutharapu &lt;lalitha.kavutharapu@prudential.com&gt;</t>
  </si>
  <si>
    <t>"john.davis@observepoint.com" &lt;john.davis@observepoint.com&gt;, Macey Bell &lt;macey.bell@observepoint.com&gt;</t>
  </si>
  <si>
    <t>RE: ObservePoint login issue - Expired Certificate</t>
  </si>
  <si>
    <t>Hi Dylan,
According to our IAM team, there's nothing to update on Prudential's side. Can you please let us know what needs to be done to resolve the issue? Thank you
Robert
From: Orlan Magsakay &lt;orlan.magsakay@prudential.com&gt;
Sent: Wednesday, December 24, 2025 1:00 PM
To: Robert Ernest &lt;robert.ernest@prudential.com&gt;; Steve Choi &lt;steve.choi@prudential.com&gt;; Lalitha Kavutharapu &lt;lalitha.kavutharapu@prudential.com&gt;
Cc: Global Technology IAM Operations &lt;gt.wintel.engineering.support@pr</t>
  </si>
  <si>
    <t>19b51f3652ba0ffb</t>
  </si>
  <si>
    <t>Steve Choi &lt;steve.choi@prudential.com&gt;, "dylan.sellers@observepoint.com" &lt;dylan.sellers@observepoint.com&gt;, Lalitha Kavutharapu &lt;lalitha.kavutharapu@prudential.com&gt;, "support@observepoint.com" &lt;support@observepoint.com&gt;</t>
  </si>
  <si>
    <t>Hi Observepoint support,
According to our IAM team, there's nothing to update on Prudential's side regarding expired certificate. Can you please let us know what needs to be done to resolve the issue? Thank you
Robert Ernest
From: Robert Ernest
Sent: Wednesday, December 24, 2025 2:59 PM
To: Steve Choi &lt;steve.choi@prudential.com&gt;; 'dylan.sellers@observepoint.com' &lt;dylan.sellers@observepoint.com&gt;; Lalitha Kavutharapu &lt;lalitha.kavutharapu@prudential.com&gt;
Cc: 'john.davis@observepoi</t>
  </si>
  <si>
    <t>19b5287f91555d37</t>
  </si>
  <si>
    <t>Robert Ernest &lt;robert.ernest@prudential.com&gt;, "dylan.sellers@observepoint.com" &lt;dylan.sellers@observepoint.com&gt;, Lalitha Kavutharapu &lt;lalitha.kavutharapu@prudential.com&gt;, ObservePoint AI from ObservePoint &lt;support@observepoint.com&gt;</t>
  </si>
  <si>
    <t>Re: ObservePoint login issue - Expired Certificate</t>
  </si>
  <si>
    <t>Hi John/ObservePoint Support,
Please see below.
Thanks,
Steve
________________________________
From: Robert Ernest &lt;robert.ernest@prudential.com&gt;
Sent: Wednesday, December 24, 2025 2:59:12 PM
To: Steve Choi &lt;steve.choi@prudential.com&gt;; dylan.sellers@observepoint.com &lt;dylan.sellers@observepoint.com&gt;; Lalitha Kavutharapu &lt;lalitha.kavutharapu@prudential.com&gt;
Cc: john.davis@observepoint.com &lt;john.davis@observepoint.com&gt;; Macey Bell &lt;macey.bell@observepoint.com&gt;
Subject: RE: ObserveP</t>
  </si>
  <si>
    <t>19b5b33a4ffae283</t>
  </si>
  <si>
    <t>Dylan Sellers &lt;dylan.sellers@observepoint.com&gt;</t>
  </si>
  <si>
    <t>Robert Ernest &lt;robert.ernest@prudential.com&gt;, Lalitha Kavutharapu &lt;lalitha.kavutharapu@prudential.com&gt;, ObservePoint AI from ObservePoint &lt;support@observepoint.com&gt;, "john.davis@observepoint.com" &lt;john.davis@observepoint.com&gt;, Macey Bell &lt;macey.bell@observepoint.com&gt;</t>
  </si>
  <si>
    <t>Steve,
I escalated it to our on-call engineers. After troubleshooting, I couldn't
see any obvious cause on my end. I hope to get a response today.
On Wed, Dec 24, 2025 at 3:43 PM Steve Choi &lt;steve.choi@prudential.com&gt;
wrote:
&gt; Hi John/ObservePoint Support,
&gt;
&gt; Please see below.
&gt;
&gt; Thanks,
&gt;
&gt; Steve
&gt;
&gt; ------------------------------
&gt; *From:* Robert Ernest &lt;robert.ernest@prudential.com&gt;
&gt; *Sent:* Wednesday, December 24, 2025 2:59:12 PM
&gt; *To:* Steve Choi &lt;steve.choi@pruden</t>
  </si>
  <si>
    <t>19b5d1ecd1128cfb</t>
  </si>
  <si>
    <t>Steve,
Our engineering team feels like from their side everything looks normal
with SSO and no recent changes have been made on our end.
I want to suggest a live troubleshooting call if available.
I also suggest that we disable SSO temporarily while we troubleshoot. It
will mean reduced security, but you will be able to get access and access
the UI while we figure out the root issue.
Is that an option?
On Fri, Dec 26, 2025 at 8:07 AM Dylan Sellers &lt;
dylan.sellers@observepoint.</t>
  </si>
  <si>
    <t>19b6a6ee301c347f</t>
  </si>
  <si>
    <t>"dylan.sellers@observepoint.com" &lt;dylan.sellers@observepoint.com&gt;, Steve Choi &lt;steve.choi@prudential.com&gt;</t>
  </si>
  <si>
    <t>Lalitha Kavutharapu &lt;lalitha.kavutharapu@prudential.com&gt;, ObservePoint AI from ObservePoint &lt;support@observepoint.com&gt;, "john.davis@observepoint.com" &lt;john.davis@observepoint.com&gt;, Macey Bell &lt;macey.bell@observepoint.com&gt;</t>
  </si>
  <si>
    <t>Hi Dylan,
Can you please provide your team’s availability so we can setup a troubleshooting call?
I will let @Steve&lt;mailto:steve.choi@prudential.com&gt; decide if we want to temporarily turn off SSO so we can regain access to the platform. Thank you!
Robert Ernest
From: Dylan Sellers &lt;dylan.sellers@observepoint.com&gt;
Sent: Friday, December 26, 2025 7:04 PM
To: Steve Choi &lt;steve.choi@prudential.com&gt;
Cc: Robert Ernest &lt;robert.ernest@prudential.com&gt;; Lalitha Kavutharapu &lt;lalitha.kavuth</t>
  </si>
  <si>
    <t>19b6b55dff16adc2</t>
  </si>
  <si>
    <t>Robert Ernest &lt;robert.ernest@prudential.com&gt;, "dylan.sellers@observepoint.com" &lt;dylan.sellers@observepoint.com&gt;</t>
  </si>
  <si>
    <t>If it will take some time to address this SSO issue, I suggest that we turn off SSO and reactivate it after troubleshooting.
Thanks,
Steve
From: Robert Ernest &lt;robert.ernest@prudential.com&gt;
Sent: Monday, December 29, 2025 9:07 AM
To: dylan.sellers@observepoint.com; Steve Choi &lt;steve.choi@prudential.com&gt;
Cc: Lalitha Kavutharapu &lt;lalitha.kavutharapu@prudential.com&gt;; ObservePoint AI from ObservePoint &lt;support@observepoint.com&gt;; john.davis@observepoint.com; Macey Bell &lt;macey.bell@observe</t>
  </si>
  <si>
    <t>19b715435bcd0ddc</t>
  </si>
  <si>
    <t xml:space="preserve">This Friday, Jan 2nd in the morning is ideal for a troubleshooting call.
I’m just confirming that I can get an engineer to participate that morning.
Do you have any times available on your side that day?
Schedule a meeting
&lt;https://observepoint.chilipiper.com/personal-page/dylan-sellers&gt;
Dylan Sellers *   |    * *VP of Customer Success*
916.500.1138
dylan.sellers@observepoint.com
www.observepoint.com
On Mon, Dec 29, 2025 at 11:19 AM Steve Choi &lt;steve.choi@prudential.com&gt;
</t>
  </si>
  <si>
    <t>19b7199214c65787</t>
  </si>
  <si>
    <t>dylan.sellers@observepoint.com</t>
  </si>
  <si>
    <t>Steve Choi &lt;steve.choi@prudential.com&gt;, Robert Ernest &lt;robert.ernest@prudential.com&gt;, Lalitha Kavutharapu &lt;lalitha.kavutharapu@prudential.com&gt;, ObservePoint AI from ObservePoint &lt;support@observepoint.com&gt;, john.davis@observepoint.com</t>
  </si>
  <si>
    <t>In the meantime, all those scans are either running or have run.
On Dec 30, 2025, at 3:15 PM, Dylan Sellers &lt;dylan.sellers@observepoint.com&gt; 
wrote:
﻿
This Friday, Jan 2nd in the morning is ideal for a troubleshooting call.
I’m just confirming that I can get an engineer to participate that morning.
Do you have any times available on your side that day?
Schedule a meeting 
&lt;https://observepoint.chilipiper.com/personal-page/dylan-sellers&gt;
Dylan Sellers *   |    * *VP of Customer Success*
9</t>
  </si>
  <si>
    <t>19b7549b1918ca0f</t>
  </si>
  <si>
    <t>Will Friday work to troubleshoot?
Our SSO expert engineer confirmed he can attend.
He’s looking at it today, so we may not need to meet, but if he can’t
identify the root cause from the information you provided him so far, the
call may be necessary.
Schedule a meeting
&lt;https://observepoint.chilipiper.com/personal-page/dylan-sellers&gt;
Dylan Sellers *   |    * *VP of Customer Success*
916.500.1138
dylan.sellers@observepoint.com
www.observepoint.com
On Tue, Dec 30, 2025 at 4</t>
  </si>
  <si>
    <t>19b754d4b56eed3d</t>
  </si>
  <si>
    <t>"dylan.sellers@observepoint.com" &lt;dylan.sellers@observepoint.com&gt;, Macey Bell &lt;macey.bell@observepoint.com&gt;</t>
  </si>
  <si>
    <t>Steve Choi &lt;steve.choi@prudential.com&gt;, Lalitha Kavutharapu &lt;lalitha.kavutharapu@prudential.com&gt;, ObservePoint AI from ObservePoint &lt;support@observepoint.com&gt;, "john.davis@observepoint.com" &lt;john.davis@observepoint.com&gt;</t>
  </si>
  <si>
    <t>Hi Dylan,
I just sent a Teams meeting invite for January 2, 10AM EST.
Let us know if that works for your team.
Robert Ernest
From: Dylan Sellers &lt;dylan.sellers@observepoint.com&gt;
Sent: Wednesday, December 31, 2025 11:42 AM
To: Macey Bell &lt;macey.bell@observepoint.com&gt;
Cc: Steve Choi &lt;steve.choi@prudential.com&gt;; Robert Ernest &lt;robert.ernest@prudential.com&gt;; Lalitha Kavutharapu &lt;lalitha.kavutharapu@prudential.com&gt;; ObservePoint AI from ObservePoint &lt;support@observepoint.com&gt;; john.dav</t>
  </si>
  <si>
    <t>19b75a10f4fe40d4</t>
  </si>
  <si>
    <t>Macey Bell &lt;macey.bell@observepoint.com&gt;, Steve Choi &lt;steve.choi@prudential.com&gt;, Lalitha Kavutharapu &lt;lalitha.kavutharapu@prudential.com&gt;, ObservePoint AI from ObservePoint &lt;support@observepoint.com&gt;, "john.davis@observepoint.com" &lt;john.davis@observepoint.com&gt;</t>
  </si>
  <si>
    <t>Awesome, yes that works.
10:30am or 11:00am EST are preferred, but we can make 10:00am work.
Schedule a meeting
&lt;https://observepoint.chilipiper.com/personal-page/dylan-sellers&gt;
Dylan Sellers *   |    * *VP of Customer Success*
916.500.1138
dylan.sellers@observepoint.com
www.observepoint.com
On Wed, Dec 31, 2025 at 9:45 AM Robert Ernest &lt;robert.ernest@prudential.com&gt;
wrote:
&gt; Hi Dylan,
&gt;
&gt;
&gt;
&gt; I just sent a Teams meeting invite for January 2, 10AM EST.
&gt;
&gt; Let us kn</t>
  </si>
  <si>
    <t>19b75a7cccbcd836</t>
  </si>
  <si>
    <t>Robert Ernest &lt;robert.ernest@prudential.com&gt;, "dylan.sellers@observepoint.com" &lt;dylan.sellers@observepoint.com&gt;, Macey Bell &lt;macey.bell@observepoint.com&gt;</t>
  </si>
  <si>
    <t>Lalitha Kavutharapu &lt;lalitha.kavutharapu@prudential.com&gt;, ObservePoint AI from ObservePoint &lt;support@observepoint.com&gt;, "john.davis@observepoint.com" &lt;john.davis@observepoint.com&gt;</t>
  </si>
  <si>
    <t>I am out on 1/2, but you can still have meeting.  I will catch up with Robert afterwards.
Thanks,
Steve
________________________________
From: Robert Ernest &lt;robert.ernest@prudential.com&gt;
Sent: Wednesday, December 31, 2025 11:45:56 AM
To: dylan.sellers@observepoint.com &lt;dylan.sellers@observepoint.com&gt;; Macey Bell &lt;macey.bell@observepoint.com&gt;
Cc: Steve Choi &lt;steve.choi@prudential.com&gt;; Lalitha Kavutharapu &lt;lalitha.kavutharapu@prudential.com&gt;; ObservePoint AI from ObservePoint &lt;suppo</t>
  </si>
  <si>
    <t>19b75ab91c2d12c9</t>
  </si>
  <si>
    <t>Robert Ernest &lt;robert.ernest@prudential.com&gt;, Macey Bell &lt;macey.bell@observepoint.com&gt;, Lalitha Kavutharapu &lt;lalitha.kavutharapu@prudential.com&gt;, ObservePoint AI from ObservePoint &lt;support@observepoint.com&gt;, "john.davis@observepoint.com" &lt;john.davis@observepoint.com&gt;</t>
  </si>
  <si>
    <t>Okay.
Good news.
We may not need a meeting. Our engineer identified that the certificate
send in the request from your side is different from the certificate on
file.
We suspect that somehow your certificate was changed from the one we have
on file.
This means to fix it, we just need you to send over the latest certificate
on your side and we’ll upload it.
Schedule a meeting
&lt;https://observepoint.chilipiper.com/personal-page/dylan-sellers&gt;
Dylan Sellers *   |    * *VP of C</t>
  </si>
  <si>
    <t>19b75b07a9286ddc</t>
  </si>
  <si>
    <t>"dylan.sellers@observepoint.com" &lt;dylan.sellers@observepoint.com&gt;, Steve Choi &lt;steve.choi@prudential.com&gt;, Raymund Oba &lt;raymund.oba@prudential.com&gt;</t>
  </si>
  <si>
    <t>Macey Bell &lt;macey.bell@observepoint.com&gt;, Lalitha Kavutharapu &lt;lalitha.kavutharapu@prudential.com&gt;, ObservePoint AI from ObservePoint &lt;support@observepoint.com&gt;, "john.davis@observepoint.com" &lt;john.davis@observepoint.com&gt;</t>
  </si>
  <si>
    <t>Looping in @Raymund Oba&lt;mailto:raymund.oba@prudential.com&gt;. Can you please provide the latest certificate for Observepoint SSO? Thank you and happy new year!
Robert Ernest
From: Dylan Sellers &lt;dylan.sellers@observepoint.com&gt;
Sent: Wednesday, December 31, 2025 1:29 PM
To: Steve Choi &lt;steve.choi@prudential.com&gt;
Cc: Robert Ernest &lt;robert.ernest@prudential.com&gt;; Macey Bell &lt;macey.bell@observepoint.com&gt;; Lalitha Kavutharapu &lt;lalitha.kavutharapu@prudential.com&gt;; ObservePoint AI from Observe</t>
  </si>
  <si>
    <t>19b7c8f378cb9027</t>
  </si>
  <si>
    <t>Steve Choi &lt;steve.choi@prudential.com&gt;, Raymund Oba &lt;raymund.oba@prudential.com&gt;, Macey Bell &lt;macey.bell@observepoint.com&gt;, Lalitha Kavutharapu &lt;lalitha.kavutharapu@prudential.com&gt;, ObservePoint AI from ObservePoint &lt;support@observepoint.com&gt;, "john.davis@observepoint.com" &lt;john.davis@observepoint.com&gt;</t>
  </si>
  <si>
    <t>Thanks Robert.
I’ll go ahead and decline tomorrow’s sync since we are just waiting on the
certificate.
If we need get stuck and need to schedule something, I’m happy to find
another time, but I think we should be good after implementing this new
cert.
Cheers,
Schedule a meeting
&lt;https://observepoint.chilipiper.com/personal-page/dylan-sellers&gt;
Dylan Sellers *   |    * *VP of Customer Success*
916.500.1138
dylan.sellers@observepoint.com
www.observepoint.com
On Wed, Dec</t>
  </si>
  <si>
    <t>19b7f3a6724b2e69</t>
  </si>
  <si>
    <t>Raymund Oba &lt;raymund.oba@prudential.com&gt;</t>
  </si>
  <si>
    <t>Robert Ernest &lt;robert.ernest@prudential.com&gt;, "dylan.sellers@observepoint.com" &lt;dylan.sellers@observepoint.com&gt;, Steve Choi &lt;steve.choi@prudential.com&gt;</t>
  </si>
  <si>
    <t xml:space="preserve">Hi Robert,
Please see attached.
Regards,
Raymund
From: Robert Ernest &lt;robert.ernest@prudential.com&gt;
Sent: Wednesday, December 31, 2025 1:34 PM
To: dylan.sellers@observepoint.com; Steve Choi &lt;steve.choi@prudential.com&gt;; Raymund Oba &lt;raymund.oba@prudential.com&gt;
Cc: Macey Bell &lt;macey.bell@observepoint.com&gt;; Lalitha Kavutharapu &lt;lalitha.kavutharapu@prudential.com&gt;; ObservePoint AI from ObservePoint &lt;support@observepoint.com&gt;; john.davis@observepoint.com
Subject: RE: ObservePoint login </t>
  </si>
  <si>
    <t>19b7f59284a3c22e</t>
  </si>
  <si>
    <t>Robert Ernest &lt;robert.ernest@prudential.com&gt;, Steve Choi &lt;steve.choi@prudential.com&gt;, Macey Bell &lt;macey.bell@observepoint.com&gt;, Lalitha Kavutharapu &lt;lalitha.kavutharapu@prudential.com&gt;, ObservePoint AI from ObservePoint &lt;support@observepoint.com&gt;, "john.davis@observepoint.com" &lt;john.davis@observepoint.com&gt;</t>
  </si>
  <si>
    <t>Excellent.
It should be ready to test.
@Steve Choi &lt;steve.choi@prudential.com&gt; can you give it a try and confirm
that it is resolved?
On Fri, Jan 2, 2026 at 8:01 AM Raymund Oba &lt;raymund.oba@prudential.com&gt;
wrote:
&gt; Hi Robert,
&gt;
&gt;
&gt;
&gt; Please see attached.
&gt;
&gt;
&gt;
&gt; Regards,
&gt;
&gt; Raymund
&gt;
&gt;
&gt;
&gt; *From:* Robert Ernest &lt;robert.ernest@prudential.com&gt;
&gt; *Sent:* Wednesday, December 31, 2025 1:34 PM
&gt; *To:* dylan.sellers@observepoint.com; Steve Choi &lt;
&gt; steve.choi@prudential.</t>
  </si>
  <si>
    <t>19b8e9362af1f03f</t>
  </si>
  <si>
    <t>"dylan.sellers@observepoint.com" &lt;dylan.sellers@observepoint.com&gt;, Raymund Oba &lt;raymund.oba@prudential.com&gt;</t>
  </si>
  <si>
    <t>I still can’t login and get the same message. Thanks.
[cid:image001.png@01DC7E26.44EF4220]
From: Dylan Sellers &lt;dylan.sellers@observepoint.com&gt;
Sent: Friday, January 2, 2026 10:35 AM
To: Raymund Oba &lt;raymund.oba@prudential.com&gt;
Cc: Robert Ernest &lt;robert.ernest@prudential.com&gt;; Steve Choi &lt;steve.choi@prudential.com&gt;; Macey Bell &lt;macey.bell@observepoint.com&gt;; Lalitha Kavutharapu &lt;lalitha.kavutharapu@prudential.com&gt;; ObservePoint AI from ObservePoint &lt;support@observepoint.com&gt;; john.davis@</t>
  </si>
  <si>
    <t>19b8eaa46d146958</t>
  </si>
  <si>
    <t>Robert Ernest &lt;robert.ernest@prudential.com&gt;, Lalitha Kavutharapu &lt;lalitha.kavutharapu@prudential.com&gt;, ObservePoint AI from ObservePoint &lt;support@observepoint.com&gt;</t>
  </si>
  <si>
    <t>Hi Macey,
Thanks.  Can we schedule a meeting with @Macey Bell&lt;mailto:macey.bell@observepoint.com&gt; or @john.davis@observepoint.com&lt;mailto:john.davis@observepoint.com&gt; to review the latest audit reports for Prudential.com and PGIM?
What is your availability later this week or next week?
Thanks,
Steve
From: Macey Bell &lt;macey.bell@observepoint.com&gt;
Sent: Tuesday, December 30, 2025 6:30 PM
To: dylan.sellers@observepoint.com
Cc: Steve Choi &lt;steve.choi@prudential.com&gt;; Robert Ernest &lt;</t>
  </si>
  <si>
    <t>19b8ec6eee4dbe68</t>
  </si>
  <si>
    <t>Macey Bell &lt;macey.bell@observepoint.com&gt;, "john.davis@observepoint.com" &lt;john.davis@observepoint.com&gt;, Robert Ernest &lt;robert.ernest@prudential.com&gt;, Lalitha Kavutharapu &lt;lalitha.kavutharapu@prudential.com&gt;, ObservePoint AI from ObservePoint &lt;support@observepoint.com&gt;</t>
  </si>
  <si>
    <t>Steve,
I'm setting up a meeting with our engineer over SSO right now. I think
we're very close. I may ask you to run another test here shortly.
On Mon, Jan 5, 2026 at 7:58 AM Steve Choi &lt;steve.choi@prudential.com&gt; wrote:
&gt; Hi Macey,
&gt;
&gt;
&gt;
&gt; Thanks.  Can we schedule a meeting with @Macey Bell
&gt; &lt;macey.bell@observepoint.com&gt; or @john.davis@observepoint.com
&gt; &lt;john.davis@observepoint.com&gt; to review the latest audit reports for
&gt; Prudential.com and PGIM?
&gt;
&gt;
&gt;
&gt; What is your ava</t>
  </si>
  <si>
    <t>19b8f1e8164a9586</t>
  </si>
  <si>
    <t xml:space="preserve">Steve,
We found the issue, a small clerical issue, saving the wrong cert before I
asked you to test.
Can you try now?
On Mon, Jan 5, 2026 at 8:29 AM Dylan Sellers &lt;dylan.sellers@observepoint.com&gt;
wrote:
&gt; Steve,
&gt;
&gt; I'm setting up a meeting with our engineer over SSO right now. I think
&gt; we're very close. I may ask you to run another test here shortly.
&gt;
&gt; On Mon, Jan 5, 2026 at 7:58 AM Steve Choi &lt;steve.choi@prudential.com&gt;
&gt; wrote:
&gt;
&gt;&gt; Hi Macey,
&gt;&gt;
&gt;&gt;
&gt;&gt;
&gt;&gt; Thanks.  </t>
  </si>
  <si>
    <t>19b953a59da29837</t>
  </si>
  <si>
    <t>Macey Bell &lt;macey.bell@observepoint.com&gt;, "john.davis@observepoint.com" &lt;john.davis@observepoint.com&gt;, Lalitha Kavutharapu &lt;lalitha.kavutharapu@prudential.com&gt;, ObservePoint AI from ObservePoint &lt;support@observepoint.com&gt;</t>
  </si>
  <si>
    <t>Hi Steve,
Can you test logging in to Observepoint? I think issue has been resolved, I was able to login. Thanks!
Robert
From: Dylan Sellers &lt;dylan.sellers@observepoint.com&gt;
Sent: Monday, January 5, 2026 12:05 PM
To: Steve Choi &lt;steve.choi@prudential.com&gt;
Cc: Macey Bell &lt;macey.bell@observepoint.com&gt;; john.davis@observepoint.com; Robert Ernest &lt;robert.ernest@prudential.com&gt;; Lalitha Kavutharapu &lt;lalitha.kavutharapu@prudential.com&gt;; ObservePoint AI from ObservePoint &lt;support@observepo</t>
  </si>
  <si>
    <t>19b953fad6158c29</t>
  </si>
  <si>
    <t>I can login.  Thanks for your help.
From: Robert Ernest &lt;robert.ernest@prudential.com&gt;
Sent: Tuesday, January 6, 2026 4:33 PM
To: dylan.sellers@observepoint.com; Steve Choi &lt;steve.choi@prudential.com&gt;
Cc: Macey Bell &lt;macey.bell@observepoint.com&gt;; john.davis@observepoint.com; Lalitha Kavutharapu &lt;lalitha.kavutharapu@prudential.com&gt;; ObservePoint AI from ObservePoint &lt;support@observepoint.com&gt;
Subject: RE: ObservePoint login issue - Expired Certificate
Hi Steve,
Can you test logging i</t>
  </si>
  <si>
    <t>19b95506b06f9f57</t>
  </si>
  <si>
    <t>Robert Ernest &lt;robert.ernest@prudential.com&gt;, Macey Bell &lt;macey.bell@observepoint.com&gt;, "john.davis@observepoint.com" &lt;john.davis@observepoint.com&gt;, Lalitha Kavutharapu &lt;lalitha.kavutharapu@prudential.com&gt;, ObservePoint AI from ObservePoint &lt;support@observepoint.com&gt;</t>
  </si>
  <si>
    <t>Awesome. Thanks everyone!
On Tue, Jan 6, 2026 at 2:38 PM Steve Choi &lt;steve.choi@prudential.com&gt; wrote:
&gt; I can login.  Thanks for your help.
&gt;
&gt;
&gt;
&gt; *From:* Robert Ernest &lt;robert.ernest@prudential.com&gt;
&gt; *Sent:* Tuesday, January 6, 2026 4:33 PM
&gt; *To:* dylan.sellers@observepoint.com; Steve Choi &lt;
&gt; steve.choi@prudential.com&gt;
&gt; *Cc:* Macey Bell &lt;macey.bell@observepoint.com&gt;;
&gt; john.davis@observepoint.com; Lalitha Kavutharapu &lt;
&gt; lalitha.kavutharapu@prudential.com&gt;; ObservePoint AI</t>
  </si>
  <si>
    <t>19b51159590d5b6f</t>
  </si>
  <si>
    <t>John Davis &lt;john.davis@observepoint.com&gt;, Macey Bell &lt;macey.bell@observepoint.com&gt;, Dylan Sellers &lt;dylan.sellers@observepoint.com&gt;, "support@observepoint.com" &lt;support@observepoint.com&gt;</t>
  </si>
  <si>
    <t>ObservePoint login issue, Another Audit of All Prudential &amp; PGIM URLs before Dec 31</t>
  </si>
  <si>
    <t>Hi John,
I can't login to ObservePoint.  I get this message.  Can you help?
Also how many remaining URLs do we have left to scan before end of this year?  Can we run another master audit of all Prudential.com and PGIM URLs on December 29th if we have enough URLs to run?  We can use previous master lists and break out the scans into different domains like before.  Thanks.
[cid:image001.png@01DC74C3.B7C07380]
From: John Davis &lt;john.davis@observepoint.com&gt;
Sent: Monday, December 22, 20</t>
  </si>
  <si>
    <t>19b5115f9dfcc877</t>
  </si>
  <si>
    <t>Re: ObservePoint login issue, Another Audit of All Prudential &amp; PGIM URLs before Dec 31</t>
  </si>
  <si>
    <t xml:space="preserve"> 
#62756569: ObservePoint login issue, Another Audit of All Prudential &amp; PGIM 
URLs before Dec 31 
Submitted 
We'll pick up your ticket soon 
Hi John, I can’t login to ObservePoint. I get this message. Can you help? 
Also how many remaining URLs do we have left to scan before end of this 
year? Can we run another master audit of all Prudential.com and PGIM URLs 
on December 29th if we have enough URLs to run? We can use previous master 
lists and break out the scans into different domains like </t>
  </si>
  <si>
    <t>19b51226f5e3b90e</t>
  </si>
  <si>
    <t>steve.choi@prudential.com, john.davis@observepoint.com, macey.bell@observepoint.com</t>
  </si>
  <si>
    <t xml:space="preserve">Steve,
Could your certificate have expired? This commonly occurs on the
anniversary of implementing SSO. Usually your team can just send us a new
certificate and we can fix it right away.
Our support team should be responsive while John and I are on a holiday
shutdown.
On Wed, Dec 24, 2025 at 8:59 AM ObservePoint AI from ObservePoint &lt;
support@observepoint.com&gt; wrote:
&gt; #62756569: ObservePoint login issue, Another Audit of All Prudential &amp;
&gt; PGIM URLs before Dec 31
&gt; Submitted
</t>
  </si>
  <si>
    <t>19b512af0e9474e5</t>
  </si>
  <si>
    <t>ObservePoint AI from ObservePoint &lt;support@observepoint.com&gt;, Steve Choi &lt;steve.choi@prudential.com&gt;, Macey Bell &lt;macey.bell@observepoint.com&gt;</t>
  </si>
  <si>
    <t>Hey Steve,
We're off between Christmas and New Year's but I should be able to look
into doing that scan after Christmas. I will set a reminder for myself.
Merry Christmas!
*Regards, *
John Davis *   |    * *Customer Success Manager*
Cell: 801.633.6013
john.davis@observepoint.com
www.observepoint.com
&lt;https://groove.grvlnk4.com/url/typa6byifukvbtijwod94/aHR0cDovL3d3dy5vYnNlcnZlcG9pbnQuY29tLyNncm9vdmVzdW06LTc2MTEwNTM3MA%3D%3D&gt;
On Wed, Dec 24, 2025, 9:12 AM Dylan Sellers &lt;dyla</t>
  </si>
  <si>
    <t>19b512c344c37003</t>
  </si>
  <si>
    <t>"dylan.sellers@observepoint.com" &lt;dylan.sellers@observepoint.com&gt;, ObservePoint AI from ObservePoint &lt;support@observepoint.com&gt;</t>
  </si>
  <si>
    <t>"john.davis@observepoint.com" &lt;john.davis@observepoint.com&gt;, "macey.bell@observepoint.com" &lt;macey.bell@observepoint.com&gt;</t>
  </si>
  <si>
    <t>RE: ObservePoint login issue, Another Audit of All Prudential &amp; PGIM URLs before Dec 31</t>
  </si>
  <si>
    <t>I will ask our team about the certificate.
Meanwhile, can your Support team help with this…
How many remaining URLs do we have left to scan before end of 2025?  Can we run another master audit of all Prudential.com and PGIM URLs on December 29th if we have enough URLs to run?  We can use previous master lists and break out the scans into different domains like before.
I can’t login so I don’t remember exactly when we ran the master scans.  Can I jump on a quick call with Support team so</t>
  </si>
  <si>
    <t>19b512ed7bc81760</t>
  </si>
  <si>
    <t>John Davis &lt;john.davis@observepoint.com&gt;, Dylan Sellers &lt;dylan.sellers@observepoint.com&gt;</t>
  </si>
  <si>
    <t>ObservePoint AI from ObservePoint &lt;support@observepoint.com&gt;, Macey Bell &lt;macey.bell@observepoint.com&gt;</t>
  </si>
  <si>
    <t xml:space="preserve">Hey John,
Thanks for your help.
How many remaining URLs do we have left to scan before end of 2025?  Can we run another master audit of all Prudential.com and PGIM URLs on December 29th if we have enough URLs to run?  We can use previous master lists and break out the scans into different domains like before.
I can’t login so I don’t remember exactly when we ran the master scans for these URLs.  Can you and I jump on a quick call so you can do screenshare?  I want to ensure you run the </t>
  </si>
  <si>
    <t>19b53f099915f7c3</t>
  </si>
  <si>
    <t>John Davis &lt;john.davis@observepoint.com&gt;, Dylan Sellers &lt;dylan.sellers@observepoint.com&gt;, ObservePoint AI from ObservePoint &lt;support@observepoint.com&gt;</t>
  </si>
  <si>
    <t>Hey Steve! You have roughly 15k left. It may be just short of what is
needed to run all the master audits for both sites.
On Wed, Dec 24, 2025 at 9:26 AM Steve Choi &lt;steve.choi@prudential.com&gt;
wrote:
&gt; Hey John,
&gt;
&gt;
&gt;
&gt; Thanks for your help.
&gt;
&gt;
&gt;
&gt; How many remaining URLs do we have left to scan before end of 2025?  Can
&gt; we run another master audit of all Prudential.com and PGIM URLs on December
&gt; 29th if we have enough URLs to run?  We can use previous master lists and
&gt; br</t>
  </si>
  <si>
    <t>19b5b472fccb9a92</t>
  </si>
  <si>
    <t xml:space="preserve">Hey Macey,
PGIM – 4,940 URLs (see attached)
Pru.com – 10,140 URLs (see attached)
Total – 15,080 URLs
Can you tell me exactly how many URLs we have left to scan before December 31, 2025?  If just short, I can tell you which audits not to re-run since the audits were split by domains.
Since I can’t login to ObservePoint platform and see the master audits that were done before, can you share screenshots of the master audits that were done for Prudential.com and PGIM (I need to see the # </t>
  </si>
  <si>
    <t>19b5b8f4ab0ceea0</t>
  </si>
  <si>
    <t>Macey Bell &lt;macey.bell@observepoint.com&gt;, John Davis &lt;john.davis@observepoint.com&gt;, ObservePoint AI from ObservePoint &lt;support@observepoint.com&gt;</t>
  </si>
  <si>
    <t xml:space="preserve">Steve,
You have 10671 page scans left in the current contract period.
[image: Screenshot 2025-12-26 at 9.47.08 AM.png]
On Fri, Dec 26, 2025 at 8:29 AM Steve Choi &lt;steve.choi@prudential.com&gt;
wrote:
&gt; Hey Macey,
&gt;
&gt;
&gt;
&gt; PGIM – 4,940 URLs (see attached)
&gt;
&gt; Pru.com – 10,140 URLs (see attached)
&gt;
&gt; Total – 15,080 URLs
&gt;
&gt;
&gt;
&gt; Can you tell me exactly how many URLs we have left to scan before December
&gt; 31, 2025?  If just short, I can tell you which audits not to re-run since
</t>
  </si>
  <si>
    <t>19b5bb9ed1eef131</t>
  </si>
  <si>
    <t>"dylan.sellers@observepoint.com" &lt;dylan.sellers@observepoint.com&gt;</t>
  </si>
  <si>
    <t>Can you send me screenshot of the master audits of Prudential.com and PGIM URLs that ran before?  They were broken out into 15-20 scans based on the domains.
I can't login so if you send the screenshots, I can tell you which audits to re-run before December 31. Macey will know about this.
Thanks,
Steve
________________________________
From: Dylan Sellers &lt;dylan.sellers@observepoint.com&gt;
Sent: Friday, December 26, 2025 11:47:42 AM
To: Steve Choi &lt;steve.choi@prudential.com&gt;
Cc: Macey</t>
  </si>
  <si>
    <t>19b5be16617d3b6a</t>
  </si>
  <si>
    <t>"dylan.sellers@observepoint.com" &lt;dylan.sellers@observepoint.com&gt;, John Davis &lt;john.davis@observepoint.com&gt;, ObservePoint AI from ObservePoint &lt;support@observepoint.com&gt;</t>
  </si>
  <si>
    <t>The PGIM master audit was one scan and I reran that one for you which was
about 5000 or so pages. Here is a full page screenshot of your account and
you should be able to zoom into the prudential folder to confirm which of
those audits you'd also like to run.
On Fri, Dec 26, 2025 at 10:34 AM Steve Choi &lt;steve.choi@prudential.com&gt;
wrote:
&gt; Can you send me screenshot of the master audits of Prudential.com and PGIM
&gt; URLs that ran before?  They were broken out into 15-20 scans base</t>
  </si>
  <si>
    <t>19b5be1ba0a77b1f</t>
  </si>
  <si>
    <t>[image: screencapture-app-observepoint-sources-2025-12-26-11_15_45.png]
On Fri, Dec 26, 2025 at 11:17 AM Macey Bell &lt;macey.bell@observepoint.com&gt;
wrote:
&gt; The PGIM master audit was one scan and I reran that one for you which was
&gt; about 5000 or so pages. Here is a full page screenshot of your account and
&gt; you should be able to zoom into the prudential folder to confirm which of
&gt; those audits you'd also like to run.
&gt;
&gt;
&gt;
&gt;
&gt; On Fri, Dec 26, 2025 at 10:34 AM Steve Choi &lt;steve.c</t>
  </si>
  <si>
    <t>19b6c0a8d178bc2f</t>
  </si>
  <si>
    <t>Hi Macey,
Just to make sure I understand.  Did you run another PGIM master audit of 5000 URLs past few days?  If so, I should have about 5000 page scan left before this Wednesday December 31, 2025.   Can you re-run these 3 Prudential.com scans before end of this year?  Thanks
[cid:image003.png@01DC78DF.80B1AC40]  [cid:image004.png@01DC78E0.3F904860]     [cid:image005.png@01DC78E1.3CC79600]
From: Macey Bell &lt;macey.bell@observepoint.com&gt;
Sent: Friday, December 26, 2025 1:18 PM
To: Steve</t>
  </si>
  <si>
    <t>19b71310178c53bf</t>
  </si>
  <si>
    <t>Dylan Sellers &lt;dylan.sellers@observepoint.com&gt;, macey.bell@observepoint.com, Lalitha Kavutharapu &lt;lalitha.kavutharapu@prudential.com&gt;, Robert Ernest &lt;robert.ernest@prudential.com&gt;, "[not provided]" &lt;john.davis@observepoint.com&gt;</t>
  </si>
  <si>
    <t>Hi Steve, 
 As an immediate resolution, I have deactivated the SSO for your account. You should now be able to log in to app.observepoint.com after resetting the password for your work email address. 
 The company's first day of work will be on 2nd January, and you can schedule a call to debug this issue. 
 Best regards, 
 Adrian</t>
  </si>
  <si>
    <t>19b71312ae8c102e</t>
  </si>
  <si>
    <t>john.davis@observepoint.com, macey.bell@observepoint.com, dylan.sellers@observepoint.com, robert.ernest@prudential.com, lalitha.kavutharapu@prudential.com</t>
  </si>
  <si>
    <t xml:space="preserve"> 
#62756569: ObservePoint login issue, Another Audit of All Prudential &amp; PGIM 
URLs before Dec 31 
In progress 
We're working on your ticket 
Hi John, I can’t login to ObservePoint. I get this message. Can you help? 
Also how many remaining URLs do we have left to scan before end of this 
year? Can we run another master audit of all Prudential.com and PGIM URLs 
on December 29th if we have enough URLs to run? We can use previous master 
lists and break out the scans into different domains like </t>
  </si>
  <si>
    <t>19b98bb0c5386545</t>
  </si>
  <si>
    <t>john.davis@observepoint.com, macey.bell@observepoint.com, dylan.sellers@observepoint.com, robert.ernest@prudential.com, lalitha.kavutharapu@prudential.com, raymund.oba@prudential.com, baijnath.gupta@prudential.com</t>
  </si>
  <si>
    <t xml:space="preserve"> 
#62756569: ObservePoint login issue, Another Audit of All Prudential &amp; PGIM 
URLs before Dec 31 
Resolved 
We've completed your ticket 
Hi John, I can’t login to ObservePoint. I get this message. Can you help? 
Also how many remaining URLs do we have left to scan before end of this 
year? Can we run another master audit of all Prudential.com and PGIM URLs 
on December 29th if we have enough URLs to run? We can use previous master 
lists and break out the scans into different domains like befo</t>
  </si>
  <si>
    <t>19b47e998c9761f7</t>
  </si>
  <si>
    <t>Accepted: ObservePoint | CDW Sync</t>
  </si>
  <si>
    <t xml:space="preserve">
----------------------------------------------------------------------
The contents of this email are intended only for the recipient(s) listed above. If you are not the intended recipient, you are directed not to read, disclose, distribute, or otherwise use this transmission. If you have received this email in error, please notify the sender immediately and delete the transmission. Delivery of this message is not intended to waive any applicable privileges.
</t>
  </si>
  <si>
    <t>19b47c023b60cb60</t>
  </si>
  <si>
    <t>Steve Choi &lt;steve.choi@prudential.com&gt;, Macey Bell &lt;macey.bell@observepoint.com&gt;, Dylan Sellers &lt;dylan.sellers@observepoint.com&gt;</t>
  </si>
  <si>
    <t>ObservePoint | Prudential Sync</t>
  </si>
  <si>
    <t>Hey Steve,
I just wanted to check in before our meeting this afternoon. I know Dylan
left you with some homework from our last meeting to check in with your
compliance team to get some more information and context about what exactly
they are expecting.
I also know it's also the holiday season so it can be hard to sync up with
folks, so were you able to do this? Or do you need more time?
Just wanted to make sure before we meet because that is the main priority
that we have on our si</t>
  </si>
  <si>
    <t>19b47ae4db4cb781</t>
  </si>
  <si>
    <t>19b4705e6c4a03bd</t>
  </si>
  <si>
    <t>Audrey Bombeck-Massel &lt;audrbom@cdw.com&gt;</t>
  </si>
  <si>
    <t>Tatyana Zachary &lt;tatyana.zachary@cdw.com&gt;, "John.davis@observepoint.com" &lt;John.davis@observepoint.com&gt;</t>
  </si>
  <si>
    <t>cdw.com, observepoint.com</t>
  </si>
  <si>
    <t>FW: Your 2025 ObservePoint Year in Review is here</t>
  </si>
  <si>
    <t>Hello Tatyana,
FYI - John Davis has replaced Macey Bell at Observepoint. @John.davis@observepoint.com&lt;mailto:John.davis@observepoint.com&gt; – please provide a short introduction of yourself to Tatyana Zachary, Sr. Director at CDW.
Audrey Bombeck-Massel, MBA, PMP, CSM
Performance Analytics, Technical Project Manager/Scrum Master | CDW
Phone: 847-373-7311 (cell)
Email: audrbom@cdw.com&lt;mailto:audrbom@cdw.com&gt;
[signatureImage][cid:image002.jpg@01DC7332.D9B35580] [cid:image003.png@01DC7332.D9</t>
  </si>
  <si>
    <t>19b479b969ea4244</t>
  </si>
  <si>
    <t>Re: FW: Your 2025 ObservePoint Year in Review is here</t>
  </si>
  <si>
    <t>Hey Tatyana,
Like Audrey said, I will be taking over this partnership with CDW and look
forward to working with you and your team. I enjoyed meeting Audrey and
your team.
We are just doing some internal shuffling here and Macey is not going
anywhere, she will continue to be here to provide context of previous
projects that she has been involved in with your team.
I am here to make sure the transition is as smooth as possible. I come from
a technical background (software engineer an</t>
  </si>
  <si>
    <t>19b47bee78945ad4</t>
  </si>
  <si>
    <t>John Davis &lt;john.davis@observepoint.com&gt;, Audrey Bombeck-Massel &lt;audrbom@cdw.com&gt;</t>
  </si>
  <si>
    <t>observepoint.com, cdw.com</t>
  </si>
  <si>
    <t>Hi John,
Nice to meet you virtually!
Thank you for the connecting with us, I would love to chat more about automation of testing in lower environment to validate upcoming product changes. I am off the week that you picked but happy to chat in the last week of January, Audrey can coordinate the meeting.
I look forward to working with you as well, happy Holidays!
Thanks,
Tatyana
From: John Davis &lt;john.davis@observepoint.com&gt;
Date: Monday, December 22, 2025 at 2:49 PM
To: Audrey</t>
  </si>
  <si>
    <t>19b47c6550c99512</t>
  </si>
  <si>
    <t>Audrey Bombeck-Massel &lt;audrbom@cdw.com&gt;, Macey Bell &lt;macey.bell@observepoint.com&gt;</t>
  </si>
  <si>
    <t>Sounds great!
No worries about that meeting, here are the time slots available for that
week that you can pick from:
Meeting length: 30 Minutes
Time Zone: (GMT-7) MST/Denver
Mon Jan 19 Tue Jan 20 Wed Jan 21 Thu Jan 22 Fri Jan 23
 1:30  PM
&lt;https://us-3129.email-composer-webhooks.gong.io/email-tracking/clicked?email-info-token=eyJhbGciOiJIUzI1NiJ9.eyJjb21wYW55SWQiOiI4OTgyMjM2MTQxODc2Mjk3NzAiLCJkcmFmdElkIjoicjEwNDA2Mjg3MDE5NDA5NjgwMjUiLCJsaW5rVXJsIjoiaHR0cHM6Ly9vYnNlcnZlcG9pbnQuY2hpbGlw</t>
  </si>
  <si>
    <t>19b47e639a399888</t>
  </si>
  <si>
    <t>Perfect, I booked it.
Thanks,
Tatyana
From: John Davis &lt;john.davis@observepoint.com&gt;
Date: Monday, December 22, 2025 at 3:36 PM
To: Tatyana Zachary &lt;tatyana.zachary@cdw.com&gt;
Cc: Audrey Bombeck-Massel &lt;audrbom@cdw.com&gt;, Macey Bell &lt;macey.bell@observepoint.com&gt;
Subject: Re: FW: Your 2025 ObservePoint Year in Review is here
Sounds great!
No worries about that meeting, here are the time slots available for that week that you can pick from:
Meeting length: 30 Minutes
Time Zone:</t>
  </si>
  <si>
    <t>19b379996c65eec2</t>
  </si>
  <si>
    <t>"Rose, Caryn-Amy" &lt;crose@mms.org&gt;</t>
  </si>
  <si>
    <t>Macey Bell &lt;macey.bell@observepoint.com&gt;, John Davis &lt;john.davis@observepoint.com&gt;, "Kumar Arora, Mayank" &lt;mkarora@mms.org&gt;</t>
  </si>
  <si>
    <t>RE: [EXT] Canceled event with note: ObservePoint | MMS Sync @ Thu Dec 25, 2025 10:30am - 11am (EST) (crose@mms.org)</t>
  </si>
  <si>
    <t xml:space="preserve">Thanks, Macey!
We are good. Have a wonderful holiday and Happy, happy new year! Talk to you in 2026!
-----Original Appointment-----
From: Macey Bell &lt;macey.bell@observepoint.com&gt;
Sent: Friday, December 19, 2025 12:10 PM
To: Rose, Caryn-Amy; John Davis; Kumar Arora, Mayank; Aryee, Abby
Subject: [EXT] Canceled event with note: ObservePoint | MMS Sync @ Thu Dec 25, 2025 10:30am - 11am (EST) (crose@mms.org)
When: Thursday, December 25, 2025 8:30 AM-9:00 AM America/Denver.
Where:
This </t>
  </si>
  <si>
    <t>19b28a89a94357a9</t>
  </si>
  <si>
    <t>Accepted: ObservePoint | CDW - Sync</t>
  </si>
  <si>
    <t>19b28a8b7053ce0c</t>
  </si>
  <si>
    <t>19b28a8f49a9aec8</t>
  </si>
  <si>
    <t>19b287cbcb08afc4</t>
  </si>
  <si>
    <t>19b287cc456d933d</t>
  </si>
  <si>
    <t>19b28fe5ab489f86</t>
  </si>
  <si>
    <t>19b28feb01c410ad</t>
  </si>
  <si>
    <t>19b2863856a47545</t>
  </si>
  <si>
    <t>Harshavardhan Rao Chunduri &lt;harshavardhan.chunduri@cdw.com&gt;</t>
  </si>
  <si>
    <t>Automatic reply: Updated invitation: ObservePoint | CDW - Sync @ Tue Dec 3, 2024 11am - 11:30am (MST) (harshavardhan.chunduri@cdw.com)</t>
  </si>
  <si>
    <t xml:space="preserve">Thank you for your email. I am currently on vacation and will be out of the office until December 28, 2025. My responses may be delayed.
For urgent matters, please contact Tatyana Zachary or DigitalAnalyticsTeam@cdw.com
</t>
  </si>
  <si>
    <t>19b28632ecfe5591</t>
  </si>
  <si>
    <t>Jen Giese &lt;jenngie@cdw.com&gt;</t>
  </si>
  <si>
    <t>Automatic reply: Updated invitation: ObservePoint | CDW - Sync @ Tue Dec 3, 2024 11am - 11:30am (MST) (jenngie@cdw.com)</t>
  </si>
  <si>
    <t xml:space="preserve">I am out of the office with no access to email.  I will respond when I get back.
If your request needs attention before I respond - please reach out to Pravina Rupwal.
</t>
  </si>
  <si>
    <t>19b24c161499d2f2</t>
  </si>
  <si>
    <t>Declined: ObservePoint | Prudential Sync</t>
  </si>
  <si>
    <t>19b24c1043e94118</t>
  </si>
  <si>
    <t>Baijnath Gupta &lt;baijnath.gupta@prudential.com&gt;, Prabhu Biradar &lt;prabhugouda.biradar@prudential.com&gt;, Maximilian Stefani &lt;maximilian.stefani@prudential.com&gt;, Rathna Chinnappa &lt;rathna.chinnappa@prudential.com&gt;, John Davis &lt;john.davis@observepoint.com&gt;, Jarrod Wilbur &lt;jarrod.wilbur@observepoint.com&gt;, Macey Bell &lt;macey.bell@observepoint.com&gt;, Dallin Madsen &lt;dallin.madsen@observepoint.com&gt;</t>
  </si>
  <si>
    <t>ObservePoint Report Card - Compliance Questions</t>
  </si>
  <si>
    <t>Can we discuss below?  I need to respond to Compliance questions (highlighted in blue)
     *   Pages that load ad trackers - Ad Trackers have consent mode enabled.  Similar to Google Consent Mode, trackers are firing but cookies are getting suppressed.  According to ObservePoint, that is a failure.  Google introduced Consent Mode Version 2.0 which provides personalization consent signals.  This is currently not implemented on our side and we will implement it to start complying with the ad</t>
  </si>
  <si>
    <t>19b247fd3c23ad91</t>
  </si>
  <si>
    <t>John Davis &lt;john.davis@observepoint.com&gt;, Jarrod Wilbur &lt;jarrod.wilbur@observepoint.com&gt;, Macey Bell &lt;macey.bell@observepoint.com&gt;, Dallin Madsen &lt;dallin.madsen@observepoint.com&gt;</t>
  </si>
  <si>
    <t>FW: ObservePoint Report Card</t>
  </si>
  <si>
    <t xml:space="preserve">John/Jarrod,
Are you free 12:30-2pm ET tomorrow, Tuesday 12/16?
We need to respond to Compliance (their questions are in blue below) and some need your help.  ObservePoint report card is giving us a lot of headache.
Thanks,
Steve
From: Kelly Williams &lt;kelly.1.williams@prudential.com&gt;
Sent: Monday, December 15, 2025 4:43 PM
To: Steve Choi &lt;steve.choi@prudential.com&gt;; Mike Vance &lt;michael.vance@prudential.com&gt;; Maximilian Stefani &lt;maximilian.stefani@prudential.com&gt;; Baijnath Gupta </t>
  </si>
  <si>
    <t>19b248419d3a8d34</t>
  </si>
  <si>
    <t>RE: ObservePoint Report Card</t>
  </si>
  <si>
    <t xml:space="preserve">Hi John/Jarrod,
Are you free at 10:30am ET tomorrow Tuesday to discuss below?  That time is best for us.  If not, how about 12:30-2pm ET tomorrow?
Thanks,
Steve
From: Steve Choi &lt;steve.choi@prudential.com&gt;
Sent: Monday, December 15, 2025 7:12 PM
To: John Davis &lt;john.davis@observepoint.com&gt;; Jarrod Wilbur &lt;jarrod.wilbur@observepoint.com&gt;; Macey Bell &lt;macey.bell@observepoint.com&gt;; Dallin Madsen &lt;dallin.madsen@observepoint.com&gt;
Subject: FW: ObservePoint Report Card
John/Jarrod,
</t>
  </si>
  <si>
    <t>19b2499c4ec212d5</t>
  </si>
  <si>
    <t>Jarrod Wilbur &lt;jarrod.wilbur@observepoint.com&gt;, Macey Bell &lt;macey.bell@observepoint.com&gt;, Dallin Madsen &lt;dallin.madsen@observepoint.com&gt;</t>
  </si>
  <si>
    <t>Re: ObservePoint Report Card</t>
  </si>
  <si>
    <t xml:space="preserve">I'm not sure if Jarrod can join but I scheduled a 30 min meeting tomorrow
at 1:30pm Eastern Time. Let me know if that works for you, thanks!
*Regards, *
John Davis *   |    * *Customer Success Manager*
Cell: 801.633.6013
john.davis@observepoint.com
www.observepoint.com
&lt;https://groove.grvlnk4.com/url/typa6byifukvbtijwod94/aHR0cDovL3d3dy5vYnNlcnZlcG9pbnQuY29tLyNncm9vdmVzdW06LTc2MTEwNTM3MA%3D%3D&gt;
On Mon, Dec 15, 2025, 5:16 PM Steve Choi &lt;steve.choi@prudential.com&gt; wrote:
&gt; Hi </t>
  </si>
  <si>
    <t>19b24a01ddd652b8</t>
  </si>
  <si>
    <t>Can you do 10:30am ET tomorrow?  That is better time for me.  I can also send invite and invite few Prudential folks.
Thanks,
Steve
From: John Davis &lt;john.davis@observepoint.com&gt;
Sent: Monday, December 15, 2025 7:40 PM
To: Steve Choi &lt;steve.choi@prudential.com&gt;
Cc: Jarrod Wilbur &lt;jarrod.wilbur@observepoint.com&gt;; Macey Bell &lt;macey.bell@observepoint.com&gt;; Dallin Madsen &lt;dallin.madsen@observepoint.com&gt;
Subject: Re: ObservePoint Report Card
I'm not sure if Jarrod can join but I sched</t>
  </si>
  <si>
    <t>19b24ac66e6b1259</t>
  </si>
  <si>
    <t>I can't do that time unfortunately and Jarrod has the entire day blocked
off so I am guessing that he is off on PTO tomorrow.
*Regards, *
John Davis *   |    * *Customer Success Manager*
Cell: 801.633.6013
john.davis@observepoint.com
www.observepoint.com
&lt;https://groove.grvlnk4.com/url/typa6byifukvbtijwod94/aHR0cDovL3d3dy5vYnNlcnZlcG9pbnQuY29tLyNncm9vdmVzdW06LTc2MTEwNTM3MA%3D%3D&gt;
On Mon, Dec 15, 2025, 5:47 PM Steve Choi &lt;steve.choi@prudential.com&gt; wrote:
&gt; Can you do 10:30am</t>
  </si>
  <si>
    <t>19b24c1dede1f3b5</t>
  </si>
  <si>
    <t>I sent invite for 1:30pm ET tomorrow.  Talk to you then.
From: John Davis &lt;john.davis@observepoint.com&gt;
Sent: Monday, December 15, 2025 8:01 PM
To: Steve Choi &lt;steve.choi@prudential.com&gt;
Cc: Jarrod Wilbur &lt;jarrod.wilbur@observepoint.com&gt;; Macey Bell &lt;macey.bell@observepoint.com&gt;; Dallin Madsen &lt;dallin.madsen@observepoint.com&gt;
Subject: Re: ObservePoint Report Card
I can't do that time unfortunately and Jarrod has the entire day blocked off so I am guessing that he is off on PTO tomorrow</t>
  </si>
  <si>
    <t>19b241555262f0f3</t>
  </si>
  <si>
    <t>Technology Renewals &lt;technologyrenewals@prudential.com&gt;, Lalitha Kavutharapu &lt;lalitha.kavutharapu@prudential.com&gt;, Dallin Madsen &lt;dallin.madsen@observepoint.com&gt;, John Davis &lt;john.davis@observepoint.com&gt;</t>
  </si>
  <si>
    <t>Emily Owens &lt;emily.owens@prudential.com&gt;</t>
  </si>
  <si>
    <t>ObservePoint Renewal</t>
  </si>
  <si>
    <t xml:space="preserve">Hi Dallin/John,
Can you send the Order Form/Invoice for 2026 renewal?
Thanks,
Steve
</t>
  </si>
  <si>
    <t>19b24c9608e8e948</t>
  </si>
  <si>
    <t>Technology Renewals &lt;technologyrenewals@prudential.com&gt;, Lalitha Kavutharapu &lt;lalitha.kavutharapu@prudential.com&gt;, John Davis &lt;john.davis@observepoint.com&gt;, Emily Owens &lt;emily.owens@prudential.com&gt;, "Vaibhav.3 Sharma" &lt;vaibhav.3.sharma@prudential.com&gt;</t>
  </si>
  <si>
    <t>Re: ObservePoint Renewal</t>
  </si>
  <si>
    <t>Hey all!
Consolidating the thread for the renewal here.
The contract has auto-renewed on the same terms of conditions (per the
master service agreement).
You will receive an invoice from our billing department in the next week
which will contain the billing information required for raising a purchase
order.
Best!
Dallin Madsen   |     Account Executive
801.850.3709
dallin.madsen@observepoint.com
Schedule A Meeting With Me
On Mon, Dec 15, 2025 at 5:</t>
  </si>
  <si>
    <t>19b2746cc77da990</t>
  </si>
  <si>
    <t>Lalitha Kavutharapu &lt;lalitha.kavutharapu@prudential.com&gt;, John Davis &lt;john.davis@observepoint.com&gt;, Emily Owens &lt;emily.owens@prudential.com&gt;, Vaibhav Sharma &lt;vaibhav.3.sharma@prudential.com&gt;, Steve Choi &lt;steve.choi@prudential.com&gt;</t>
  </si>
  <si>
    <t>RE: ObservePoint Renewal</t>
  </si>
  <si>
    <t>Hello Dallin,
Thank you for the update. We look forward to receiving the invoice and proceeding accordingly.
Feel free to reach out if you have any questions.
Nishant Kumar
Technology Renewals
Global Sourcing &amp; Procurement
technologyrenewals@prudential.com&lt;mailto:technologyrenewals@prudential.com&gt;
[A black background with blue text  AI-generated content may be incorrect.]
From: Dallin Madsen &lt;dallin.madsen@observepoint.com&gt;
Sent: Tuesday, December 16, 2025 1:32 AM
To: Steve Cho</t>
  </si>
  <si>
    <t>19b23f2b71336bad</t>
  </si>
  <si>
    <t>RE: ObservePoint | Prudential Sync</t>
  </si>
  <si>
    <t>Sorry.  In another call.  Can we reschedule?  Any availability tomorrow, Tues or Wed?
Thanks,
steve
-----Original Appointment-----
From: John Davis &lt;john.davis@observepoint.com&gt;
Sent: Friday, December 12, 2025 4:59 PM
To: John Davis; Steve Choi; Macey Bell
Subject: ObservePoint | Prudential Sync
When: Monday, December 15, 2025 2:30 PM-3:00 PM America/Denver.
Where:
ObservePoint | Prudential Sync
Lets chat about Dylan's findings from last week and also automated scheduled rep</t>
  </si>
  <si>
    <t>19b24432918dca6d</t>
  </si>
  <si>
    <t>Re: ObservePoint | Prudential Sync</t>
  </si>
  <si>
    <t>Yes not a problem, here are some available times for Macey and I, go ahead
and grab one that works for you, thanks!
Meeting length: 30 Minutes
Time Zone: (GMT-7) MST/Denver
Tue Dec 16 Wed Dec 17 Thu Dec 18 Fri Dec 19
 11:30  AM
&lt;https://observepoint.chilipiper.com/suggested-times/c49e27b1-b6eb-449e-ab8e-d3df43529320?slotStartsAt=2025-12-16T18:30:00.000Z&gt;
 2:00  PM
&lt;https://observepoint.chilipiper.com/suggested-times/c49e27b1-b6eb-449e-ab8e-d3df43529320?slotStartsAt=2025-12-17T21:00:00.</t>
  </si>
  <si>
    <t>19b23b4b2f46e9a1</t>
  </si>
  <si>
    <t>macey.bell@observepoint.com, john.davis@observepoint.com</t>
  </si>
  <si>
    <t>19b14930e0ac4398</t>
  </si>
  <si>
    <t>prvs=4347a176c=steve.choi@prudential.com</t>
  </si>
  <si>
    <t>Happy Holidays Re: Accepted: Meeting with John</t>
  </si>
  <si>
    <t>19b1493094d828c3</t>
  </si>
  <si>
    <t>19b050ce521c9ba3</t>
  </si>
  <si>
    <t>Steve Choi &lt;steve.choi@prudential.com&gt;, rathna.chinnappa@prudential.com, prabhugouda.biradar@prudential.com, maximilian.stefani@prudential.com, baijnath.gupta@prudential.com</t>
  </si>
  <si>
    <t>Dallin Madsen &lt;dallin.madsen@observepoint.com&gt;, Jarrod Wilbur &lt;jarrod.wilbur@observepoint.com&gt;, John Davis &lt;john.davis@observepoint.com&gt;, Macey Bell &lt;macey.bell@observepoint.com&gt;</t>
  </si>
  <si>
    <t>ObservePoint's findings from prudential.com cookie banner testing</t>
  </si>
  <si>
    <t>Hi Team,
Here's my analysis from running tests today, supported with video clips
intended to make it easier for you to reproduce the tests that we are
running. I also intend for it to be educational.
This is NOT what I suggest you forward to your compliance team, but rather, *I
suggest you review the videos in their entirety and discuss internally
first*. Maybe you have a concern with our test methodology or have
questions.
PLEASE challenge our research to make sure we aren't missi</t>
  </si>
  <si>
    <t>19b08b75e98d3e47</t>
  </si>
  <si>
    <t>"dylan.sellers@observepoint.com" &lt;dylan.sellers@observepoint.com&gt;, Rathna Chinnappa &lt;rathna.chinnappa@prudential.com&gt;, Prabhu Biradar &lt;prabhugouda.biradar@prudential.com&gt;, Maximilian Stefani &lt;maximilian.stefani@prudential.com&gt;, Baijnath Gupta &lt;baijnath.gupta@prudential.com&gt;</t>
  </si>
  <si>
    <t>RE: ObservePoint's findings from prudential.com cookie banner testing</t>
  </si>
  <si>
    <t>Thanks, Dylan.  Probably too much details for Compliance.  We will need to edit it.
@Maximilian Stefani&lt;mailto:maximilian.stefani@prudential.com&gt; and @Baijnath Gupta&lt;mailto:baijnath.gupta@prudential.com&gt;
I will schedule a call for three of us to review.
Thanks,
Steve
From: Dylan Sellers &lt;dylan.sellers@observepoint.com&gt;
Sent: Tuesday, December 9, 2025 4:38 PM
To: Steve Choi &lt;steve.choi@prudential.com&gt;; Rathna Chinnappa &lt;rathna.chinnappa@prudential.com&gt;; Prabhu Biradar &lt;prabhugoud</t>
  </si>
  <si>
    <t>19b08e2e924f8296</t>
  </si>
  <si>
    <t>Rathna Chinnappa &lt;rathna.chinnappa@prudential.com&gt;, Prabhu Biradar &lt;prabhugouda.biradar@prudential.com&gt;, Maximilian Stefani &lt;maximilian.stefani@prudential.com&gt;, Baijnath Gupta &lt;baijnath.gupta@prudential.com&gt;, Dallin Madsen &lt;dallin.madsen@observepoint.com&gt;, Jarrod Wilbur &lt;jarrod.wilbur@observepoint.com&gt;, John Davis &lt;john.davis@observepoint.com&gt;, Macey Bell &lt;macey.bell@observepoint.com&gt;</t>
  </si>
  <si>
    <t>Re: ObservePoint's findings from prudential.com cookie banner testing</t>
  </si>
  <si>
    <t>Agreed.
Please let us know how we can help.
On Wed, Dec 10, 2025 at 7:43 AM Steve Choi &lt;steve.choi@prudential.com&gt;
wrote:
&gt; Thanks, Dylan.  Probably too much details for Compliance.  We will need to
&gt; edit it.
&gt;
&gt;
&gt;
&gt; @Maximilian Stefani &lt;maximilian.stefani@prudential.com&gt; and @Baijnath
&gt; Gupta &lt;baijnath.gupta@prudential.com&gt;
&gt;
&gt;
&gt;
&gt; I will schedule a call for three of us to review.
&gt;
&gt;
&gt;
&gt; Thanks,
&gt;
&gt;
&gt;
&gt; Steve
&gt;
&gt;
&gt;
&gt; *From:* Dylan Sellers &lt;dylan.sellers@observe</t>
  </si>
  <si>
    <t>19af000fd12f2246</t>
  </si>
  <si>
    <t>Maximilian Stefani &lt;maximilian.stefani@prudential.com&gt;, Baijnath Gupta &lt;baijnath.gupta@prudential.com&gt;, Rathna Chinnappa &lt;rathna.chinnappa@prudential.com&gt;, Prabhu Biradar &lt;prabhugouda.biradar@prudential.com&gt;, John Davis &lt;john.davis@observepoint.com&gt;</t>
  </si>
  <si>
    <t>ObservePoint Follow ups from Compliance call</t>
  </si>
  <si>
    <t>Can we discuss below?  Thanks.
Hi All-
Thanks very much for the time today and the additional information/research on the attached report card. As mentioned in our meeting, we will want to go about formally documenting the inaccuracies and additional context needed for this report card. Here are follow up actions for the group:
  *   Provide email summary/evidence to the contrary of each letter grade provided in the report.
     *   Pages missing CMP (already has an compliance issu</t>
  </si>
  <si>
    <t>19aeee36345b672c</t>
  </si>
  <si>
    <t>Maximilian Stefani &lt;maximilian.stefani@prudential.com&gt;, Baijnath Gupta &lt;baijnath.gupta@prudential.com&gt;, Prabhu Biradar &lt;prabhugouda.biradar@prudential.com&gt;, Rathna Chinnappa &lt;rathna.chinnappa@prudential.com&gt;, Dallin Madsen &lt;dallin.madsen@observepoint.com&gt;, Jarrod Wilbur &lt;jarrod.wilbur@observepoint.com&gt;, John Davis &lt;john.davis@observepoint.com&gt;, Nic Suder &lt;nic.suder@observepoint.com&gt;, GT Analytics Tagging &lt;gt.analytics.tagging@prudential.com&gt;</t>
  </si>
  <si>
    <t>ObservePoint Report Card Connect</t>
  </si>
  <si>
    <t>Teams link is at the bottom
From: Steve Choi steve.choi@prudential.com&lt;mailto:steve.choi@prudential.com&gt;
Sent: Friday, December 5, 2025 9:15 AM
To: Baijnath Gupta baijnath.gupta@prudential.com&lt;mailto:baijnath.gupta@prudential.com&gt;; John Davis john.davis@observepoint.com&lt;mailto:john.davis@observepoint.com&gt;; Dallin Madsen dallin.madsen@observepoint.com&lt;mailto:dallin.madsen@observepoint.com&gt;; Jarrod Wilbur jarrod.wilbur@observepoint.com&lt;mailto:jarrod.wilbur@observepoint.com&gt;
Cc: Nic Suder n</t>
  </si>
  <si>
    <t>19aebfe81f3eac51</t>
  </si>
  <si>
    <t>John Davis &lt;john.davis@observepoint.com&gt;, Nic Suder &lt;nic.suder@observepoint.com&gt;</t>
  </si>
  <si>
    <t>Fw: ObservePoint Report Card ReConnect</t>
  </si>
  <si>
    <t xml:space="preserve">
________________________________
From: Steve Choi
Sent: Thursday, December 4, 2025 4:15:18 PM
To: Steve Choi &lt;steve.choi@prudential.com&gt;; Maximilian Stefani &lt;maximilian.stefani@prudential.com&gt;; Baijnath Gupta &lt;baijnath.gupta@prudential.com&gt;; Prabhu Biradar &lt;prabhugouda.biradar@prudential.com&gt;; Rathna Chinnappa &lt;rathna.chinnappa@prudential.com&gt;
Subject: ObservePoint Report Card Connect
When: Friday, December 5, 2025 11:00 AM-11:30 AM.
Where: Microsoft Teams Meeting
______________</t>
  </si>
  <si>
    <t>19aeb56ea2fc52d5</t>
  </si>
  <si>
    <t>Lauren Tajar &lt;lauren.tajar@prudential.com&gt;, Baijnath Gupta &lt;baijnath.gupta@prudential.com&gt;, Chirag Patel &lt;chirag1.patel@prudential.com&gt;, Eileen Cuevas &lt;eileen.cuevas@prudential.com&gt;, Jenny Castri &lt;jennifer.castri@prudential.com&gt;, Mike Vance &lt;michael.vance@prudential.com&gt;, Paula McNerney &lt;paula.mcnerney@prudential.com&gt;, Swati Nehra &lt;swati.nehra@prudential.com&gt;, Priyank Goswami &lt;priyank.goswami@prudential.com&gt;, Raghunath Munugala &lt;raghunath.munugala@prudential.com&gt;, Rolando Rafanan &lt;rolando.rafanan@prudential.com&gt;, Sanjana Dodley &lt;sanjana.dodley@prudential.com&gt;, Sean Murray &lt;sean.murray@prudential.com&gt;, Radhakrishna Nagaraj &lt;radhakrishna.nagaraj@prudential.com&gt;, Narender Reddy Karka &lt;narender.reddy@prudential.com&gt;, Maximilian Stefani &lt;maximilian.stefani@prudential.com&gt;, Rathna Chinnappa &lt;rathna.chinnappa@prudential.com&gt;, Prabhu Biradar &lt;prabhugouda.biradar@prudential.com&gt;, Nic Suder &lt;nic.suder@observepoint.com&gt;, John Davis &lt;john.davis@observepoint.com&gt;</t>
  </si>
  <si>
    <t>Next Steps from today's ObservePoint Audit Session for Pru.com</t>
  </si>
  <si>
    <t>Hi All,
Thanks for the ObservePoint call today.  Here are the next steps:
  1.  Here is the recording of today's ObservePoint session for Pru.com.  Feel free to review it.
[?mp4 icon] ObservePoint Audit of Pru.com-20251204_133409-Meeting Recording.mp4&lt;https://prudentialus-my.sharepoint.com/personal/steve_choi_prudential_com/_layouts/15/stream.aspx?id=%2Fpersonal%2Fsteve_choi_prudential_com%2FDocuments%2FRecordings%2FObservePoint+Audit+of+Pru.com-20251204_133409-Meeting+Recording.mp4&amp;r</t>
  </si>
  <si>
    <t>19aead140ed27e49</t>
  </si>
  <si>
    <t>ObservePoint AI from ObservePoint &lt;support@observepoint.com&gt;, John Davis &lt;john.davis@observepoint.com&gt;, Nic Suder &lt;nic.suder@observepoint.com&gt;</t>
  </si>
  <si>
    <t>FW: ObservePoint Alert: Pages with 404 Errors</t>
  </si>
  <si>
    <t>Can you stop all automated reports like below?  There shouldn’t be any automated ObservePoint reports scheduled.
Thanks,
Steve
From: Abhi Sharma &lt;Abhi.Sharma@prudential.com&gt;
Sent: Thursday, December 4, 2025 1:33 PM
To: Steve Choi &lt;steve.choi@prudential.com&gt;
Subject: FW: ObservePoint Alert: Pages with 404 Errors
Hi Steve, is there a way to determine what page is broken?
From: ObservePoint &lt;support@observepoint.com&lt;mailto:support@observepoint.com&gt;&gt;
Sent: Thursday, December 4, 20</t>
  </si>
  <si>
    <t>19aead1a7219fe03</t>
  </si>
  <si>
    <t>john.davis@observepoint.com, nic.suder@observepoint.com</t>
  </si>
  <si>
    <t>Re: FW: ObservePoint Alert: Pages with 404 Errors</t>
  </si>
  <si>
    <t xml:space="preserve"> 
#56032333: FW: ObservePoint Alert: Pages with 404 Errors 
Submitted 
We'll pick up your ticket soon 
Can you stop all automated reports like below? There shouldn’t be any 
automated ObservePoint reports scheduled. Thanks, Steve 
*ObservePoint AI*
ObservePoint
[image: intercom] </t>
  </si>
  <si>
    <t>19aeae02eae4854c</t>
  </si>
  <si>
    <t>steve.choi@prudential.com, nic.suder@observepoint.com</t>
  </si>
  <si>
    <t>Yes we can go over this in our second meeting today in about 20 mins if
that works for you Steve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&lt;https://groove.grvlnk4.com/url/typa6byifukvbtijwod94/aHR0cHM6Ly93d3cub2JzZXJ2ZXBvaW50LmNvbS9lbWFpbC1zaWduYXR1cmUvb2ZmZXIvb2ZmZXIt</t>
  </si>
  <si>
    <t>19afe2672c620e12</t>
  </si>
  <si>
    <t>RE: ObservePoint Alert: Pages with 404 Errors</t>
  </si>
  <si>
    <t xml:space="preserve">Can you confirm if there are no more automated scheduled reports like below?  This is causing some confusion since teams are getting other teams’ reports.
From: Steve Choi &lt;steve.choi@prudential.com&gt;
Sent: Thursday, December 4, 2025 2:23 PM
To: ObservePoint AI from ObservePoint &lt;support@observepoint.com&gt;; John Davis &lt;john.davis@observepoint.com&gt;; Nic Suder &lt;nic.suder@observepoint.com&gt;
Subject: FW: ObservePoint Alert: Pages with 404 Errors
Can you stop all automated reports like below?  </t>
  </si>
  <si>
    <t>19aeabc571b0c881</t>
  </si>
  <si>
    <t>jarrod.wilbur@observepoint.com, john.davis@observepoint.com, dallin.madsen@observepoint.com</t>
  </si>
  <si>
    <t>Our Meeting in 1 Hour</t>
  </si>
  <si>
    <t xml:space="preserve"> 
Hi Steve,
We've got our next onboarding call in 1 hour. See you then!
Let me know if you need to reschedule.
</t>
  </si>
  <si>
    <t>19ae9d1b67849dbd</t>
  </si>
  <si>
    <t>Dallin Madsen &lt;dallin.madsen@observepoint.com&gt;, Jarrod Wilbur &lt;jarrod.wilbur@observepoint.com&gt;, John Davis &lt;john.davis@observepoint.com&gt;</t>
  </si>
  <si>
    <t>RE: Updated invitation: Intro Call - ObservePoint | Prudential Financial Inc. @ Thu Dec 4, 2025 3pm - 3:30pm (EST) (steve.choi@prudential.com)</t>
  </si>
  <si>
    <t>Let’s use Teams invite I sent.  Thanks.
-----Original Appointment-----
From: Google Calendar &lt;calendar-notification@google.com&gt; On Behalf Of Dallin Madsen
Sent: Thursday, December 4, 2025 9:24 AM
To: Jarrod Wilbur; John Davis; Steve Choi
Subject: Updated invitation: Intro Call - ObservePoint | Prudential Financial Inc. @ Thu Dec 4, 2025 3pm - 3:30pm (EST) (steve.choi@prudential.com)
When: Thursday, December 4, 2025 3:00 PM-3:30 PM America/New_York.
Where: https://www.google.com/url?q=ht</t>
  </si>
  <si>
    <t>19ae9d59b99bf083</t>
  </si>
  <si>
    <t>Jarrod Wilbur &lt;jarrod.wilbur@observepoint.com&gt;, John Davis &lt;john.davis@observepoint.com&gt;</t>
  </si>
  <si>
    <t>Re: Updated invitation: Intro Call - ObservePoint | Prudential Financial Inc. @ Thu Dec 4, 2025 3pm - 3:30pm (EST) (steve.choi@prudential.com)</t>
  </si>
  <si>
    <t>Sounds good! I couldn't add Jarrod Wilber to your invite, but I updated the
link in my invite to your teams link for him.
See you then!
Dallin Madsen *   |    * *Enterprise Account Executive*
801.850.3709
dallin.madsen@observepoint.com
&lt;https://us-3129.email-composer-webhooks.gong.io/email-tracking/clicked?email-info-token=eyJhbGciOiJIUzI1NiJ9.eyJjb21wYW55SWQiOiI4OTgyMjM2MTQxODc2Mjk3NzAiLCJkcmFmdElkIjoicjEzODM2Njk4MTQ0MzY1NjUyMDQiLCJsaW5rVXJsIjoibWFpbHRvOmRhbGxpbi5tYWRzZW5Ab2JzZXJ2ZX</t>
  </si>
  <si>
    <t>19ae97bbb1cbd5b7</t>
  </si>
  <si>
    <t>"dallin.madsen@observepoint.com" &lt;dallin.madsen@observepoint.com&gt;, John Davis &lt;john.davis@observepoint.com&gt;</t>
  </si>
  <si>
    <t>ObservePoint report card for Prudential discussion</t>
  </si>
  <si>
    <t xml:space="preserve">
On Wed, Dec 3, 2025 at 4:50 PM Steve Choi &lt;steve.choi@prudential.com&lt;mailto:steve.choi@prudential.com&gt;&gt; wrote:
See additional context from my chat with Kelly who work in Prudential Compliance.  Are you available tomorrow, Thursday to chat?  This is causing some headache internally since the attached report was shared with many people.
[cid:image001.png@01DC64F5.24A4FDB0]
From: Steve Choi
Sent: Wednesday, December 3, 2025 4:36 PM
To: John Davis &lt;john.davis@obser</t>
  </si>
  <si>
    <t>19ae6692bf848814</t>
  </si>
  <si>
    <t>John Davis &lt;john.davis@observepoint.com&gt;, Jarrod Wilbur &lt;jarrod.wilbur@observepoint.com&gt;, steve.choi@prudential.com</t>
  </si>
  <si>
    <t>Invitation: Intro Call - ObservePoint | Prudential Financial Inc. @ Thu Dec 4, 2025 1pm - 1:30pm (MST) (John Davis)</t>
  </si>
  <si>
    <t>Intro Call - ObservePoint | Prudential Financial Inc.
Thursday Dec 4, 2025 ⋅ 1pm – 1:30pm
Mountain Time - Denver
Location
https://observepoint.zoom.us/j/96637904024	
https://www.google.com/url?q=https%3A%2F%2Fobservepoint.zoom.us%2Fj%2F96637904024&amp;sa=D&amp;source=calendar&amp;ust=1765234200000000&amp;usg=AOvVaw1GINa1EIXli42ncFVpxfxH
We’re eager to understand your company's objectives and discuss how  
ObservePoint’s solutions align with your needs.
If you need to reschedule, please use the l</t>
  </si>
  <si>
    <t>19ae625284d0e0e6</t>
  </si>
  <si>
    <t>John Davis &lt;john.davis@observepoint.com&gt;, Nic Suder &lt;nic.suder@observepoint.com&gt;, Macey Bell &lt;macey.bell@observepoint.com&gt;, Mihai from ObservePoint &lt;support@observepoint.com&gt;</t>
  </si>
  <si>
    <t>Hello ObservePoint team,
Below email and attached report caused some confusion at Prudential.
  1.  Do you know who created this ObservePoint report and how it was created?  I am not familiar with it.
  2.  Who receives the report and how often does it go out?
  3.  If it is automated report, can you deactivate immediately?
Thanks,
Steve
-----Original Appointment-----
From: Kelly Williams &lt;kelly.1.williams@prudential.com&gt;
Sent: Wednesday, December 3, 2025 3:58 PM
To: Stev</t>
  </si>
  <si>
    <t>19ae6262593b2ca0</t>
  </si>
  <si>
    <t>john.davis@observepoint.com, nic.suder@observepoint.com, macey.bell@observepoint.com</t>
  </si>
  <si>
    <t>Re: RE: ObservePoint Report Card</t>
  </si>
  <si>
    <t xml:space="preserve"> 
#55672623: RE: ObservePoint Report Card 
Submitted 
We'll pick up your ticket soon 
Hello ObservePoint team, Below email and attached report caused some 
confusion at Prudential. Thanks, Steve -----Original Appointment-----
*From:* Kelly Williams &lt;kelly.1.williams@prudential.com&gt; 
*Sent:* Wednesday, December 3, 2025 3:58 PM
*To:* Steve Choi; Mike Vance; Lydia Barlow
*Cc:* Matt Diiorio; Emily Katz; Maximilian Stefani
*Subject:* ObservePoint Report Card
*When:* Friday, December 5, 2025 10:30 AM</t>
  </si>
  <si>
    <t>19ae6319e4b981b1</t>
  </si>
  <si>
    <t>John Davis &lt;john.davis@observepoint.com&gt;, Nic Suder &lt;nic.suder@observepoint.com&gt;, Macey Bell &lt;macey.bell@observepoint.com&gt;, Mihai from ObservePoint &lt;support@observepoint.com&gt;, Dallin Madsen &lt;dallin.madsen@observepoint.com&gt;</t>
  </si>
  <si>
    <t xml:space="preserve">
See additional context from my chat with Kelly who work in Prudential Compliance.  Are you available tomorrow, Thursday to chat?  This is causing some headache internally since the attached report was shared with many people.
[cid:image002.png@01DC6474.D7784680]
From: Steve Choi
Sent: Wednesday, December 3, 2025 4:36 PM
To: John Davis &lt;john.davis@observepoint.com&gt;; Nic Suder &lt;nic.suder@observepoint.com&gt;; Macey Bell &lt;macey.bell@observepoint.com&gt;; Mihai from ObservePoint &lt;support@obs</t>
  </si>
  <si>
    <t>19ae6575a8e5250d</t>
  </si>
  <si>
    <t>HI Steve!
Happy to chat. Lets do it. Any of these times work?
Meeting length: 30 Minutes
Time Zone: (GMT-5) EST/New_York
Thu Dec 4 Fri Dec 5
 3:00  PM
&lt;https://us-3129.email-composer-webhooks.gong.io/email-tracking/clicked?email-info-token=eyJhbGciOiJIUzI1NiJ9.eyJjb21wYW55SWQiOiI4OTgyMjM2MTQxODc2Mjk3NzAiLCJkcmFmdElkIjoicjczMTYyNzY4MTY0MzUwNjc0NjMiLCJsaW5rVXJsIjoiaHR0cHM6Ly9vYnNlcnZlcG9pbnQuY2hpbGlwaXBlci5jb20vc3VnZ2VzdGVkLXRpbWVzLzA4ZDRlNTMyLTM4YTgtNDZmNi1hYmMzLTA4YzU2ZmEyZWIwYz9zbG90U</t>
  </si>
  <si>
    <t>19ae65cfd67ed6a6</t>
  </si>
  <si>
    <t>Nothing else available beside 3pm ET tomorrow, Thursday?
How about 11am, 1pm, 2:30pm ET?  If these times don’t work, we can chat at 3pm ET tomorrow.
From: Dallin Madsen &lt;dallin.madsen@observepoint.com&gt;
Sent: Wednesday, December 3, 2025 5:31 PM
To: Steve Choi &lt;steve.choi@prudential.com&gt;
Cc: John Davis &lt;john.davis@observepoint.com&gt;
Subject: Re: ObservePoint Report Card
HI Steve!
Happy to chat. Lets do it. Any of these times work?
Meeting length: 30 Minutes
Time Zone: (GMT-5) ES</t>
  </si>
  <si>
    <t>19ae660c2b9464f1</t>
  </si>
  <si>
    <t>Yes, sorry Steve. Those are the only times I have left those days. I do
have more availability on Friday if that helps.
Best!
Dallin Madsen *   |    * *Enterprise Account Executive*
801.850.3709
dallin.madsen@observepoint.com
&lt;https://us-3129.email-composer-webhooks.gong.io/email-tracking/clicked?email-info-token=eyJhbGciOiJIUzI1NiJ9.eyJjb21wYW55SWQiOiI4OTgyMjM2MTQxODc2Mjk3NzAiLCJkcmFmdElkIjoicjgyNTk3ODEyNDc0OTU2MTE0NTAiLCJsaW5rVXJsIjoibWFpbHRvOmRhbGxpbi5tYWRzZW5Ab2JzZXJ2ZXBvaW50LmNv</t>
  </si>
  <si>
    <t>19ae665f07f7b6d1</t>
  </si>
  <si>
    <t>We can chat at 3pm ET tomorrow. Can you send invite?  Thanks
Sent from my Verizon, Samsung Galaxy smartphone
Get Outlook for Android&lt;https://aka.ms/AAb9ysg&gt;
________________________________
From: Dallin Madsen &lt;dallin.madsen@observepoint.com&gt;
Sent: Wednesday, December 3, 2025 5:41:14 PM
To: Steve Choi &lt;steve.choi@prudential.com&gt;
Cc: John Davis &lt;john.davis@observepoint.com&gt;
Subject: Re: ObservePoint Report Card
Yes, sorry Steve. Those are the only times I have left those days. I do h</t>
  </si>
  <si>
    <t>19ae9f717cd45a4c</t>
  </si>
  <si>
    <t>Nic Suder &lt;nic.suder@observepoint.com&gt;</t>
  </si>
  <si>
    <t>John Davis &lt;john.davis@observepoint.com&gt;, Macey Bell &lt;macey.bell@observepoint.com&gt;, Mihai from ObservePoint &lt;support@observepoint.com&gt;, Dallin Madsen &lt;dallin.madsen@observepoint.com&gt;</t>
  </si>
  <si>
    <t>Hey Steve,
I wanted to follow up while Macy is out of office. I spoke with Dallin
Madsen, and he mentioned that he already has time scheduled to review
things with you. Please let me know if there is any additional support we
can provide.
Thanks,
Nic Suder
On Wed, Dec 3, 2025 at 2:50 PM Steve Choi &lt;steve.choi@prudential.com&gt; wrote:
&gt;
&gt;
&gt; See additional context from my chat with Kelly who work in Prudential
&gt; Compliance.  Are you available tomorrow, Thursday to chat?  This is c</t>
  </si>
  <si>
    <t>19aebb8e2b371be3</t>
  </si>
  <si>
    <t>Steve Choi &lt;steve.choi@prudential.com&gt;, Macey Bell &lt;macey.bell@observepoint.com&gt;, Mihai from ObservePoint &lt;support@observepoint.com&gt;, Dallin Madsen &lt;dallin.madsen@observepoint.com&gt;</t>
  </si>
  <si>
    <t>Hey Steve,
So first off, here are the three audits that powered that report card,
including the one that we talked about today (California Opt-Out):
https://app.observepoint.com/audit/1999662/run/8287180/report/cookie-inventory
https://app.observepoint.com/audit/1999663/run/8287181/report/cookie-inventory
https://app.observepoint.com/audit/2001401/run/8302972/report/cookie-inventory
Secondly, I got some clarification on our audit process and how it works
with the Onetrust opt out. B</t>
  </si>
  <si>
    <t>19aebfcd7fd6fd9b</t>
  </si>
  <si>
    <t>Macey Bell &lt;macey.bell@observepoint.com&gt;, Mihai from ObservePoint &lt;support@observepoint.com&gt;, Dallin Madsen &lt;dallin.madsen@observepoint.com&gt;, Baijnath Gupta &lt;baijnath.gupta@prudential.com&gt;, Maximilian Stefani &lt;maximilian.stefani@prudential.com&gt;, Prabhu Biradar &lt;prabhugouda.biradar@prudential.com&gt;, Rathna Chinnappa &lt;rathna.chinnappa@prudential.com&gt;</t>
  </si>
  <si>
    <t>Hi John,
Thanks for the additional details.
I will forward the invite for 11:30am ET call tomorrow Friday if you are available.
Thanks,
Steve
________________________________
From: John Davis &lt;john.davis@observepoint.com&gt;
Sent: Thursday, December 4, 2025 6:36:20 PM
To: Nic Suder &lt;nic.suder@observepoint.com&gt;
Cc: Steve Choi &lt;steve.choi@prudential.com&gt;; Macey Bell &lt;macey.bell@observepoint.com&gt;; Mihai from ObservePoint &lt;support@observepoint.com&gt;; Dallin Madsen &lt;dallin.madsen@obser</t>
  </si>
  <si>
    <t>19aec0f2b0816bc3</t>
  </si>
  <si>
    <t>Nic Suder &lt;nic.suder@observepoint.com&gt;, Macey Bell &lt;macey.bell@observepoint.com&gt;, Mihai from ObservePoint &lt;support@observepoint.com&gt;, Dallin Madsen &lt;dallin.madsen@observepoint.com&gt;, Baijnath Gupta &lt;baijnath.gupta@prudential.com&gt;, Maximilian Stefani &lt;maximilian.stefani@prudential.com&gt;, Prabhu Biradar &lt;prabhugouda.biradar@prudential.com&gt;, Rathna Chinnappa &lt;rathna.chinnappa@prudential.com&gt;</t>
  </si>
  <si>
    <t>Sure thing, I might be a few minutes late for a personal matter, but I
should be able to make it.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&lt;https://groove.grvlnk4.com/url/typa6byifukvbtijwod94/aHR0cHM6Ly93d3cub2JzZXJ2ZXBvaW50LmNvbS9lbWFpbC1zaWduYXR1cmUvb2ZmZXIvb2ZmZXItd</t>
  </si>
  <si>
    <t>19aeecddef0e6199</t>
  </si>
  <si>
    <t>Baijnath Gupta &lt;baijnath.gupta@prudential.com&gt;</t>
  </si>
  <si>
    <t>John Davis &lt;john.davis@observepoint.com&gt;, Steve Choi &lt;steve.choi@prudential.com&gt;</t>
  </si>
  <si>
    <t>Nic Suder &lt;nic.suder@observepoint.com&gt;, Macey Bell &lt;macey.bell@observepoint.com&gt;, Mihai from ObservePoint &lt;support@observepoint.com&gt;, Dallin Madsen &lt;dallin.madsen@observepoint.com&gt;, Maximilian Stefani &lt;maximilian.stefani@prudential.com&gt;, Prabhu Biradar &lt;prabhugouda.biradar@prudential.com&gt;, Rathna Chinnappa &lt;rathna.chinnappa@prudential.com&gt;</t>
  </si>
  <si>
    <t>I’m unable to view these audit reports. Is anyone else having the same issue?
https://app.observepoint.com/audit/1999662/run/8287180/report/cookie-inventory
https://app.observepoint.com/audit/1999663/run/8287181/report/cookie-inventory
https://app.observepoint.com/audit/2001401/run/8302972/report/cookie-inventory
From: John Davis &lt;john.davis@observepoint.com&gt;
Sent: Thursday, December 4, 2025 8:10 PM
To: Steve Choi &lt;steve.choi@prudential.com&gt;
Cc: Nic Suder &lt;nic.suder@observepoint.com</t>
  </si>
  <si>
    <t>19aeede542feb4bd</t>
  </si>
  <si>
    <t>Baijnath Gupta &lt;baijnath.gupta@prudential.com&gt;, John Davis &lt;john.davis@observepoint.com&gt;, Dallin Madsen &lt;dallin.madsen@observepoint.com&gt;, Jarrod Wilbur &lt;jarrod.wilbur@observepoint.com&gt;</t>
  </si>
  <si>
    <t>Nic Suder &lt;nic.suder@observepoint.com&gt;, Macey Bell &lt;macey.bell@observepoint.com&gt;, Mihai from ObservePoint &lt;support@observepoint.com&gt;, Dallin Madsen &lt;dallin.madsen@observepoint.com&gt;, Maximilian Stefani &lt;maximilian.stefani@prudential.com&gt;, Prabhu Biradar &lt;prabhugouda.biradar@prudential.com&gt;, Rathna Chinnappa &lt;rathna.chinnappa@prudential.com&gt;, GT Analytics Tagging &lt;gt.analytics.tagging@prudential.com&gt;</t>
  </si>
  <si>
    <t>When I clicked the first link below, I see this.  Where can we see the audit reports  that Jarrod showed yesterday?
Also, I had to manually login since SSO didn’t work.  Prudential uses SSO to login to ObservePoint.
[cid:image003.png@01DC65C7.A3819CB0]
From: Baijnath Gupta &lt;baijnath.gupta@prudential.com&gt;
Sent: Friday, December 5, 2025 8:58 AM
To: John Davis &lt;john.davis@observepoint.com&gt;; Steve Choi &lt;steve.choi@prudential.com&gt;
Cc: Nic Suder &lt;nic.suder@observepoint.com&gt;; Macey Be</t>
  </si>
  <si>
    <t>19aeee6307c80ca0</t>
  </si>
  <si>
    <t>Baijnath Gupta &lt;baijnath.gupta@prudential.com&gt;, Dallin Madsen &lt;dallin.madsen@observepoint.com&gt;, Jarrod Wilbur &lt;jarrod.wilbur@observepoint.com&gt;, Nic Suder &lt;nic.suder@observepoint.com&gt;, Macey Bell &lt;macey.bell@observepoint.com&gt;, Mihai from ObservePoint &lt;support@observepoint.com&gt;, Maximilian Stefani &lt;maximilian.stefani@prudential.com&gt;, Prabhu Biradar &lt;prabhugouda.biradar@prudential.com&gt;, Rathna Chinnappa &lt;rathna.chinnappa@prudential.com&gt;, GT Analytics Tagging &lt;gt.analytics.tagging@prudential.com&gt;</t>
  </si>
  <si>
    <t>The opt out audit is the 2nd link out of those 3 that I sent you, can you
view that one?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&lt;https://groove.grvlnk4.com/url/typa6byifukvbtijwod94/aHR0cHM6Ly93d3cub2JzZXJ2ZXBvaW50LmNvbS9lbWFpbC1zaWduYXR1cmUvb2ZmZXIvb2ZmZXItdXMucGhwI2</t>
  </si>
  <si>
    <t>19aeee9d3d088010</t>
  </si>
  <si>
    <t>I tried all three links below and got same message.
From: John Davis &lt;john.davis@observepoint.com&gt;
Sent: Friday, December 5, 2025 9:24 AM
To: Steve Choi &lt;steve.choi@prudential.com&gt;
Cc: Baijnath Gupta &lt;baijnath.gupta@prudential.com&gt;; Dallin Madsen &lt;dallin.madsen@observepoint.com&gt;; Jarrod Wilbur &lt;jarrod.wilbur@observepoint.com&gt;; Nic Suder &lt;nic.suder@observepoint.com&gt;; Macey Bell &lt;macey.bell@observepoint.com&gt;; Mihai from ObservePoint &lt;support@observepoint.com&gt;; Maximilian Stefani &lt;maximilian.</t>
  </si>
  <si>
    <t>19aef1c2e9752cdb</t>
  </si>
  <si>
    <t>Jarrod Wilbur &lt;jarrod.wilbur@observepoint.com&gt;</t>
  </si>
  <si>
    <t>John Davis &lt;john.davis@observepoint.com&gt;, Baijnath Gupta &lt;baijnath.gupta@prudential.com&gt;, Dallin Madsen &lt;dallin.madsen@observepoint.com&gt;, Nic Suder &lt;nic.suder@observepoint.com&gt;, Macey Bell &lt;macey.bell@observepoint.com&gt;, Mihai from ObservePoint &lt;support@observepoint.com&gt;, Maximilian Stefani &lt;maximilian.stefani@prudential.com&gt;, Prabhu Biradar &lt;prabhugouda.biradar@prudential.com&gt;, Rathna Chinnappa &lt;rathna.chinnappa@prudential.com&gt;, GT Analytics Tagging &lt;gt.analytics.tagging@prudential.com&gt;</t>
  </si>
  <si>
    <t>Hey Steve,
Here are publicly accessible links to those three audits. The audits are
not in your account, but in an internal account we used to build all the
reports for that conference.
You should not need to login to view those audits:
California GPC Audit
&lt;https://app.observepoint.com/share/Yg3KSTJPPqy24ZNrNtkSJsh&gt;
California Opt Out Audit
&lt;https://app.observepoint.com/share/cwhWFqZmB2d3VV8gy3svZDT&gt;
California Default Audit
&lt;https://app.observepoint.com/share/3rBjmk6F6sh8NtRWqfVZ</t>
  </si>
  <si>
    <t>19aef24d19f5e723</t>
  </si>
  <si>
    <t>Steve Choi &lt;steve.choi@prudential.com&gt;, Baijnath Gupta &lt;baijnath.gupta@prudential.com&gt;, Dallin Madsen &lt;dallin.madsen@observepoint.com&gt;, Nic Suder &lt;nic.suder@observepoint.com&gt;, Macey Bell &lt;macey.bell@observepoint.com&gt;, Mihai from ObservePoint &lt;support@observepoint.com&gt;, Maximilian Stefani &lt;maximilian.stefani@prudential.com&gt;, Prabhu Biradar &lt;prabhugouda.biradar@prudential.com&gt;, Rathna Chinnappa &lt;rathna.chinnappa@prudential.com&gt;, GT Analytics Tagging &lt;gt.analytics.tagging@prudential.com&gt;</t>
  </si>
  <si>
    <t xml:space="preserve">Thanks Jarrod!
See you, Steve and others, in about an hour
*Regards, *
John Davis *   |    * *Customer Success Manager*
Cell: 801.633.6013
john.davis@observepoint.com
www.observepoint.com
&lt;https://groove.grvlnk4.com/url/typa6byifukvbtijwod94/aHR0cDovL3d3dy5vYnNlcnZlcG9pbnQuY29tLyNncm9vdmVzdW06LTc2MTEwNTM3MA%3D%3D&gt;
&lt;https://groove.grvlnk4.com/url/typa6byifukvbtijwod94/aHR0cHM6Ly93d3cub2JzZXJ2ZXBvaW50LmNvbS9lbWFpbC1zaWduYXR1cmUvb2ZmZXIvb2ZmZXItdXMucGhwI2dyb292ZXN1bTotNTA3NzUxODQz&gt;
</t>
  </si>
  <si>
    <t>19aef90c825a715e</t>
  </si>
  <si>
    <t>John Davis &lt;john.davis@observepoint.com&gt;, Jarrod Wilbur &lt;jarrod.wilbur@observepoint.com&gt;</t>
  </si>
  <si>
    <t>Baijnath Gupta &lt;baijnath.gupta@prudential.com&gt;, Dallin Madsen &lt;dallin.madsen@observepoint.com&gt;, Nic Suder &lt;nic.suder@observepoint.com&gt;, Macey Bell &lt;macey.bell@observepoint.com&gt;, Maximilian Stefani &lt;maximilian.stefani@prudential.com&gt;, Prabhu Biradar &lt;prabhugouda.biradar@prudential.com&gt;, Rathna Chinnappa &lt;rathna.chinnappa@prudential.com&gt;, GT Analytics Tagging &lt;gt.analytics.tagging@prudential.com&gt;</t>
  </si>
  <si>
    <t>Hi John,
I googled this
“Do persistent existing cookies need to be removed when someone opts out from Onetrust cookie banner on website according to ccpa compliance”
Google response:
“While it is possible to do, it's worth noting that removing existing cookie (s) is not a requirement if consent is removed. The cookies themselves do not send data to third parties, so they are not the issue.
When user opts out from Onetrust cookie banner on a website, it is not required to remove persis</t>
  </si>
  <si>
    <t>19aeff9e31036db5</t>
  </si>
  <si>
    <t>Hi John,
Are you or your team available at 2:30pm ET next Tuesday, 12/9?  If not, can you suggest few other times?  We want to discuss few things such as configuring reports to ignore persistent existing cookies when people opt out from subsequent visits.  If we remove all existing cookies when people opt out, that can cause negative impacts at Prudential.  Also, removing them doesn’t seem to be required.  They seem optional according to CCPA and other Compliance laws.
We talked to Complia</t>
  </si>
  <si>
    <t>19af00751602feac</t>
  </si>
  <si>
    <t>Dallin Madsen &lt;dallin.madsen@observepoint.com&gt;, Nic Suder &lt;nic.suder@observepoint.com&gt;, Macey Bell &lt;macey.bell@observepoint.com&gt;</t>
  </si>
  <si>
    <t>Hi John,
Let me know if you are free at 11:30 ET next Tuesday 12/9 instead.  Forwarded the invite
Thanks,
Steve
From: Steve Choi
Sent: Friday, December 5, 2025 2:25 PM
To: John Davis &lt;john.davis@observepoint.com&gt;; Jarrod Wilbur &lt;jarrod.wilbur@observepoint.com&gt;
Cc: Baijnath Gupta &lt;baijnath.gupta@prudential.com&gt;; Dallin Madsen &lt;dallin.madsen@observepoint.com&gt;; Nic Suder &lt;nic.suder@observepoint.com&gt;; Macey Bell &lt;macey.bell@observepoint.com&gt;; Maximilian Stefani &lt;maximilian.stefani@pru</t>
  </si>
  <si>
    <t>19afe699a12fdcd6</t>
  </si>
  <si>
    <t>john.davis@observepoint.com, nic.suder@observepoint.com, macey.bell@observepoint.com, dallin.madsen@observepoint.com, baijnath.gupta@prudential.com, maximilian.stefani@prudential.com, prabhugouda.biradar@prudential.com, rathna.chinnappa@prudential.com, jarrod.wilbur@observepoint.com, gt.analytics.tagging@prudential.com</t>
  </si>
  <si>
    <t xml:space="preserve"> 
#55672623: RE: ObservePoint Report Card 
Resolved 
We've completed your ticket 
Hello ObservePoint team, Below email and attached report caused some 
confusion at Prudential. Thanks, Steve -----Original Appointment-----
*From:* Kelly Williams &lt;kelly.1.williams@prudential.com&gt; 
*Sent:* Wednesday, December 3, 2025 3:58 PM
*To:* Steve Choi; Mike Vance; Lydia Barlow
*Cc:* Matt Diiorio; Emily Katz; Maximilian Stefani
*Subject:* ObservePoint Report Card
*When:* Friday, December 5, 2025 10:30 AM-11:</t>
  </si>
  <si>
    <t>19b0991d61d5523a</t>
  </si>
  <si>
    <t>Hi John,
Can you and I schedule regular weekly check in calls?  We can move to bi-weekly or monthly once Prudential fully gets acquainted with ObservePoint.
Thanks,
Steve
From: John Davis &lt;john.davis@observepoint.com&gt;
Sent: Friday, December 5, 2025 10:33 AM
To: Jarrod Wilbur &lt;jarrod.wilbur@observepoint.com&gt;
Cc: Steve Choi &lt;steve.choi@prudential.com&gt;; Baijnath Gupta &lt;baijnath.gupta@prudential.com&gt;; Dallin Madsen &lt;dallin.madsen@observepoint.com&gt;; Nic Suder &lt;nic.suder@observepoint.co</t>
  </si>
  <si>
    <t>19b0e686282c4361</t>
  </si>
  <si>
    <t>Hey Steve,
I would love to schedule that for you, here are some available times for
me, go ahead and grab one that makes sense for you.
Meeting length: 30 Minutes
Time Zone: (GMT-7) MST/Denver
Mon Dec 15 Tue Dec 16 Wed Dec 17 Thu Dec 18
 1:30  PM
&lt;https://observepoint.chilipiper.com/suggested-times/b79e7c18-b86a-4d07-9556-31a4b5d6bee1?slotStartsAt=2025-12-15T20:30:00.000Z&gt;
 11:30  AM
&lt;https://observepoint.chilipiper.com/suggested-times/b79e7c18-b86a-4d07-9556-31a4b5d6bee1?slotStarts</t>
  </si>
  <si>
    <t>19ae47346e68fea6</t>
  </si>
  <si>
    <t>RE: Accepted: ObservePoint Audit of Pru.com @ Thu Dec 4, 2025 11:30am - 12pm (MST) (John Davis)</t>
  </si>
  <si>
    <t>Hi John/Nic,
Were you able to connect with Macey about tomorrow’s meeting to review ObservePoint audit of Pru.com?
Thanks,
Steve
-----Original Appointment-----
From: Google Calendar &lt;calendar-notification@google.com&gt; On Behalf Of John Davis
Sent: Tuesday, December 2, 2025 6:15 PM
To: Steve Choi
Subject: Accepted: ObservePoint Audit of Pru.com @ Thu Dec 4, 2025 11:30am - 12pm (MST) (John Davis)
When: Thursday, December 4, 2025 1:30 PM-2:00 PM (UTC-05:00) Eastern Time (US &amp; Canada</t>
  </si>
  <si>
    <t>19ae541141f10d53</t>
  </si>
  <si>
    <t>Re: Accepted: ObservePoint Audit of Pru.com @ Thu Dec 4, 2025 11:30am - 12pm (MST) (John Davis)</t>
  </si>
  <si>
    <t>Hey Steve,
Macey is OOO this week. I was able to connect with her briefly late last
week, but both John and I will be running the product demo this Thursday. I
appreciate you walking us through an outline of how the call should run,
John and I will both be prepared and ready.
Thanks,
Nic Suder
On Wed, Dec 3, 2025 at 6:42 AM Steve Choi &lt;steve.choi@prudential.com&gt; wrote:
&gt; Hi John/Nic,
&gt;
&gt;
&gt;
&gt; Were you able to connect with Macey about tomorrow’s meeting to review
&gt; ObservePoin</t>
  </si>
  <si>
    <t>19abbb234aaf00f1</t>
  </si>
  <si>
    <t>John Davis &lt;john.davis@observepoint.com&gt;, steve.choi@prudential.com, Macey Bell &lt;macey.bell@observepoint.com&gt;</t>
  </si>
  <si>
    <t>Invitation: Steve / Nic (ObservePoint Sync)  @ Tue Nov 25, 2025 12:30pm - 1pm (MST) (John Davis)</t>
  </si>
  <si>
    <t>Steve / Nic (ObservePoint Sync)
Tuesday Nov 25, 2025 ⋅ 12:30pm – 1pm
Mountain Time - Denver
Join Zoom Meeting
https://observepoint.zoom.us/j/3122520769?pwd=OzIwbpso1pILN7YB0FywybgkS3QE50.1&amp;omn=91387338309&amp;jst=2
Join by phone
(US) +1 888-788-0099
passcode: 296018
Joining instructions
https://www.google.com/url?q=https://applications.zoom.us/addon/invitation/detail?meetingUuid%3DDwrtNbYRT1iskBfEeXx47Q%253D%253D%26signature%3Daf57db00767f90cc534ab812d2d0847f32dd3d99af03927ba39e3f</t>
  </si>
  <si>
    <t>19aba775d935f0b7</t>
  </si>
  <si>
    <t>Zack Rosen &lt;zack.rosen@crowdstrike.com&gt;, John Davis &lt;john.davis@observepoint.com&gt;</t>
  </si>
  <si>
    <t>crowdstrike.com, observepoint.com</t>
  </si>
  <si>
    <t xml:space="preserve">Hey Zack!
I want to schedule some time with you to introduce Crowdstrike's new CSM
and main point of contact, John Davis.
Would any of these times work to touch base?
Something I would love to be able to go over with you and John is
Crowdstrike's desired outcomes for 2026 and how ObservePoint can help with
any relevant kpis and areas of focus for the upcoming year.
Meeting length: 30 Minutes
Time Zone: (GMT-7) MST/Denver
Tue Dec 9 Mon Dec 15 Tue Dec 16 Wed Dec 17 Thu Dec 18 Fri </t>
  </si>
  <si>
    <t>19abc0df3a8374dc</t>
  </si>
  <si>
    <t>Zack Rosen &lt;zack.rosen@crowdstrike.com&gt;</t>
  </si>
  <si>
    <t>Hi Zack,
Thank you for the introduction, Macey.
It's great to meet you, Zack. I'm taking over as your Customer Success
Manager and am here to make this transition as smooth as possible.
On Tue, Nov 25, 2025 at 3:02 AM Macey Bell &lt;macey.bell@observepoint.com&gt;
wrote:
&gt; Hey Zack!
&gt;
&gt; I want to schedule some time with you to introduce Crowdstrike's new CSM
&gt; and main point of contact, John Davis.
&gt;
&gt; Would any of these times work to touch base?
&gt;
&gt; Something I would love to be a</t>
  </si>
  <si>
    <t>19adf1098e28f93c</t>
  </si>
  <si>
    <t>Re: [External] Re: New CSM Introduction</t>
  </si>
  <si>
    <t>Hey Macey, and hello John, nice to meet you.
Let me see if I can find some time for us after AWS re:invent this week, will circle back once able. Thanks!
z
Zack Rosen (he/him)
CrowdStrike Director, Web Operations &amp; Experience
e. zack.rosen@crowdstrike.com&lt;mailto:zack.rosen@crowdstrike.com&gt;
From: John Davis &lt;john.davis@observepoint.com&gt;
Date: Tuesday, November 25, 2025 at 12:27 PM
To: Macey Bell &lt;macey.bell@observepoint.com&gt;
Cc: Zack Rosen &lt;zack.rosen@crowdstrike.com&gt;
Subjec</t>
  </si>
  <si>
    <t>19b045ae54745969</t>
  </si>
  <si>
    <t>Hey Zack,
Here is an updated list of times that should work for myself and Macey over
the next week or so. Feel free to grab one that works for you.
Meeting length: 30 Minutes
Time Zone: (GMT-7) MST/Denver
Thu Dec 11 Mon Dec 15 Tue Dec 16 Wed Dec 17 Thu Dec 18 Fri Dec 19
 10:00  AM
&lt;https://observepoint.chilipiper.com/suggested-times/5b8de04b-760a-4d84-a63c-90427f882159?slotStartsAt=2025-12-11T17:00:00.000Z&gt;
 1:30  PM
&lt;https://observepoint.chilipiper.com/suggested-times/5b8de04b-760</t>
  </si>
  <si>
    <t>19b94bbdee0ffedb</t>
  </si>
  <si>
    <t>Hey Zack,
Here are some updated slots to meet next week, now that we are past the
holidays. Feel free to grab one that works for you:
Meeting length: 30 Minutes
Time Zone: (GMT-7) MST/Denver
Mon Jan 12 Tue Jan 13 Wed Jan 14 Thu Jan 15 Fri Jan 16
 1:30  PM
&lt;https://us-3129.email-composer-webhooks.gong.io/email-tracking/clicked?email-info-token=eyJhbGciOiJIUzI1NiJ9.eyJjb21wYW55SWQiOiI4OTgyMjM2MTQxODc2Mjk3NzAiLCJkcmFmdElkIjoici0yOTQ2MTAxNzEwNDgzNzczMjgzIiwibGlua1VybCI6Imh0dHBzOi8vb2JzZXJ</t>
  </si>
  <si>
    <t>19aba3991c84326c</t>
  </si>
  <si>
    <t>John Davis &lt;john.davis@observepoint.com&gt;, crose@mms.org, mkarora@mms.org, aaryee@mms.org</t>
  </si>
  <si>
    <t>Invitation: ObservePoint | MMS Sync @ Monthly from 8:30am to 9am on the fourth Thursday (MST) (John Davis)</t>
  </si>
  <si>
    <t>ObservePoint | MMS Sync
Monthly from 8:30am to 9am on the fourth Thursday
Mountain Time - Denver
Join Zoom Meeting
https://observepoint.zoom.us/j/3742631971?pwd=Z2JhWG1yV1ZtOVBnMVZaRDR0bjVDZz09&amp;omn=92315898431
Join by phone
(US) +1 888-788-0099
passcode: 318688
Joining instructions
https://www.google.com/url?q=https://applications.zoom.us/addon/invitation/detail?meetingUuid%3DVYQXo3aQTeS3QtbSa6Xh7g%253D%253D%26signature%3D4245300e37a1e1ce3c512ab445ececbf5dea5db87dbf9f0105989ed</t>
  </si>
  <si>
    <t>19aba3631d895b4b</t>
  </si>
  <si>
    <t>John Davis &lt;john.davis@observepoint.com&gt;, audrbom@cdw.com, tatyana.zachary@cdw.com, sainath.revankar@cdw.com, awesta.ahmadi@cdw.com</t>
  </si>
  <si>
    <t>Invitation: ObservePoint | CDW - Sync @ Every 2 weeks from 11am to 11:30am on Tuesday (MST) (John Davis)</t>
  </si>
  <si>
    <t>ObservePoint | CDW - Sync
Every 2 weeks from 11am to 11:30am on Tuesday
Mountain Time - Denver
Join Zoom Meeting
https://observepoint.zoom.us/j/3742631971?pwd=Z2JhWG1yV1ZtOVBnMVZaRDR0bjVDZz09&amp;omn=97098763634
Join by phone
(US) +1 888-788-0099
passcode: 318688
Joining instructions
https://www.google.com/url?q=https://applications.zoom.us/addon/invitation/detail?meetingUuid%3D5Y0rydD8SMym7uDF8sAoLw%253D%253D%26signature%3Dd0051eb3d3a22b5905c0c9a36e05d76cf876eddac18d86eb90815e03f</t>
  </si>
  <si>
    <t>19aba35aa932ecbb</t>
  </si>
  <si>
    <t>John Davis &lt;john.davis@observepoint.com&gt;, steve.choi@prudential.com</t>
  </si>
  <si>
    <t>Invitation: ObservePoint | Prudential - Sync @ Weekly from 10am to 10:30am on Friday (MST) (John Davis)</t>
  </si>
  <si>
    <t>ObservePoint | Prudential - Sync
Weekly from 10am to 10:30am on Friday
Mountain Time - Denver
Join Zoom Meeting
https://observepoint.zoom.us/j/3742631971?pwd=Z2JhWG1yV1ZtOVBnMVZaRDR0bjVDZz09&amp;omn=97236069301&amp;jst=2
Join by phone
(US) +1 888-788-0099
passcode: 318688
Joining instructions
https://www.google.com/url?q=https://applications.zoom.us/addon/invitation/detail?meetingUuid%3DXB4F8vfnRm6seMgFF7tMcw%253D%253D%26signature%3Db32e37389c9c82270ba1743357245e0adb802fef4181d09fad98</t>
  </si>
  <si>
    <t>19a9d6cb9f751180</t>
  </si>
  <si>
    <t>ObservePoint Audit of Pru.com</t>
  </si>
  <si>
    <t>Rescheduling due to conflicts.
Hi All,
We will review ObservePoint audit of 10K master list of Pru.com URLs with broader team to identify any issues with missing/unnecessary tags, OneTrust cookie banners, broken links like 404, site load speed, etc.
Thanks,
Steve
________________________________________________________________________________
Microsoft Teams Need help?&lt;https://aka.ms/JoinTeamsMeeting?omkt=en-US&gt;
Join the meeting now&lt;https://teams.microsoft.com/l/meetup-join/19%3am</t>
  </si>
  <si>
    <t>19ab6d82f4e2e9b8</t>
  </si>
  <si>
    <t>Lauren Tajar &lt;lauren.tajar@prudential.com&gt;, Baijnath Gupta &lt;baijnath.gupta@prudential.com&gt;, Chirag Patel &lt;chirag1.patel@prudential.com&gt;, Eileen Cuevas &lt;eileen.cuevas@prudential.com&gt;, Jenny Castri &lt;jennifer.castri@prudential.com&gt;, Mike Vance &lt;michael.vance@prudential.com&gt;, Paula McNerney &lt;paula.mcnerney@prudential.com&gt;, Swati Nehra &lt;swati.nehra@prudential.com&gt;, Priyank Goswami &lt;priyank.goswami@prudential.com&gt;, Raghunath Munugala &lt;raghunath.munugala@prudential.com&gt;, Rolando Rafanan &lt;rolando.rafanan@prudential.com&gt;, Sanjana Dodley &lt;sanjana.dodley@prudential.com&gt;, Sean Murray &lt;sean.murray@prudential.com&gt;, Radhakrishna Nagaraj &lt;radhakrishna.nagaraj@prudential.com&gt;, Narender Reddy Karka &lt;narender.reddy@prudential.com&gt;, Maximilian Stefani &lt;maximilian.stefani@prudential.com&gt;, Rathna Chinnappa &lt;rathna.chinnappa@prudential.com&gt;, Prabhu Biradar &lt;prabhugouda.biradar@prudential.com&gt;, John Davis &lt;john.davis@observepoint.com&gt;</t>
  </si>
  <si>
    <t>Re: ObservePoint Audit of Pru.com</t>
  </si>
  <si>
    <t>Hey Steve,
No worries at all. I saw the meeting was moved to December 4, and that
works perfectly for me.
Thanks,
Nic Suder
On Wed, Nov 19, 2025 at 11:42 AM Steve Choi &lt;steve.choi@prudential.com&gt;
wrote:
&gt; Rescheduling due to conflicts.
&gt;
&gt;
&gt;
&gt; Hi All,
&gt;
&gt;
&gt;
&gt; We will review ObservePoint audit of 10K master list of Pru.com URLs with
&gt; broader team to identify any issues with missing/unnecessary tags, OneTrust
&gt; cookie banners, broken links like 404, site load speed, etc</t>
  </si>
  <si>
    <t>19a9d0c27cd45c75</t>
  </si>
  <si>
    <t>Steve Choi &lt;steve.choi@prudential.com&gt;, John Davis &lt;john.davis@observepoint.com&gt;, Nic Suder &lt;nic.suder@observepoint.com&gt;</t>
  </si>
  <si>
    <t>Re: ObservePoint audit of PGIM URLs - Next Steps</t>
  </si>
  <si>
    <t>Hi Steve,
I am on PTO that week and have really limited availability next week due to
the holiday and many others rescheduling with me already so I am CCing my
colleagues Nic and John who should be able to help with this particular
discussion while I am out. Can you guys share your calendar?
On Wed, Nov 19, 2025 at 7:15 AM Steve Choi &lt;steve.choi@prudential.com&gt;
wrote:
&gt; Are you free 2:30-3:30pm ET/12:30-1:30pm MT on Wed 12/3?  I can reschedule
&gt; for this time.
&gt;
&gt;
&gt;
&gt; *Fr</t>
  </si>
  <si>
    <t>19a9d12a5eb462de</t>
  </si>
  <si>
    <t>Steve Choi &lt;steve.choi@prudential.com&gt;, John Davis &lt;john.davis@observepoint.com&gt;</t>
  </si>
  <si>
    <t>Hey Steve,
I am happy to sync up! Let me drop my calendar link below and you can find
a time that works with your schedule.
*Calendar Link:* https://observepoint.chilipiper.com/personal-page/nic-suder
&lt;https://us-3129.email-composer-webhooks.gong.io/email-tracking/clicked?email-info-token=eyJhbGciOiJIUzI1NiJ9.eyJjb21wYW55SWQiOiI4OTgyMjM2MTQxODc2Mjk3NzAiLCJkcmFmdElkIjoicjMzMDEwMTAyOTEwMjAwMTcwNDMiLCJsaW5rVXJsIjoiaHR0cHM6Ly9vYnNlcnZlcG9pbnQuY2hpbGlwaXBlci5jb20vcGVyc29uYWwtcGFnZS9uaWMtc3V</t>
  </si>
  <si>
    <t>19bb38aaf6c770fb</t>
  </si>
  <si>
    <t>Kendall Papera &lt;Kendall.Papera@setoyota.com&gt;</t>
  </si>
  <si>
    <t>Accepted: ObservePoint | SE Toyota - Sync</t>
  </si>
  <si>
    <t>This e-mail transmission contains information intended only for the use of the recipient(s) named above. Further, it contains information that may be privileged and confidential. If you are not the intended recipient, you are hereby notified that any dissemination, distribution, or copying of this message (including any attachments) is strictly prohibited. If you have received this e-mail in error, please notify the sender by reply e-mail and then delete this message from your mail system. Thank</t>
  </si>
  <si>
    <t>19bb35c2686ad289</t>
  </si>
  <si>
    <t>John Davis &lt;john.davis@observepoint.com&gt;, kendall.papera@setoyota.com</t>
  </si>
  <si>
    <t>observepoint.com, setoyota.com</t>
  </si>
  <si>
    <t>Updated invitation: SE Toyota | ObservePoint - Sync @ Thu Jan 15, 2026 11am - 11:30am (MST) (John Davis)</t>
  </si>
  <si>
    <t>This event has been updated
Changed: title, conferencing
SE Toyota | ObservePoint - Sync
Thursday Jan 15, 2026 ⋅ 11am – 11:30am
Mountain Time - Denver
Looking forward to connecting.
If you need to reschedule, please use the link:  
https://observepoint.chilipiper.com/reschedule/eea615f7-6f00-440a-8da7-e7ac03f930ac
Organizer
Macey Bell
macey.bell@observepoint.com
Guests
Macey Bell - organizer
John Davis
kendall.papera@setoyota.com
View all guest info  
https://calend</t>
  </si>
  <si>
    <t>19bb31bfcdeefaff</t>
  </si>
  <si>
    <t>Invitation: Meeting with Macey @ Thu Jan 15, 2026 11am - 11:30am (MST) (John Davis)</t>
  </si>
  <si>
    <t>Meeting with Macey
Thursday Jan 15, 2026 ⋅ 11am – 11:30am
Mountain Time - Denver
Join with Google Meet
https://meet.google.com/eod-bcgd-kyz?hs=224
Join by phone
(US) +1 929-277-5940
PIN: 430486880
More phone numbers
https://tel.meet/eod-bcgd-kyz?pin=4734309107681&amp;hs=0
Looking forward to connecting.
If you need to reschedule, please use the link:  
https://observepoint.chilipiper.com/reschedule/eea615f7-6f00-440a-8da7-e7ac03f930ac
Organizer
Macey Bell
macey.bell@ob</t>
  </si>
  <si>
    <t>19b99e1fa36d8f0f</t>
  </si>
  <si>
    <t>Kendall Papera &lt;kendall.papera@setoyota.com&gt;, John Davis &lt;john.davis@observepoint.com&gt;</t>
  </si>
  <si>
    <t>setoyota.com, observepoint.com</t>
  </si>
  <si>
    <t>New CSM Introductory Call</t>
  </si>
  <si>
    <t>Hey Kendall!
There have been some changes in the new year and SE Toyota will have a new
main point of contact, John Davis, moving forward. I am staying with
ObservePoint and here to help answer questions or provide context from past
projects or topics we have discussed but John is officially your CSM and
he's awesome- you'll love working with him!
I was going to wait until our next regularly scheduled call to make the
introduction but realized I am planning to be OOO that day and it's</t>
  </si>
  <si>
    <t>19bb31cede676844</t>
  </si>
  <si>
    <t>Re: New CSM Introductory Call</t>
  </si>
  <si>
    <t xml:space="preserve">Hi Macey,
Thanks for the introduction. It's nice to meet you, John!
Just schedule a call on 1/15 at 11am MST.
See you then!
Kendall Papera
Explore Product Owner
250 Jim Moran Blvd&lt;https://maps.google.com/?q=100+Jim+Moran+Blvd+Deerfield+Beach,+FL+33442&amp;entry=gmail&amp;source=g&gt;
Deerfield Beach, FL 33442&lt;https://maps.google.com/?q=100+Jim+Moran+Blvd+Deerfield+Beach,+FL+33442&amp;entry=gmail&amp;source=g&gt;
c: 954-821-9389
[Southeast Toyota]&lt;https://exploretoyota.com/&gt;
P  Please consider the </t>
  </si>
  <si>
    <t>19b9501626934b32</t>
  </si>
  <si>
    <t>l.montoya.rodriguez@accenture.com</t>
  </si>
  <si>
    <t xml:space="preserve"> Email Template 
See how your auditing and governance efforts paid off in 2025. 
 ‌ ‌ ‌ ‌ ‌ ‌ ‌ ‌ ‌ ‌ ‌ ‌ ‌ ‌ ‌ ‌ ‌ ‌ 
[image: ObservePoint Logo] 
[image: 2025 Year in Review] 
What Did Your Website Audits Reveal Last Year? 
1,414 
Unique Pages Scanned 
18 
Domains Scanned 
Biogen 
REPORT PERIOD 
Since Jan 1, 2025 
Top 10 Domains Unique Pages Scanned Last Scan 
www.abovems.com 
&lt;https://go.observepoint.com/dc/XTcQj4m3nrpdb2xVar7R7Fb_DryU29WL9hvouf3Fl-o=/NDQyLU1EUi0zNTkAAAGfM_nTrzUKZ8Lwc2A3sFcL</t>
  </si>
  <si>
    <t>19b95016142c8ca3</t>
  </si>
  <si>
    <t>dinika.rao@accenture.com</t>
  </si>
  <si>
    <t xml:space="preserve"> Email Template 
See how your auditing and governance efforts paid off in 2025. 
 ‌ ‌ ‌ ‌ ‌ ‌ ‌ ‌ ‌ ‌ ‌ ‌ ‌ ‌ ‌ ‌ ‌ ‌ 
[image: ObservePoint Logo] 
[image: 2025 Year in Review] 
What Did Your Website Audits Reveal Last Year? 
6,076 
Unique Pages Scanned 
1,530 
Domains Scanned 
Export Development Canada 
REPORT PERIOD 
Since Jan 1, 2025 
Top 10 Domains Unique Pages Scanned Last Scan 
www.edc.ca 
&lt;https://go.observepoint.com/dc/_atW0lElWHqiSFp44Ss7OXowBrUdnx8pKh9OzNP0Cq4=/NDQyLU1EUi0zNTkAAAGfM_n</t>
  </si>
  <si>
    <t>19b950159df8f3ee</t>
  </si>
  <si>
    <t>kendall.papera@setoyota.com</t>
  </si>
  <si>
    <t xml:space="preserve"> Email Template 
See how your auditing and governance efforts paid off in 2025. 
 ‌ ‌ ‌ ‌ ‌ ‌ ‌ ‌ ‌ ‌ ‌ ‌ ‌ ‌ ‌ ‌ ‌ ‌ 
[image: ObservePoint Logo] 
[image: 2025 Year in Review] 
What Did Your Website Audits Reveal Last Year? 
6,761 
Unique Pages Scanned 
155 
Domains Scanned 
Southeast Toyota Distributors / JM Family 
REPORT PERIOD 
Since Jan 1, 2025 
Top 10 Domains Unique Pages Scanned Last Scan 
exploresetoyota.com 
&lt;https://go.observepoint.com/dc/lN-zfGSG2aNpcW5Ou7jBssg2lDtx3q-_c-xgMqvbbi3Y5</t>
  </si>
  <si>
    <t>19b9501579ebe2f7</t>
  </si>
  <si>
    <t>jose.carrillo@accenture.com</t>
  </si>
  <si>
    <t xml:space="preserve"> Email Template 
See how your auditing and governance efforts paid off in 2025. 
 ‌ ‌ ‌ ‌ ‌ ‌ ‌ ‌ ‌ ‌ ‌ ‌ ‌ ‌ ‌ ‌ ‌ ‌ 
[image: ObservePoint Logo] 
[image: 2025 Year in Review] 
What Did Your Website Audits Reveal Last Year? 
1,414 
Unique Pages Scanned 
18 
Domains Scanned 
Biogen 
REPORT PERIOD 
Since Jan 1, 2025 
Top 10 Domains Unique Pages Scanned Last Scan 
www.abovems.com 
&lt;https://go.observepoint.com/dc/XTcQj4m3nrpdb2xVar7R7Fb_DryU29WL9hvouf3Fl-o=/NDQyLU1EUi0zNTkAAAGfM_nNPjnBm7SfYZ91n1lu</t>
  </si>
  <si>
    <t>19b95015636d7ec3</t>
  </si>
  <si>
    <t>marco.prado@accenture.com</t>
  </si>
  <si>
    <t xml:space="preserve"> Email Template 
See how your auditing and governance efforts paid off in 2025. 
 ‌ ‌ ‌ ‌ ‌ ‌ ‌ ‌ ‌ ‌ ‌ ‌ ‌ ‌ ‌ ‌ ‌ ‌ 
[image: ObservePoint Logo] 
[image: 2025 Year in Review] 
What Did Your Website Audits Reveal Last Year? 
1,414 
Unique Pages Scanned 
18 
Domains Scanned 
Biogen 
REPORT PERIOD 
Since Jan 1, 2025 
Top 10 Domains Unique Pages Scanned Last Scan 
www.abovems.com 
&lt;https://go.observepoint.com/dc/XTcQj4m3nrpdb2xVar7R7Fb_DryU29WL9hvouf3Fl-o=/NDQyLU1EUi0zNTkAAAGfM_nPJ0ozfEYmolCke6Qh</t>
  </si>
  <si>
    <t>19b95014e4a31f3f</t>
  </si>
  <si>
    <t>vpradeep@athenahealth.com</t>
  </si>
  <si>
    <t xml:space="preserve"> Email Template 
See how your auditing and governance efforts paid off in 2025. 
 ‌ ‌ ‌ ‌ ‌ ‌ ‌ ‌ ‌ ‌ ‌ ‌ ‌ ‌ ‌ ‌ ‌ ‌ 
[image: ObservePoint Logo] 
[image: 2025 Year in Review] 
What Did Your Website Audits Reveal Last Year? 
2,000 
Unique Pages Scanned 
12 
Domains Scanned 
Athena Health 
REPORT PERIOD 
Since Jan 1, 2025 
Top 10 Domains Unique Pages Scanned Last Scan 
www.athenahealth.com 
&lt;https://go.observepoint.com/dc/gJVP8Rk9nfWRUx6MKKoGb-y2gSzyb0B2UDjrI7G4d_g=/NDQyLU1EUi0zNTkAAAGfM_nOqGlw</t>
  </si>
  <si>
    <t>19b95014c1a3e7b9</t>
  </si>
  <si>
    <t>jsebastian@athenahealth.com</t>
  </si>
  <si>
    <t xml:space="preserve"> Email Template 
See how your auditing and governance efforts paid off in 2025. 
 ‌ ‌ ‌ ‌ ‌ ‌ ‌ ‌ ‌ ‌ ‌ ‌ ‌ ‌ ‌ ‌ ‌ ‌ 
[image: ObservePoint Logo] 
[image: 2025 Year in Review] 
What Did Your Website Audits Reveal Last Year? 
2,000 
Unique Pages Scanned 
12 
Domains Scanned 
Athena Health 
REPORT PERIOD 
Since Jan 1, 2025 
Top 10 Domains Unique Pages Scanned Last Scan 
www.athenahealth.com 
&lt;https://go.observepoint.com/dc/gJVP8Rk9nfWRUx6MKKoGb-y2gSzyb0B2UDjrI7G4d_g=/NDQyLU1EUi0zNTkAAAGfM_nMu45P</t>
  </si>
  <si>
    <t>19b95014a433e296</t>
  </si>
  <si>
    <t>jpradeep@athenahealth.com</t>
  </si>
  <si>
    <t xml:space="preserve"> Email Template 
See how your auditing and governance efforts paid off in 2025. 
 ‌ ‌ ‌ ‌ ‌ ‌ ‌ ‌ ‌ ‌ ‌ ‌ ‌ ‌ ‌ ‌ ‌ ‌ 
[image: ObservePoint Logo] 
[image: 2025 Year in Review] 
What Did Your Website Audits Reveal Last Year? 
2,000 
Unique Pages Scanned 
12 
Domains Scanned 
Athena Health 
REPORT PERIOD 
Since Jan 1, 2025 
Top 10 Domains Unique Pages Scanned Last Scan 
www.athenahealth.com 
&lt;https://go.observepoint.com/dc/gJVP8Rk9nfWRUx6MKKoGb-y2gSzyb0B2UDjrI7G4d_g=/NDQyLU1EUi0zNTkAAAGfM_nNSdhQ</t>
  </si>
  <si>
    <t>19b9501453a767d0</t>
  </si>
  <si>
    <t>bgoldsworth@athenahealth.com</t>
  </si>
  <si>
    <t xml:space="preserve"> Email Template 
See how your auditing and governance efforts paid off in 2025. 
 ‌ ‌ ‌ ‌ ‌ ‌ ‌ ‌ ‌ ‌ ‌ ‌ ‌ ‌ ‌ ‌ ‌ ‌ 
[image: ObservePoint Logo] 
[image: 2025 Year in Review] 
What Did Your Website Audits Reveal Last Year? 
2,000 
Unique Pages Scanned 
12 
Domains Scanned 
Athena Health 
REPORT PERIOD 
Since Jan 1, 2025 
Top 10 Domains Unique Pages Scanned Last Scan 
www.athenahealth.com 
&lt;https://go.observepoint.com/dc/gJVP8Rk9nfWRUx6MKKoGb-y2gSzyb0B2UDjrI7G4d_g=/NDQyLU1EUi0zNTkAAAGfM_nL11FR</t>
  </si>
  <si>
    <t>19b950140dd874b6</t>
  </si>
  <si>
    <t>cbarbin@athenahealth.com</t>
  </si>
  <si>
    <t xml:space="preserve"> Email Template 
See how your auditing and governance efforts paid off in 2025. 
 ‌ ‌ ‌ ‌ ‌ ‌ ‌ ‌ ‌ ‌ ‌ ‌ ‌ ‌ ‌ ‌ ‌ ‌ 
[image: ObservePoint Logo] 
[image: 2025 Year in Review] 
What Did Your Website Audits Reveal Last Year? 
2,000 
Unique Pages Scanned 
12 
Domains Scanned 
Athena Health 
REPORT PERIOD 
Since Jan 1, 2025 
Top 10 Domains Unique Pages Scanned Last Scan 
www.athenahealth.com 
&lt;https://go.observepoint.com/dc/gJVP8Rk9nfWRUx6MKKoGb-y2gSzyb0B2UDjrI7G4d_g=/NDQyLU1EUi0zNTkAAAGfM_nMbsyP</t>
  </si>
  <si>
    <t>19b9501232885295</t>
  </si>
  <si>
    <t>santosh.venuturupalli@mediacorp.com.sg</t>
  </si>
  <si>
    <t xml:space="preserve"> Email Template 
See how your auditing and governance efforts paid off in 2025. 
 ‌ ‌ ‌ ‌ ‌ ‌ ‌ ‌ ‌ ‌ ‌ ‌ ‌ ‌ ‌ ‌ ‌ ‌ 
[image: ObservePoint Logo] 
[image: 2025 Year in Review] 
What Did Your Website Audits Reveal Last Year? 
30,579 
Unique Pages Scanned 
14 
Domains Scanned 
MediaCorp 
REPORT PERIOD 
Since Jan 1, 2025 
Top 10 Domains Unique Pages Scanned Last Scan 
www.8world.com 
&lt;https://go.observepoint.com/dc/8ccZGCKSp0Gi3VBF_GIoquklq4rPutfnXHeQWpwqG7U=/NDQyLU1EUi0zNTkAAAGfM_nD9Gd6ypnBwr8jb</t>
  </si>
  <si>
    <t>19b41f7a7ccdae8c</t>
  </si>
  <si>
    <t>"Rao, Dinika" &lt;dinika.rao@accenture.com&gt;</t>
  </si>
  <si>
    <t>Automatic reply: [External] Your 2025 ObservePoint Year in Review is here</t>
  </si>
  <si>
    <t>Hi,
Thank you for your email. I am OOO for the holidays and will return on 5th Jan'2026. Please note I have no access to my laptop. For any analytics emergency please send me an email on dinika.rao@accenture.com and will respond as soon as I can.
Happy Holidays!
Best,
Dinika Rao
________________________________
This message is for the designated recipient only and may contain privileged, proprietary, or otherwise confidential information. If you have received it in error, pleas</t>
  </si>
  <si>
    <t>19b38369959321cf</t>
  </si>
  <si>
    <t>"Lavoie, Kev" &lt;kev.lavoie@accenture.com&gt;</t>
  </si>
  <si>
    <t>Accepted: ObservePoint | EDC Sync</t>
  </si>
  <si>
    <t xml:space="preserve">
________________________________
This message is for the designated recipient only and may contain privileged, proprietary, or otherwise confidential information. If you have received it in error, please notify the sender immediately and delete the original. Any other use of the e-mail by you is prohibited. Where allowed by local law, electronic communications with Accenture and its affiliates, including e-mail and instant messaging (including content), may be scanned by our systems for t</t>
  </si>
  <si>
    <t>19b236256b4d1afa</t>
  </si>
  <si>
    <t>kev.lavoie@accenture.com, macey.bell@observepoint.com, support@observepoint.com, john.davis@observepoint.com</t>
  </si>
  <si>
    <t>accenture.com, observepoint.com</t>
  </si>
  <si>
    <t>19b2362f87c8c65c</t>
  </si>
  <si>
    <t>dinika.rao@accenture.com, kev.lavoie@accenture.com, john.davis@observepoint.com</t>
  </si>
  <si>
    <t>Re: Our meeting in an hour</t>
  </si>
  <si>
    <t xml:space="preserve"> 
#59495096: Our meeting in an hour 
Submitted 
We'll pick up your ticket soon 
Hi, Looking forward to speaking to you in a short while. Best, 
*ObservePoint AI*
ObservePoint
[image: intercom] </t>
  </si>
  <si>
    <t>19b0e36f1f1beefb</t>
  </si>
  <si>
    <t>john.davis@observepoint.com, kev.lavoie@accenture.com, dinika.rao@accenture.com</t>
  </si>
  <si>
    <t>observepoint.com, accenture.com</t>
  </si>
  <si>
    <t>Re: Updated invitation with note: ObservePoint | EDC - Sync @ Mon Dec 15, 2025 1pm - 1:30pm (MST) (support@observepoint.com)</t>
  </si>
  <si>
    <t xml:space="preserve"> 
#58281348: Updated invitation with note: ObservePoint | EDC - Sync @ Mon 
Dec 15, 2025 1pm - 1:30pm (MST) (support@observepoint.com) 
Submitted 
We'll pick up your ticket soon 
ObservePoint | EDC - Sync Looking forward to connecting. If you need to 
reschedule, please use the link: 
https://observepoint.chilipiper.com/reschedule/7141ba14-7a60-4b52-8c34-07fc0ffb2b86This 
event has been updated with a note:
"Adding my zoom link"Changed: title, conferencingJoin Zoom Meeting 
&lt;https://observepoin</t>
  </si>
  <si>
    <t>19b0e368c7d54ba7</t>
  </si>
  <si>
    <t>John Davis &lt;john.davis@observepoint.com&gt;, kev.lavoie@accenture.com, support@observepoint.com, dinika.rao@accenture.com</t>
  </si>
  <si>
    <t>Updated invitation with note: ObservePoint | EDC - Sync @ Mon Dec 15, 2025 1pm - 1:30pm (MST) (John Davis)</t>
  </si>
  <si>
    <t>This event has been updated with a note:
"Adding my zoom link"
Changed: title, conferencing
ObservePoint | EDC - Sync
Monday Dec 15, 2025 ⋅ 1pm – 1:30pm
Mountain Time - Denver
Join Zoom Meeting
https://observepoint.zoom.us/j/3742631971?pwd=Z2JhWG1yV1ZtOVBnMVZaRDR0bjVDZz09&amp;omn=99517839524&amp;jst=2
Join by phone
(US) +1 888-788-0099
passcode: 318688
Joining instructions
https://www.google.com/url?q=https://applications.zoom.us/addon/invitation/detail?meetingUuid%3DiJSnKhMcQh</t>
  </si>
  <si>
    <t>19b0e34ad27981be</t>
  </si>
  <si>
    <t>Re: Invitation: Meeting with Macey @ Mon Dec 15, 2025 1pm - 1:30pm (MST) (support@observepoint.com)</t>
  </si>
  <si>
    <t xml:space="preserve"> 
#58280639: Invitation: Meeting with Macey @ Mon Dec 15, 2025 1pm - 1:30pm 
(MST) (support@observepoint.com) 
Submitted 
We'll pick up your ticket soon 
Meeting with Macey Join with Google Meet – Looking forward to connecting. 
If you need to reschedule, please use the link: 
https://observepoint.chilipiper.com/reschedule/7141ba14-7a60-4b52-8c34-07fc0ffb2b86 
&lt;https://meet.google.com/npr-hwnu-fjv?hs=224&gt; Join with Google Meet Looking 
forward to connecting.
If you need to reschedule, please us</t>
  </si>
  <si>
    <t>19b0e32466648a1f</t>
  </si>
  <si>
    <t>Meeting with Macey
Monday Dec 15, 2025 ⋅ 1pm – 1:30pm
Mountain Time - Denver
Join with Google Meet
https://meet.google.com/npr-hwnu-fjv?hs=224
Join by phone
(US) +1 620-712-2452
PIN: 312310366
More phone numbers
https://tel.meet/npr-hwnu-fjv?pin=1709452702093&amp;hs=0
Looking forward to connecting.
If you need to reschedule, please use the link:  
https://observepoint.chilipiper.com/reschedule/7141ba14-7a60-4b52-8c34-07fc0ffb2b86
Organizer
Macey Bell
macey.bell@observ</t>
  </si>
  <si>
    <t>19b0de53d86f266b</t>
  </si>
  <si>
    <t>"Rao, Dinika" &lt;dinika.rao@accenture.com&gt;, John Davis &lt;john.davis@observepoint.com&gt;</t>
  </si>
  <si>
    <t>"support@observepoint.com" &lt;support@observepoint.com&gt;, "Lavoie, Kev" &lt;kev.lavoie@accenture.com&gt;</t>
  </si>
  <si>
    <t>Re: Set up Observepoint audit scan to identify broken external links</t>
  </si>
  <si>
    <t>Let's sync to review, as there is actually a lot we can do here.
Do any of the following times work to connect?
Meeting length: 30 Minutes
Time Zone: (GMT-7) MST/Phoenix
Thu Dec 11 Mon Dec 15 Tue Dec 16 Wed Dec 17 Thu Dec 18 Fri Dec 19
 3:00  PM
&lt;https://us-3129.email-composer-webhooks.gong.io/email-tracking/clicked?email-info-token=eyJhbGciOiJIUzI1NiJ9.eyJjb21wYW55SWQiOiI4OTgyMjM2MTQxODc2Mjk3NzAiLCJkcmFmdElkIjoici01NTcxNjQ1Njk3MjIyMzQ1OTQ4IiwibGlua1VybCI6Imh0dHBzOi8vb2JzZXJ2ZXBvaW50Lm</t>
  </si>
  <si>
    <t>19b23cbf9e02b179</t>
  </si>
  <si>
    <t>Macey Bell &lt;macey.bell@observepoint.com&gt;, "john.davis@observepoint.com" &lt;john.davis@observepoint.com&gt;</t>
  </si>
  <si>
    <t>RE: Set up Observepoint audit scan to identify broken external links</t>
  </si>
  <si>
    <t>Hi Macey and John,
Thank you so much for the call today. It was insightful!
The reports feature is pretty cool, thanks @Macey Bell&lt;mailto:macey.bell@observepoint.com&gt;, I learnt more about how we can drill down or group columns. And thank you for all the support that you have given all this while, very much appreciate it. It was a pleasure working with you.
@john.davis@observepoint.com&lt;mailto:john.davis@observepoint.com&gt; Looking forward to working with you and happy to connect early next</t>
  </si>
  <si>
    <t>19b31f999bc8be85</t>
  </si>
  <si>
    <t>Macey Bell &lt;macey.bell@observepoint.com&gt;, "Lavoie, Kev" &lt;kev.lavoie@accenture.com&gt;</t>
  </si>
  <si>
    <t>Hey Dinika and Kev,
I took a look at your javascript code on those audits to be able to find
external links on the page and then perform a request to check their status
code. Unfortunately this is not going to be possible as we are not going to
be able to get past the CORS issue with how that javascript is run on page
during our audits.
Don't worry though because I have another solution for you:
   1. First I gathered all the external links from your audit "Marketing
   Pixels - Al</t>
  </si>
  <si>
    <t>19b320fb51577a94</t>
  </si>
  <si>
    <t>RE: [External] Re: Set up Observepoint audit scan to identify broken external links</t>
  </si>
  <si>
    <t>Hi John,
Thank you for looking into this. It is very helpful and pretty good for now.
Would you be able to share an offline copy of the google sheet please? For some reason I am unable to access it.
Regarding automating this process, it’s a good workaround until we have the new feature, we can chat about it early next year sometime in January.
Happy Holidays! 😊
Thanks and Regards,
[image008.png]
Dinika Srinivas Rao
Data Architecture Specialist
Toronto Corp 40 King St W, C</t>
  </si>
  <si>
    <t>19b321a268b767b4</t>
  </si>
  <si>
    <t>Re: [External] Re: Set up Observepoint audit scan to identify broken external links</t>
  </si>
  <si>
    <t>Hey Dinika,
Sorry for the access troubles, not sure what's the issue, but maybe it will
work now if you refresh?
Also attached is a csv version of the same list just in case.
I will just go ahead and set up the automation while I have some time over
the next few weeks.
Here are some available times to setup our next sync in January, feel free
to grab one of them that works for you and your team:
Meeting length: 30 Minutes
Time Zone: (GMT-7) MST/Denver
Mon Jan 12 Tue Jan 13 We</t>
  </si>
  <si>
    <t>19b324ce3b786657</t>
  </si>
  <si>
    <t>Thanks for the csv file!
Sure, we can go through the setup when we chat in January.
Best,
Dinika Rao
From: John Davis &lt;john.davis@observepoint.com&gt;
Sent: Thursday, December 18, 2025 10:36 AM
To: Rao, Dinika &lt;dinika.rao@accenture.com&gt;
Cc: Macey Bell &lt;macey.bell@observepoint.com&gt;; Lavoie, Kev &lt;kev.lavoie@accenture.com&gt;
Subject: Re: [External] Re: Set up Observepoint audit scan to identify broken external links
Hey Dinika,
Sorry for the access troubles, not sure what's the issue</t>
  </si>
  <si>
    <t>19adb0ddd4bdb654</t>
  </si>
  <si>
    <t>John Davis &lt;john.davis@observepoint.com&gt;, Jyothish Sebastian &lt;jsebastian@athenahealth.com&gt;, Madeline Korber &lt;mkorber@athenahealth.com&gt;, Pradeep Kumar Venugopal &lt;vpradeep@athenahealth.com&gt;</t>
  </si>
  <si>
    <t>observepoint.com, athenahealth.com</t>
  </si>
  <si>
    <t>Hi all,
As promised, I wanted to make a formal introduction to your Customer
Success Manager, John Davis, as we have concluded onboarding. I've added @John
Davis
&lt;https://us-3129.email-composer-webhooks.gong.io/email-tracking/clicked?email-info-token=eyJhbGciOiJIUzI1NiJ9.eyJjb21wYW55SWQiOiI4OTgyMjM2MTQxODc2Mjk3NzAiLCJkcmFmdElkIjoicjEyMjA4NDY2MjE2MzgyNjE5MjQiLCJsaW5rVXJsIjoibWFpbHRvOmpvaG4uZGF2aXNAb2JzZXJ2ZXBvaW50LmNvbSIsImxpbmtUZXh0IjoiQEpvaG4gRGF2aXMiLCJ0ZW1wbGF0ZUlkIjoiIiwiZXhwIjoxNzY2ND</t>
  </si>
  <si>
    <t>19ae150485371dbc</t>
  </si>
  <si>
    <t>Jyothish Sebastian &lt;jsebastian@athenahealth.com&gt;, Madeline Korber &lt;mkorber@athenahealth.com&gt;, Pradeep Kumar Venugopal &lt;vpradeep@athenahealth.com&gt;</t>
  </si>
  <si>
    <t>Re: ObservePoint CSM Introduction</t>
  </si>
  <si>
    <t xml:space="preserve">Thank you for the introduction, Chris.
It's great to meet you all. I'm taking over as your Customer Success
Manager and am here to make this transition as smooth as possible.
I would love to learn more about your goals for your audits next year and
discuss how we can partner with you to meet and exceed those goals.
In terms of setting up a recurring meeting, I would love to schedule a
quick 30 min monthly sync up and then tailor the meetings/schedule to your
needs.
Use this link </t>
  </si>
  <si>
    <t>19abbba06dc66096</t>
  </si>
  <si>
    <t>John Davis &lt;john.davis@observepoint.com&gt;, Macey Bell &lt;macey.bell@observepoint.com&gt;, jsebastian@athenahealth.com, vpradeep@athenahealth.com</t>
  </si>
  <si>
    <t>Invitation: ObservePoint &amp; Athena Health || Business Review &amp; CSM Han... @ Tue Nov 25, 2025 9am - 9:50am (MST) (John Davis)</t>
  </si>
  <si>
    <t>ObservePoint &amp; Athena Health || Business Review &amp; CSM Handoff
Tuesday Nov 25, 2025 ⋅ 9am – 9:50am
Mountain Time - Denver
Location
https://observepoint.zoom.us/j/92849939183	
https://www.google.com/url?q=https%3A%2F%2Fobservepoint.zoom.us%2Fj%2F92849939183&amp;sa=D&amp;source=calendar&amp;ust=1764518100000000&amp;usg=AOvVaw1qbTaCUV7zH0-EzXfFtZKh
Looking forward to connecting.
If you need to reschedule, please use the link:  
https://observepoint.chilipiper.com/reschedule/af53c46b-8ce5-4e2d-962c-d</t>
  </si>
  <si>
    <t>19bb448f0f22fd89</t>
  </si>
  <si>
    <t>No worries, here is a list of slots for next week in *Mountain Time*:
Meeting length: 30 Minutes
Time Zone: (GMT-7) MST/Denver
Mon Jan 19 Tue Jan 20 Wed Jan 21 Thu Jan 22 Fri Jan 23
 10:00  AM
&lt;https://observepoint.chilipiper.com/suggested-times/784dfbfb-116a-4388-b6b2-f8e8b52c4b9e?slotStartsAt=2026-01-19T17:00:00.000Z&gt;
 10:00  AM
&lt;https://observepoint.chilipiper.com/suggested-times/784dfbfb-116a-4388-b6b2-f8e8b52c4b9e?slotStartsAt=2026-01-20T17:00:00.000Z&gt;
 10:00  AM
&lt;https://observe</t>
  </si>
  <si>
    <t>19bb47953557c84d</t>
  </si>
  <si>
    <t>Andy Compas &lt;andy.compas@observepoint.com&gt;, Mark Tozer &lt;mtozer@bluebeam.com&gt;</t>
  </si>
  <si>
    <t>Example of EBR</t>
  </si>
  <si>
    <t xml:space="preserve">Hi all,
Please see an example of EBR from another vendor we have that demonstrates value to our executives in a helpful way. Granted this tool has a direct correlation to dollars/spend, I believe we could demonstrate ObservePoint's value in a similar way.
Didn't have Nic's email, but please pass along.
Thanks!
Nicole Burns (she/her/hers)
Director, Marketing Operations
Bluebeam, Inc.
+1 801 810 8094
Utah, US
www.bluebeam.com&lt;http://www.bluebeam.com/&gt;
</t>
  </si>
  <si>
    <t>19bb4092e46f6496</t>
  </si>
  <si>
    <t>Gavin Cameron &lt;gavin.cameron@zenfolioinc.com&gt;, Bill Petrin &lt;bill.petrin@zenfolioinc.com&gt;</t>
  </si>
  <si>
    <t>CSM Introduction</t>
  </si>
  <si>
    <t>Hi Gavin and Bill,
I wanted to introduce John Davis, your Customer Success Manager and primary
point of contact at ObservePoint. John is highly technical and
well-equipped to assist with any questions regarding your contract.
Additionally, I want to commend you on your account setup; everything is
exceptionally healthy and well-structured. We look forward to our continued
partnership.
-- 
Thanks,
Jarrod Wilbur *   |    *
*Manager, Solutions Consulting*
714-471-7277
jarr</t>
  </si>
  <si>
    <t>19bb43c6577bfc16</t>
  </si>
  <si>
    <t>Re: CSM Introduction</t>
  </si>
  <si>
    <t>Thanks Jarrod
Hey Gavin and Bill,
I agree with Jarrod, great job setting up your account! Let me know how I
can help you in 2026.
You can always schedule a meeting with me using this link:
Click here to find a time
&lt;https://us-3129.email-composer-webhooks.gong.io/email-tracking/clicked?email-info-token=eyJhbGciOiJIUzI1NiJ9.eyJjb21wYW55SWQiOiI4OTgyMjM2MTQxODc2Mjk3NzAiLCJkcmFmdElkIjoici02MDk2MzQ1MTQ1ODA2NTc2NjMiLCJsaW5rVXJsIjoiaHR0cHM6Ly9vYnNlcnZlcG9pbnQuY2hpbGlwaXBlci5jb20vbWUvam9obi1</t>
  </si>
  <si>
    <t>19bb7f6a19213ea4</t>
  </si>
  <si>
    <t xml:space="preserve"> 
#66284702: RE: Latest ObservePoint audit reports for Prudential.com &amp; PGIM 
Resolved 
We've completed your ticket 
Hi John, I have conflict at 4:30 ET today, 1/12. Can you provide some 
availability for this Thursday or Friday? Thanks, Steve *From:* John Davis 
&lt;john.davis@observepoint.com&gt; 
*Sent:* Wednesday, January 7, 2026 9:54 PM
*To:* Steve Choi &lt;steve.choi@prudential.com&gt;
*Cc:* Macey Bell &lt;macey.bell@observepoint.com&gt;; 
dylan.sellers@observepoint.com; ObservePoint AI from ObservePoint 
</t>
  </si>
  <si>
    <t>19bb80826c97f4ab</t>
  </si>
  <si>
    <t>"Payano, Gabriela" &lt;Gabriela.Payano@lumen.com&gt;</t>
  </si>
  <si>
    <t>19bb801aeaed316e</t>
  </si>
  <si>
    <t>John Davis &lt;john.davis@observepoint.com&gt;, Daniel Ayub &lt;daniel.ayub@mongodb.com&gt;</t>
  </si>
  <si>
    <t>Hey Dallin,
Thanks, but we need a quote to submit.
Also... I just heard we might be interested in increasing our spend to
~18k/yr (focused on audits/pages). Can that be sent over and we will submit
the request on this end?
On Mon, Jan 12, 2026 at 4:02 PM Dallin Madsen &lt;
dallin.madsen@observepoint.com&gt; wrote:
&gt; Hey Arthur!
&gt;
&gt; I'm having my legal team take a quick look at this. It looks to me from
&gt; the master service agreement that we can consider the contract renewed on
&gt; the s</t>
  </si>
  <si>
    <t>19bb7ffafafdd1a5</t>
  </si>
  <si>
    <t>Tentatively Accepted: ObservePoint | MongoDB Inc. Sync @ Thu Jan 22, 2026 11am - 11:30am (MST) (john.davis@observepoint.com)</t>
  </si>
  <si>
    <t>Arthur Engelhard has replied "Maybe" to this invitation.
ObservePoint | MongoDB Inc. Sync
Thursday Jan 22, 2026 ⋅ 11am – 11:30am
Mountain Time - Denver
Join Zoom Meeting
https://observepoint.zoom.us/j/3628593272?pwd=OfxX2kwpsuA5labBaZXephHbiAXlz9.1&amp;omn=98009995100&amp;jst=2
Join by phone
(US) +1 877-853-5247
passcode: 183089
Joining instructions
https://www.google.com/url?q=https://applications.zoom.us/addon/invitation/detail?meetingUuid%3DIjgz%252BmaXRIy0uS2hEZ0Jpw%253D%253D%2</t>
  </si>
  <si>
    <t>19bb7fffd339c0d0</t>
  </si>
  <si>
    <t>"venkata.mallepudi@agilent.com" &lt;venkata.mallepudi@agilent.com&gt;</t>
  </si>
  <si>
    <t>FW: Status update</t>
  </si>
  <si>
    <t>Hi John,
I hope you're having a great day! I wanted to let you know that I have made changes a Google spreadsheet that outlines the steps for our ecommerce web journey. This document will provide a clear roadmap to ensure we stay on track and make informed decisions along the way. Below is the link to the spread sheet for reference.
https://docs.google.com/spreadsheets/d/1eDoWLRJg-FBSKB6C_MpkAnj7a8h2QZzgkqwz9reG780/edit?pli=1&amp;gid=926285656#gid=926285656
In addition, I would like to mentio</t>
  </si>
  <si>
    <t>19bb86b636c787a7</t>
  </si>
  <si>
    <t>Michaleen Craig &lt;michaleen.craig@mongodb.com&gt;</t>
  </si>
  <si>
    <t>Accepted: ObservePoint | MongoDB Inc. Sync @ Thu Jan 22, 2026 11am - 11:30am (MST) (john.davis@observepoint.com)</t>
  </si>
  <si>
    <t>Michaleen Craig has accepted this invitation.
ObservePoint | MongoDB Inc. Sync
Thursday Jan 22, 2026 ⋅ 11am – 11:30am
Mountain Time - Denver
Join Zoom Meeting
https://observepoint.zoom.us/j/3628593272?pwd=OfxX2kwpsuA5labBaZXephHbiAXlz9.1&amp;omn=98009995100&amp;jst=2
Join by phone
(US) +1 877-853-5247
passcode: 183089
Joining instructions
https://www.google.com/url?q=https://applications.zoom.us/addon/invitation/detail?meetingUuid%3DIjgz%252BmaXRIy0uS2hEZ0Jpw%253D%253D%26signature%</t>
  </si>
  <si>
    <t>19bb885efa3a39f7</t>
  </si>
  <si>
    <t>Sounds good! We'll plan on that then!
Here is your service order attached
Dallin Madsen *   |    * *Enterprise Account Executive*
801.850.3709
dallin.madsen@observepoint.com
Schedule a Meeting With Me!
&lt;https://us-3129.email-composer-webhooks.gong.io/email-tracking/clicked?email-info-token=eyJhbGciOiJIUzI1NiJ9.eyJjb21wYW55SWQiOiI4OTgyMjM2MTQxODc2Mjk3NzAiLCJkcmFmdElkIjoici04NTIyMTkxMTk1OTczODg1OTAiLCJsaW5rVXJsIjoiaHR0cHM6Ly9vYnNlcnZlcG9pbnQuY2hpbGlwaXBlci5jb20vbWUvZGFsbGluLW1hZHNlbi9t</t>
  </si>
  <si>
    <t>19bb8c8eef1aabad</t>
  </si>
  <si>
    <t>Clarke Anderson &lt;clarke.anderson@observepoint.com&gt;, John Davis &lt;john.davis@observepoint.com&gt;</t>
  </si>
  <si>
    <t>RE: [EXTERNAL] New data retention policy -- ObservePoint</t>
  </si>
  <si>
    <t>Hi Clarke,
We just had a call with John Davis where her mentioned this. He is working on pricing so we can review before our contract renewal at the end of March.
Thanks,
Tamara
Tamara Saban
Marketing Operations Manager | Ross Stores, Inc.
[A picture containing text, font, logo, graphics  Description automatically generated]
From: Clarke Anderson &lt;clarke.anderson@observepoint.com&gt;
Sent: Tuesday, January 13, 2026 11:06 AM
To: Tamara Saban (MARKETING) &lt;tamara.saban@ros.com&gt;
Cc: F</t>
  </si>
  <si>
    <t>19bb8d5cf978a49c</t>
  </si>
  <si>
    <t>@Daniel Ayub &lt;daniel.ayub@mongodb.com&gt; ,
Does billing contact on this need to be you or JB or a group inbox for
procurement?
On Tue, Jan 13, 2026 at 1:02 PM Dallin Madsen &lt;
dallin.madsen@observepoint.com&gt; wrote:
&gt; Sounds good! We'll plan on that then!
&gt;
&gt; Here is your service order attached
&gt;
&gt; Dallin Madsen *   |    * *Enterprise Account Executive*
&gt;
&gt; 801.850.3709
&gt; dallin.madsen@observepoint.com
&gt; Schedule a Meeting With Me!
&gt; &lt;https://us-3129.email-composer-webhooks.gong.</t>
  </si>
  <si>
    <t>19bb8d72a97ba783</t>
  </si>
  <si>
    <t>John Davis &lt;john.davis@observepoint.com&gt;, ObservePoint AI from ObservePoint &lt;support@observepoint.com&gt;</t>
  </si>
  <si>
    <t>"macey.bell@observepoint.com" &lt;macey.bell@observepoint.com&gt;, "dylan.sellers@observepoint.com" &lt;dylan.sellers@observepoint.com&gt;</t>
  </si>
  <si>
    <t>RE: RE: Latest ObservePoint audit reports for Prudential.com &amp; PGIM</t>
  </si>
  <si>
    <t>Hi John,
Do you know who scheduled this weekly scan?  I didn’t schedule it.  Can you help stop it immediately?  We are wasting pages for audit here.  Thanks.
[cid:image001.png@01DC8499.3AEDADB0]
From: John Davis &lt;john.davis@observepoint.com&gt;
Sent: Monday, January 12, 2026 12:03 PM
To: ObservePoint AI from ObservePoint &lt;support@observepoint.com&gt;
Cc: Steve Choi &lt;steve.choi@prudential.com&gt;; macey.bell@observepoint.com; dylan.sellers@observepoint.com
Subject: Re: RE: Latest ObservePoi</t>
  </si>
  <si>
    <t>19bb8dea8befd711</t>
  </si>
  <si>
    <t>Cancel all scheduled ObservePoint audits &amp; Schedule Tier 1, 2, 3 audits</t>
  </si>
  <si>
    <t>Hi John,
Also can you ensure there are no more scheduled audits?
We are looking to come up pages for Tier 1 biweekly,  2 monthly, 3 quarterly scans and once the URL lists are finalized, we can schedule the audits accordingly.
Thanks,
Steve
From: Steve Choi &lt;steve.choi@prudential.com&gt;
Sent: Tuesday, January 13, 2026 2:31 PM
To: John Davis &lt;john.davis@observepoint.com&gt;; ObservePoint AI from ObservePoint &lt;support@observepoint.com&gt;
Cc: macey.bell@observepoint.com; dylan.sellers@obs</t>
  </si>
  <si>
    <t>19bb8eb3f5c03248</t>
  </si>
  <si>
    <t>Re: Cancel all scheduled ObservePoint audits &amp; Schedule Tier 1, 2, 3 audits</t>
  </si>
  <si>
    <t>Yes I went ahead and paused all scheduled audits on your account, including
that jobs scan.
I would love to catch up and chat, you mentioned in a past email that you
might have time this Thursday or Friday?
Here are some available slots in *Eastern Time*, feel free to grab one that
works for you:
Meeting length: 30 Minutes
Time Zone: (GMT-5) EST/New_York
Thu Jan 15 Fri Jan 16
 12:00  PM
&lt;https://us-3129.email-composer-webhooks.gong.io/email-tracking/clicked?email-info-token=eyJhb</t>
  </si>
  <si>
    <t>19bb904be724a897</t>
  </si>
  <si>
    <t>evar13 Journey</t>
  </si>
  <si>
    <t>Hey Phil,
When I manually test your search on your homepage, I am not seeing the
evar13 in the interact payload or the searchTerm in the DataLayer at all
right now, see screenshot below, is that expected?
[image: image.png]
*Regards, *
John Davis *   |    * *Customer Success Manager*
Cell: 801.633.6013
john.davis@observepoint.com
www.observepoint.com
&lt;https://us-3129.email-composer-webhooks.gong.io/email-tracking/clicked?email-info-token=eyJhbGciOiJIUzI1NiJ9.eyJjb21wYW55SWQiO</t>
  </si>
  <si>
    <t>19bb902db88598be</t>
  </si>
  <si>
    <t>19bb925d9c982500</t>
  </si>
  <si>
    <t>Dallin Madsen &lt;dallin.madsen@observepoint.com&gt;, John Davis &lt;john.davis@observepoint.com&gt;</t>
  </si>
  <si>
    <t>Billing can be ap@mongodb.com
On Tue, Jan 13, 2026 at 4:29 PM Arthur Engelhard &lt;
arthur.engelhard@mongodb.com&gt; wrote:
&gt; @Daniel Ayub &lt;daniel.ayub@mongodb.com&gt; ,
&gt;
&gt; Does billing contact on this need to be you or JB or a group inbox for
&gt; procurement?
&gt;
&gt; On Tue, Jan 13, 2026 at 1:02 PM Dallin Madsen &lt;
&gt; dallin.madsen@observepoint.com&gt; wrote:
&gt;
&gt;&gt; Sounds good! We'll plan on that then!
&gt;&gt;
&gt;&gt; Here is your service order attached
&gt;&gt;
&gt;&gt; Dallin Madsen *   |    * *Enterprise Account E</t>
  </si>
  <si>
    <t>19bb9273c29956ae</t>
  </si>
  <si>
    <t>Edit made and attached!
Dallin Madsen *   |    * *Enterprise Account Executive*
801.850.3709
dallin.madsen@observepoint.com
Schedule a Meeting With Me!
&lt;https://us-3129.email-composer-webhooks.gong.io/email-tracking/clicked?email-info-token=eyJhbGciOiJIUzI1NiJ9.eyJjb21wYW55SWQiOiI4OTgyMjM2MTQxODc2Mjk3NzAiLCJkcmFmdElkIjoici02Mzc0ODc4MjkyNTgxNTgzNDc3IiwibGlua1VybCI6Imh0dHBzOi8vb2JzZXJ2ZXBvaW50LmNoaWxpcGlwZXIuY29tL21lL2RhbGxpbi1tYWRzZW4vbWVldGluZy13aXRoLWRhbGxpbi1tYWRzZW4iLCJsaW5rVGV4dCI6I</t>
  </si>
  <si>
    <t>19bb95878481470b</t>
  </si>
  <si>
    <t>John Davis &lt;john.davis@observepoint.com&gt;, "Fe Valencia (MARKETING)" &lt;fe.valencia@ros.com&gt;</t>
  </si>
  <si>
    <t>Re: [EXTERNAL] New data retention policy -- ObservePoint</t>
  </si>
  <si>
    <t>Thanks for confirming, Tamara -- and I hear you about baking the updates
into the renewal in March.
If you'd like to take advantage of our end-of-year promotion we can add in
the retention as a quick addendum. Just let us know.
Clarke Anderson *   |    * *Account Executive*
m: (818) 421-3713
clarke.anderson@observepoint.com
On Tue, Jan 13, 2026 at 12:15 PM Tamara Saban (MARKETING) &lt;
tamara.saban@ros.com&gt; wrote:
&gt; Hi Clarke,
&gt;
&gt;
&gt; We just had a call with John Davis</t>
  </si>
  <si>
    <t>19bb95e7f2ae20cc</t>
  </si>
  <si>
    <t>Sure, please send us the info on a year-end-promo.
Tamara Saban
Marketing Operations Manager | Ross Stores, Inc.
[A picture containing text, font, logo, graphics  Description automatically generated]
From: Clarke Anderson &lt;clarke.anderson@observepoint.com&gt;
Sent: Tuesday, January 13, 2026 1:52 PM
To: Tamara Saban (MARKETING) &lt;tamara.saban@ros.com&gt;
Cc: John Davis &lt;john.davis@observepoint.com&gt;; Fe Valencia (MARKETING) &lt;fe.valencia@ros.com&gt;
Subject: Re: [EXTERNAL] New data retention poli</t>
  </si>
  <si>
    <t>19bb974cf6eedde5</t>
  </si>
  <si>
    <t>Absolutely. Please see below.
3 years + 1 month: 7.5% of ARR annually
5 years + 1 month: 10% of ARR annually
7 years + 1 month: 15% of ARR annually
Starting Feb. 1, List Price starts at 10% and goes to 20%, respectively.
Clarke Anderson *   |    * *Account Executive*
m: (818) 421-3713
clarke.anderson@observepoint.com
On Tue, Jan 13, 2026 at 2:58 PM Tamara Saban (MARKETING) &lt;
tamara.saban@ros.com&gt; wrote:
&gt; Sure, please send us the info on a year-end-promo.
&gt;
&gt;
&gt;</t>
  </si>
  <si>
    <t>19bb97c0840e12fa</t>
  </si>
  <si>
    <t>Can you provide dollar amounts? Thanks!
From: Clarke Anderson &lt;clarke.anderson@observepoint.com&gt;
Sent: Tuesday, January 13, 2026 2:23 PM
To: Tamara Saban (MARKETING) &lt;tamara.saban@ros.com&gt;
Cc: John Davis &lt;john.davis@observepoint.com&gt;; Fe Valencia (MARKETING) &lt;fe.valencia@ros.com&gt;
Subject: Re: [EXTERNAL] New data retention policy -- ObservePoint
Absolutely. Please see below.
3 years + 1 month: 7.5% of ARR annually
5 years + 1 month: 10% of ARR annually
7 years + 1 month: 15% of A</t>
  </si>
  <si>
    <t>19bb988a75c1a0b9</t>
  </si>
  <si>
    <t>Yes, that certainly would make things easier.
3 years + 1 month: $497.25/yr
&lt;https://us-3129.email-composer-webhooks.gong.io/email-tracking/clicked?email-info-token=eyJhbGciOiJIUzI1NiJ9.eyJjb21wYW55SWQiOiI4OTgyMjM2MTQxODc2Mjk3NzAiLCJkcmFmdElkIjoici02NTYwNDg4ODMxNDUwNjUxNDA5IiwibGlua1VybCI6Imh0dHBzOi8vNDk3LjI1L3lyIiwibGlua1RleHQiOiI0OTcuMjUveXIiLCJ0ZW1wbGF0ZUlkIjoiIiwiZXhwIjoxNzcwMTU4NjcwLCJpYXQiOjE3NjgzNDQyNzAsImp0aSI6InZONEdaM3RGMHhMViJ9.vu9fvpqolnTx4Lp4FdfiMI1AuPUSNVNxyi-MO5whBFw&gt;
5 years</t>
  </si>
  <si>
    <t>19bb9983cc4de3e6</t>
  </si>
  <si>
    <t>Re: Billing Info</t>
  </si>
  <si>
    <t>Hey Audrey and Tatyana,
Just bumping on this again so that we don't let it fall through the cracks,
I appreciate your help on this!
*Regards, *
John Davis *   |    * *Customer Success Manager*
Cell: 801.633.6013
john.davis@observepoint.com
www.observepoint.com
&lt;https://us-3129.email-composer-webhooks.gong.io/email-tracking/clicked?email-info-token=eyJhbGciOiJIUzI1NiJ9.eyJjb21wYW55SWQiOiI4OTgyMjM2MTQxODc2Mjk3NzAiLCJkcmFmdElkIjoicjY4MjkyNTA2MDIyOTU5Nzk4NTIiLCJsaW5rVXJsIjoiaHR0cHM6L</t>
  </si>
  <si>
    <t>19bba0856ad957de</t>
  </si>
  <si>
    <t>RE: evar13 Journey</t>
  </si>
  <si>
    <t>After you enter term, click search, there are two server calls that are set.
The search term is in the first server call.
Events &gt; xdm &gt; customDimensions &gt; eVars &gt; eVar13
From: John Davis &lt;john.davis@observepoint.com&gt;
Sent: Tuesday, January 13, 2026 3:21 PM
To: Hagerty, Philip &lt;phagerty@rwjf.org&gt;
Cc: Macey Bell &lt;macey.bell@observepoint.com&gt;
Subject: evar13 Journey
Hey Phil,
When I manually test your search on your homepage, I am not seeing the evar13 in the interact payload or the</t>
  </si>
  <si>
    <t>19bbd03a5408fedb</t>
  </si>
  <si>
    <t>Hi Robert,
I can login to ObservePoint but others are having issues.  Can you help?  Thanks.
[cid:image001.png@01DC853C.44725DB0]
From: Robert Ernest &lt;robert.ernest@prudential.com&gt;
Sent: Tuesday, January 6, 2026 4:33 PM
To: dylan.sellers@observepoint.com; Steve Choi &lt;steve.choi@prudential.com&gt;
Cc: Macey Bell &lt;macey.bell@observepoint.com&gt;; john.davis@observepoint.com; Lalitha Kavutharapu &lt;lalitha.kavutharapu@prudential.com&gt;; ObservePoint AI from ObservePoint &lt;support@observepoint.com&gt;</t>
  </si>
  <si>
    <t>19bbd040d3297fe1</t>
  </si>
  <si>
    <t>robert.ernest@prudential.com, dylan.sellers@observepoint.com, macey.bell@observepoint.com, john.davis@observepoint.com, lalitha.kavutharapu@prudential.com</t>
  </si>
  <si>
    <t>Re: RE: ObservePoint login issue - Expired Certificate</t>
  </si>
  <si>
    <t xml:space="preserve"> 
#66970449: RE: ObservePoint login issue - Expired Certificate 
Submitted 
We'll pick up your ticket soon 
Hi Robert, I can login to ObservePoint but others are having issues. Can 
you help? Thanks. *From:* Robert Ernest &lt;robert.ernest@prudential.com&gt; 
*Sent:* Tuesday, January 6, 2026 4:33 PM
*To:* dylan.sellers@observepoint.com; Steve Choi &lt;steve.choi@prudential.com&gt;
*Cc:* Macey Bell &lt;macey.bell@observepoint.com&gt;; 
john.davis@observepoint.com; Lalitha Kavutharapu 
&lt;lalitha.kavutharapu@prudent</t>
  </si>
  <si>
    <t>19bbcfe783ecd0a8</t>
  </si>
  <si>
    <t>19bbd0c67ef9c535</t>
  </si>
  <si>
    <t>Steve Choi &lt;steve.choi@prudential.com&gt;, "dylan.sellers@observepoint.com" &lt;dylan.sellers@observepoint.com&gt;</t>
  </si>
  <si>
    <t xml:space="preserve">Hi Steve,
The user is not yet added to any AD Groups for Observepoint that’s why he cannot SSO into OP.
Kindly submit a Sailpoint request to add him to any of these groups:
GT-ACC_OBSERVEPOINT_ADMIN
GT-ACC_OBSERVEPOINT_PRUDENTIAL_STANDARD
GT-ACC_OBSERVEPOINT_PRUDENTIAL_READONLY
GT-ACC_OBSERVEPOINT_PGIM_STANDARD
GT-ACC_OBSERVEPOINT_PGIM_READONLY
Once added, he can try logging in again. Thanks!
Robert
From: Steve Choi &lt;steve.choi@prudential.com&gt;
Sent: Wednesday, January 14, </t>
  </si>
  <si>
    <t>19bbd105a636f568</t>
  </si>
  <si>
    <t>Robert Ernest &lt;robert.ernest@prudential.com&gt;, "dylan.sellers@observepoint.com" &lt;dylan.sellers@observepoint.com&gt;, Shaban Sadiqyar &lt;shaban.sadiqyar@prudential.com&gt;, Maximilian Stefani &lt;maximilian.stefani@prudential.com&gt;, Prabhu Biradar &lt;prabhugouda.biradar@prudential.com&gt;, Rathna Chinnappa &lt;rathna.chinnappa@prudential.com&gt;</t>
  </si>
  <si>
    <t>@Shaban Sadiqyar&lt;mailto:shaban.sadiqyar@prudential.com&gt; and OneTrust team,
Please see below about ObservePoint login.
Thanks,
Steve
From: Robert Ernest &lt;robert.ernest@prudential.com&gt;
Sent: Wednesday, January 14, 2026 10:08 AM
To: Steve Choi &lt;steve.choi@prudential.com&gt;; dylan.sellers@observepoint.com
Cc: Macey Bell &lt;macey.bell@observepoint.com&gt;; john.davis@observepoint.com; Lalitha Kavutharapu &lt;lalitha.kavutharapu@prudential.com&gt;; ObservePoint AI from ObservePoint &lt;support@observep</t>
  </si>
  <si>
    <t>19bbd281c3178bac</t>
  </si>
  <si>
    <t>John Davis &lt;john.davis@observepoint.com&gt;, charlie@ctysse.net, egonzales@verisign.com, charlie.tysse@stackedanalytics.com</t>
  </si>
  <si>
    <t>observepoint.com, ctysse.net, verisign.com, stackedanalytics.com</t>
  </si>
  <si>
    <t>Invitation: ObservePoint | Verisign - Sync @ Every 4 weeks from 1:30pm to 2pm on Monday (MST) (John Davis)</t>
  </si>
  <si>
    <t>ObservePoint | Verisign - Sync
Every 4 weeks from 1:30pm to 2pm on Monday
Mountain Time - Denver
Organizer
Macey Bell
macey.bell@observepoint.com
Guests
Macey Bell - organizer
charlie@ctysse.net
egonzales@verisign.com
charlie.tysse@stackedanalytics.com
John Davis
View all guest info  
https://calendar.google.com/calendar/event?action=VIEW&amp;eid=MTI4OGFxMWswZjVlaWRkN21panJiMTd2YmdfUjIwMjYwMTI2VDIwMzAwMCBqb2huLmRhdmlzQG9ic2VydmVwb2ludC5jb20&amp;tok=MjcjbWFjZXkuYmVsbEBvYnNlcnZlcG9pbn</t>
  </si>
  <si>
    <t>19bbd354c205d701</t>
  </si>
  <si>
    <t>Anthony McMahon &lt;Anthony.McMahon@pmi.org&gt;</t>
  </si>
  <si>
    <t>Re: PMI | ObservePoint Monthly Sync</t>
  </si>
  <si>
    <t xml:space="preserve">No worries Tony! Is there a time we can connect next week? I want to
introduce you to John Davis, who will be your CSM moving forward.
On Tue, Jan 13, 2026 at 8:08 PM Anthony McMahon &lt;Anthony.McMahon@pmi.org&gt;
wrote:
&gt; Hi Macey,
&gt;
&gt; I won't be able to make tomorrows call.
&gt;
&gt; Tony
&gt;
&gt; ------------------------------
&gt; *From:* Macey Bell
&gt; *Sent:* Wednesday, April 30, 2025 3:13 PM
&gt; *To:* Macey Bell &lt;macey.bell@observepoint.com&gt;; Anthony McMahon &lt;
&gt; Anthony.McMahon@pmi.org&gt;; Abel </t>
  </si>
  <si>
    <t>19bbd4a1abfdacee</t>
  </si>
  <si>
    <t xml:space="preserve">
[image: ObservePoint Logo_Gray_ON_YEllow_LOGO.jpeg]
A friendly reminder that it's time to renew.
Hi Sabrina,
Thank you for being an ObservePoint customer!
This is an automated notification to let you know that the end of your 
current term is* March 15, 2026*.
We know approval and procurement processes can take time, and we want to 
avoid any interruption of service, hence we are reaching out now.
Please reach out to your account team if you have any questions, or if you 
anticipate an</t>
  </si>
  <si>
    <t>19bbd4a1aca064af</t>
  </si>
  <si>
    <t xml:space="preserve">
[image: ObservePoint Logo_Gray_ON_YEllow_LOGO.jpeg]
A friendly reminder that it's time to renew.
Hi Jose,
Thank you for being an ObservePoint customer!
This is an automated notification to let you know that the end of your 
current term is* March 15, 2026*.
We know approval and procurement processes can take time, and we want to 
avoid any interruption of service, hence we are reaching out now.
Please reach out to your account team if you have any questions, or if you 
anticipate any c</t>
  </si>
  <si>
    <t>19bbdc832e2fc673</t>
  </si>
  <si>
    <t>Hi John, lmk if I can answer any questions, thanks for your help!
From: Hagerty, Philip
Sent: Tuesday, January 13, 2026 8:04 PM
To: John Davis &lt;john.davis@observepoint.com&gt;
Cc: Macey Bell &lt;macey.bell@observepoint.com&gt;
Subject: RE: evar13 Journey
After you enter term, click search, there are two server calls that are set.
The search term is in the first server call.
Events &gt; xdm &gt; customDimensions &gt; eVars &gt; eVar13
From: John Davis &lt;john.davis@observepoint.com&lt;mailto:john.davis@obse</t>
  </si>
  <si>
    <t>19bbe5bec0fbef84</t>
  </si>
  <si>
    <t>Re: evar13 Journey</t>
  </si>
  <si>
    <t>I don't think so, I am getting some inconsistent results in my testing and
I have looped in our engineering team to look into it further.
I will let you know once I have something more robust set up for you. Sorry
I wish I had a better answer for you on this right now.
*Regards, *
John Davis *   |    * *Customer Success Manager*
Cell: 801.633.6013
john.davis@observepoint.com
www.observepoint.com
&lt;https://groove.grvlnk4.com/url/typa6byifukvbtijwod94/aHR0cDovL3d3dy5vYnNlcnZlcG9pbn</t>
  </si>
  <si>
    <t>19bbe7424018d972</t>
  </si>
  <si>
    <t>dipendra.m.bagchee@seagate.com</t>
  </si>
  <si>
    <t>OneTrust Regex Issue</t>
  </si>
  <si>
    <t>Hey Dipendra,
Following up on our discussion regarding the OneTrust regex issue you
raised with Macey two meetings ago, I have an update after speaking with
our engineering lead.
I just realized that the workflow I demonstrated during our last
meeting—importing and syncing the OneTrust consent categories and then
reprocessing the audits—may resolve the original issue.
Are you seeing this fix reflected in your audits?
*Regards, *
John Davis *   |    * *Customer Success Manager*</t>
  </si>
  <si>
    <t>19bbe6e33e084da2</t>
  </si>
  <si>
    <t>19bbe7da337ad5f1</t>
  </si>
  <si>
    <t>john.davis@observepoint.com, cyang@questrade.com, who@questrade.com, macey.bell@observepoint.com</t>
  </si>
  <si>
    <t>Hi Bodan
Thanks for looking into this ticket, let me know if there's any update on
this?
Regards,
Raymond Chau
Senior Specialist, Digital Analytics Implementation
www.questrade.com
Phone  416.227.9876
Toll free  1.888.783.7866
Fax  1.888.299.1098
Questrade, Inc.
5700 Yonge St., Suite 1900, Toronto, ON, M2M 4K2
Questrade, Inc. is a registered investment dealer and member of the
Investment Industry Regulatory Organization of Canada and the Canadian
Investor Protection Fund.
Qu</t>
  </si>
  <si>
    <t>19bbe7f53817c749</t>
  </si>
  <si>
    <t>Ok.
Because the journey fires two direct calls
1. web.webinteraction.linkClicks
2. web.webpagedetails.pageViews
And the v13 variable is only set in the web.webinteraction.linkClicks, are you able to isolate that direct call when scanning for the variable?
Also, the fix for this issue is going to be put in production tonight, so the rule looking to verify the variable will start working/passing once the fix is in prod.
From: John Davis &lt;john.davis@observepoint.com&gt;
Sent: Wednesday, J</t>
  </si>
  <si>
    <t>19bbe95fd3e4e9d3</t>
  </si>
  <si>
    <t>A
*Regards, *
John Davis *   |    * *Customer Success Manager*
Cell: 801.633.6013
john.davis@observepoint.com
www.observepoint.com 
&lt;https://groove.grvlnk4.com/url/typa6byifukvbtijwod94/aHR0cDovL3d3dy5vYnNlcnZlcG9pbnQuY29tLyNncm9vdmVzdW06LTc2MTEwNTM3MA%3D%3D&gt;
On Wed, Jan 14, 2026, 2:52 PM Hagerty, Philip &lt;phagerty@rwjf.org&gt; wrote:
&gt; Ok.  
&gt;
&gt; Because the journey fires two direct calls 
&gt; 1. web.webinteraction.linkClicks
&gt;
&gt; 2. web.webpagedetails.pageViews
&gt;
&gt;  
&gt;
&gt; A</t>
  </si>
  <si>
    <t>19bbe98809cc49f5</t>
  </si>
  <si>
    <t xml:space="preserve">Ah ok thanks for the info, I think that's my problem, 
*Regards, *
John Davis *   |    * *Customer Success Manager*
Cell: 801.633.6013
john.davis@observepoint.com
www.observepoint.com 
&lt;https://groove.grvlnk4.com/url/typa6byifukvbtijwod94/aHR0cDovL3d3dy5vYnNlcnZlcG9pbnQuY29tLyNncm9vdmVzdW06LTc2MTEwNTM3MA%3D%3D&gt;
On Wed, Jan 14, 2026, 2:52 PM Hagerty, Philip &lt;phagerty@rwjf.org&gt; wrote:
&gt; Ok.  
&gt;
&gt; Because the journey fires two direct calls 
&gt; 1. web.webinteraction.linkClicks
</t>
  </si>
  <si>
    <t>19bbff667fbaea11</t>
  </si>
  <si>
    <t>John Davis &lt;john.davis@observepoint.com&gt;, grant.menefee@worldmarket.com, jesse.dykhoff@worldmarket.com, kevin.farkas@worldmarket.com</t>
  </si>
  <si>
    <t>abel.gomez@observepoint.com</t>
  </si>
  <si>
    <t>Invitation: ObservePoint | World Market - Sync @ Fri Jan 23, 2026 10am - 10:30am (MST) (John Davis)</t>
  </si>
  <si>
    <t>ObservePoint | World Market - Sync
Friday Jan 23, 2026 ⋅ 10am – 10:30am
Mountain Time - Denver
Join Zoom Meeting
https://observepoint.zoom.us/j/3742631971?pwd=Z2JhWG1yV1ZtOVBnMVZaRDR0bjVDZz09&amp;omn=91863898191
Join by phone
(US) +1 888-788-0099
passcode: 318688
Joining instructions
https://www.google.com/url?q=https://applications.zoom.us/addon/invitation/detail?meetingUuid%3D5Y0rydD8SMym7uDF8sAoLw%253D%253D%26signature%3Dd0051eb3d3a22b5905c0c9a36e05d76cf876eddac18d86eb90815e03f</t>
  </si>
  <si>
    <t>19bc2415148ae01b</t>
  </si>
  <si>
    <t>Updated invitation with note: Meeting with Macey @ Thu Jan 15, 2026 1:30pm - 2pm (MST) (John Davis)</t>
  </si>
  <si>
    <t>This event has been updated with a note:
"Adding my zoom link"
Changed: conferencing
Meeting with Macey
Thursday Jan 15, 2026 ⋅ 1:30pm – 2pm
Mountain Time - Denver
Join Zoom Meeting
https://observepoint.zoom.us/j/3742631971?pwd=Z2JhWG1yV1ZtOVBnMVZaRDR0bjVDZz09&amp;omn=92674883392&amp;jst=2
Join by phone
(US) +1 888-788-0099
passcode: 318688
Joining instructions
https://www.google.com/url?q=https://applications.zoom.us/addon/invitation/detail?meetingUuid%3D%252BXOGcp59Qa%252BVxa</t>
  </si>
  <si>
    <t>19bc25d588f55063</t>
  </si>
  <si>
    <t>Ah ok thanks for the info, we should have it working fine now:
https://app.observepoint.com/web-journey/569254/run/66588708/results?action=4&amp;tab=4
This journey has a rule setup to check for eVar13 on step 4 which is the
step that actually clicks the search button and it seems to be passing
correctly now that your fix is in prod.
Let me know what you think.
*Regards, *
John Davis *   |    * *Customer Success Manager*
Cell: 801.633.6013
john.davis@observepoint.com
www.observe</t>
  </si>
  <si>
    <t>19bc26aaa1c71b72</t>
  </si>
  <si>
    <t>Declined: ObservePoint | Questrade Bi-Weekly Syncup @ Mon Mar 30, 2026 1pm - 1:30pm (MDT) (john.davis@observepoint.com)</t>
  </si>
  <si>
    <t>Raymond Chau has declined this invitation with a note:
"Declined because I am out of office"
ObservePoint | Questrade Bi-Weekly Syncup
Monday Mar 30, 2026 ⋅ 1pm – 1:30pm
Mountain Time - Denver
Location
https://observepoint.zoom.us/j/93559561258	
https://www.google.com/url?q=https%3A%2F%2Fobservepoint.zoom.us%2Fj%2F93559561258&amp;sa=D&amp;source=calendar&amp;ust=1768925280000000&amp;usg=AOvVaw2XQBt2qsyayu1NJQBXuBZ6
Looking forward to connecting.
If you need to reschedule, please use the link:</t>
  </si>
  <si>
    <t>19bc299944a53403</t>
  </si>
  <si>
    <t>19bc2bb6b77f92a2</t>
  </si>
  <si>
    <t>"Rondinelli, Amy" &lt;Amy.Rondinelli@cvshealth.com&gt;, Macey Bell &lt;macey.bell@observepoint.com&gt;, John Davis &lt;john.davis@observepoint.com&gt;</t>
  </si>
  <si>
    <t>Observepoint</t>
  </si>
  <si>
    <t xml:space="preserve">
________________________________________________________________________________
Microsoft Teams Need help?&lt;https://aka.ms/JoinTeamsMeeting?omkt=en-US&gt;
Join the meeting now&lt;https://teams.microsoft.com/l/meetup-join/19%3ameeting_YWZhM2I2ZTUtZDYxYi00OTVkLTk4NTQtZDg4ZWRkMDIyODg0%40thread.v2/0?context=%7b%22Tid%22%3a%22fabb61b8-3afe-4e75-b934-a47f782b8cd7%22%2c%22Oid%22%3a%22f089cc43-bfcf-43e5-9b99-90ac44049de6%22%7d&gt;
Meeting ID: 271 384 264 532 75
Passcode: qW6Xu3WJ
_________________________</t>
  </si>
  <si>
    <t>19bc2d083d2fe287</t>
  </si>
  <si>
    <t>chinmay.satam@westjet.com</t>
  </si>
  <si>
    <t>19bc313f7be399c3</t>
  </si>
  <si>
    <t>Updated invitation: ObservePoint | Cotiviti - Sync @ Thu Jan 15, 2026 1:30pm - 2pm (MST) (John Davis)</t>
  </si>
  <si>
    <t>This event has been updated
Changed: title
ObservePoint | Cotiviti - Sync
Thursday Jan 15, 2026 ⋅ 1:30pm – 2pm
Mountain Time - Denver
Join Zoom Meeting
https://observepoint.zoom.us/j/3742631971?pwd=Z2JhWG1yV1ZtOVBnMVZaRDR0bjVDZz09&amp;omn=92674883392&amp;jst=2
Join by phone
(US) +1 888-788-0099
passcode: 318688
Joining instructions
https://www.google.com/url?q=https://applications.zoom.us/addon/invitation/detail?meetingUuid%3D%252BXOGcp59Qa%252BVxagnzbCwew%253D%253D%26signature%</t>
  </si>
  <si>
    <t>19bc322e5fda1e69</t>
  </si>
  <si>
    <t>john.davis@observepoint.com, chris.tack@cotiviti.com, macey.bell@observepoint.com</t>
  </si>
  <si>
    <t>Event ID</t>
  </si>
  <si>
    <t>Start Time</t>
  </si>
  <si>
    <t>End Time</t>
  </si>
  <si>
    <t>Duration (hours)</t>
  </si>
  <si>
    <t>Location</t>
  </si>
  <si>
    <t>Description</t>
  </si>
  <si>
    <t>Is All Day</t>
  </si>
  <si>
    <t>My Status</t>
  </si>
  <si>
    <t>Creator</t>
  </si>
  <si>
    <t>Is Recurring</t>
  </si>
  <si>
    <t>Attendee Count</t>
  </si>
  <si>
    <t>Attendee Emails</t>
  </si>
  <si>
    <t>Attendee Names</t>
  </si>
  <si>
    <t>Attendee Statuses</t>
  </si>
  <si>
    <t>Accepted Count</t>
  </si>
  <si>
    <t>Declined Count</t>
  </si>
  <si>
    <t>Tentative Count</t>
  </si>
  <si>
    <t>No Response Count</t>
  </si>
  <si>
    <t>8b8llbppcfai75mtkng25k58pb@google.com</t>
  </si>
  <si>
    <t>ObservePoint | CDW - Sync</t>
  </si>
  <si>
    <t>&lt;a href="https://observepoint.zoom.us/j/3742631971?pwd=Z2JhWG1yV1ZtOVBnMVZaRDR0bjVDZz09&amp;omn=97098763634" target="_blank"&gt;&lt;u&gt;https://observepoint.zoom.us/j/3742631971?pwd=Z2JhWG1yV1ZtOVBnMVZaRDR0bjVDZz09&amp;amp;omn=97098763634&lt;/u&gt;&lt;/a&gt;</t>
  </si>
  <si>
    <t>No</t>
  </si>
  <si>
    <t>UNKNOWN</t>
  </si>
  <si>
    <t>Yes</t>
  </si>
  <si>
    <t>macey.bell@observepoint.com, audrbom@cdw.com, tatyana.zachary@cdw.com, sainath.revankar@cdw.com, awesta.ahmadi@cdw.com</t>
  </si>
  <si>
    <t>YES, INVITED, YES, MAYBE, YES</t>
  </si>
  <si>
    <t>1ulu353n372filfsdcif2a5mlc_R20241104T203000@google.com</t>
  </si>
  <si>
    <t>ObservePoint | SE Toyota - Sync</t>
  </si>
  <si>
    <t>kathy.shin@22squared.com, ailill.breffni@setoyota.com, macey.bell@observepoint.com, jared.blood@22squared.com, jack.zackowitz@22squared.com, kendall.papera@setoyota.com, robyn.beyah@22squared.com</t>
  </si>
  <si>
    <t>YES, INVITED, YES, YES, INVITED, YES, YES</t>
  </si>
  <si>
    <t>er6cviq9baaj38817rf2m9c1ek_R20250204T210000@google.com</t>
  </si>
  <si>
    <t>OP | Dignity Health - Sync</t>
  </si>
  <si>
    <t>philip.leach@commonspirit.org, ken.johanson@commonspirit.org, david.krause@commonspirit.org, stanton.richard@commonspirit.org, david.adams903@commonspirit.org, macey.bell@observepoint.com, abel.gomez@observepoint.com, debra.veik@commonspirit.org, eric.davis902@commonspirit.org</t>
  </si>
  <si>
    <t>Philip Leach AZ-Phoenix, ken.johanson@commonspirit.org, david.krause@commonspirit.org, stanton.richard@commonspirit.org, david.adams903@commonspirit.org, macey.bell@observepoint.com, abel.gomez@observepoint.com, debra.veik@commonspirit.org, eric.davis902@commonspirit.org</t>
  </si>
  <si>
    <t>INVITED, INVITED, INVITED, INVITED, NO, YES, NO, YES, INVITED</t>
  </si>
  <si>
    <t>INVITED, INVITED, INVITED, INVITED, NO, YES, YES, INVITED, INVITED</t>
  </si>
  <si>
    <t>macey.bell@observepoint.com, audrbom@cdw.com, andy.compas@observepoint.com, tatyana.zachary@cdw.com, sainath.revankar@cdw.com, awesta.ahmadi@cdw.com</t>
  </si>
  <si>
    <t>YES, INVITED, YES, YES, MAYBE, YES</t>
  </si>
  <si>
    <t>INVITED, INVITED, INVITED, INVITED, NO, YES, MAYBE, NO, YES</t>
  </si>
  <si>
    <t>NO, INVITED, INVITED, INVITED, NO, YES, YES, NO, INVITED</t>
  </si>
  <si>
    <t>c2au84msovas0nvc43bkvagfec_R20250624T190000@google.com</t>
  </si>
  <si>
    <t>ObservePoint | Caesars - Sync</t>
  </si>
  <si>
    <t xml:space="preserve">Invitee: Pam Frei
Meeting Details:
Comments: You can remove Jenn Kunz
</t>
  </si>
  <si>
    <t>pfrei@caesars.com, cdugger@caesars.com, macey.bell@observepoint.com, jparkinson@caesars.com</t>
  </si>
  <si>
    <t>INVITED, YES, YES, INVITED</t>
  </si>
  <si>
    <t>INVITED, NO, INVITED, INVITED, NO, YES, YES, INVITED, INVITED</t>
  </si>
  <si>
    <t>kathy.shin@22squared.com, ailill.breffni@setoyota.com, macey.bell@observepoint.com, jared.blood@22squared.com, jack.zackowitz@22squared.com, andy.compas@observepoint.com, kendall.papera@setoyota.com, robyn.beyah@22squared.com</t>
  </si>
  <si>
    <t>YES, INVITED, YES, YES, INVITED, INVITED, YES, YES</t>
  </si>
  <si>
    <t>INVITED, NO, INVITED, INVITED, NO, YES, MAYBE, INVITED, INVITED</t>
  </si>
  <si>
    <t>7uk2udsdcu4tu728l981dr0rho@google.com</t>
  </si>
  <si>
    <t>ObservePoint | Agilent - Sync</t>
  </si>
  <si>
    <t>justin.yee@agilent.com, varun.isaac@agilent.com, macey.bell@observepoint.com, venkata.mallepudi@agilent.com</t>
  </si>
  <si>
    <t>INVITED, INVITED, YES, INVITED</t>
  </si>
  <si>
    <t>1kjn9aq68f29634ho5791vv3bq@google.com</t>
  </si>
  <si>
    <t>ObservePoint Summit Breakfast &amp; Reception</t>
  </si>
  <si>
    <t>5132 N 300 W, Provo, UT 84604, USA</t>
  </si>
  <si>
    <t>INVITED</t>
  </si>
  <si>
    <t>john@observepoint.com</t>
  </si>
  <si>
    <t>all@observepoint.com, john.davis@observepoint.com</t>
  </si>
  <si>
    <t>Everyone, john.davis@observepoint.com</t>
  </si>
  <si>
    <t>INVITED, INVITED</t>
  </si>
  <si>
    <t>n92koag5bu4h0hoha4jkfukkqm@google.com</t>
  </si>
  <si>
    <t>ObservePoint Quarterly Summit - Main Session</t>
  </si>
  <si>
    <t>John Pestana (CEO ObservePoint) is inviting you to a scheduled Zoom meeting.
Topic: Quarterly Summit
Time: This is a recurring meeting Meet anytime
Join Zoom Meeting
https://observepoint.zoom.us/j/174939498
Meeting ID: 174 939 498
One tap mobile
+12532158782,,174939498# US (Tacoma)
+13462487799,,174939498# US (Houston)
Dial by your location
        +1 253 215 8782 US (Tacoma)
        +1 346 248 7799 US (Houston)
        +1 669 900 6833 US (San Jose)
        +1 301 715 8592 US (Washington DC)
        +1 312 626 6799 US (Chicago)
        +1 929 205 6099 US (New York)
        877 853 5247 US Toll-free
        888 788 0099 US Toll-free
Meeting ID: 174 939 498
Find your local number: https://observepoint.zoom.us/u/aDPtV9MOM</t>
  </si>
  <si>
    <t>kqfrvcuq0v4c8dhoeslgbmjvop@google.com</t>
  </si>
  <si>
    <t>ObservePoint | Darden Restaurants Sync</t>
  </si>
  <si>
    <t>macey.bell@observepoint.com, esjostrom@darden.com, btymoniewicz@darden.com</t>
  </si>
  <si>
    <t>YES, YES, YES</t>
  </si>
  <si>
    <t>INVITED, INVITED, INVITED, INVITED, NO, YES, YES, INVITED, YES</t>
  </si>
  <si>
    <t>NO, INVITED, INVITED, INVITED, NO, YES, YES, INVITED, INVITED</t>
  </si>
  <si>
    <t>MAYBE, YES, YES, NO</t>
  </si>
  <si>
    <t>5qlspbrlcotm3r0i66t2t6hukg@google.com</t>
  </si>
  <si>
    <t>ObservePoint | MongoDB - Sync</t>
  </si>
  <si>
    <t>macey.bell@observepoint.com, arthur.engelhard@mongodb.com</t>
  </si>
  <si>
    <t>YES, YES</t>
  </si>
  <si>
    <t>20qnqpl5pfdoc872od9futg97s@google.com</t>
  </si>
  <si>
    <t>ObservePoint | Medifast - Sync</t>
  </si>
  <si>
    <t>grace.stafford@optavia.com, macey.bell@observepoint.com, sonia.turumopula@contractor.optavia.com, chandra.guin@contractor.optavia.com</t>
  </si>
  <si>
    <t>INVITED, YES, INVITED, INVITED</t>
  </si>
  <si>
    <t>INVITED, INVITED, YES, NO</t>
  </si>
  <si>
    <t>3um1g2na9qvout7686tmtr7qir@google.com</t>
  </si>
  <si>
    <t>Team Lunch</t>
  </si>
  <si>
    <t>nic.suder@observepoint.com</t>
  </si>
  <si>
    <t>jared.paxton@observepoint.com, jake.bauer@observepoint.com, chris.hawkes@observepoint.com, john.davis@observepoint.com, caleb.conners@observepoint.com, mckay.daines@observepoint.com</t>
  </si>
  <si>
    <t>YES, YES, NO, INVITED, INVITED, YES</t>
  </si>
  <si>
    <t>han6gphqo5ij3urb15etk1usuk_R20251117T200000@google.com</t>
  </si>
  <si>
    <t>OP | Carhartt (Bi-weekly Sync)</t>
  </si>
  <si>
    <t>jkotchoubay@carhartt.com, jlambert@carhartt.com, bshields@carhartt.com, observepoint@assistant.gong.io, mcuevas@carhartt.com, john.davis@observepoint.com, bspraggins@carhartt.com, kocasio@carhartt.com, zkeebaugh@carhartt.com, rdonahue@carhartt.com</t>
  </si>
  <si>
    <t>YES, YES, YES, INVITED, INVITED, INVITED, YES, MAYBE, YES, MAYBE</t>
  </si>
  <si>
    <t>41ahurrh7e2c1tm4k310u9lemk@google.com</t>
  </si>
  <si>
    <t>Nic/McKay PBS Sync</t>
  </si>
  <si>
    <t>mckay.daines@observepoint.com</t>
  </si>
  <si>
    <t>nic.suder@observepoint.com, john.davis@observepoint.com</t>
  </si>
  <si>
    <t>YES, INVITED</t>
  </si>
  <si>
    <t>v1tsigr47nno2nkselj37ihhk8@google.com</t>
  </si>
  <si>
    <t>John - Nic (Quick Sync)</t>
  </si>
  <si>
    <t>63tgbe73o7kmplblt9u7dammu1@google.com</t>
  </si>
  <si>
    <t>OP | Astellas (Monthly Sync)</t>
  </si>
  <si>
    <t>courtland.sullivan.contractor@astellas.com, chad.seaver.contractor@astellas.com, daniel.cioaca.contractor@astellas.com, john.davis@observepoint.com</t>
  </si>
  <si>
    <t>aagc9412sa7f2nfei4fs72ap54@google.com</t>
  </si>
  <si>
    <t>John - Nic (Sync)</t>
  </si>
  <si>
    <t>1kjn9aq68f29634ho5791vv3bq_R20251120T143000@google.com</t>
  </si>
  <si>
    <t>2gk9bnjlufbefmbcfhlrv7flk2@google.com</t>
  </si>
  <si>
    <t>Luminaria Q4 Summit Activity 🎄</t>
  </si>
  <si>
    <t>Ashton Gardens at Thanksgiving Point, 3900 Garden Dr, Lehi, UT 84043, USA</t>
  </si>
  <si>
    <t>Please join the OP community for a festive evening under the lights as we kick off the holiday season together! Stop by the firepits between 6:30–7:30 to visit with John and other OP friends. Tickets can be collected from Kate at the front desk. Get ready for cozy vibes, good laughs, and plenty of holiday cheer! See you there! 🎄</t>
  </si>
  <si>
    <t>kate.suder@observepoint.com</t>
  </si>
  <si>
    <t>brigham@wildeteam.com, abbymadsen.design@gmail.com, jd.jeppson@observepoint.com, levi.owusu@observepoint.com, us@observepoint.com, addisonmadsen@gmail.com, jared.wilks@observepoint.com, john.davis@observepoint.com, krystian.bienko@observepoint.com</t>
  </si>
  <si>
    <t>brigham@wildeteam.com, abbymadsen.design@gmail.com, jd.jeppson@observepoint.com, levi.owusu@observepoint.com, US Employees, addisonmadsen@gmail.com, Jared Wilks, john.davis@observepoint.com, krystian.bienko@observepoint.com</t>
  </si>
  <si>
    <t>YES, INVITED, YES, INVITED, INVITED, YES, YES, INVITED, INVITED</t>
  </si>
  <si>
    <t>4ug0jesebvkhtr04mr0krmuo6k@google.com</t>
  </si>
  <si>
    <t>The Grid</t>
  </si>
  <si>
    <t>&lt;a href="https://thegrid.com/"&gt;https://thegrid.com/&lt;/a&gt;&lt;br&gt;&lt;br&gt;Two Heats or Lunch and 1 Heat</t>
  </si>
  <si>
    <t>masen.sarabia@observepoint.com, dylan.sellers@observepoint.com, jared.paxton@observepoint.com, jarrod.wilbur@observepoint.com, chris.hawkes@observepoint.com, jake.bauer@observepoint.com, macey.bell@observepoint.com, jwdavis927@gmail.com, john.davis@observepoint.com, caleb.conners@observepoint.com, mckay.daines@observepoint.com</t>
  </si>
  <si>
    <t>YES, MAYBE, YES, YES, YES, NO, INVITED, INVITED, INVITED, MAYBE, YES</t>
  </si>
  <si>
    <t>4umvsu8o1uj02d0f4s0p1okgbu@google.com</t>
  </si>
  <si>
    <t xml:space="preserve">John / Nic - Quick Sync </t>
  </si>
  <si>
    <t>fn8d7jjpfj23avnd76o8isv4kk@google.com</t>
  </si>
  <si>
    <t>ObservePoint &amp; Athena Health || Business Review &amp; CSM Handoff</t>
  </si>
  <si>
    <t>https://observepoint.zoom.us/j/92849939183</t>
  </si>
  <si>
    <t>Looking forward to connecting.
If you need to reschedule, please use the link: https://observepoint.chilipiper.com/reschedule/af53c46b-8ce5-4e2d-962c-dd45f1e25200</t>
  </si>
  <si>
    <t>chris.hawkes@observepoint.com</t>
  </si>
  <si>
    <t>macey.bell@observepoint.com, jsebastian@athenahealth.com, mkorber@athenahealth.com, vpradeep@athenahealth.com, john.davis@observepoint.com</t>
  </si>
  <si>
    <t>INVITED, YES, NO, YES, INVITED</t>
  </si>
  <si>
    <t>25k3e407f4vkcuvm66gn3dvfq9@google.com</t>
  </si>
  <si>
    <t>John / Jake - OP Training sync</t>
  </si>
  <si>
    <t>please have watched the gong calls Macey sent over and we will go over them and talk in terms a of strategy.</t>
  </si>
  <si>
    <t>YES</t>
  </si>
  <si>
    <t>jake.bauer@observepoint.com</t>
  </si>
  <si>
    <t>5idbp8jkqt7f1tjhmcddjonb7g@google.com</t>
  </si>
  <si>
    <t xml:space="preserve">Steve / Nic (ObservePoint Sync) </t>
  </si>
  <si>
    <t>macey.bell@observepoint.com, steve.choi@prudential.com, john.davis@observepoint.com</t>
  </si>
  <si>
    <t>INVITED, YES, INVITED</t>
  </si>
  <si>
    <t>2bkid59f6u08uem97hhs20ot4m@google.com</t>
  </si>
  <si>
    <t>Reports</t>
  </si>
  <si>
    <t>287kc9c6kcmnfl40puns8gam13@google.com</t>
  </si>
  <si>
    <t>John / Jake - review the Mongo DB</t>
  </si>
  <si>
    <t>Ifyou have other calls you'd like to review let mek now. and we can review or talk about any questions you have.</t>
  </si>
  <si>
    <t>1nspi7mkfk1vp9rnlvho5c8tfo@google.com</t>
  </si>
  <si>
    <t>Okta Buildout</t>
  </si>
  <si>
    <t>&lt;a href="https://docs.google.com/spreadsheets/d/13gd6c7i-sa-_X_iXGGANFz3FNhs5EdZyqsjv78du2qw/edit" class="pastedDriveLink-0"&gt;https://docs.google.com/spreadsheets/d/13gd6c7i-sa-_X_iXGGANFz3FNhs5EdZyqsjv78du2qw/edit&lt;/a&gt;</t>
  </si>
  <si>
    <t>4bgqk6fqcp6hn17s4qlgdf1usc@google.com</t>
  </si>
  <si>
    <t>Review Athena Video</t>
  </si>
  <si>
    <t>Changes made to the title, description, or attachments will not be saved. To make edits, please go to: https://tasks.google.com/task/P9oupXo4PrzKBY7v</t>
  </si>
  <si>
    <t>OWNER</t>
  </si>
  <si>
    <t>4d48t2ghti19moeean9j3eoktd@google.com</t>
  </si>
  <si>
    <t>Athena Health || Onboarding Debrief</t>
  </si>
  <si>
    <t>https://observepoint.zoom.us/j/3133456073?omn=98925617537&amp;jst=3</t>
  </si>
  <si>
    <t>&lt;p&gt;&lt;br&gt;──────────&lt;br&gt;&lt;br&gt;Chris Hawkes is inviting you to a scheduled Zoom meeting.&lt;br&gt;Join Zoom Meeting&lt;br&gt;https://observepoint.zoom.us/j/3133456073?omn=98925617537&lt;br&gt;&lt;br&gt;Meeting ID: 313 345 6073&lt;br&gt;&lt;br&gt;---&lt;br&gt;&lt;br&gt;One tap mobile&lt;br&gt;+12532158782,,3133456073# US (Tacoma)&lt;br&gt;+13462487799,,3133456073# US (Houston)&lt;br&gt;&lt;br&gt;Join instructions&lt;br&gt;https://observepoint.zoom.us/meetings/98925617537/invitations?signature=2wZRwlaOjnssp15-RGAjBM0BsvAcK601FD5vJsEjFv8&lt;br&gt;&lt;br&gt;&lt;br&gt;&lt;br&gt;──────────&lt;/p&gt;</t>
  </si>
  <si>
    <t>su6hjl9dbvok9ejfj85ekirauc@google.com</t>
  </si>
  <si>
    <t>Dell &amp; ObservePoint Sync</t>
  </si>
  <si>
    <t>https://observepoint.zoom.us/j/7387828030?pwd=WmdZQ24vM2htQmYydU56OFBidkU3Zz09</t>
  </si>
  <si>
    <t xml:space="preserve">https://observepoint.zoom.us/j/7387828030?pwd=WmdZQ24vM2htQmYydU56OFBidkU3Zz09
ObservePoint Weekly Sync
- Go over account plan
- Discuss new opportunities
- Review current projects
- Hear feedback on OP </t>
  </si>
  <si>
    <t>tyrone.battle@dell.com, john.davis@observepoint.com, todd.wilkerson@observepoint.com</t>
  </si>
  <si>
    <t>57ptg7i5co4b5ug3vff35142rt@google.com</t>
  </si>
  <si>
    <t>Nic / John Prepare for Pru.com</t>
  </si>
  <si>
    <t>040000008200E00074C5B7101A82E00800000000A0D046288058DC01000000000000000010000000CF50F3752AA29A46865B640392404CBD</t>
  </si>
  <si>
    <t>Microsoft Teams Meeting</t>
  </si>
  <si>
    <t xml:space="preserve">Rescheduling due to conflicts.
Hi All,
We will review ObservePoint audit of 10K master list of Pru.com URLs with broader team to identify any issues with missing/unnecessary tags, OneTrust cookie banners, broken links like 404, site load speed, etc.
Thanks,
Steve
________________________________________________________________________________
Microsoft Teams Need help?&lt;https://aka.ms/JoinTeamsMeeting?omkt=en-US&gt;
Join the meeting now&lt;https://teams.microsoft.com/l/meetup-join/19%3ameeting_NzNiOWVhOWMtNTQ3Yi00M2M5LTkyZWYtOGY3ZGZhMWRlNGM2%40thread.v2/0?context=%7b%22Tid%22%3a%22d8fde2f5-9392-4260-8a03-0ad01f4746e9%22%2c%22Oid%22%3a%224cf02d10-78dd-48bc-8462-dd3691fbdcba%22%7d&gt;
Meeting ID: 259 349 915 540 65
Passcode: kA65Co94
________________________________
Dial in by phone
+1 201-268-5459,,605733340#&lt;tel:+12012685459,,605733340&gt; United States, Jersey City
Find a local number&lt;https://dialin.teams.microsoft.com/ac35f719-4ba9-43f5-9868-757c80218322?id=605733340&gt;
Phone conference ID: 605 733 340#
Join on a video conferencing device
Tenant key: pru@m.webex.com&lt;mailto:pru@m.webex.com&gt;
Video ID: 111 645 947 4
More info&lt;https://www.webex.com/msteams?confid=1116459474&amp;tenantkey=pru&amp;domain=m.webex.com&gt;
For organizers: Meeting options&lt;https://teams.microsoft.com/meetingOptions/?organizerId=4cf02d10-78dd-48bc-8462-dd3691fbdcba&amp;tenantId=d8fde2f5-9392-4260-8a03-0ad01f4746e9&amp;threadId=19_meeting_NzNiOWVhOWMtNTQ3Yi00M2M5LTkyZWYtOGY3ZGZhMWRlNGM2@thread.v2&amp;messageId=0&amp;language=en-US&gt; | Reset dial-in PIN&lt;https://dialin.teams.microsoft.com/usp/pstnconferencing&gt;
Click the Help link below for Teams meeting troubleshooting tips. Site is accessible when connected to the Prudential network.
Org help&lt;https://prudentialus.sharepoint.com/sites/trc/SitePages/Teams-Meeting-Tips.aspx?source=https%3A%2F%2Fprudentialus.sharepoint.com%2Fsites%2Ftrc%2FSitePages%2FForms%2FAllPages.aspx&gt;
________________________________________________________________________________
</t>
  </si>
  <si>
    <t>raghunath.munugala@prudential.com, jennifer.castri@prudential.com, lauren.tajar@prudential.com, john.davis@observepoint.com, chirag1.patel@prudential.com, priyank.goswami@prudential.com, rathna.chinnappa@prudential.com, nic.suder@observepoint.com, rolando.rafanan@prudential.com, paula.mcnerney@prudential.com, baijnath.gupta@prudential.com, michael.vance@prudential.com, eileen.cuevas@prudential.com, sanjana.dodley@prudential.com, swati.nehra@prudential.com, radhakrishna.nagaraj@prudential.com, sean.murray@prudential.com, maximilian.stefani@prudential.com, narender.reddy@prudential.com, prabhugouda.biradar@prudential.com</t>
  </si>
  <si>
    <t>Raghunath Munugala, Jenny Castri, Lauren Tajar, john.davis@observepoint.com, Chirag Patel, Priyank Goswami, Rathna Chinnappa, Nic Suder, Rolando Rafanan, Paula McNerney, Baijnath Gupta, Mike Vance, Eileen Cuevas, Sanjana Dodley, Swati Nehra, Radhakrishna Nagaraj, Sean Murray, Maximilian Stefani, Narender Reddy Karka, Prabhu Biradar</t>
  </si>
  <si>
    <t>INVITED, INVITED, INVITED, YES, INVITED, INVITED, INVITED, INVITED, INVITED, INVITED, INVITED, INVITED, INVITED, INVITED, INVITED, INVITED, INVITED, INVITED, INVITED, INVITED</t>
  </si>
  <si>
    <t>7t5sc4bvlfosdbtntfuk5plpul@google.com</t>
  </si>
  <si>
    <t>Overtime for Pru meeting</t>
  </si>
  <si>
    <t>8dj710ggpfmp405n9q9cfq827s@google.com</t>
  </si>
  <si>
    <t>Intro Call - ObservePoint | Prudential Financial Inc.</t>
  </si>
  <si>
    <t>https://www.google.com/url?q=https://teams.microsoft.com/l/meetup-join/19%253ameeting_ZjRkMzM1MjItZGNjOS00MWFhLWJlNjQtMjc4ZTJmOWM2NjJj%2540thread.v2/0?context%3D%257b%2522Tid%2522%253a%2522d8fde2f5-9392-4260-8a03-0ad01f4746e9%2522%252c%2522Oid%2522%253a%25224cf02d10-78dd-48bc-8462-dd3691fbdcba%2522%257d&amp;sa=D&amp;source=calendar&amp;ust=1765285820775070&amp;usg=AOvVaw3V0plEwdclZlUpwH8CYzX8</t>
  </si>
  <si>
    <t>Join the meeting now&amp;lt;&lt;a href="https://teams.microsoft.com/l/meetup-join/19%3ameeting_ZjRkMzM1MjItZGNjOS00MWFhLWJlNjQtMjc4ZTJmOWM2NjJj%40thread.v2/0?context=%7b%22Tid%22%3a%22d8fde2f5-9392-4260-8a03-0ad01f4746e9%22%2c%22Oid%22%3a%224cf02d10-78dd-48bc-8462-dd3691fbdcba%22%7d" target="_blank"&gt;&lt;u&gt;https://teams.microsoft.com/l/meetup-join/19%3ameeting_ZjRkMzM1MjItZGNjOS00MWFhLWJlNjQtMjc4ZTJmOWM2NjJj%40thread.v2/0?context=%7b%22Tid%22%3a%22d8fde2f5-9392-4260-8a03-0ad01f4746e9%22%2c%22Oid%22%3a%224cf02d10-78dd-48bc-8462-dd3691fbdcba%22%7d&lt;/u&gt;&lt;/a&gt;&amp;gt;Meeting ID: 249 909 588 585 27Passcode: eM24aW6v</t>
  </si>
  <si>
    <t>dallin.madsen@observepoint.com</t>
  </si>
  <si>
    <t>jarrod.wilbur@observepoint.com, steve.choi@prudential.com, john.davis@observepoint.com</t>
  </si>
  <si>
    <t>040000008200E00074C5B7101A82E00800000000507694DBF464DC01000000000000000010000000C438BC2C4F5A73488D1C409E5311D9EF</t>
  </si>
  <si>
    <t xml:space="preserve">ObservePoint report card for Prudential discussion </t>
  </si>
  <si>
    <t xml:space="preserve">
On Wed, Dec 3, 2025 at 4:50 PM Steve Choi &lt;steve.choi@prudential.com&lt;mailto:steve.choi@prudential.com&gt;&gt; wrote:
See additional context from my chat with Kelly who work in Prudential Compliance.  Are you available tomorrow, Thursday to chat?  This is causing some headache internally since the attached report was shared with many people.
[cid:image001.png@01DC64F5.24A4FDB0]
From: Steve Choi
Sent: Wednesday, December 3, 2025 4:36 PM
To: John Davis &lt;john.davis@observepoint.com&lt;mailto:john.davis@observepoint.com&gt;&gt;; Nic Suder &lt;nic.suder@observepoint.com&lt;mailto:nic.suder@observepoint.com&gt;&gt;; Macey Bell &lt;macey.bell@observepoint.com&lt;mailto:macey.bell@observepoint.com&gt;&gt;; Mihai from ObservePoint &lt;support@observepoint.com&lt;mailto:support@observepoint.com&gt;&gt;
Subject: RE: ObservePoint Report Card
Importance: High
Hello ObservePoint team,
Below email and attached report caused some confusion at Prudential.
  1.  Do you know who created this ObservePoint report and how it was created?  I am not familiar with it.
  2.  Who receives the report and how often does it go out?
  3.  If it is automated report, can you deactivate immediately?
Thanks,
Steve
-----Original Appointment-----
From: Kelly Williams &lt;kelly.1.williams@prudential.com&lt;mailto:kelly.1.williams@prudential.com&gt;&gt;
Sent: Wednesday, December 3, 2025 3:58 PM
To: Steve Choi; Mike Vance; Lydia Barlow
Cc: Matt Diiorio; Emily Katz; Maximilian Stefani
Subject: ObservePoint Report Card
When: Friday, December 5, 2025 10:30 AM-11:00 AM (UTC-08:00) Pacific Time (US &amp; Canada).
Where: Microsoft Teams Meeting
Steve and Mike-
We received the attached report card from ObservePoint regarding our Consent and Preference Management. We are hoping to grab a short amount of your time on Friday to try and make sense of this report. Matt Dioro gave us your names as the relationship managers with this vendor, so we thought we’d start with you this group. Adding Max as optional as I know this overlaps in some of his work. If you’d like to add anyone else to the invitation, please let me know.
Thank you,
Kelly Williams (She/Her/Hers)
Director
Global Insurance Compliance | Sales and Marketing
751 Street Newark, NJ 07102
C 206.383.0362
Kelly.1.williams@prudential.com&lt;mailto:Kelly.1.williams@prudential.com&gt;
[A blue and black logo    Description automatically generated]
________________________________________________________________________________
Microsoft Teams Need help?&lt;https://aka.ms/JoinTeamsMeeting?omkt=en-US&gt;
Join the meeting now&lt;https://teams.microsoft.com/l/meetup-join/19%3ameeting_ZjRkMzM1MjItZGNjOS00MWFhLWJlNjQtMjc4ZTJmOWM2NjJj%40thread.v2/0?context=%7b%22Tid%22%3a%22d8fde2f5-9392-4260-8a03-0ad01f4746e9%22%2c%22Oid%22%3a%224cf02d10-78dd-48bc-8462-dd3691fbdcba%22%7d&gt;
Meeting ID: 249 909 588 585 27
Passcode: eM24aW6v
________________________________
Dial in by phone
+1 201-268-5459,,85937964#&lt;tel:+12012685459,,85937964&gt; United States, Jersey City
Find a local number&lt;https://dialin.teams.microsoft.com/ac35f719-4ba9-43f5-9868-757c80218322?id=85937964&gt;
Phone conference ID: 859 379 64#
Join on a video conferencing device
Tenant key: pru@m.webex.com
Video ID: 112 798 398 9
More info&lt;https://www.webex.com/msteams?confid=1127983989&amp;tenantkey=pru&amp;domain=m.webex.com&gt;
For organizers: Meeting options&lt;https://teams.microsoft.com/meetingOptions/?organizerId=4cf02d10-78dd-48bc-8462-dd3691fbdcba&amp;tenantId=d8fde2f5-9392-4260-8a03-0ad01f4746e9&amp;threadId=19_meeting_ZjRkMzM1MjItZGNjOS00MWFhLWJlNjQtMjc4ZTJmOWM2NjJj@thread.v2&amp;messageId=0&amp;language=en-US&gt; | Reset dial-in PIN&lt;https://dialin.teams.microsoft.com/usp/pstnconferencing&gt;
Click the Help link below for Teams meeting troubleshooting tips. Site is accessible when connected to the Prudential network.
Org help&lt;https://prudentialus.sharepoint.com/sites/trc/SitePages/Teams-Meeting-Tips.aspx?source=https%3A%2F%2Fprudentialus.sharepoint.com%2Fsites%2Ftrc%2FSitePages%2FForms%2FAllPages.aspx&gt;
________________________________________________________________________________
</t>
  </si>
  <si>
    <t>john.davis@observepoint.com, dallin.madsen@observepoint.com</t>
  </si>
  <si>
    <t>3m5tf28d7ksmnvjphkocjm1e6a@google.com</t>
  </si>
  <si>
    <t>John / Dylan Sync</t>
  </si>
  <si>
    <t>040000008200E00074C5B7101A82E00800000000E06073F73865DC010000000000000000100000004A87FE838627624587D220CF0995C28C</t>
  </si>
  <si>
    <t xml:space="preserve">Teams link is at the bottom
From: Steve Choi steve.choi@prudential.com&lt;mailto:steve.choi@prudential.com&gt;
Sent: Friday, December 5, 2025 9:15 AM
To: Baijnath Gupta baijnath.gupta@prudential.com&lt;mailto:baijnath.gupta@prudential.com&gt;; John Davis john.davis@observepoint.com&lt;mailto:john.davis@observepoint.com&gt;; Dallin Madsen dallin.madsen@observepoint.com&lt;mailto:dallin.madsen@observepoint.com&gt;; Jarrod Wilbur jarrod.wilbur@observepoint.com&lt;mailto:jarrod.wilbur@observepoint.com&gt;
Cc: Nic Suder nic.suder@observepoint.com&lt;mailto:nic.suder@observepoint.com&gt;; Macey Bell macey.bell@observepoint.com&lt;mailto:macey.bell@observepoint.com&gt;; Mihai from ObservePoint support@observepoint.com&lt;mailto:support@observepoint.com&gt;; Dallin Madsen dallin.madsen@observepoint.com&lt;mailto:dallin.madsen@observepoint.com&gt;; Maximilian Stefani maximilian.stefani@prudential.com&lt;mailto:maximilian.stefani@prudential.com&gt;; Prabhu Biradar prabhugouda.biradar@prudential.com&lt;mailto:prabhugouda.biradar@prudential.com&gt;; Rathna Chinnappa rathna.chinnappa@prudential.com&lt;mailto:rathna.chinnappa@prudential.com&gt;; GT Analytics Tagging gt.analytics.tagging@prudential.com&lt;mailto:gt.analytics.tagging@prudential.com&gt;
Subject: RE: ObservePoint Report Card
Importance: High
Hi John/Jarrod,
When I clicked the first link below, I see this.  Where can we see the audit reports  that Jarrod showed yesterday?
Also, I had to manually login since SSO didn’t work.  Prudential uses SSO to login to ObservePoint.
[cid:image001.png@01DC65C8.7353F960]
From: Baijnath Gupta &lt;baijnath.gupta@prudential.com&lt;mailto:baijnath.gupta@prudential.com&gt;&gt;
Sent: Friday, December 5, 2025 8:58 AM
To: John Davis &lt;john.davis@observepoint.com&lt;mailto:john.davis@observepoint.com&gt;&gt;; Steve Choi &lt;steve.choi@prudential.com&lt;mailto:steve.choi@prudential.com&gt;&gt;
Cc: Nic Suder &lt;nic.suder@observepoint.com&lt;mailto:nic.suder@observepoint.com&gt;&gt;; Macey Bell &lt;macey.bell@observepoint.com&lt;mailto:macey.bell@observepoint.com&gt;&gt;; Mihai from ObservePoint &lt;support@observepoint.com&lt;mailto:support@observepoint.com&gt;&gt;; Dallin Madsen &lt;dallin.madsen@observepoint.com&lt;mailto:dallin.madsen@observepoint.com&gt;&gt;; Maximilian Stefani &lt;maximilian.stefani@prudential.com&lt;mailto:maximilian.stefani@prudential.com&gt;&gt;; Prabhu Biradar &lt;prabhugouda.biradar@prudential.com&lt;mailto:prabhugouda.biradar@prudential.com&gt;&gt;; Rathna Chinnappa &lt;rathna.chinnappa@prudential.com&lt;mailto:rathna.chinnappa@prudential.com&gt;&gt;
Subject: RE: ObservePoint Report Card
I’m unable to view these audit reports. Is anyone else having the same issue?
https://app.observepoint.com/audit/1999662/run/8287180/report/cookie-inventory
https://app.observepoint.com/audit/1999663/run/8287181/report/cookie-inventory
https://app.observepoint.com/audit/2001401/run/8302972/report/cookie-inventory
________________________________
From: John Davis &lt;john.davis@observepoint.com&lt;mailto:john.davis@observepoint.com&gt;&gt;
Sent: Thursday, December 4, 2025 6:36:20 PM
To: Nic Suder &lt;nic.suder@observepoint.com&lt;mailto:nic.suder@observepoint.com&gt;&gt;
Cc: Steve Choi &lt;steve.choi@prudential.com&lt;mailto:steve.choi@prudential.com&gt;&gt;; Macey Bell &lt;macey.bell@observepoint.com&lt;mailto:macey.bell@observepoint.com&gt;&gt;; Mihai from ObservePoint &lt;support@observepoint.com&lt;mailto:support@observepoint.com&gt;&gt;; Dallin Madsen &lt;dallin.madsen@observepoint.com&lt;mailto:dallin.madsen@observepoint.com&gt;&gt;
Subject: Re: ObservePoint Report Card
Hey Steve,
So first off, here are the three audits that powered that report card, including the one that we talked about today (California Opt-Out):
https://app.observepoint.com/audit/1999662/run/8287180/report/cookie-inventory
https://app.observepoint.com/audit/1999663/run/8287181/report/cookie-inventory
https://app.observepoint.com/audit/2001401/run/8302972/report/cookie-inventory
Secondly, I got some clarification on our audit process and how it works with the Onetrust opt out. Basically it is going to track the cookies and tags as it navigates from page to page after opting out initially. We also did some manual testing ourselves and noticed that the tags are firing after opting out in Chrome. I am willing to jump on a call tomorrow if you need more clarification though so let me know.
Regards,
John Davis    |     Customer Success Manager
________________________________________________________________________________
Microsoft Teams Need help?&lt;https://aka.ms/JoinTeamsMeeting?omkt=en-US&gt;
Join the meeting now&lt;https://teams.microsoft.com/l/meetup-join/19%3ameeting_NjU5NDNhMDUtNmFhOC00NjRhLWFhMjctOTA2NGUxYjBhZmU2%40thread.v2/0?context=%7b%22Tid%22%3a%22d8fde2f5-9392-4260-8a03-0ad01f4746e9%22%2c%22Oid%22%3a%224cf02d10-78dd-48bc-8462-dd3691fbdcba%22%7d&gt;
Meeting ID: 218 380 137 761 30
Passcode: 8us3j9Ut
________________________________
Dial in by phone
+1 201-268-5459,,305944224#&lt;tel:+12012685459,,305944224&gt; United States, Jersey City
Find a local number&lt;https://dialin.teams.microsoft.com/ac35f719-4ba9-43f5-9868-757c80218322?id=305944224&gt;
Phone conference ID: 305 944 224#
Join on a video conferencing device
Tenant key: pru@m.webex.com&lt;mailto:pru@m.webex.com&gt;
Video ID: 112 391 956 3
More info&lt;https://www.webex.com/msteams?confid=1123919563&amp;tenantkey=pru&amp;domain=m.webex.com&gt;
For organizers: Meeting options&lt;https://teams.microsoft.com/meetingOptions/?organizerId=4cf02d10-78dd-48bc-8462-dd3691fbdcba&amp;tenantId=d8fde2f5-9392-4260-8a03-0ad01f4746e9&amp;threadId=19_meeting_NjU5NDNhMDUtNmFhOC00NjRhLWFhMjctOTA2NGUxYjBhZmU2@thread.v2&amp;messageId=0&amp;language=en-US&gt; | Reset dial-in PIN&lt;https://dialin.teams.microsoft.com/usp/pstnconferencing&gt;
Click the Help link below for Teams meeting troubleshooting tips. Site is accessible when connected to the Prudential network.
Org help&lt;https://prudentialus.sharepoint.com/sites/trc/SitePages/Teams-Meeting-Tips.aspx?source=https%3A%2F%2Fprudentialus.sharepoint.com%2Fsites%2Ftrc%2FSitePages%2FForms%2FAllPages.aspx&gt;
________________________________________________________________________________
</t>
  </si>
  <si>
    <t>nic.suder@observepoint.com, jarrod.wilbur@observepoint.com, gt.analytics.tagging@prudential.com, baijnath.gupta@prudential.com, john.davis@observepoint.com, dallin.madsen@observepoint.com, maximilian.stefani@prudential.com, prabhugouda.biradar@prudential.com, rathna.chinnappa@prudential.com</t>
  </si>
  <si>
    <t>Nic Suder, Jarrod Wilbur, GT Analytics Tagging, Baijnath Gupta, john.davis@observepoint.com, Dallin Madsen, Maximilian Stefani, Prabhu Biradar, Rathna Chinnappa</t>
  </si>
  <si>
    <t>INVITED, INVITED, INVITED, INVITED, INVITED, INVITED, INVITED, INVITED, INVITED</t>
  </si>
  <si>
    <t>040000008200E00074C5B7101A82E00800000000F09FF114F365DC01000000000000000010000000A1AFFBE86DBB0A468B1DA30A11D3E4EB</t>
  </si>
  <si>
    <t xml:space="preserve">Can we discuss below?  Thanks.
Hi All-
Thanks very much for the time today and the additional information/research on the attached report card. As mentioned in our meeting, we will want to go about formally documenting the inaccuracies and additional context needed for this report card. Here are follow up actions for the group:
  *   Provide email summary/evidence to the contrary of each letter grade provided in the report.
     *   Pages missing CMP (already has an compliance issue we are working on in partnership with @Maximilian Stefani&lt;mailto:maximilian.stefani@prudential.com&gt;) Feel free to add additional context here if you have it, but I think this one is well documented.
     *   Pages that load ad trackers
     *   Pages that load social media trackers
     *   Pages that load third-party cookies
  *   Investigate how GPC is honored for users using a Google browser given that GPC does not currently work with Google and summarize how we are honoring users’ preferences who are leverage GPC.
________________________________________________________________________________
Microsoft Teams Need help?&lt;https://aka.ms/JoinTeamsMeeting?omkt=en-US&gt;
Join the meeting now&lt;https://teams.microsoft.com/l/meetup-join/19%3ameeting_NGUzNTg3MDMtYmNkMi00OTUwLTkzZDktZTI0NWRiZTgzYjc4%40thread.v2/0?context=%7b%22Tid%22%3a%22d8fde2f5-9392-4260-8a03-0ad01f4746e9%22%2c%22Oid%22%3a%224cf02d10-78dd-48bc-8462-dd3691fbdcba%22%7d&gt;
Meeting ID: 297 431 251 018 02
Passcode: dL9qA3At
________________________________
Dial in by phone
+1 201-268-5459,,671455905#&lt;tel:+12012685459,,671455905&gt; United States, Jersey City
Find a local number&lt;https://dialin.teams.microsoft.com/ac35f719-4ba9-43f5-9868-757c80218322?id=671455905&gt;
Phone conference ID: 671 455 905#
Join on a video conferencing device
Tenant key: pru@m.webex.com&lt;mailto:pru@m.webex.com&gt;
Video ID: 113 895 535 4
More info&lt;https://www.webex.com/msteams?confid=1138955354&amp;tenantkey=pru&amp;domain=m.webex.com&gt;
For organizers: Meeting options&lt;https://teams.microsoft.com/meetingOptions/?organizerId=4cf02d10-78dd-48bc-8462-dd3691fbdcba&amp;tenantId=d8fde2f5-9392-4260-8a03-0ad01f4746e9&amp;threadId=19_meeting_NGUzNTg3MDMtYmNkMi00OTUwLTkzZDktZTI0NWRiZTgzYjc4@thread.v2&amp;messageId=0&amp;language=en-US&gt; | Reset dial-in PIN&lt;https://dialin.teams.microsoft.com/usp/pstnconferencing&gt;
Click the Help link below for Teams meeting troubleshooting tips. Site is accessible when connected to the Prudential network.
Org help&lt;https://prudentialus.sharepoint.com/sites/trc/SitePages/Teams-Meeting-Tips.aspx?source=https%3A%2F%2Fprudentialus.sharepoint.com%2Fsites%2Ftrc%2FSitePages%2FForms%2FAllPages.aspx&gt;
________________________________________________________________________________
</t>
  </si>
  <si>
    <t>baijnath.gupta@prudential.com, john.davis@observepoint.com, maximilian.stefani@prudential.com, prabhugouda.biradar@prudential.com, rathna.chinnappa@prudential.com</t>
  </si>
  <si>
    <t>Baijnath Gupta, john.davis@observepoint.com, Maximilian Stefani, Prabhu Biradar, Rathna Chinnappa</t>
  </si>
  <si>
    <t>INVITED, YES, INVITED, INVITED, INVITED</t>
  </si>
  <si>
    <t>6epdb3m8ejuhmntrlt32200rh2_R20241119T190000@google.com</t>
  </si>
  <si>
    <t>ObservePoint | RWJF - Sync</t>
  </si>
  <si>
    <t>&lt;a href="https://observepoint.zoom.us/j/3742631971?pwd=Z2JhWG1yV1ZtOVBnMVZaRDR0bjVDZz09&amp;omn=92652801956" target="_blank"&gt;&lt;u&gt;https://observepoint.zoom.us/j/3742631971?pwd=Z2JhWG1yV1ZtOVBnMVZaRDR0bjVDZz09&amp;amp;omn=92652801956&lt;/u&gt;&lt;/a&gt;</t>
  </si>
  <si>
    <t>NO</t>
  </si>
  <si>
    <t>phagerty@rwjf.org, john.davis@observepoint.com, andy.compas@observepoint.com</t>
  </si>
  <si>
    <t>Phil Hagerty, john.davis@observepoint.com, andy.compas@observepoint.com</t>
  </si>
  <si>
    <t>YES, NO, MAYBE</t>
  </si>
  <si>
    <t>1e9bopu71q61k490itp9hcgft9@google.com</t>
  </si>
  <si>
    <t xml:space="preserve">Macey, Andy and Amy to connect </t>
  </si>
  <si>
    <t>andy.compas@observepoint.com</t>
  </si>
  <si>
    <t>macey.bell@observepoint.com, alewis@thinkbrg.com, john.davis@observepoint.com</t>
  </si>
  <si>
    <t>INVITED, YES, YES</t>
  </si>
  <si>
    <t>7asdvst832bqdjqop1jkftb3gj@google.com</t>
  </si>
  <si>
    <t>Dignity Health Sync</t>
  </si>
  <si>
    <t>Let's catch up on Dignity before our call with them!
Talk about their success plan, current areas of focus, and make sure their lucidchart is up to date. They also have some custom solutions it will be good for you to have a baseline understanding of.</t>
  </si>
  <si>
    <t>NO, NO, INVITED, INVITED, MAYBE, YES, INVITED, YES, MAYBE</t>
  </si>
  <si>
    <t>0pjj3sgmuvphu53k8m904d37p3@google.com</t>
  </si>
  <si>
    <t>Send Jake a Gong video</t>
  </si>
  <si>
    <t>Changes made to the title, description, or attachments will not be saved. To make edits, please go to: https://tasks.google.com/task/hSObqmVOXp0pH6jz</t>
  </si>
  <si>
    <t>2phfa4dcc8453725mtn2lmrs2f@google.com</t>
  </si>
  <si>
    <t>Followup email with Robert @ Ziff Davis</t>
  </si>
  <si>
    <t>Changes made to the title, description, or attachments will not be saved. To make edits, please go to: https://tasks.google.com/task/7ErpXbzh8zlGi6hF</t>
  </si>
  <si>
    <t>f0hcs5u78qgi21gkf2b7drultr_R20251210T203000@google.com</t>
  </si>
  <si>
    <t>ObservePoint | Amica - Sync</t>
  </si>
  <si>
    <t>&lt;a href="https://observepoint.zoom.us/j/3742631971?pwd=Z2JhWG1yV1ZtOVBnMVZaRDR0bjVDZz09&amp;omn=96471481894" target="_blank"&gt;&lt;u&gt;https://observepoint.zoom.us/j/3742631971?pwd=Z2JhWG1yV1ZtOVBnMVZaRDR0bjVDZz09&amp;amp;omn=96471481894&lt;/u&gt;&lt;/a&gt;&lt;br&gt;&lt;br&gt;Adding he meeting link here hopefully to make it easier to find for future meetings.</t>
  </si>
  <si>
    <t>kmusku@amica.com, fialongo@amica.com, gvaleti@amica.com, arasheed@amica.com, mfwood@amica.com, mpatel2@amica.com, spalavalasa@amica.com, john.davis@observepoint.com, psmith2@amica.com, krenaud@amica.com</t>
  </si>
  <si>
    <t>MUSKU, KRISHNA CHITANYA R., fialongo@amica.com, VALETI, GOWTHAM KUMAR, RASHEED, ABDUL, mfwood@amica.com, PATEL, MAYUR A., spalavalasa@amica.com, john.davis@observepoint.com, psmith2@amica.com, RENAUD, KATE E.</t>
  </si>
  <si>
    <t>INVITED, YES, YES, YES, INVITED, INVITED, INVITED, YES, YES, INVITED</t>
  </si>
  <si>
    <t>7g33vo676f20oldrlvi27p8tro@google.com</t>
  </si>
  <si>
    <t>ObservePoint | Spark - New CSM Introduction</t>
  </si>
  <si>
    <t>macey.bell@observepoint.com, mycal.tamariki@spark.co.nz, scott.kempster@spark.co.nz, krushi.radadiya@spark.co.nz</t>
  </si>
  <si>
    <t>YES, YES, YES, YES</t>
  </si>
  <si>
    <t>9ve5d4629r6g51l12m9terg5rk@google.com</t>
  </si>
  <si>
    <t>ObservePoint | Officeworks - Sync</t>
  </si>
  <si>
    <t>Looking forward to connecting.
If you need to reschedule, please use the link: https://observepoint.chilipiper.com/reschedule/d1dda5c0-1a36-44eb-8aca-47980ab2e656</t>
  </si>
  <si>
    <t>hchamberlain@officeworks.com.au, john.davis@observepoint.com</t>
  </si>
  <si>
    <t>5boomps46hrdlo4pv1carmr9cq@google.com</t>
  </si>
  <si>
    <t>Officeworks audits + recap of calls</t>
  </si>
  <si>
    <t>5qlspbrlcotm3r0i66t2t6hukg_R20251211T173000@google.com</t>
  </si>
  <si>
    <t>7vcrrjggo9trq8cj6durraehab@google.com</t>
  </si>
  <si>
    <t>Observepoint | Lumen - Sync</t>
  </si>
  <si>
    <t>macey.bell@observepoint.com, neil.black@lumen.com, kerry.liszka@lumen.com, arnold.hong@lumen.com</t>
  </si>
  <si>
    <t>33i6eu2dos0q39hc8ssoea8ijn@google.com</t>
  </si>
  <si>
    <t>John / Jake - call and hand-off review.</t>
  </si>
  <si>
    <t>5inu6rdhbaal4kam9lsb4niujj@google.com</t>
  </si>
  <si>
    <t>ObservePoint | Questrade - New CSM Instroduction</t>
  </si>
  <si>
    <t>who@questrade.com, rchau@questrade.com, john.davis@observepoint.com</t>
  </si>
  <si>
    <t>0ufgtcj1mdi28s0o73m5a4o10f@google.com</t>
  </si>
  <si>
    <t>ObservePoint Holiday Party</t>
  </si>
  <si>
    <t>5132 N 300 W, Provo, UT 84604</t>
  </si>
  <si>
    <t>We invite you and your significant other to an evening of celebration! Enjoy catered food, live music, and festive fun. Join us as we toast to the season and another wonderful year together. We can’t wait to celebrate with you! 🎄</t>
  </si>
  <si>
    <t>zane.charles@observepoint.com, us@observepoint.com, john.davis@observepoint.com, tasha.eagar@gmail.com, adrian.gircoveanu@observepoint.com</t>
  </si>
  <si>
    <t>zane.charles@observepoint.com, US Employees, john.davis@observepoint.com, tasha.eagar@gmail.com, adrian.gircoveanu@observepoint.com</t>
  </si>
  <si>
    <t>YES, INVITED, INVITED, YES, YES</t>
  </si>
  <si>
    <t>gcql6ngvrak5oid39l78ic0df8@google.com</t>
  </si>
  <si>
    <t>kaleigh.wayment@observepoint.com</t>
  </si>
  <si>
    <t>kate.suder@observepoint.com, us@observepoint.com, john.davis@observepoint.com, tasha.eagar@gmail.com, adrian.gircoveanu@observepoint.com</t>
  </si>
  <si>
    <t>kate.suder@observepoint.com, US Employees, john.davis@observepoint.com, tasha.eagar@gmail.com, adrian.gircoveanu@observepoint.com</t>
  </si>
  <si>
    <t>NO, INVITED, INVITED, INVITED, INVITED</t>
  </si>
  <si>
    <t>1lsim3m34srfoke6q0nml3bqvu_R20251205T163000@google.com</t>
  </si>
  <si>
    <t>ObservePoint | Boston Scientific - Sync</t>
  </si>
  <si>
    <t>&lt;a href="https://docs.google.com/document/d/1bYxlKu9l23n9zIPRp5Wsp1Ap4hmbvLgeHB1NxkjtZK4/edit"&gt;https://docs.google.com/document/d/1bYxlKu9l23n9zIPRp5Wsp1Ap4hmbvLgeHB1NxkjtZK4/edit&lt;/a&gt;&lt;br&gt;&lt;br&gt;Macey's Zoom Link&lt;br&gt;&lt;a href="https://observepoint.zoom.us/j/3742631971?pwd=Z2JhWG1yV1ZtOVBnMVZaRDR0bjVDZz09&amp;omn=94546244430"&gt;&lt;u&gt;https://observepoint.zoom.us/j/3742631971?pwd=Z2JhWG1yV1ZtOVBnMVZaRDR0bjVDZz09&amp;amp;omn=94546244430&lt;/u&gt;&lt;/a&gt;</t>
  </si>
  <si>
    <t>brandie.green@bsci.com, john.davis@observepoint.com, abel.gomez@observepoint.com, jumi.kassim@bsci.com</t>
  </si>
  <si>
    <t>YES, NO, INVITED, NO</t>
  </si>
  <si>
    <t>1darincepu653ssg0b98bjagb5_R20251212T170000@google.com</t>
  </si>
  <si>
    <t>ObservePoint | Prudential - Sync</t>
  </si>
  <si>
    <t>steve.choi@prudential.com, john.davis@observepoint.com</t>
  </si>
  <si>
    <t>YES, NO</t>
  </si>
  <si>
    <t>YES, YES, YES, INVITED</t>
  </si>
  <si>
    <t>218mor5missl9pp5a4l5h8bptl_R20251128T200000@google.com</t>
  </si>
  <si>
    <t>bethany.coombs@observepoint.com</t>
  </si>
  <si>
    <t>jcarter@khov.com, john.davis@observepoint.com, mprotopopova@khov.com, efraticelli@khov.com, pdamera@khov.com</t>
  </si>
  <si>
    <t>jcarter@khov.com, john.davis@observepoint.com, Protopopova, Masha, efraticelli@khov.com, pdamera@khov.com</t>
  </si>
  <si>
    <t>INVITED, NO, YES, INVITED, INVITED</t>
  </si>
  <si>
    <t>h9m86au7bo5r715811akv05618@google.com</t>
  </si>
  <si>
    <t>ObservePoint | EDC - Sync</t>
  </si>
  <si>
    <t>Looking forward to connecting.
If you need to reschedule, please use the link: https://observepoint.chilipiper.com/reschedule/7141ba14-7a60-4b52-8c34-07fc0ffb2b86</t>
  </si>
  <si>
    <t>support@observepoint.com, dinika.rao@accenture.com, kev.lavoie@accenture.com, john.davis@observepoint.com</t>
  </si>
  <si>
    <t>INVITED, YES, YES, YES</t>
  </si>
  <si>
    <t>4bh0oe8dbn9bri9lemntrhbepp@google.com</t>
  </si>
  <si>
    <t>Privacy Use Case Buildout for Questrade</t>
  </si>
  <si>
    <t>040000008200E00074C5B7101A82E008000000008014F443015EDC010000000000000000100000003D407C1752877C46B73DC87543525CEE</t>
  </si>
  <si>
    <t>Ross/ObservePoint TB</t>
  </si>
  <si>
    <t xml:space="preserve">We’ll talk about the GPC signal testing and the year ahead.
________________________________________________________________________________
Microsoft Teams Need help?&lt;https://aka.ms/JoinTeamsMeeting?omkt=en-US&gt;
Join the meeting now&lt;https://teams.microsoft.com/l/meetup-join/19%3ameeting_ZWVhMTg4NTktYWQwOS00ZGU3LWE3MzktNTljM2JkOWU5MDZh%40thread.v2/0?context=%7b%22Tid%22%3a%220039204c-2313-4416-bdc3-42fcf01fdbd6%22%2c%22Oid%22%3a%22e77ce3e9-e912-4905-bd2b-f926b73563a1%22%7d&gt;
Meeting ID: 297 647 782 742 00
Passcode: M7UZ9J6J
________________________________
Join on a video conferencing device
Tenant key: 967310325@t.plcm.vc
Video ID: 114 060 897 1
More info&lt;https://dialin.plcm.vc/teams/?key=967310325&amp;conf=1140608971&gt;
For organizers: Meeting options&lt;https://teams.microsoft.com/meetingOptions/?organizerId=e77ce3e9-e912-4905-bd2b-f926b73563a1&amp;tenantId=0039204c-2313-4416-bdc3-42fcf01fdbd6&amp;threadId=19_meeting_ZWVhMTg4NTktYWQwOS00ZGU3LWE3MzktNTljM2JkOWU5MDZh@thread.v2&amp;messageId=0&amp;language=en-US&gt;
[https://www.rossstores.com/wp-content/uploads/2024/09/350x50-Combo-Logo.png]
Under Ross policy, participants may not record meetings unless previously authorized or permitted by law. The information contained in this message may be privileged, confidential, and protected from disclosure, you are hereby notified that any dissemination, distribution, or copying of this communication is strictly prohibited.
________________________________________________________________________________
</t>
  </si>
  <si>
    <t>macey.bell@observepoint.com, john.davis@observepoint.com, fe.valencia@ros.com</t>
  </si>
  <si>
    <t>Macey Bell, john.davis@observepoint.com, fe.valencia@ros.com</t>
  </si>
  <si>
    <t>YES, YES, INVITED</t>
  </si>
  <si>
    <t>1bvk5eiq08cq176uh2nc9gaup8@google.com</t>
  </si>
  <si>
    <t>Lets chat about Dylan's findings from last week and also automated scheduled reports.
Looking forward to connecting.
If you need to reschedule, please use the link: https://observepoint.chilipiper.com/reschedule/95d17104-3807-48ef-91a1-fae0b28abec6</t>
  </si>
  <si>
    <t>macey.bell@observepoint.com, steve.choi@prudential.com</t>
  </si>
  <si>
    <t>6s70rcm8c12vnh646qrm437jai@google.com</t>
  </si>
  <si>
    <t>ObservePoint | R.D. Offutt Company</t>
  </si>
  <si>
    <t>jlmoore@rdoffutt.com, macey.bell@observepoint.com, enordin@rdoffutt.com, bfergel@rdoffutt.com</t>
  </si>
  <si>
    <t>MAYBE, YES, YES, YES</t>
  </si>
  <si>
    <t>22k19174vd52ms85k5ds56c1oh@google.com</t>
  </si>
  <si>
    <t>ObservePoint | World Market - Sync</t>
  </si>
  <si>
    <t>clarke.anderson@observepoint.com, grant.menefee@worldmarket.com, john.davis@observepoint.com</t>
  </si>
  <si>
    <t>NO, YES, NO</t>
  </si>
  <si>
    <t>8b8llbppcfai75mtkng25k58pb_R20251216T180000@google.com</t>
  </si>
  <si>
    <t>YES, YES, YES, MAYBE, YES</t>
  </si>
  <si>
    <t>040000008200E00074C5B7101A82E0080000000040AE9DB4F56DDC010000000000000000100000006643B1A6D41240479C20EFE7C6210F4E</t>
  </si>
  <si>
    <t xml:space="preserve">Can we discuss below?  I need to respond to Compliance questions (highlighted in blue)
     *   Pages that load ad trackers – Ad Trackers have consent mode enabled.  Similar to Google Consent Mode, trackers are firing but cookies are getting suppressed.  According to ObservePoint, that is a failure.  Google introduced Consent Mode Version 2.0 which provides personalization consent signals.  This is currently not implemented on our side and we will implement it to start complying with the ads personalization issues highlighted in the scan by ObservePoint.   ETA for implementation – End of January ‘26
        *   ObservePoint is considering this a failure because trackers are firing. Can you explain what kind of trackers are firing and what kind of information they’re collecting?
     *   Pages that load social media trackers – For Pru.com site pages, we have found that there are no compliance issues, but for Advisor.Prudential, we have identified a social media tag that is not in compliance.  ETA for fix – 12/19.
        *   Appreciate the confirmation, but how do we know there are no compliance issues in light of what the report is stating? The report is not just based on advisor web experience, so help us evidence that there are no issues as confirmed.
     *   Pages that load third-party cookies – Per compliance requirements, presence of third-party cookies is not considered to be out of compliance.  ObservePoint considers persistence of cookies as an issue, but our implementation is compliant based on data collection. So persistent cookies are not proactively removed but we do not collect the data that those cookies receive.
        *   Regardless of cookie type (session/persistent cookies), under CPRA, if we drop cookies, we could be seen as collecting and sharing, especially with a third-party involved. Help us understand this further? Why are we dropping third-party cookies if there is nothing being collected? How are we not sharing if there are third-party cookies being dropped? What type of cookies are these? Why did we choose to do persistent and how long do they persist? What mechanisms do we have for honoring persistent opt out?
  *   Investigate how GPC is honored for users using a Google browser given that GPC does not currently work with Google and summarize how we are honoring users’ preferences who are leverage GPC –  GPC signal is integrated with OneTrust which auto sets the preferences to opt out.  It then follows the regular flow that we have set up with Google Consent Mode once the preferences are set.
     *   Thanks for clarifying. Quick follow up- how do you know GPC is working within OneTrust? Is there monitoring of some kind? A report?
Overall, can you please help us with providing the additional responses above along with any document/procedures/processes that help evidence against these findings and/or demonstrate our compliance?
________________________________________________________________________________
Microsoft Teams Need help?&lt;https://aka.ms/JoinTeamsMeeting?omkt=en-US&gt;
Join the meeting now&lt;https://teams.microsoft.com/l/meetup-join/19%3ameeting_OGQ0YjZiODMtZmUzMy00OTMyLThhMmYtMjA1MjNmMGY3OTJl%40thread.v2/0?context=%7b%22Tid%22%3a%22d8fde2f5-9392-4260-8a03-0ad01f4746e9%22%2c%22Oid%22%3a%224cf02d10-78dd-48bc-8462-dd3691fbdcba%22%7d&gt;
Meeting ID: 272 418 129 108 77
Passcode: VK6zh6Tw
________________________________
Dial in by phone
+1 201-268-5459,,820115878#&lt;tel:+12012685459,,820115878&gt; United States, Jersey City
Find a local number&lt;https://dialin.teams.microsoft.com/ac35f719-4ba9-43f5-9868-757c80218322?id=820115878&gt;
Phone conference ID: 820 115 878#
Join on a video conferencing device
Tenant key: pru@m.webex.com
Video ID: 112 770 051 6
More info&lt;https://www.webex.com/msteams?confid=1127700516&amp;tenantkey=pru&amp;domain=m.webex.com&gt;
For organizers: Meeting options&lt;https://teams.microsoft.com/meetingOptions/?organizerId=4cf02d10-78dd-48bc-8462-dd3691fbdcba&amp;tenantId=d8fde2f5-9392-4260-8a03-0ad01f4746e9&amp;threadId=19_meeting_OGQ0YjZiODMtZmUzMy00OTMyLThhMmYtMjA1MjNmMGY3OTJl@thread.v2&amp;messageId=0&amp;language=en-US&gt; | Reset dial-in PIN&lt;https://dialin.teams.microsoft.com/usp/pstnconferencing&gt;
Click the Help link below for Teams meeting troubleshooting tips. Site is accessible when connected to the Prudential network.
Org help&lt;https://prudentialus.sharepoint.com/sites/trc/SitePages/Teams-Meeting-Tips.aspx?source=https%3A%2F%2Fprudentialus.sharepoint.com%2Fsites%2Ftrc%2FSitePages%2FForms%2FAllPages.aspx&gt;
________________________________________________________________________________
</t>
  </si>
  <si>
    <t>jarrod.wilbur@observepoint.com, macey.bell@observepoint.com, baijnath.gupta@prudential.com, john.davis@observepoint.com, dallin.madsen@observepoint.com, maximilian.stefani@prudential.com, prabhugouda.biradar@prudential.com, rathna.chinnappa@prudential.com</t>
  </si>
  <si>
    <t>Jarrod Wilbur, Macey Bell, Baijnath Gupta, john.davis@observepoint.com, Dallin Madsen, Maximilian Stefani, Prabhu Biradar, Rathna Chinnappa</t>
  </si>
  <si>
    <t>INVITED, INVITED, INVITED, YES, INVITED, INVITED, INVITED, INVITED</t>
  </si>
  <si>
    <t>184jkol9fscdak9nstvo36h4ap@google.com</t>
  </si>
  <si>
    <t>ObservePoint/ZD checkin</t>
  </si>
  <si>
    <t>macey.bell@observepoint.com, john.davis@observepoint.com, filippo_caprioli@ziffdavis.com</t>
  </si>
  <si>
    <t>Macey Bell, john.davis@observepoint.com, Filippo Caprioli</t>
  </si>
  <si>
    <t>166qr71h9ionaeloa07o706f1r_R20251210T170400@google.com</t>
  </si>
  <si>
    <t>Evan LaPointe - Pulse 3</t>
  </si>
  <si>
    <t>Pulse 3 - Revenue leaders please forward to each of your team members.</t>
  </si>
  <si>
    <t>jd.jeppson@observepoint.com</t>
  </si>
  <si>
    <t>kaleigh.wayment@observepoint.com, andrew.dimmick@observepoint.com, levi.owusu@observepoint.com, clarke.anderson@observepoint.com, ethan.prete@observepoint.com, john.davis@observepoint.com, andy.compas@observepoint.com, dallin.madsen@observepoint.com, jeff.tucker@observepoint.com, hayden.butler@observepoint.com, nic.suder@observepoint.com, bryce.bergen@observepoint.com, customersuccess@observepoint.com, sarah.hector@observepoint.com, mike.fong@observepoint.com, giselle.chapa@observepoint.com, bethany.coombs@observepoint.com, todd.wilkerson@observepoint.com, kyle.winder@observepoint.com, jonny.gappmaier@observepoint.com, dylan.sellers@observepoint.com, jarrod.wilbur@observepoint.com, david.johnson@observepoint.com, adm@observepoint.com, evan@core-sciences.com, jared.paxton@observepoint.com, felice.wu@observepoint.com, samantha.loveland@observepoint.com, shelly.croshaw@observepoint.com, jered.white@observepoint.com, adrian.gircoveanu@observepoint.com</t>
  </si>
  <si>
    <t>kaleigh.wayment@observepoint.com, andrew.dimmick@observepoint.com, levi.owusu@observepoint.com, clarke.anderson@observepoint.com, ethan.prete@observepoint.com, john.davis@observepoint.com, andy.compas@observepoint.com, dallin.madsen@observepoint.com, Jeff Tucker, hayden.butler@observepoint.com, nic.suder@observepoint.com, bryce.bergen@observepoint.com, Customer Success, sarah.hector@observepoint.com, Mike Fong, giselle.chapa@observepoint.com, bethany.coombs@observepoint.com, todd.wilkerson@observepoint.com, kyle.winder@observepoint.com, jonny.gappmaier@observepoint.com, dylan.sellers@observepoint.com, jarrod.wilbur@observepoint.com, david.johnson@observepoint.com, adm@observepoint.com, evan@core-sciences.com, jared.paxton@observepoint.com, felice.wu@observepoint.com, samantha.loveland@observepoint.com, shelly.croshaw@observepoint.com, jered.white@observepoint.com, adrian.gircoveanu@observepoint.com</t>
  </si>
  <si>
    <t>INVITED, NO, YES, YES, YES, YES, YES, YES, YES, YES, YES, YES, INVITED, YES, YES, YES, YES, YES, YES, YES, YES, NO, YES, INVITED, YES, YES, YES, YES, YES, YES, YES</t>
  </si>
  <si>
    <t>6ijfo22csi11vi777kujf2k5f7@google.com</t>
  </si>
  <si>
    <t>Bluebeam Sync Before Call</t>
  </si>
  <si>
    <t>kg6dgdtel1c742fskj3sk48tr4@google.com</t>
  </si>
  <si>
    <t>ObservePoint | Bluebeam - Sync</t>
  </si>
  <si>
    <t>Looking forward to connecting.
If you need to reschedule, please use the link: https://observepoint.chilipiper.com/reschedule/6b4e5603-7dbb-46d0-a6d7-1c5da1af02ab</t>
  </si>
  <si>
    <t>nburns@bluebeam.com, mtozer@bluebeam.com, john.davis@observepoint.com, andy.compas@observepoint.com</t>
  </si>
  <si>
    <t>20qnqpl5pfdoc872od9futg97s_R20251211T150000@google.com</t>
  </si>
  <si>
    <t>he30glc2bkdun8km8v5rd9j0j3_R20251009T150000@google.com</t>
  </si>
  <si>
    <t>Customer sync (Macey/Todd)</t>
  </si>
  <si>
    <t>todd.wilkerson@observepoint.com</t>
  </si>
  <si>
    <t>2rhasc8u6n0414kd4ed1stjhtr_R20251218T173000@google.com</t>
  </si>
  <si>
    <t>ObservePoint | CVS - Sync</t>
  </si>
  <si>
    <t>amy.rondinelli@cvshealth.com, john.davis@observepoint.com, maria.daponte@cvshealth.com, eric.bauer@cvshealth.com, todd.wilkerson@observepoint.com</t>
  </si>
  <si>
    <t>Rondinelli, Amy, john.davis@observepoint.com, maria.daponte@cvshealth.com, eric.bauer@cvshealth.com, todd.wilkerson@observepoint.com</t>
  </si>
  <si>
    <t>YES, YES, YES, YES, MAYBE</t>
  </si>
  <si>
    <t>74rm6or5chi36b9p61h36b9k6pgm2bb2c4omcb9mcgs64dhm6th3ccpl6o@google.com</t>
  </si>
  <si>
    <t>Watch Domo training</t>
  </si>
  <si>
    <t>0eoffibon6fogoonp36nbctinv@google.com</t>
  </si>
  <si>
    <t>Accounts Sync</t>
  </si>
  <si>
    <t>53eohb9n5u7q7jph9r9efh895t@google.com</t>
  </si>
  <si>
    <t>ObservePoint | Seagate- Sync</t>
  </si>
  <si>
    <t>macey.bell@observepoint.com, dipendra.bagchee@seagate.com, dipendra.m.bagchee@seagate.com</t>
  </si>
  <si>
    <t>macey.bell@observepoint.com, dipendra.bagchee@seagate.com, Dipendra Bagchee</t>
  </si>
  <si>
    <t>YES, INVITED, YES</t>
  </si>
  <si>
    <t>42au2s1dtdhii286okdb5j2v8d@google.com</t>
  </si>
  <si>
    <t>bryce.bergen@observepoint.com, john.davis@observepoint.com</t>
  </si>
  <si>
    <t>5k2h4c6ft70302shlgm6vcfoam@google.com</t>
  </si>
  <si>
    <t xml:space="preserve">John/Nic </t>
  </si>
  <si>
    <t>h71rjnaol5qh6j4as089cj07uq_R20251219T000000@google.com</t>
  </si>
  <si>
    <t>OP | Woolworths - Sync</t>
  </si>
  <si>
    <t>&lt;a href="https://docs.google.com/document/d/1kYtv8zq72-3sL1CLE6MdMCK9W1UuRnvNRJFm6RvE7gs/edit?usp=sharing" class="pastedDriveLink-0"&gt;https://docs.google.com/document/d/1kYtv8zq72-3sL1CLE6MdMCK9W1UuRnvNRJFm6RvE7gs/edit?usp=sharing&lt;/a&gt;</t>
  </si>
  <si>
    <t>masen.sarabia@observepoint.com</t>
  </si>
  <si>
    <t>mfalley1@woolworths.com.au, wwan5@woolworths.com.au, schandrahasan1@woolworths.com.au, aphilip1@woolworths.com.au, anandrajog1@woolworths.com.au, john.davis@observepoint.com, jzhang15@woolworths.com.au, rsaraf@woolworths.com.au, jalcantara3@woolworths.com.au, ikannan@woolworths.com.au, ssingh60@woolworths.com.au, jalcantara1@woolworths.com.au, todd.wilkerson@observepoint.com, zzhang4@woolworths.com.au, mmuthe@woolworths.com.au</t>
  </si>
  <si>
    <t>mfalley1@woolworths.com.au, wwan5@woolworths.com.au, schandrahasan1@woolworths.com.au, aphilip1@woolworths.com.au, anandrajog1@woolworths.com.au, john.davis@observepoint.com, jzhang15@woolworths.com.au, Ravi Saraf, jalcantara3@woolworths.com.au, Indhu Kannan, ssingh60@woolworths.com.au, jalcantara1@woolworths.com.au, todd.wilkerson@observepoint.com, zzhang4@woolworths.com.au, mmuthe@woolworths.com.au</t>
  </si>
  <si>
    <t>YES, YES, INVITED, MAYBE, YES, YES, INVITED, YES, NO, YES, YES, INVITED, YES, INVITED, YES</t>
  </si>
  <si>
    <t>6s124otp66o9mgppg8g26vfkeg@google.com</t>
  </si>
  <si>
    <t>Macey / John Bluebeam Sync</t>
  </si>
  <si>
    <t>nic.suder@observepoint.com, macey.bell@observepoint.com</t>
  </si>
  <si>
    <t>1ke7cuquckihn7r1gogcnj4cnv@google.com</t>
  </si>
  <si>
    <t>Todd / John CVS Renewal Sync</t>
  </si>
  <si>
    <t>5192ciom2smvtdnmosei5rai3t@google.com</t>
  </si>
  <si>
    <t>DeVry || Offboarding Sync</t>
  </si>
  <si>
    <t>https://observepoint.zoom.us/j/3133456073?omn=97007834233&amp;jst=3</t>
  </si>
  <si>
    <t>&lt;p&gt;&lt;br&gt;──────────&lt;br&gt;&lt;br&gt;Chris Hawkes is inviting you to a scheduled Zoom meeting.&lt;br&gt;Join Zoom Meeting&lt;br&gt;https://observepoint.zoom.us/j/3133456073?omn=97007834233&lt;br&gt;&lt;br&gt;Meeting ID: 313 345 6073&lt;br&gt;&lt;br&gt;---&lt;br&gt;&lt;br&gt;One tap mobile&lt;br&gt;+12532158782,,3133456073# US (Tacoma)&lt;br&gt;+13462487799,,3133456073# US (Houston)&lt;br&gt;&lt;br&gt;Join instructions&lt;br&gt;https://observepoint.zoom.us/meetings/97007834233/invitations?signature=hCL_4tDmfU1nf3VI5vS56FYtdI4CkcTgaRezbWe4whY&lt;br&gt;&lt;br&gt;&lt;br&gt;&lt;br&gt;──────────&lt;/p&gt;</t>
  </si>
  <si>
    <t>hvemi50me53da2n6m75e3alq14@google.com</t>
  </si>
  <si>
    <t>ObservePoint &amp; DeVry University || CSM Introduction</t>
  </si>
  <si>
    <t>https://observepoint.zoom.us/j/91033742956</t>
  </si>
  <si>
    <t>Looking forward to connecting.
If you need to reschedule, please use the link: https://observepoint.chilipiper.com/reschedule/9fe9922a-a849-4a42-bf00-e3392abb214d</t>
  </si>
  <si>
    <t>david.sals@devry.edu, colton.matheson@devry.edu, john.davis@observepoint.com, charlotte.castillo@devry.edu, varun.metha@devry.edu</t>
  </si>
  <si>
    <t>YES, INVITED, YES, YES, INVITED</t>
  </si>
  <si>
    <t>5do9moev0vj5htsacghuqic07c@google.com</t>
  </si>
  <si>
    <t>Agilent sync</t>
  </si>
  <si>
    <t>Looking forward to connecting.
If you need to reschedule, please use the link: https://observepoint.chilipiper.com/reschedule/95d17104-3807-48ef-91a1-fae0b28abec6</t>
  </si>
  <si>
    <t>29ksj7argf81svhr7ig1jpbl4u@google.com</t>
  </si>
  <si>
    <t>Lumen Prep</t>
  </si>
  <si>
    <t>6epdb3m8ejuhmntrlt32200rh2_R20251216T190000@google.com</t>
  </si>
  <si>
    <t>YES, YES, MAYBE</t>
  </si>
  <si>
    <t>4fr0l79mbat7il6leru9flijet@google.com</t>
  </si>
  <si>
    <t>fialongo@amica.com, macey.bell@observepoint.com</t>
  </si>
  <si>
    <t>amy.rondinelli@cvshealth.com, john.davis@observepoint.com, maria.daponte@cvshealth.com, eric.bauer@cvshealth.com</t>
  </si>
  <si>
    <t>Rondinelli, Amy, john.davis@observepoint.com, maria.daponte@cvshealth.com, eric.bauer@cvshealth.com</t>
  </si>
  <si>
    <t>YES, NO, YES, YES</t>
  </si>
  <si>
    <t>d0uisk68b3ls2vtn32d8ifsu1c_R20251218T210000@google.com</t>
  </si>
  <si>
    <t xml:space="preserve">ObservePoint | Tyson -Sync </t>
  </si>
  <si>
    <t>ellie.mayberry@tyson.com, john.davis@observepoint.com, megan.lewis@tyson.com, nathan.bogner@tyson.com, landon.meriweather@tyson.com, todd.wilkerson@observepoint.com</t>
  </si>
  <si>
    <t>NO, NO, NO, NO, INVITED, INVITED</t>
  </si>
  <si>
    <t>3ssmahlif3ghaqajl3gnpp0ogu@google.com</t>
  </si>
  <si>
    <t>MMS Paperwork- how to docusign in Salesforce walkthrough</t>
  </si>
  <si>
    <t>1lsim3m34srfoke6q0nml3bqvu_R20260102T163000@google.com</t>
  </si>
  <si>
    <t>YES, YES, INVITED, NO</t>
  </si>
  <si>
    <t>3927qf2kr6430gee70a245caj2@google.com</t>
  </si>
  <si>
    <t>Meeting prep for week</t>
  </si>
  <si>
    <t>I have several conflicts with some of the meetings you have taken on so let's meet to prep for your whole week with an emphasis on the calls I can't make (of people you've already met obviously)</t>
  </si>
  <si>
    <t>7uk2udsdcu4tu728l981dr0rho_R20260105T210000@google.com</t>
  </si>
  <si>
    <t>c2au84msovas0nvc43bkvagfec_R20260106T200000@google.com</t>
  </si>
  <si>
    <t>er6cviq9baaj38817rf2m9c1ek_R20260106T210000@google.com</t>
  </si>
  <si>
    <t>INVITED, INVITED, INVITED, INVITED, NO, YES, YES, YES, INVITED</t>
  </si>
  <si>
    <t>166qr71h9ionaeloa07o706f1r_R20260107T170400@google.com</t>
  </si>
  <si>
    <t>Weekly Sales Mtg</t>
  </si>
  <si>
    <t>jonny.gappmaier@observepoint.com, dylan.sellers@observepoint.com, jarrod.wilbur@observepoint.com, levi.owusu@observepoint.com, clarke.anderson@observepoint.com, david.johnson@observepoint.com, john.davis@observepoint.com, andy.compas@observepoint.com, dallin.madsen@observepoint.com, jeff.tucker@observepoint.com, jared.paxton@observepoint.com, bryce.bergen@observepoint.com, customersuccess@observepoint.com, sarah.hector@observepoint.com, mike.fong@observepoint.com, shelly.croshaw@observepoint.com, jered.white@observepoint.com, todd.wilkerson@observepoint.com, kyle.winder@observepoint.com</t>
  </si>
  <si>
    <t>jonny.gappmaier@observepoint.com, dylan.sellers@observepoint.com, jarrod.wilbur@observepoint.com, levi.owusu@observepoint.com, clarke.anderson@observepoint.com, david.johnson@observepoint.com, john.davis@observepoint.com, andy.compas@observepoint.com, dallin.madsen@observepoint.com, Jeff Tucker, jared.paxton@observepoint.com, bryce.bergen@observepoint.com, Customer Success, sarah.hector@observepoint.com, Mike Fong, shelly.croshaw@observepoint.com, jered.white@observepoint.com, todd.wilkerson@observepoint.com, kyle.winder@observepoint.com</t>
  </si>
  <si>
    <t>YES, YES, YES, YES, YES, YES, INVITED, YES, YES, INVITED, YES, YES, INVITED, YES, YES, YES, YES, YES, YES</t>
  </si>
  <si>
    <t>20qnqpl5pfdoc872od9futg97s_R20260108T150000@google.com</t>
  </si>
  <si>
    <t>YES, YES, INVITED, INVITED</t>
  </si>
  <si>
    <t>jg3k4b3c6kglt1ptm9u9ctc9mc_R20251204T163000@google.com</t>
  </si>
  <si>
    <t>&lt;a href="https://observepoint.zoom.us/j/3742631971?pwd=Z2JhWG1yV1ZtOVBnMVZaRDR0bjVDZz09&amp;omn=93833907298"&gt;&lt;u&gt;https://observepoint.zoom.us/j/3742631971?pwd=Z2JhWG1yV1ZtOVBnMVZaRDR0bjVDZz09&amp;amp;omn=93833907298&lt;/u&gt;&lt;/a&gt;</t>
  </si>
  <si>
    <t>csatam@westjet.com, farzaan.hoque@westjet.com, devon.kerscher@westjet.com, jason.wiegand@westjet.com, john.davis@observepoint.com, maushami.desai@westjet.com, todd.wilkerson@observepoint.com</t>
  </si>
  <si>
    <t>INVITED, INVITED, INVITED, INVITED, YES, INVITED, INVITED</t>
  </si>
  <si>
    <t>7vcrrjggo9trq8cj6durraehab_R20260108T183000@google.com</t>
  </si>
  <si>
    <t>kathy.behler@lumen.com, macey.bell@observepoint.com, neil.black@lumen.com, kerry.liszka@lumen.com, arnold.hong@lumen.com</t>
  </si>
  <si>
    <t>INVITED, YES, YES, YES, YES</t>
  </si>
  <si>
    <t>53eohb9n5u7q7jph9r9efh895t_R20260108T190000@google.com</t>
  </si>
  <si>
    <t>macey.bell@observepoint.com, dipendra.m.bagchee@seagate.com</t>
  </si>
  <si>
    <t>macey.bell@observepoint.com, Dipendra Bagchee</t>
  </si>
  <si>
    <t>9fegpvrebddsvtfvdffnb7upsg@google.com</t>
  </si>
  <si>
    <t>ObservePoint | Questrade Sync</t>
  </si>
  <si>
    <t>Looking forward to connecting.
If you need to reschedule, please use the link: https://observepoint.chilipiper.com/reschedule/6f60202a-ed4a-42e9-abf2-55546ddb8543</t>
  </si>
  <si>
    <t>cyang@questrade.com, macey.bell@observepoint.com, who@questrade.com, rchau@questrade.com</t>
  </si>
  <si>
    <t>INVITED, MAYBE, YES, YES</t>
  </si>
  <si>
    <t>7p4ng5j5j3nj9n4fviamievihn@google.com</t>
  </si>
  <si>
    <t>Review Rebrand OP Results</t>
  </si>
  <si>
    <t>Review the extensive results of the OP scan that identified key terms. Feel free to explore the doc yourself.  The raw data is on the first tab and the Pivot Tab is where I'm putting some summary data. &lt;br&gt;&lt;br&gt;Observations (so far):&lt;br&gt;&lt;ul&gt;&lt;li&gt;~75% of findings are on /blog or /company.&lt;/li&gt;&lt;li&gt;~9% on /resources&lt;/li&gt;&lt;li&gt;Included translated pages (not sure if this was a good or useless thing)&lt;/li&gt;&lt;li&gt;We capped out at 20k pages which means we have more pages we didn't find.  Can't redo until contract resets in 2 months. &lt;/li&gt;&lt;/ul&gt;&lt;br&gt;Doc: &lt;a href="https://docs.google.com/spreadsheets/d/1UEf8-VrqpVjCGHLVWG_j232kxqunCuAQKJGmj2YFgBI/edit?usp=sharing" target="_blank"&gt;MARKETING-61839 : Results (Mongo - ObservePoint Tools)&lt;/a&gt;</t>
  </si>
  <si>
    <t>fiona.erickson@mongodb.com, matt.peloquin@mongodb.com, john.davis@observepoint.com</t>
  </si>
  <si>
    <t>6dgj0pb46cs64b9h6cq64b9kc4s34b9p69h3ab9k6opjadj661j38c1g68@google.com</t>
  </si>
  <si>
    <t>ObservePoint | Amica Sync</t>
  </si>
  <si>
    <t>fialongo@amica.com, dallin.madsen@observepoint.com</t>
  </si>
  <si>
    <t>7mb4th83potb3cqtgb7oaaaeuc@google.com</t>
  </si>
  <si>
    <t>ObservePoint | Dignity Health Sync</t>
  </si>
  <si>
    <t>Looking forward to connecting.
If you need to reschedule, please use the link: https://observepoint.chilipiper.com/reschedule/ee76b37f-8bcc-4d44-9d5c-9d7a4babe793</t>
  </si>
  <si>
    <t>48da95uvpj31i9dvvedc8kaf6s@google.com</t>
  </si>
  <si>
    <t>ObservePoint | Bluebeam Inc. Sync</t>
  </si>
  <si>
    <t>Looking forward to connecting.
If you need to reschedule, please use the link: https://observepoint.chilipiper.com/reschedule/1426f3ad-52fa-4e37-a8cd-b4b574f19e58</t>
  </si>
  <si>
    <t>nic.suder@observepoint.com, mtozer@bluebeam.com, nburns@bluebeam.com, macey.bell@observepoint.com, andy.compas@observepoint.com</t>
  </si>
  <si>
    <t>MAYBE, YES, YES, INVITED, INVITED</t>
  </si>
  <si>
    <t>79g8qp0t99f40rllt07vl8s0e4@google.com</t>
  </si>
  <si>
    <t>ObservePoint | Merz Sync Up</t>
  </si>
  <si>
    <t>I want to introduce myself, John,  as your new CSM and would love to chat about your 2026 goals and how ObservePoint can help you reach them. &lt;br&gt;&lt;br&gt;If this time doesn't work for you, feel free to reschedule:&lt;br&gt;&lt;a href="https://observepoint.chilipiper.com/me/john-davis/meeting-with-john"&gt;https://observepoint.chilipiper.com/me/john-davis/meeting-with-john&lt;/a&gt;</t>
  </si>
  <si>
    <t>preah.dalton@merz.com, elvis.ruiz@merz.com, andy.compas@observepoint.com</t>
  </si>
  <si>
    <t>INVITED, INVITED, YES</t>
  </si>
  <si>
    <t>040000008200E00074C5B7101A82E0080000000050A4FD126F80DC01000000000000000010000000343EB912F3704C46A04FE0A822E18981</t>
  </si>
  <si>
    <t>Microsoft Teams Meeting; CR DBLN C3224 Avondale, CR DBLN C3224 Avondale</t>
  </si>
  <si>
    <t xml:space="preserve">
________________________________________________________________________________
Microsoft Teams Need help?&lt;https://aka.ms/JoinTeamsMeeting?omkt=en-US&gt;
Join the meeting now&lt;https://teams.microsoft.com/l/meetup-join/19%3ameeting_ODhmYmM4ZjQtYTY5MS00ZmRhLWE0NTEtNjQ3ODEyNWU5ZWE1%40thread.v2/0?context=%7b%22Tid%22%3a%220039204c-2313-4416-bdc3-42fcf01fdbd6%22%2c%22Oid%22%3a%22e77ce3e9-e912-4905-bd2b-f926b73563a1%22%7d&gt;
Meeting ID: 250 175 110 293 11
Passcode: tY99UJ6k
________________________________
Join on a video conferencing device
Tenant key: 967310325@t.plcm.vc
Video ID: 111 127 892 4
More info&lt;https://dialin.plcm.vc/teams/?key=967310325&amp;conf=1111278924&gt;
For organizers: Meeting options&lt;https://teams.microsoft.com/meetingOptions/?organizerId=e77ce3e9-e912-4905-bd2b-f926b73563a1&amp;tenantId=0039204c-2313-4416-bdc3-42fcf01fdbd6&amp;threadId=19_meeting_ODhmYmM4ZjQtYTY5MS00ZmRhLWE0NTEtNjQ3ODEyNWU5ZWE1@thread.v2&amp;messageId=0&amp;language=en-US&gt;
[https://www.rossstores.com/wp-content/uploads/2024/09/350x50-Combo-Logo.png]
Under Ross policy, participants may not record meetings unless previously authorized or permitted by law. The information contained in this message may be privileged, confidential, and protected from disclosure, you are hereby notified that any dissemination, distribution, or copying of this communication is strictly prohibited.
________________________________________________________________________________
</t>
  </si>
  <si>
    <t>macey.bell@observepoint.com, john.davis@observepoint.com, fe.valencia@ros.com, crdbln.avondale2@ros.com</t>
  </si>
  <si>
    <t>Macey Bell, john.davis@observepoint.com, Fe Valencia (MARKETING), CR DBLN C3224 Avondale</t>
  </si>
  <si>
    <t>3qu1hkiudgbkftil8k89506juq@google.com</t>
  </si>
  <si>
    <t>Tattoo</t>
  </si>
  <si>
    <t>masen.sarabia@observepoint.com, callum.bowen@observepoint.com, chris.hawkes@observepoint.com, jake.bauer@observepoint.com, macey.bell@observepoint.com, john.davis@observepoint.com, caleb.conners@observepoint.com, eve.alexander@observepoint.com, tom.robbins@observepoint.com</t>
  </si>
  <si>
    <t>INVITED, YES, YES, NO, INVITED, YES, MAYBE, YES, YES</t>
  </si>
  <si>
    <t>f40hj8t4t84bgp14e712j3l5ds@google.com</t>
  </si>
  <si>
    <t>ObservePoint | EDC Sync</t>
  </si>
  <si>
    <t>Looking forward to connecting.
If you need to reschedule, please use the link: https://observepoint.chilipiper.com/reschedule/02c4a844-d752-477f-ac7c-c6b2d8391870</t>
  </si>
  <si>
    <t>dinika.rao@accenture.com, macey.bell@observepoint.com, kev.lavoie@accenture.com</t>
  </si>
  <si>
    <t>kqfrvcuq0v4c8dhoeslgbmjvop_R20251217T200000@google.com</t>
  </si>
  <si>
    <t>040000008200E00074C5B7101A82E00800000000CDB19E874586DC01000000000000000010000000C241760111A8AE49AC3BF4D21B67A843</t>
  </si>
  <si>
    <t xml:space="preserve">
________________________________________________________________________________
Microsoft Teams Need help?&lt;https://aka.ms/JoinTeamsMeeting?omkt=en-US&gt;
Join the meeting now&lt;https://teams.microsoft.com/l/meetup-join/19%3ameeting_YWZhM2I2ZTUtZDYxYi00OTVkLTk4NTQtZDg4ZWRkMDIyODg0%40thread.v2/0?context=%7b%22Tid%22%3a%22fabb61b8-3afe-4e75-b934-a47f782b8cd7%22%2c%22Oid%22%3a%22f089cc43-bfcf-43e5-9b99-90ac44049de6%22%7d&gt;
Meeting ID: 271 384 264 532 75
Passcode: qW6Xu3WJ
________________________________
Dial in by phone
+1 860-785-4641,,586826176#&lt;tel:+18607854641,,586826176#&gt; United States, Hartford
Find a local number&lt;https://dialin.teams.microsoft.com/22163d6e-9f04-4b10-8d3e-3fedfbb93272?id=586826176&gt;
Phone conference ID: 586 826 176#
Join on a video conferencing device
Tenant key: heartbeat@m.webex.com
Video ID: 112 399 429 03
More info&lt;https://www.webex.com/msteams?confid=11239942903&amp;tenantkey=heartbeat&amp;domain=m.webex.com&gt;
For organizers: Meeting options&lt;https://teams.microsoft.com/meetingOptions/?organizerId=f089cc43-bfcf-43e5-9b99-90ac44049de6&amp;tenantId=fabb61b8-3afe-4e75-b934-a47f782b8cd7&amp;threadId=19_meeting_YWZhM2I2ZTUtZDYxYi00OTVkLTk4NTQtZDg4ZWRkMDIyODg0@thread.v2&amp;messageId=0&amp;language=en-US&gt; | Reset dial-in PIN&lt;https://dialin.teams.microsoft.com/usp/pstnconferencing&gt;
________________________________________________________________________________
</t>
  </si>
  <si>
    <t>macey.bell@observepoint.com, amy.rondinelli@cvshealth.com, john.davis@observepoint.com</t>
  </si>
  <si>
    <t>Macey Bell, Rondinelli, Amy, john.davis@observepoint.com</t>
  </si>
  <si>
    <t>INVITED, INVITED, INVITED</t>
  </si>
  <si>
    <t>18ok8sj3modsb4rgi6rmla8qj0@google.com</t>
  </si>
  <si>
    <t>Looking forward to connecting.
If you need to reschedule, please use the link: https://observepoint.chilipiper.com/reschedule/eea615f7-6f00-440a-8da7-e7ac03f930ac</t>
  </si>
  <si>
    <t>macey.bell@observepoint.com, kendall.papera@setoyota.com, andy.compas@observepoint.com</t>
  </si>
  <si>
    <t>ks0214tfbpmsp4j6q4mnsn4abg@google.com</t>
  </si>
  <si>
    <t>ObservePoint | Cotiviti - Sync</t>
  </si>
  <si>
    <t>Looking forward to connecting.
If you need to reschedule, please use the link: https://observepoint.chilipiper.com/reschedule/86485666-fb69-4260-b7dd-1e58e040d7de</t>
  </si>
  <si>
    <t>walter.bottlick@cotiviti.com, john.davis@observepoint.com, chris.tack@cotiviti.com</t>
  </si>
  <si>
    <t>NO, YES, NO, NO, INVITED, INVITED</t>
  </si>
  <si>
    <t>69n88k28dl2uorbtabgmu7q9dk@google.com</t>
  </si>
  <si>
    <t>ObservePoint | Officeworks</t>
  </si>
  <si>
    <t>https://observepoint.zoom.us/j/93362340646</t>
  </si>
  <si>
    <t>Looking forward to connecting.
If you need to reschedule, please use the link: https://observepoint.chilipiper.com/reschedule/5566c14c-dc60-473c-bbb9-206b6caa45d4
Go over the discovery audit and cart checkout journey that John built as a POC.</t>
  </si>
  <si>
    <t>macey.bell@observepoint.com, achan4@officeworks.com.au, hchamberlain@officeworks.com.au, bhowell@officeworks.com.au, hhebron@officeworks.com.au, todd.wilkerson@observepoint.com</t>
  </si>
  <si>
    <t>INVITED, INVITED, YES, YES, INVITED, INVITED</t>
  </si>
  <si>
    <t>YES, YES, INVITED, MAYBE, YES, YES, INVITED, YES, INVITED, YES, YES, INVITED, YES, INVITED, YES</t>
  </si>
  <si>
    <t>ph1mqbtlrjnee56emg8mhj2lv2_R20251219T170000@google.com</t>
  </si>
  <si>
    <t>ObservePoint | Caleres - Monthly Sync</t>
  </si>
  <si>
    <t>Privacy Roadmap- 
Follow up on cookie exports of all unapproved cookies. Have we categorized them?
Review fresh results for opted out audits once above is complete.
Review results for hard coded audits to determine any categorized cookies that still could potentially fire when they shouldn't due to firing outside of the tag manager.
Build audits testing opt in to only particular categories like just targeting or just personalization etc.
Check in semi-regularly to ensure we are remembering to publish changes made in Onetrust as this is something we were not aware of being required. Use devtools and ObservePoint to confirm changes are successful.</t>
  </si>
  <si>
    <t>tyang@caleres.com, wferlis@caleres.com, john.davis@observepoint.com, dbroz@caleres.com, spomerinke@caleres.com, cmills@caleres.com</t>
  </si>
  <si>
    <t>YES, YES, YES, YES, YES, YES</t>
  </si>
  <si>
    <t>dckas4j2hp1q0eola6a9c2rn20@google.com</t>
  </si>
  <si>
    <t>https://observepoint.zoom.us/j/93559561258</t>
  </si>
  <si>
    <t>Looking forward to connecting.
If you need to reschedule, please use the link: https://observepoint.chilipiper.com/reschedule/1a0e1653-dde3-4072-8e4c-8bd7165a6e3c</t>
  </si>
  <si>
    <t>INVITED, NO, YES, INVITED</t>
  </si>
  <si>
    <t>INVITED, INVITED, NO, INVITED</t>
  </si>
  <si>
    <t>NO, INVITED</t>
  </si>
  <si>
    <t>ln9otlrhsqc8v5vfvlob15f80s@google.com</t>
  </si>
  <si>
    <t>ObservePoint | DeVry University Monthly Sync</t>
  </si>
  <si>
    <t>Looking forward to connecting.
If you need to reschedule, please use the link: https://observepoint.chilipiper.com/reschedule/a9e2cd31-9240-4542-bb15-d6a06cf6608e</t>
  </si>
  <si>
    <t>david.sals@devry.edu, varun.mehta@devry.edu, bryce.bergen@observepoint.com, colton.matheson@devry.edu, charlotte.castillo@devry.edu, chris.nugent@devry.edu</t>
  </si>
  <si>
    <t>INVITED, INVITED, YES, INVITED, INVITED, INVITED</t>
  </si>
  <si>
    <t>9p5mdeli8r0roecg8pohlvakfh_R20251225T153000@google.com</t>
  </si>
  <si>
    <t>ObservePoint | MMS Sync</t>
  </si>
  <si>
    <t>mkarora@mms.org, crose@mms.org, john.davis@observepoint.com, aaryee@mms.org</t>
  </si>
  <si>
    <t>589mgs8ekpllajo6jhf3giq2rc@google.com</t>
  </si>
  <si>
    <t>ObservePoint | MongoDB Inc. Sync</t>
  </si>
  <si>
    <t>Looking forward to connecting.
If you need to reschedule, please use the link: https://observepoint.chilipiper.com/reschedule/a471e938-14d8-49dc-94f9-65f13ad51049</t>
  </si>
  <si>
    <t>michaleen.craig@mongodb.com, arthur.engelhard@mongodb.com, wendi.vien@mongodb.com</t>
  </si>
  <si>
    <t>YES, MAYBE, YES</t>
  </si>
  <si>
    <t>fifc4l5701cum9ugodt8953vbc@google.com</t>
  </si>
  <si>
    <t>&lt;a href="https://observepoint.zoom.us/j/3742631971?pwd=Z2JhWG1yV1ZtOVBnMVZaRDR0bjVDZz09&amp;omn=91863898191" target="_blank"&gt;&lt;u&gt;https://observepoint.zoom.us/j/3742631971?pwd=Z2JhWG1yV1ZtOVBnMVZaRDR0bjVDZz09&amp;amp;omn=91863898191&lt;/u&gt;&lt;/a&gt;</t>
  </si>
  <si>
    <t>grant.menefee@worldmarket.com, kevin.farkas@worldmarket.com, john.davis@observepoint.com, abel.gomez@observepoint.com, jesse.dykhoff@worldmarket.com</t>
  </si>
  <si>
    <t>INVITED, INVITED, INVITED, INVITED, INVITED</t>
  </si>
  <si>
    <t>7u1hfcohi3rbh5nak458oih9ak@google.com</t>
  </si>
  <si>
    <t>ObservePoint | CDW Sync</t>
  </si>
  <si>
    <t>Looking forward to connecting.
If you need to reschedule, please use the link: https://observepoint.chilipiper.com/reschedule/d8de4a1f-5d10-4b03-9015-fb5c5a153f49</t>
  </si>
  <si>
    <t>macey.bell@observepoint.com, audrbom@cdw.com, tatyana.zachary@cdw.com</t>
  </si>
  <si>
    <t>1288aq1k0f5eidd7mijrb17vbg_R20260126T203000@google.com</t>
  </si>
  <si>
    <t>ObservePoint | Verisign - Sync</t>
  </si>
  <si>
    <t>charlie@ctysse.net, john.davis@observepoint.com, egonzales@verisign.com, charlie.tysse@stackedanalytics.com</t>
  </si>
  <si>
    <t>INVITED, INVITED, YES, YES</t>
  </si>
  <si>
    <t>61visplpkha0h6nod93bjlqkfu@google.com</t>
  </si>
  <si>
    <t>sr0imvl2hvksfvapbo4op7difd@google.com</t>
  </si>
  <si>
    <t>218mor5missl9pp5a4l5h8bptl_R20251226T200000@google.com</t>
  </si>
  <si>
    <t>YES, YES, YES, NO, YES</t>
  </si>
  <si>
    <t>1ulu353n372filfsdcif2a5mlc_R20260202T203000@google.com</t>
  </si>
  <si>
    <t>Looking forward to connecting.If you need to reschedule, please use the link: &lt;a href="https://observepoint.chilipiper.com/reschedule/1426f3ad-52fa-4e37-a8cd-b4b574f19e58" target="_blank"&gt;&lt;u&gt;https://observepoint.chilipiper.com/reschedule/1426f3ad-52fa-4e37-a8cd-b4b574f19e58&lt;/u&gt;&lt;/a&gt;</t>
  </si>
  <si>
    <t>hut0u1a2uss0b7vff88gvaaidk@google.com</t>
  </si>
  <si>
    <t>ObservePoint | Ziff Davis Inc. 60 min Sync</t>
  </si>
  <si>
    <t>Looking forward to connecting.
If you need to reschedule, please use the link: https://observepoint.chilipiper.com/reschedule/7d89a4d6-8577-4a59-8bfe-68920e34a507</t>
  </si>
  <si>
    <t>robert.taylor@ziffdavis.com, macey.bell@observepoint.com, filippo_caprioli@ziffdavis.com, dallin.madsen@observepoint.com</t>
  </si>
  <si>
    <t>robert.taylor@ziffdavis.com, macey.bell@observepoint.com, Filippo Caprioli, dallin.madsen@observepoint.com</t>
  </si>
  <si>
    <t>YES, INVITED, YES, YES</t>
  </si>
  <si>
    <t>er6cviq9baaj38817rf2m9c1ek_R20260203T210000@google.com</t>
  </si>
  <si>
    <t>ObservePoint | Dignity Health - Monthly Sync</t>
  </si>
  <si>
    <t>Looking forward to connecting.If you need to reschedule, please use the link: &lt;a href="https://observepoint.chilipiper.com/reschedule/6f60202a-ed4a-42e9-abf2-55546ddb8543" target="_blank"&gt;&lt;u&gt;https://observepoint.chilipiper.com/reschedule/6f60202a-ed4a-42e9-abf2-55546ddb8543&lt;/u&gt;&lt;/a&gt;</t>
  </si>
  <si>
    <t>INVITED, INVITED, INVITED, INVITED, MAYBE, YES, YES, INVITED, INVITED</t>
  </si>
  <si>
    <t>YES, YES, YES, INVITED, YES, INVITED, YES</t>
  </si>
  <si>
    <t>5qlspbrlcotm3r0i66t2t6hukg_R20260205T173000@google.com</t>
  </si>
  <si>
    <t>6ni42dpds8nfodv5emnkicnel1@google.com</t>
  </si>
  <si>
    <t xml:space="preserve"> ObservePoint | Seagate Monthly Sync</t>
  </si>
  <si>
    <t>4k7ue01nvuitf0v56e68rk9rgo@google.com</t>
  </si>
  <si>
    <t>Q1 2026 All Hands Revenue Kickoff</t>
  </si>
  <si>
    <t>Pleasant Grove Suite 300-3-New Order (6)</t>
  </si>
  <si>
    <t>c_188bp0lmo7u7ehbhn431nrthub4o4@resource.calendar.google.com, andrew.dimmick@observepoint.com, john.davis@observepoint.com, john@observepoint.com, jeff.tucker@observepoint.com, kyle.winder@observepoint.com, revenue.all@observepoint.com</t>
  </si>
  <si>
    <t>Pleasant Grove Suite 300-3-New Order (6), andrew.dimmick@observepoint.com, john.davis@observepoint.com, john@observepoint.com, Jeff Tucker, kyle.winder@observepoint.com, Revenue</t>
  </si>
  <si>
    <t>YES, YES, INVITED, INVITED, YES, YES, INVITED</t>
  </si>
  <si>
    <t>1kjn9aq68f29634ho5791vv3bq_R20260219T143000@google.com</t>
  </si>
  <si>
    <t>pq0i5dtnsiqtcmbvjpfqlolht4@google.com</t>
  </si>
  <si>
    <t>23ubhes7oloac8udc2965ivkod@google.com</t>
  </si>
  <si>
    <t>2025 ObservePoint Awards Dinner</t>
  </si>
  <si>
    <t>This will be streamed for anyone who wants to watch.  Or you can watch the recording later.</t>
  </si>
  <si>
    <t>all@observepoint.com, rseolas@gmail.com, blambert@pelionvp.com, chris@pelionvp.com, john.davis@observepoint.com, blopez@mercatopartners.com, rsanders@mercatopartners.com, jsteele@vlplawgroup.com</t>
  </si>
  <si>
    <t>Everyone, rseolas@gmail.com, blambert@pelionvp.com, chris@pelionvp.com, john.davis@observepoint.com, blopez@mercatopartners.com, rsanders@mercatopartners.com, jsteele@vlplawgroup.com</t>
  </si>
  <si>
    <t>INVITED, YES, YES, INVITED, INVITED, INVITED, YES, YES</t>
  </si>
  <si>
    <t>7aetlvp504k1rk4vcntbgptvrn@google.com</t>
  </si>
  <si>
    <t>ObservePoint Awards Gala 🏆</t>
  </si>
  <si>
    <t>&lt;p&gt;Join us for an unforgettable evening as we celebrate excellence, innovation, and the people who make ObservePoint exceptional.&lt;/p&gt;&lt;p&gt;✨ &lt;strong&gt;ObservePoint Awards Gala&lt;/strong&gt; ✨&lt;br&gt;📅 &lt;strong&gt;Thursday, February 12, 2026&lt;/strong&gt;&lt;br&gt;⏰ &lt;strong&gt;6:00–9:00 PM&lt;/strong&gt;&lt;br&gt;📍 &lt;strong&gt;The Garage, Provo&lt;/strong&gt;&lt;br&gt;👗 &lt;strong&gt;Dress Code: Semi-Formal&lt;/strong&gt;&lt;/p&gt;&lt;p&gt;Kindly let us know if you and a significant other will be attending by filling out this google form: &lt;br&gt;&lt;a href="https://forms.gle/UY1qpEUcNxyZ1UrA6"&gt;https://forms.gle/UY1qpEUcNxyZ1UrA6&lt;/a&gt;&lt;/p&gt;&lt;p&gt;We look forward to raising a glass, sharing the spotlight, and celebrating another remarkable year together.&lt;/p&gt;</t>
  </si>
  <si>
    <t>us@observepoint.com, john.davis@observepoint.com</t>
  </si>
  <si>
    <t>US Employees, john.davis@observepoint.com</t>
  </si>
  <si>
    <t>david.sals@devry.edu, varun.mehta@devry.edu, colton.matheson@devry.edu, charlotte.castillo@devry.edu, chris.nugent@devry.edu</t>
  </si>
  <si>
    <t>5rb3r2kl5r791tb79ob0a712q8@google.com</t>
  </si>
  <si>
    <t>Looking forward to connecting.
If you need to reschedule, please use the link: https://observepoint.chilipiper.com/reschedule/934eb162-69fa-4eb5-b0c1-fdb61c4af2dc</t>
  </si>
  <si>
    <t>macey.bell@observepoint.com, tamara.saban@ros.com, fe.valencia@ros.com</t>
  </si>
  <si>
    <t>tyang@caleres.com, wferlis@caleres.com, john.davis@observepoint.com, spomerinke@caleres.com, cmills@caleres.com</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</si>
</sst>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0.00"/>
    <numFmt numFmtId="166" formatCode="yyyy-mm-dd hh:mm"/>
    <numFmt numFmtId="167" formatCode="yyyy-mm-dd hh:mm:ss"/>
  </numFmts>
  <fonts count="6">
    <font>
      <sz val="10.0"/>
      <color rgb="FF000000"/>
      <name val="Arial"/>
      <scheme val="minor"/>
    </font>
    <font>
      <b/>
      <color rgb="FFFFFFFF"/>
      <name val="Arial"/>
      <scheme val="minor"/>
    </font>
    <font>
      <color theme="1"/>
      <name val="Arial"/>
      <scheme val="minor"/>
    </font>
    <font>
      <u/>
      <color rgb="FF0000FF"/>
    </font>
    <font>
      <u/>
      <color rgb="FF0000FF"/>
    </font>
    <font>
      <u/>
      <color rgb="FF0000FF"/>
    </font>
  </fonts>
  <fills count="7">
    <fill>
      <patternFill patternType="none"/>
    </fill>
    <fill>
      <patternFill patternType="lightGray"/>
    </fill>
    <fill>
      <patternFill patternType="solid">
        <fgColor rgb="FF4285F4"/>
        <bgColor rgb="FF4285F4"/>
      </patternFill>
    </fill>
    <fill>
      <patternFill patternType="solid">
        <fgColor rgb="FFF4B400"/>
        <bgColor rgb="FFF4B400"/>
      </patternFill>
    </fill>
    <fill>
      <patternFill patternType="solid">
        <fgColor rgb="FF4078C0"/>
        <bgColor rgb="FF4078C0"/>
      </patternFill>
    </fill>
    <fill>
      <patternFill patternType="solid">
        <fgColor rgb="FFEA4335"/>
        <bgColor rgb="FFEA4335"/>
      </patternFill>
    </fill>
    <fill>
      <patternFill patternType="solid">
        <fgColor rgb="FF34A853"/>
        <bgColor rgb="FF34A853"/>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Font="1"/>
    <xf borderId="0" fillId="0" fontId="2" numFmtId="0" xfId="0" applyAlignment="1" applyFont="1">
      <alignment readingOrder="0"/>
    </xf>
    <xf borderId="0" fillId="0" fontId="2" numFmtId="14" xfId="0" applyAlignment="1" applyFont="1" applyNumberFormat="1">
      <alignment readingOrder="0"/>
    </xf>
    <xf borderId="0" fillId="0" fontId="3" numFmtId="0" xfId="0" applyFont="1"/>
    <xf borderId="0" fillId="0" fontId="2" numFmtId="164" xfId="0" applyAlignment="1" applyFont="1" applyNumberFormat="1">
      <alignment readingOrder="0"/>
    </xf>
    <xf quotePrefix="1" borderId="0" fillId="0" fontId="2" numFmtId="0" xfId="0" applyAlignment="1" applyFont="1">
      <alignment readingOrder="0"/>
    </xf>
    <xf borderId="0" fillId="0" fontId="2" numFmtId="165" xfId="0" applyAlignment="1" applyFont="1" applyNumberFormat="1">
      <alignment readingOrder="0"/>
    </xf>
    <xf borderId="0" fillId="0" fontId="2" numFmtId="10" xfId="0" applyAlignment="1" applyFont="1" applyNumberFormat="1">
      <alignment readingOrder="0"/>
    </xf>
    <xf borderId="0" fillId="0" fontId="2" numFmtId="10" xfId="0" applyFont="1" applyNumberFormat="1"/>
    <xf borderId="0" fillId="0" fontId="2" numFmtId="165" xfId="0" applyFont="1" applyNumberFormat="1"/>
    <xf borderId="0" fillId="0" fontId="2" numFmtId="164" xfId="0" applyFont="1" applyNumberFormat="1"/>
    <xf borderId="0" fillId="0" fontId="4" numFmtId="0" xfId="0" applyAlignment="1" applyFont="1">
      <alignment readingOrder="0"/>
    </xf>
    <xf borderId="0" fillId="3" fontId="1" numFmtId="0" xfId="0" applyAlignment="1" applyFill="1" applyFont="1">
      <alignment readingOrder="0"/>
    </xf>
    <xf borderId="0" fillId="4" fontId="1" numFmtId="0" xfId="0" applyAlignment="1" applyFill="1" applyFont="1">
      <alignment readingOrder="0"/>
    </xf>
    <xf borderId="0" fillId="0" fontId="2" numFmtId="0" xfId="0" applyAlignment="1" applyFont="1">
      <alignment readingOrder="0"/>
    </xf>
    <xf borderId="0" fillId="0" fontId="2" numFmtId="166" xfId="0" applyAlignment="1" applyFont="1" applyNumberFormat="1">
      <alignment readingOrder="0"/>
    </xf>
    <xf borderId="0" fillId="0" fontId="2" numFmtId="166" xfId="0" applyFont="1" applyNumberFormat="1"/>
    <xf borderId="0" fillId="5" fontId="1" numFmtId="0" xfId="0" applyAlignment="1" applyFill="1" applyFont="1">
      <alignment readingOrder="0" shrinkToFit="0" wrapText="1"/>
    </xf>
    <xf borderId="0" fillId="0" fontId="2" numFmtId="0" xfId="0" applyAlignment="1" applyFont="1">
      <alignment readingOrder="0" shrinkToFit="0" wrapText="1"/>
    </xf>
    <xf borderId="0" fillId="0" fontId="2" numFmtId="167" xfId="0" applyAlignment="1" applyFont="1" applyNumberFormat="1">
      <alignment readingOrder="0" shrinkToFit="0" wrapText="1"/>
    </xf>
    <xf borderId="0" fillId="0" fontId="5" numFmtId="0" xfId="0" applyAlignment="1" applyFont="1">
      <alignment readingOrder="0" shrinkToFit="0" wrapText="1"/>
    </xf>
    <xf quotePrefix="1" borderId="0" fillId="0" fontId="2" numFmtId="0" xfId="0" applyAlignment="1" applyFont="1">
      <alignment readingOrder="0" shrinkToFit="0" wrapText="1"/>
    </xf>
    <xf borderId="0" fillId="6" fontId="1" numFmtId="0" xfId="0" applyAlignment="1" applyFill="1" applyFont="1">
      <alignment readingOrder="0"/>
    </xf>
    <xf borderId="0" fillId="0" fontId="2" numFmtId="2" xfId="0" applyAlignment="1" applyFont="1" applyNumberFormat="1">
      <alignment readingOrder="0"/>
    </xf>
    <xf borderId="0" fillId="0" fontId="2" numFmtId="2"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2020-ren-jet2.com" TargetMode="External"/><Relationship Id="rId2" Type="http://schemas.openxmlformats.org/officeDocument/2006/relationships/hyperlink" Target="http://2022-ren-jet2.com" TargetMode="External"/><Relationship Id="rId3" Type="http://schemas.openxmlformats.org/officeDocument/2006/relationships/hyperlink" Target="http://2022-ren-realtor.com" TargetMode="External"/><Relationship Id="rId4" Type="http://schemas.openxmlformats.org/officeDocument/2006/relationships/hyperlink" Target="http://2021-ren-realtor.com" TargetMode="External"/><Relationship Id="rId5" Type="http://schemas.openxmlformats.org/officeDocument/2006/relationships/hyperlink" Target="http://verizon.com" TargetMode="External"/><Relationship Id="rId6" Type="http://schemas.openxmlformats.org/officeDocument/2006/relationships/hyperlink" Target="http://2020-ren-moo.com"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booking.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etoyota.com" TargetMode="External"/><Relationship Id="rId20" Type="http://schemas.openxmlformats.org/officeDocument/2006/relationships/hyperlink" Target="http://pmi.org" TargetMode="External"/><Relationship Id="rId42" Type="http://schemas.openxmlformats.org/officeDocument/2006/relationships/vmlDrawing" Target="../drawings/vmlDrawing1.vml"/><Relationship Id="rId41" Type="http://schemas.openxmlformats.org/officeDocument/2006/relationships/drawing" Target="../drawings/drawing4.xml"/><Relationship Id="rId22" Type="http://schemas.openxmlformats.org/officeDocument/2006/relationships/hyperlink" Target="http://cotiviti.com" TargetMode="External"/><Relationship Id="rId21" Type="http://schemas.openxmlformats.org/officeDocument/2006/relationships/hyperlink" Target="http://caesars.com" TargetMode="External"/><Relationship Id="rId24" Type="http://schemas.openxmlformats.org/officeDocument/2006/relationships/hyperlink" Target="http://woolworths.com.au" TargetMode="External"/><Relationship Id="rId23" Type="http://schemas.openxmlformats.org/officeDocument/2006/relationships/hyperlink" Target="http://devry.edu" TargetMode="External"/><Relationship Id="rId1" Type="http://schemas.openxmlformats.org/officeDocument/2006/relationships/comments" Target="../comments1.xml"/><Relationship Id="rId2" Type="http://schemas.openxmlformats.org/officeDocument/2006/relationships/hyperlink" Target="http://torrid.com" TargetMode="External"/><Relationship Id="rId3" Type="http://schemas.openxmlformats.org/officeDocument/2006/relationships/hyperlink" Target="http://accentgr.com.au" TargetMode="External"/><Relationship Id="rId4" Type="http://schemas.openxmlformats.org/officeDocument/2006/relationships/hyperlink" Target="http://amica.com" TargetMode="External"/><Relationship Id="rId9" Type="http://schemas.openxmlformats.org/officeDocument/2006/relationships/hyperlink" Target="http://mongodb.com" TargetMode="External"/><Relationship Id="rId26" Type="http://schemas.openxmlformats.org/officeDocument/2006/relationships/hyperlink" Target="http://spark.co.nz" TargetMode="External"/><Relationship Id="rId25" Type="http://schemas.openxmlformats.org/officeDocument/2006/relationships/hyperlink" Target="http://darden.com" TargetMode="External"/><Relationship Id="rId28" Type="http://schemas.openxmlformats.org/officeDocument/2006/relationships/hyperlink" Target="http://bsci.com" TargetMode="External"/><Relationship Id="rId27" Type="http://schemas.openxmlformats.org/officeDocument/2006/relationships/hyperlink" Target="http://westjet.com" TargetMode="External"/><Relationship Id="rId5" Type="http://schemas.openxmlformats.org/officeDocument/2006/relationships/hyperlink" Target="http://bluebeam.com" TargetMode="External"/><Relationship Id="rId6" Type="http://schemas.openxmlformats.org/officeDocument/2006/relationships/hyperlink" Target="http://worldmarket.com" TargetMode="External"/><Relationship Id="rId29" Type="http://schemas.openxmlformats.org/officeDocument/2006/relationships/hyperlink" Target="http://commonspirit.org" TargetMode="External"/><Relationship Id="rId7" Type="http://schemas.openxmlformats.org/officeDocument/2006/relationships/hyperlink" Target="http://questrade.com" TargetMode="External"/><Relationship Id="rId8" Type="http://schemas.openxmlformats.org/officeDocument/2006/relationships/hyperlink" Target="http://caleres.com" TargetMode="External"/><Relationship Id="rId31" Type="http://schemas.openxmlformats.org/officeDocument/2006/relationships/hyperlink" Target="http://zenfolioinc.com" TargetMode="External"/><Relationship Id="rId30" Type="http://schemas.openxmlformats.org/officeDocument/2006/relationships/hyperlink" Target="http://rwjf.org" TargetMode="External"/><Relationship Id="rId11" Type="http://schemas.openxmlformats.org/officeDocument/2006/relationships/hyperlink" Target="http://cvshealth.com" TargetMode="External"/><Relationship Id="rId33" Type="http://schemas.openxmlformats.org/officeDocument/2006/relationships/hyperlink" Target="http://cdw.com" TargetMode="External"/><Relationship Id="rId10" Type="http://schemas.openxmlformats.org/officeDocument/2006/relationships/hyperlink" Target="http://ros.com" TargetMode="External"/><Relationship Id="rId32" Type="http://schemas.openxmlformats.org/officeDocument/2006/relationships/hyperlink" Target="http://khov.com" TargetMode="External"/><Relationship Id="rId13" Type="http://schemas.openxmlformats.org/officeDocument/2006/relationships/hyperlink" Target="http://agilent.com" TargetMode="External"/><Relationship Id="rId35" Type="http://schemas.openxmlformats.org/officeDocument/2006/relationships/hyperlink" Target="http://biogen.com" TargetMode="External"/><Relationship Id="rId12" Type="http://schemas.openxmlformats.org/officeDocument/2006/relationships/hyperlink" Target="http://ziffdavis.com" TargetMode="External"/><Relationship Id="rId34" Type="http://schemas.openxmlformats.org/officeDocument/2006/relationships/hyperlink" Target="http://mms.org" TargetMode="External"/><Relationship Id="rId15" Type="http://schemas.openxmlformats.org/officeDocument/2006/relationships/hyperlink" Target="http://rdoffutt.com" TargetMode="External"/><Relationship Id="rId37" Type="http://schemas.openxmlformats.org/officeDocument/2006/relationships/hyperlink" Target="http://accenture.com" TargetMode="External"/><Relationship Id="rId14" Type="http://schemas.openxmlformats.org/officeDocument/2006/relationships/hyperlink" Target="http://brunswick.com" TargetMode="External"/><Relationship Id="rId36" Type="http://schemas.openxmlformats.org/officeDocument/2006/relationships/hyperlink" Target="http://crowdstrike.com" TargetMode="External"/><Relationship Id="rId17" Type="http://schemas.openxmlformats.org/officeDocument/2006/relationships/hyperlink" Target="http://seagate.com" TargetMode="External"/><Relationship Id="rId39" Type="http://schemas.openxmlformats.org/officeDocument/2006/relationships/hyperlink" Target="http://mediacorp.com.sg" TargetMode="External"/><Relationship Id="rId16" Type="http://schemas.openxmlformats.org/officeDocument/2006/relationships/hyperlink" Target="http://tyson.com" TargetMode="External"/><Relationship Id="rId38" Type="http://schemas.openxmlformats.org/officeDocument/2006/relationships/hyperlink" Target="http://athenahealth.com" TargetMode="External"/><Relationship Id="rId19" Type="http://schemas.openxmlformats.org/officeDocument/2006/relationships/hyperlink" Target="http://officeworks.com.au" TargetMode="External"/><Relationship Id="rId18" Type="http://schemas.openxmlformats.org/officeDocument/2006/relationships/hyperlink" Target="http://verisign.com"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github.com/johndavis92790/OP-Tasklist/issues/22" TargetMode="External"/><Relationship Id="rId22" Type="http://schemas.openxmlformats.org/officeDocument/2006/relationships/hyperlink" Target="https://github.com/johndavis92790/OP-Tasklist/issues/23" TargetMode="External"/><Relationship Id="rId21" Type="http://schemas.openxmlformats.org/officeDocument/2006/relationships/hyperlink" Target="https://github.com/johndavis92790/OP-Tasklist/issues/18" TargetMode="External"/><Relationship Id="rId24" Type="http://schemas.openxmlformats.org/officeDocument/2006/relationships/hyperlink" Target="https://github.com/johndavis92790/OP-Tasklist/issues/6" TargetMode="External"/><Relationship Id="rId23" Type="http://schemas.openxmlformats.org/officeDocument/2006/relationships/hyperlink" Target="https://github.com/johndavis92790/OP-Tasklist/issues/19" TargetMode="External"/><Relationship Id="rId1" Type="http://schemas.openxmlformats.org/officeDocument/2006/relationships/hyperlink" Target="https://github.com/johndavis92790/OP-Tasklist/issues/32" TargetMode="External"/><Relationship Id="rId2" Type="http://schemas.openxmlformats.org/officeDocument/2006/relationships/hyperlink" Target="https://github.com/johndavis92790/OP-Tasklist/issues/15" TargetMode="External"/><Relationship Id="rId3" Type="http://schemas.openxmlformats.org/officeDocument/2006/relationships/hyperlink" Target="https://github.com/johndavis92790/OP-Tasklist/issues/34" TargetMode="External"/><Relationship Id="rId4" Type="http://schemas.openxmlformats.org/officeDocument/2006/relationships/hyperlink" Target="https://github.com/johndavis92790/OP-Tasklist/issues/13" TargetMode="External"/><Relationship Id="rId9" Type="http://schemas.openxmlformats.org/officeDocument/2006/relationships/hyperlink" Target="https://github.com/johndavis92790/OP-Tasklist/issues/7" TargetMode="External"/><Relationship Id="rId26" Type="http://schemas.openxmlformats.org/officeDocument/2006/relationships/hyperlink" Target="https://github.com/johndavis92790/OP-Tasklist/issues/16" TargetMode="External"/><Relationship Id="rId25" Type="http://schemas.openxmlformats.org/officeDocument/2006/relationships/hyperlink" Target="https://github.com/johndavis92790/OP-Tasklist/issues/30" TargetMode="External"/><Relationship Id="rId28" Type="http://schemas.openxmlformats.org/officeDocument/2006/relationships/hyperlink" Target="https://github.com/johndavis92790/OP-Tasklist/issues/25" TargetMode="External"/><Relationship Id="rId27" Type="http://schemas.openxmlformats.org/officeDocument/2006/relationships/hyperlink" Target="https://github.com/johndavis92790/OP-Tasklist/issues/26" TargetMode="External"/><Relationship Id="rId5" Type="http://schemas.openxmlformats.org/officeDocument/2006/relationships/hyperlink" Target="https://github.com/johndavis92790/OP-Tasklist/issues/11" TargetMode="External"/><Relationship Id="rId6" Type="http://schemas.openxmlformats.org/officeDocument/2006/relationships/hyperlink" Target="https://github.com/johndavis92790/OP-Tasklist/issues/24" TargetMode="External"/><Relationship Id="rId29" Type="http://schemas.openxmlformats.org/officeDocument/2006/relationships/hyperlink" Target="https://github.com/johndavis92790/OP-Tasklist/issues/27" TargetMode="External"/><Relationship Id="rId7" Type="http://schemas.openxmlformats.org/officeDocument/2006/relationships/hyperlink" Target="https://github.com/johndavis92790/OP-Tasklist/issues/3" TargetMode="External"/><Relationship Id="rId8" Type="http://schemas.openxmlformats.org/officeDocument/2006/relationships/hyperlink" Target="https://github.com/johndavis92790/OP-Tasklist/issues/2" TargetMode="External"/><Relationship Id="rId31" Type="http://schemas.openxmlformats.org/officeDocument/2006/relationships/hyperlink" Target="https://github.com/johndavis92790/OP-Tasklist/issues/29" TargetMode="External"/><Relationship Id="rId30" Type="http://schemas.openxmlformats.org/officeDocument/2006/relationships/hyperlink" Target="https://github.com/johndavis92790/OP-Tasklist/issues/28" TargetMode="External"/><Relationship Id="rId11" Type="http://schemas.openxmlformats.org/officeDocument/2006/relationships/hyperlink" Target="https://github.com/johndavis92790/OP-Tasklist/issues/9" TargetMode="External"/><Relationship Id="rId33" Type="http://schemas.openxmlformats.org/officeDocument/2006/relationships/hyperlink" Target="https://github.com/johndavis92790/OP-Tasklist/issues/33" TargetMode="External"/><Relationship Id="rId10" Type="http://schemas.openxmlformats.org/officeDocument/2006/relationships/hyperlink" Target="https://github.com/johndavis92790/OP-Tasklist/issues/5" TargetMode="External"/><Relationship Id="rId32" Type="http://schemas.openxmlformats.org/officeDocument/2006/relationships/hyperlink" Target="https://github.com/johndavis92790/OP-Tasklist/issues/31" TargetMode="External"/><Relationship Id="rId13" Type="http://schemas.openxmlformats.org/officeDocument/2006/relationships/hyperlink" Target="https://github.com/johndavis92790/OP-Tasklist/issues/12" TargetMode="External"/><Relationship Id="rId35" Type="http://schemas.openxmlformats.org/officeDocument/2006/relationships/hyperlink" Target="https://github.com/johndavis92790/OP-Tasklist/issues/36" TargetMode="External"/><Relationship Id="rId12" Type="http://schemas.openxmlformats.org/officeDocument/2006/relationships/hyperlink" Target="https://github.com/johndavis92790/OP-Tasklist/issues/10" TargetMode="External"/><Relationship Id="rId34" Type="http://schemas.openxmlformats.org/officeDocument/2006/relationships/hyperlink" Target="https://github.com/johndavis92790/OP-Tasklist/issues/35" TargetMode="External"/><Relationship Id="rId15" Type="http://schemas.openxmlformats.org/officeDocument/2006/relationships/hyperlink" Target="https://github.com/johndavis92790/OP-Tasklist/issues/8" TargetMode="External"/><Relationship Id="rId37" Type="http://schemas.openxmlformats.org/officeDocument/2006/relationships/hyperlink" Target="https://github.com/johndavis92790/OP-Tasklist/issues/39" TargetMode="External"/><Relationship Id="rId14" Type="http://schemas.openxmlformats.org/officeDocument/2006/relationships/hyperlink" Target="https://github.com/johndavis92790/OP-Tasklist/issues/14" TargetMode="External"/><Relationship Id="rId36" Type="http://schemas.openxmlformats.org/officeDocument/2006/relationships/hyperlink" Target="https://github.com/johndavis92790/OP-Tasklist/issues/38" TargetMode="External"/><Relationship Id="rId17" Type="http://schemas.openxmlformats.org/officeDocument/2006/relationships/hyperlink" Target="https://github.com/johndavis92790/OP-Tasklist/issues/37" TargetMode="External"/><Relationship Id="rId16" Type="http://schemas.openxmlformats.org/officeDocument/2006/relationships/hyperlink" Target="https://github.com/johndavis92790/OP-Tasklist/issues/17" TargetMode="External"/><Relationship Id="rId38" Type="http://schemas.openxmlformats.org/officeDocument/2006/relationships/drawing" Target="../drawings/drawing5.xml"/><Relationship Id="rId19" Type="http://schemas.openxmlformats.org/officeDocument/2006/relationships/hyperlink" Target="https://github.com/johndavis92790/OP-Tasklist/issues/21" TargetMode="External"/><Relationship Id="rId18" Type="http://schemas.openxmlformats.org/officeDocument/2006/relationships/hyperlink" Target="https://github.com/johndavis92790/OP-Tasklist/issues/20"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90" Type="http://schemas.openxmlformats.org/officeDocument/2006/relationships/hyperlink" Target="http://observepoint.com" TargetMode="External"/><Relationship Id="rId194" Type="http://schemas.openxmlformats.org/officeDocument/2006/relationships/hyperlink" Target="http://questrade.com" TargetMode="External"/><Relationship Id="rId193" Type="http://schemas.openxmlformats.org/officeDocument/2006/relationships/hyperlink" Target="http://observepoint.com" TargetMode="External"/><Relationship Id="rId192" Type="http://schemas.openxmlformats.org/officeDocument/2006/relationships/hyperlink" Target="http://observepoint.com" TargetMode="External"/><Relationship Id="rId191" Type="http://schemas.openxmlformats.org/officeDocument/2006/relationships/hyperlink" Target="http://worldmarket.com" TargetMode="External"/><Relationship Id="rId187" Type="http://schemas.openxmlformats.org/officeDocument/2006/relationships/hyperlink" Target="http://observepoint.com" TargetMode="External"/><Relationship Id="rId186" Type="http://schemas.openxmlformats.org/officeDocument/2006/relationships/hyperlink" Target="http://observepoint.com" TargetMode="External"/><Relationship Id="rId185" Type="http://schemas.openxmlformats.org/officeDocument/2006/relationships/hyperlink" Target="http://questrade.com" TargetMode="External"/><Relationship Id="rId184" Type="http://schemas.openxmlformats.org/officeDocument/2006/relationships/hyperlink" Target="http://observepoint.com" TargetMode="External"/><Relationship Id="rId189" Type="http://schemas.openxmlformats.org/officeDocument/2006/relationships/hyperlink" Target="http://observepoint.com" TargetMode="External"/><Relationship Id="rId188" Type="http://schemas.openxmlformats.org/officeDocument/2006/relationships/hyperlink" Target="http://caleres.com" TargetMode="External"/><Relationship Id="rId183" Type="http://schemas.openxmlformats.org/officeDocument/2006/relationships/hyperlink" Target="http://observepoint.com" TargetMode="External"/><Relationship Id="rId182" Type="http://schemas.openxmlformats.org/officeDocument/2006/relationships/hyperlink" Target="http://bluebeam.com" TargetMode="External"/><Relationship Id="rId181" Type="http://schemas.openxmlformats.org/officeDocument/2006/relationships/hyperlink" Target="http://observepoint.com" TargetMode="External"/><Relationship Id="rId180" Type="http://schemas.openxmlformats.org/officeDocument/2006/relationships/hyperlink" Target="http://observepoint.com" TargetMode="External"/><Relationship Id="rId176" Type="http://schemas.openxmlformats.org/officeDocument/2006/relationships/hyperlink" Target="http://lumen.com" TargetMode="External"/><Relationship Id="rId175" Type="http://schemas.openxmlformats.org/officeDocument/2006/relationships/hyperlink" Target="http://observepoint.com" TargetMode="External"/><Relationship Id="rId174" Type="http://schemas.openxmlformats.org/officeDocument/2006/relationships/hyperlink" Target="http://observepoint.com" TargetMode="External"/><Relationship Id="rId173" Type="http://schemas.openxmlformats.org/officeDocument/2006/relationships/hyperlink" Target="http://questrade.com" TargetMode="External"/><Relationship Id="rId179" Type="http://schemas.openxmlformats.org/officeDocument/2006/relationships/hyperlink" Target="http://caleres.com" TargetMode="External"/><Relationship Id="rId178" Type="http://schemas.openxmlformats.org/officeDocument/2006/relationships/hyperlink" Target="http://observepoint.com" TargetMode="External"/><Relationship Id="rId177" Type="http://schemas.openxmlformats.org/officeDocument/2006/relationships/hyperlink" Target="http://observepoint.com" TargetMode="External"/><Relationship Id="rId198" Type="http://schemas.openxmlformats.org/officeDocument/2006/relationships/hyperlink" Target="http://observepoint.com" TargetMode="External"/><Relationship Id="rId197" Type="http://schemas.openxmlformats.org/officeDocument/2006/relationships/hyperlink" Target="http://questrade.com" TargetMode="External"/><Relationship Id="rId196" Type="http://schemas.openxmlformats.org/officeDocument/2006/relationships/hyperlink" Target="http://observepoint.com" TargetMode="External"/><Relationship Id="rId195" Type="http://schemas.openxmlformats.org/officeDocument/2006/relationships/hyperlink" Target="http://observepoint.com" TargetMode="External"/><Relationship Id="rId199" Type="http://schemas.openxmlformats.org/officeDocument/2006/relationships/hyperlink" Target="http://observepoint.com" TargetMode="External"/><Relationship Id="rId150" Type="http://schemas.openxmlformats.org/officeDocument/2006/relationships/hyperlink" Target="http://observepoint.com" TargetMode="External"/><Relationship Id="rId392" Type="http://schemas.openxmlformats.org/officeDocument/2006/relationships/hyperlink" Target="http://observepoint.com" TargetMode="External"/><Relationship Id="rId391" Type="http://schemas.openxmlformats.org/officeDocument/2006/relationships/hyperlink" Target="http://ros.com" TargetMode="External"/><Relationship Id="rId390" Type="http://schemas.openxmlformats.org/officeDocument/2006/relationships/hyperlink" Target="http://observepoint.com" TargetMode="External"/><Relationship Id="rId1" Type="http://schemas.openxmlformats.org/officeDocument/2006/relationships/hyperlink" Target="http://observepoint.com" TargetMode="External"/><Relationship Id="rId2" Type="http://schemas.openxmlformats.org/officeDocument/2006/relationships/hyperlink" Target="http://amica.com" TargetMode="External"/><Relationship Id="rId3" Type="http://schemas.openxmlformats.org/officeDocument/2006/relationships/hyperlink" Target="http://observepoint.com" TargetMode="External"/><Relationship Id="rId149" Type="http://schemas.openxmlformats.org/officeDocument/2006/relationships/hyperlink" Target="http://observepoint.com" TargetMode="External"/><Relationship Id="rId4" Type="http://schemas.openxmlformats.org/officeDocument/2006/relationships/hyperlink" Target="http://amica.com" TargetMode="External"/><Relationship Id="rId148" Type="http://schemas.openxmlformats.org/officeDocument/2006/relationships/hyperlink" Target="http://amica.com" TargetMode="External"/><Relationship Id="rId1090" Type="http://schemas.openxmlformats.org/officeDocument/2006/relationships/hyperlink" Target="http://cdw.com" TargetMode="External"/><Relationship Id="rId1091" Type="http://schemas.openxmlformats.org/officeDocument/2006/relationships/hyperlink" Target="http://observepoint.com" TargetMode="External"/><Relationship Id="rId1092" Type="http://schemas.openxmlformats.org/officeDocument/2006/relationships/hyperlink" Target="http://observepoint.com" TargetMode="External"/><Relationship Id="rId1093" Type="http://schemas.openxmlformats.org/officeDocument/2006/relationships/hyperlink" Target="http://cdw.com" TargetMode="External"/><Relationship Id="rId1094" Type="http://schemas.openxmlformats.org/officeDocument/2006/relationships/hyperlink" Target="http://cdw.com" TargetMode="External"/><Relationship Id="rId9" Type="http://schemas.openxmlformats.org/officeDocument/2006/relationships/hyperlink" Target="http://observepoint.com" TargetMode="External"/><Relationship Id="rId143" Type="http://schemas.openxmlformats.org/officeDocument/2006/relationships/hyperlink" Target="http://amica.com" TargetMode="External"/><Relationship Id="rId385" Type="http://schemas.openxmlformats.org/officeDocument/2006/relationships/hyperlink" Target="http://observepoint.com" TargetMode="External"/><Relationship Id="rId1095" Type="http://schemas.openxmlformats.org/officeDocument/2006/relationships/hyperlink" Target="http://observepoint.com" TargetMode="External"/><Relationship Id="rId142" Type="http://schemas.openxmlformats.org/officeDocument/2006/relationships/hyperlink" Target="http://observepoint.com" TargetMode="External"/><Relationship Id="rId384" Type="http://schemas.openxmlformats.org/officeDocument/2006/relationships/hyperlink" Target="http://ros.com" TargetMode="External"/><Relationship Id="rId1096" Type="http://schemas.openxmlformats.org/officeDocument/2006/relationships/hyperlink" Target="http://mms.org" TargetMode="External"/><Relationship Id="rId141" Type="http://schemas.openxmlformats.org/officeDocument/2006/relationships/hyperlink" Target="http://observepoint.com" TargetMode="External"/><Relationship Id="rId383" Type="http://schemas.openxmlformats.org/officeDocument/2006/relationships/hyperlink" Target="http://observepoint.com" TargetMode="External"/><Relationship Id="rId1097" Type="http://schemas.openxmlformats.org/officeDocument/2006/relationships/hyperlink" Target="http://cdw.com" TargetMode="External"/><Relationship Id="rId140" Type="http://schemas.openxmlformats.org/officeDocument/2006/relationships/hyperlink" Target="http://amica.com" TargetMode="External"/><Relationship Id="rId382" Type="http://schemas.openxmlformats.org/officeDocument/2006/relationships/hyperlink" Target="http://ros.com" TargetMode="External"/><Relationship Id="rId1098" Type="http://schemas.openxmlformats.org/officeDocument/2006/relationships/hyperlink" Target="http://observepoint.com" TargetMode="External"/><Relationship Id="rId5" Type="http://schemas.openxmlformats.org/officeDocument/2006/relationships/hyperlink" Target="http://observepoint.com" TargetMode="External"/><Relationship Id="rId147" Type="http://schemas.openxmlformats.org/officeDocument/2006/relationships/hyperlink" Target="http://observepoint.com" TargetMode="External"/><Relationship Id="rId389" Type="http://schemas.openxmlformats.org/officeDocument/2006/relationships/hyperlink" Target="http://observepoint.com" TargetMode="External"/><Relationship Id="rId1099" Type="http://schemas.openxmlformats.org/officeDocument/2006/relationships/hyperlink" Target="http://cdw.com" TargetMode="External"/><Relationship Id="rId6" Type="http://schemas.openxmlformats.org/officeDocument/2006/relationships/hyperlink" Target="http://amica.com" TargetMode="External"/><Relationship Id="rId146" Type="http://schemas.openxmlformats.org/officeDocument/2006/relationships/hyperlink" Target="http://amica.com" TargetMode="External"/><Relationship Id="rId388" Type="http://schemas.openxmlformats.org/officeDocument/2006/relationships/hyperlink" Target="http://ros.com" TargetMode="External"/><Relationship Id="rId7" Type="http://schemas.openxmlformats.org/officeDocument/2006/relationships/hyperlink" Target="http://observepoint.com" TargetMode="External"/><Relationship Id="rId145" Type="http://schemas.openxmlformats.org/officeDocument/2006/relationships/hyperlink" Target="http://observepoint.com" TargetMode="External"/><Relationship Id="rId387" Type="http://schemas.openxmlformats.org/officeDocument/2006/relationships/hyperlink" Target="http://observepoint.com" TargetMode="External"/><Relationship Id="rId8" Type="http://schemas.openxmlformats.org/officeDocument/2006/relationships/hyperlink" Target="http://amica.com" TargetMode="External"/><Relationship Id="rId144" Type="http://schemas.openxmlformats.org/officeDocument/2006/relationships/hyperlink" Target="http://observepoint.com" TargetMode="External"/><Relationship Id="rId386" Type="http://schemas.openxmlformats.org/officeDocument/2006/relationships/hyperlink" Target="http://ros.com" TargetMode="External"/><Relationship Id="rId381" Type="http://schemas.openxmlformats.org/officeDocument/2006/relationships/hyperlink" Target="http://observepoint.com" TargetMode="External"/><Relationship Id="rId380" Type="http://schemas.openxmlformats.org/officeDocument/2006/relationships/hyperlink" Target="http://cvshealth.com" TargetMode="External"/><Relationship Id="rId139" Type="http://schemas.openxmlformats.org/officeDocument/2006/relationships/hyperlink" Target="http://observepoint.com" TargetMode="External"/><Relationship Id="rId138" Type="http://schemas.openxmlformats.org/officeDocument/2006/relationships/hyperlink" Target="http://amica.com" TargetMode="External"/><Relationship Id="rId137" Type="http://schemas.openxmlformats.org/officeDocument/2006/relationships/hyperlink" Target="http://observepoint.com" TargetMode="External"/><Relationship Id="rId379" Type="http://schemas.openxmlformats.org/officeDocument/2006/relationships/hyperlink" Target="http://cvshealth.com" TargetMode="External"/><Relationship Id="rId1080" Type="http://schemas.openxmlformats.org/officeDocument/2006/relationships/hyperlink" Target="http://observepoint.com" TargetMode="External"/><Relationship Id="rId1081" Type="http://schemas.openxmlformats.org/officeDocument/2006/relationships/hyperlink" Target="http://prudential.com" TargetMode="External"/><Relationship Id="rId1082" Type="http://schemas.openxmlformats.org/officeDocument/2006/relationships/hyperlink" Target="http://cdw.com" TargetMode="External"/><Relationship Id="rId1083" Type="http://schemas.openxmlformats.org/officeDocument/2006/relationships/hyperlink" Target="http://observepoint.com" TargetMode="External"/><Relationship Id="rId132" Type="http://schemas.openxmlformats.org/officeDocument/2006/relationships/hyperlink" Target="http://amica.com" TargetMode="External"/><Relationship Id="rId374" Type="http://schemas.openxmlformats.org/officeDocument/2006/relationships/hyperlink" Target="http://cvshealth.com" TargetMode="External"/><Relationship Id="rId1084" Type="http://schemas.openxmlformats.org/officeDocument/2006/relationships/hyperlink" Target="http://observepoint.com" TargetMode="External"/><Relationship Id="rId131" Type="http://schemas.openxmlformats.org/officeDocument/2006/relationships/hyperlink" Target="http://observepoint.com" TargetMode="External"/><Relationship Id="rId373" Type="http://schemas.openxmlformats.org/officeDocument/2006/relationships/hyperlink" Target="http://observepoint.com" TargetMode="External"/><Relationship Id="rId1085" Type="http://schemas.openxmlformats.org/officeDocument/2006/relationships/hyperlink" Target="http://cdw.com" TargetMode="External"/><Relationship Id="rId130" Type="http://schemas.openxmlformats.org/officeDocument/2006/relationships/hyperlink" Target="http://observepoint.com" TargetMode="External"/><Relationship Id="rId372" Type="http://schemas.openxmlformats.org/officeDocument/2006/relationships/hyperlink" Target="http://observepoint.com" TargetMode="External"/><Relationship Id="rId1086" Type="http://schemas.openxmlformats.org/officeDocument/2006/relationships/hyperlink" Target="http://cdw.com" TargetMode="External"/><Relationship Id="rId371" Type="http://schemas.openxmlformats.org/officeDocument/2006/relationships/hyperlink" Target="http://observepoint.com" TargetMode="External"/><Relationship Id="rId1087" Type="http://schemas.openxmlformats.org/officeDocument/2006/relationships/hyperlink" Target="http://observepoint.com" TargetMode="External"/><Relationship Id="rId136" Type="http://schemas.openxmlformats.org/officeDocument/2006/relationships/hyperlink" Target="http://observepoint.com" TargetMode="External"/><Relationship Id="rId378" Type="http://schemas.openxmlformats.org/officeDocument/2006/relationships/hyperlink" Target="http://observepoint.com" TargetMode="External"/><Relationship Id="rId1088" Type="http://schemas.openxmlformats.org/officeDocument/2006/relationships/hyperlink" Target="http://cdw.com" TargetMode="External"/><Relationship Id="rId135" Type="http://schemas.openxmlformats.org/officeDocument/2006/relationships/hyperlink" Target="http://amica.com" TargetMode="External"/><Relationship Id="rId377" Type="http://schemas.openxmlformats.org/officeDocument/2006/relationships/hyperlink" Target="http://cvshealth.com" TargetMode="External"/><Relationship Id="rId1089" Type="http://schemas.openxmlformats.org/officeDocument/2006/relationships/hyperlink" Target="http://observepoint.com" TargetMode="External"/><Relationship Id="rId134" Type="http://schemas.openxmlformats.org/officeDocument/2006/relationships/hyperlink" Target="http://observepoint.com" TargetMode="External"/><Relationship Id="rId376" Type="http://schemas.openxmlformats.org/officeDocument/2006/relationships/hyperlink" Target="http://observepoint.com" TargetMode="External"/><Relationship Id="rId133" Type="http://schemas.openxmlformats.org/officeDocument/2006/relationships/hyperlink" Target="http://observepoint.com" TargetMode="External"/><Relationship Id="rId375" Type="http://schemas.openxmlformats.org/officeDocument/2006/relationships/hyperlink" Target="http://cvshealth.com" TargetMode="External"/><Relationship Id="rId172" Type="http://schemas.openxmlformats.org/officeDocument/2006/relationships/hyperlink" Target="http://observepoint.com" TargetMode="External"/><Relationship Id="rId171" Type="http://schemas.openxmlformats.org/officeDocument/2006/relationships/hyperlink" Target="http://lumen.com" TargetMode="External"/><Relationship Id="rId170" Type="http://schemas.openxmlformats.org/officeDocument/2006/relationships/hyperlink" Target="http://observepoint.com" TargetMode="External"/><Relationship Id="rId165" Type="http://schemas.openxmlformats.org/officeDocument/2006/relationships/hyperlink" Target="http://observepoint.com" TargetMode="External"/><Relationship Id="rId164" Type="http://schemas.openxmlformats.org/officeDocument/2006/relationships/hyperlink" Target="http://observepoint.com" TargetMode="External"/><Relationship Id="rId163" Type="http://schemas.openxmlformats.org/officeDocument/2006/relationships/hyperlink" Target="http://observepoint.com" TargetMode="External"/><Relationship Id="rId162" Type="http://schemas.openxmlformats.org/officeDocument/2006/relationships/hyperlink" Target="http://questrade.com" TargetMode="External"/><Relationship Id="rId169" Type="http://schemas.openxmlformats.org/officeDocument/2006/relationships/hyperlink" Target="http://observepoint.com" TargetMode="External"/><Relationship Id="rId168" Type="http://schemas.openxmlformats.org/officeDocument/2006/relationships/hyperlink" Target="http://observepoint.com" TargetMode="External"/><Relationship Id="rId167" Type="http://schemas.openxmlformats.org/officeDocument/2006/relationships/hyperlink" Target="http://observepoint.com" TargetMode="External"/><Relationship Id="rId166" Type="http://schemas.openxmlformats.org/officeDocument/2006/relationships/hyperlink" Target="http://observepoint.com" TargetMode="External"/><Relationship Id="rId161" Type="http://schemas.openxmlformats.org/officeDocument/2006/relationships/hyperlink" Target="http://observepoint.com" TargetMode="External"/><Relationship Id="rId160" Type="http://schemas.openxmlformats.org/officeDocument/2006/relationships/hyperlink" Target="http://questrade.com" TargetMode="External"/><Relationship Id="rId159" Type="http://schemas.openxmlformats.org/officeDocument/2006/relationships/hyperlink" Target="http://observepoint.com" TargetMode="External"/><Relationship Id="rId154" Type="http://schemas.openxmlformats.org/officeDocument/2006/relationships/hyperlink" Target="http://observepoint.com" TargetMode="External"/><Relationship Id="rId396" Type="http://schemas.openxmlformats.org/officeDocument/2006/relationships/hyperlink" Target="http://mongodb.com" TargetMode="External"/><Relationship Id="rId153" Type="http://schemas.openxmlformats.org/officeDocument/2006/relationships/hyperlink" Target="http://lumen.com" TargetMode="External"/><Relationship Id="rId395" Type="http://schemas.openxmlformats.org/officeDocument/2006/relationships/hyperlink" Target="http://observepoint.com" TargetMode="External"/><Relationship Id="rId152" Type="http://schemas.openxmlformats.org/officeDocument/2006/relationships/hyperlink" Target="http://observepoint.com" TargetMode="External"/><Relationship Id="rId394" Type="http://schemas.openxmlformats.org/officeDocument/2006/relationships/hyperlink" Target="http://ros.com" TargetMode="External"/><Relationship Id="rId151" Type="http://schemas.openxmlformats.org/officeDocument/2006/relationships/hyperlink" Target="http://observepoint.com" TargetMode="External"/><Relationship Id="rId393" Type="http://schemas.openxmlformats.org/officeDocument/2006/relationships/hyperlink" Target="http://observepoint.com" TargetMode="External"/><Relationship Id="rId158" Type="http://schemas.openxmlformats.org/officeDocument/2006/relationships/hyperlink" Target="http://observepoint.com" TargetMode="External"/><Relationship Id="rId157" Type="http://schemas.openxmlformats.org/officeDocument/2006/relationships/hyperlink" Target="http://bluebeam.com" TargetMode="External"/><Relationship Id="rId399" Type="http://schemas.openxmlformats.org/officeDocument/2006/relationships/hyperlink" Target="http://observepoint.com" TargetMode="External"/><Relationship Id="rId156" Type="http://schemas.openxmlformats.org/officeDocument/2006/relationships/hyperlink" Target="http://observepoint.com" TargetMode="External"/><Relationship Id="rId398" Type="http://schemas.openxmlformats.org/officeDocument/2006/relationships/hyperlink" Target="http://mongodb.com" TargetMode="External"/><Relationship Id="rId155" Type="http://schemas.openxmlformats.org/officeDocument/2006/relationships/hyperlink" Target="http://bluebeam.com" TargetMode="External"/><Relationship Id="rId397" Type="http://schemas.openxmlformats.org/officeDocument/2006/relationships/hyperlink" Target="http://observepoint.com" TargetMode="External"/><Relationship Id="rId808" Type="http://schemas.openxmlformats.org/officeDocument/2006/relationships/hyperlink" Target="http://observepoint.com" TargetMode="External"/><Relationship Id="rId807" Type="http://schemas.openxmlformats.org/officeDocument/2006/relationships/hyperlink" Target="http://observepoint.com" TargetMode="External"/><Relationship Id="rId806" Type="http://schemas.openxmlformats.org/officeDocument/2006/relationships/hyperlink" Target="http://westjet.com" TargetMode="External"/><Relationship Id="rId805" Type="http://schemas.openxmlformats.org/officeDocument/2006/relationships/hyperlink" Target="http://observepoint.com" TargetMode="External"/><Relationship Id="rId809" Type="http://schemas.openxmlformats.org/officeDocument/2006/relationships/hyperlink" Target="http://commonspirit.org" TargetMode="External"/><Relationship Id="rId800" Type="http://schemas.openxmlformats.org/officeDocument/2006/relationships/hyperlink" Target="http://commonspirit.org" TargetMode="External"/><Relationship Id="rId804" Type="http://schemas.openxmlformats.org/officeDocument/2006/relationships/hyperlink" Target="http://observepoint.com" TargetMode="External"/><Relationship Id="rId803" Type="http://schemas.openxmlformats.org/officeDocument/2006/relationships/hyperlink" Target="http://commonspirit.org" TargetMode="External"/><Relationship Id="rId802" Type="http://schemas.openxmlformats.org/officeDocument/2006/relationships/hyperlink" Target="http://observepoint.com" TargetMode="External"/><Relationship Id="rId801" Type="http://schemas.openxmlformats.org/officeDocument/2006/relationships/hyperlink" Target="http://observepoint.com" TargetMode="External"/><Relationship Id="rId40" Type="http://schemas.openxmlformats.org/officeDocument/2006/relationships/hyperlink" Target="http://accentgr.com.au" TargetMode="External"/><Relationship Id="rId1334" Type="http://schemas.openxmlformats.org/officeDocument/2006/relationships/hyperlink" Target="http://mongodb.com" TargetMode="External"/><Relationship Id="rId1335" Type="http://schemas.openxmlformats.org/officeDocument/2006/relationships/hyperlink" Target="http://mongodb.com" TargetMode="External"/><Relationship Id="rId42" Type="http://schemas.openxmlformats.org/officeDocument/2006/relationships/hyperlink" Target="http://observepoint.com" TargetMode="External"/><Relationship Id="rId1336" Type="http://schemas.openxmlformats.org/officeDocument/2006/relationships/hyperlink" Target="http://bluebeam.com" TargetMode="External"/><Relationship Id="rId41" Type="http://schemas.openxmlformats.org/officeDocument/2006/relationships/hyperlink" Target="http://observepoint.com" TargetMode="External"/><Relationship Id="rId1337" Type="http://schemas.openxmlformats.org/officeDocument/2006/relationships/hyperlink" Target="http://observepoint.com" TargetMode="External"/><Relationship Id="rId44" Type="http://schemas.openxmlformats.org/officeDocument/2006/relationships/hyperlink" Target="http://observepoint.com" TargetMode="External"/><Relationship Id="rId1338" Type="http://schemas.openxmlformats.org/officeDocument/2006/relationships/hyperlink" Target="http://observepoint.com" TargetMode="External"/><Relationship Id="rId43" Type="http://schemas.openxmlformats.org/officeDocument/2006/relationships/hyperlink" Target="http://merz.com" TargetMode="External"/><Relationship Id="rId1339" Type="http://schemas.openxmlformats.org/officeDocument/2006/relationships/hyperlink" Target="http://zenfolioinc.com" TargetMode="External"/><Relationship Id="rId46" Type="http://schemas.openxmlformats.org/officeDocument/2006/relationships/hyperlink" Target="http://amica.com" TargetMode="External"/><Relationship Id="rId45" Type="http://schemas.openxmlformats.org/officeDocument/2006/relationships/hyperlink" Target="http://observepoint.com" TargetMode="External"/><Relationship Id="rId509" Type="http://schemas.openxmlformats.org/officeDocument/2006/relationships/hyperlink" Target="http://observepoint.com" TargetMode="External"/><Relationship Id="rId508" Type="http://schemas.openxmlformats.org/officeDocument/2006/relationships/hyperlink" Target="http://agilent.com" TargetMode="External"/><Relationship Id="rId503" Type="http://schemas.openxmlformats.org/officeDocument/2006/relationships/hyperlink" Target="http://observepoint.com" TargetMode="External"/><Relationship Id="rId745" Type="http://schemas.openxmlformats.org/officeDocument/2006/relationships/hyperlink" Target="http://observepoint.com" TargetMode="External"/><Relationship Id="rId987" Type="http://schemas.openxmlformats.org/officeDocument/2006/relationships/hyperlink" Target="http://observepoint.com" TargetMode="External"/><Relationship Id="rId502" Type="http://schemas.openxmlformats.org/officeDocument/2006/relationships/hyperlink" Target="http://ziffdavis.com" TargetMode="External"/><Relationship Id="rId744" Type="http://schemas.openxmlformats.org/officeDocument/2006/relationships/hyperlink" Target="http://devry.edu" TargetMode="External"/><Relationship Id="rId986" Type="http://schemas.openxmlformats.org/officeDocument/2006/relationships/hyperlink" Target="http://prudential.com" TargetMode="External"/><Relationship Id="rId501" Type="http://schemas.openxmlformats.org/officeDocument/2006/relationships/hyperlink" Target="http://observepoint.com" TargetMode="External"/><Relationship Id="rId743" Type="http://schemas.openxmlformats.org/officeDocument/2006/relationships/hyperlink" Target="http://chilipiper.com" TargetMode="External"/><Relationship Id="rId985" Type="http://schemas.openxmlformats.org/officeDocument/2006/relationships/hyperlink" Target="http://prudential.com" TargetMode="External"/><Relationship Id="rId500" Type="http://schemas.openxmlformats.org/officeDocument/2006/relationships/hyperlink" Target="http://observepoint.com" TargetMode="External"/><Relationship Id="rId742" Type="http://schemas.openxmlformats.org/officeDocument/2006/relationships/hyperlink" Target="http://observepoint.com" TargetMode="External"/><Relationship Id="rId984" Type="http://schemas.openxmlformats.org/officeDocument/2006/relationships/hyperlink" Target="http://prudential.com" TargetMode="External"/><Relationship Id="rId507" Type="http://schemas.openxmlformats.org/officeDocument/2006/relationships/hyperlink" Target="http://observepoint.com" TargetMode="External"/><Relationship Id="rId749" Type="http://schemas.openxmlformats.org/officeDocument/2006/relationships/hyperlink" Target="http://devry.edu" TargetMode="External"/><Relationship Id="rId506" Type="http://schemas.openxmlformats.org/officeDocument/2006/relationships/hyperlink" Target="http://observepoint.com" TargetMode="External"/><Relationship Id="rId748" Type="http://schemas.openxmlformats.org/officeDocument/2006/relationships/hyperlink" Target="http://observepoint.com" TargetMode="External"/><Relationship Id="rId505" Type="http://schemas.openxmlformats.org/officeDocument/2006/relationships/hyperlink" Target="http://tyson.com" TargetMode="External"/><Relationship Id="rId747" Type="http://schemas.openxmlformats.org/officeDocument/2006/relationships/hyperlink" Target="http://devry.edu" TargetMode="External"/><Relationship Id="rId989" Type="http://schemas.openxmlformats.org/officeDocument/2006/relationships/hyperlink" Target="http://observepoint.com" TargetMode="External"/><Relationship Id="rId504" Type="http://schemas.openxmlformats.org/officeDocument/2006/relationships/hyperlink" Target="http://observepoint.com" TargetMode="External"/><Relationship Id="rId746" Type="http://schemas.openxmlformats.org/officeDocument/2006/relationships/hyperlink" Target="http://observepoint.com" TargetMode="External"/><Relationship Id="rId988" Type="http://schemas.openxmlformats.org/officeDocument/2006/relationships/hyperlink" Target="http://prudential.com" TargetMode="External"/><Relationship Id="rId48" Type="http://schemas.openxmlformats.org/officeDocument/2006/relationships/hyperlink" Target="http://observepoint.com" TargetMode="External"/><Relationship Id="rId47" Type="http://schemas.openxmlformats.org/officeDocument/2006/relationships/hyperlink" Target="http://observepoint.com" TargetMode="External"/><Relationship Id="rId49" Type="http://schemas.openxmlformats.org/officeDocument/2006/relationships/hyperlink" Target="http://amica.com" TargetMode="External"/><Relationship Id="rId741" Type="http://schemas.openxmlformats.org/officeDocument/2006/relationships/hyperlink" Target="http://darden.com" TargetMode="External"/><Relationship Id="rId983" Type="http://schemas.openxmlformats.org/officeDocument/2006/relationships/hyperlink" Target="http://observepoint.com" TargetMode="External"/><Relationship Id="rId1330" Type="http://schemas.openxmlformats.org/officeDocument/2006/relationships/hyperlink" Target="http://observepoint.com" TargetMode="External"/><Relationship Id="rId740" Type="http://schemas.openxmlformats.org/officeDocument/2006/relationships/hyperlink" Target="http://observepoint.com" TargetMode="External"/><Relationship Id="rId982" Type="http://schemas.openxmlformats.org/officeDocument/2006/relationships/hyperlink" Target="http://observepoint.com" TargetMode="External"/><Relationship Id="rId1331" Type="http://schemas.openxmlformats.org/officeDocument/2006/relationships/hyperlink" Target="http://athenahealth.com" TargetMode="External"/><Relationship Id="rId981" Type="http://schemas.openxmlformats.org/officeDocument/2006/relationships/hyperlink" Target="http://observepoint.com" TargetMode="External"/><Relationship Id="rId1332" Type="http://schemas.openxmlformats.org/officeDocument/2006/relationships/hyperlink" Target="http://observepoint.com" TargetMode="External"/><Relationship Id="rId980" Type="http://schemas.openxmlformats.org/officeDocument/2006/relationships/hyperlink" Target="http://observepoint.com" TargetMode="External"/><Relationship Id="rId1333" Type="http://schemas.openxmlformats.org/officeDocument/2006/relationships/hyperlink" Target="http://observepoint.com" TargetMode="External"/><Relationship Id="rId1323" Type="http://schemas.openxmlformats.org/officeDocument/2006/relationships/hyperlink" Target="http://observepoint.com" TargetMode="External"/><Relationship Id="rId1324" Type="http://schemas.openxmlformats.org/officeDocument/2006/relationships/hyperlink" Target="http://observepoint.com" TargetMode="External"/><Relationship Id="rId31" Type="http://schemas.openxmlformats.org/officeDocument/2006/relationships/hyperlink" Target="http://accentgr.com.au" TargetMode="External"/><Relationship Id="rId1325" Type="http://schemas.openxmlformats.org/officeDocument/2006/relationships/hyperlink" Target="http://accenture.com" TargetMode="External"/><Relationship Id="rId30" Type="http://schemas.openxmlformats.org/officeDocument/2006/relationships/hyperlink" Target="http://observepoint.com" TargetMode="External"/><Relationship Id="rId1326" Type="http://schemas.openxmlformats.org/officeDocument/2006/relationships/hyperlink" Target="http://accenture.com" TargetMode="External"/><Relationship Id="rId33" Type="http://schemas.openxmlformats.org/officeDocument/2006/relationships/hyperlink" Target="http://observepoint.com" TargetMode="External"/><Relationship Id="rId1327" Type="http://schemas.openxmlformats.org/officeDocument/2006/relationships/hyperlink" Target="http://observepoint.com" TargetMode="External"/><Relationship Id="rId32" Type="http://schemas.openxmlformats.org/officeDocument/2006/relationships/hyperlink" Target="http://observepoint.com" TargetMode="External"/><Relationship Id="rId1328" Type="http://schemas.openxmlformats.org/officeDocument/2006/relationships/hyperlink" Target="http://observepoint.com" TargetMode="External"/><Relationship Id="rId35" Type="http://schemas.openxmlformats.org/officeDocument/2006/relationships/hyperlink" Target="http://observepoint.com" TargetMode="External"/><Relationship Id="rId1329" Type="http://schemas.openxmlformats.org/officeDocument/2006/relationships/hyperlink" Target="http://observepoint.com" TargetMode="External"/><Relationship Id="rId34" Type="http://schemas.openxmlformats.org/officeDocument/2006/relationships/hyperlink" Target="http://amica.com" TargetMode="External"/><Relationship Id="rId739" Type="http://schemas.openxmlformats.org/officeDocument/2006/relationships/hyperlink" Target="http://observepoint.com" TargetMode="External"/><Relationship Id="rId734" Type="http://schemas.openxmlformats.org/officeDocument/2006/relationships/hyperlink" Target="http://observepoint.com" TargetMode="External"/><Relationship Id="rId976" Type="http://schemas.openxmlformats.org/officeDocument/2006/relationships/hyperlink" Target="http://observepoint.com" TargetMode="External"/><Relationship Id="rId733" Type="http://schemas.openxmlformats.org/officeDocument/2006/relationships/hyperlink" Target="http://observepoint.com" TargetMode="External"/><Relationship Id="rId975" Type="http://schemas.openxmlformats.org/officeDocument/2006/relationships/hyperlink" Target="http://prudential.com" TargetMode="External"/><Relationship Id="rId732" Type="http://schemas.openxmlformats.org/officeDocument/2006/relationships/hyperlink" Target="http://darden.com" TargetMode="External"/><Relationship Id="rId974" Type="http://schemas.openxmlformats.org/officeDocument/2006/relationships/hyperlink" Target="http://prudential.com" TargetMode="External"/><Relationship Id="rId731" Type="http://schemas.openxmlformats.org/officeDocument/2006/relationships/hyperlink" Target="http://observepoint.com" TargetMode="External"/><Relationship Id="rId973" Type="http://schemas.openxmlformats.org/officeDocument/2006/relationships/hyperlink" Target="http://observepoint.com" TargetMode="External"/><Relationship Id="rId738" Type="http://schemas.openxmlformats.org/officeDocument/2006/relationships/hyperlink" Target="http://devry.edu" TargetMode="External"/><Relationship Id="rId737" Type="http://schemas.openxmlformats.org/officeDocument/2006/relationships/hyperlink" Target="http://observepoint.com" TargetMode="External"/><Relationship Id="rId979" Type="http://schemas.openxmlformats.org/officeDocument/2006/relationships/hyperlink" Target="http://prudential.com" TargetMode="External"/><Relationship Id="rId736" Type="http://schemas.openxmlformats.org/officeDocument/2006/relationships/hyperlink" Target="http://observepoint.com" TargetMode="External"/><Relationship Id="rId978" Type="http://schemas.openxmlformats.org/officeDocument/2006/relationships/hyperlink" Target="http://observepoint.com" TargetMode="External"/><Relationship Id="rId735" Type="http://schemas.openxmlformats.org/officeDocument/2006/relationships/hyperlink" Target="http://woolworths.com.au" TargetMode="External"/><Relationship Id="rId977" Type="http://schemas.openxmlformats.org/officeDocument/2006/relationships/hyperlink" Target="http://observepoint.com" TargetMode="External"/><Relationship Id="rId37" Type="http://schemas.openxmlformats.org/officeDocument/2006/relationships/hyperlink" Target="http://torrid.com" TargetMode="External"/><Relationship Id="rId36" Type="http://schemas.openxmlformats.org/officeDocument/2006/relationships/hyperlink" Target="http://observepoint.com" TargetMode="External"/><Relationship Id="rId39" Type="http://schemas.openxmlformats.org/officeDocument/2006/relationships/hyperlink" Target="http://observepoint.com" TargetMode="External"/><Relationship Id="rId38" Type="http://schemas.openxmlformats.org/officeDocument/2006/relationships/hyperlink" Target="http://observepoint.com" TargetMode="External"/><Relationship Id="rId730" Type="http://schemas.openxmlformats.org/officeDocument/2006/relationships/hyperlink" Target="http://observepoint.com" TargetMode="External"/><Relationship Id="rId972" Type="http://schemas.openxmlformats.org/officeDocument/2006/relationships/hyperlink" Target="http://observepoint.com" TargetMode="External"/><Relationship Id="rId971" Type="http://schemas.openxmlformats.org/officeDocument/2006/relationships/hyperlink" Target="http://prudential.com" TargetMode="External"/><Relationship Id="rId1320" Type="http://schemas.openxmlformats.org/officeDocument/2006/relationships/hyperlink" Target="http://observepoint.com" TargetMode="External"/><Relationship Id="rId970" Type="http://schemas.openxmlformats.org/officeDocument/2006/relationships/hyperlink" Target="http://prudential.com" TargetMode="External"/><Relationship Id="rId1321" Type="http://schemas.openxmlformats.org/officeDocument/2006/relationships/hyperlink" Target="http://accenture.com" TargetMode="External"/><Relationship Id="rId1322" Type="http://schemas.openxmlformats.org/officeDocument/2006/relationships/hyperlink" Target="http://accenture.com" TargetMode="External"/><Relationship Id="rId1114" Type="http://schemas.openxmlformats.org/officeDocument/2006/relationships/hyperlink" Target="http://observepoint.com" TargetMode="External"/><Relationship Id="rId1356" Type="http://schemas.openxmlformats.org/officeDocument/2006/relationships/hyperlink" Target="http://mongodb.com" TargetMode="External"/><Relationship Id="rId1115" Type="http://schemas.openxmlformats.org/officeDocument/2006/relationships/hyperlink" Target="http://prudential.com" TargetMode="External"/><Relationship Id="rId1357" Type="http://schemas.openxmlformats.org/officeDocument/2006/relationships/hyperlink" Target="http://observepoint.com" TargetMode="External"/><Relationship Id="rId20" Type="http://schemas.openxmlformats.org/officeDocument/2006/relationships/hyperlink" Target="http://amica.com" TargetMode="External"/><Relationship Id="rId1116" Type="http://schemas.openxmlformats.org/officeDocument/2006/relationships/hyperlink" Target="http://observepoint.com" TargetMode="External"/><Relationship Id="rId1358" Type="http://schemas.openxmlformats.org/officeDocument/2006/relationships/hyperlink" Target="http://observepoint.com" TargetMode="External"/><Relationship Id="rId1117" Type="http://schemas.openxmlformats.org/officeDocument/2006/relationships/hyperlink" Target="http://prudential.com" TargetMode="External"/><Relationship Id="rId1359" Type="http://schemas.openxmlformats.org/officeDocument/2006/relationships/hyperlink" Target="http://mongodb.com" TargetMode="External"/><Relationship Id="rId22" Type="http://schemas.openxmlformats.org/officeDocument/2006/relationships/hyperlink" Target="http://observepoint.com" TargetMode="External"/><Relationship Id="rId1118" Type="http://schemas.openxmlformats.org/officeDocument/2006/relationships/hyperlink" Target="http://prudential.com" TargetMode="External"/><Relationship Id="rId21" Type="http://schemas.openxmlformats.org/officeDocument/2006/relationships/hyperlink" Target="http://observepoint.com" TargetMode="External"/><Relationship Id="rId1119" Type="http://schemas.openxmlformats.org/officeDocument/2006/relationships/hyperlink" Target="http://observepoint.com" TargetMode="External"/><Relationship Id="rId24" Type="http://schemas.openxmlformats.org/officeDocument/2006/relationships/hyperlink" Target="http://observepoint.com" TargetMode="External"/><Relationship Id="rId23" Type="http://schemas.openxmlformats.org/officeDocument/2006/relationships/hyperlink" Target="http://amica.com" TargetMode="External"/><Relationship Id="rId525" Type="http://schemas.openxmlformats.org/officeDocument/2006/relationships/hyperlink" Target="http://brunswick.com" TargetMode="External"/><Relationship Id="rId767" Type="http://schemas.openxmlformats.org/officeDocument/2006/relationships/hyperlink" Target="http://observepoint.com" TargetMode="External"/><Relationship Id="rId524" Type="http://schemas.openxmlformats.org/officeDocument/2006/relationships/hyperlink" Target="http://observepoint.com" TargetMode="External"/><Relationship Id="rId766" Type="http://schemas.openxmlformats.org/officeDocument/2006/relationships/hyperlink" Target="http://observepoint.com" TargetMode="External"/><Relationship Id="rId523" Type="http://schemas.openxmlformats.org/officeDocument/2006/relationships/hyperlink" Target="http://observepoint.com" TargetMode="External"/><Relationship Id="rId765" Type="http://schemas.openxmlformats.org/officeDocument/2006/relationships/hyperlink" Target="http://observepoint.com" TargetMode="External"/><Relationship Id="rId522" Type="http://schemas.openxmlformats.org/officeDocument/2006/relationships/hyperlink" Target="http://observepoint.com" TargetMode="External"/><Relationship Id="rId764" Type="http://schemas.openxmlformats.org/officeDocument/2006/relationships/hyperlink" Target="http://observepoint.com" TargetMode="External"/><Relationship Id="rId529" Type="http://schemas.openxmlformats.org/officeDocument/2006/relationships/hyperlink" Target="http://observepoint.com" TargetMode="External"/><Relationship Id="rId528" Type="http://schemas.openxmlformats.org/officeDocument/2006/relationships/hyperlink" Target="http://brunswick.com" TargetMode="External"/><Relationship Id="rId527" Type="http://schemas.openxmlformats.org/officeDocument/2006/relationships/hyperlink" Target="http://observepoint.com" TargetMode="External"/><Relationship Id="rId769" Type="http://schemas.openxmlformats.org/officeDocument/2006/relationships/hyperlink" Target="http://spark.co.nz" TargetMode="External"/><Relationship Id="rId526" Type="http://schemas.openxmlformats.org/officeDocument/2006/relationships/hyperlink" Target="http://observepoint.com" TargetMode="External"/><Relationship Id="rId768" Type="http://schemas.openxmlformats.org/officeDocument/2006/relationships/hyperlink" Target="http://observepoint.com" TargetMode="External"/><Relationship Id="rId26" Type="http://schemas.openxmlformats.org/officeDocument/2006/relationships/hyperlink" Target="http://observepoint.com" TargetMode="External"/><Relationship Id="rId25" Type="http://schemas.openxmlformats.org/officeDocument/2006/relationships/hyperlink" Target="http://accentgr.com.au" TargetMode="External"/><Relationship Id="rId28" Type="http://schemas.openxmlformats.org/officeDocument/2006/relationships/hyperlink" Target="http://accentgr.com.au" TargetMode="External"/><Relationship Id="rId1350" Type="http://schemas.openxmlformats.org/officeDocument/2006/relationships/hyperlink" Target="http://observepoint.com" TargetMode="External"/><Relationship Id="rId27" Type="http://schemas.openxmlformats.org/officeDocument/2006/relationships/hyperlink" Target="http://observepoint.com" TargetMode="External"/><Relationship Id="rId1351" Type="http://schemas.openxmlformats.org/officeDocument/2006/relationships/hyperlink" Target="http://mongodb.com" TargetMode="External"/><Relationship Id="rId521" Type="http://schemas.openxmlformats.org/officeDocument/2006/relationships/hyperlink" Target="http://observepoint.com" TargetMode="External"/><Relationship Id="rId763" Type="http://schemas.openxmlformats.org/officeDocument/2006/relationships/hyperlink" Target="http://observepoint.com" TargetMode="External"/><Relationship Id="rId1110" Type="http://schemas.openxmlformats.org/officeDocument/2006/relationships/hyperlink" Target="http://observepoint.com" TargetMode="External"/><Relationship Id="rId1352" Type="http://schemas.openxmlformats.org/officeDocument/2006/relationships/hyperlink" Target="http://observepoint.com" TargetMode="External"/><Relationship Id="rId29" Type="http://schemas.openxmlformats.org/officeDocument/2006/relationships/hyperlink" Target="http://observepoint.com" TargetMode="External"/><Relationship Id="rId520" Type="http://schemas.openxmlformats.org/officeDocument/2006/relationships/hyperlink" Target="http://agilent.com" TargetMode="External"/><Relationship Id="rId762" Type="http://schemas.openxmlformats.org/officeDocument/2006/relationships/hyperlink" Target="http://spark.co.nz" TargetMode="External"/><Relationship Id="rId1111" Type="http://schemas.openxmlformats.org/officeDocument/2006/relationships/hyperlink" Target="http://cdw.com" TargetMode="External"/><Relationship Id="rId1353" Type="http://schemas.openxmlformats.org/officeDocument/2006/relationships/hyperlink" Target="http://agilent.com" TargetMode="External"/><Relationship Id="rId761" Type="http://schemas.openxmlformats.org/officeDocument/2006/relationships/hyperlink" Target="http://observepoint.com" TargetMode="External"/><Relationship Id="rId1112" Type="http://schemas.openxmlformats.org/officeDocument/2006/relationships/hyperlink" Target="http://observepoint.com" TargetMode="External"/><Relationship Id="rId1354" Type="http://schemas.openxmlformats.org/officeDocument/2006/relationships/hyperlink" Target="http://observepoint.com" TargetMode="External"/><Relationship Id="rId760" Type="http://schemas.openxmlformats.org/officeDocument/2006/relationships/hyperlink" Target="http://spark.co.nz" TargetMode="External"/><Relationship Id="rId1113" Type="http://schemas.openxmlformats.org/officeDocument/2006/relationships/hyperlink" Target="http://cdw.com" TargetMode="External"/><Relationship Id="rId1355" Type="http://schemas.openxmlformats.org/officeDocument/2006/relationships/hyperlink" Target="http://observepoint.com" TargetMode="External"/><Relationship Id="rId1103" Type="http://schemas.openxmlformats.org/officeDocument/2006/relationships/hyperlink" Target="http://cdw.com" TargetMode="External"/><Relationship Id="rId1345" Type="http://schemas.openxmlformats.org/officeDocument/2006/relationships/hyperlink" Target="http://prudential.com" TargetMode="External"/><Relationship Id="rId1104" Type="http://schemas.openxmlformats.org/officeDocument/2006/relationships/hyperlink" Target="http://observepoint.com" TargetMode="External"/><Relationship Id="rId1346" Type="http://schemas.openxmlformats.org/officeDocument/2006/relationships/hyperlink" Target="http://observepoint.com" TargetMode="External"/><Relationship Id="rId1105" Type="http://schemas.openxmlformats.org/officeDocument/2006/relationships/hyperlink" Target="http://cdw.com" TargetMode="External"/><Relationship Id="rId1347" Type="http://schemas.openxmlformats.org/officeDocument/2006/relationships/hyperlink" Target="http://lumen.com" TargetMode="External"/><Relationship Id="rId1106" Type="http://schemas.openxmlformats.org/officeDocument/2006/relationships/hyperlink" Target="http://observepoint.com" TargetMode="External"/><Relationship Id="rId1348" Type="http://schemas.openxmlformats.org/officeDocument/2006/relationships/hyperlink" Target="http://observepoint.com" TargetMode="External"/><Relationship Id="rId11" Type="http://schemas.openxmlformats.org/officeDocument/2006/relationships/hyperlink" Target="http://amica.com" TargetMode="External"/><Relationship Id="rId1107" Type="http://schemas.openxmlformats.org/officeDocument/2006/relationships/hyperlink" Target="http://cdw.com" TargetMode="External"/><Relationship Id="rId1349" Type="http://schemas.openxmlformats.org/officeDocument/2006/relationships/hyperlink" Target="http://mongodb.com" TargetMode="External"/><Relationship Id="rId10" Type="http://schemas.openxmlformats.org/officeDocument/2006/relationships/hyperlink" Target="http://observepoint.com" TargetMode="External"/><Relationship Id="rId1108" Type="http://schemas.openxmlformats.org/officeDocument/2006/relationships/hyperlink" Target="http://observepoint.com" TargetMode="External"/><Relationship Id="rId13" Type="http://schemas.openxmlformats.org/officeDocument/2006/relationships/hyperlink" Target="http://amica.com" TargetMode="External"/><Relationship Id="rId1109" Type="http://schemas.openxmlformats.org/officeDocument/2006/relationships/hyperlink" Target="http://cdw.com" TargetMode="External"/><Relationship Id="rId12" Type="http://schemas.openxmlformats.org/officeDocument/2006/relationships/hyperlink" Target="http://observepoint.com" TargetMode="External"/><Relationship Id="rId519" Type="http://schemas.openxmlformats.org/officeDocument/2006/relationships/hyperlink" Target="http://observepoint.com" TargetMode="External"/><Relationship Id="rId514" Type="http://schemas.openxmlformats.org/officeDocument/2006/relationships/hyperlink" Target="http://brunswick.com" TargetMode="External"/><Relationship Id="rId756" Type="http://schemas.openxmlformats.org/officeDocument/2006/relationships/hyperlink" Target="http://spark.co.nz" TargetMode="External"/><Relationship Id="rId998" Type="http://schemas.openxmlformats.org/officeDocument/2006/relationships/hyperlink" Target="http://prudential.com" TargetMode="External"/><Relationship Id="rId513" Type="http://schemas.openxmlformats.org/officeDocument/2006/relationships/hyperlink" Target="http://observepoint.com" TargetMode="External"/><Relationship Id="rId755" Type="http://schemas.openxmlformats.org/officeDocument/2006/relationships/hyperlink" Target="http://observepoint.com" TargetMode="External"/><Relationship Id="rId997" Type="http://schemas.openxmlformats.org/officeDocument/2006/relationships/hyperlink" Target="http://observepoint.com" TargetMode="External"/><Relationship Id="rId512" Type="http://schemas.openxmlformats.org/officeDocument/2006/relationships/hyperlink" Target="http://observepoint.com" TargetMode="External"/><Relationship Id="rId754" Type="http://schemas.openxmlformats.org/officeDocument/2006/relationships/hyperlink" Target="http://devry.edu" TargetMode="External"/><Relationship Id="rId996" Type="http://schemas.openxmlformats.org/officeDocument/2006/relationships/hyperlink" Target="http://prudential.com" TargetMode="External"/><Relationship Id="rId511" Type="http://schemas.openxmlformats.org/officeDocument/2006/relationships/hyperlink" Target="http://brunswick.com" TargetMode="External"/><Relationship Id="rId753" Type="http://schemas.openxmlformats.org/officeDocument/2006/relationships/hyperlink" Target="http://observepoint.com" TargetMode="External"/><Relationship Id="rId995" Type="http://schemas.openxmlformats.org/officeDocument/2006/relationships/hyperlink" Target="http://observepoint.com" TargetMode="External"/><Relationship Id="rId518" Type="http://schemas.openxmlformats.org/officeDocument/2006/relationships/hyperlink" Target="http://observepoint.com" TargetMode="External"/><Relationship Id="rId517" Type="http://schemas.openxmlformats.org/officeDocument/2006/relationships/hyperlink" Target="http://agilent.com" TargetMode="External"/><Relationship Id="rId759" Type="http://schemas.openxmlformats.org/officeDocument/2006/relationships/hyperlink" Target="http://observepoint.com" TargetMode="External"/><Relationship Id="rId516" Type="http://schemas.openxmlformats.org/officeDocument/2006/relationships/hyperlink" Target="http://observepoint.com" TargetMode="External"/><Relationship Id="rId758" Type="http://schemas.openxmlformats.org/officeDocument/2006/relationships/hyperlink" Target="http://spark.co.nz" TargetMode="External"/><Relationship Id="rId515" Type="http://schemas.openxmlformats.org/officeDocument/2006/relationships/hyperlink" Target="http://observepoint.com" TargetMode="External"/><Relationship Id="rId757" Type="http://schemas.openxmlformats.org/officeDocument/2006/relationships/hyperlink" Target="http://observepoint.com" TargetMode="External"/><Relationship Id="rId999" Type="http://schemas.openxmlformats.org/officeDocument/2006/relationships/hyperlink" Target="http://observepoint.com" TargetMode="External"/><Relationship Id="rId15" Type="http://schemas.openxmlformats.org/officeDocument/2006/relationships/hyperlink" Target="http://observepoint.com" TargetMode="External"/><Relationship Id="rId990" Type="http://schemas.openxmlformats.org/officeDocument/2006/relationships/hyperlink" Target="http://observepoint.com" TargetMode="External"/><Relationship Id="rId14" Type="http://schemas.openxmlformats.org/officeDocument/2006/relationships/hyperlink" Target="http://observepoint.com" TargetMode="External"/><Relationship Id="rId17" Type="http://schemas.openxmlformats.org/officeDocument/2006/relationships/hyperlink" Target="http://amica.com" TargetMode="External"/><Relationship Id="rId16" Type="http://schemas.openxmlformats.org/officeDocument/2006/relationships/hyperlink" Target="http://observepoint.com" TargetMode="External"/><Relationship Id="rId1340" Type="http://schemas.openxmlformats.org/officeDocument/2006/relationships/hyperlink" Target="http://observepoint.com" TargetMode="External"/><Relationship Id="rId19" Type="http://schemas.openxmlformats.org/officeDocument/2006/relationships/hyperlink" Target="http://observepoint.com" TargetMode="External"/><Relationship Id="rId510" Type="http://schemas.openxmlformats.org/officeDocument/2006/relationships/hyperlink" Target="http://observepoint.com" TargetMode="External"/><Relationship Id="rId752" Type="http://schemas.openxmlformats.org/officeDocument/2006/relationships/hyperlink" Target="http://devry.edu" TargetMode="External"/><Relationship Id="rId994" Type="http://schemas.openxmlformats.org/officeDocument/2006/relationships/hyperlink" Target="http://prudential.com" TargetMode="External"/><Relationship Id="rId1341" Type="http://schemas.openxmlformats.org/officeDocument/2006/relationships/hyperlink" Target="http://observepoint.com" TargetMode="External"/><Relationship Id="rId18" Type="http://schemas.openxmlformats.org/officeDocument/2006/relationships/hyperlink" Target="http://observepoint.com" TargetMode="External"/><Relationship Id="rId751" Type="http://schemas.openxmlformats.org/officeDocument/2006/relationships/hyperlink" Target="http://devry.edu" TargetMode="External"/><Relationship Id="rId993" Type="http://schemas.openxmlformats.org/officeDocument/2006/relationships/hyperlink" Target="http://observepoint.com" TargetMode="External"/><Relationship Id="rId1100" Type="http://schemas.openxmlformats.org/officeDocument/2006/relationships/hyperlink" Target="http://observepoint.com" TargetMode="External"/><Relationship Id="rId1342" Type="http://schemas.openxmlformats.org/officeDocument/2006/relationships/hyperlink" Target="http://observepoint.com" TargetMode="External"/><Relationship Id="rId750" Type="http://schemas.openxmlformats.org/officeDocument/2006/relationships/hyperlink" Target="http://observepoint.com" TargetMode="External"/><Relationship Id="rId992" Type="http://schemas.openxmlformats.org/officeDocument/2006/relationships/hyperlink" Target="http://prudential.com" TargetMode="External"/><Relationship Id="rId1101" Type="http://schemas.openxmlformats.org/officeDocument/2006/relationships/hyperlink" Target="http://cdw.com" TargetMode="External"/><Relationship Id="rId1343" Type="http://schemas.openxmlformats.org/officeDocument/2006/relationships/hyperlink" Target="http://zenfolioinc.com" TargetMode="External"/><Relationship Id="rId991" Type="http://schemas.openxmlformats.org/officeDocument/2006/relationships/hyperlink" Target="http://prudential.com" TargetMode="External"/><Relationship Id="rId1102" Type="http://schemas.openxmlformats.org/officeDocument/2006/relationships/hyperlink" Target="http://observepoint.com" TargetMode="External"/><Relationship Id="rId1344" Type="http://schemas.openxmlformats.org/officeDocument/2006/relationships/hyperlink" Target="http://observepoint.com" TargetMode="External"/><Relationship Id="rId84" Type="http://schemas.openxmlformats.org/officeDocument/2006/relationships/hyperlink" Target="http://observepoint.com" TargetMode="External"/><Relationship Id="rId83" Type="http://schemas.openxmlformats.org/officeDocument/2006/relationships/hyperlink" Target="http://observepoint.com" TargetMode="External"/><Relationship Id="rId86" Type="http://schemas.openxmlformats.org/officeDocument/2006/relationships/hyperlink" Target="http://observepoint.com" TargetMode="External"/><Relationship Id="rId85" Type="http://schemas.openxmlformats.org/officeDocument/2006/relationships/hyperlink" Target="http://amica.com" TargetMode="External"/><Relationship Id="rId88" Type="http://schemas.openxmlformats.org/officeDocument/2006/relationships/hyperlink" Target="http://amica.com" TargetMode="External"/><Relationship Id="rId87" Type="http://schemas.openxmlformats.org/officeDocument/2006/relationships/hyperlink" Target="http://amica.com" TargetMode="External"/><Relationship Id="rId89" Type="http://schemas.openxmlformats.org/officeDocument/2006/relationships/hyperlink" Target="http://observepoint.com" TargetMode="External"/><Relationship Id="rId709" Type="http://schemas.openxmlformats.org/officeDocument/2006/relationships/hyperlink" Target="http://observepoint.com" TargetMode="External"/><Relationship Id="rId708" Type="http://schemas.openxmlformats.org/officeDocument/2006/relationships/hyperlink" Target="http://spark.co.nz" TargetMode="External"/><Relationship Id="rId707" Type="http://schemas.openxmlformats.org/officeDocument/2006/relationships/hyperlink" Target="http://observepoint.com" TargetMode="External"/><Relationship Id="rId949" Type="http://schemas.openxmlformats.org/officeDocument/2006/relationships/hyperlink" Target="http://observepoint.com" TargetMode="External"/><Relationship Id="rId706" Type="http://schemas.openxmlformats.org/officeDocument/2006/relationships/hyperlink" Target="http://observepoint.com" TargetMode="External"/><Relationship Id="rId948" Type="http://schemas.openxmlformats.org/officeDocument/2006/relationships/hyperlink" Target="http://observepoint.com" TargetMode="External"/><Relationship Id="rId80" Type="http://schemas.openxmlformats.org/officeDocument/2006/relationships/hyperlink" Target="http://amica.com" TargetMode="External"/><Relationship Id="rId82" Type="http://schemas.openxmlformats.org/officeDocument/2006/relationships/hyperlink" Target="http://amica.com" TargetMode="External"/><Relationship Id="rId81" Type="http://schemas.openxmlformats.org/officeDocument/2006/relationships/hyperlink" Target="http://observepoint.com" TargetMode="External"/><Relationship Id="rId701" Type="http://schemas.openxmlformats.org/officeDocument/2006/relationships/hyperlink" Target="http://spark.co.nz" TargetMode="External"/><Relationship Id="rId943" Type="http://schemas.openxmlformats.org/officeDocument/2006/relationships/hyperlink" Target="http://observepoint.com" TargetMode="External"/><Relationship Id="rId700" Type="http://schemas.openxmlformats.org/officeDocument/2006/relationships/hyperlink" Target="http://observepoint.com" TargetMode="External"/><Relationship Id="rId942" Type="http://schemas.openxmlformats.org/officeDocument/2006/relationships/hyperlink" Target="http://observepoint.com" TargetMode="External"/><Relationship Id="rId941" Type="http://schemas.openxmlformats.org/officeDocument/2006/relationships/hyperlink" Target="http://cdw.com" TargetMode="External"/><Relationship Id="rId940" Type="http://schemas.openxmlformats.org/officeDocument/2006/relationships/hyperlink" Target="http://observepoint.com" TargetMode="External"/><Relationship Id="rId705" Type="http://schemas.openxmlformats.org/officeDocument/2006/relationships/hyperlink" Target="http://cotiviti.com" TargetMode="External"/><Relationship Id="rId947" Type="http://schemas.openxmlformats.org/officeDocument/2006/relationships/hyperlink" Target="http://cdw.com" TargetMode="External"/><Relationship Id="rId704" Type="http://schemas.openxmlformats.org/officeDocument/2006/relationships/hyperlink" Target="http://observepoint.com" TargetMode="External"/><Relationship Id="rId946" Type="http://schemas.openxmlformats.org/officeDocument/2006/relationships/hyperlink" Target="http://observepoint.com" TargetMode="External"/><Relationship Id="rId703" Type="http://schemas.openxmlformats.org/officeDocument/2006/relationships/hyperlink" Target="http://cotiviti.com" TargetMode="External"/><Relationship Id="rId945" Type="http://schemas.openxmlformats.org/officeDocument/2006/relationships/hyperlink" Target="http://observepoint.com" TargetMode="External"/><Relationship Id="rId702" Type="http://schemas.openxmlformats.org/officeDocument/2006/relationships/hyperlink" Target="http://observepoint.com" TargetMode="External"/><Relationship Id="rId944" Type="http://schemas.openxmlformats.org/officeDocument/2006/relationships/hyperlink" Target="http://cdw.com" TargetMode="External"/><Relationship Id="rId73" Type="http://schemas.openxmlformats.org/officeDocument/2006/relationships/hyperlink" Target="http://observepoint.com" TargetMode="External"/><Relationship Id="rId72" Type="http://schemas.openxmlformats.org/officeDocument/2006/relationships/hyperlink" Target="http://accentgr.com.au" TargetMode="External"/><Relationship Id="rId75" Type="http://schemas.openxmlformats.org/officeDocument/2006/relationships/hyperlink" Target="http://observepoint.com" TargetMode="External"/><Relationship Id="rId74" Type="http://schemas.openxmlformats.org/officeDocument/2006/relationships/hyperlink" Target="http://accentgr.com.au" TargetMode="External"/><Relationship Id="rId77" Type="http://schemas.openxmlformats.org/officeDocument/2006/relationships/hyperlink" Target="http://observepoint.com" TargetMode="External"/><Relationship Id="rId76" Type="http://schemas.openxmlformats.org/officeDocument/2006/relationships/hyperlink" Target="http://observepoint.com" TargetMode="External"/><Relationship Id="rId79" Type="http://schemas.openxmlformats.org/officeDocument/2006/relationships/hyperlink" Target="http://observepoint.com" TargetMode="External"/><Relationship Id="rId78" Type="http://schemas.openxmlformats.org/officeDocument/2006/relationships/hyperlink" Target="http://accentgr.com.au" TargetMode="External"/><Relationship Id="rId939" Type="http://schemas.openxmlformats.org/officeDocument/2006/relationships/hyperlink" Target="http://observepoint.com" TargetMode="External"/><Relationship Id="rId938" Type="http://schemas.openxmlformats.org/officeDocument/2006/relationships/hyperlink" Target="http://prudential.com" TargetMode="External"/><Relationship Id="rId937" Type="http://schemas.openxmlformats.org/officeDocument/2006/relationships/hyperlink" Target="http://observepoint.com" TargetMode="External"/><Relationship Id="rId71" Type="http://schemas.openxmlformats.org/officeDocument/2006/relationships/hyperlink" Target="http://observepoint.com" TargetMode="External"/><Relationship Id="rId70" Type="http://schemas.openxmlformats.org/officeDocument/2006/relationships/hyperlink" Target="http://observepoint.com" TargetMode="External"/><Relationship Id="rId932" Type="http://schemas.openxmlformats.org/officeDocument/2006/relationships/hyperlink" Target="http://cdw.com" TargetMode="External"/><Relationship Id="rId931" Type="http://schemas.openxmlformats.org/officeDocument/2006/relationships/hyperlink" Target="http://observepoint.com" TargetMode="External"/><Relationship Id="rId930" Type="http://schemas.openxmlformats.org/officeDocument/2006/relationships/hyperlink" Target="http://observepoint.com" TargetMode="External"/><Relationship Id="rId936" Type="http://schemas.openxmlformats.org/officeDocument/2006/relationships/hyperlink" Target="http://observepoint.com" TargetMode="External"/><Relationship Id="rId935" Type="http://schemas.openxmlformats.org/officeDocument/2006/relationships/hyperlink" Target="http://biogen.com" TargetMode="External"/><Relationship Id="rId934" Type="http://schemas.openxmlformats.org/officeDocument/2006/relationships/hyperlink" Target="http://observepoint.com" TargetMode="External"/><Relationship Id="rId933" Type="http://schemas.openxmlformats.org/officeDocument/2006/relationships/hyperlink" Target="http://observepoint.com" TargetMode="External"/><Relationship Id="rId62" Type="http://schemas.openxmlformats.org/officeDocument/2006/relationships/hyperlink" Target="http://accentgr.com.au" TargetMode="External"/><Relationship Id="rId1312" Type="http://schemas.openxmlformats.org/officeDocument/2006/relationships/hyperlink" Target="http://observepoint.com" TargetMode="External"/><Relationship Id="rId61" Type="http://schemas.openxmlformats.org/officeDocument/2006/relationships/hyperlink" Target="http://observepoint.com" TargetMode="External"/><Relationship Id="rId1313" Type="http://schemas.openxmlformats.org/officeDocument/2006/relationships/hyperlink" Target="http://observepoint.com" TargetMode="External"/><Relationship Id="rId64" Type="http://schemas.openxmlformats.org/officeDocument/2006/relationships/hyperlink" Target="http://observepoint.com" TargetMode="External"/><Relationship Id="rId1314" Type="http://schemas.openxmlformats.org/officeDocument/2006/relationships/hyperlink" Target="http://observepoint.com" TargetMode="External"/><Relationship Id="rId63" Type="http://schemas.openxmlformats.org/officeDocument/2006/relationships/hyperlink" Target="http://observepoint.com" TargetMode="External"/><Relationship Id="rId1315" Type="http://schemas.openxmlformats.org/officeDocument/2006/relationships/hyperlink" Target="http://observepoint.com" TargetMode="External"/><Relationship Id="rId66" Type="http://schemas.openxmlformats.org/officeDocument/2006/relationships/hyperlink" Target="http://accentgr.com.au" TargetMode="External"/><Relationship Id="rId1316" Type="http://schemas.openxmlformats.org/officeDocument/2006/relationships/hyperlink" Target="http://observepoint.com" TargetMode="External"/><Relationship Id="rId65" Type="http://schemas.openxmlformats.org/officeDocument/2006/relationships/hyperlink" Target="http://observepoint.com" TargetMode="External"/><Relationship Id="rId1317" Type="http://schemas.openxmlformats.org/officeDocument/2006/relationships/hyperlink" Target="http://accenture.com" TargetMode="External"/><Relationship Id="rId68" Type="http://schemas.openxmlformats.org/officeDocument/2006/relationships/hyperlink" Target="http://accentgr.com.au" TargetMode="External"/><Relationship Id="rId1318" Type="http://schemas.openxmlformats.org/officeDocument/2006/relationships/hyperlink" Target="http://observepoint.com" TargetMode="External"/><Relationship Id="rId67" Type="http://schemas.openxmlformats.org/officeDocument/2006/relationships/hyperlink" Target="http://observepoint.com" TargetMode="External"/><Relationship Id="rId1319" Type="http://schemas.openxmlformats.org/officeDocument/2006/relationships/hyperlink" Target="http://accenture.com" TargetMode="External"/><Relationship Id="rId729" Type="http://schemas.openxmlformats.org/officeDocument/2006/relationships/hyperlink" Target="http://darden.com" TargetMode="External"/><Relationship Id="rId728" Type="http://schemas.openxmlformats.org/officeDocument/2006/relationships/hyperlink" Target="http://observepoint.com" TargetMode="External"/><Relationship Id="rId60" Type="http://schemas.openxmlformats.org/officeDocument/2006/relationships/hyperlink" Target="http://accentgr.com.au" TargetMode="External"/><Relationship Id="rId723" Type="http://schemas.openxmlformats.org/officeDocument/2006/relationships/hyperlink" Target="http://cotiviti.com" TargetMode="External"/><Relationship Id="rId965" Type="http://schemas.openxmlformats.org/officeDocument/2006/relationships/hyperlink" Target="http://cdw.com" TargetMode="External"/><Relationship Id="rId722" Type="http://schemas.openxmlformats.org/officeDocument/2006/relationships/hyperlink" Target="http://observepoint.com" TargetMode="External"/><Relationship Id="rId964" Type="http://schemas.openxmlformats.org/officeDocument/2006/relationships/hyperlink" Target="http://observepoint.com" TargetMode="External"/><Relationship Id="rId721" Type="http://schemas.openxmlformats.org/officeDocument/2006/relationships/hyperlink" Target="http://observepoint.com" TargetMode="External"/><Relationship Id="rId963" Type="http://schemas.openxmlformats.org/officeDocument/2006/relationships/hyperlink" Target="http://observepoint.com" TargetMode="External"/><Relationship Id="rId720" Type="http://schemas.openxmlformats.org/officeDocument/2006/relationships/hyperlink" Target="http://cotiviti.com" TargetMode="External"/><Relationship Id="rId962" Type="http://schemas.openxmlformats.org/officeDocument/2006/relationships/hyperlink" Target="http://mms.org" TargetMode="External"/><Relationship Id="rId727" Type="http://schemas.openxmlformats.org/officeDocument/2006/relationships/hyperlink" Target="http://observepoint.com" TargetMode="External"/><Relationship Id="rId969" Type="http://schemas.openxmlformats.org/officeDocument/2006/relationships/hyperlink" Target="http://observepoint.com" TargetMode="External"/><Relationship Id="rId726" Type="http://schemas.openxmlformats.org/officeDocument/2006/relationships/hyperlink" Target="http://cotiviti.com" TargetMode="External"/><Relationship Id="rId968" Type="http://schemas.openxmlformats.org/officeDocument/2006/relationships/hyperlink" Target="http://observepoint.com" TargetMode="External"/><Relationship Id="rId725" Type="http://schemas.openxmlformats.org/officeDocument/2006/relationships/hyperlink" Target="http://observepoint.com" TargetMode="External"/><Relationship Id="rId967" Type="http://schemas.openxmlformats.org/officeDocument/2006/relationships/hyperlink" Target="http://prudential.com" TargetMode="External"/><Relationship Id="rId724" Type="http://schemas.openxmlformats.org/officeDocument/2006/relationships/hyperlink" Target="http://observepoint.com" TargetMode="External"/><Relationship Id="rId966" Type="http://schemas.openxmlformats.org/officeDocument/2006/relationships/hyperlink" Target="http://observepoint.com" TargetMode="External"/><Relationship Id="rId69" Type="http://schemas.openxmlformats.org/officeDocument/2006/relationships/hyperlink" Target="http://observepoint.com" TargetMode="External"/><Relationship Id="rId961" Type="http://schemas.openxmlformats.org/officeDocument/2006/relationships/hyperlink" Target="http://observepoint.com" TargetMode="External"/><Relationship Id="rId960" Type="http://schemas.openxmlformats.org/officeDocument/2006/relationships/hyperlink" Target="http://observepoint.com" TargetMode="External"/><Relationship Id="rId1310" Type="http://schemas.openxmlformats.org/officeDocument/2006/relationships/hyperlink" Target="http://observepoint.com" TargetMode="External"/><Relationship Id="rId1311" Type="http://schemas.openxmlformats.org/officeDocument/2006/relationships/hyperlink" Target="http://observepoint.com" TargetMode="External"/><Relationship Id="rId51" Type="http://schemas.openxmlformats.org/officeDocument/2006/relationships/hyperlink" Target="http://observepoint.com" TargetMode="External"/><Relationship Id="rId1301" Type="http://schemas.openxmlformats.org/officeDocument/2006/relationships/hyperlink" Target="http://observepoint.com" TargetMode="External"/><Relationship Id="rId50" Type="http://schemas.openxmlformats.org/officeDocument/2006/relationships/hyperlink" Target="http://observepoint.com" TargetMode="External"/><Relationship Id="rId1302" Type="http://schemas.openxmlformats.org/officeDocument/2006/relationships/hyperlink" Target="http://accenture.com" TargetMode="External"/><Relationship Id="rId53" Type="http://schemas.openxmlformats.org/officeDocument/2006/relationships/hyperlink" Target="http://observepoint.com" TargetMode="External"/><Relationship Id="rId1303" Type="http://schemas.openxmlformats.org/officeDocument/2006/relationships/hyperlink" Target="http://observepoint.com" TargetMode="External"/><Relationship Id="rId52" Type="http://schemas.openxmlformats.org/officeDocument/2006/relationships/hyperlink" Target="http://observepoint.com" TargetMode="External"/><Relationship Id="rId1304" Type="http://schemas.openxmlformats.org/officeDocument/2006/relationships/hyperlink" Target="http://accenture.com" TargetMode="External"/><Relationship Id="rId55" Type="http://schemas.openxmlformats.org/officeDocument/2006/relationships/hyperlink" Target="http://observepoint.com" TargetMode="External"/><Relationship Id="rId1305" Type="http://schemas.openxmlformats.org/officeDocument/2006/relationships/hyperlink" Target="http://observepoint.com" TargetMode="External"/><Relationship Id="rId54" Type="http://schemas.openxmlformats.org/officeDocument/2006/relationships/hyperlink" Target="http://amica.com" TargetMode="External"/><Relationship Id="rId1306" Type="http://schemas.openxmlformats.org/officeDocument/2006/relationships/hyperlink" Target="http://chilipiper.com" TargetMode="External"/><Relationship Id="rId57" Type="http://schemas.openxmlformats.org/officeDocument/2006/relationships/hyperlink" Target="http://accentgr.com.au" TargetMode="External"/><Relationship Id="rId1307" Type="http://schemas.openxmlformats.org/officeDocument/2006/relationships/hyperlink" Target="http://accenture.com" TargetMode="External"/><Relationship Id="rId56" Type="http://schemas.openxmlformats.org/officeDocument/2006/relationships/hyperlink" Target="http://observepoint.com" TargetMode="External"/><Relationship Id="rId1308" Type="http://schemas.openxmlformats.org/officeDocument/2006/relationships/hyperlink" Target="http://observepoint.com" TargetMode="External"/><Relationship Id="rId1309" Type="http://schemas.openxmlformats.org/officeDocument/2006/relationships/hyperlink" Target="http://observepoint.com" TargetMode="External"/><Relationship Id="rId719" Type="http://schemas.openxmlformats.org/officeDocument/2006/relationships/hyperlink" Target="http://observepoint.com" TargetMode="External"/><Relationship Id="rId718" Type="http://schemas.openxmlformats.org/officeDocument/2006/relationships/hyperlink" Target="http://observepoint.com" TargetMode="External"/><Relationship Id="rId717" Type="http://schemas.openxmlformats.org/officeDocument/2006/relationships/hyperlink" Target="http://devry.edu" TargetMode="External"/><Relationship Id="rId959" Type="http://schemas.openxmlformats.org/officeDocument/2006/relationships/hyperlink" Target="http://cdw.com" TargetMode="External"/><Relationship Id="rId712" Type="http://schemas.openxmlformats.org/officeDocument/2006/relationships/hyperlink" Target="http://observepoint.com" TargetMode="External"/><Relationship Id="rId954" Type="http://schemas.openxmlformats.org/officeDocument/2006/relationships/hyperlink" Target="http://observepoint.com" TargetMode="External"/><Relationship Id="rId711" Type="http://schemas.openxmlformats.org/officeDocument/2006/relationships/hyperlink" Target="http://darden.com" TargetMode="External"/><Relationship Id="rId953" Type="http://schemas.openxmlformats.org/officeDocument/2006/relationships/hyperlink" Target="http://cdw.com" TargetMode="External"/><Relationship Id="rId710" Type="http://schemas.openxmlformats.org/officeDocument/2006/relationships/hyperlink" Target="http://observepoint.com" TargetMode="External"/><Relationship Id="rId952" Type="http://schemas.openxmlformats.org/officeDocument/2006/relationships/hyperlink" Target="http://observepoint.com" TargetMode="External"/><Relationship Id="rId951" Type="http://schemas.openxmlformats.org/officeDocument/2006/relationships/hyperlink" Target="http://observepoint.com" TargetMode="External"/><Relationship Id="rId716" Type="http://schemas.openxmlformats.org/officeDocument/2006/relationships/hyperlink" Target="http://observepoint.com" TargetMode="External"/><Relationship Id="rId958" Type="http://schemas.openxmlformats.org/officeDocument/2006/relationships/hyperlink" Target="http://observepoint.com" TargetMode="External"/><Relationship Id="rId715" Type="http://schemas.openxmlformats.org/officeDocument/2006/relationships/hyperlink" Target="http://observepoint.com" TargetMode="External"/><Relationship Id="rId957" Type="http://schemas.openxmlformats.org/officeDocument/2006/relationships/hyperlink" Target="http://observepoint.com" TargetMode="External"/><Relationship Id="rId714" Type="http://schemas.openxmlformats.org/officeDocument/2006/relationships/hyperlink" Target="http://darden.com" TargetMode="External"/><Relationship Id="rId956" Type="http://schemas.openxmlformats.org/officeDocument/2006/relationships/hyperlink" Target="http://cdw.com" TargetMode="External"/><Relationship Id="rId713" Type="http://schemas.openxmlformats.org/officeDocument/2006/relationships/hyperlink" Target="http://observepoint.com" TargetMode="External"/><Relationship Id="rId955" Type="http://schemas.openxmlformats.org/officeDocument/2006/relationships/hyperlink" Target="http://observepoint.com" TargetMode="External"/><Relationship Id="rId59" Type="http://schemas.openxmlformats.org/officeDocument/2006/relationships/hyperlink" Target="http://observepoint.com" TargetMode="External"/><Relationship Id="rId58" Type="http://schemas.openxmlformats.org/officeDocument/2006/relationships/hyperlink" Target="http://observepoint.com" TargetMode="External"/><Relationship Id="rId950" Type="http://schemas.openxmlformats.org/officeDocument/2006/relationships/hyperlink" Target="http://cdw.com" TargetMode="External"/><Relationship Id="rId1300" Type="http://schemas.openxmlformats.org/officeDocument/2006/relationships/hyperlink" Target="http://mediacorp.com.sg" TargetMode="External"/><Relationship Id="rId590" Type="http://schemas.openxmlformats.org/officeDocument/2006/relationships/hyperlink" Target="http://ziffdavis.com" TargetMode="External"/><Relationship Id="rId107" Type="http://schemas.openxmlformats.org/officeDocument/2006/relationships/hyperlink" Target="http://amica.com" TargetMode="External"/><Relationship Id="rId349" Type="http://schemas.openxmlformats.org/officeDocument/2006/relationships/hyperlink" Target="http://observepoint.com" TargetMode="External"/><Relationship Id="rId106" Type="http://schemas.openxmlformats.org/officeDocument/2006/relationships/hyperlink" Target="http://observepoint.com" TargetMode="External"/><Relationship Id="rId348" Type="http://schemas.openxmlformats.org/officeDocument/2006/relationships/hyperlink" Target="http://observepoint.com" TargetMode="External"/><Relationship Id="rId105" Type="http://schemas.openxmlformats.org/officeDocument/2006/relationships/hyperlink" Target="http://amica.com" TargetMode="External"/><Relationship Id="rId347" Type="http://schemas.openxmlformats.org/officeDocument/2006/relationships/hyperlink" Target="http://contractor.optavia.com" TargetMode="External"/><Relationship Id="rId589" Type="http://schemas.openxmlformats.org/officeDocument/2006/relationships/hyperlink" Target="http://observepoint.com" TargetMode="External"/><Relationship Id="rId104" Type="http://schemas.openxmlformats.org/officeDocument/2006/relationships/hyperlink" Target="http://observepoint.com" TargetMode="External"/><Relationship Id="rId346" Type="http://schemas.openxmlformats.org/officeDocument/2006/relationships/hyperlink" Target="http://observepoint.com" TargetMode="External"/><Relationship Id="rId588" Type="http://schemas.openxmlformats.org/officeDocument/2006/relationships/hyperlink" Target="http://observepoint.com" TargetMode="External"/><Relationship Id="rId109" Type="http://schemas.openxmlformats.org/officeDocument/2006/relationships/hyperlink" Target="http://amica.com" TargetMode="External"/><Relationship Id="rId1170" Type="http://schemas.openxmlformats.org/officeDocument/2006/relationships/hyperlink" Target="http://observepoint.com" TargetMode="External"/><Relationship Id="rId108" Type="http://schemas.openxmlformats.org/officeDocument/2006/relationships/hyperlink" Target="http://observepoint.com" TargetMode="External"/><Relationship Id="rId1171" Type="http://schemas.openxmlformats.org/officeDocument/2006/relationships/hyperlink" Target="http://prudential.com" TargetMode="External"/><Relationship Id="rId341" Type="http://schemas.openxmlformats.org/officeDocument/2006/relationships/hyperlink" Target="http://cvshealth.com" TargetMode="External"/><Relationship Id="rId583" Type="http://schemas.openxmlformats.org/officeDocument/2006/relationships/hyperlink" Target="http://ziffdavis.com" TargetMode="External"/><Relationship Id="rId1172" Type="http://schemas.openxmlformats.org/officeDocument/2006/relationships/hyperlink" Target="http://observepoint.com" TargetMode="External"/><Relationship Id="rId340" Type="http://schemas.openxmlformats.org/officeDocument/2006/relationships/hyperlink" Target="http://observepoint.com" TargetMode="External"/><Relationship Id="rId582" Type="http://schemas.openxmlformats.org/officeDocument/2006/relationships/hyperlink" Target="http://observepoint.com" TargetMode="External"/><Relationship Id="rId1173" Type="http://schemas.openxmlformats.org/officeDocument/2006/relationships/hyperlink" Target="http://chilipiper.com" TargetMode="External"/><Relationship Id="rId581" Type="http://schemas.openxmlformats.org/officeDocument/2006/relationships/hyperlink" Target="http://ziffdavis.com" TargetMode="External"/><Relationship Id="rId1174" Type="http://schemas.openxmlformats.org/officeDocument/2006/relationships/hyperlink" Target="http://prudential.com" TargetMode="External"/><Relationship Id="rId580" Type="http://schemas.openxmlformats.org/officeDocument/2006/relationships/hyperlink" Target="http://observepoint.com" TargetMode="External"/><Relationship Id="rId1175" Type="http://schemas.openxmlformats.org/officeDocument/2006/relationships/hyperlink" Target="http://observepoint.com" TargetMode="External"/><Relationship Id="rId103" Type="http://schemas.openxmlformats.org/officeDocument/2006/relationships/hyperlink" Target="http://observepoint.com" TargetMode="External"/><Relationship Id="rId345" Type="http://schemas.openxmlformats.org/officeDocument/2006/relationships/hyperlink" Target="http://observepoint.com" TargetMode="External"/><Relationship Id="rId587" Type="http://schemas.openxmlformats.org/officeDocument/2006/relationships/hyperlink" Target="http://ziffdavis.com" TargetMode="External"/><Relationship Id="rId1176" Type="http://schemas.openxmlformats.org/officeDocument/2006/relationships/hyperlink" Target="http://prudential.com" TargetMode="External"/><Relationship Id="rId102" Type="http://schemas.openxmlformats.org/officeDocument/2006/relationships/hyperlink" Target="http://amica.com" TargetMode="External"/><Relationship Id="rId344" Type="http://schemas.openxmlformats.org/officeDocument/2006/relationships/hyperlink" Target="http://mongodb.com" TargetMode="External"/><Relationship Id="rId586" Type="http://schemas.openxmlformats.org/officeDocument/2006/relationships/hyperlink" Target="http://ziffdavis.com" TargetMode="External"/><Relationship Id="rId1177" Type="http://schemas.openxmlformats.org/officeDocument/2006/relationships/hyperlink" Target="http://observepoint.com" TargetMode="External"/><Relationship Id="rId101" Type="http://schemas.openxmlformats.org/officeDocument/2006/relationships/hyperlink" Target="http://amica.com" TargetMode="External"/><Relationship Id="rId343" Type="http://schemas.openxmlformats.org/officeDocument/2006/relationships/hyperlink" Target="http://observepoint.com" TargetMode="External"/><Relationship Id="rId585" Type="http://schemas.openxmlformats.org/officeDocument/2006/relationships/hyperlink" Target="http://observepoint.com" TargetMode="External"/><Relationship Id="rId1178" Type="http://schemas.openxmlformats.org/officeDocument/2006/relationships/hyperlink" Target="http://observepoint.com" TargetMode="External"/><Relationship Id="rId100" Type="http://schemas.openxmlformats.org/officeDocument/2006/relationships/hyperlink" Target="http://observepoint.com" TargetMode="External"/><Relationship Id="rId342" Type="http://schemas.openxmlformats.org/officeDocument/2006/relationships/hyperlink" Target="http://observepoint.com" TargetMode="External"/><Relationship Id="rId584" Type="http://schemas.openxmlformats.org/officeDocument/2006/relationships/hyperlink" Target="http://ziffdavis.com" TargetMode="External"/><Relationship Id="rId1179" Type="http://schemas.openxmlformats.org/officeDocument/2006/relationships/hyperlink" Target="http://prudential.com" TargetMode="External"/><Relationship Id="rId1169" Type="http://schemas.openxmlformats.org/officeDocument/2006/relationships/hyperlink" Target="http://observepoint.com" TargetMode="External"/><Relationship Id="rId338" Type="http://schemas.openxmlformats.org/officeDocument/2006/relationships/hyperlink" Target="http://cvshealth.com" TargetMode="External"/><Relationship Id="rId337" Type="http://schemas.openxmlformats.org/officeDocument/2006/relationships/hyperlink" Target="http://observepoint.com" TargetMode="External"/><Relationship Id="rId579" Type="http://schemas.openxmlformats.org/officeDocument/2006/relationships/hyperlink" Target="http://ziffdavis.com" TargetMode="External"/><Relationship Id="rId336" Type="http://schemas.openxmlformats.org/officeDocument/2006/relationships/hyperlink" Target="http://observepoint.com" TargetMode="External"/><Relationship Id="rId578" Type="http://schemas.openxmlformats.org/officeDocument/2006/relationships/hyperlink" Target="http://observepoint.com" TargetMode="External"/><Relationship Id="rId335" Type="http://schemas.openxmlformats.org/officeDocument/2006/relationships/hyperlink" Target="http://cvshealth.com" TargetMode="External"/><Relationship Id="rId577" Type="http://schemas.openxmlformats.org/officeDocument/2006/relationships/hyperlink" Target="http://observepoint.com" TargetMode="External"/><Relationship Id="rId339" Type="http://schemas.openxmlformats.org/officeDocument/2006/relationships/hyperlink" Target="http://observepoint.com" TargetMode="External"/><Relationship Id="rId1160" Type="http://schemas.openxmlformats.org/officeDocument/2006/relationships/hyperlink" Target="http://prudential.com" TargetMode="External"/><Relationship Id="rId330" Type="http://schemas.openxmlformats.org/officeDocument/2006/relationships/hyperlink" Target="http://observepoint.com" TargetMode="External"/><Relationship Id="rId572" Type="http://schemas.openxmlformats.org/officeDocument/2006/relationships/hyperlink" Target="http://ziffdavis.com" TargetMode="External"/><Relationship Id="rId1161" Type="http://schemas.openxmlformats.org/officeDocument/2006/relationships/hyperlink" Target="http://prudential.com" TargetMode="External"/><Relationship Id="rId571" Type="http://schemas.openxmlformats.org/officeDocument/2006/relationships/hyperlink" Target="http://ziffdavis.com" TargetMode="External"/><Relationship Id="rId1162" Type="http://schemas.openxmlformats.org/officeDocument/2006/relationships/hyperlink" Target="http://observepoint.com" TargetMode="External"/><Relationship Id="rId570" Type="http://schemas.openxmlformats.org/officeDocument/2006/relationships/hyperlink" Target="http://observepoint.com" TargetMode="External"/><Relationship Id="rId1163" Type="http://schemas.openxmlformats.org/officeDocument/2006/relationships/hyperlink" Target="http://prudential.com" TargetMode="External"/><Relationship Id="rId1164" Type="http://schemas.openxmlformats.org/officeDocument/2006/relationships/hyperlink" Target="http://prudential.com" TargetMode="External"/><Relationship Id="rId334" Type="http://schemas.openxmlformats.org/officeDocument/2006/relationships/hyperlink" Target="http://observepoint.com" TargetMode="External"/><Relationship Id="rId576" Type="http://schemas.openxmlformats.org/officeDocument/2006/relationships/hyperlink" Target="http://ziffdavis.com" TargetMode="External"/><Relationship Id="rId1165" Type="http://schemas.openxmlformats.org/officeDocument/2006/relationships/hyperlink" Target="http://observepoint.com" TargetMode="External"/><Relationship Id="rId333" Type="http://schemas.openxmlformats.org/officeDocument/2006/relationships/hyperlink" Target="http://observepoint.com" TargetMode="External"/><Relationship Id="rId575" Type="http://schemas.openxmlformats.org/officeDocument/2006/relationships/hyperlink" Target="http://observepoint.com" TargetMode="External"/><Relationship Id="rId1166" Type="http://schemas.openxmlformats.org/officeDocument/2006/relationships/hyperlink" Target="http://observepoint.com" TargetMode="External"/><Relationship Id="rId332" Type="http://schemas.openxmlformats.org/officeDocument/2006/relationships/hyperlink" Target="http://mongodb.com" TargetMode="External"/><Relationship Id="rId574" Type="http://schemas.openxmlformats.org/officeDocument/2006/relationships/hyperlink" Target="http://observepoint.com" TargetMode="External"/><Relationship Id="rId1167" Type="http://schemas.openxmlformats.org/officeDocument/2006/relationships/hyperlink" Target="http://prudential.com" TargetMode="External"/><Relationship Id="rId331" Type="http://schemas.openxmlformats.org/officeDocument/2006/relationships/hyperlink" Target="http://observepoint.com" TargetMode="External"/><Relationship Id="rId573" Type="http://schemas.openxmlformats.org/officeDocument/2006/relationships/hyperlink" Target="http://observepoint.com" TargetMode="External"/><Relationship Id="rId1168" Type="http://schemas.openxmlformats.org/officeDocument/2006/relationships/hyperlink" Target="http://observepoint.com" TargetMode="External"/><Relationship Id="rId370" Type="http://schemas.openxmlformats.org/officeDocument/2006/relationships/hyperlink" Target="http://observepoint.com" TargetMode="External"/><Relationship Id="rId129" Type="http://schemas.openxmlformats.org/officeDocument/2006/relationships/hyperlink" Target="http://observepoint.com" TargetMode="External"/><Relationship Id="rId128" Type="http://schemas.openxmlformats.org/officeDocument/2006/relationships/hyperlink" Target="http://amica.com" TargetMode="External"/><Relationship Id="rId127" Type="http://schemas.openxmlformats.org/officeDocument/2006/relationships/hyperlink" Target="http://observepoint.com" TargetMode="External"/><Relationship Id="rId369" Type="http://schemas.openxmlformats.org/officeDocument/2006/relationships/hyperlink" Target="http://mongodb.com" TargetMode="External"/><Relationship Id="rId126" Type="http://schemas.openxmlformats.org/officeDocument/2006/relationships/hyperlink" Target="http://observepoint.com" TargetMode="External"/><Relationship Id="rId368" Type="http://schemas.openxmlformats.org/officeDocument/2006/relationships/hyperlink" Target="http://observepoint.com" TargetMode="External"/><Relationship Id="rId1190" Type="http://schemas.openxmlformats.org/officeDocument/2006/relationships/hyperlink" Target="http://observepoint.com" TargetMode="External"/><Relationship Id="rId1191" Type="http://schemas.openxmlformats.org/officeDocument/2006/relationships/hyperlink" Target="http://observepoint.com" TargetMode="External"/><Relationship Id="rId1192" Type="http://schemas.openxmlformats.org/officeDocument/2006/relationships/hyperlink" Target="http://prudential.com" TargetMode="External"/><Relationship Id="rId1193" Type="http://schemas.openxmlformats.org/officeDocument/2006/relationships/hyperlink" Target="http://observepoint.com" TargetMode="External"/><Relationship Id="rId121" Type="http://schemas.openxmlformats.org/officeDocument/2006/relationships/hyperlink" Target="http://observepoint.com" TargetMode="External"/><Relationship Id="rId363" Type="http://schemas.openxmlformats.org/officeDocument/2006/relationships/hyperlink" Target="http://observepoint.com" TargetMode="External"/><Relationship Id="rId1194" Type="http://schemas.openxmlformats.org/officeDocument/2006/relationships/hyperlink" Target="http://prudential.com" TargetMode="External"/><Relationship Id="rId120" Type="http://schemas.openxmlformats.org/officeDocument/2006/relationships/hyperlink" Target="http://observepoint.com" TargetMode="External"/><Relationship Id="rId362" Type="http://schemas.openxmlformats.org/officeDocument/2006/relationships/hyperlink" Target="http://ros.com" TargetMode="External"/><Relationship Id="rId1195" Type="http://schemas.openxmlformats.org/officeDocument/2006/relationships/hyperlink" Target="http://observepoint.com" TargetMode="External"/><Relationship Id="rId361" Type="http://schemas.openxmlformats.org/officeDocument/2006/relationships/hyperlink" Target="http://observepoint.com" TargetMode="External"/><Relationship Id="rId1196" Type="http://schemas.openxmlformats.org/officeDocument/2006/relationships/hyperlink" Target="http://observepoint.com" TargetMode="External"/><Relationship Id="rId360" Type="http://schemas.openxmlformats.org/officeDocument/2006/relationships/hyperlink" Target="http://observepoint.com" TargetMode="External"/><Relationship Id="rId1197" Type="http://schemas.openxmlformats.org/officeDocument/2006/relationships/hyperlink" Target="http://observepoint.com" TargetMode="External"/><Relationship Id="rId125" Type="http://schemas.openxmlformats.org/officeDocument/2006/relationships/hyperlink" Target="http://amica.com" TargetMode="External"/><Relationship Id="rId367" Type="http://schemas.openxmlformats.org/officeDocument/2006/relationships/hyperlink" Target="http://observepoint.com" TargetMode="External"/><Relationship Id="rId1198" Type="http://schemas.openxmlformats.org/officeDocument/2006/relationships/hyperlink" Target="http://prudential.com" TargetMode="External"/><Relationship Id="rId124" Type="http://schemas.openxmlformats.org/officeDocument/2006/relationships/hyperlink" Target="http://observepoint.com" TargetMode="External"/><Relationship Id="rId366" Type="http://schemas.openxmlformats.org/officeDocument/2006/relationships/hyperlink" Target="http://ros.com" TargetMode="External"/><Relationship Id="rId1199" Type="http://schemas.openxmlformats.org/officeDocument/2006/relationships/hyperlink" Target="http://observepoint.com" TargetMode="External"/><Relationship Id="rId123" Type="http://schemas.openxmlformats.org/officeDocument/2006/relationships/hyperlink" Target="http://thinkbrg.com" TargetMode="External"/><Relationship Id="rId365" Type="http://schemas.openxmlformats.org/officeDocument/2006/relationships/hyperlink" Target="http://observepoint.com" TargetMode="External"/><Relationship Id="rId122" Type="http://schemas.openxmlformats.org/officeDocument/2006/relationships/hyperlink" Target="http://observepoint.com" TargetMode="External"/><Relationship Id="rId364" Type="http://schemas.openxmlformats.org/officeDocument/2006/relationships/hyperlink" Target="http://observepoint.com" TargetMode="External"/><Relationship Id="rId95" Type="http://schemas.openxmlformats.org/officeDocument/2006/relationships/hyperlink" Target="http://amica.com" TargetMode="External"/><Relationship Id="rId94" Type="http://schemas.openxmlformats.org/officeDocument/2006/relationships/hyperlink" Target="http://observepoint.com" TargetMode="External"/><Relationship Id="rId97" Type="http://schemas.openxmlformats.org/officeDocument/2006/relationships/hyperlink" Target="http://observepoint.com" TargetMode="External"/><Relationship Id="rId96" Type="http://schemas.openxmlformats.org/officeDocument/2006/relationships/hyperlink" Target="http://amica.com" TargetMode="External"/><Relationship Id="rId99" Type="http://schemas.openxmlformats.org/officeDocument/2006/relationships/hyperlink" Target="http://amica.com" TargetMode="External"/><Relationship Id="rId98" Type="http://schemas.openxmlformats.org/officeDocument/2006/relationships/hyperlink" Target="http://observepoint.com" TargetMode="External"/><Relationship Id="rId91" Type="http://schemas.openxmlformats.org/officeDocument/2006/relationships/hyperlink" Target="http://amica.com" TargetMode="External"/><Relationship Id="rId90" Type="http://schemas.openxmlformats.org/officeDocument/2006/relationships/hyperlink" Target="http://observepoint.com" TargetMode="External"/><Relationship Id="rId93" Type="http://schemas.openxmlformats.org/officeDocument/2006/relationships/hyperlink" Target="http://observepoint.com" TargetMode="External"/><Relationship Id="rId92" Type="http://schemas.openxmlformats.org/officeDocument/2006/relationships/hyperlink" Target="http://observepoint.com" TargetMode="External"/><Relationship Id="rId118" Type="http://schemas.openxmlformats.org/officeDocument/2006/relationships/hyperlink" Target="http://observepoint.com" TargetMode="External"/><Relationship Id="rId117" Type="http://schemas.openxmlformats.org/officeDocument/2006/relationships/hyperlink" Target="http://thinkbrg.com" TargetMode="External"/><Relationship Id="rId359" Type="http://schemas.openxmlformats.org/officeDocument/2006/relationships/hyperlink" Target="http://ros.com" TargetMode="External"/><Relationship Id="rId116" Type="http://schemas.openxmlformats.org/officeDocument/2006/relationships/hyperlink" Target="http://observepoint.com" TargetMode="External"/><Relationship Id="rId358" Type="http://schemas.openxmlformats.org/officeDocument/2006/relationships/hyperlink" Target="http://observepoint.com" TargetMode="External"/><Relationship Id="rId115" Type="http://schemas.openxmlformats.org/officeDocument/2006/relationships/hyperlink" Target="http://observepoint.com" TargetMode="External"/><Relationship Id="rId357" Type="http://schemas.openxmlformats.org/officeDocument/2006/relationships/hyperlink" Target="http://observepoint.com" TargetMode="External"/><Relationship Id="rId599" Type="http://schemas.openxmlformats.org/officeDocument/2006/relationships/hyperlink" Target="http://ziffdavis.com" TargetMode="External"/><Relationship Id="rId1180" Type="http://schemas.openxmlformats.org/officeDocument/2006/relationships/hyperlink" Target="http://observepoint.com" TargetMode="External"/><Relationship Id="rId1181" Type="http://schemas.openxmlformats.org/officeDocument/2006/relationships/hyperlink" Target="http://prudential.com" TargetMode="External"/><Relationship Id="rId119" Type="http://schemas.openxmlformats.org/officeDocument/2006/relationships/hyperlink" Target="http://thinkbrg.com" TargetMode="External"/><Relationship Id="rId1182" Type="http://schemas.openxmlformats.org/officeDocument/2006/relationships/hyperlink" Target="http://observepoint.com" TargetMode="External"/><Relationship Id="rId110" Type="http://schemas.openxmlformats.org/officeDocument/2006/relationships/hyperlink" Target="http://observepoint.com" TargetMode="External"/><Relationship Id="rId352" Type="http://schemas.openxmlformats.org/officeDocument/2006/relationships/hyperlink" Target="http://observepoint.com" TargetMode="External"/><Relationship Id="rId594" Type="http://schemas.openxmlformats.org/officeDocument/2006/relationships/hyperlink" Target="http://observepoint.com" TargetMode="External"/><Relationship Id="rId1183" Type="http://schemas.openxmlformats.org/officeDocument/2006/relationships/hyperlink" Target="http://observepoint.com" TargetMode="External"/><Relationship Id="rId351" Type="http://schemas.openxmlformats.org/officeDocument/2006/relationships/hyperlink" Target="http://observepoint.com" TargetMode="External"/><Relationship Id="rId593" Type="http://schemas.openxmlformats.org/officeDocument/2006/relationships/hyperlink" Target="http://ziffdavis.com" TargetMode="External"/><Relationship Id="rId1184" Type="http://schemas.openxmlformats.org/officeDocument/2006/relationships/hyperlink" Target="http://prudential.com" TargetMode="External"/><Relationship Id="rId350" Type="http://schemas.openxmlformats.org/officeDocument/2006/relationships/hyperlink" Target="http://optavia.com" TargetMode="External"/><Relationship Id="rId592" Type="http://schemas.openxmlformats.org/officeDocument/2006/relationships/hyperlink" Target="http://ziffdavis.com" TargetMode="External"/><Relationship Id="rId1185" Type="http://schemas.openxmlformats.org/officeDocument/2006/relationships/hyperlink" Target="http://observepoint.com" TargetMode="External"/><Relationship Id="rId591" Type="http://schemas.openxmlformats.org/officeDocument/2006/relationships/hyperlink" Target="http://observepoint.com" TargetMode="External"/><Relationship Id="rId1186" Type="http://schemas.openxmlformats.org/officeDocument/2006/relationships/hyperlink" Target="http://observepoint.com" TargetMode="External"/><Relationship Id="rId114" Type="http://schemas.openxmlformats.org/officeDocument/2006/relationships/hyperlink" Target="http://amica.com" TargetMode="External"/><Relationship Id="rId356" Type="http://schemas.openxmlformats.org/officeDocument/2006/relationships/hyperlink" Target="http://ros.com" TargetMode="External"/><Relationship Id="rId598" Type="http://schemas.openxmlformats.org/officeDocument/2006/relationships/hyperlink" Target="http://ziffdavis.com" TargetMode="External"/><Relationship Id="rId1187" Type="http://schemas.openxmlformats.org/officeDocument/2006/relationships/hyperlink" Target="http://prudential.com" TargetMode="External"/><Relationship Id="rId113" Type="http://schemas.openxmlformats.org/officeDocument/2006/relationships/hyperlink" Target="http://amica.com" TargetMode="External"/><Relationship Id="rId355" Type="http://schemas.openxmlformats.org/officeDocument/2006/relationships/hyperlink" Target="http://observepoint.com" TargetMode="External"/><Relationship Id="rId597" Type="http://schemas.openxmlformats.org/officeDocument/2006/relationships/hyperlink" Target="http://observepoint.com" TargetMode="External"/><Relationship Id="rId1188" Type="http://schemas.openxmlformats.org/officeDocument/2006/relationships/hyperlink" Target="http://observepoint.com" TargetMode="External"/><Relationship Id="rId112" Type="http://schemas.openxmlformats.org/officeDocument/2006/relationships/hyperlink" Target="http://observepoint.com" TargetMode="External"/><Relationship Id="rId354" Type="http://schemas.openxmlformats.org/officeDocument/2006/relationships/hyperlink" Target="http://observepoint.com" TargetMode="External"/><Relationship Id="rId596" Type="http://schemas.openxmlformats.org/officeDocument/2006/relationships/hyperlink" Target="http://observepoint.com" TargetMode="External"/><Relationship Id="rId1189" Type="http://schemas.openxmlformats.org/officeDocument/2006/relationships/hyperlink" Target="http://prudential.com" TargetMode="External"/><Relationship Id="rId111" Type="http://schemas.openxmlformats.org/officeDocument/2006/relationships/hyperlink" Target="http://amica.com" TargetMode="External"/><Relationship Id="rId353" Type="http://schemas.openxmlformats.org/officeDocument/2006/relationships/hyperlink" Target="http://cvshealth.com" TargetMode="External"/><Relationship Id="rId595" Type="http://schemas.openxmlformats.org/officeDocument/2006/relationships/hyperlink" Target="http://ziffdavis.com" TargetMode="External"/><Relationship Id="rId1136" Type="http://schemas.openxmlformats.org/officeDocument/2006/relationships/hyperlink" Target="http://observepoint.com" TargetMode="External"/><Relationship Id="rId1378" Type="http://schemas.openxmlformats.org/officeDocument/2006/relationships/hyperlink" Target="http://mongodb.com" TargetMode="External"/><Relationship Id="rId1137" Type="http://schemas.openxmlformats.org/officeDocument/2006/relationships/hyperlink" Target="http://prudential.com" TargetMode="External"/><Relationship Id="rId1379" Type="http://schemas.openxmlformats.org/officeDocument/2006/relationships/hyperlink" Target="http://observepoint.com" TargetMode="External"/><Relationship Id="rId1138" Type="http://schemas.openxmlformats.org/officeDocument/2006/relationships/hyperlink" Target="http://prudential.com" TargetMode="External"/><Relationship Id="rId1139" Type="http://schemas.openxmlformats.org/officeDocument/2006/relationships/hyperlink" Target="http://observepoint.com" TargetMode="External"/><Relationship Id="rId305" Type="http://schemas.openxmlformats.org/officeDocument/2006/relationships/hyperlink" Target="http://observepoint.com" TargetMode="External"/><Relationship Id="rId547" Type="http://schemas.openxmlformats.org/officeDocument/2006/relationships/hyperlink" Target="http://rdoffutt.com" TargetMode="External"/><Relationship Id="rId789" Type="http://schemas.openxmlformats.org/officeDocument/2006/relationships/hyperlink" Target="http://commonspirit.org" TargetMode="External"/><Relationship Id="rId304" Type="http://schemas.openxmlformats.org/officeDocument/2006/relationships/hyperlink" Target="http://mongodb.com" TargetMode="External"/><Relationship Id="rId546" Type="http://schemas.openxmlformats.org/officeDocument/2006/relationships/hyperlink" Target="http://observepoint.com" TargetMode="External"/><Relationship Id="rId788" Type="http://schemas.openxmlformats.org/officeDocument/2006/relationships/hyperlink" Target="http://observepoint.com" TargetMode="External"/><Relationship Id="rId303" Type="http://schemas.openxmlformats.org/officeDocument/2006/relationships/hyperlink" Target="http://observepoint.com" TargetMode="External"/><Relationship Id="rId545" Type="http://schemas.openxmlformats.org/officeDocument/2006/relationships/hyperlink" Target="http://observepoint.com" TargetMode="External"/><Relationship Id="rId787" Type="http://schemas.openxmlformats.org/officeDocument/2006/relationships/hyperlink" Target="http://observepoint.com" TargetMode="External"/><Relationship Id="rId302" Type="http://schemas.openxmlformats.org/officeDocument/2006/relationships/hyperlink" Target="http://observepoint.com" TargetMode="External"/><Relationship Id="rId544" Type="http://schemas.openxmlformats.org/officeDocument/2006/relationships/hyperlink" Target="http://rdoffutt.com" TargetMode="External"/><Relationship Id="rId786" Type="http://schemas.openxmlformats.org/officeDocument/2006/relationships/hyperlink" Target="http://observepoint.com" TargetMode="External"/><Relationship Id="rId309" Type="http://schemas.openxmlformats.org/officeDocument/2006/relationships/hyperlink" Target="http://mongodb.com" TargetMode="External"/><Relationship Id="rId308" Type="http://schemas.openxmlformats.org/officeDocument/2006/relationships/hyperlink" Target="http://observepoint.com" TargetMode="External"/><Relationship Id="rId307" Type="http://schemas.openxmlformats.org/officeDocument/2006/relationships/hyperlink" Target="http://mongodb.com" TargetMode="External"/><Relationship Id="rId549" Type="http://schemas.openxmlformats.org/officeDocument/2006/relationships/hyperlink" Target="http://observepoint.com" TargetMode="External"/><Relationship Id="rId306" Type="http://schemas.openxmlformats.org/officeDocument/2006/relationships/hyperlink" Target="http://observepoint.com" TargetMode="External"/><Relationship Id="rId548" Type="http://schemas.openxmlformats.org/officeDocument/2006/relationships/hyperlink" Target="http://observepoint.com" TargetMode="External"/><Relationship Id="rId781" Type="http://schemas.openxmlformats.org/officeDocument/2006/relationships/hyperlink" Target="http://observepoint.com" TargetMode="External"/><Relationship Id="rId1370" Type="http://schemas.openxmlformats.org/officeDocument/2006/relationships/hyperlink" Target="http://observepoint.com" TargetMode="External"/><Relationship Id="rId780" Type="http://schemas.openxmlformats.org/officeDocument/2006/relationships/hyperlink" Target="http://spark.co.nz" TargetMode="External"/><Relationship Id="rId1371" Type="http://schemas.openxmlformats.org/officeDocument/2006/relationships/hyperlink" Target="http://observepoint.com" TargetMode="External"/><Relationship Id="rId1130" Type="http://schemas.openxmlformats.org/officeDocument/2006/relationships/hyperlink" Target="http://observepoint.com" TargetMode="External"/><Relationship Id="rId1372" Type="http://schemas.openxmlformats.org/officeDocument/2006/relationships/hyperlink" Target="http://prudential.com" TargetMode="External"/><Relationship Id="rId1131" Type="http://schemas.openxmlformats.org/officeDocument/2006/relationships/hyperlink" Target="http://prudential.com" TargetMode="External"/><Relationship Id="rId1373" Type="http://schemas.openxmlformats.org/officeDocument/2006/relationships/hyperlink" Target="http://observepoint.com" TargetMode="External"/><Relationship Id="rId301" Type="http://schemas.openxmlformats.org/officeDocument/2006/relationships/hyperlink" Target="http://observepoint.com" TargetMode="External"/><Relationship Id="rId543" Type="http://schemas.openxmlformats.org/officeDocument/2006/relationships/hyperlink" Target="http://observepoint.com" TargetMode="External"/><Relationship Id="rId785" Type="http://schemas.openxmlformats.org/officeDocument/2006/relationships/hyperlink" Target="http://observepoint.com" TargetMode="External"/><Relationship Id="rId1132" Type="http://schemas.openxmlformats.org/officeDocument/2006/relationships/hyperlink" Target="http://observepoint.com" TargetMode="External"/><Relationship Id="rId1374" Type="http://schemas.openxmlformats.org/officeDocument/2006/relationships/hyperlink" Target="http://observepoint.com" TargetMode="External"/><Relationship Id="rId300" Type="http://schemas.openxmlformats.org/officeDocument/2006/relationships/hyperlink" Target="http://observepoint.com" TargetMode="External"/><Relationship Id="rId542" Type="http://schemas.openxmlformats.org/officeDocument/2006/relationships/hyperlink" Target="http://observepoint.com" TargetMode="External"/><Relationship Id="rId784" Type="http://schemas.openxmlformats.org/officeDocument/2006/relationships/hyperlink" Target="http://spark.co.nz" TargetMode="External"/><Relationship Id="rId1133" Type="http://schemas.openxmlformats.org/officeDocument/2006/relationships/hyperlink" Target="http://observepoint.com" TargetMode="External"/><Relationship Id="rId1375" Type="http://schemas.openxmlformats.org/officeDocument/2006/relationships/hyperlink" Target="http://rwjf.org" TargetMode="External"/><Relationship Id="rId541" Type="http://schemas.openxmlformats.org/officeDocument/2006/relationships/hyperlink" Target="http://rdoffutt.com" TargetMode="External"/><Relationship Id="rId783" Type="http://schemas.openxmlformats.org/officeDocument/2006/relationships/hyperlink" Target="http://observepoint.com" TargetMode="External"/><Relationship Id="rId1134" Type="http://schemas.openxmlformats.org/officeDocument/2006/relationships/hyperlink" Target="http://prudential.com" TargetMode="External"/><Relationship Id="rId1376" Type="http://schemas.openxmlformats.org/officeDocument/2006/relationships/hyperlink" Target="http://observepoint.com" TargetMode="External"/><Relationship Id="rId540" Type="http://schemas.openxmlformats.org/officeDocument/2006/relationships/hyperlink" Target="http://observepoint.com" TargetMode="External"/><Relationship Id="rId782" Type="http://schemas.openxmlformats.org/officeDocument/2006/relationships/hyperlink" Target="http://spark.co.nz" TargetMode="External"/><Relationship Id="rId1135" Type="http://schemas.openxmlformats.org/officeDocument/2006/relationships/hyperlink" Target="http://prudential.com" TargetMode="External"/><Relationship Id="rId1377" Type="http://schemas.openxmlformats.org/officeDocument/2006/relationships/hyperlink" Target="http://mongodb.com" TargetMode="External"/><Relationship Id="rId1125" Type="http://schemas.openxmlformats.org/officeDocument/2006/relationships/hyperlink" Target="http://prudential.com" TargetMode="External"/><Relationship Id="rId1367" Type="http://schemas.openxmlformats.org/officeDocument/2006/relationships/hyperlink" Target="http://observepoint.com" TargetMode="External"/><Relationship Id="rId1126" Type="http://schemas.openxmlformats.org/officeDocument/2006/relationships/hyperlink" Target="http://observepoint.com" TargetMode="External"/><Relationship Id="rId1368" Type="http://schemas.openxmlformats.org/officeDocument/2006/relationships/hyperlink" Target="http://prudential.com" TargetMode="External"/><Relationship Id="rId1127" Type="http://schemas.openxmlformats.org/officeDocument/2006/relationships/hyperlink" Target="http://observepoint.com" TargetMode="External"/><Relationship Id="rId1369" Type="http://schemas.openxmlformats.org/officeDocument/2006/relationships/hyperlink" Target="http://observepoint.com" TargetMode="External"/><Relationship Id="rId1128" Type="http://schemas.openxmlformats.org/officeDocument/2006/relationships/hyperlink" Target="http://observepoint.com" TargetMode="External"/><Relationship Id="rId1129" Type="http://schemas.openxmlformats.org/officeDocument/2006/relationships/hyperlink" Target="http://prudential.com" TargetMode="External"/><Relationship Id="rId536" Type="http://schemas.openxmlformats.org/officeDocument/2006/relationships/hyperlink" Target="http://ziffdavis.com" TargetMode="External"/><Relationship Id="rId778" Type="http://schemas.openxmlformats.org/officeDocument/2006/relationships/hyperlink" Target="http://spark.co.nz" TargetMode="External"/><Relationship Id="rId535" Type="http://schemas.openxmlformats.org/officeDocument/2006/relationships/hyperlink" Target="http://observepoint.com" TargetMode="External"/><Relationship Id="rId777" Type="http://schemas.openxmlformats.org/officeDocument/2006/relationships/hyperlink" Target="http://observepoint.com" TargetMode="External"/><Relationship Id="rId534" Type="http://schemas.openxmlformats.org/officeDocument/2006/relationships/hyperlink" Target="http://ziffdavis.com" TargetMode="External"/><Relationship Id="rId776" Type="http://schemas.openxmlformats.org/officeDocument/2006/relationships/hyperlink" Target="http://spark.co.nz" TargetMode="External"/><Relationship Id="rId533" Type="http://schemas.openxmlformats.org/officeDocument/2006/relationships/hyperlink" Target="http://observepoint.com" TargetMode="External"/><Relationship Id="rId775" Type="http://schemas.openxmlformats.org/officeDocument/2006/relationships/hyperlink" Target="http://spark.co.nz" TargetMode="External"/><Relationship Id="rId539" Type="http://schemas.openxmlformats.org/officeDocument/2006/relationships/hyperlink" Target="http://rdoffutt.com" TargetMode="External"/><Relationship Id="rId538" Type="http://schemas.openxmlformats.org/officeDocument/2006/relationships/hyperlink" Target="http://observepoint.com" TargetMode="External"/><Relationship Id="rId537" Type="http://schemas.openxmlformats.org/officeDocument/2006/relationships/hyperlink" Target="http://rdoffutt.com" TargetMode="External"/><Relationship Id="rId779" Type="http://schemas.openxmlformats.org/officeDocument/2006/relationships/hyperlink" Target="http://observepoint.com" TargetMode="External"/><Relationship Id="rId770" Type="http://schemas.openxmlformats.org/officeDocument/2006/relationships/hyperlink" Target="http://spark.co.nz" TargetMode="External"/><Relationship Id="rId1360" Type="http://schemas.openxmlformats.org/officeDocument/2006/relationships/hyperlink" Target="http://ros.com" TargetMode="External"/><Relationship Id="rId1361" Type="http://schemas.openxmlformats.org/officeDocument/2006/relationships/hyperlink" Target="http://observepoint.com" TargetMode="External"/><Relationship Id="rId1120" Type="http://schemas.openxmlformats.org/officeDocument/2006/relationships/hyperlink" Target="http://prudential.com" TargetMode="External"/><Relationship Id="rId1362" Type="http://schemas.openxmlformats.org/officeDocument/2006/relationships/hyperlink" Target="http://ros.com" TargetMode="External"/><Relationship Id="rId532" Type="http://schemas.openxmlformats.org/officeDocument/2006/relationships/hyperlink" Target="http://observepoint.com" TargetMode="External"/><Relationship Id="rId774" Type="http://schemas.openxmlformats.org/officeDocument/2006/relationships/hyperlink" Target="http://spark.co.nz" TargetMode="External"/><Relationship Id="rId1121" Type="http://schemas.openxmlformats.org/officeDocument/2006/relationships/hyperlink" Target="http://observepoint.com" TargetMode="External"/><Relationship Id="rId1363" Type="http://schemas.openxmlformats.org/officeDocument/2006/relationships/hyperlink" Target="http://mongodb.com" TargetMode="External"/><Relationship Id="rId531" Type="http://schemas.openxmlformats.org/officeDocument/2006/relationships/hyperlink" Target="http://brunswick.com" TargetMode="External"/><Relationship Id="rId773" Type="http://schemas.openxmlformats.org/officeDocument/2006/relationships/hyperlink" Target="http://spark.co.nz" TargetMode="External"/><Relationship Id="rId1122" Type="http://schemas.openxmlformats.org/officeDocument/2006/relationships/hyperlink" Target="http://observepoint.com" TargetMode="External"/><Relationship Id="rId1364" Type="http://schemas.openxmlformats.org/officeDocument/2006/relationships/hyperlink" Target="http://observepoint.com" TargetMode="External"/><Relationship Id="rId530" Type="http://schemas.openxmlformats.org/officeDocument/2006/relationships/hyperlink" Target="http://observepoint.com" TargetMode="External"/><Relationship Id="rId772" Type="http://schemas.openxmlformats.org/officeDocument/2006/relationships/hyperlink" Target="http://spark.co.nz" TargetMode="External"/><Relationship Id="rId1123" Type="http://schemas.openxmlformats.org/officeDocument/2006/relationships/hyperlink" Target="http://prudential.com" TargetMode="External"/><Relationship Id="rId1365" Type="http://schemas.openxmlformats.org/officeDocument/2006/relationships/hyperlink" Target="http://prudential.com" TargetMode="External"/><Relationship Id="rId771" Type="http://schemas.openxmlformats.org/officeDocument/2006/relationships/hyperlink" Target="http://observepoint.com" TargetMode="External"/><Relationship Id="rId1124" Type="http://schemas.openxmlformats.org/officeDocument/2006/relationships/hyperlink" Target="http://observepoint.com" TargetMode="External"/><Relationship Id="rId1366" Type="http://schemas.openxmlformats.org/officeDocument/2006/relationships/hyperlink" Target="http://observepoint.com" TargetMode="External"/><Relationship Id="rId1158" Type="http://schemas.openxmlformats.org/officeDocument/2006/relationships/hyperlink" Target="http://prudential.com" TargetMode="External"/><Relationship Id="rId1159" Type="http://schemas.openxmlformats.org/officeDocument/2006/relationships/hyperlink" Target="http://prudential.com" TargetMode="External"/><Relationship Id="rId327" Type="http://schemas.openxmlformats.org/officeDocument/2006/relationships/hyperlink" Target="http://observepoint.com" TargetMode="External"/><Relationship Id="rId569" Type="http://schemas.openxmlformats.org/officeDocument/2006/relationships/hyperlink" Target="http://observepoint.com" TargetMode="External"/><Relationship Id="rId326" Type="http://schemas.openxmlformats.org/officeDocument/2006/relationships/hyperlink" Target="http://ros.com" TargetMode="External"/><Relationship Id="rId568" Type="http://schemas.openxmlformats.org/officeDocument/2006/relationships/hyperlink" Target="http://observepoint.com" TargetMode="External"/><Relationship Id="rId325" Type="http://schemas.openxmlformats.org/officeDocument/2006/relationships/hyperlink" Target="http://ros.com" TargetMode="External"/><Relationship Id="rId567" Type="http://schemas.openxmlformats.org/officeDocument/2006/relationships/hyperlink" Target="http://observepoint.com" TargetMode="External"/><Relationship Id="rId324" Type="http://schemas.openxmlformats.org/officeDocument/2006/relationships/hyperlink" Target="http://observepoint.com" TargetMode="External"/><Relationship Id="rId566" Type="http://schemas.openxmlformats.org/officeDocument/2006/relationships/hyperlink" Target="http://observepoint.com" TargetMode="External"/><Relationship Id="rId329" Type="http://schemas.openxmlformats.org/officeDocument/2006/relationships/hyperlink" Target="http://ros.com" TargetMode="External"/><Relationship Id="rId1390" Type="http://schemas.openxmlformats.org/officeDocument/2006/relationships/hyperlink" Target="http://observepoint.com" TargetMode="External"/><Relationship Id="rId328" Type="http://schemas.openxmlformats.org/officeDocument/2006/relationships/hyperlink" Target="http://observepoint.com" TargetMode="External"/><Relationship Id="rId1391" Type="http://schemas.openxmlformats.org/officeDocument/2006/relationships/hyperlink" Target="http://ros.com" TargetMode="External"/><Relationship Id="rId561" Type="http://schemas.openxmlformats.org/officeDocument/2006/relationships/hyperlink" Target="http://observepoint.com" TargetMode="External"/><Relationship Id="rId1150" Type="http://schemas.openxmlformats.org/officeDocument/2006/relationships/hyperlink" Target="http://prudential.com" TargetMode="External"/><Relationship Id="rId1392" Type="http://schemas.openxmlformats.org/officeDocument/2006/relationships/hyperlink" Target="http://observepoint.com" TargetMode="External"/><Relationship Id="rId560" Type="http://schemas.openxmlformats.org/officeDocument/2006/relationships/hyperlink" Target="http://observepoint.com" TargetMode="External"/><Relationship Id="rId1151" Type="http://schemas.openxmlformats.org/officeDocument/2006/relationships/hyperlink" Target="http://observepoint.com" TargetMode="External"/><Relationship Id="rId1393" Type="http://schemas.openxmlformats.org/officeDocument/2006/relationships/hyperlink" Target="http://cdw.com" TargetMode="External"/><Relationship Id="rId1152" Type="http://schemas.openxmlformats.org/officeDocument/2006/relationships/hyperlink" Target="http://observepoint.com" TargetMode="External"/><Relationship Id="rId1394" Type="http://schemas.openxmlformats.org/officeDocument/2006/relationships/hyperlink" Target="http://observepoint.com" TargetMode="External"/><Relationship Id="rId1153" Type="http://schemas.openxmlformats.org/officeDocument/2006/relationships/hyperlink" Target="http://prudential.com" TargetMode="External"/><Relationship Id="rId1395" Type="http://schemas.openxmlformats.org/officeDocument/2006/relationships/hyperlink" Target="http://rwjf.org" TargetMode="External"/><Relationship Id="rId323" Type="http://schemas.openxmlformats.org/officeDocument/2006/relationships/hyperlink" Target="http://observepoint.com" TargetMode="External"/><Relationship Id="rId565" Type="http://schemas.openxmlformats.org/officeDocument/2006/relationships/hyperlink" Target="http://observepoint.com" TargetMode="External"/><Relationship Id="rId1154" Type="http://schemas.openxmlformats.org/officeDocument/2006/relationships/hyperlink" Target="http://observepoint.com" TargetMode="External"/><Relationship Id="rId1396" Type="http://schemas.openxmlformats.org/officeDocument/2006/relationships/hyperlink" Target="http://observepoint.com" TargetMode="External"/><Relationship Id="rId322" Type="http://schemas.openxmlformats.org/officeDocument/2006/relationships/hyperlink" Target="http://ros.com" TargetMode="External"/><Relationship Id="rId564" Type="http://schemas.openxmlformats.org/officeDocument/2006/relationships/hyperlink" Target="http://observepoint.com" TargetMode="External"/><Relationship Id="rId1155" Type="http://schemas.openxmlformats.org/officeDocument/2006/relationships/hyperlink" Target="http://prudential.com" TargetMode="External"/><Relationship Id="rId1397" Type="http://schemas.openxmlformats.org/officeDocument/2006/relationships/hyperlink" Target="http://observepoint.com" TargetMode="External"/><Relationship Id="rId321" Type="http://schemas.openxmlformats.org/officeDocument/2006/relationships/hyperlink" Target="http://ros.com" TargetMode="External"/><Relationship Id="rId563" Type="http://schemas.openxmlformats.org/officeDocument/2006/relationships/hyperlink" Target="http://observepoint.com" TargetMode="External"/><Relationship Id="rId1156" Type="http://schemas.openxmlformats.org/officeDocument/2006/relationships/hyperlink" Target="http://observepoint.com" TargetMode="External"/><Relationship Id="rId1398" Type="http://schemas.openxmlformats.org/officeDocument/2006/relationships/hyperlink" Target="http://prudential.com" TargetMode="External"/><Relationship Id="rId320" Type="http://schemas.openxmlformats.org/officeDocument/2006/relationships/hyperlink" Target="http://observepoint.com" TargetMode="External"/><Relationship Id="rId562" Type="http://schemas.openxmlformats.org/officeDocument/2006/relationships/hyperlink" Target="http://rdoffutt.com" TargetMode="External"/><Relationship Id="rId1157" Type="http://schemas.openxmlformats.org/officeDocument/2006/relationships/hyperlink" Target="http://observepoint.com" TargetMode="External"/><Relationship Id="rId1399" Type="http://schemas.openxmlformats.org/officeDocument/2006/relationships/hyperlink" Target="http://observepoint.com" TargetMode="External"/><Relationship Id="rId1147" Type="http://schemas.openxmlformats.org/officeDocument/2006/relationships/hyperlink" Target="http://observepoint.com" TargetMode="External"/><Relationship Id="rId1389" Type="http://schemas.openxmlformats.org/officeDocument/2006/relationships/hyperlink" Target="http://observepoint.com" TargetMode="External"/><Relationship Id="rId1148" Type="http://schemas.openxmlformats.org/officeDocument/2006/relationships/hyperlink" Target="http://observepoint.com" TargetMode="External"/><Relationship Id="rId1149" Type="http://schemas.openxmlformats.org/officeDocument/2006/relationships/hyperlink" Target="http://prudential.com" TargetMode="External"/><Relationship Id="rId316" Type="http://schemas.openxmlformats.org/officeDocument/2006/relationships/hyperlink" Target="http://observepoint.com" TargetMode="External"/><Relationship Id="rId558" Type="http://schemas.openxmlformats.org/officeDocument/2006/relationships/hyperlink" Target="http://observepoint.com" TargetMode="External"/><Relationship Id="rId315" Type="http://schemas.openxmlformats.org/officeDocument/2006/relationships/hyperlink" Target="http://observepoint.com" TargetMode="External"/><Relationship Id="rId557" Type="http://schemas.openxmlformats.org/officeDocument/2006/relationships/hyperlink" Target="http://observepoint.com" TargetMode="External"/><Relationship Id="rId799" Type="http://schemas.openxmlformats.org/officeDocument/2006/relationships/hyperlink" Target="http://observepoint.com" TargetMode="External"/><Relationship Id="rId314" Type="http://schemas.openxmlformats.org/officeDocument/2006/relationships/hyperlink" Target="http://ros.com" TargetMode="External"/><Relationship Id="rId556" Type="http://schemas.openxmlformats.org/officeDocument/2006/relationships/hyperlink" Target="http://rdoffutt.com" TargetMode="External"/><Relationship Id="rId798" Type="http://schemas.openxmlformats.org/officeDocument/2006/relationships/hyperlink" Target="http://observepoint.com" TargetMode="External"/><Relationship Id="rId313" Type="http://schemas.openxmlformats.org/officeDocument/2006/relationships/hyperlink" Target="http://mongodb.com" TargetMode="External"/><Relationship Id="rId555" Type="http://schemas.openxmlformats.org/officeDocument/2006/relationships/hyperlink" Target="http://observepoint.com" TargetMode="External"/><Relationship Id="rId797" Type="http://schemas.openxmlformats.org/officeDocument/2006/relationships/hyperlink" Target="http://khov.com" TargetMode="External"/><Relationship Id="rId319" Type="http://schemas.openxmlformats.org/officeDocument/2006/relationships/hyperlink" Target="http://ros.com" TargetMode="External"/><Relationship Id="rId318" Type="http://schemas.openxmlformats.org/officeDocument/2006/relationships/hyperlink" Target="http://mongodb.com" TargetMode="External"/><Relationship Id="rId317" Type="http://schemas.openxmlformats.org/officeDocument/2006/relationships/hyperlink" Target="http://observepoint.com" TargetMode="External"/><Relationship Id="rId559" Type="http://schemas.openxmlformats.org/officeDocument/2006/relationships/hyperlink" Target="http://rdoffutt.com" TargetMode="External"/><Relationship Id="rId1380" Type="http://schemas.openxmlformats.org/officeDocument/2006/relationships/hyperlink" Target="http://observepoint.com" TargetMode="External"/><Relationship Id="rId550" Type="http://schemas.openxmlformats.org/officeDocument/2006/relationships/hyperlink" Target="http://rdoffutt.com" TargetMode="External"/><Relationship Id="rId792" Type="http://schemas.openxmlformats.org/officeDocument/2006/relationships/hyperlink" Target="http://observepoint.com" TargetMode="External"/><Relationship Id="rId1381" Type="http://schemas.openxmlformats.org/officeDocument/2006/relationships/hyperlink" Target="http://mongodb.com" TargetMode="External"/><Relationship Id="rId791" Type="http://schemas.openxmlformats.org/officeDocument/2006/relationships/hyperlink" Target="http://observepoint.com" TargetMode="External"/><Relationship Id="rId1140" Type="http://schemas.openxmlformats.org/officeDocument/2006/relationships/hyperlink" Target="http://prudential.com" TargetMode="External"/><Relationship Id="rId1382" Type="http://schemas.openxmlformats.org/officeDocument/2006/relationships/hyperlink" Target="http://observepoint.com" TargetMode="External"/><Relationship Id="rId790" Type="http://schemas.openxmlformats.org/officeDocument/2006/relationships/hyperlink" Target="http://commonspirit.org" TargetMode="External"/><Relationship Id="rId1141" Type="http://schemas.openxmlformats.org/officeDocument/2006/relationships/hyperlink" Target="http://observepoint.com" TargetMode="External"/><Relationship Id="rId1383" Type="http://schemas.openxmlformats.org/officeDocument/2006/relationships/hyperlink" Target="http://ros.com" TargetMode="External"/><Relationship Id="rId1142" Type="http://schemas.openxmlformats.org/officeDocument/2006/relationships/hyperlink" Target="http://observepoint.com" TargetMode="External"/><Relationship Id="rId1384" Type="http://schemas.openxmlformats.org/officeDocument/2006/relationships/hyperlink" Target="http://ros.com" TargetMode="External"/><Relationship Id="rId312" Type="http://schemas.openxmlformats.org/officeDocument/2006/relationships/hyperlink" Target="http://observepoint.com" TargetMode="External"/><Relationship Id="rId554" Type="http://schemas.openxmlformats.org/officeDocument/2006/relationships/hyperlink" Target="http://observepoint.com" TargetMode="External"/><Relationship Id="rId796" Type="http://schemas.openxmlformats.org/officeDocument/2006/relationships/hyperlink" Target="http://observepoint.com" TargetMode="External"/><Relationship Id="rId1143" Type="http://schemas.openxmlformats.org/officeDocument/2006/relationships/hyperlink" Target="http://prudential.com" TargetMode="External"/><Relationship Id="rId1385" Type="http://schemas.openxmlformats.org/officeDocument/2006/relationships/hyperlink" Target="http://observepoint.com" TargetMode="External"/><Relationship Id="rId311" Type="http://schemas.openxmlformats.org/officeDocument/2006/relationships/hyperlink" Target="http://mongodb.com" TargetMode="External"/><Relationship Id="rId553" Type="http://schemas.openxmlformats.org/officeDocument/2006/relationships/hyperlink" Target="http://rdoffutt.com" TargetMode="External"/><Relationship Id="rId795" Type="http://schemas.openxmlformats.org/officeDocument/2006/relationships/hyperlink" Target="http://observepoint.com" TargetMode="External"/><Relationship Id="rId1144" Type="http://schemas.openxmlformats.org/officeDocument/2006/relationships/hyperlink" Target="http://observepoint.com" TargetMode="External"/><Relationship Id="rId1386" Type="http://schemas.openxmlformats.org/officeDocument/2006/relationships/hyperlink" Target="http://observepoint.com" TargetMode="External"/><Relationship Id="rId310" Type="http://schemas.openxmlformats.org/officeDocument/2006/relationships/hyperlink" Target="http://mongodb.com" TargetMode="External"/><Relationship Id="rId552" Type="http://schemas.openxmlformats.org/officeDocument/2006/relationships/hyperlink" Target="http://rdoffutt.com" TargetMode="External"/><Relationship Id="rId794" Type="http://schemas.openxmlformats.org/officeDocument/2006/relationships/hyperlink" Target="http://commonspirit.org" TargetMode="External"/><Relationship Id="rId1145" Type="http://schemas.openxmlformats.org/officeDocument/2006/relationships/hyperlink" Target="http://chilipiper.com" TargetMode="External"/><Relationship Id="rId1387" Type="http://schemas.openxmlformats.org/officeDocument/2006/relationships/hyperlink" Target="http://ros.com" TargetMode="External"/><Relationship Id="rId551" Type="http://schemas.openxmlformats.org/officeDocument/2006/relationships/hyperlink" Target="http://observepoint.com" TargetMode="External"/><Relationship Id="rId793" Type="http://schemas.openxmlformats.org/officeDocument/2006/relationships/hyperlink" Target="http://commonspirit.org" TargetMode="External"/><Relationship Id="rId1146" Type="http://schemas.openxmlformats.org/officeDocument/2006/relationships/hyperlink" Target="http://prudential.com" TargetMode="External"/><Relationship Id="rId1388" Type="http://schemas.openxmlformats.org/officeDocument/2006/relationships/hyperlink" Target="http://ros.com" TargetMode="External"/><Relationship Id="rId297" Type="http://schemas.openxmlformats.org/officeDocument/2006/relationships/hyperlink" Target="http://questrade.com" TargetMode="External"/><Relationship Id="rId296" Type="http://schemas.openxmlformats.org/officeDocument/2006/relationships/hyperlink" Target="http://observepoint.com" TargetMode="External"/><Relationship Id="rId295" Type="http://schemas.openxmlformats.org/officeDocument/2006/relationships/hyperlink" Target="http://observepoint.com" TargetMode="External"/><Relationship Id="rId294" Type="http://schemas.openxmlformats.org/officeDocument/2006/relationships/hyperlink" Target="http://questrade.com" TargetMode="External"/><Relationship Id="rId299" Type="http://schemas.openxmlformats.org/officeDocument/2006/relationships/hyperlink" Target="http://questrade.com" TargetMode="External"/><Relationship Id="rId298" Type="http://schemas.openxmlformats.org/officeDocument/2006/relationships/hyperlink" Target="http://observepoint.com" TargetMode="External"/><Relationship Id="rId271" Type="http://schemas.openxmlformats.org/officeDocument/2006/relationships/hyperlink" Target="http://observepoint.com" TargetMode="External"/><Relationship Id="rId270" Type="http://schemas.openxmlformats.org/officeDocument/2006/relationships/hyperlink" Target="http://lumen.com" TargetMode="External"/><Relationship Id="rId269" Type="http://schemas.openxmlformats.org/officeDocument/2006/relationships/hyperlink" Target="http://observepoint.com" TargetMode="External"/><Relationship Id="rId264" Type="http://schemas.openxmlformats.org/officeDocument/2006/relationships/hyperlink" Target="http://lumen.com" TargetMode="External"/><Relationship Id="rId263" Type="http://schemas.openxmlformats.org/officeDocument/2006/relationships/hyperlink" Target="http://observepoint.com" TargetMode="External"/><Relationship Id="rId262" Type="http://schemas.openxmlformats.org/officeDocument/2006/relationships/hyperlink" Target="http://lumen.com" TargetMode="External"/><Relationship Id="rId261" Type="http://schemas.openxmlformats.org/officeDocument/2006/relationships/hyperlink" Target="http://observepoint.com" TargetMode="External"/><Relationship Id="rId268" Type="http://schemas.openxmlformats.org/officeDocument/2006/relationships/hyperlink" Target="http://lumen.com" TargetMode="External"/><Relationship Id="rId267" Type="http://schemas.openxmlformats.org/officeDocument/2006/relationships/hyperlink" Target="http://observepoint.com" TargetMode="External"/><Relationship Id="rId266" Type="http://schemas.openxmlformats.org/officeDocument/2006/relationships/hyperlink" Target="http://lumen.com" TargetMode="External"/><Relationship Id="rId265" Type="http://schemas.openxmlformats.org/officeDocument/2006/relationships/hyperlink" Target="http://observepoint.com" TargetMode="External"/><Relationship Id="rId260" Type="http://schemas.openxmlformats.org/officeDocument/2006/relationships/hyperlink" Target="http://lumen.com" TargetMode="External"/><Relationship Id="rId259" Type="http://schemas.openxmlformats.org/officeDocument/2006/relationships/hyperlink" Target="http://observepoint.com" TargetMode="External"/><Relationship Id="rId258" Type="http://schemas.openxmlformats.org/officeDocument/2006/relationships/hyperlink" Target="http://observepoint.com" TargetMode="External"/><Relationship Id="rId253" Type="http://schemas.openxmlformats.org/officeDocument/2006/relationships/hyperlink" Target="http://observepoint.com" TargetMode="External"/><Relationship Id="rId495" Type="http://schemas.openxmlformats.org/officeDocument/2006/relationships/hyperlink" Target="http://observepoint.com" TargetMode="External"/><Relationship Id="rId252" Type="http://schemas.openxmlformats.org/officeDocument/2006/relationships/hyperlink" Target="http://questrade.com" TargetMode="External"/><Relationship Id="rId494" Type="http://schemas.openxmlformats.org/officeDocument/2006/relationships/hyperlink" Target="http://observepoint.com" TargetMode="External"/><Relationship Id="rId251" Type="http://schemas.openxmlformats.org/officeDocument/2006/relationships/hyperlink" Target="http://questrade.com" TargetMode="External"/><Relationship Id="rId493" Type="http://schemas.openxmlformats.org/officeDocument/2006/relationships/hyperlink" Target="http://brunswick.com" TargetMode="External"/><Relationship Id="rId250" Type="http://schemas.openxmlformats.org/officeDocument/2006/relationships/hyperlink" Target="http://chilipiper.com" TargetMode="External"/><Relationship Id="rId492" Type="http://schemas.openxmlformats.org/officeDocument/2006/relationships/hyperlink" Target="http://observepoint.com" TargetMode="External"/><Relationship Id="rId257" Type="http://schemas.openxmlformats.org/officeDocument/2006/relationships/hyperlink" Target="http://lumen.com" TargetMode="External"/><Relationship Id="rId499" Type="http://schemas.openxmlformats.org/officeDocument/2006/relationships/hyperlink" Target="http://ziffdavis.com" TargetMode="External"/><Relationship Id="rId256" Type="http://schemas.openxmlformats.org/officeDocument/2006/relationships/hyperlink" Target="http://observepoint.com" TargetMode="External"/><Relationship Id="rId498" Type="http://schemas.openxmlformats.org/officeDocument/2006/relationships/hyperlink" Target="http://observepoint.com" TargetMode="External"/><Relationship Id="rId255" Type="http://schemas.openxmlformats.org/officeDocument/2006/relationships/hyperlink" Target="http://observepoint.com" TargetMode="External"/><Relationship Id="rId497" Type="http://schemas.openxmlformats.org/officeDocument/2006/relationships/hyperlink" Target="http://observepoint.com" TargetMode="External"/><Relationship Id="rId254" Type="http://schemas.openxmlformats.org/officeDocument/2006/relationships/hyperlink" Target="http://observepoint.com" TargetMode="External"/><Relationship Id="rId496" Type="http://schemas.openxmlformats.org/officeDocument/2006/relationships/hyperlink" Target="http://ziffdavis.com" TargetMode="External"/><Relationship Id="rId293" Type="http://schemas.openxmlformats.org/officeDocument/2006/relationships/hyperlink" Target="http://observepoint.com" TargetMode="External"/><Relationship Id="rId292" Type="http://schemas.openxmlformats.org/officeDocument/2006/relationships/hyperlink" Target="http://observepoint.com" TargetMode="External"/><Relationship Id="rId291" Type="http://schemas.openxmlformats.org/officeDocument/2006/relationships/hyperlink" Target="http://lumen.com" TargetMode="External"/><Relationship Id="rId290" Type="http://schemas.openxmlformats.org/officeDocument/2006/relationships/hyperlink" Target="http://observepoint.com" TargetMode="External"/><Relationship Id="rId286" Type="http://schemas.openxmlformats.org/officeDocument/2006/relationships/hyperlink" Target="http://observepoint.com" TargetMode="External"/><Relationship Id="rId285" Type="http://schemas.openxmlformats.org/officeDocument/2006/relationships/hyperlink" Target="http://bluebeam.com" TargetMode="External"/><Relationship Id="rId284" Type="http://schemas.openxmlformats.org/officeDocument/2006/relationships/hyperlink" Target="http://observepoint.com" TargetMode="External"/><Relationship Id="rId283" Type="http://schemas.openxmlformats.org/officeDocument/2006/relationships/hyperlink" Target="http://observepoint.com" TargetMode="External"/><Relationship Id="rId289" Type="http://schemas.openxmlformats.org/officeDocument/2006/relationships/hyperlink" Target="http://observepoint.com" TargetMode="External"/><Relationship Id="rId288" Type="http://schemas.openxmlformats.org/officeDocument/2006/relationships/hyperlink" Target="http://bluebeam.com" TargetMode="External"/><Relationship Id="rId287" Type="http://schemas.openxmlformats.org/officeDocument/2006/relationships/hyperlink" Target="http://observepoint.com" TargetMode="External"/><Relationship Id="rId282" Type="http://schemas.openxmlformats.org/officeDocument/2006/relationships/hyperlink" Target="http://observepoint.com" TargetMode="External"/><Relationship Id="rId281" Type="http://schemas.openxmlformats.org/officeDocument/2006/relationships/hyperlink" Target="http://observepoint.com" TargetMode="External"/><Relationship Id="rId280" Type="http://schemas.openxmlformats.org/officeDocument/2006/relationships/hyperlink" Target="http://lumen.com" TargetMode="External"/><Relationship Id="rId275" Type="http://schemas.openxmlformats.org/officeDocument/2006/relationships/hyperlink" Target="http://observepoint.com" TargetMode="External"/><Relationship Id="rId274" Type="http://schemas.openxmlformats.org/officeDocument/2006/relationships/hyperlink" Target="http://observepoint.com" TargetMode="External"/><Relationship Id="rId273" Type="http://schemas.openxmlformats.org/officeDocument/2006/relationships/hyperlink" Target="http://observepoint.com" TargetMode="External"/><Relationship Id="rId272" Type="http://schemas.openxmlformats.org/officeDocument/2006/relationships/hyperlink" Target="http://observepoint.com" TargetMode="External"/><Relationship Id="rId279" Type="http://schemas.openxmlformats.org/officeDocument/2006/relationships/hyperlink" Target="http://observepoint.com" TargetMode="External"/><Relationship Id="rId278" Type="http://schemas.openxmlformats.org/officeDocument/2006/relationships/hyperlink" Target="http://questrade.com" TargetMode="External"/><Relationship Id="rId277" Type="http://schemas.openxmlformats.org/officeDocument/2006/relationships/hyperlink" Target="http://observepoint.com" TargetMode="External"/><Relationship Id="rId276" Type="http://schemas.openxmlformats.org/officeDocument/2006/relationships/hyperlink" Target="http://questrade.com" TargetMode="External"/><Relationship Id="rId907" Type="http://schemas.openxmlformats.org/officeDocument/2006/relationships/hyperlink" Target="http://prudential.com" TargetMode="External"/><Relationship Id="rId906" Type="http://schemas.openxmlformats.org/officeDocument/2006/relationships/hyperlink" Target="http://observepoint.com" TargetMode="External"/><Relationship Id="rId905" Type="http://schemas.openxmlformats.org/officeDocument/2006/relationships/hyperlink" Target="http://prudential.com" TargetMode="External"/><Relationship Id="rId904" Type="http://schemas.openxmlformats.org/officeDocument/2006/relationships/hyperlink" Target="http://prudential.com" TargetMode="External"/><Relationship Id="rId909" Type="http://schemas.openxmlformats.org/officeDocument/2006/relationships/hyperlink" Target="http://prudential.com" TargetMode="External"/><Relationship Id="rId908" Type="http://schemas.openxmlformats.org/officeDocument/2006/relationships/hyperlink" Target="http://observepoint.com" TargetMode="External"/><Relationship Id="rId903" Type="http://schemas.openxmlformats.org/officeDocument/2006/relationships/hyperlink" Target="http://prudential.com" TargetMode="External"/><Relationship Id="rId902" Type="http://schemas.openxmlformats.org/officeDocument/2006/relationships/hyperlink" Target="http://observepoint.com" TargetMode="External"/><Relationship Id="rId901" Type="http://schemas.openxmlformats.org/officeDocument/2006/relationships/hyperlink" Target="http://prudential.com" TargetMode="External"/><Relationship Id="rId900" Type="http://schemas.openxmlformats.org/officeDocument/2006/relationships/hyperlink" Target="http://prudential.com" TargetMode="External"/><Relationship Id="rId929" Type="http://schemas.openxmlformats.org/officeDocument/2006/relationships/hyperlink" Target="http://prudential.com" TargetMode="External"/><Relationship Id="rId928" Type="http://schemas.openxmlformats.org/officeDocument/2006/relationships/hyperlink" Target="http://observepoint.com" TargetMode="External"/><Relationship Id="rId927" Type="http://schemas.openxmlformats.org/officeDocument/2006/relationships/hyperlink" Target="http://observepoint.com" TargetMode="External"/><Relationship Id="rId926" Type="http://schemas.openxmlformats.org/officeDocument/2006/relationships/hyperlink" Target="http://crowdstrike.com" TargetMode="External"/><Relationship Id="rId921" Type="http://schemas.openxmlformats.org/officeDocument/2006/relationships/hyperlink" Target="http://observepoint.com" TargetMode="External"/><Relationship Id="rId920" Type="http://schemas.openxmlformats.org/officeDocument/2006/relationships/hyperlink" Target="http://cdw.com" TargetMode="External"/><Relationship Id="rId925" Type="http://schemas.openxmlformats.org/officeDocument/2006/relationships/hyperlink" Target="http://observepoint.com" TargetMode="External"/><Relationship Id="rId924" Type="http://schemas.openxmlformats.org/officeDocument/2006/relationships/hyperlink" Target="http://observepoint.com" TargetMode="External"/><Relationship Id="rId923" Type="http://schemas.openxmlformats.org/officeDocument/2006/relationships/hyperlink" Target="http://cdw.com" TargetMode="External"/><Relationship Id="rId922" Type="http://schemas.openxmlformats.org/officeDocument/2006/relationships/hyperlink" Target="http://observepoint.com" TargetMode="External"/><Relationship Id="rId918" Type="http://schemas.openxmlformats.org/officeDocument/2006/relationships/hyperlink" Target="http://observepoint.com" TargetMode="External"/><Relationship Id="rId917" Type="http://schemas.openxmlformats.org/officeDocument/2006/relationships/hyperlink" Target="http://cdw.com" TargetMode="External"/><Relationship Id="rId916" Type="http://schemas.openxmlformats.org/officeDocument/2006/relationships/hyperlink" Target="http://observepoint.com" TargetMode="External"/><Relationship Id="rId915" Type="http://schemas.openxmlformats.org/officeDocument/2006/relationships/hyperlink" Target="http://observepoint.com" TargetMode="External"/><Relationship Id="rId919" Type="http://schemas.openxmlformats.org/officeDocument/2006/relationships/hyperlink" Target="http://observepoint.com" TargetMode="External"/><Relationship Id="rId910" Type="http://schemas.openxmlformats.org/officeDocument/2006/relationships/hyperlink" Target="http://observepoint.com" TargetMode="External"/><Relationship Id="rId914" Type="http://schemas.openxmlformats.org/officeDocument/2006/relationships/hyperlink" Target="http://cdw.com" TargetMode="External"/><Relationship Id="rId913" Type="http://schemas.openxmlformats.org/officeDocument/2006/relationships/hyperlink" Target="http://observepoint.com" TargetMode="External"/><Relationship Id="rId912" Type="http://schemas.openxmlformats.org/officeDocument/2006/relationships/hyperlink" Target="http://observepoint.com" TargetMode="External"/><Relationship Id="rId911" Type="http://schemas.openxmlformats.org/officeDocument/2006/relationships/hyperlink" Target="http://crowdstrike.com" TargetMode="External"/><Relationship Id="rId1213" Type="http://schemas.openxmlformats.org/officeDocument/2006/relationships/hyperlink" Target="http://prudential.com" TargetMode="External"/><Relationship Id="rId1214" Type="http://schemas.openxmlformats.org/officeDocument/2006/relationships/hyperlink" Target="http://observepoint.com" TargetMode="External"/><Relationship Id="rId1215" Type="http://schemas.openxmlformats.org/officeDocument/2006/relationships/hyperlink" Target="http://prudential.com" TargetMode="External"/><Relationship Id="rId1216" Type="http://schemas.openxmlformats.org/officeDocument/2006/relationships/hyperlink" Target="http://prudential.com" TargetMode="External"/><Relationship Id="rId1217" Type="http://schemas.openxmlformats.org/officeDocument/2006/relationships/hyperlink" Target="http://observepoint.com" TargetMode="External"/><Relationship Id="rId1218" Type="http://schemas.openxmlformats.org/officeDocument/2006/relationships/hyperlink" Target="http://observepoint.com" TargetMode="External"/><Relationship Id="rId1219" Type="http://schemas.openxmlformats.org/officeDocument/2006/relationships/hyperlink" Target="http://prudential.com" TargetMode="External"/><Relationship Id="rId629" Type="http://schemas.openxmlformats.org/officeDocument/2006/relationships/hyperlink" Target="http://observepoint.com" TargetMode="External"/><Relationship Id="rId624" Type="http://schemas.openxmlformats.org/officeDocument/2006/relationships/hyperlink" Target="http://observepoint.com" TargetMode="External"/><Relationship Id="rId866" Type="http://schemas.openxmlformats.org/officeDocument/2006/relationships/hyperlink" Target="http://observepoint.com" TargetMode="External"/><Relationship Id="rId623" Type="http://schemas.openxmlformats.org/officeDocument/2006/relationships/hyperlink" Target="http://observepoint.com" TargetMode="External"/><Relationship Id="rId865" Type="http://schemas.openxmlformats.org/officeDocument/2006/relationships/hyperlink" Target="http://observepoint.com" TargetMode="External"/><Relationship Id="rId622" Type="http://schemas.openxmlformats.org/officeDocument/2006/relationships/hyperlink" Target="http://caesars.com" TargetMode="External"/><Relationship Id="rId864" Type="http://schemas.openxmlformats.org/officeDocument/2006/relationships/hyperlink" Target="http://observepoint.com" TargetMode="External"/><Relationship Id="rId621" Type="http://schemas.openxmlformats.org/officeDocument/2006/relationships/hyperlink" Target="http://observepoint.com" TargetMode="External"/><Relationship Id="rId863" Type="http://schemas.openxmlformats.org/officeDocument/2006/relationships/hyperlink" Target="http://commonspirit.org" TargetMode="External"/><Relationship Id="rId628" Type="http://schemas.openxmlformats.org/officeDocument/2006/relationships/hyperlink" Target="http://officeworks.com.au" TargetMode="External"/><Relationship Id="rId627" Type="http://schemas.openxmlformats.org/officeDocument/2006/relationships/hyperlink" Target="http://observepoint.com" TargetMode="External"/><Relationship Id="rId869" Type="http://schemas.openxmlformats.org/officeDocument/2006/relationships/hyperlink" Target="http://commonspirit.org" TargetMode="External"/><Relationship Id="rId626" Type="http://schemas.openxmlformats.org/officeDocument/2006/relationships/hyperlink" Target="http://observepoint.com" TargetMode="External"/><Relationship Id="rId868" Type="http://schemas.openxmlformats.org/officeDocument/2006/relationships/hyperlink" Target="http://observepoint.com" TargetMode="External"/><Relationship Id="rId625" Type="http://schemas.openxmlformats.org/officeDocument/2006/relationships/hyperlink" Target="http://verisign.com" TargetMode="External"/><Relationship Id="rId867" Type="http://schemas.openxmlformats.org/officeDocument/2006/relationships/hyperlink" Target="http://commonspirit.org" TargetMode="External"/><Relationship Id="rId620" Type="http://schemas.openxmlformats.org/officeDocument/2006/relationships/hyperlink" Target="http://observepoint.com" TargetMode="External"/><Relationship Id="rId862" Type="http://schemas.openxmlformats.org/officeDocument/2006/relationships/hyperlink" Target="http://observepoint.com" TargetMode="External"/><Relationship Id="rId861" Type="http://schemas.openxmlformats.org/officeDocument/2006/relationships/hyperlink" Target="http://commonspirit.org" TargetMode="External"/><Relationship Id="rId1210" Type="http://schemas.openxmlformats.org/officeDocument/2006/relationships/hyperlink" Target="http://observepoint.com" TargetMode="External"/><Relationship Id="rId860" Type="http://schemas.openxmlformats.org/officeDocument/2006/relationships/hyperlink" Target="http://observepoint.com" TargetMode="External"/><Relationship Id="rId1211" Type="http://schemas.openxmlformats.org/officeDocument/2006/relationships/hyperlink" Target="http://prudential.com" TargetMode="External"/><Relationship Id="rId1212" Type="http://schemas.openxmlformats.org/officeDocument/2006/relationships/hyperlink" Target="http://prudential.com" TargetMode="External"/><Relationship Id="rId1202" Type="http://schemas.openxmlformats.org/officeDocument/2006/relationships/hyperlink" Target="http://observepoint.com" TargetMode="External"/><Relationship Id="rId1203" Type="http://schemas.openxmlformats.org/officeDocument/2006/relationships/hyperlink" Target="http://observepoint.com" TargetMode="External"/><Relationship Id="rId1204" Type="http://schemas.openxmlformats.org/officeDocument/2006/relationships/hyperlink" Target="http://prudential.com" TargetMode="External"/><Relationship Id="rId1205" Type="http://schemas.openxmlformats.org/officeDocument/2006/relationships/hyperlink" Target="http://observepoint.com" TargetMode="External"/><Relationship Id="rId1206" Type="http://schemas.openxmlformats.org/officeDocument/2006/relationships/hyperlink" Target="http://observepoint.com" TargetMode="External"/><Relationship Id="rId1207" Type="http://schemas.openxmlformats.org/officeDocument/2006/relationships/hyperlink" Target="http://observepoint.com" TargetMode="External"/><Relationship Id="rId1208" Type="http://schemas.openxmlformats.org/officeDocument/2006/relationships/hyperlink" Target="http://prudential.com" TargetMode="External"/><Relationship Id="rId1209" Type="http://schemas.openxmlformats.org/officeDocument/2006/relationships/hyperlink" Target="http://observepoint.com" TargetMode="External"/><Relationship Id="rId619" Type="http://schemas.openxmlformats.org/officeDocument/2006/relationships/hyperlink" Target="http://officeworks.com.au" TargetMode="External"/><Relationship Id="rId618" Type="http://schemas.openxmlformats.org/officeDocument/2006/relationships/hyperlink" Target="http://observepoint.com" TargetMode="External"/><Relationship Id="rId613" Type="http://schemas.openxmlformats.org/officeDocument/2006/relationships/hyperlink" Target="http://officeworks.com.au" TargetMode="External"/><Relationship Id="rId855" Type="http://schemas.openxmlformats.org/officeDocument/2006/relationships/hyperlink" Target="http://commonspirit.org" TargetMode="External"/><Relationship Id="rId612" Type="http://schemas.openxmlformats.org/officeDocument/2006/relationships/hyperlink" Target="http://observepoint.com" TargetMode="External"/><Relationship Id="rId854" Type="http://schemas.openxmlformats.org/officeDocument/2006/relationships/hyperlink" Target="http://observepoint.com" TargetMode="External"/><Relationship Id="rId611" Type="http://schemas.openxmlformats.org/officeDocument/2006/relationships/hyperlink" Target="http://observepoint.com" TargetMode="External"/><Relationship Id="rId853" Type="http://schemas.openxmlformats.org/officeDocument/2006/relationships/hyperlink" Target="http://observepoint.com" TargetMode="External"/><Relationship Id="rId610" Type="http://schemas.openxmlformats.org/officeDocument/2006/relationships/hyperlink" Target="http://officeworks.com.au" TargetMode="External"/><Relationship Id="rId852" Type="http://schemas.openxmlformats.org/officeDocument/2006/relationships/hyperlink" Target="http://observepoint.com" TargetMode="External"/><Relationship Id="rId617" Type="http://schemas.openxmlformats.org/officeDocument/2006/relationships/hyperlink" Target="http://observepoint.com" TargetMode="External"/><Relationship Id="rId859" Type="http://schemas.openxmlformats.org/officeDocument/2006/relationships/hyperlink" Target="http://observepoint.com" TargetMode="External"/><Relationship Id="rId616" Type="http://schemas.openxmlformats.org/officeDocument/2006/relationships/hyperlink" Target="http://officeworks.com.au" TargetMode="External"/><Relationship Id="rId858" Type="http://schemas.openxmlformats.org/officeDocument/2006/relationships/hyperlink" Target="http://observepoint.com" TargetMode="External"/><Relationship Id="rId615" Type="http://schemas.openxmlformats.org/officeDocument/2006/relationships/hyperlink" Target="http://observepoint.com" TargetMode="External"/><Relationship Id="rId857" Type="http://schemas.openxmlformats.org/officeDocument/2006/relationships/hyperlink" Target="http://commonspirit.org" TargetMode="External"/><Relationship Id="rId614" Type="http://schemas.openxmlformats.org/officeDocument/2006/relationships/hyperlink" Target="http://observepoint.com" TargetMode="External"/><Relationship Id="rId856" Type="http://schemas.openxmlformats.org/officeDocument/2006/relationships/hyperlink" Target="http://observepoint.com" TargetMode="External"/><Relationship Id="rId851" Type="http://schemas.openxmlformats.org/officeDocument/2006/relationships/hyperlink" Target="http://commonspirit.org" TargetMode="External"/><Relationship Id="rId1440" Type="http://schemas.openxmlformats.org/officeDocument/2006/relationships/hyperlink" Target="http://observepoint.com" TargetMode="External"/><Relationship Id="rId850" Type="http://schemas.openxmlformats.org/officeDocument/2006/relationships/hyperlink" Target="http://observepoint.com" TargetMode="External"/><Relationship Id="rId1441" Type="http://schemas.openxmlformats.org/officeDocument/2006/relationships/hyperlink" Target="http://chilipiper.com" TargetMode="External"/><Relationship Id="rId1200" Type="http://schemas.openxmlformats.org/officeDocument/2006/relationships/hyperlink" Target="http://prudential.com" TargetMode="External"/><Relationship Id="rId1442" Type="http://schemas.openxmlformats.org/officeDocument/2006/relationships/hyperlink" Target="http://cotiviti.com" TargetMode="External"/><Relationship Id="rId1201" Type="http://schemas.openxmlformats.org/officeDocument/2006/relationships/hyperlink" Target="http://observepoint.com" TargetMode="External"/><Relationship Id="rId1443" Type="http://schemas.openxmlformats.org/officeDocument/2006/relationships/drawing" Target="../drawings/drawing7.xml"/><Relationship Id="rId1235" Type="http://schemas.openxmlformats.org/officeDocument/2006/relationships/hyperlink" Target="http://prudential.com" TargetMode="External"/><Relationship Id="rId1236" Type="http://schemas.openxmlformats.org/officeDocument/2006/relationships/hyperlink" Target="http://observepoint.com" TargetMode="External"/><Relationship Id="rId1237" Type="http://schemas.openxmlformats.org/officeDocument/2006/relationships/hyperlink" Target="http://observepoint.com" TargetMode="External"/><Relationship Id="rId1238" Type="http://schemas.openxmlformats.org/officeDocument/2006/relationships/hyperlink" Target="http://prudential.com" TargetMode="External"/><Relationship Id="rId1239" Type="http://schemas.openxmlformats.org/officeDocument/2006/relationships/hyperlink" Target="http://observepoint.com" TargetMode="External"/><Relationship Id="rId409" Type="http://schemas.openxmlformats.org/officeDocument/2006/relationships/hyperlink" Target="http://observepoint.com" TargetMode="External"/><Relationship Id="rId404" Type="http://schemas.openxmlformats.org/officeDocument/2006/relationships/hyperlink" Target="http://mongodb.com" TargetMode="External"/><Relationship Id="rId646" Type="http://schemas.openxmlformats.org/officeDocument/2006/relationships/hyperlink" Target="http://officeworks.com.au" TargetMode="External"/><Relationship Id="rId888" Type="http://schemas.openxmlformats.org/officeDocument/2006/relationships/hyperlink" Target="http://observepoint.com" TargetMode="External"/><Relationship Id="rId403" Type="http://schemas.openxmlformats.org/officeDocument/2006/relationships/hyperlink" Target="http://observepoint.com" TargetMode="External"/><Relationship Id="rId645" Type="http://schemas.openxmlformats.org/officeDocument/2006/relationships/hyperlink" Target="http://observepoint.com" TargetMode="External"/><Relationship Id="rId887" Type="http://schemas.openxmlformats.org/officeDocument/2006/relationships/hyperlink" Target="http://observepoint.com" TargetMode="External"/><Relationship Id="rId402" Type="http://schemas.openxmlformats.org/officeDocument/2006/relationships/hyperlink" Target="http://mongodb.com" TargetMode="External"/><Relationship Id="rId644" Type="http://schemas.openxmlformats.org/officeDocument/2006/relationships/hyperlink" Target="http://observepoint.com" TargetMode="External"/><Relationship Id="rId886" Type="http://schemas.openxmlformats.org/officeDocument/2006/relationships/hyperlink" Target="http://westjet.com" TargetMode="External"/><Relationship Id="rId401" Type="http://schemas.openxmlformats.org/officeDocument/2006/relationships/hyperlink" Target="http://observepoint.com" TargetMode="External"/><Relationship Id="rId643" Type="http://schemas.openxmlformats.org/officeDocument/2006/relationships/hyperlink" Target="http://seagate.com" TargetMode="External"/><Relationship Id="rId885" Type="http://schemas.openxmlformats.org/officeDocument/2006/relationships/hyperlink" Target="http://observepoint.com" TargetMode="External"/><Relationship Id="rId408" Type="http://schemas.openxmlformats.org/officeDocument/2006/relationships/hyperlink" Target="http://mongodb.com" TargetMode="External"/><Relationship Id="rId407" Type="http://schemas.openxmlformats.org/officeDocument/2006/relationships/hyperlink" Target="http://observepoint.com" TargetMode="External"/><Relationship Id="rId649" Type="http://schemas.openxmlformats.org/officeDocument/2006/relationships/hyperlink" Target="http://caesars.com" TargetMode="External"/><Relationship Id="rId406" Type="http://schemas.openxmlformats.org/officeDocument/2006/relationships/hyperlink" Target="http://observepoint.com" TargetMode="External"/><Relationship Id="rId648" Type="http://schemas.openxmlformats.org/officeDocument/2006/relationships/hyperlink" Target="http://observepoint.com" TargetMode="External"/><Relationship Id="rId405" Type="http://schemas.openxmlformats.org/officeDocument/2006/relationships/hyperlink" Target="http://observepoint.com" TargetMode="External"/><Relationship Id="rId647" Type="http://schemas.openxmlformats.org/officeDocument/2006/relationships/hyperlink" Target="http://observepoint.com" TargetMode="External"/><Relationship Id="rId889" Type="http://schemas.openxmlformats.org/officeDocument/2006/relationships/hyperlink" Target="http://observepoint.com" TargetMode="External"/><Relationship Id="rId880" Type="http://schemas.openxmlformats.org/officeDocument/2006/relationships/hyperlink" Target="http://observepoint.com" TargetMode="External"/><Relationship Id="rId1230" Type="http://schemas.openxmlformats.org/officeDocument/2006/relationships/hyperlink" Target="http://prudential.com" TargetMode="External"/><Relationship Id="rId400" Type="http://schemas.openxmlformats.org/officeDocument/2006/relationships/hyperlink" Target="http://mongodb.com" TargetMode="External"/><Relationship Id="rId642" Type="http://schemas.openxmlformats.org/officeDocument/2006/relationships/hyperlink" Target="http://observepoint.com" TargetMode="External"/><Relationship Id="rId884" Type="http://schemas.openxmlformats.org/officeDocument/2006/relationships/hyperlink" Target="http://westjet.com" TargetMode="External"/><Relationship Id="rId1231" Type="http://schemas.openxmlformats.org/officeDocument/2006/relationships/hyperlink" Target="http://prudential.com" TargetMode="External"/><Relationship Id="rId641" Type="http://schemas.openxmlformats.org/officeDocument/2006/relationships/hyperlink" Target="http://observepoint.com" TargetMode="External"/><Relationship Id="rId883" Type="http://schemas.openxmlformats.org/officeDocument/2006/relationships/hyperlink" Target="http://westjet.com" TargetMode="External"/><Relationship Id="rId1232" Type="http://schemas.openxmlformats.org/officeDocument/2006/relationships/hyperlink" Target="http://observepoint.com" TargetMode="External"/><Relationship Id="rId640" Type="http://schemas.openxmlformats.org/officeDocument/2006/relationships/hyperlink" Target="http://pmi.org" TargetMode="External"/><Relationship Id="rId882" Type="http://schemas.openxmlformats.org/officeDocument/2006/relationships/hyperlink" Target="http://observepoint.com" TargetMode="External"/><Relationship Id="rId1233" Type="http://schemas.openxmlformats.org/officeDocument/2006/relationships/hyperlink" Target="http://observepoint.com" TargetMode="External"/><Relationship Id="rId881" Type="http://schemas.openxmlformats.org/officeDocument/2006/relationships/hyperlink" Target="http://observepoint.com" TargetMode="External"/><Relationship Id="rId1234" Type="http://schemas.openxmlformats.org/officeDocument/2006/relationships/hyperlink" Target="http://prudential.com" TargetMode="External"/><Relationship Id="rId1224" Type="http://schemas.openxmlformats.org/officeDocument/2006/relationships/hyperlink" Target="http://prudential.com" TargetMode="External"/><Relationship Id="rId1225" Type="http://schemas.openxmlformats.org/officeDocument/2006/relationships/hyperlink" Target="http://observepoint.com" TargetMode="External"/><Relationship Id="rId1226" Type="http://schemas.openxmlformats.org/officeDocument/2006/relationships/hyperlink" Target="http://prudential.com" TargetMode="External"/><Relationship Id="rId1227" Type="http://schemas.openxmlformats.org/officeDocument/2006/relationships/hyperlink" Target="http://observepoint.com" TargetMode="External"/><Relationship Id="rId1228" Type="http://schemas.openxmlformats.org/officeDocument/2006/relationships/hyperlink" Target="http://observepoint.com" TargetMode="External"/><Relationship Id="rId1229" Type="http://schemas.openxmlformats.org/officeDocument/2006/relationships/hyperlink" Target="http://observepoint.com" TargetMode="External"/><Relationship Id="rId635" Type="http://schemas.openxmlformats.org/officeDocument/2006/relationships/hyperlink" Target="http://observepoint.com" TargetMode="External"/><Relationship Id="rId877" Type="http://schemas.openxmlformats.org/officeDocument/2006/relationships/hyperlink" Target="http://observepoint.com" TargetMode="External"/><Relationship Id="rId634" Type="http://schemas.openxmlformats.org/officeDocument/2006/relationships/hyperlink" Target="http://caesars.com" TargetMode="External"/><Relationship Id="rId876" Type="http://schemas.openxmlformats.org/officeDocument/2006/relationships/hyperlink" Target="http://commonspirit.org" TargetMode="External"/><Relationship Id="rId633" Type="http://schemas.openxmlformats.org/officeDocument/2006/relationships/hyperlink" Target="http://observepoint.com" TargetMode="External"/><Relationship Id="rId875" Type="http://schemas.openxmlformats.org/officeDocument/2006/relationships/hyperlink" Target="http://observepoint.com" TargetMode="External"/><Relationship Id="rId632" Type="http://schemas.openxmlformats.org/officeDocument/2006/relationships/hyperlink" Target="http://observepoint.com" TargetMode="External"/><Relationship Id="rId874" Type="http://schemas.openxmlformats.org/officeDocument/2006/relationships/hyperlink" Target="http://observepoint.com" TargetMode="External"/><Relationship Id="rId639" Type="http://schemas.openxmlformats.org/officeDocument/2006/relationships/hyperlink" Target="http://observepoint.com" TargetMode="External"/><Relationship Id="rId638" Type="http://schemas.openxmlformats.org/officeDocument/2006/relationships/hyperlink" Target="http://observepoint.com" TargetMode="External"/><Relationship Id="rId637" Type="http://schemas.openxmlformats.org/officeDocument/2006/relationships/hyperlink" Target="http://officeworks.com.au" TargetMode="External"/><Relationship Id="rId879" Type="http://schemas.openxmlformats.org/officeDocument/2006/relationships/hyperlink" Target="http://observepoint.com" TargetMode="External"/><Relationship Id="rId636" Type="http://schemas.openxmlformats.org/officeDocument/2006/relationships/hyperlink" Target="http://observepoint.com" TargetMode="External"/><Relationship Id="rId878" Type="http://schemas.openxmlformats.org/officeDocument/2006/relationships/hyperlink" Target="http://rwjf.org" TargetMode="External"/><Relationship Id="rId631" Type="http://schemas.openxmlformats.org/officeDocument/2006/relationships/hyperlink" Target="http://seagate.com" TargetMode="External"/><Relationship Id="rId873" Type="http://schemas.openxmlformats.org/officeDocument/2006/relationships/hyperlink" Target="http://observepoint.com" TargetMode="External"/><Relationship Id="rId1220" Type="http://schemas.openxmlformats.org/officeDocument/2006/relationships/hyperlink" Target="http://observepoint.com" TargetMode="External"/><Relationship Id="rId630" Type="http://schemas.openxmlformats.org/officeDocument/2006/relationships/hyperlink" Target="http://observepoint.com" TargetMode="External"/><Relationship Id="rId872" Type="http://schemas.openxmlformats.org/officeDocument/2006/relationships/hyperlink" Target="http://commonspirit.org" TargetMode="External"/><Relationship Id="rId1221" Type="http://schemas.openxmlformats.org/officeDocument/2006/relationships/hyperlink" Target="http://observepoint.com" TargetMode="External"/><Relationship Id="rId871" Type="http://schemas.openxmlformats.org/officeDocument/2006/relationships/hyperlink" Target="http://observepoint.com" TargetMode="External"/><Relationship Id="rId1222" Type="http://schemas.openxmlformats.org/officeDocument/2006/relationships/hyperlink" Target="http://prudential.com" TargetMode="External"/><Relationship Id="rId870" Type="http://schemas.openxmlformats.org/officeDocument/2006/relationships/hyperlink" Target="http://observepoint.com" TargetMode="External"/><Relationship Id="rId1223" Type="http://schemas.openxmlformats.org/officeDocument/2006/relationships/hyperlink" Target="http://observepoint.com" TargetMode="External"/><Relationship Id="rId1411" Type="http://schemas.openxmlformats.org/officeDocument/2006/relationships/hyperlink" Target="http://rwjf.org" TargetMode="External"/><Relationship Id="rId1412" Type="http://schemas.openxmlformats.org/officeDocument/2006/relationships/hyperlink" Target="http://observepoint.com" TargetMode="External"/><Relationship Id="rId1413" Type="http://schemas.openxmlformats.org/officeDocument/2006/relationships/hyperlink" Target="http://observepoint.com" TargetMode="External"/><Relationship Id="rId1414" Type="http://schemas.openxmlformats.org/officeDocument/2006/relationships/hyperlink" Target="http://rwjf.org" TargetMode="External"/><Relationship Id="rId1415" Type="http://schemas.openxmlformats.org/officeDocument/2006/relationships/hyperlink" Target="http://observepoint.com" TargetMode="External"/><Relationship Id="rId1416" Type="http://schemas.openxmlformats.org/officeDocument/2006/relationships/hyperlink" Target="http://seagate.com" TargetMode="External"/><Relationship Id="rId1417" Type="http://schemas.openxmlformats.org/officeDocument/2006/relationships/hyperlink" Target="http://observepoint.com" TargetMode="External"/><Relationship Id="rId1418" Type="http://schemas.openxmlformats.org/officeDocument/2006/relationships/hyperlink" Target="http://questrade.com" TargetMode="External"/><Relationship Id="rId1419" Type="http://schemas.openxmlformats.org/officeDocument/2006/relationships/hyperlink" Target="http://observepoint.com" TargetMode="External"/><Relationship Id="rId829" Type="http://schemas.openxmlformats.org/officeDocument/2006/relationships/hyperlink" Target="http://observepoint.com" TargetMode="External"/><Relationship Id="rId828" Type="http://schemas.openxmlformats.org/officeDocument/2006/relationships/hyperlink" Target="http://observepoint.com" TargetMode="External"/><Relationship Id="rId827" Type="http://schemas.openxmlformats.org/officeDocument/2006/relationships/hyperlink" Target="http://westjet.com" TargetMode="External"/><Relationship Id="rId822" Type="http://schemas.openxmlformats.org/officeDocument/2006/relationships/hyperlink" Target="http://observepoint.com" TargetMode="External"/><Relationship Id="rId821" Type="http://schemas.openxmlformats.org/officeDocument/2006/relationships/hyperlink" Target="http://khov.com" TargetMode="External"/><Relationship Id="rId820" Type="http://schemas.openxmlformats.org/officeDocument/2006/relationships/hyperlink" Target="http://observepoint.com" TargetMode="External"/><Relationship Id="rId826" Type="http://schemas.openxmlformats.org/officeDocument/2006/relationships/hyperlink" Target="http://observepoint.com" TargetMode="External"/><Relationship Id="rId825" Type="http://schemas.openxmlformats.org/officeDocument/2006/relationships/hyperlink" Target="http://observepoint.com" TargetMode="External"/><Relationship Id="rId824" Type="http://schemas.openxmlformats.org/officeDocument/2006/relationships/hyperlink" Target="http://bsci.com" TargetMode="External"/><Relationship Id="rId823" Type="http://schemas.openxmlformats.org/officeDocument/2006/relationships/hyperlink" Target="http://observepoint.com" TargetMode="External"/><Relationship Id="rId1410" Type="http://schemas.openxmlformats.org/officeDocument/2006/relationships/hyperlink" Target="http://observepoint.com" TargetMode="External"/><Relationship Id="rId1400" Type="http://schemas.openxmlformats.org/officeDocument/2006/relationships/hyperlink" Target="http://prudential.com" TargetMode="External"/><Relationship Id="rId1401" Type="http://schemas.openxmlformats.org/officeDocument/2006/relationships/hyperlink" Target="http://accenture.com" TargetMode="External"/><Relationship Id="rId1402" Type="http://schemas.openxmlformats.org/officeDocument/2006/relationships/hyperlink" Target="http://observepoint.com" TargetMode="External"/><Relationship Id="rId1403" Type="http://schemas.openxmlformats.org/officeDocument/2006/relationships/hyperlink" Target="http://prudential.com" TargetMode="External"/><Relationship Id="rId1404" Type="http://schemas.openxmlformats.org/officeDocument/2006/relationships/hyperlink" Target="http://prudential.com" TargetMode="External"/><Relationship Id="rId1405" Type="http://schemas.openxmlformats.org/officeDocument/2006/relationships/hyperlink" Target="http://observepoint.com" TargetMode="External"/><Relationship Id="rId1406" Type="http://schemas.openxmlformats.org/officeDocument/2006/relationships/hyperlink" Target="http://observepoint.com" TargetMode="External"/><Relationship Id="rId1407" Type="http://schemas.openxmlformats.org/officeDocument/2006/relationships/hyperlink" Target="http://pmi.org" TargetMode="External"/><Relationship Id="rId819" Type="http://schemas.openxmlformats.org/officeDocument/2006/relationships/hyperlink" Target="http://observepoint.com" TargetMode="External"/><Relationship Id="rId1408" Type="http://schemas.openxmlformats.org/officeDocument/2006/relationships/hyperlink" Target="http://observepoint.com" TargetMode="External"/><Relationship Id="rId818" Type="http://schemas.openxmlformats.org/officeDocument/2006/relationships/hyperlink" Target="http://khov.com" TargetMode="External"/><Relationship Id="rId1409" Type="http://schemas.openxmlformats.org/officeDocument/2006/relationships/hyperlink" Target="http://observepoint.com" TargetMode="External"/><Relationship Id="rId817" Type="http://schemas.openxmlformats.org/officeDocument/2006/relationships/hyperlink" Target="http://observepoint.com" TargetMode="External"/><Relationship Id="rId816" Type="http://schemas.openxmlformats.org/officeDocument/2006/relationships/hyperlink" Target="http://observepoint.com" TargetMode="External"/><Relationship Id="rId811" Type="http://schemas.openxmlformats.org/officeDocument/2006/relationships/hyperlink" Target="http://observepoint.com" TargetMode="External"/><Relationship Id="rId810" Type="http://schemas.openxmlformats.org/officeDocument/2006/relationships/hyperlink" Target="http://observepoint.com" TargetMode="External"/><Relationship Id="rId815" Type="http://schemas.openxmlformats.org/officeDocument/2006/relationships/hyperlink" Target="http://commonspirit.org" TargetMode="External"/><Relationship Id="rId814" Type="http://schemas.openxmlformats.org/officeDocument/2006/relationships/hyperlink" Target="http://observepoint.com" TargetMode="External"/><Relationship Id="rId813" Type="http://schemas.openxmlformats.org/officeDocument/2006/relationships/hyperlink" Target="http://observepoint.com" TargetMode="External"/><Relationship Id="rId812" Type="http://schemas.openxmlformats.org/officeDocument/2006/relationships/hyperlink" Target="http://commonspirit.org" TargetMode="External"/><Relationship Id="rId1433" Type="http://schemas.openxmlformats.org/officeDocument/2006/relationships/hyperlink" Target="http://chilipiper.com" TargetMode="External"/><Relationship Id="rId1434" Type="http://schemas.openxmlformats.org/officeDocument/2006/relationships/hyperlink" Target="http://setoyota.com" TargetMode="External"/><Relationship Id="rId1435" Type="http://schemas.openxmlformats.org/officeDocument/2006/relationships/hyperlink" Target="http://observepoint.com" TargetMode="External"/><Relationship Id="rId1436" Type="http://schemas.openxmlformats.org/officeDocument/2006/relationships/hyperlink" Target="http://cvshealth.com" TargetMode="External"/><Relationship Id="rId1437" Type="http://schemas.openxmlformats.org/officeDocument/2006/relationships/hyperlink" Target="http://chilipiper.com" TargetMode="External"/><Relationship Id="rId1438" Type="http://schemas.openxmlformats.org/officeDocument/2006/relationships/hyperlink" Target="http://westjet.com" TargetMode="External"/><Relationship Id="rId1439" Type="http://schemas.openxmlformats.org/officeDocument/2006/relationships/hyperlink" Target="http://observepoint.com" TargetMode="External"/><Relationship Id="rId609" Type="http://schemas.openxmlformats.org/officeDocument/2006/relationships/hyperlink" Target="http://observepoint.com" TargetMode="External"/><Relationship Id="rId608" Type="http://schemas.openxmlformats.org/officeDocument/2006/relationships/hyperlink" Target="http://observepoint.com" TargetMode="External"/><Relationship Id="rId607" Type="http://schemas.openxmlformats.org/officeDocument/2006/relationships/hyperlink" Target="http://officeworks.com.au" TargetMode="External"/><Relationship Id="rId849" Type="http://schemas.openxmlformats.org/officeDocument/2006/relationships/hyperlink" Target="http://commonspirit.org" TargetMode="External"/><Relationship Id="rId602" Type="http://schemas.openxmlformats.org/officeDocument/2006/relationships/hyperlink" Target="http://ziffdavis.com" TargetMode="External"/><Relationship Id="rId844" Type="http://schemas.openxmlformats.org/officeDocument/2006/relationships/hyperlink" Target="http://observepoint.com" TargetMode="External"/><Relationship Id="rId601" Type="http://schemas.openxmlformats.org/officeDocument/2006/relationships/hyperlink" Target="http://observepoint.com" TargetMode="External"/><Relationship Id="rId843" Type="http://schemas.openxmlformats.org/officeDocument/2006/relationships/hyperlink" Target="http://observepoint.com" TargetMode="External"/><Relationship Id="rId600" Type="http://schemas.openxmlformats.org/officeDocument/2006/relationships/hyperlink" Target="http://observepoint.com" TargetMode="External"/><Relationship Id="rId842" Type="http://schemas.openxmlformats.org/officeDocument/2006/relationships/hyperlink" Target="http://rwjf.org" TargetMode="External"/><Relationship Id="rId841" Type="http://schemas.openxmlformats.org/officeDocument/2006/relationships/hyperlink" Target="http://observepoint.com" TargetMode="External"/><Relationship Id="rId606" Type="http://schemas.openxmlformats.org/officeDocument/2006/relationships/hyperlink" Target="http://observepoint.com" TargetMode="External"/><Relationship Id="rId848" Type="http://schemas.openxmlformats.org/officeDocument/2006/relationships/hyperlink" Target="http://observepoint.com" TargetMode="External"/><Relationship Id="rId605" Type="http://schemas.openxmlformats.org/officeDocument/2006/relationships/hyperlink" Target="http://seagate.com" TargetMode="External"/><Relationship Id="rId847" Type="http://schemas.openxmlformats.org/officeDocument/2006/relationships/hyperlink" Target="http://observepoint.com" TargetMode="External"/><Relationship Id="rId604" Type="http://schemas.openxmlformats.org/officeDocument/2006/relationships/hyperlink" Target="http://observepoint.com" TargetMode="External"/><Relationship Id="rId846" Type="http://schemas.openxmlformats.org/officeDocument/2006/relationships/hyperlink" Target="http://observepoint.com" TargetMode="External"/><Relationship Id="rId603" Type="http://schemas.openxmlformats.org/officeDocument/2006/relationships/hyperlink" Target="http://observepoint.com" TargetMode="External"/><Relationship Id="rId845" Type="http://schemas.openxmlformats.org/officeDocument/2006/relationships/hyperlink" Target="http://khov.com" TargetMode="External"/><Relationship Id="rId840" Type="http://schemas.openxmlformats.org/officeDocument/2006/relationships/hyperlink" Target="http://observepoint.com" TargetMode="External"/><Relationship Id="rId1430" Type="http://schemas.openxmlformats.org/officeDocument/2006/relationships/hyperlink" Target="http://rwjf.org" TargetMode="External"/><Relationship Id="rId1431" Type="http://schemas.openxmlformats.org/officeDocument/2006/relationships/hyperlink" Target="http://questrade.com" TargetMode="External"/><Relationship Id="rId1432" Type="http://schemas.openxmlformats.org/officeDocument/2006/relationships/hyperlink" Target="http://observepoint.com" TargetMode="External"/><Relationship Id="rId1422" Type="http://schemas.openxmlformats.org/officeDocument/2006/relationships/hyperlink" Target="http://observepoint.com" TargetMode="External"/><Relationship Id="rId1423" Type="http://schemas.openxmlformats.org/officeDocument/2006/relationships/hyperlink" Target="http://rwjf.org" TargetMode="External"/><Relationship Id="rId1424" Type="http://schemas.openxmlformats.org/officeDocument/2006/relationships/hyperlink" Target="http://observepoint.com" TargetMode="External"/><Relationship Id="rId1425" Type="http://schemas.openxmlformats.org/officeDocument/2006/relationships/hyperlink" Target="http://rwjf.org" TargetMode="External"/><Relationship Id="rId1426" Type="http://schemas.openxmlformats.org/officeDocument/2006/relationships/hyperlink" Target="http://observepoint.com" TargetMode="External"/><Relationship Id="rId1427" Type="http://schemas.openxmlformats.org/officeDocument/2006/relationships/hyperlink" Target="http://observepoint.com" TargetMode="External"/><Relationship Id="rId1428" Type="http://schemas.openxmlformats.org/officeDocument/2006/relationships/hyperlink" Target="http://observepoint.com" TargetMode="External"/><Relationship Id="rId1429" Type="http://schemas.openxmlformats.org/officeDocument/2006/relationships/hyperlink" Target="http://observepoint.com" TargetMode="External"/><Relationship Id="rId839" Type="http://schemas.openxmlformats.org/officeDocument/2006/relationships/hyperlink" Target="http://bsci.com" TargetMode="External"/><Relationship Id="rId838" Type="http://schemas.openxmlformats.org/officeDocument/2006/relationships/hyperlink" Target="http://observepoint.com" TargetMode="External"/><Relationship Id="rId833" Type="http://schemas.openxmlformats.org/officeDocument/2006/relationships/hyperlink" Target="http://bsci.com" TargetMode="External"/><Relationship Id="rId832" Type="http://schemas.openxmlformats.org/officeDocument/2006/relationships/hyperlink" Target="http://observepoint.com" TargetMode="External"/><Relationship Id="rId831" Type="http://schemas.openxmlformats.org/officeDocument/2006/relationships/hyperlink" Target="http://observepoint.com" TargetMode="External"/><Relationship Id="rId830" Type="http://schemas.openxmlformats.org/officeDocument/2006/relationships/hyperlink" Target="http://rwjf.org" TargetMode="External"/><Relationship Id="rId837" Type="http://schemas.openxmlformats.org/officeDocument/2006/relationships/hyperlink" Target="http://observepoint.com" TargetMode="External"/><Relationship Id="rId836" Type="http://schemas.openxmlformats.org/officeDocument/2006/relationships/hyperlink" Target="http://westjet.com" TargetMode="External"/><Relationship Id="rId835" Type="http://schemas.openxmlformats.org/officeDocument/2006/relationships/hyperlink" Target="http://observepoint.com" TargetMode="External"/><Relationship Id="rId834" Type="http://schemas.openxmlformats.org/officeDocument/2006/relationships/hyperlink" Target="http://observepoint.com" TargetMode="External"/><Relationship Id="rId1420" Type="http://schemas.openxmlformats.org/officeDocument/2006/relationships/hyperlink" Target="http://rwjf.org" TargetMode="External"/><Relationship Id="rId1421" Type="http://schemas.openxmlformats.org/officeDocument/2006/relationships/hyperlink" Target="http://observepoint.com" TargetMode="External"/><Relationship Id="rId1059" Type="http://schemas.openxmlformats.org/officeDocument/2006/relationships/hyperlink" Target="http://observepoint.com" TargetMode="External"/><Relationship Id="rId228" Type="http://schemas.openxmlformats.org/officeDocument/2006/relationships/hyperlink" Target="http://observepoint.com" TargetMode="External"/><Relationship Id="rId227" Type="http://schemas.openxmlformats.org/officeDocument/2006/relationships/hyperlink" Target="http://questrade.com" TargetMode="External"/><Relationship Id="rId469" Type="http://schemas.openxmlformats.org/officeDocument/2006/relationships/hyperlink" Target="http://observepoint.com" TargetMode="External"/><Relationship Id="rId226" Type="http://schemas.openxmlformats.org/officeDocument/2006/relationships/hyperlink" Target="http://observepoint.com" TargetMode="External"/><Relationship Id="rId468" Type="http://schemas.openxmlformats.org/officeDocument/2006/relationships/hyperlink" Target="http://observepoint.com" TargetMode="External"/><Relationship Id="rId225" Type="http://schemas.openxmlformats.org/officeDocument/2006/relationships/hyperlink" Target="http://observepoint.com" TargetMode="External"/><Relationship Id="rId467" Type="http://schemas.openxmlformats.org/officeDocument/2006/relationships/hyperlink" Target="http://tyson.com" TargetMode="External"/><Relationship Id="rId1290" Type="http://schemas.openxmlformats.org/officeDocument/2006/relationships/hyperlink" Target="http://observepoint.com" TargetMode="External"/><Relationship Id="rId1291" Type="http://schemas.openxmlformats.org/officeDocument/2006/relationships/hyperlink" Target="http://athenahealth.com" TargetMode="External"/><Relationship Id="rId229" Type="http://schemas.openxmlformats.org/officeDocument/2006/relationships/hyperlink" Target="http://observepoint.com" TargetMode="External"/><Relationship Id="rId1050" Type="http://schemas.openxmlformats.org/officeDocument/2006/relationships/hyperlink" Target="http://observepoint.com" TargetMode="External"/><Relationship Id="rId1292" Type="http://schemas.openxmlformats.org/officeDocument/2006/relationships/hyperlink" Target="http://observepoint.com" TargetMode="External"/><Relationship Id="rId220" Type="http://schemas.openxmlformats.org/officeDocument/2006/relationships/hyperlink" Target="http://observepoint.com" TargetMode="External"/><Relationship Id="rId462" Type="http://schemas.openxmlformats.org/officeDocument/2006/relationships/hyperlink" Target="http://observepoint.com" TargetMode="External"/><Relationship Id="rId1051" Type="http://schemas.openxmlformats.org/officeDocument/2006/relationships/hyperlink" Target="http://observepoint.com" TargetMode="External"/><Relationship Id="rId1293" Type="http://schemas.openxmlformats.org/officeDocument/2006/relationships/hyperlink" Target="http://observepoint.com" TargetMode="External"/><Relationship Id="rId461" Type="http://schemas.openxmlformats.org/officeDocument/2006/relationships/hyperlink" Target="http://tyson.com" TargetMode="External"/><Relationship Id="rId1052" Type="http://schemas.openxmlformats.org/officeDocument/2006/relationships/hyperlink" Target="http://prudential.com" TargetMode="External"/><Relationship Id="rId1294" Type="http://schemas.openxmlformats.org/officeDocument/2006/relationships/hyperlink" Target="http://athenahealth.com" TargetMode="External"/><Relationship Id="rId460" Type="http://schemas.openxmlformats.org/officeDocument/2006/relationships/hyperlink" Target="http://observepoint.com" TargetMode="External"/><Relationship Id="rId1053" Type="http://schemas.openxmlformats.org/officeDocument/2006/relationships/hyperlink" Target="http://observepoint.com" TargetMode="External"/><Relationship Id="rId1295" Type="http://schemas.openxmlformats.org/officeDocument/2006/relationships/hyperlink" Target="http://observepoint.com" TargetMode="External"/><Relationship Id="rId1054" Type="http://schemas.openxmlformats.org/officeDocument/2006/relationships/hyperlink" Target="http://observepoint.com" TargetMode="External"/><Relationship Id="rId1296" Type="http://schemas.openxmlformats.org/officeDocument/2006/relationships/hyperlink" Target="http://observepoint.com" TargetMode="External"/><Relationship Id="rId224" Type="http://schemas.openxmlformats.org/officeDocument/2006/relationships/hyperlink" Target="http://questrade.com" TargetMode="External"/><Relationship Id="rId466" Type="http://schemas.openxmlformats.org/officeDocument/2006/relationships/hyperlink" Target="http://observepoint.com" TargetMode="External"/><Relationship Id="rId1055" Type="http://schemas.openxmlformats.org/officeDocument/2006/relationships/hyperlink" Target="http://observepoint.com" TargetMode="External"/><Relationship Id="rId1297" Type="http://schemas.openxmlformats.org/officeDocument/2006/relationships/hyperlink" Target="http://athenahealth.com" TargetMode="External"/><Relationship Id="rId223" Type="http://schemas.openxmlformats.org/officeDocument/2006/relationships/hyperlink" Target="http://observepoint.com" TargetMode="External"/><Relationship Id="rId465" Type="http://schemas.openxmlformats.org/officeDocument/2006/relationships/hyperlink" Target="http://observepoint.com" TargetMode="External"/><Relationship Id="rId1056" Type="http://schemas.openxmlformats.org/officeDocument/2006/relationships/hyperlink" Target="http://prudential.com" TargetMode="External"/><Relationship Id="rId1298" Type="http://schemas.openxmlformats.org/officeDocument/2006/relationships/hyperlink" Target="http://observepoint.com" TargetMode="External"/><Relationship Id="rId222" Type="http://schemas.openxmlformats.org/officeDocument/2006/relationships/hyperlink" Target="http://observepoint.com" TargetMode="External"/><Relationship Id="rId464" Type="http://schemas.openxmlformats.org/officeDocument/2006/relationships/hyperlink" Target="http://tyson.com" TargetMode="External"/><Relationship Id="rId1057" Type="http://schemas.openxmlformats.org/officeDocument/2006/relationships/hyperlink" Target="http://observepoint.com" TargetMode="External"/><Relationship Id="rId1299" Type="http://schemas.openxmlformats.org/officeDocument/2006/relationships/hyperlink" Target="http://observepoint.com" TargetMode="External"/><Relationship Id="rId221" Type="http://schemas.openxmlformats.org/officeDocument/2006/relationships/hyperlink" Target="http://lumen.com" TargetMode="External"/><Relationship Id="rId463" Type="http://schemas.openxmlformats.org/officeDocument/2006/relationships/hyperlink" Target="http://observepoint.com" TargetMode="External"/><Relationship Id="rId1058" Type="http://schemas.openxmlformats.org/officeDocument/2006/relationships/hyperlink" Target="http://prudential.com" TargetMode="External"/><Relationship Id="rId1048" Type="http://schemas.openxmlformats.org/officeDocument/2006/relationships/hyperlink" Target="http://observepoint.com" TargetMode="External"/><Relationship Id="rId1049" Type="http://schemas.openxmlformats.org/officeDocument/2006/relationships/hyperlink" Target="http://prudential.com" TargetMode="External"/><Relationship Id="rId217" Type="http://schemas.openxmlformats.org/officeDocument/2006/relationships/hyperlink" Target="http://observepoint.com" TargetMode="External"/><Relationship Id="rId459" Type="http://schemas.openxmlformats.org/officeDocument/2006/relationships/hyperlink" Target="http://observepoint.com" TargetMode="External"/><Relationship Id="rId216" Type="http://schemas.openxmlformats.org/officeDocument/2006/relationships/hyperlink" Target="http://observepoint.com" TargetMode="External"/><Relationship Id="rId458" Type="http://schemas.openxmlformats.org/officeDocument/2006/relationships/hyperlink" Target="http://tyson.com" TargetMode="External"/><Relationship Id="rId215" Type="http://schemas.openxmlformats.org/officeDocument/2006/relationships/hyperlink" Target="http://caleres.com" TargetMode="External"/><Relationship Id="rId457" Type="http://schemas.openxmlformats.org/officeDocument/2006/relationships/hyperlink" Target="http://observepoint.com" TargetMode="External"/><Relationship Id="rId699" Type="http://schemas.openxmlformats.org/officeDocument/2006/relationships/hyperlink" Target="http://spark.co.nz" TargetMode="External"/><Relationship Id="rId214" Type="http://schemas.openxmlformats.org/officeDocument/2006/relationships/hyperlink" Target="http://observepoint.com" TargetMode="External"/><Relationship Id="rId456" Type="http://schemas.openxmlformats.org/officeDocument/2006/relationships/hyperlink" Target="http://observepoint.com" TargetMode="External"/><Relationship Id="rId698" Type="http://schemas.openxmlformats.org/officeDocument/2006/relationships/hyperlink" Target="http://observepoint.com" TargetMode="External"/><Relationship Id="rId219" Type="http://schemas.openxmlformats.org/officeDocument/2006/relationships/hyperlink" Target="http://observepoint.com" TargetMode="External"/><Relationship Id="rId1280" Type="http://schemas.openxmlformats.org/officeDocument/2006/relationships/hyperlink" Target="http://observepoint.com" TargetMode="External"/><Relationship Id="rId218" Type="http://schemas.openxmlformats.org/officeDocument/2006/relationships/hyperlink" Target="http://lumen.com" TargetMode="External"/><Relationship Id="rId1281" Type="http://schemas.openxmlformats.org/officeDocument/2006/relationships/hyperlink" Target="http://observepoint.com" TargetMode="External"/><Relationship Id="rId451" Type="http://schemas.openxmlformats.org/officeDocument/2006/relationships/hyperlink" Target="http://observepoint.com" TargetMode="External"/><Relationship Id="rId693" Type="http://schemas.openxmlformats.org/officeDocument/2006/relationships/hyperlink" Target="http://officeworks.com.au" TargetMode="External"/><Relationship Id="rId1040" Type="http://schemas.openxmlformats.org/officeDocument/2006/relationships/hyperlink" Target="http://prudential.com" TargetMode="External"/><Relationship Id="rId1282" Type="http://schemas.openxmlformats.org/officeDocument/2006/relationships/hyperlink" Target="http://accenture.com" TargetMode="External"/><Relationship Id="rId450" Type="http://schemas.openxmlformats.org/officeDocument/2006/relationships/hyperlink" Target="http://observepoint.com" TargetMode="External"/><Relationship Id="rId692" Type="http://schemas.openxmlformats.org/officeDocument/2006/relationships/hyperlink" Target="http://observepoint.com" TargetMode="External"/><Relationship Id="rId1041" Type="http://schemas.openxmlformats.org/officeDocument/2006/relationships/hyperlink" Target="http://observepoint.com" TargetMode="External"/><Relationship Id="rId1283" Type="http://schemas.openxmlformats.org/officeDocument/2006/relationships/hyperlink" Target="http://observepoint.com" TargetMode="External"/><Relationship Id="rId691" Type="http://schemas.openxmlformats.org/officeDocument/2006/relationships/hyperlink" Target="http://observepoint.com" TargetMode="External"/><Relationship Id="rId1042" Type="http://schemas.openxmlformats.org/officeDocument/2006/relationships/hyperlink" Target="http://observepoint.com" TargetMode="External"/><Relationship Id="rId1284" Type="http://schemas.openxmlformats.org/officeDocument/2006/relationships/hyperlink" Target="http://observepoint.com" TargetMode="External"/><Relationship Id="rId690" Type="http://schemas.openxmlformats.org/officeDocument/2006/relationships/hyperlink" Target="http://officeworks.com.au" TargetMode="External"/><Relationship Id="rId1043" Type="http://schemas.openxmlformats.org/officeDocument/2006/relationships/hyperlink" Target="http://prudential.com" TargetMode="External"/><Relationship Id="rId1285" Type="http://schemas.openxmlformats.org/officeDocument/2006/relationships/hyperlink" Target="http://athenahealth.com" TargetMode="External"/><Relationship Id="rId213" Type="http://schemas.openxmlformats.org/officeDocument/2006/relationships/hyperlink" Target="http://observepoint.com" TargetMode="External"/><Relationship Id="rId455" Type="http://schemas.openxmlformats.org/officeDocument/2006/relationships/hyperlink" Target="http://tyson.com" TargetMode="External"/><Relationship Id="rId697" Type="http://schemas.openxmlformats.org/officeDocument/2006/relationships/hyperlink" Target="http://spark.co.nz" TargetMode="External"/><Relationship Id="rId1044" Type="http://schemas.openxmlformats.org/officeDocument/2006/relationships/hyperlink" Target="http://observepoint.com" TargetMode="External"/><Relationship Id="rId1286" Type="http://schemas.openxmlformats.org/officeDocument/2006/relationships/hyperlink" Target="http://observepoint.com" TargetMode="External"/><Relationship Id="rId212" Type="http://schemas.openxmlformats.org/officeDocument/2006/relationships/hyperlink" Target="http://lumen.com" TargetMode="External"/><Relationship Id="rId454" Type="http://schemas.openxmlformats.org/officeDocument/2006/relationships/hyperlink" Target="http://observepoint.com" TargetMode="External"/><Relationship Id="rId696" Type="http://schemas.openxmlformats.org/officeDocument/2006/relationships/hyperlink" Target="http://observepoint.com" TargetMode="External"/><Relationship Id="rId1045" Type="http://schemas.openxmlformats.org/officeDocument/2006/relationships/hyperlink" Target="http://observepoint.com" TargetMode="External"/><Relationship Id="rId1287" Type="http://schemas.openxmlformats.org/officeDocument/2006/relationships/hyperlink" Target="http://observepoint.com" TargetMode="External"/><Relationship Id="rId211" Type="http://schemas.openxmlformats.org/officeDocument/2006/relationships/hyperlink" Target="http://observepoint.com" TargetMode="External"/><Relationship Id="rId453" Type="http://schemas.openxmlformats.org/officeDocument/2006/relationships/hyperlink" Target="http://observepoint.com" TargetMode="External"/><Relationship Id="rId695" Type="http://schemas.openxmlformats.org/officeDocument/2006/relationships/hyperlink" Target="http://observepoint.com" TargetMode="External"/><Relationship Id="rId1046" Type="http://schemas.openxmlformats.org/officeDocument/2006/relationships/hyperlink" Target="http://observepoint.com" TargetMode="External"/><Relationship Id="rId1288" Type="http://schemas.openxmlformats.org/officeDocument/2006/relationships/hyperlink" Target="http://athenahealth.com" TargetMode="External"/><Relationship Id="rId210" Type="http://schemas.openxmlformats.org/officeDocument/2006/relationships/hyperlink" Target="http://observepoint.com" TargetMode="External"/><Relationship Id="rId452" Type="http://schemas.openxmlformats.org/officeDocument/2006/relationships/hyperlink" Target="http://observepoint.com" TargetMode="External"/><Relationship Id="rId694" Type="http://schemas.openxmlformats.org/officeDocument/2006/relationships/hyperlink" Target="http://observepoint.com" TargetMode="External"/><Relationship Id="rId1047" Type="http://schemas.openxmlformats.org/officeDocument/2006/relationships/hyperlink" Target="http://observepoint.com" TargetMode="External"/><Relationship Id="rId1289" Type="http://schemas.openxmlformats.org/officeDocument/2006/relationships/hyperlink" Target="http://observepoint.com" TargetMode="External"/><Relationship Id="rId491" Type="http://schemas.openxmlformats.org/officeDocument/2006/relationships/hyperlink" Target="http://observepoint.com" TargetMode="External"/><Relationship Id="rId490" Type="http://schemas.openxmlformats.org/officeDocument/2006/relationships/hyperlink" Target="http://ziffdavis.com" TargetMode="External"/><Relationship Id="rId249" Type="http://schemas.openxmlformats.org/officeDocument/2006/relationships/hyperlink" Target="http://questrade.com" TargetMode="External"/><Relationship Id="rId248" Type="http://schemas.openxmlformats.org/officeDocument/2006/relationships/hyperlink" Target="http://observepoint.com" TargetMode="External"/><Relationship Id="rId247" Type="http://schemas.openxmlformats.org/officeDocument/2006/relationships/hyperlink" Target="http://questrade.com" TargetMode="External"/><Relationship Id="rId489" Type="http://schemas.openxmlformats.org/officeDocument/2006/relationships/hyperlink" Target="http://observepoint.com" TargetMode="External"/><Relationship Id="rId1070" Type="http://schemas.openxmlformats.org/officeDocument/2006/relationships/hyperlink" Target="http://observepoint.com" TargetMode="External"/><Relationship Id="rId1071" Type="http://schemas.openxmlformats.org/officeDocument/2006/relationships/hyperlink" Target="http://prudential.com" TargetMode="External"/><Relationship Id="rId1072" Type="http://schemas.openxmlformats.org/officeDocument/2006/relationships/hyperlink" Target="http://observepoint.com" TargetMode="External"/><Relationship Id="rId242" Type="http://schemas.openxmlformats.org/officeDocument/2006/relationships/hyperlink" Target="http://lumen.com" TargetMode="External"/><Relationship Id="rId484" Type="http://schemas.openxmlformats.org/officeDocument/2006/relationships/hyperlink" Target="http://ziffdavis.com" TargetMode="External"/><Relationship Id="rId1073" Type="http://schemas.openxmlformats.org/officeDocument/2006/relationships/hyperlink" Target="http://prudential.com" TargetMode="External"/><Relationship Id="rId241" Type="http://schemas.openxmlformats.org/officeDocument/2006/relationships/hyperlink" Target="http://observepoint.com" TargetMode="External"/><Relationship Id="rId483" Type="http://schemas.openxmlformats.org/officeDocument/2006/relationships/hyperlink" Target="http://observepoint.com" TargetMode="External"/><Relationship Id="rId1074" Type="http://schemas.openxmlformats.org/officeDocument/2006/relationships/hyperlink" Target="http://observepoint.com" TargetMode="External"/><Relationship Id="rId240" Type="http://schemas.openxmlformats.org/officeDocument/2006/relationships/hyperlink" Target="http://observepoint.com" TargetMode="External"/><Relationship Id="rId482" Type="http://schemas.openxmlformats.org/officeDocument/2006/relationships/hyperlink" Target="http://observepoint.com" TargetMode="External"/><Relationship Id="rId1075" Type="http://schemas.openxmlformats.org/officeDocument/2006/relationships/hyperlink" Target="http://observepoint.com" TargetMode="External"/><Relationship Id="rId481" Type="http://schemas.openxmlformats.org/officeDocument/2006/relationships/hyperlink" Target="http://agilent.com" TargetMode="External"/><Relationship Id="rId1076" Type="http://schemas.openxmlformats.org/officeDocument/2006/relationships/hyperlink" Target="http://observepoint.com" TargetMode="External"/><Relationship Id="rId246" Type="http://schemas.openxmlformats.org/officeDocument/2006/relationships/hyperlink" Target="http://observepoint.com" TargetMode="External"/><Relationship Id="rId488" Type="http://schemas.openxmlformats.org/officeDocument/2006/relationships/hyperlink" Target="http://observepoint.com" TargetMode="External"/><Relationship Id="rId1077" Type="http://schemas.openxmlformats.org/officeDocument/2006/relationships/hyperlink" Target="http://prudential.com" TargetMode="External"/><Relationship Id="rId245" Type="http://schemas.openxmlformats.org/officeDocument/2006/relationships/hyperlink" Target="http://lumen.com" TargetMode="External"/><Relationship Id="rId487" Type="http://schemas.openxmlformats.org/officeDocument/2006/relationships/hyperlink" Target="http://ziffdavis.com" TargetMode="External"/><Relationship Id="rId1078" Type="http://schemas.openxmlformats.org/officeDocument/2006/relationships/hyperlink" Target="http://observepoint.com" TargetMode="External"/><Relationship Id="rId244" Type="http://schemas.openxmlformats.org/officeDocument/2006/relationships/hyperlink" Target="http://observepoint.com" TargetMode="External"/><Relationship Id="rId486" Type="http://schemas.openxmlformats.org/officeDocument/2006/relationships/hyperlink" Target="http://observepoint.com" TargetMode="External"/><Relationship Id="rId1079" Type="http://schemas.openxmlformats.org/officeDocument/2006/relationships/hyperlink" Target="http://prudential.com" TargetMode="External"/><Relationship Id="rId243" Type="http://schemas.openxmlformats.org/officeDocument/2006/relationships/hyperlink" Target="http://observepoint.com" TargetMode="External"/><Relationship Id="rId485" Type="http://schemas.openxmlformats.org/officeDocument/2006/relationships/hyperlink" Target="http://observepoint.com" TargetMode="External"/><Relationship Id="rId480" Type="http://schemas.openxmlformats.org/officeDocument/2006/relationships/hyperlink" Target="http://observepoint.com" TargetMode="External"/><Relationship Id="rId239" Type="http://schemas.openxmlformats.org/officeDocument/2006/relationships/hyperlink" Target="http://bluebeam.com" TargetMode="External"/><Relationship Id="rId238" Type="http://schemas.openxmlformats.org/officeDocument/2006/relationships/hyperlink" Target="http://observepoint.com" TargetMode="External"/><Relationship Id="rId237" Type="http://schemas.openxmlformats.org/officeDocument/2006/relationships/hyperlink" Target="http://observepoint.com" TargetMode="External"/><Relationship Id="rId479" Type="http://schemas.openxmlformats.org/officeDocument/2006/relationships/hyperlink" Target="http://observepoint.com" TargetMode="External"/><Relationship Id="rId236" Type="http://schemas.openxmlformats.org/officeDocument/2006/relationships/hyperlink" Target="http://lumen.com" TargetMode="External"/><Relationship Id="rId478" Type="http://schemas.openxmlformats.org/officeDocument/2006/relationships/hyperlink" Target="http://agilent.com" TargetMode="External"/><Relationship Id="rId1060" Type="http://schemas.openxmlformats.org/officeDocument/2006/relationships/hyperlink" Target="http://observepoint.com" TargetMode="External"/><Relationship Id="rId1061" Type="http://schemas.openxmlformats.org/officeDocument/2006/relationships/hyperlink" Target="http://observepoint.com" TargetMode="External"/><Relationship Id="rId231" Type="http://schemas.openxmlformats.org/officeDocument/2006/relationships/hyperlink" Target="http://observepoint.com" TargetMode="External"/><Relationship Id="rId473" Type="http://schemas.openxmlformats.org/officeDocument/2006/relationships/hyperlink" Target="http://rdoffutt.com" TargetMode="External"/><Relationship Id="rId1062" Type="http://schemas.openxmlformats.org/officeDocument/2006/relationships/hyperlink" Target="http://prudential.com" TargetMode="External"/><Relationship Id="rId230" Type="http://schemas.openxmlformats.org/officeDocument/2006/relationships/hyperlink" Target="http://questrade.com" TargetMode="External"/><Relationship Id="rId472" Type="http://schemas.openxmlformats.org/officeDocument/2006/relationships/hyperlink" Target="http://observepoint.com" TargetMode="External"/><Relationship Id="rId1063" Type="http://schemas.openxmlformats.org/officeDocument/2006/relationships/hyperlink" Target="http://observepoint.com" TargetMode="External"/><Relationship Id="rId471" Type="http://schemas.openxmlformats.org/officeDocument/2006/relationships/hyperlink" Target="http://observepoint.com" TargetMode="External"/><Relationship Id="rId1064" Type="http://schemas.openxmlformats.org/officeDocument/2006/relationships/hyperlink" Target="http://prudential.com" TargetMode="External"/><Relationship Id="rId470" Type="http://schemas.openxmlformats.org/officeDocument/2006/relationships/hyperlink" Target="http://tyson.com" TargetMode="External"/><Relationship Id="rId1065" Type="http://schemas.openxmlformats.org/officeDocument/2006/relationships/hyperlink" Target="http://observepoint.com" TargetMode="External"/><Relationship Id="rId235" Type="http://schemas.openxmlformats.org/officeDocument/2006/relationships/hyperlink" Target="http://observepoint.com" TargetMode="External"/><Relationship Id="rId477" Type="http://schemas.openxmlformats.org/officeDocument/2006/relationships/hyperlink" Target="http://observepoint.com" TargetMode="External"/><Relationship Id="rId1066" Type="http://schemas.openxmlformats.org/officeDocument/2006/relationships/hyperlink" Target="http://observepoint.com" TargetMode="External"/><Relationship Id="rId234" Type="http://schemas.openxmlformats.org/officeDocument/2006/relationships/hyperlink" Target="http://observepoint.com" TargetMode="External"/><Relationship Id="rId476" Type="http://schemas.openxmlformats.org/officeDocument/2006/relationships/hyperlink" Target="http://agilent.com" TargetMode="External"/><Relationship Id="rId1067" Type="http://schemas.openxmlformats.org/officeDocument/2006/relationships/hyperlink" Target="http://observepoint.com" TargetMode="External"/><Relationship Id="rId233" Type="http://schemas.openxmlformats.org/officeDocument/2006/relationships/hyperlink" Target="http://questrade.com" TargetMode="External"/><Relationship Id="rId475" Type="http://schemas.openxmlformats.org/officeDocument/2006/relationships/hyperlink" Target="http://observepoint.com" TargetMode="External"/><Relationship Id="rId1068" Type="http://schemas.openxmlformats.org/officeDocument/2006/relationships/hyperlink" Target="http://prudential.com" TargetMode="External"/><Relationship Id="rId232" Type="http://schemas.openxmlformats.org/officeDocument/2006/relationships/hyperlink" Target="http://observepoint.com" TargetMode="External"/><Relationship Id="rId474" Type="http://schemas.openxmlformats.org/officeDocument/2006/relationships/hyperlink" Target="http://observepoint.com" TargetMode="External"/><Relationship Id="rId1069" Type="http://schemas.openxmlformats.org/officeDocument/2006/relationships/hyperlink" Target="http://observepoint.com" TargetMode="External"/><Relationship Id="rId1015" Type="http://schemas.openxmlformats.org/officeDocument/2006/relationships/hyperlink" Target="http://observepoint.com" TargetMode="External"/><Relationship Id="rId1257" Type="http://schemas.openxmlformats.org/officeDocument/2006/relationships/hyperlink" Target="http://observepoint.com" TargetMode="External"/><Relationship Id="rId1016" Type="http://schemas.openxmlformats.org/officeDocument/2006/relationships/hyperlink" Target="http://prudential.com" TargetMode="External"/><Relationship Id="rId1258" Type="http://schemas.openxmlformats.org/officeDocument/2006/relationships/hyperlink" Target="http://prudential.com" TargetMode="External"/><Relationship Id="rId1017" Type="http://schemas.openxmlformats.org/officeDocument/2006/relationships/hyperlink" Target="http://observepoint.com" TargetMode="External"/><Relationship Id="rId1259" Type="http://schemas.openxmlformats.org/officeDocument/2006/relationships/hyperlink" Target="http://observepoint.com" TargetMode="External"/><Relationship Id="rId1018" Type="http://schemas.openxmlformats.org/officeDocument/2006/relationships/hyperlink" Target="http://observepoint.com" TargetMode="External"/><Relationship Id="rId1019" Type="http://schemas.openxmlformats.org/officeDocument/2006/relationships/hyperlink" Target="http://prudential.com" TargetMode="External"/><Relationship Id="rId426" Type="http://schemas.openxmlformats.org/officeDocument/2006/relationships/hyperlink" Target="http://mongodb.com" TargetMode="External"/><Relationship Id="rId668" Type="http://schemas.openxmlformats.org/officeDocument/2006/relationships/hyperlink" Target="http://officeworks.com.au" TargetMode="External"/><Relationship Id="rId425" Type="http://schemas.openxmlformats.org/officeDocument/2006/relationships/hyperlink" Target="http://mongodb.com" TargetMode="External"/><Relationship Id="rId667" Type="http://schemas.openxmlformats.org/officeDocument/2006/relationships/hyperlink" Target="http://observepoint.com" TargetMode="External"/><Relationship Id="rId424" Type="http://schemas.openxmlformats.org/officeDocument/2006/relationships/hyperlink" Target="http://observepoint.com" TargetMode="External"/><Relationship Id="rId666" Type="http://schemas.openxmlformats.org/officeDocument/2006/relationships/hyperlink" Target="http://officeworks.com.au" TargetMode="External"/><Relationship Id="rId423" Type="http://schemas.openxmlformats.org/officeDocument/2006/relationships/hyperlink" Target="http://observepoint.com" TargetMode="External"/><Relationship Id="rId665" Type="http://schemas.openxmlformats.org/officeDocument/2006/relationships/hyperlink" Target="http://observepoint.com" TargetMode="External"/><Relationship Id="rId429" Type="http://schemas.openxmlformats.org/officeDocument/2006/relationships/hyperlink" Target="http://mongodb.com" TargetMode="External"/><Relationship Id="rId428" Type="http://schemas.openxmlformats.org/officeDocument/2006/relationships/hyperlink" Target="http://observepoint.com" TargetMode="External"/><Relationship Id="rId427" Type="http://schemas.openxmlformats.org/officeDocument/2006/relationships/hyperlink" Target="http://observepoint.com" TargetMode="External"/><Relationship Id="rId669" Type="http://schemas.openxmlformats.org/officeDocument/2006/relationships/hyperlink" Target="http://observepoint.com" TargetMode="External"/><Relationship Id="rId660" Type="http://schemas.openxmlformats.org/officeDocument/2006/relationships/hyperlink" Target="http://observepoint.com" TargetMode="External"/><Relationship Id="rId1250" Type="http://schemas.openxmlformats.org/officeDocument/2006/relationships/hyperlink" Target="http://observepoint.com" TargetMode="External"/><Relationship Id="rId1251" Type="http://schemas.openxmlformats.org/officeDocument/2006/relationships/hyperlink" Target="http://crowdstrike.com" TargetMode="External"/><Relationship Id="rId1010" Type="http://schemas.openxmlformats.org/officeDocument/2006/relationships/hyperlink" Target="http://observepoint.com" TargetMode="External"/><Relationship Id="rId1252" Type="http://schemas.openxmlformats.org/officeDocument/2006/relationships/hyperlink" Target="http://observepoint.com" TargetMode="External"/><Relationship Id="rId422" Type="http://schemas.openxmlformats.org/officeDocument/2006/relationships/hyperlink" Target="http://mongodb.com" TargetMode="External"/><Relationship Id="rId664" Type="http://schemas.openxmlformats.org/officeDocument/2006/relationships/hyperlink" Target="http://observepoint.com" TargetMode="External"/><Relationship Id="rId1011" Type="http://schemas.openxmlformats.org/officeDocument/2006/relationships/hyperlink" Target="http://prudential.com" TargetMode="External"/><Relationship Id="rId1253" Type="http://schemas.openxmlformats.org/officeDocument/2006/relationships/hyperlink" Target="http://observepoint.com" TargetMode="External"/><Relationship Id="rId421" Type="http://schemas.openxmlformats.org/officeDocument/2006/relationships/hyperlink" Target="http://observepoint.com" TargetMode="External"/><Relationship Id="rId663" Type="http://schemas.openxmlformats.org/officeDocument/2006/relationships/hyperlink" Target="http://officeworks.com.au" TargetMode="External"/><Relationship Id="rId1012" Type="http://schemas.openxmlformats.org/officeDocument/2006/relationships/hyperlink" Target="http://observepoint.com" TargetMode="External"/><Relationship Id="rId1254" Type="http://schemas.openxmlformats.org/officeDocument/2006/relationships/hyperlink" Target="http://observepoint.com" TargetMode="External"/><Relationship Id="rId420" Type="http://schemas.openxmlformats.org/officeDocument/2006/relationships/hyperlink" Target="http://mongodb.com" TargetMode="External"/><Relationship Id="rId662" Type="http://schemas.openxmlformats.org/officeDocument/2006/relationships/hyperlink" Target="http://observepoint.com" TargetMode="External"/><Relationship Id="rId1013" Type="http://schemas.openxmlformats.org/officeDocument/2006/relationships/hyperlink" Target="http://observepoint.com" TargetMode="External"/><Relationship Id="rId1255" Type="http://schemas.openxmlformats.org/officeDocument/2006/relationships/hyperlink" Target="http://observepoint.com" TargetMode="External"/><Relationship Id="rId661" Type="http://schemas.openxmlformats.org/officeDocument/2006/relationships/hyperlink" Target="http://verisign.com" TargetMode="External"/><Relationship Id="rId1014" Type="http://schemas.openxmlformats.org/officeDocument/2006/relationships/hyperlink" Target="http://observepoint.com" TargetMode="External"/><Relationship Id="rId1256" Type="http://schemas.openxmlformats.org/officeDocument/2006/relationships/hyperlink" Target="http://prudential.com" TargetMode="External"/><Relationship Id="rId1004" Type="http://schemas.openxmlformats.org/officeDocument/2006/relationships/hyperlink" Target="http://observepoint.com" TargetMode="External"/><Relationship Id="rId1246" Type="http://schemas.openxmlformats.org/officeDocument/2006/relationships/hyperlink" Target="http://observepoint.com" TargetMode="External"/><Relationship Id="rId1005" Type="http://schemas.openxmlformats.org/officeDocument/2006/relationships/hyperlink" Target="http://prudential.com" TargetMode="External"/><Relationship Id="rId1247" Type="http://schemas.openxmlformats.org/officeDocument/2006/relationships/hyperlink" Target="http://observepoint.com" TargetMode="External"/><Relationship Id="rId1006" Type="http://schemas.openxmlformats.org/officeDocument/2006/relationships/hyperlink" Target="http://observepoint.com" TargetMode="External"/><Relationship Id="rId1248" Type="http://schemas.openxmlformats.org/officeDocument/2006/relationships/hyperlink" Target="http://crowdstrike.com" TargetMode="External"/><Relationship Id="rId1007" Type="http://schemas.openxmlformats.org/officeDocument/2006/relationships/hyperlink" Target="http://prudential.com" TargetMode="External"/><Relationship Id="rId1249" Type="http://schemas.openxmlformats.org/officeDocument/2006/relationships/hyperlink" Target="http://observepoint.com" TargetMode="External"/><Relationship Id="rId1008" Type="http://schemas.openxmlformats.org/officeDocument/2006/relationships/hyperlink" Target="http://prudential.com" TargetMode="External"/><Relationship Id="rId1009" Type="http://schemas.openxmlformats.org/officeDocument/2006/relationships/hyperlink" Target="http://prudential.com" TargetMode="External"/><Relationship Id="rId415" Type="http://schemas.openxmlformats.org/officeDocument/2006/relationships/hyperlink" Target="http://observepoint.com" TargetMode="External"/><Relationship Id="rId657" Type="http://schemas.openxmlformats.org/officeDocument/2006/relationships/hyperlink" Target="http://observepoint.com" TargetMode="External"/><Relationship Id="rId899" Type="http://schemas.openxmlformats.org/officeDocument/2006/relationships/hyperlink" Target="http://observepoint.com" TargetMode="External"/><Relationship Id="rId414" Type="http://schemas.openxmlformats.org/officeDocument/2006/relationships/hyperlink" Target="http://mongodb.com" TargetMode="External"/><Relationship Id="rId656" Type="http://schemas.openxmlformats.org/officeDocument/2006/relationships/hyperlink" Target="http://observepoint.com" TargetMode="External"/><Relationship Id="rId898" Type="http://schemas.openxmlformats.org/officeDocument/2006/relationships/hyperlink" Target="http://observepoint.com" TargetMode="External"/><Relationship Id="rId413" Type="http://schemas.openxmlformats.org/officeDocument/2006/relationships/hyperlink" Target="http://observepoint.com" TargetMode="External"/><Relationship Id="rId655" Type="http://schemas.openxmlformats.org/officeDocument/2006/relationships/hyperlink" Target="http://officeworks.com.au" TargetMode="External"/><Relationship Id="rId897" Type="http://schemas.openxmlformats.org/officeDocument/2006/relationships/hyperlink" Target="http://observepoint.com" TargetMode="External"/><Relationship Id="rId412" Type="http://schemas.openxmlformats.org/officeDocument/2006/relationships/hyperlink" Target="http://observepoint.com" TargetMode="External"/><Relationship Id="rId654" Type="http://schemas.openxmlformats.org/officeDocument/2006/relationships/hyperlink" Target="http://observepoint.com" TargetMode="External"/><Relationship Id="rId896" Type="http://schemas.openxmlformats.org/officeDocument/2006/relationships/hyperlink" Target="http://cdw.com" TargetMode="External"/><Relationship Id="rId419" Type="http://schemas.openxmlformats.org/officeDocument/2006/relationships/hyperlink" Target="http://observepoint.com" TargetMode="External"/><Relationship Id="rId418" Type="http://schemas.openxmlformats.org/officeDocument/2006/relationships/hyperlink" Target="http://observepoint.com" TargetMode="External"/><Relationship Id="rId417" Type="http://schemas.openxmlformats.org/officeDocument/2006/relationships/hyperlink" Target="http://observepoint.com" TargetMode="External"/><Relationship Id="rId659" Type="http://schemas.openxmlformats.org/officeDocument/2006/relationships/hyperlink" Target="http://observepoint.com" TargetMode="External"/><Relationship Id="rId416" Type="http://schemas.openxmlformats.org/officeDocument/2006/relationships/hyperlink" Target="http://mongodb.com" TargetMode="External"/><Relationship Id="rId658" Type="http://schemas.openxmlformats.org/officeDocument/2006/relationships/hyperlink" Target="http://verisign.com" TargetMode="External"/><Relationship Id="rId891" Type="http://schemas.openxmlformats.org/officeDocument/2006/relationships/hyperlink" Target="http://observepoint.com" TargetMode="External"/><Relationship Id="rId890" Type="http://schemas.openxmlformats.org/officeDocument/2006/relationships/hyperlink" Target="http://observepoint.com" TargetMode="External"/><Relationship Id="rId1240" Type="http://schemas.openxmlformats.org/officeDocument/2006/relationships/hyperlink" Target="http://observepoint.com" TargetMode="External"/><Relationship Id="rId1241" Type="http://schemas.openxmlformats.org/officeDocument/2006/relationships/hyperlink" Target="http://observepoint.com" TargetMode="External"/><Relationship Id="rId411" Type="http://schemas.openxmlformats.org/officeDocument/2006/relationships/hyperlink" Target="http://observepoint.com" TargetMode="External"/><Relationship Id="rId653" Type="http://schemas.openxmlformats.org/officeDocument/2006/relationships/hyperlink" Target="http://observepoint.com" TargetMode="External"/><Relationship Id="rId895" Type="http://schemas.openxmlformats.org/officeDocument/2006/relationships/hyperlink" Target="http://observepoint.com" TargetMode="External"/><Relationship Id="rId1000" Type="http://schemas.openxmlformats.org/officeDocument/2006/relationships/hyperlink" Target="http://prudential.com" TargetMode="External"/><Relationship Id="rId1242" Type="http://schemas.openxmlformats.org/officeDocument/2006/relationships/hyperlink" Target="http://observepoint.com" TargetMode="External"/><Relationship Id="rId410" Type="http://schemas.openxmlformats.org/officeDocument/2006/relationships/hyperlink" Target="http://mongodb.com" TargetMode="External"/><Relationship Id="rId652" Type="http://schemas.openxmlformats.org/officeDocument/2006/relationships/hyperlink" Target="http://pmi.org" TargetMode="External"/><Relationship Id="rId894" Type="http://schemas.openxmlformats.org/officeDocument/2006/relationships/hyperlink" Target="http://observepoint.com" TargetMode="External"/><Relationship Id="rId1001" Type="http://schemas.openxmlformats.org/officeDocument/2006/relationships/hyperlink" Target="http://observepoint.com" TargetMode="External"/><Relationship Id="rId1243" Type="http://schemas.openxmlformats.org/officeDocument/2006/relationships/hyperlink" Target="http://observepoint.com" TargetMode="External"/><Relationship Id="rId651" Type="http://schemas.openxmlformats.org/officeDocument/2006/relationships/hyperlink" Target="http://observepoint.com" TargetMode="External"/><Relationship Id="rId893" Type="http://schemas.openxmlformats.org/officeDocument/2006/relationships/hyperlink" Target="http://cdw.com" TargetMode="External"/><Relationship Id="rId1002" Type="http://schemas.openxmlformats.org/officeDocument/2006/relationships/hyperlink" Target="http://prudential.com" TargetMode="External"/><Relationship Id="rId1244" Type="http://schemas.openxmlformats.org/officeDocument/2006/relationships/hyperlink" Target="http://crowdstrike.com" TargetMode="External"/><Relationship Id="rId650" Type="http://schemas.openxmlformats.org/officeDocument/2006/relationships/hyperlink" Target="http://observepoint.com" TargetMode="External"/><Relationship Id="rId892" Type="http://schemas.openxmlformats.org/officeDocument/2006/relationships/hyperlink" Target="http://observepoint.com" TargetMode="External"/><Relationship Id="rId1003" Type="http://schemas.openxmlformats.org/officeDocument/2006/relationships/hyperlink" Target="http://observepoint.com" TargetMode="External"/><Relationship Id="rId1245" Type="http://schemas.openxmlformats.org/officeDocument/2006/relationships/hyperlink" Target="http://crowdstrike.com" TargetMode="External"/><Relationship Id="rId1037" Type="http://schemas.openxmlformats.org/officeDocument/2006/relationships/hyperlink" Target="http://prudential.com" TargetMode="External"/><Relationship Id="rId1279" Type="http://schemas.openxmlformats.org/officeDocument/2006/relationships/hyperlink" Target="http://accenture.com" TargetMode="External"/><Relationship Id="rId1038" Type="http://schemas.openxmlformats.org/officeDocument/2006/relationships/hyperlink" Target="http://observepoint.com" TargetMode="External"/><Relationship Id="rId1039" Type="http://schemas.openxmlformats.org/officeDocument/2006/relationships/hyperlink" Target="http://prudential.com" TargetMode="External"/><Relationship Id="rId206" Type="http://schemas.openxmlformats.org/officeDocument/2006/relationships/hyperlink" Target="http://worldmarket.com" TargetMode="External"/><Relationship Id="rId448" Type="http://schemas.openxmlformats.org/officeDocument/2006/relationships/hyperlink" Target="http://observepoint.com" TargetMode="External"/><Relationship Id="rId205" Type="http://schemas.openxmlformats.org/officeDocument/2006/relationships/hyperlink" Target="http://observepoint.com" TargetMode="External"/><Relationship Id="rId447" Type="http://schemas.openxmlformats.org/officeDocument/2006/relationships/hyperlink" Target="http://observepoint.com" TargetMode="External"/><Relationship Id="rId689" Type="http://schemas.openxmlformats.org/officeDocument/2006/relationships/hyperlink" Target="http://officeworks.com.au" TargetMode="External"/><Relationship Id="rId204" Type="http://schemas.openxmlformats.org/officeDocument/2006/relationships/hyperlink" Target="http://observepoint.com" TargetMode="External"/><Relationship Id="rId446" Type="http://schemas.openxmlformats.org/officeDocument/2006/relationships/hyperlink" Target="http://observepoint.com" TargetMode="External"/><Relationship Id="rId688" Type="http://schemas.openxmlformats.org/officeDocument/2006/relationships/hyperlink" Target="http://observepoint.com" TargetMode="External"/><Relationship Id="rId203" Type="http://schemas.openxmlformats.org/officeDocument/2006/relationships/hyperlink" Target="http://caleres.com" TargetMode="External"/><Relationship Id="rId445" Type="http://schemas.openxmlformats.org/officeDocument/2006/relationships/hyperlink" Target="http://mongodb.com" TargetMode="External"/><Relationship Id="rId687" Type="http://schemas.openxmlformats.org/officeDocument/2006/relationships/hyperlink" Target="http://officeworks.com.au" TargetMode="External"/><Relationship Id="rId209" Type="http://schemas.openxmlformats.org/officeDocument/2006/relationships/hyperlink" Target="http://questrade.com" TargetMode="External"/><Relationship Id="rId208" Type="http://schemas.openxmlformats.org/officeDocument/2006/relationships/hyperlink" Target="http://observepoint.com" TargetMode="External"/><Relationship Id="rId207" Type="http://schemas.openxmlformats.org/officeDocument/2006/relationships/hyperlink" Target="http://observepoint.com" TargetMode="External"/><Relationship Id="rId449" Type="http://schemas.openxmlformats.org/officeDocument/2006/relationships/hyperlink" Target="http://observepoint.com" TargetMode="External"/><Relationship Id="rId1270" Type="http://schemas.openxmlformats.org/officeDocument/2006/relationships/hyperlink" Target="http://accenture.com" TargetMode="External"/><Relationship Id="rId440" Type="http://schemas.openxmlformats.org/officeDocument/2006/relationships/hyperlink" Target="http://observepoint.com" TargetMode="External"/><Relationship Id="rId682" Type="http://schemas.openxmlformats.org/officeDocument/2006/relationships/hyperlink" Target="http://observepoint.com" TargetMode="External"/><Relationship Id="rId1271" Type="http://schemas.openxmlformats.org/officeDocument/2006/relationships/hyperlink" Target="http://observepoint.com" TargetMode="External"/><Relationship Id="rId681" Type="http://schemas.openxmlformats.org/officeDocument/2006/relationships/hyperlink" Target="http://observepoint.com" TargetMode="External"/><Relationship Id="rId1030" Type="http://schemas.openxmlformats.org/officeDocument/2006/relationships/hyperlink" Target="http://prudential.com" TargetMode="External"/><Relationship Id="rId1272" Type="http://schemas.openxmlformats.org/officeDocument/2006/relationships/hyperlink" Target="http://observepoint.com" TargetMode="External"/><Relationship Id="rId680" Type="http://schemas.openxmlformats.org/officeDocument/2006/relationships/hyperlink" Target="http://observepoint.com" TargetMode="External"/><Relationship Id="rId1031" Type="http://schemas.openxmlformats.org/officeDocument/2006/relationships/hyperlink" Target="http://observepoint.com" TargetMode="External"/><Relationship Id="rId1273" Type="http://schemas.openxmlformats.org/officeDocument/2006/relationships/hyperlink" Target="http://accenture.com" TargetMode="External"/><Relationship Id="rId1032" Type="http://schemas.openxmlformats.org/officeDocument/2006/relationships/hyperlink" Target="http://observepoint.com" TargetMode="External"/><Relationship Id="rId1274" Type="http://schemas.openxmlformats.org/officeDocument/2006/relationships/hyperlink" Target="http://observepoint.com" TargetMode="External"/><Relationship Id="rId202" Type="http://schemas.openxmlformats.org/officeDocument/2006/relationships/hyperlink" Target="http://observepoint.com" TargetMode="External"/><Relationship Id="rId444" Type="http://schemas.openxmlformats.org/officeDocument/2006/relationships/hyperlink" Target="http://observepoint.com" TargetMode="External"/><Relationship Id="rId686" Type="http://schemas.openxmlformats.org/officeDocument/2006/relationships/hyperlink" Target="http://officeworks.com.au" TargetMode="External"/><Relationship Id="rId1033" Type="http://schemas.openxmlformats.org/officeDocument/2006/relationships/hyperlink" Target="http://prudential.com" TargetMode="External"/><Relationship Id="rId1275" Type="http://schemas.openxmlformats.org/officeDocument/2006/relationships/hyperlink" Target="http://observepoint.com" TargetMode="External"/><Relationship Id="rId201" Type="http://schemas.openxmlformats.org/officeDocument/2006/relationships/hyperlink" Target="http://observepoint.com" TargetMode="External"/><Relationship Id="rId443" Type="http://schemas.openxmlformats.org/officeDocument/2006/relationships/hyperlink" Target="http://observepoint.com" TargetMode="External"/><Relationship Id="rId685" Type="http://schemas.openxmlformats.org/officeDocument/2006/relationships/hyperlink" Target="http://officeworks.com.au" TargetMode="External"/><Relationship Id="rId1034" Type="http://schemas.openxmlformats.org/officeDocument/2006/relationships/hyperlink" Target="http://observepoint.com" TargetMode="External"/><Relationship Id="rId1276" Type="http://schemas.openxmlformats.org/officeDocument/2006/relationships/hyperlink" Target="http://setoyota.com" TargetMode="External"/><Relationship Id="rId200" Type="http://schemas.openxmlformats.org/officeDocument/2006/relationships/hyperlink" Target="http://questrade.com" TargetMode="External"/><Relationship Id="rId442" Type="http://schemas.openxmlformats.org/officeDocument/2006/relationships/hyperlink" Target="http://observepoint.com" TargetMode="External"/><Relationship Id="rId684" Type="http://schemas.openxmlformats.org/officeDocument/2006/relationships/hyperlink" Target="http://observepoint.com" TargetMode="External"/><Relationship Id="rId1035" Type="http://schemas.openxmlformats.org/officeDocument/2006/relationships/hyperlink" Target="http://prudential.com" TargetMode="External"/><Relationship Id="rId1277" Type="http://schemas.openxmlformats.org/officeDocument/2006/relationships/hyperlink" Target="http://observepoint.com" TargetMode="External"/><Relationship Id="rId441" Type="http://schemas.openxmlformats.org/officeDocument/2006/relationships/hyperlink" Target="http://mongodb.com" TargetMode="External"/><Relationship Id="rId683" Type="http://schemas.openxmlformats.org/officeDocument/2006/relationships/hyperlink" Target="http://observepoint.com" TargetMode="External"/><Relationship Id="rId1036" Type="http://schemas.openxmlformats.org/officeDocument/2006/relationships/hyperlink" Target="http://prudential.com" TargetMode="External"/><Relationship Id="rId1278" Type="http://schemas.openxmlformats.org/officeDocument/2006/relationships/hyperlink" Target="http://observepoint.com" TargetMode="External"/><Relationship Id="rId1026" Type="http://schemas.openxmlformats.org/officeDocument/2006/relationships/hyperlink" Target="http://prudential.com" TargetMode="External"/><Relationship Id="rId1268" Type="http://schemas.openxmlformats.org/officeDocument/2006/relationships/hyperlink" Target="http://observepoint.com" TargetMode="External"/><Relationship Id="rId1027" Type="http://schemas.openxmlformats.org/officeDocument/2006/relationships/hyperlink" Target="http://observepoint.com" TargetMode="External"/><Relationship Id="rId1269" Type="http://schemas.openxmlformats.org/officeDocument/2006/relationships/hyperlink" Target="http://observepoint.com" TargetMode="External"/><Relationship Id="rId1028" Type="http://schemas.openxmlformats.org/officeDocument/2006/relationships/hyperlink" Target="http://prudential.com" TargetMode="External"/><Relationship Id="rId1029" Type="http://schemas.openxmlformats.org/officeDocument/2006/relationships/hyperlink" Target="http://prudential.com" TargetMode="External"/><Relationship Id="rId437" Type="http://schemas.openxmlformats.org/officeDocument/2006/relationships/hyperlink" Target="http://observepoint.com" TargetMode="External"/><Relationship Id="rId679" Type="http://schemas.openxmlformats.org/officeDocument/2006/relationships/hyperlink" Target="http://observepoint.com" TargetMode="External"/><Relationship Id="rId436" Type="http://schemas.openxmlformats.org/officeDocument/2006/relationships/hyperlink" Target="http://observepoint.com" TargetMode="External"/><Relationship Id="rId678" Type="http://schemas.openxmlformats.org/officeDocument/2006/relationships/hyperlink" Target="http://observepoint.com" TargetMode="External"/><Relationship Id="rId435" Type="http://schemas.openxmlformats.org/officeDocument/2006/relationships/hyperlink" Target="http://mongodb.com" TargetMode="External"/><Relationship Id="rId677" Type="http://schemas.openxmlformats.org/officeDocument/2006/relationships/hyperlink" Target="http://observepoint.com" TargetMode="External"/><Relationship Id="rId434" Type="http://schemas.openxmlformats.org/officeDocument/2006/relationships/hyperlink" Target="http://observepoint.com" TargetMode="External"/><Relationship Id="rId676" Type="http://schemas.openxmlformats.org/officeDocument/2006/relationships/hyperlink" Target="http://observepoint.com" TargetMode="External"/><Relationship Id="rId439" Type="http://schemas.openxmlformats.org/officeDocument/2006/relationships/hyperlink" Target="http://mongodb.com" TargetMode="External"/><Relationship Id="rId438" Type="http://schemas.openxmlformats.org/officeDocument/2006/relationships/hyperlink" Target="http://observepoint.com" TargetMode="External"/><Relationship Id="rId671" Type="http://schemas.openxmlformats.org/officeDocument/2006/relationships/hyperlink" Target="http://observepoint.com" TargetMode="External"/><Relationship Id="rId1260" Type="http://schemas.openxmlformats.org/officeDocument/2006/relationships/hyperlink" Target="http://observepoint.com" TargetMode="External"/><Relationship Id="rId670" Type="http://schemas.openxmlformats.org/officeDocument/2006/relationships/hyperlink" Target="http://officeworks.com.au" TargetMode="External"/><Relationship Id="rId1261" Type="http://schemas.openxmlformats.org/officeDocument/2006/relationships/hyperlink" Target="http://observepoint.com" TargetMode="External"/><Relationship Id="rId1020" Type="http://schemas.openxmlformats.org/officeDocument/2006/relationships/hyperlink" Target="http://prudential.com" TargetMode="External"/><Relationship Id="rId1262" Type="http://schemas.openxmlformats.org/officeDocument/2006/relationships/hyperlink" Target="http://setoyota.com" TargetMode="External"/><Relationship Id="rId1021" Type="http://schemas.openxmlformats.org/officeDocument/2006/relationships/hyperlink" Target="http://observepoint.com" TargetMode="External"/><Relationship Id="rId1263" Type="http://schemas.openxmlformats.org/officeDocument/2006/relationships/hyperlink" Target="http://observepoint.com" TargetMode="External"/><Relationship Id="rId433" Type="http://schemas.openxmlformats.org/officeDocument/2006/relationships/hyperlink" Target="http://observepoint.com" TargetMode="External"/><Relationship Id="rId675" Type="http://schemas.openxmlformats.org/officeDocument/2006/relationships/hyperlink" Target="http://officeworks.com.au" TargetMode="External"/><Relationship Id="rId1022" Type="http://schemas.openxmlformats.org/officeDocument/2006/relationships/hyperlink" Target="http://prudential.com" TargetMode="External"/><Relationship Id="rId1264" Type="http://schemas.openxmlformats.org/officeDocument/2006/relationships/hyperlink" Target="http://observepoint.com" TargetMode="External"/><Relationship Id="rId432" Type="http://schemas.openxmlformats.org/officeDocument/2006/relationships/hyperlink" Target="http://mongodb.com" TargetMode="External"/><Relationship Id="rId674" Type="http://schemas.openxmlformats.org/officeDocument/2006/relationships/hyperlink" Target="http://chilipiper.com" TargetMode="External"/><Relationship Id="rId1023" Type="http://schemas.openxmlformats.org/officeDocument/2006/relationships/hyperlink" Target="http://prudential.com" TargetMode="External"/><Relationship Id="rId1265" Type="http://schemas.openxmlformats.org/officeDocument/2006/relationships/hyperlink" Target="http://observepoint.com" TargetMode="External"/><Relationship Id="rId431" Type="http://schemas.openxmlformats.org/officeDocument/2006/relationships/hyperlink" Target="http://observepoint.com" TargetMode="External"/><Relationship Id="rId673" Type="http://schemas.openxmlformats.org/officeDocument/2006/relationships/hyperlink" Target="http://observepoint.com" TargetMode="External"/><Relationship Id="rId1024" Type="http://schemas.openxmlformats.org/officeDocument/2006/relationships/hyperlink" Target="http://observepoint.com" TargetMode="External"/><Relationship Id="rId1266" Type="http://schemas.openxmlformats.org/officeDocument/2006/relationships/hyperlink" Target="http://observepoint.com" TargetMode="External"/><Relationship Id="rId430" Type="http://schemas.openxmlformats.org/officeDocument/2006/relationships/hyperlink" Target="http://observepoint.com" TargetMode="External"/><Relationship Id="rId672" Type="http://schemas.openxmlformats.org/officeDocument/2006/relationships/hyperlink" Target="http://observepoint.com" TargetMode="External"/><Relationship Id="rId1025" Type="http://schemas.openxmlformats.org/officeDocument/2006/relationships/hyperlink" Target="http://prudential.com" TargetMode="External"/><Relationship Id="rId1267" Type="http://schemas.openxmlformats.org/officeDocument/2006/relationships/hyperlink" Target="http://setoyota.co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observepoint.zoom.us/j/92849939183" TargetMode="External"/><Relationship Id="rId2" Type="http://schemas.openxmlformats.org/officeDocument/2006/relationships/hyperlink" Target="https://observepoint.zoom.us/j/3133456073?omn=98925617537&amp;jst=3" TargetMode="External"/><Relationship Id="rId3" Type="http://schemas.openxmlformats.org/officeDocument/2006/relationships/hyperlink" Target="https://observepoint.zoom.us/j/7387828030?pwd=WmdZQ24vM2htQmYydU56OFBidkU3Zz09" TargetMode="External"/><Relationship Id="rId4" Type="http://schemas.openxmlformats.org/officeDocument/2006/relationships/hyperlink" Target="https://www.google.com/url?q=https://teams.microsoft.com/l/meetup-join/19%253ameeting_ZjRkMzM1MjItZGNjOS00MWFhLWJlNjQtMjc4ZTJmOWM2NjJj%2540thread.v2/0?context%3D%257b%2522Tid%2522%253a%2522d8fde2f5-9392-4260-8a03-0ad01f4746e9%2522%252c%2522Oid%2522%253a%25224cf02d10-78dd-48bc-8462-dd3691fbdcba%2522%257d&amp;sa=D&amp;source=calendar&amp;ust=1765285820775070&amp;usg=AOvVaw3V0plEwdclZlUpwH8CYzX8" TargetMode="External"/><Relationship Id="rId9" Type="http://schemas.openxmlformats.org/officeDocument/2006/relationships/hyperlink" Target="https://observepoint.zoom.us/j/93559561258" TargetMode="External"/><Relationship Id="rId5" Type="http://schemas.openxmlformats.org/officeDocument/2006/relationships/hyperlink" Target="https://observepoint.zoom.us/j/3133456073?omn=97007834233&amp;jst=3" TargetMode="External"/><Relationship Id="rId6" Type="http://schemas.openxmlformats.org/officeDocument/2006/relationships/hyperlink" Target="https://observepoint.zoom.us/j/91033742956" TargetMode="External"/><Relationship Id="rId7" Type="http://schemas.openxmlformats.org/officeDocument/2006/relationships/hyperlink" Target="https://observepoint.zoom.us/j/93362340646" TargetMode="External"/><Relationship Id="rId8" Type="http://schemas.openxmlformats.org/officeDocument/2006/relationships/hyperlink" Target="https://observepoint.zoom.us/j/93559561258" TargetMode="External"/><Relationship Id="rId31" Type="http://schemas.openxmlformats.org/officeDocument/2006/relationships/hyperlink" Target="https://observepoint.zoom.us/j/93559561258" TargetMode="External"/><Relationship Id="rId30" Type="http://schemas.openxmlformats.org/officeDocument/2006/relationships/hyperlink" Target="https://observepoint.zoom.us/j/93559561258" TargetMode="External"/><Relationship Id="rId33" Type="http://schemas.openxmlformats.org/officeDocument/2006/relationships/hyperlink" Target="https://observepoint.zoom.us/j/93559561258" TargetMode="External"/><Relationship Id="rId32" Type="http://schemas.openxmlformats.org/officeDocument/2006/relationships/hyperlink" Target="https://observepoint.zoom.us/j/93559561258" TargetMode="External"/><Relationship Id="rId34" Type="http://schemas.openxmlformats.org/officeDocument/2006/relationships/drawing" Target="../drawings/drawing8.xml"/><Relationship Id="rId20" Type="http://schemas.openxmlformats.org/officeDocument/2006/relationships/hyperlink" Target="https://observepoint.zoom.us/j/93559561258" TargetMode="External"/><Relationship Id="rId22" Type="http://schemas.openxmlformats.org/officeDocument/2006/relationships/hyperlink" Target="https://observepoint.zoom.us/j/93559561258" TargetMode="External"/><Relationship Id="rId21" Type="http://schemas.openxmlformats.org/officeDocument/2006/relationships/hyperlink" Target="https://observepoint.zoom.us/j/93559561258" TargetMode="External"/><Relationship Id="rId24" Type="http://schemas.openxmlformats.org/officeDocument/2006/relationships/hyperlink" Target="https://observepoint.zoom.us/j/93559561258" TargetMode="External"/><Relationship Id="rId23" Type="http://schemas.openxmlformats.org/officeDocument/2006/relationships/hyperlink" Target="https://observepoint.zoom.us/j/93559561258" TargetMode="External"/><Relationship Id="rId26" Type="http://schemas.openxmlformats.org/officeDocument/2006/relationships/hyperlink" Target="https://observepoint.zoom.us/j/93559561258" TargetMode="External"/><Relationship Id="rId25" Type="http://schemas.openxmlformats.org/officeDocument/2006/relationships/hyperlink" Target="https://observepoint.zoom.us/j/93559561258" TargetMode="External"/><Relationship Id="rId28" Type="http://schemas.openxmlformats.org/officeDocument/2006/relationships/hyperlink" Target="https://observepoint.zoom.us/j/93559561258" TargetMode="External"/><Relationship Id="rId27" Type="http://schemas.openxmlformats.org/officeDocument/2006/relationships/hyperlink" Target="https://observepoint.zoom.us/j/93559561258" TargetMode="External"/><Relationship Id="rId29" Type="http://schemas.openxmlformats.org/officeDocument/2006/relationships/hyperlink" Target="https://observepoint.zoom.us/j/93559561258" TargetMode="External"/><Relationship Id="rId11" Type="http://schemas.openxmlformats.org/officeDocument/2006/relationships/hyperlink" Target="https://observepoint.zoom.us/j/93559561258" TargetMode="External"/><Relationship Id="rId10" Type="http://schemas.openxmlformats.org/officeDocument/2006/relationships/hyperlink" Target="https://observepoint.zoom.us/j/93559561258" TargetMode="External"/><Relationship Id="rId13" Type="http://schemas.openxmlformats.org/officeDocument/2006/relationships/hyperlink" Target="https://observepoint.zoom.us/j/93559561258" TargetMode="External"/><Relationship Id="rId12" Type="http://schemas.openxmlformats.org/officeDocument/2006/relationships/hyperlink" Target="https://observepoint.zoom.us/j/93559561258" TargetMode="External"/><Relationship Id="rId15" Type="http://schemas.openxmlformats.org/officeDocument/2006/relationships/hyperlink" Target="https://observepoint.zoom.us/j/93559561258" TargetMode="External"/><Relationship Id="rId14" Type="http://schemas.openxmlformats.org/officeDocument/2006/relationships/hyperlink" Target="https://observepoint.zoom.us/j/93559561258" TargetMode="External"/><Relationship Id="rId17" Type="http://schemas.openxmlformats.org/officeDocument/2006/relationships/hyperlink" Target="https://observepoint.zoom.us/j/93559561258" TargetMode="External"/><Relationship Id="rId16" Type="http://schemas.openxmlformats.org/officeDocument/2006/relationships/hyperlink" Target="https://observepoint.zoom.us/j/93559561258" TargetMode="External"/><Relationship Id="rId19" Type="http://schemas.openxmlformats.org/officeDocument/2006/relationships/hyperlink" Target="https://observepoint.zoom.us/j/93559561258" TargetMode="External"/><Relationship Id="rId18" Type="http://schemas.openxmlformats.org/officeDocument/2006/relationships/hyperlink" Target="https://observepoint.zoom.us/j/9355956125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10.88"/>
    <col customWidth="1" min="3" max="3" width="7.63"/>
    <col customWidth="1" min="4" max="5" width="9.0"/>
    <col customWidth="1" min="6" max="6" width="7.38"/>
    <col customWidth="1" min="7" max="7" width="12.75"/>
    <col customWidth="1" min="8" max="8" width="12.38"/>
    <col customWidth="1" min="9" max="9" width="9.63"/>
    <col customWidth="1" min="10" max="11" width="13.25"/>
    <col customWidth="1" min="12" max="12" width="7.13"/>
    <col customWidth="1" min="13" max="13" width="6.13"/>
    <col customWidth="1" min="14" max="14" width="3.38"/>
    <col customWidth="1" min="15" max="15" width="9.13"/>
    <col customWidth="1" min="16" max="16" width="11.38"/>
    <col customWidth="1" min="17" max="17" width="11.88"/>
    <col customWidth="1" min="18" max="18" width="3.0"/>
    <col customWidth="1" min="19" max="19" width="8.88"/>
    <col customWidth="1" min="20" max="20" width="12.88"/>
    <col customWidth="1" min="21" max="24" width="12.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c r="W1" s="3" t="s">
        <v>21</v>
      </c>
      <c r="X1" s="4">
        <v>46037.52963722222</v>
      </c>
    </row>
    <row r="2">
      <c r="A2" s="5" t="str">
        <f>HYPERLINK("https://observepoint.my.salesforce.com/006VH00000T9GmRYAV", "2026 - REN - Torrid")</f>
        <v>2026 - REN - Torrid</v>
      </c>
      <c r="B2" s="6">
        <v>46053.0</v>
      </c>
      <c r="C2" s="7" t="s">
        <v>22</v>
      </c>
      <c r="D2" s="8">
        <v>27400.0</v>
      </c>
      <c r="E2" s="8">
        <v>27400.0</v>
      </c>
      <c r="F2" s="3" t="s">
        <v>23</v>
      </c>
      <c r="G2" s="3" t="s">
        <v>24</v>
      </c>
      <c r="H2" s="8">
        <v>27400.0</v>
      </c>
      <c r="I2" s="3">
        <v>0.0</v>
      </c>
      <c r="J2" s="9">
        <v>0.824033333333333</v>
      </c>
      <c r="K2" s="9">
        <v>0.00866666666666666</v>
      </c>
      <c r="L2" s="3">
        <v>70.0</v>
      </c>
      <c r="M2" s="3">
        <v>105.0</v>
      </c>
      <c r="N2" s="3">
        <v>1.0</v>
      </c>
      <c r="O2" s="6">
        <v>46053.0</v>
      </c>
      <c r="P2" s="3">
        <v>0.0</v>
      </c>
      <c r="Q2" s="3" t="s">
        <v>25</v>
      </c>
      <c r="R2" s="3">
        <v>1.0</v>
      </c>
      <c r="S2" s="3" t="s">
        <v>26</v>
      </c>
      <c r="T2" s="3" t="s">
        <v>27</v>
      </c>
      <c r="U2" s="3" t="s">
        <v>28</v>
      </c>
      <c r="V2" s="2"/>
      <c r="W2" s="2"/>
      <c r="X2" s="2"/>
    </row>
    <row r="3">
      <c r="A3" s="5" t="str">
        <f>HYPERLINK("https://observepoint.my.salesforce.com/006VH00000UfTmMYAV", "2026 - REN - Accent Group")</f>
        <v>2026 - REN - Accent Group</v>
      </c>
      <c r="B3" s="6">
        <v>46064.0</v>
      </c>
      <c r="C3" s="7" t="s">
        <v>29</v>
      </c>
      <c r="D3" s="8">
        <v>28750.0</v>
      </c>
      <c r="E3" s="8">
        <v>20930.0</v>
      </c>
      <c r="F3" s="3" t="s">
        <v>23</v>
      </c>
      <c r="G3" s="3" t="s">
        <v>30</v>
      </c>
      <c r="H3" s="8">
        <v>20930.0</v>
      </c>
      <c r="I3" s="3">
        <v>56.0</v>
      </c>
      <c r="J3" s="9">
        <v>1.07653333333333</v>
      </c>
      <c r="K3" s="9">
        <v>0.891</v>
      </c>
      <c r="L3" s="3">
        <v>174.0</v>
      </c>
      <c r="M3" s="3">
        <v>174.0</v>
      </c>
      <c r="N3" s="3">
        <v>1.0</v>
      </c>
      <c r="O3" s="6">
        <v>46064.0</v>
      </c>
      <c r="P3" s="3">
        <v>0.0</v>
      </c>
      <c r="Q3" s="3" t="s">
        <v>25</v>
      </c>
      <c r="R3" s="3">
        <v>1.0</v>
      </c>
      <c r="S3" s="3" t="s">
        <v>26</v>
      </c>
      <c r="T3" s="3" t="s">
        <v>31</v>
      </c>
      <c r="U3" s="3" t="s">
        <v>32</v>
      </c>
      <c r="V3" s="2"/>
      <c r="W3" s="2"/>
      <c r="X3" s="2"/>
    </row>
    <row r="4">
      <c r="A4" s="5" t="str">
        <f>HYPERLINK("https://observepoint.my.salesforce.com/006VH00000UMli9YAD", "2026 - REN - Merz Pharma")</f>
        <v>2026 - REN - Merz Pharma</v>
      </c>
      <c r="B4" s="6">
        <v>46081.0</v>
      </c>
      <c r="C4" s="7" t="s">
        <v>22</v>
      </c>
      <c r="D4" s="8">
        <v>7200.0</v>
      </c>
      <c r="E4" s="8">
        <v>7200.0</v>
      </c>
      <c r="F4" s="3" t="s">
        <v>23</v>
      </c>
      <c r="G4" s="3" t="s">
        <v>33</v>
      </c>
      <c r="H4" s="8">
        <v>7200.0</v>
      </c>
      <c r="I4" s="3">
        <v>12.0</v>
      </c>
      <c r="J4" s="9">
        <v>0.561833333333333</v>
      </c>
      <c r="K4" s="10"/>
      <c r="L4" s="3">
        <v>70.0</v>
      </c>
      <c r="M4" s="3">
        <v>176.0</v>
      </c>
      <c r="N4" s="3">
        <v>1.0</v>
      </c>
      <c r="O4" s="6">
        <v>46081.0</v>
      </c>
      <c r="P4" s="3">
        <v>0.0</v>
      </c>
      <c r="Q4" s="3" t="s">
        <v>25</v>
      </c>
      <c r="R4" s="3">
        <v>1.0</v>
      </c>
      <c r="S4" s="3" t="s">
        <v>26</v>
      </c>
      <c r="T4" s="3" t="s">
        <v>34</v>
      </c>
      <c r="U4" s="3" t="s">
        <v>35</v>
      </c>
      <c r="V4" s="2"/>
      <c r="W4" s="2"/>
      <c r="X4" s="2"/>
    </row>
    <row r="5">
      <c r="A5" s="5" t="str">
        <f>HYPERLINK("https://observepoint.my.salesforce.com/006VH00000T9aunYAB", "2026 - REN - Amica Mutual Insurance")</f>
        <v>2026 - REN - Amica Mutual Insurance</v>
      </c>
      <c r="B5" s="6">
        <v>46081.0</v>
      </c>
      <c r="C5" s="7" t="s">
        <v>22</v>
      </c>
      <c r="D5" s="8">
        <v>29000.0</v>
      </c>
      <c r="E5" s="8">
        <v>29000.0</v>
      </c>
      <c r="F5" s="3" t="s">
        <v>23</v>
      </c>
      <c r="G5" s="3" t="s">
        <v>24</v>
      </c>
      <c r="H5" s="8">
        <v>29000.0</v>
      </c>
      <c r="I5" s="3">
        <v>48.0</v>
      </c>
      <c r="J5" s="9">
        <v>0.42775</v>
      </c>
      <c r="K5" s="9">
        <v>0.042</v>
      </c>
      <c r="L5" s="3">
        <v>56.0</v>
      </c>
      <c r="M5" s="3">
        <v>85.0</v>
      </c>
      <c r="N5" s="3">
        <v>1.0</v>
      </c>
      <c r="O5" s="6">
        <v>46081.0</v>
      </c>
      <c r="P5" s="3">
        <v>0.0</v>
      </c>
      <c r="Q5" s="3" t="s">
        <v>25</v>
      </c>
      <c r="R5" s="3">
        <v>1.0</v>
      </c>
      <c r="S5" s="3" t="s">
        <v>26</v>
      </c>
      <c r="T5" s="3" t="s">
        <v>36</v>
      </c>
      <c r="U5" s="3" t="s">
        <v>32</v>
      </c>
      <c r="V5" s="2"/>
      <c r="W5" s="2"/>
      <c r="X5" s="2"/>
    </row>
    <row r="6">
      <c r="A6" s="5" t="str">
        <f>HYPERLINK("https://observepoint.my.salesforce.com/006VH00000TpppOYAR", "2026 - REN - Bluebeam Inc.")</f>
        <v>2026 - REN - Bluebeam Inc.</v>
      </c>
      <c r="B6" s="6">
        <v>46081.0</v>
      </c>
      <c r="C6" s="3" t="s">
        <v>37</v>
      </c>
      <c r="D6" s="8">
        <v>33000.0</v>
      </c>
      <c r="E6" s="8">
        <v>0.0</v>
      </c>
      <c r="F6" s="3" t="s">
        <v>23</v>
      </c>
      <c r="G6" s="3" t="s">
        <v>33</v>
      </c>
      <c r="H6" s="8">
        <v>0.0</v>
      </c>
      <c r="I6" s="3">
        <v>0.0</v>
      </c>
      <c r="J6" s="9">
        <v>0.0667466666666666</v>
      </c>
      <c r="K6" s="10"/>
      <c r="L6" s="3">
        <v>64.0</v>
      </c>
      <c r="M6" s="3">
        <v>222.0</v>
      </c>
      <c r="N6" s="3">
        <v>1.0</v>
      </c>
      <c r="O6" s="6">
        <v>46081.0</v>
      </c>
      <c r="P6" s="3">
        <v>0.0</v>
      </c>
      <c r="Q6" s="3" t="s">
        <v>38</v>
      </c>
      <c r="R6" s="3">
        <v>1.0</v>
      </c>
      <c r="S6" s="3" t="s">
        <v>26</v>
      </c>
      <c r="T6" s="3" t="s">
        <v>34</v>
      </c>
      <c r="U6" s="3" t="s">
        <v>35</v>
      </c>
      <c r="V6" s="2"/>
      <c r="W6" s="2"/>
      <c r="X6" s="2"/>
    </row>
    <row r="7">
      <c r="A7" s="5" t="str">
        <f>HYPERLINK("https://observepoint.my.salesforce.com/006VH00000TnDZhYAN", "2026 - REN - Cost Plus World Market")</f>
        <v>2026 - REN - Cost Plus World Market</v>
      </c>
      <c r="B7" s="6">
        <v>46082.0</v>
      </c>
      <c r="C7" s="7" t="s">
        <v>22</v>
      </c>
      <c r="D7" s="8">
        <v>30000.0</v>
      </c>
      <c r="E7" s="8">
        <v>30000.0</v>
      </c>
      <c r="F7" s="3" t="s">
        <v>23</v>
      </c>
      <c r="G7" s="3" t="s">
        <v>24</v>
      </c>
      <c r="H7" s="8">
        <v>30000.0</v>
      </c>
      <c r="I7" s="3">
        <v>20.0</v>
      </c>
      <c r="J7" s="9">
        <v>0.7922</v>
      </c>
      <c r="K7" s="9">
        <v>0.491333333333333</v>
      </c>
      <c r="L7" s="3">
        <v>55.0</v>
      </c>
      <c r="M7" s="3">
        <v>107.0</v>
      </c>
      <c r="N7" s="3">
        <v>2.0</v>
      </c>
      <c r="O7" s="6">
        <v>46082.0</v>
      </c>
      <c r="P7" s="3">
        <v>0.0</v>
      </c>
      <c r="Q7" s="3" t="s">
        <v>25</v>
      </c>
      <c r="R7" s="3">
        <v>1.0</v>
      </c>
      <c r="S7" s="3" t="s">
        <v>26</v>
      </c>
      <c r="T7" s="3" t="s">
        <v>27</v>
      </c>
      <c r="U7" s="3" t="s">
        <v>35</v>
      </c>
      <c r="V7" s="2"/>
      <c r="W7" s="2"/>
      <c r="X7" s="2"/>
    </row>
    <row r="8">
      <c r="A8" s="5" t="str">
        <f>HYPERLINK("https://observepoint.my.salesforce.com/006VH00000TnENhYAN", "2026 - REN - Questrade")</f>
        <v>2026 - REN - Questrade</v>
      </c>
      <c r="B8" s="6">
        <v>46096.0</v>
      </c>
      <c r="C8" s="7" t="s">
        <v>39</v>
      </c>
      <c r="D8" s="8">
        <v>32500.0</v>
      </c>
      <c r="E8" s="8">
        <v>8125.0</v>
      </c>
      <c r="F8" s="3" t="s">
        <v>23</v>
      </c>
      <c r="G8" s="3" t="s">
        <v>24</v>
      </c>
      <c r="H8" s="8">
        <v>32500.0</v>
      </c>
      <c r="I8" s="3">
        <v>32.0</v>
      </c>
      <c r="J8" s="9">
        <v>0.118795858191044</v>
      </c>
      <c r="K8" s="9">
        <v>0.155333333333333</v>
      </c>
      <c r="L8" s="3">
        <v>50.0</v>
      </c>
      <c r="M8" s="3">
        <v>139.0</v>
      </c>
      <c r="N8" s="3">
        <v>2.0</v>
      </c>
      <c r="O8" s="6">
        <v>46096.0</v>
      </c>
      <c r="P8" s="3">
        <v>0.0</v>
      </c>
      <c r="Q8" s="3" t="s">
        <v>40</v>
      </c>
      <c r="R8" s="3">
        <v>1.0</v>
      </c>
      <c r="S8" s="3" t="s">
        <v>26</v>
      </c>
      <c r="T8" s="3" t="s">
        <v>31</v>
      </c>
      <c r="U8" s="3" t="s">
        <v>28</v>
      </c>
      <c r="V8" s="2"/>
      <c r="W8" s="2"/>
      <c r="X8" s="2"/>
    </row>
    <row r="9">
      <c r="A9" s="5" t="str">
        <f>HYPERLINK("https://observepoint.my.salesforce.com/006VH00000VufGLYAZ", "2026 - REN - Caleres")</f>
        <v>2026 - REN - Caleres</v>
      </c>
      <c r="B9" s="6">
        <v>46105.0</v>
      </c>
      <c r="C9" s="7" t="s">
        <v>22</v>
      </c>
      <c r="D9" s="8">
        <v>38000.0</v>
      </c>
      <c r="E9" s="8">
        <v>38000.0</v>
      </c>
      <c r="F9" s="3" t="s">
        <v>23</v>
      </c>
      <c r="G9" s="3" t="s">
        <v>41</v>
      </c>
      <c r="H9" s="8">
        <v>38000.0</v>
      </c>
      <c r="I9" s="3">
        <v>24.0</v>
      </c>
      <c r="J9" s="9">
        <v>0.693946666666666</v>
      </c>
      <c r="K9" s="9">
        <v>0.313333333333333</v>
      </c>
      <c r="L9" s="3">
        <v>61.0</v>
      </c>
      <c r="M9" s="3">
        <v>89.0</v>
      </c>
      <c r="N9" s="3">
        <v>1.0</v>
      </c>
      <c r="O9" s="6">
        <v>46105.0</v>
      </c>
      <c r="P9" s="3">
        <v>0.0</v>
      </c>
      <c r="Q9" s="3" t="s">
        <v>25</v>
      </c>
      <c r="R9" s="3">
        <v>1.0</v>
      </c>
      <c r="S9" s="3" t="s">
        <v>26</v>
      </c>
      <c r="T9" s="3" t="s">
        <v>42</v>
      </c>
      <c r="U9" s="3" t="s">
        <v>28</v>
      </c>
      <c r="V9" s="2"/>
      <c r="W9" s="2"/>
      <c r="X9" s="2"/>
    </row>
    <row r="10">
      <c r="A10" s="5" t="str">
        <f>HYPERLINK("https://observepoint.my.salesforce.com/006VH00000WteYfYAJ", "2026 - REN - MongoDB Inc.")</f>
        <v>2026 - REN - MongoDB Inc.</v>
      </c>
      <c r="B10" s="6">
        <v>46112.0</v>
      </c>
      <c r="C10" s="7" t="s">
        <v>22</v>
      </c>
      <c r="D10" s="8">
        <v>14830.0</v>
      </c>
      <c r="E10" s="8">
        <v>14830.0</v>
      </c>
      <c r="F10" s="3" t="s">
        <v>43</v>
      </c>
      <c r="G10" s="3" t="s">
        <v>44</v>
      </c>
      <c r="H10" s="8">
        <v>14830.0</v>
      </c>
      <c r="I10" s="3">
        <v>32.0</v>
      </c>
      <c r="J10" s="9">
        <v>2.63066090574491</v>
      </c>
      <c r="K10" s="9">
        <v>0.882666666666666</v>
      </c>
      <c r="L10" s="3">
        <v>64.0</v>
      </c>
      <c r="M10" s="3">
        <v>86.0</v>
      </c>
      <c r="N10" s="3">
        <v>1.0</v>
      </c>
      <c r="O10" s="6">
        <v>46112.0</v>
      </c>
      <c r="P10" s="3">
        <v>0.0</v>
      </c>
      <c r="Q10" s="3" t="s">
        <v>25</v>
      </c>
      <c r="R10" s="3">
        <v>1.0</v>
      </c>
      <c r="S10" s="3" t="s">
        <v>26</v>
      </c>
      <c r="T10" s="3" t="s">
        <v>36</v>
      </c>
      <c r="U10" s="3" t="s">
        <v>28</v>
      </c>
      <c r="V10" s="2"/>
      <c r="W10" s="2"/>
      <c r="X10" s="2"/>
    </row>
    <row r="11">
      <c r="A11" s="5" t="str">
        <f>HYPERLINK("https://observepoint.my.salesforce.com/006VH00000WKt9EYAT", "2026 - REN - Ross Stores Inc.")</f>
        <v>2026 - REN - Ross Stores Inc.</v>
      </c>
      <c r="B11" s="6">
        <v>46112.0</v>
      </c>
      <c r="C11" s="7" t="s">
        <v>22</v>
      </c>
      <c r="D11" s="8">
        <v>6630.0</v>
      </c>
      <c r="E11" s="8">
        <v>6630.0</v>
      </c>
      <c r="F11" s="3" t="s">
        <v>23</v>
      </c>
      <c r="G11" s="3" t="s">
        <v>41</v>
      </c>
      <c r="H11" s="8">
        <v>6630.0</v>
      </c>
      <c r="I11" s="3">
        <v>24.0</v>
      </c>
      <c r="J11" s="9">
        <v>0.152015201520152</v>
      </c>
      <c r="K11" s="9">
        <v>0.0</v>
      </c>
      <c r="L11" s="3">
        <v>50.0</v>
      </c>
      <c r="M11" s="3">
        <v>103.0</v>
      </c>
      <c r="N11" s="3">
        <v>1.0</v>
      </c>
      <c r="O11" s="6">
        <v>46112.0</v>
      </c>
      <c r="P11" s="3">
        <v>0.0</v>
      </c>
      <c r="Q11" s="3" t="s">
        <v>25</v>
      </c>
      <c r="R11" s="3">
        <v>1.0</v>
      </c>
      <c r="S11" s="3" t="s">
        <v>26</v>
      </c>
      <c r="T11" s="3" t="s">
        <v>27</v>
      </c>
      <c r="U11" s="2"/>
      <c r="V11" s="2"/>
      <c r="W11" s="2"/>
      <c r="X11" s="2"/>
    </row>
    <row r="12">
      <c r="A12" s="5" t="str">
        <f>HYPERLINK("https://observepoint.my.salesforce.com/006VH00000ApjTZYAZ", "2026 - REN - CVS Pharmacy")</f>
        <v>2026 - REN - CVS Pharmacy</v>
      </c>
      <c r="B12" s="6">
        <v>46126.0</v>
      </c>
      <c r="C12" s="7" t="s">
        <v>45</v>
      </c>
      <c r="D12" s="8">
        <v>35000.0</v>
      </c>
      <c r="E12" s="8">
        <v>0.0</v>
      </c>
      <c r="F12" s="3" t="s">
        <v>23</v>
      </c>
      <c r="G12" s="3" t="s">
        <v>46</v>
      </c>
      <c r="H12" s="8">
        <v>35000.0</v>
      </c>
      <c r="I12" s="3">
        <v>12.0</v>
      </c>
      <c r="J12" s="9">
        <v>0.0354333333333333</v>
      </c>
      <c r="K12" s="9">
        <v>0.14</v>
      </c>
      <c r="L12" s="3">
        <v>69.0</v>
      </c>
      <c r="M12" s="3">
        <v>97.0</v>
      </c>
      <c r="N12" s="3">
        <v>1.0</v>
      </c>
      <c r="O12" s="6">
        <v>46126.0</v>
      </c>
      <c r="P12" s="3">
        <v>0.0</v>
      </c>
      <c r="Q12" s="3" t="s">
        <v>40</v>
      </c>
      <c r="R12" s="3">
        <v>1.0</v>
      </c>
      <c r="S12" s="3" t="s">
        <v>26</v>
      </c>
      <c r="T12" s="3" t="s">
        <v>31</v>
      </c>
      <c r="U12" s="3" t="s">
        <v>28</v>
      </c>
      <c r="V12" s="2"/>
      <c r="W12" s="2"/>
      <c r="X12" s="2"/>
    </row>
    <row r="13">
      <c r="A13" s="5" t="str">
        <f>HYPERLINK("https://observepoint.my.salesforce.com/006VH00000WhZRVYA3", "2026 - REN - Medifast Inc.")</f>
        <v>2026 - REN - Medifast Inc.</v>
      </c>
      <c r="B13" s="6">
        <v>46126.0</v>
      </c>
      <c r="C13" s="7" t="s">
        <v>22</v>
      </c>
      <c r="D13" s="8">
        <v>18880.0</v>
      </c>
      <c r="E13" s="8">
        <v>18880.0</v>
      </c>
      <c r="F13" s="3" t="s">
        <v>23</v>
      </c>
      <c r="G13" s="3" t="s">
        <v>46</v>
      </c>
      <c r="H13" s="8">
        <v>18880.0</v>
      </c>
      <c r="I13" s="3">
        <v>20.0</v>
      </c>
      <c r="J13" s="9">
        <v>0.421856874274971</v>
      </c>
      <c r="K13" s="9">
        <v>0.0506666666666666</v>
      </c>
      <c r="L13" s="3">
        <v>118.0</v>
      </c>
      <c r="M13" s="3">
        <v>118.0</v>
      </c>
      <c r="N13" s="3">
        <v>1.0</v>
      </c>
      <c r="O13" s="6">
        <v>46126.0</v>
      </c>
      <c r="P13" s="3">
        <v>0.0</v>
      </c>
      <c r="Q13" s="3" t="s">
        <v>25</v>
      </c>
      <c r="R13" s="3">
        <v>1.0</v>
      </c>
      <c r="S13" s="3" t="s">
        <v>26</v>
      </c>
      <c r="T13" s="3" t="s">
        <v>36</v>
      </c>
      <c r="U13" s="2"/>
    </row>
    <row r="14">
      <c r="A14" s="5" t="str">
        <f>HYPERLINK("https://observepoint.my.salesforce.com/006VH00000WwRTeYAN", "2026 - REN - Ziff Davis Inc.")</f>
        <v>2026 - REN - Ziff Davis Inc.</v>
      </c>
      <c r="B14" s="6">
        <v>46132.0</v>
      </c>
      <c r="C14" s="7" t="s">
        <v>39</v>
      </c>
      <c r="D14" s="8">
        <v>14823.04</v>
      </c>
      <c r="E14" s="8">
        <v>3705.76</v>
      </c>
      <c r="F14" s="3" t="s">
        <v>23</v>
      </c>
      <c r="G14" s="3" t="s">
        <v>46</v>
      </c>
      <c r="H14" s="8">
        <v>14823.04</v>
      </c>
      <c r="I14" s="3">
        <v>12.0</v>
      </c>
      <c r="J14" s="9">
        <v>0.0210297316896301</v>
      </c>
      <c r="K14" s="9">
        <v>0.0346666666666666</v>
      </c>
      <c r="L14" s="3">
        <v>50.0</v>
      </c>
      <c r="M14" s="3">
        <v>118.0</v>
      </c>
      <c r="N14" s="3">
        <v>1.0</v>
      </c>
      <c r="O14" s="6">
        <v>46132.0</v>
      </c>
      <c r="P14" s="3">
        <v>0.0</v>
      </c>
      <c r="Q14" s="3" t="s">
        <v>40</v>
      </c>
      <c r="R14" s="3">
        <v>1.0</v>
      </c>
      <c r="S14" s="3" t="s">
        <v>26</v>
      </c>
      <c r="T14" s="3" t="s">
        <v>36</v>
      </c>
      <c r="U14" s="2"/>
      <c r="V14" s="2"/>
      <c r="W14" s="2"/>
      <c r="X14" s="2"/>
    </row>
    <row r="15">
      <c r="A15" s="5" t="str">
        <f>HYPERLINK("https://observepoint.my.salesforce.com/006VH00000WSqCYYA1", "2026 - REN - Agilent")</f>
        <v>2026 - REN - Agilent</v>
      </c>
      <c r="B15" s="6">
        <v>46142.0</v>
      </c>
      <c r="C15" s="7" t="s">
        <v>22</v>
      </c>
      <c r="D15" s="8">
        <v>30000.0</v>
      </c>
      <c r="E15" s="8">
        <v>30000.0</v>
      </c>
      <c r="F15" s="3" t="s">
        <v>23</v>
      </c>
      <c r="G15" s="3" t="s">
        <v>47</v>
      </c>
      <c r="H15" s="8">
        <v>30000.0</v>
      </c>
      <c r="I15" s="3">
        <v>0.0</v>
      </c>
      <c r="J15" s="9">
        <v>0.177072645512698</v>
      </c>
      <c r="K15" s="10"/>
      <c r="L15" s="3">
        <v>82.0</v>
      </c>
      <c r="M15" s="3">
        <v>93.0</v>
      </c>
      <c r="N15" s="3">
        <v>1.0</v>
      </c>
      <c r="O15" s="6">
        <v>46142.0</v>
      </c>
      <c r="P15" s="3">
        <v>0.0</v>
      </c>
      <c r="Q15" s="3" t="s">
        <v>25</v>
      </c>
      <c r="R15" s="3">
        <v>1.0</v>
      </c>
      <c r="S15" s="3" t="s">
        <v>26</v>
      </c>
      <c r="T15" s="3" t="s">
        <v>27</v>
      </c>
      <c r="U15" s="3" t="s">
        <v>28</v>
      </c>
    </row>
    <row r="16">
      <c r="A16" s="5" t="str">
        <f>HYPERLINK("https://observepoint.my.salesforce.com/006VH00000XQMBbYAP", "2026 - REN - Brunswick")</f>
        <v>2026 - REN - Brunswick</v>
      </c>
      <c r="B16" s="6">
        <v>46142.0</v>
      </c>
      <c r="C16" s="7" t="s">
        <v>39</v>
      </c>
      <c r="D16" s="8">
        <v>5000.0</v>
      </c>
      <c r="E16" s="8">
        <v>1250.0</v>
      </c>
      <c r="F16" s="3" t="s">
        <v>23</v>
      </c>
      <c r="G16" s="3" t="s">
        <v>46</v>
      </c>
      <c r="H16" s="8">
        <v>5000.0</v>
      </c>
      <c r="I16" s="3">
        <v>24.0</v>
      </c>
      <c r="J16" s="9">
        <v>0.10441767068273</v>
      </c>
      <c r="K16" s="9">
        <v>0.121333333333333</v>
      </c>
      <c r="L16" s="3">
        <v>126.0</v>
      </c>
      <c r="M16" s="3">
        <v>154.0</v>
      </c>
      <c r="N16" s="3">
        <v>1.0</v>
      </c>
      <c r="O16" s="6">
        <v>46142.0</v>
      </c>
      <c r="P16" s="3">
        <v>0.0</v>
      </c>
      <c r="Q16" s="3" t="s">
        <v>40</v>
      </c>
      <c r="R16" s="3">
        <v>1.0</v>
      </c>
      <c r="S16" s="3" t="s">
        <v>26</v>
      </c>
      <c r="T16" s="3" t="s">
        <v>42</v>
      </c>
      <c r="U16" s="3" t="s">
        <v>32</v>
      </c>
    </row>
    <row r="17">
      <c r="A17" s="5" t="str">
        <f>HYPERLINK("https://observepoint.my.salesforce.com/006VH00000YoIPZYA3", "2026 - REN - RDO Equipment")</f>
        <v>2026 - REN - RDO Equipment</v>
      </c>
      <c r="B17" s="6">
        <v>46177.0</v>
      </c>
      <c r="C17" s="7" t="s">
        <v>22</v>
      </c>
      <c r="D17" s="8">
        <v>8330.0</v>
      </c>
      <c r="E17" s="8">
        <v>8330.0</v>
      </c>
      <c r="F17" s="3" t="s">
        <v>43</v>
      </c>
      <c r="G17" s="3" t="s">
        <v>46</v>
      </c>
      <c r="H17" s="8">
        <v>8330.0</v>
      </c>
      <c r="I17" s="3">
        <v>12.0</v>
      </c>
      <c r="J17" s="9">
        <v>0.357337173947831</v>
      </c>
      <c r="K17" s="9">
        <v>0.0</v>
      </c>
      <c r="L17" s="3">
        <v>28.0</v>
      </c>
      <c r="M17" s="3">
        <v>28.0</v>
      </c>
      <c r="N17" s="3">
        <v>1.0</v>
      </c>
      <c r="O17" s="6">
        <v>46177.0</v>
      </c>
      <c r="P17" s="3">
        <v>0.0</v>
      </c>
      <c r="Q17" s="3" t="s">
        <v>25</v>
      </c>
      <c r="R17" s="3">
        <v>1.0</v>
      </c>
      <c r="S17" s="3" t="s">
        <v>26</v>
      </c>
      <c r="T17" s="3" t="s">
        <v>42</v>
      </c>
      <c r="U17" s="3" t="s">
        <v>32</v>
      </c>
      <c r="V17" s="2"/>
      <c r="W17" s="2"/>
      <c r="X17" s="2"/>
    </row>
    <row r="18">
      <c r="A18" s="5" t="str">
        <f>HYPERLINK("https://observepoint.my.salesforce.com/006VH00000Ysz9OYAR", "2026 - REN - Tyson Foods")</f>
        <v>2026 - REN - Tyson Foods</v>
      </c>
      <c r="B18" s="6">
        <v>46183.0</v>
      </c>
      <c r="C18" s="7" t="s">
        <v>45</v>
      </c>
      <c r="D18" s="8">
        <v>24008.0</v>
      </c>
      <c r="E18" s="8">
        <v>0.0</v>
      </c>
      <c r="F18" s="3" t="s">
        <v>43</v>
      </c>
      <c r="G18" s="3" t="s">
        <v>46</v>
      </c>
      <c r="H18" s="8">
        <v>24008.0</v>
      </c>
      <c r="I18" s="3">
        <v>12.0</v>
      </c>
      <c r="J18" s="9">
        <v>0.00473484848484848</v>
      </c>
      <c r="K18" s="9">
        <v>0.0</v>
      </c>
      <c r="L18" s="3">
        <v>69.0</v>
      </c>
      <c r="M18" s="3">
        <v>97.0</v>
      </c>
      <c r="N18" s="3">
        <v>2.0</v>
      </c>
      <c r="O18" s="6">
        <v>46183.0</v>
      </c>
      <c r="P18" s="3">
        <v>0.0</v>
      </c>
      <c r="Q18" s="3" t="s">
        <v>40</v>
      </c>
      <c r="R18" s="3">
        <v>1.0</v>
      </c>
      <c r="S18" s="3" t="s">
        <v>26</v>
      </c>
      <c r="T18" s="3" t="s">
        <v>31</v>
      </c>
      <c r="U18" s="3" t="s">
        <v>32</v>
      </c>
      <c r="V18" s="2"/>
      <c r="W18" s="2"/>
      <c r="X18" s="2"/>
    </row>
    <row r="19">
      <c r="A19" s="5" t="str">
        <f>HYPERLINK("https://observepoint.my.salesforce.com/006VH00000ZSb8aYAD", "2026 - REN - Seagate")</f>
        <v>2026 - REN - Seagate</v>
      </c>
      <c r="B19" s="6">
        <v>46203.0</v>
      </c>
      <c r="C19" s="7" t="s">
        <v>22</v>
      </c>
      <c r="D19" s="8">
        <v>30080.0</v>
      </c>
      <c r="E19" s="8">
        <v>30080.0</v>
      </c>
      <c r="F19" s="3" t="s">
        <v>43</v>
      </c>
      <c r="G19" s="3" t="s">
        <v>46</v>
      </c>
      <c r="H19" s="8">
        <v>30080.0</v>
      </c>
      <c r="I19" s="3">
        <v>20.0</v>
      </c>
      <c r="J19" s="9">
        <v>0.674819047619047</v>
      </c>
      <c r="K19" s="9">
        <v>1.87466666666666</v>
      </c>
      <c r="L19" s="3">
        <v>86.0</v>
      </c>
      <c r="M19" s="3">
        <v>160.0</v>
      </c>
      <c r="N19" s="3">
        <v>1.0</v>
      </c>
      <c r="O19" s="6">
        <v>46203.0</v>
      </c>
      <c r="P19" s="3">
        <v>0.0</v>
      </c>
      <c r="Q19" s="3" t="s">
        <v>25</v>
      </c>
      <c r="R19" s="3">
        <v>1.0</v>
      </c>
      <c r="S19" s="3" t="s">
        <v>26</v>
      </c>
      <c r="T19" s="3" t="s">
        <v>27</v>
      </c>
      <c r="U19" s="2"/>
      <c r="V19" s="2"/>
      <c r="W19" s="2"/>
      <c r="X19" s="2"/>
    </row>
    <row r="20">
      <c r="A20" s="5" t="str">
        <f>HYPERLINK("https://observepoint.my.salesforce.com/006VH00000ZIUy0YAH", "2026 - REN - Verisign")</f>
        <v>2026 - REN - Verisign</v>
      </c>
      <c r="B20" s="6">
        <v>46212.0</v>
      </c>
      <c r="C20" s="7" t="s">
        <v>22</v>
      </c>
      <c r="D20" s="8">
        <v>14000.0</v>
      </c>
      <c r="E20" s="8">
        <v>14000.0</v>
      </c>
      <c r="F20" s="3" t="s">
        <v>43</v>
      </c>
      <c r="G20" s="3" t="s">
        <v>46</v>
      </c>
      <c r="H20" s="8">
        <v>14000.0</v>
      </c>
      <c r="I20" s="3">
        <v>32.0</v>
      </c>
      <c r="J20" s="9">
        <v>0.539733333333333</v>
      </c>
      <c r="K20" s="9">
        <v>0.0633333333333333</v>
      </c>
      <c r="L20" s="3">
        <v>70.0</v>
      </c>
      <c r="M20" s="3">
        <v>90.0</v>
      </c>
      <c r="N20" s="3">
        <v>1.0</v>
      </c>
      <c r="O20" s="6">
        <v>46212.0</v>
      </c>
      <c r="P20" s="3">
        <v>0.0</v>
      </c>
      <c r="Q20" s="3" t="s">
        <v>25</v>
      </c>
      <c r="R20" s="3">
        <v>1.0</v>
      </c>
      <c r="S20" s="3" t="s">
        <v>26</v>
      </c>
      <c r="T20" s="3" t="s">
        <v>36</v>
      </c>
      <c r="U20" s="3" t="s">
        <v>32</v>
      </c>
      <c r="V20" s="2"/>
      <c r="W20" s="2"/>
      <c r="X20" s="2"/>
    </row>
    <row r="21">
      <c r="A21" s="5" t="str">
        <f>HYPERLINK("https://observepoint.my.salesforce.com/006VH00000Zjfm3YAB", "2026 - REN - Officeworks")</f>
        <v>2026 - REN - Officeworks</v>
      </c>
      <c r="B21" s="6">
        <v>46217.0</v>
      </c>
      <c r="C21" s="7" t="s">
        <v>39</v>
      </c>
      <c r="D21" s="8">
        <v>28000.0</v>
      </c>
      <c r="E21" s="8">
        <v>7000.0</v>
      </c>
      <c r="F21" s="3" t="s">
        <v>43</v>
      </c>
      <c r="G21" s="3" t="s">
        <v>47</v>
      </c>
      <c r="H21" s="8">
        <v>28000.0</v>
      </c>
      <c r="I21" s="3">
        <v>0.0</v>
      </c>
      <c r="J21" s="9">
        <v>0.181821487663412</v>
      </c>
      <c r="K21" s="9">
        <v>0.0106666666666666</v>
      </c>
      <c r="L21" s="3">
        <v>50.0</v>
      </c>
      <c r="M21" s="3">
        <v>152.0</v>
      </c>
      <c r="N21" s="3">
        <v>1.0</v>
      </c>
      <c r="O21" s="6">
        <v>46217.0</v>
      </c>
      <c r="P21" s="3">
        <v>0.0</v>
      </c>
      <c r="Q21" s="3" t="s">
        <v>40</v>
      </c>
      <c r="R21" s="3">
        <v>1.0</v>
      </c>
      <c r="S21" s="3" t="s">
        <v>26</v>
      </c>
      <c r="T21" s="3" t="s">
        <v>31</v>
      </c>
      <c r="U21" s="3" t="s">
        <v>32</v>
      </c>
    </row>
    <row r="22">
      <c r="A22" s="5" t="str">
        <f>HYPERLINK("https://observepoint.my.salesforce.com/006VH00000aMoUTYA0", "2026 - REN - Project Management Institute")</f>
        <v>2026 - REN - Project Management Institute</v>
      </c>
      <c r="B22" s="6">
        <v>46225.0</v>
      </c>
      <c r="C22" s="7" t="s">
        <v>45</v>
      </c>
      <c r="D22" s="8">
        <v>17000.0</v>
      </c>
      <c r="E22" s="8">
        <v>0.0</v>
      </c>
      <c r="F22" s="3" t="s">
        <v>43</v>
      </c>
      <c r="G22" s="3" t="s">
        <v>46</v>
      </c>
      <c r="H22" s="8">
        <v>17000.0</v>
      </c>
      <c r="I22" s="3">
        <v>0.0</v>
      </c>
      <c r="J22" s="9">
        <v>0.602733333333333</v>
      </c>
      <c r="K22" s="9">
        <v>0.122666666666666</v>
      </c>
      <c r="L22" s="3">
        <v>56.0</v>
      </c>
      <c r="M22" s="3">
        <v>98.0</v>
      </c>
      <c r="N22" s="3">
        <v>0.0</v>
      </c>
      <c r="O22" s="6">
        <v>46225.0</v>
      </c>
      <c r="P22" s="3">
        <v>0.0</v>
      </c>
      <c r="Q22" s="3" t="s">
        <v>40</v>
      </c>
      <c r="R22" s="3">
        <v>1.0</v>
      </c>
      <c r="S22" s="3" t="s">
        <v>26</v>
      </c>
      <c r="T22" s="3" t="s">
        <v>31</v>
      </c>
      <c r="U22" s="3" t="s">
        <v>32</v>
      </c>
      <c r="V22" s="2"/>
      <c r="W22" s="2"/>
      <c r="X22" s="2"/>
    </row>
    <row r="23">
      <c r="A23" s="5" t="str">
        <f>HYPERLINK("https://observepoint.my.salesforce.com/006VH00000ajQWHYA2", "2026 - REN - Caesars Entertainment")</f>
        <v>2026 - REN - Caesars Entertainment</v>
      </c>
      <c r="B23" s="6">
        <v>46234.0</v>
      </c>
      <c r="C23" s="7" t="s">
        <v>22</v>
      </c>
      <c r="D23" s="8">
        <v>40500.0</v>
      </c>
      <c r="E23" s="8">
        <v>40500.0</v>
      </c>
      <c r="F23" s="3" t="s">
        <v>43</v>
      </c>
      <c r="G23" s="3" t="s">
        <v>47</v>
      </c>
      <c r="H23" s="8">
        <v>40500.0</v>
      </c>
      <c r="I23" s="3">
        <v>32.0</v>
      </c>
      <c r="J23" s="9">
        <v>0.487975807612921</v>
      </c>
      <c r="K23" s="9">
        <v>0.0</v>
      </c>
      <c r="L23" s="3">
        <v>119.0</v>
      </c>
      <c r="M23" s="3">
        <v>92.0</v>
      </c>
      <c r="N23" s="3">
        <v>1.0</v>
      </c>
      <c r="O23" s="6">
        <v>46234.0</v>
      </c>
      <c r="P23" s="3">
        <v>0.0</v>
      </c>
      <c r="Q23" s="3" t="s">
        <v>25</v>
      </c>
      <c r="R23" s="3">
        <v>1.0</v>
      </c>
      <c r="S23" s="3" t="s">
        <v>26</v>
      </c>
      <c r="T23" s="3" t="s">
        <v>34</v>
      </c>
      <c r="U23" s="3" t="s">
        <v>32</v>
      </c>
      <c r="V23" s="2"/>
      <c r="W23" s="2"/>
      <c r="X23" s="2"/>
    </row>
    <row r="24">
      <c r="A24" s="5" t="str">
        <f>HYPERLINK("https://observepoint.my.salesforce.com/006VH00000aKd3hYAC", "2026 - REN - Cotiviti")</f>
        <v>2026 - REN - Cotiviti</v>
      </c>
      <c r="B24" s="6">
        <v>46234.0</v>
      </c>
      <c r="C24" s="7" t="s">
        <v>22</v>
      </c>
      <c r="D24" s="8">
        <v>29380.0</v>
      </c>
      <c r="E24" s="8">
        <v>29380.0</v>
      </c>
      <c r="F24" s="3" t="s">
        <v>43</v>
      </c>
      <c r="G24" s="3" t="s">
        <v>47</v>
      </c>
      <c r="H24" s="8">
        <v>29380.0</v>
      </c>
      <c r="I24" s="3">
        <v>24.0</v>
      </c>
      <c r="J24" s="9">
        <v>0.444599033816425</v>
      </c>
      <c r="K24" s="10"/>
      <c r="L24" s="3">
        <v>68.0</v>
      </c>
      <c r="M24" s="3">
        <v>94.0</v>
      </c>
      <c r="N24" s="3">
        <v>1.0</v>
      </c>
      <c r="O24" s="6">
        <v>46234.0</v>
      </c>
      <c r="P24" s="3">
        <v>0.0</v>
      </c>
      <c r="Q24" s="3" t="s">
        <v>25</v>
      </c>
      <c r="R24" s="3">
        <v>1.0</v>
      </c>
      <c r="S24" s="3" t="s">
        <v>26</v>
      </c>
      <c r="T24" s="3" t="s">
        <v>34</v>
      </c>
      <c r="U24" s="3" t="s">
        <v>32</v>
      </c>
      <c r="V24" s="2"/>
      <c r="W24" s="2"/>
      <c r="X24" s="2"/>
    </row>
    <row r="25">
      <c r="A25" s="5" t="str">
        <f>HYPERLINK("https://observepoint.my.salesforce.com/006VH00000afYYsYAM", "2026 - REN - DeVry University")</f>
        <v>2026 - REN - DeVry University</v>
      </c>
      <c r="B25" s="6">
        <v>46234.0</v>
      </c>
      <c r="C25" s="7" t="s">
        <v>22</v>
      </c>
      <c r="D25" s="8">
        <v>20000.0</v>
      </c>
      <c r="E25" s="8">
        <v>20000.0</v>
      </c>
      <c r="F25" s="3" t="s">
        <v>43</v>
      </c>
      <c r="G25" s="3" t="s">
        <v>47</v>
      </c>
      <c r="H25" s="8">
        <v>20000.0</v>
      </c>
      <c r="I25" s="3">
        <v>24.0</v>
      </c>
      <c r="J25" s="9">
        <v>1.32047619047619</v>
      </c>
      <c r="K25" s="9">
        <v>0.032</v>
      </c>
      <c r="L25" s="3">
        <v>83.0</v>
      </c>
      <c r="M25" s="3">
        <v>118.0</v>
      </c>
      <c r="N25" s="3">
        <v>1.0</v>
      </c>
      <c r="O25" s="6">
        <v>46234.0</v>
      </c>
      <c r="P25" s="3">
        <v>0.0</v>
      </c>
      <c r="Q25" s="3" t="s">
        <v>25</v>
      </c>
      <c r="R25" s="3">
        <v>1.0</v>
      </c>
      <c r="S25" s="3" t="s">
        <v>26</v>
      </c>
      <c r="T25" s="3" t="s">
        <v>42</v>
      </c>
      <c r="U25" s="2"/>
      <c r="V25" s="2"/>
      <c r="W25" s="2"/>
      <c r="X25" s="2"/>
    </row>
    <row r="26">
      <c r="A26" s="5" t="str">
        <f>HYPERLINK("https://observepoint.my.salesforce.com/006VH00000aMlQ9YAK", "2026 - REN - Woolworths Group")</f>
        <v>2026 - REN - Woolworths Group</v>
      </c>
      <c r="B26" s="6">
        <v>46242.0</v>
      </c>
      <c r="C26" s="7" t="s">
        <v>48</v>
      </c>
      <c r="D26" s="8">
        <v>22100.0</v>
      </c>
      <c r="E26" s="8">
        <v>22100.0</v>
      </c>
      <c r="F26" s="3" t="s">
        <v>43</v>
      </c>
      <c r="G26" s="3" t="s">
        <v>47</v>
      </c>
      <c r="H26" s="8">
        <v>22100.0</v>
      </c>
      <c r="I26" s="3">
        <v>24.0</v>
      </c>
      <c r="J26" s="9">
        <v>0.58209646518874</v>
      </c>
      <c r="K26" s="9">
        <v>0.278666666666666</v>
      </c>
      <c r="L26" s="3">
        <v>56.0</v>
      </c>
      <c r="M26" s="3">
        <v>97.0</v>
      </c>
      <c r="N26" s="3">
        <v>1.0</v>
      </c>
      <c r="O26" s="6">
        <v>46242.0</v>
      </c>
      <c r="P26" s="3">
        <v>0.0</v>
      </c>
      <c r="Q26" s="3" t="s">
        <v>40</v>
      </c>
      <c r="R26" s="3">
        <v>1.0</v>
      </c>
      <c r="S26" s="3" t="s">
        <v>26</v>
      </c>
      <c r="T26" s="3" t="s">
        <v>31</v>
      </c>
      <c r="U26" s="3" t="s">
        <v>32</v>
      </c>
      <c r="V26" s="2"/>
      <c r="W26" s="2"/>
      <c r="X26" s="2"/>
    </row>
    <row r="27">
      <c r="A27" s="5" t="str">
        <f>HYPERLINK("https://observepoint.my.salesforce.com/006VH00000dNgg2YAC", "2026 - REN - Darden Restaurants")</f>
        <v>2026 - REN - Darden Restaurants</v>
      </c>
      <c r="B27" s="6">
        <v>46295.0</v>
      </c>
      <c r="C27" s="7" t="s">
        <v>22</v>
      </c>
      <c r="D27" s="8">
        <v>30000.0</v>
      </c>
      <c r="E27" s="8">
        <v>30000.0</v>
      </c>
      <c r="F27" s="3" t="s">
        <v>43</v>
      </c>
      <c r="G27" s="3" t="s">
        <v>46</v>
      </c>
      <c r="H27" s="8">
        <v>30000.0</v>
      </c>
      <c r="I27" s="3">
        <v>0.0</v>
      </c>
      <c r="J27" s="9">
        <v>0.424526685513578</v>
      </c>
      <c r="K27" s="9">
        <v>0.02</v>
      </c>
      <c r="L27" s="3">
        <v>85.0</v>
      </c>
      <c r="M27" s="3">
        <v>85.0</v>
      </c>
      <c r="N27" s="3">
        <v>1.0</v>
      </c>
      <c r="O27" s="6">
        <v>46295.0</v>
      </c>
      <c r="P27" s="3">
        <v>0.0</v>
      </c>
      <c r="Q27" s="3" t="s">
        <v>25</v>
      </c>
      <c r="R27" s="3">
        <v>1.0</v>
      </c>
      <c r="S27" s="3" t="s">
        <v>26</v>
      </c>
      <c r="T27" s="3" t="s">
        <v>34</v>
      </c>
      <c r="U27" s="3" t="s">
        <v>32</v>
      </c>
    </row>
    <row r="28">
      <c r="A28" s="5" t="str">
        <f>HYPERLINK("https://observepoint.my.salesforce.com/006VH00000d4Bb9YAE", "2026 - REN - Spark New Zealand")</f>
        <v>2026 - REN - Spark New Zealand</v>
      </c>
      <c r="B28" s="6">
        <v>46296.0</v>
      </c>
      <c r="C28" s="7" t="s">
        <v>22</v>
      </c>
      <c r="D28" s="8">
        <v>27280.0</v>
      </c>
      <c r="E28" s="8">
        <v>27280.0</v>
      </c>
      <c r="F28" s="3" t="s">
        <v>43</v>
      </c>
      <c r="G28" s="3" t="s">
        <v>46</v>
      </c>
      <c r="H28" s="8">
        <v>27280.0</v>
      </c>
      <c r="I28" s="3">
        <v>12.0</v>
      </c>
      <c r="J28" s="9">
        <v>0.919523809523809</v>
      </c>
      <c r="K28" s="9">
        <v>0.124888888888888</v>
      </c>
      <c r="L28" s="3">
        <v>50.0</v>
      </c>
      <c r="M28" s="3">
        <v>98.0</v>
      </c>
      <c r="N28" s="3">
        <v>1.0</v>
      </c>
      <c r="O28" s="6">
        <v>46296.0</v>
      </c>
      <c r="P28" s="3">
        <v>0.0</v>
      </c>
      <c r="Q28" s="3" t="s">
        <v>25</v>
      </c>
      <c r="R28" s="3">
        <v>1.0</v>
      </c>
      <c r="S28" s="3" t="s">
        <v>26</v>
      </c>
      <c r="T28" s="3" t="s">
        <v>31</v>
      </c>
      <c r="U28" s="3" t="s">
        <v>32</v>
      </c>
      <c r="V28" s="2"/>
      <c r="W28" s="2"/>
      <c r="X28" s="2"/>
    </row>
    <row r="29">
      <c r="A29" s="5" t="str">
        <f>HYPERLINK("https://observepoint.my.salesforce.com/006VH00000QAzxhYAD", "2026 - REN - WestJet")</f>
        <v>2026 - REN - WestJet</v>
      </c>
      <c r="B29" s="6">
        <v>46306.0</v>
      </c>
      <c r="C29" s="7" t="s">
        <v>22</v>
      </c>
      <c r="D29" s="8">
        <v>36500.0</v>
      </c>
      <c r="E29" s="8">
        <v>36500.0</v>
      </c>
      <c r="F29" s="3" t="s">
        <v>43</v>
      </c>
      <c r="G29" s="3" t="s">
        <v>46</v>
      </c>
      <c r="H29" s="8">
        <v>36500.0</v>
      </c>
      <c r="I29" s="3">
        <v>12.0</v>
      </c>
      <c r="J29" s="9">
        <v>0.0407877325445629</v>
      </c>
      <c r="K29" s="9">
        <v>0.0238888888888888</v>
      </c>
      <c r="L29" s="3">
        <v>69.0</v>
      </c>
      <c r="M29" s="3">
        <v>103.0</v>
      </c>
      <c r="N29" s="3">
        <v>2.0</v>
      </c>
      <c r="O29" s="6">
        <v>46306.0</v>
      </c>
      <c r="P29" s="3">
        <v>0.0</v>
      </c>
      <c r="Q29" s="3" t="s">
        <v>25</v>
      </c>
      <c r="R29" s="3">
        <v>1.0</v>
      </c>
      <c r="S29" s="3" t="s">
        <v>26</v>
      </c>
      <c r="T29" s="3" t="s">
        <v>34</v>
      </c>
      <c r="U29" s="3" t="s">
        <v>35</v>
      </c>
      <c r="V29" s="2"/>
      <c r="W29" s="2"/>
      <c r="X29" s="2"/>
    </row>
    <row r="30">
      <c r="A30" s="5" t="str">
        <f>HYPERLINK("https://observepoint.my.salesforce.com/006VH00000eaxP7YAI", "2026 - REN - Boston Scientific")</f>
        <v>2026 - REN - Boston Scientific</v>
      </c>
      <c r="B30" s="6">
        <v>46326.0</v>
      </c>
      <c r="C30" s="7" t="s">
        <v>22</v>
      </c>
      <c r="D30" s="8">
        <v>15650.0</v>
      </c>
      <c r="E30" s="8">
        <v>15650.0</v>
      </c>
      <c r="F30" s="3" t="s">
        <v>43</v>
      </c>
      <c r="G30" s="3" t="s">
        <v>46</v>
      </c>
      <c r="H30" s="8">
        <v>15650.0</v>
      </c>
      <c r="I30" s="3">
        <v>0.0</v>
      </c>
      <c r="J30" s="9">
        <v>0.479294117647058</v>
      </c>
      <c r="K30" s="9">
        <v>0.0</v>
      </c>
      <c r="L30" s="3">
        <v>68.0</v>
      </c>
      <c r="M30" s="3">
        <v>90.0</v>
      </c>
      <c r="N30" s="3">
        <v>1.0</v>
      </c>
      <c r="O30" s="6">
        <v>46326.0</v>
      </c>
      <c r="P30" s="3">
        <v>0.0</v>
      </c>
      <c r="Q30" s="3" t="s">
        <v>25</v>
      </c>
      <c r="R30" s="3">
        <v>1.0</v>
      </c>
      <c r="S30" s="3" t="s">
        <v>26</v>
      </c>
      <c r="T30" s="3" t="s">
        <v>34</v>
      </c>
      <c r="U30" s="3" t="s">
        <v>32</v>
      </c>
      <c r="V30" s="2"/>
      <c r="W30" s="2"/>
      <c r="X30" s="2"/>
    </row>
    <row r="31">
      <c r="A31" s="5" t="str">
        <f>HYPERLINK("https://observepoint.my.salesforce.com/006VH00000ei9dFYAQ", "2026 - REN - Dignity Health")</f>
        <v>2026 - REN - Dignity Health</v>
      </c>
      <c r="B31" s="6">
        <v>46326.0</v>
      </c>
      <c r="C31" s="7" t="s">
        <v>22</v>
      </c>
      <c r="D31" s="8">
        <v>35000.0</v>
      </c>
      <c r="E31" s="8">
        <v>35000.0</v>
      </c>
      <c r="F31" s="3" t="s">
        <v>43</v>
      </c>
      <c r="G31" s="3" t="s">
        <v>47</v>
      </c>
      <c r="H31" s="8">
        <v>35000.0</v>
      </c>
      <c r="I31" s="3">
        <v>20.0</v>
      </c>
      <c r="J31" s="9">
        <v>0.6466</v>
      </c>
      <c r="K31" s="9">
        <v>0.0</v>
      </c>
      <c r="L31" s="3">
        <v>70.0</v>
      </c>
      <c r="M31" s="3">
        <v>99.0</v>
      </c>
      <c r="N31" s="3">
        <v>1.0</v>
      </c>
      <c r="O31" s="6">
        <v>46326.0</v>
      </c>
      <c r="P31" s="3">
        <v>0.0</v>
      </c>
      <c r="Q31" s="3" t="s">
        <v>25</v>
      </c>
      <c r="R31" s="3">
        <v>1.0</v>
      </c>
      <c r="S31" s="3" t="s">
        <v>26</v>
      </c>
      <c r="T31" s="3" t="s">
        <v>42</v>
      </c>
      <c r="U31" s="3" t="s">
        <v>28</v>
      </c>
      <c r="V31" s="2"/>
      <c r="W31" s="2"/>
      <c r="X31" s="2"/>
    </row>
    <row r="32">
      <c r="A32" s="5" t="str">
        <f>HYPERLINK("https://observepoint.my.salesforce.com/006VH00000eXhS9YAK", "2026 - REN - Robert Wood Johnson Foundation")</f>
        <v>2026 - REN - Robert Wood Johnson Foundation</v>
      </c>
      <c r="B32" s="6">
        <v>46326.0</v>
      </c>
      <c r="C32" s="7" t="s">
        <v>22</v>
      </c>
      <c r="D32" s="8">
        <v>15000.0</v>
      </c>
      <c r="E32" s="8">
        <v>15000.0</v>
      </c>
      <c r="F32" s="3" t="s">
        <v>43</v>
      </c>
      <c r="G32" s="3" t="s">
        <v>46</v>
      </c>
      <c r="H32" s="8">
        <v>15000.0</v>
      </c>
      <c r="I32" s="3">
        <v>12.0</v>
      </c>
      <c r="J32" s="9">
        <v>0.0</v>
      </c>
      <c r="K32" s="9">
        <v>0.0</v>
      </c>
      <c r="L32" s="3">
        <v>71.0</v>
      </c>
      <c r="M32" s="3">
        <v>90.0</v>
      </c>
      <c r="N32" s="3">
        <v>1.0</v>
      </c>
      <c r="O32" s="6">
        <v>46326.0</v>
      </c>
      <c r="P32" s="3">
        <v>0.0</v>
      </c>
      <c r="Q32" s="3" t="s">
        <v>25</v>
      </c>
      <c r="R32" s="3">
        <v>1.0</v>
      </c>
      <c r="S32" s="3" t="s">
        <v>26</v>
      </c>
      <c r="T32" s="3" t="s">
        <v>34</v>
      </c>
      <c r="U32" s="3" t="s">
        <v>32</v>
      </c>
      <c r="V32" s="2"/>
      <c r="W32" s="2"/>
      <c r="X32" s="2"/>
    </row>
    <row r="33">
      <c r="A33" s="5" t="str">
        <f>HYPERLINK("https://observepoint.my.salesforce.com/006VH00000g1qh7YAA", "2026 - REN - Zenfolio")</f>
        <v>2026 - REN - Zenfolio</v>
      </c>
      <c r="B33" s="6">
        <v>46349.0</v>
      </c>
      <c r="C33" s="7" t="s">
        <v>49</v>
      </c>
      <c r="D33" s="8">
        <v>1479.0</v>
      </c>
      <c r="E33" s="11"/>
      <c r="F33" s="3" t="s">
        <v>43</v>
      </c>
      <c r="G33" s="3" t="s">
        <v>47</v>
      </c>
      <c r="H33" s="8">
        <v>1479.0</v>
      </c>
      <c r="I33" s="3">
        <v>32.0</v>
      </c>
      <c r="J33" s="9">
        <v>3.44554455445544</v>
      </c>
      <c r="K33" s="9">
        <v>0.0</v>
      </c>
      <c r="L33" s="2"/>
      <c r="M33" s="2"/>
      <c r="N33" s="3">
        <v>0.0</v>
      </c>
      <c r="O33" s="6">
        <v>46349.0</v>
      </c>
      <c r="P33" s="3">
        <v>0.0</v>
      </c>
      <c r="Q33" s="3" t="s">
        <v>40</v>
      </c>
      <c r="R33" s="3">
        <v>0.0</v>
      </c>
      <c r="S33" s="3" t="s">
        <v>26</v>
      </c>
      <c r="T33" s="3" t="s">
        <v>27</v>
      </c>
      <c r="U33" s="2"/>
      <c r="V33" s="2"/>
      <c r="W33" s="2"/>
      <c r="X33" s="2"/>
    </row>
    <row r="34">
      <c r="A34" s="5" t="str">
        <f>HYPERLINK("https://observepoint.my.salesforce.com/006VH00000gFGh2YAG", "2026 - REN - K. Hovnanian")</f>
        <v>2026 - REN - K. Hovnanian</v>
      </c>
      <c r="B34" s="6">
        <v>46356.0</v>
      </c>
      <c r="C34" s="7" t="s">
        <v>45</v>
      </c>
      <c r="D34" s="8">
        <v>32000.0</v>
      </c>
      <c r="E34" s="8">
        <v>0.0</v>
      </c>
      <c r="F34" s="3" t="s">
        <v>43</v>
      </c>
      <c r="G34" s="3" t="s">
        <v>47</v>
      </c>
      <c r="H34" s="8">
        <v>32000.0</v>
      </c>
      <c r="I34" s="3">
        <v>44.0</v>
      </c>
      <c r="J34" s="9">
        <v>1.9713479165238</v>
      </c>
      <c r="K34" s="9">
        <v>0.516444444444444</v>
      </c>
      <c r="L34" s="3">
        <v>71.0</v>
      </c>
      <c r="M34" s="3">
        <v>110.0</v>
      </c>
      <c r="N34" s="3">
        <v>1.0</v>
      </c>
      <c r="O34" s="6">
        <v>46356.0</v>
      </c>
      <c r="P34" s="3">
        <v>0.0</v>
      </c>
      <c r="Q34" s="3" t="s">
        <v>40</v>
      </c>
      <c r="R34" s="3">
        <v>2.0</v>
      </c>
      <c r="S34" s="3" t="s">
        <v>26</v>
      </c>
      <c r="T34" s="3" t="s">
        <v>36</v>
      </c>
      <c r="U34" s="3" t="s">
        <v>28</v>
      </c>
      <c r="V34" s="2"/>
      <c r="W34" s="2"/>
      <c r="X34" s="2"/>
    </row>
    <row r="35">
      <c r="A35" s="5" t="str">
        <f>HYPERLINK("https://observepoint.my.salesforce.com/006VH00000gKc8zYAC", "2026 - REN - Prudential Financial Inc.")</f>
        <v>2026 - REN - Prudential Financial Inc.</v>
      </c>
      <c r="B35" s="6">
        <v>46387.0</v>
      </c>
      <c r="C35" s="7" t="s">
        <v>50</v>
      </c>
      <c r="D35" s="8">
        <v>19500.0</v>
      </c>
      <c r="E35" s="8">
        <v>9750.0</v>
      </c>
      <c r="F35" s="3" t="s">
        <v>43</v>
      </c>
      <c r="G35" s="3" t="s">
        <v>47</v>
      </c>
      <c r="H35" s="8">
        <v>19500.0</v>
      </c>
      <c r="I35" s="3">
        <v>36.0</v>
      </c>
      <c r="J35" s="9">
        <v>2.14115092290988</v>
      </c>
      <c r="K35" s="9">
        <v>0.0</v>
      </c>
      <c r="L35" s="3">
        <v>57.0</v>
      </c>
      <c r="M35" s="3">
        <v>89.0</v>
      </c>
      <c r="N35" s="3">
        <v>1.0</v>
      </c>
      <c r="O35" s="6">
        <v>46387.0</v>
      </c>
      <c r="P35" s="3">
        <v>0.0</v>
      </c>
      <c r="Q35" s="3" t="s">
        <v>40</v>
      </c>
      <c r="R35" s="3">
        <v>1.0</v>
      </c>
      <c r="S35" s="3" t="s">
        <v>26</v>
      </c>
      <c r="T35" s="3" t="s">
        <v>36</v>
      </c>
      <c r="U35" s="3" t="s">
        <v>32</v>
      </c>
    </row>
    <row r="36">
      <c r="A36" s="5" t="str">
        <f>HYPERLINK("https://observepoint.my.salesforce.com/006VH00000fpCkLYAU", "2026 - REN - CDW")</f>
        <v>2026 - REN - CDW</v>
      </c>
      <c r="B36" s="6">
        <v>46387.0</v>
      </c>
      <c r="C36" s="7" t="s">
        <v>50</v>
      </c>
      <c r="D36" s="8">
        <v>22200.0</v>
      </c>
      <c r="E36" s="8">
        <v>11100.0</v>
      </c>
      <c r="F36" s="3" t="s">
        <v>43</v>
      </c>
      <c r="G36" s="3" t="s">
        <v>47</v>
      </c>
      <c r="H36" s="8">
        <v>22200.0</v>
      </c>
      <c r="I36" s="3">
        <v>12.0</v>
      </c>
      <c r="J36" s="9">
        <v>1.6633</v>
      </c>
      <c r="K36" s="9">
        <v>0.200777777777777</v>
      </c>
      <c r="L36" s="3">
        <v>56.0</v>
      </c>
      <c r="M36" s="3">
        <v>99.0</v>
      </c>
      <c r="N36" s="3">
        <v>1.0</v>
      </c>
      <c r="O36" s="6">
        <v>46387.0</v>
      </c>
      <c r="P36" s="3">
        <v>0.0</v>
      </c>
      <c r="Q36" s="3" t="s">
        <v>40</v>
      </c>
      <c r="R36" s="3">
        <v>1.0</v>
      </c>
      <c r="S36" s="3" t="s">
        <v>26</v>
      </c>
      <c r="T36" s="3" t="s">
        <v>34</v>
      </c>
      <c r="U36" s="3" t="s">
        <v>32</v>
      </c>
      <c r="V36" s="2"/>
      <c r="W36" s="2"/>
      <c r="X36" s="2"/>
    </row>
    <row r="37">
      <c r="A37" s="5" t="str">
        <f>HYPERLINK("https://observepoint.my.salesforce.com/006VH00000hSNozYAG", "2027 - REN - Massachusetts Medical Society")</f>
        <v>2027 - REN - Massachusetts Medical Society</v>
      </c>
      <c r="B37" s="6">
        <v>46418.0</v>
      </c>
      <c r="C37" s="7" t="s">
        <v>22</v>
      </c>
      <c r="D37" s="8">
        <v>20000.0</v>
      </c>
      <c r="E37" s="8">
        <v>20000.0</v>
      </c>
      <c r="F37" s="3" t="s">
        <v>43</v>
      </c>
      <c r="G37" s="3" t="s">
        <v>47</v>
      </c>
      <c r="H37" s="8">
        <v>20000.0</v>
      </c>
      <c r="I37" s="3">
        <v>20.0</v>
      </c>
      <c r="J37" s="9">
        <v>0.360833333333333</v>
      </c>
      <c r="K37" s="9">
        <v>0.283809523809523</v>
      </c>
      <c r="L37" s="3">
        <v>78.0</v>
      </c>
      <c r="M37" s="3">
        <v>188.0</v>
      </c>
      <c r="N37" s="3">
        <v>1.0</v>
      </c>
      <c r="O37" s="6">
        <v>46418.0</v>
      </c>
      <c r="P37" s="3">
        <v>0.0</v>
      </c>
      <c r="Q37" s="3" t="s">
        <v>25</v>
      </c>
      <c r="R37" s="3">
        <v>1.0</v>
      </c>
      <c r="S37" s="3" t="s">
        <v>26</v>
      </c>
      <c r="T37" s="3" t="s">
        <v>34</v>
      </c>
      <c r="U37" s="3" t="s">
        <v>28</v>
      </c>
      <c r="V37" s="2"/>
      <c r="W37" s="2"/>
      <c r="X37" s="2"/>
    </row>
    <row r="38">
      <c r="A38" s="5" t="str">
        <f>HYPERLINK("https://observepoint.my.salesforce.com/006VH00000hYYPtYAO", "2027 - REN - Biogen")</f>
        <v>2027 - REN - Biogen</v>
      </c>
      <c r="B38" s="6">
        <v>46418.0</v>
      </c>
      <c r="C38" s="7" t="s">
        <v>45</v>
      </c>
      <c r="D38" s="8">
        <v>30000.0</v>
      </c>
      <c r="E38" s="8">
        <v>0.0</v>
      </c>
      <c r="F38" s="3" t="s">
        <v>43</v>
      </c>
      <c r="G38" s="3" t="s">
        <v>47</v>
      </c>
      <c r="H38" s="8">
        <v>30000.0</v>
      </c>
      <c r="I38" s="3">
        <v>20.0</v>
      </c>
      <c r="J38" s="9">
        <v>0.385946666666666</v>
      </c>
      <c r="K38" s="9">
        <v>0.311222222222222</v>
      </c>
      <c r="L38" s="3">
        <v>126.0</v>
      </c>
      <c r="M38" s="3">
        <v>128.0</v>
      </c>
      <c r="N38" s="3">
        <v>1.0</v>
      </c>
      <c r="O38" s="6">
        <v>46418.0</v>
      </c>
      <c r="P38" s="3">
        <v>0.0</v>
      </c>
      <c r="Q38" s="3" t="s">
        <v>51</v>
      </c>
      <c r="R38" s="3">
        <v>1.0</v>
      </c>
      <c r="S38" s="3" t="s">
        <v>26</v>
      </c>
      <c r="T38" s="3" t="s">
        <v>34</v>
      </c>
      <c r="U38" s="3" t="s">
        <v>28</v>
      </c>
      <c r="V38" s="2"/>
      <c r="W38" s="2"/>
      <c r="X38" s="2"/>
    </row>
    <row r="39">
      <c r="A39" s="5" t="str">
        <f>HYPERLINK("https://observepoint.my.salesforce.com/006VH00000gYVQzYAO", "2027 - REN - Crowdstrike")</f>
        <v>2027 - REN - Crowdstrike</v>
      </c>
      <c r="B39" s="6">
        <v>46418.0</v>
      </c>
      <c r="C39" s="7" t="s">
        <v>50</v>
      </c>
      <c r="D39" s="8">
        <v>30500.0</v>
      </c>
      <c r="E39" s="8">
        <v>15250.0</v>
      </c>
      <c r="F39" s="3" t="s">
        <v>43</v>
      </c>
      <c r="G39" s="3" t="s">
        <v>47</v>
      </c>
      <c r="H39" s="8">
        <v>30500.0</v>
      </c>
      <c r="I39" s="3">
        <v>24.0</v>
      </c>
      <c r="J39" s="9">
        <v>0.952853333333333</v>
      </c>
      <c r="K39" s="9">
        <v>0.352666666666666</v>
      </c>
      <c r="L39" s="3">
        <v>50.0</v>
      </c>
      <c r="M39" s="3">
        <v>145.0</v>
      </c>
      <c r="N39" s="3">
        <v>1.0</v>
      </c>
      <c r="O39" s="6">
        <v>46418.0</v>
      </c>
      <c r="P39" s="3">
        <v>0.0</v>
      </c>
      <c r="Q39" s="3" t="s">
        <v>40</v>
      </c>
      <c r="R39" s="3">
        <v>1.0</v>
      </c>
      <c r="S39" s="3" t="s">
        <v>26</v>
      </c>
      <c r="T39" s="3" t="s">
        <v>31</v>
      </c>
      <c r="U39" s="3" t="s">
        <v>35</v>
      </c>
      <c r="V39" s="2"/>
      <c r="W39" s="2"/>
      <c r="X39" s="2"/>
    </row>
    <row r="40">
      <c r="A40" s="5" t="str">
        <f>HYPERLINK("https://observepoint.my.salesforce.com/006VH000004sghaYAA", "2027 - REN - Export Development Canada")</f>
        <v>2027 - REN - Export Development Canada</v>
      </c>
      <c r="B40" s="6">
        <v>46446.0</v>
      </c>
      <c r="C40" s="7" t="s">
        <v>22</v>
      </c>
      <c r="D40" s="8">
        <v>18000.0</v>
      </c>
      <c r="E40" s="8">
        <v>18000.0</v>
      </c>
      <c r="F40" s="3" t="s">
        <v>43</v>
      </c>
      <c r="G40" s="3" t="s">
        <v>47</v>
      </c>
      <c r="H40" s="8">
        <v>18000.0</v>
      </c>
      <c r="I40" s="3">
        <v>32.0</v>
      </c>
      <c r="J40" s="9">
        <v>0.299766666666666</v>
      </c>
      <c r="K40" s="10"/>
      <c r="L40" s="3">
        <v>126.0</v>
      </c>
      <c r="M40" s="3">
        <v>204.0</v>
      </c>
      <c r="N40" s="3">
        <v>1.0</v>
      </c>
      <c r="O40" s="6">
        <v>46446.0</v>
      </c>
      <c r="P40" s="3">
        <v>0.0</v>
      </c>
      <c r="Q40" s="3" t="s">
        <v>25</v>
      </c>
      <c r="R40" s="3">
        <v>1.0</v>
      </c>
      <c r="S40" s="3" t="s">
        <v>26</v>
      </c>
      <c r="T40" s="3" t="s">
        <v>34</v>
      </c>
      <c r="U40" s="3" t="s">
        <v>28</v>
      </c>
      <c r="V40" s="2"/>
      <c r="W40" s="2"/>
      <c r="X40" s="2"/>
    </row>
    <row r="41">
      <c r="A41" s="5" t="str">
        <f>HYPERLINK("https://observepoint.my.salesforce.com/006VH00000hphgTYAQ", "2027 - REN - Lumen")</f>
        <v>2027 - REN - Lumen</v>
      </c>
      <c r="B41" s="6">
        <v>46446.0</v>
      </c>
      <c r="C41" s="7" t="s">
        <v>50</v>
      </c>
      <c r="D41" s="8">
        <v>23000.0</v>
      </c>
      <c r="E41" s="8">
        <v>11500.0</v>
      </c>
      <c r="F41" s="3" t="s">
        <v>43</v>
      </c>
      <c r="G41" s="3" t="s">
        <v>47</v>
      </c>
      <c r="H41" s="8">
        <v>23000.0</v>
      </c>
      <c r="I41" s="3">
        <v>0.0</v>
      </c>
      <c r="J41" s="9">
        <v>1.2092</v>
      </c>
      <c r="K41" s="9">
        <v>0.184</v>
      </c>
      <c r="L41" s="3">
        <v>54.0</v>
      </c>
      <c r="M41" s="3">
        <v>258.0</v>
      </c>
      <c r="N41" s="3">
        <v>1.0</v>
      </c>
      <c r="O41" s="6">
        <v>46446.0</v>
      </c>
      <c r="P41" s="3">
        <v>0.0</v>
      </c>
      <c r="Q41" s="3" t="s">
        <v>51</v>
      </c>
      <c r="R41" s="3">
        <v>1.0</v>
      </c>
      <c r="S41" s="3" t="s">
        <v>26</v>
      </c>
      <c r="T41" s="3" t="s">
        <v>31</v>
      </c>
      <c r="U41" s="3" t="s">
        <v>32</v>
      </c>
      <c r="V41" s="2"/>
      <c r="W41" s="2"/>
      <c r="X41" s="2"/>
    </row>
    <row r="42">
      <c r="A42" s="5" t="str">
        <f>HYPERLINK("https://observepoint.my.salesforce.com/006VH00000ajztpYAA", "2027 - REN - Athenahealth")</f>
        <v>2027 - REN - Athenahealth</v>
      </c>
      <c r="B42" s="6">
        <v>46598.0</v>
      </c>
      <c r="C42" s="7" t="s">
        <v>22</v>
      </c>
      <c r="D42" s="8">
        <v>27341.0</v>
      </c>
      <c r="E42" s="8">
        <v>27341.0</v>
      </c>
      <c r="F42" s="3" t="s">
        <v>43</v>
      </c>
      <c r="G42" s="3" t="s">
        <v>46</v>
      </c>
      <c r="H42" s="8">
        <v>27341.0</v>
      </c>
      <c r="I42" s="3">
        <v>32.0</v>
      </c>
      <c r="J42" s="9">
        <v>0.646883145091225</v>
      </c>
      <c r="K42" s="9">
        <v>0.0</v>
      </c>
      <c r="L42" s="3">
        <v>83.0</v>
      </c>
      <c r="M42" s="3">
        <v>40.0</v>
      </c>
      <c r="N42" s="3">
        <v>1.0</v>
      </c>
      <c r="O42" s="6">
        <v>46598.0</v>
      </c>
      <c r="P42" s="3">
        <v>0.0</v>
      </c>
      <c r="Q42" s="3" t="s">
        <v>25</v>
      </c>
      <c r="R42" s="3">
        <v>1.0</v>
      </c>
      <c r="S42" s="3" t="s">
        <v>26</v>
      </c>
      <c r="T42" s="3" t="s">
        <v>34</v>
      </c>
      <c r="U42" s="2"/>
      <c r="V42" s="2"/>
      <c r="W42" s="2"/>
      <c r="X42" s="2"/>
    </row>
    <row r="43">
      <c r="A43" s="5" t="str">
        <f>HYPERLINK("https://observepoint.my.salesforce.com/006VH00000aichcYAA", "2027 - REN - Mediacorp Pte Ltd")</f>
        <v>2027 - REN - Mediacorp Pte Ltd</v>
      </c>
      <c r="B43" s="6">
        <v>46599.0</v>
      </c>
      <c r="C43" s="7" t="s">
        <v>22</v>
      </c>
      <c r="D43" s="8">
        <v>41000.0</v>
      </c>
      <c r="E43" s="8">
        <v>41000.0</v>
      </c>
      <c r="F43" s="3" t="s">
        <v>43</v>
      </c>
      <c r="G43" s="3" t="s">
        <v>46</v>
      </c>
      <c r="H43" s="8">
        <v>41000.0</v>
      </c>
      <c r="I43" s="3">
        <v>24.0</v>
      </c>
      <c r="J43" s="9">
        <v>0.255666666666666</v>
      </c>
      <c r="K43" s="9">
        <v>0.0</v>
      </c>
      <c r="L43" s="3">
        <v>126.0</v>
      </c>
      <c r="M43" s="3">
        <v>126.0</v>
      </c>
      <c r="N43" s="3">
        <v>1.0</v>
      </c>
      <c r="O43" s="6">
        <v>46599.0</v>
      </c>
      <c r="P43" s="3">
        <v>0.0</v>
      </c>
      <c r="Q43" s="3" t="s">
        <v>25</v>
      </c>
      <c r="R43" s="3">
        <v>1.0</v>
      </c>
      <c r="S43" s="3" t="s">
        <v>26</v>
      </c>
      <c r="T43" s="3" t="s">
        <v>42</v>
      </c>
      <c r="U43" s="3" t="s">
        <v>28</v>
      </c>
    </row>
    <row r="44">
      <c r="A44" s="5" t="str">
        <f>HYPERLINK("https://observepoint.my.salesforce.com/006VH00000e3aEPYAY", "2027 - REN - JM Family Enterprises")</f>
        <v>2027 - REN - JM Family Enterprises</v>
      </c>
      <c r="B44" s="6">
        <v>46690.0</v>
      </c>
      <c r="C44" s="7" t="s">
        <v>22</v>
      </c>
      <c r="D44" s="8">
        <v>40000.0</v>
      </c>
      <c r="E44" s="8">
        <v>40000.0</v>
      </c>
      <c r="F44" s="3" t="s">
        <v>43</v>
      </c>
      <c r="G44" s="3" t="s">
        <v>47</v>
      </c>
      <c r="H44" s="8">
        <v>40000.0</v>
      </c>
      <c r="I44" s="3">
        <v>12.0</v>
      </c>
      <c r="J44" s="9">
        <v>0.53331333283332</v>
      </c>
      <c r="K44" s="9">
        <v>0.239333333333333</v>
      </c>
      <c r="L44" s="3">
        <v>69.0</v>
      </c>
      <c r="M44" s="3">
        <v>153.0</v>
      </c>
      <c r="N44" s="3">
        <v>1.0</v>
      </c>
      <c r="O44" s="6">
        <v>46690.0</v>
      </c>
      <c r="P44" s="3">
        <v>0.0</v>
      </c>
      <c r="Q44" s="3" t="s">
        <v>25</v>
      </c>
      <c r="R44" s="3">
        <v>1.0</v>
      </c>
      <c r="S44" s="3" t="s">
        <v>26</v>
      </c>
      <c r="T44" s="3" t="s">
        <v>34</v>
      </c>
      <c r="U44" s="3" t="s">
        <v>28</v>
      </c>
      <c r="V44" s="2"/>
      <c r="W44" s="2"/>
      <c r="X44" s="2"/>
    </row>
    <row r="45">
      <c r="B45" s="12"/>
      <c r="C45" s="2"/>
      <c r="D45" s="11"/>
      <c r="E45" s="11"/>
      <c r="F45" s="2"/>
      <c r="G45" s="2"/>
      <c r="H45" s="11"/>
      <c r="I45" s="2"/>
      <c r="J45" s="10"/>
      <c r="K45" s="10"/>
      <c r="L45" s="2"/>
      <c r="M45" s="2"/>
      <c r="N45" s="2"/>
      <c r="O45" s="12"/>
      <c r="P45" s="2"/>
      <c r="Q45" s="2"/>
      <c r="R45" s="2"/>
      <c r="S45" s="2"/>
      <c r="T45" s="2"/>
      <c r="U45" s="2"/>
      <c r="V45" s="2"/>
      <c r="W45" s="2"/>
      <c r="X45"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 customWidth="1" min="2" max="2" width="72.88"/>
  </cols>
  <sheetData>
    <row r="1">
      <c r="A1" s="1" t="s">
        <v>52</v>
      </c>
      <c r="B1" s="1" t="s">
        <v>53</v>
      </c>
      <c r="D1" s="3" t="s">
        <v>21</v>
      </c>
      <c r="E1" s="4">
        <v>46037.5322103588</v>
      </c>
    </row>
    <row r="2">
      <c r="A2" s="3" t="s">
        <v>54</v>
      </c>
      <c r="B2" s="3" t="s">
        <v>55</v>
      </c>
    </row>
    <row r="3">
      <c r="A3" s="3" t="s">
        <v>56</v>
      </c>
      <c r="B3" s="3" t="s">
        <v>57</v>
      </c>
    </row>
    <row r="4">
      <c r="A4" s="3" t="s">
        <v>58</v>
      </c>
      <c r="B4" s="3" t="s">
        <v>59</v>
      </c>
    </row>
    <row r="5">
      <c r="A5" s="3" t="s">
        <v>60</v>
      </c>
      <c r="B5" s="3" t="s">
        <v>61</v>
      </c>
    </row>
    <row r="6">
      <c r="A6" s="3" t="s">
        <v>62</v>
      </c>
      <c r="B6" s="3" t="s">
        <v>63</v>
      </c>
    </row>
    <row r="7">
      <c r="A7" s="3" t="s">
        <v>64</v>
      </c>
      <c r="B7" s="3" t="s">
        <v>65</v>
      </c>
    </row>
    <row r="8">
      <c r="A8" s="3" t="s">
        <v>66</v>
      </c>
      <c r="B8" s="3" t="s">
        <v>67</v>
      </c>
    </row>
    <row r="9">
      <c r="A9" s="3" t="s">
        <v>68</v>
      </c>
      <c r="B9" s="3" t="s">
        <v>69</v>
      </c>
    </row>
    <row r="10">
      <c r="A10" s="3" t="s">
        <v>70</v>
      </c>
      <c r="B10" s="3" t="s">
        <v>71</v>
      </c>
    </row>
    <row r="11">
      <c r="A11" s="3" t="s">
        <v>72</v>
      </c>
      <c r="B11" s="3" t="s">
        <v>73</v>
      </c>
    </row>
    <row r="12">
      <c r="A12" s="3" t="s">
        <v>74</v>
      </c>
      <c r="B12" s="3" t="s">
        <v>75</v>
      </c>
    </row>
    <row r="13">
      <c r="A13" s="3" t="s">
        <v>76</v>
      </c>
      <c r="B13" s="3" t="s">
        <v>77</v>
      </c>
    </row>
    <row r="14">
      <c r="A14" s="3" t="s">
        <v>78</v>
      </c>
      <c r="B14" s="3" t="s">
        <v>79</v>
      </c>
    </row>
    <row r="15">
      <c r="A15" s="3" t="s">
        <v>80</v>
      </c>
      <c r="B15" s="3" t="s">
        <v>81</v>
      </c>
    </row>
    <row r="16">
      <c r="A16" s="3" t="s">
        <v>82</v>
      </c>
      <c r="B16" s="3" t="s">
        <v>83</v>
      </c>
    </row>
    <row r="17">
      <c r="A17" s="3" t="s">
        <v>84</v>
      </c>
      <c r="B17" s="3" t="s">
        <v>85</v>
      </c>
    </row>
    <row r="18">
      <c r="A18" s="3" t="s">
        <v>86</v>
      </c>
      <c r="B18" s="3" t="s">
        <v>87</v>
      </c>
    </row>
    <row r="19">
      <c r="A19" s="3" t="s">
        <v>88</v>
      </c>
      <c r="B19" s="3" t="s">
        <v>89</v>
      </c>
    </row>
    <row r="20">
      <c r="A20" s="3" t="s">
        <v>90</v>
      </c>
      <c r="B20" s="3" t="s">
        <v>91</v>
      </c>
    </row>
    <row r="21">
      <c r="A21" s="3" t="s">
        <v>92</v>
      </c>
      <c r="B21" s="3" t="s">
        <v>93</v>
      </c>
    </row>
    <row r="22">
      <c r="A22" s="3" t="s">
        <v>94</v>
      </c>
      <c r="B22" s="3" t="s">
        <v>95</v>
      </c>
    </row>
    <row r="23">
      <c r="A23" s="3" t="s">
        <v>96</v>
      </c>
      <c r="B23" s="3" t="s">
        <v>97</v>
      </c>
    </row>
    <row r="24">
      <c r="A24" s="3" t="s">
        <v>98</v>
      </c>
      <c r="B24" s="3" t="s">
        <v>99</v>
      </c>
    </row>
    <row r="25">
      <c r="A25" s="3" t="s">
        <v>100</v>
      </c>
      <c r="B25" s="3" t="s">
        <v>101</v>
      </c>
    </row>
    <row r="26">
      <c r="A26" s="3" t="s">
        <v>102</v>
      </c>
      <c r="B26" s="3" t="s">
        <v>103</v>
      </c>
    </row>
    <row r="27">
      <c r="A27" s="3" t="s">
        <v>104</v>
      </c>
      <c r="B27" s="3" t="s">
        <v>105</v>
      </c>
    </row>
    <row r="28">
      <c r="A28" s="3" t="s">
        <v>106</v>
      </c>
      <c r="B28" s="3" t="s">
        <v>107</v>
      </c>
    </row>
    <row r="29">
      <c r="A29" s="3" t="s">
        <v>108</v>
      </c>
      <c r="B29" s="3" t="s">
        <v>109</v>
      </c>
    </row>
    <row r="30">
      <c r="A30" s="3" t="s">
        <v>110</v>
      </c>
      <c r="B30" s="3" t="s">
        <v>111</v>
      </c>
    </row>
    <row r="31">
      <c r="A31" s="3" t="s">
        <v>112</v>
      </c>
      <c r="B31" s="3" t="s">
        <v>113</v>
      </c>
    </row>
    <row r="32">
      <c r="A32" s="3" t="s">
        <v>114</v>
      </c>
      <c r="B32" s="3" t="s">
        <v>115</v>
      </c>
    </row>
    <row r="33">
      <c r="A33" s="3" t="s">
        <v>116</v>
      </c>
      <c r="B33" s="3" t="s">
        <v>117</v>
      </c>
    </row>
    <row r="34">
      <c r="A34" s="3" t="s">
        <v>118</v>
      </c>
      <c r="B34" s="3" t="s">
        <v>119</v>
      </c>
    </row>
    <row r="35">
      <c r="A35" s="3" t="s">
        <v>120</v>
      </c>
      <c r="B35" s="3" t="s">
        <v>121</v>
      </c>
    </row>
    <row r="36">
      <c r="A36" s="3" t="s">
        <v>122</v>
      </c>
      <c r="B36" s="3" t="s">
        <v>123</v>
      </c>
    </row>
    <row r="37">
      <c r="A37" s="3" t="s">
        <v>124</v>
      </c>
      <c r="B37" s="3" t="s">
        <v>125</v>
      </c>
    </row>
    <row r="38">
      <c r="A38" s="3" t="s">
        <v>126</v>
      </c>
      <c r="B38" s="3" t="s">
        <v>127</v>
      </c>
    </row>
    <row r="39">
      <c r="A39" s="3" t="s">
        <v>128</v>
      </c>
      <c r="B39" s="3" t="s">
        <v>129</v>
      </c>
    </row>
    <row r="40">
      <c r="A40" s="3" t="s">
        <v>130</v>
      </c>
      <c r="B40" s="3" t="s">
        <v>131</v>
      </c>
    </row>
    <row r="41">
      <c r="A41" s="3" t="s">
        <v>132</v>
      </c>
      <c r="B41" s="3" t="s">
        <v>133</v>
      </c>
    </row>
    <row r="42">
      <c r="A42" s="3" t="s">
        <v>134</v>
      </c>
      <c r="B42" s="3" t="s">
        <v>135</v>
      </c>
    </row>
    <row r="43">
      <c r="A43" s="3" t="s">
        <v>136</v>
      </c>
      <c r="B43" s="3" t="s">
        <v>137</v>
      </c>
    </row>
    <row r="44">
      <c r="A44" s="3" t="s">
        <v>138</v>
      </c>
      <c r="B44" s="3" t="s">
        <v>139</v>
      </c>
    </row>
    <row r="45">
      <c r="A45" s="3" t="s">
        <v>140</v>
      </c>
      <c r="B45" s="3" t="s">
        <v>141</v>
      </c>
    </row>
    <row r="46">
      <c r="A46" s="3" t="s">
        <v>142</v>
      </c>
      <c r="B46" s="3" t="s">
        <v>143</v>
      </c>
    </row>
    <row r="47">
      <c r="A47" s="3" t="s">
        <v>144</v>
      </c>
      <c r="B47" s="3" t="s">
        <v>145</v>
      </c>
    </row>
    <row r="48">
      <c r="A48" s="3" t="s">
        <v>146</v>
      </c>
      <c r="B48" s="3" t="s">
        <v>147</v>
      </c>
    </row>
    <row r="49">
      <c r="A49" s="3" t="s">
        <v>148</v>
      </c>
      <c r="B49" s="3" t="s">
        <v>149</v>
      </c>
    </row>
    <row r="50">
      <c r="A50" s="3" t="s">
        <v>150</v>
      </c>
      <c r="B50" s="3" t="s">
        <v>151</v>
      </c>
    </row>
    <row r="51">
      <c r="A51" s="3" t="s">
        <v>152</v>
      </c>
      <c r="B51" s="3" t="s">
        <v>153</v>
      </c>
    </row>
    <row r="52">
      <c r="A52" s="3" t="s">
        <v>154</v>
      </c>
      <c r="B52" s="3" t="s">
        <v>155</v>
      </c>
    </row>
    <row r="53">
      <c r="A53" s="3" t="s">
        <v>156</v>
      </c>
      <c r="B53" s="3" t="s">
        <v>157</v>
      </c>
    </row>
    <row r="54">
      <c r="A54" s="3" t="s">
        <v>158</v>
      </c>
      <c r="B54" s="3" t="s">
        <v>159</v>
      </c>
    </row>
    <row r="55">
      <c r="A55" s="3" t="s">
        <v>160</v>
      </c>
      <c r="B55" s="3" t="s">
        <v>161</v>
      </c>
    </row>
    <row r="56">
      <c r="A56" s="3" t="s">
        <v>162</v>
      </c>
      <c r="B56" s="3" t="s">
        <v>163</v>
      </c>
    </row>
    <row r="57">
      <c r="A57" s="3" t="s">
        <v>164</v>
      </c>
      <c r="B57" s="3" t="s">
        <v>165</v>
      </c>
    </row>
    <row r="58">
      <c r="A58" s="3" t="s">
        <v>166</v>
      </c>
      <c r="B58" s="3" t="s">
        <v>167</v>
      </c>
    </row>
    <row r="59">
      <c r="A59" s="3" t="s">
        <v>168</v>
      </c>
      <c r="B59" s="3" t="s">
        <v>169</v>
      </c>
    </row>
    <row r="60">
      <c r="A60" s="3" t="s">
        <v>170</v>
      </c>
      <c r="B60" s="3" t="s">
        <v>171</v>
      </c>
    </row>
    <row r="61">
      <c r="A61" s="3" t="s">
        <v>172</v>
      </c>
      <c r="B61" s="3" t="s">
        <v>173</v>
      </c>
    </row>
    <row r="62">
      <c r="A62" s="3" t="s">
        <v>174</v>
      </c>
      <c r="B62" s="3" t="s">
        <v>175</v>
      </c>
    </row>
    <row r="63">
      <c r="A63" s="3" t="s">
        <v>176</v>
      </c>
      <c r="B63" s="3" t="s">
        <v>177</v>
      </c>
    </row>
    <row r="64">
      <c r="A64" s="3" t="s">
        <v>178</v>
      </c>
      <c r="B64" s="3" t="s">
        <v>179</v>
      </c>
    </row>
    <row r="65">
      <c r="A65" s="3" t="s">
        <v>180</v>
      </c>
      <c r="B65" s="3" t="s">
        <v>181</v>
      </c>
    </row>
    <row r="66">
      <c r="A66" s="3" t="s">
        <v>182</v>
      </c>
      <c r="B66" s="3" t="s">
        <v>183</v>
      </c>
    </row>
    <row r="67">
      <c r="A67" s="3" t="s">
        <v>184</v>
      </c>
      <c r="B67" s="3" t="s">
        <v>185</v>
      </c>
    </row>
    <row r="68">
      <c r="A68" s="3" t="s">
        <v>186</v>
      </c>
      <c r="B68" s="3" t="s">
        <v>187</v>
      </c>
    </row>
    <row r="69">
      <c r="A69" s="3" t="s">
        <v>188</v>
      </c>
      <c r="B69" s="3" t="s">
        <v>189</v>
      </c>
    </row>
    <row r="70">
      <c r="A70" s="3" t="s">
        <v>190</v>
      </c>
      <c r="B70" s="3" t="s">
        <v>191</v>
      </c>
    </row>
    <row r="71">
      <c r="A71" s="3" t="s">
        <v>192</v>
      </c>
      <c r="B71" s="3" t="s">
        <v>193</v>
      </c>
    </row>
    <row r="72">
      <c r="A72" s="3" t="s">
        <v>194</v>
      </c>
      <c r="B72" s="3" t="s">
        <v>195</v>
      </c>
    </row>
    <row r="73">
      <c r="A73" s="3" t="s">
        <v>196</v>
      </c>
      <c r="B73" s="3" t="s">
        <v>197</v>
      </c>
    </row>
    <row r="74">
      <c r="A74" s="3" t="s">
        <v>198</v>
      </c>
      <c r="B74" s="3" t="s">
        <v>199</v>
      </c>
    </row>
    <row r="75">
      <c r="A75" s="3" t="s">
        <v>200</v>
      </c>
      <c r="B75" s="3" t="s">
        <v>201</v>
      </c>
    </row>
    <row r="76">
      <c r="A76" s="3" t="s">
        <v>202</v>
      </c>
      <c r="B76" s="3" t="s">
        <v>203</v>
      </c>
    </row>
    <row r="77">
      <c r="A77" s="3" t="s">
        <v>204</v>
      </c>
      <c r="B77" s="3" t="s">
        <v>205</v>
      </c>
    </row>
    <row r="78">
      <c r="A78" s="3" t="s">
        <v>206</v>
      </c>
      <c r="B78" s="3" t="s">
        <v>207</v>
      </c>
    </row>
    <row r="79">
      <c r="A79" s="3" t="s">
        <v>208</v>
      </c>
      <c r="B79" s="3" t="s">
        <v>209</v>
      </c>
    </row>
    <row r="80">
      <c r="A80" s="3" t="s">
        <v>210</v>
      </c>
      <c r="B80" s="3" t="s">
        <v>211</v>
      </c>
    </row>
    <row r="81">
      <c r="A81" s="3" t="s">
        <v>212</v>
      </c>
      <c r="B81" s="3" t="s">
        <v>213</v>
      </c>
    </row>
    <row r="82">
      <c r="A82" s="3" t="s">
        <v>214</v>
      </c>
      <c r="B82" s="3" t="s">
        <v>215</v>
      </c>
    </row>
    <row r="83">
      <c r="A83" s="3" t="s">
        <v>216</v>
      </c>
      <c r="B83" s="3" t="s">
        <v>217</v>
      </c>
    </row>
    <row r="84">
      <c r="A84" s="3" t="s">
        <v>218</v>
      </c>
      <c r="B84" s="3" t="s">
        <v>219</v>
      </c>
    </row>
    <row r="85">
      <c r="A85" s="3" t="s">
        <v>220</v>
      </c>
      <c r="B85" s="3" t="s">
        <v>221</v>
      </c>
    </row>
    <row r="86">
      <c r="A86" s="3" t="s">
        <v>222</v>
      </c>
      <c r="B86" s="3" t="s">
        <v>223</v>
      </c>
    </row>
    <row r="87">
      <c r="A87" s="3" t="s">
        <v>224</v>
      </c>
      <c r="B87" s="3" t="s">
        <v>225</v>
      </c>
    </row>
    <row r="88">
      <c r="A88" s="3" t="s">
        <v>226</v>
      </c>
      <c r="B88" s="3" t="s">
        <v>227</v>
      </c>
    </row>
    <row r="89">
      <c r="A89" s="3" t="s">
        <v>228</v>
      </c>
      <c r="B89" s="3" t="s">
        <v>229</v>
      </c>
    </row>
    <row r="90">
      <c r="A90" s="3" t="s">
        <v>230</v>
      </c>
      <c r="B90" s="3" t="s">
        <v>231</v>
      </c>
    </row>
    <row r="91">
      <c r="A91" s="3" t="s">
        <v>232</v>
      </c>
      <c r="B91" s="3" t="s">
        <v>233</v>
      </c>
    </row>
    <row r="92">
      <c r="A92" s="3" t="s">
        <v>234</v>
      </c>
      <c r="B92" s="3" t="s">
        <v>235</v>
      </c>
    </row>
    <row r="93">
      <c r="A93" s="3" t="s">
        <v>236</v>
      </c>
      <c r="B93" s="3" t="s">
        <v>237</v>
      </c>
    </row>
    <row r="94">
      <c r="A94" s="3" t="s">
        <v>238</v>
      </c>
      <c r="B94" s="3" t="s">
        <v>239</v>
      </c>
    </row>
    <row r="95">
      <c r="A95" s="3" t="s">
        <v>240</v>
      </c>
      <c r="B95" s="3" t="s">
        <v>241</v>
      </c>
    </row>
    <row r="96">
      <c r="A96" s="3" t="s">
        <v>242</v>
      </c>
      <c r="B96" s="3" t="s">
        <v>243</v>
      </c>
    </row>
    <row r="97">
      <c r="A97" s="3" t="s">
        <v>244</v>
      </c>
      <c r="B97" s="3" t="s">
        <v>245</v>
      </c>
    </row>
    <row r="98">
      <c r="A98" s="3" t="s">
        <v>246</v>
      </c>
      <c r="B98" s="3" t="s">
        <v>247</v>
      </c>
    </row>
    <row r="99">
      <c r="A99" s="3" t="s">
        <v>248</v>
      </c>
      <c r="B99" s="3" t="s">
        <v>249</v>
      </c>
    </row>
    <row r="100">
      <c r="A100" s="3" t="s">
        <v>250</v>
      </c>
      <c r="B100" s="3" t="s">
        <v>251</v>
      </c>
    </row>
    <row r="101">
      <c r="A101" s="3" t="s">
        <v>252</v>
      </c>
      <c r="B101" s="3" t="s">
        <v>253</v>
      </c>
    </row>
    <row r="102">
      <c r="A102" s="3" t="s">
        <v>254</v>
      </c>
      <c r="B102" s="3" t="s">
        <v>255</v>
      </c>
    </row>
    <row r="103">
      <c r="A103" s="3" t="s">
        <v>256</v>
      </c>
      <c r="B103" s="3" t="s">
        <v>257</v>
      </c>
    </row>
    <row r="104">
      <c r="A104" s="3" t="s">
        <v>258</v>
      </c>
      <c r="B104" s="3" t="s">
        <v>259</v>
      </c>
    </row>
    <row r="105">
      <c r="A105" s="3" t="s">
        <v>260</v>
      </c>
      <c r="B105" s="3" t="s">
        <v>261</v>
      </c>
    </row>
    <row r="106">
      <c r="A106" s="3" t="s">
        <v>262</v>
      </c>
      <c r="B106" s="3" t="s">
        <v>263</v>
      </c>
    </row>
    <row r="107">
      <c r="A107" s="3" t="s">
        <v>264</v>
      </c>
      <c r="B107" s="3" t="s">
        <v>265</v>
      </c>
    </row>
    <row r="108">
      <c r="A108" s="3" t="s">
        <v>266</v>
      </c>
      <c r="B108" s="3" t="s">
        <v>267</v>
      </c>
    </row>
    <row r="109">
      <c r="A109" s="3" t="s">
        <v>268</v>
      </c>
      <c r="B109" s="3" t="s">
        <v>269</v>
      </c>
    </row>
    <row r="110">
      <c r="A110" s="3" t="s">
        <v>270</v>
      </c>
      <c r="B110" s="3" t="s">
        <v>271</v>
      </c>
    </row>
    <row r="111">
      <c r="A111" s="3" t="s">
        <v>272</v>
      </c>
      <c r="B111" s="3" t="s">
        <v>273</v>
      </c>
    </row>
    <row r="112">
      <c r="A112" s="3" t="s">
        <v>274</v>
      </c>
      <c r="B112" s="3" t="s">
        <v>275</v>
      </c>
    </row>
    <row r="113">
      <c r="A113" s="3" t="s">
        <v>276</v>
      </c>
      <c r="B113" s="3" t="s">
        <v>277</v>
      </c>
    </row>
    <row r="114">
      <c r="A114" s="3" t="s">
        <v>278</v>
      </c>
      <c r="B114" s="3" t="s">
        <v>279</v>
      </c>
    </row>
    <row r="115">
      <c r="A115" s="3" t="s">
        <v>280</v>
      </c>
      <c r="B115" s="3" t="s">
        <v>281</v>
      </c>
    </row>
    <row r="116">
      <c r="A116" s="3" t="s">
        <v>282</v>
      </c>
      <c r="B116" s="3" t="s">
        <v>283</v>
      </c>
    </row>
    <row r="117">
      <c r="A117" s="3" t="s">
        <v>284</v>
      </c>
      <c r="B117" s="3" t="s">
        <v>285</v>
      </c>
    </row>
    <row r="118">
      <c r="A118" s="3" t="s">
        <v>286</v>
      </c>
      <c r="B118" s="3" t="s">
        <v>287</v>
      </c>
    </row>
    <row r="119">
      <c r="A119" s="3" t="s">
        <v>288</v>
      </c>
      <c r="B119" s="3" t="s">
        <v>289</v>
      </c>
    </row>
    <row r="120">
      <c r="A120" s="3" t="s">
        <v>290</v>
      </c>
      <c r="B120" s="3" t="s">
        <v>291</v>
      </c>
    </row>
    <row r="121">
      <c r="A121" s="3" t="s">
        <v>292</v>
      </c>
      <c r="B121" s="3" t="s">
        <v>293</v>
      </c>
    </row>
    <row r="122">
      <c r="A122" s="3" t="s">
        <v>294</v>
      </c>
      <c r="B122" s="3" t="s">
        <v>295</v>
      </c>
    </row>
    <row r="123">
      <c r="A123" s="3" t="s">
        <v>296</v>
      </c>
      <c r="B123" s="3" t="s">
        <v>297</v>
      </c>
    </row>
    <row r="124">
      <c r="A124" s="3" t="s">
        <v>298</v>
      </c>
      <c r="B124" s="3" t="s">
        <v>299</v>
      </c>
    </row>
    <row r="125">
      <c r="A125" s="3" t="s">
        <v>300</v>
      </c>
      <c r="B125" s="3" t="s">
        <v>301</v>
      </c>
    </row>
    <row r="126">
      <c r="A126" s="3" t="s">
        <v>302</v>
      </c>
      <c r="B126" s="3" t="s">
        <v>303</v>
      </c>
    </row>
    <row r="127">
      <c r="A127" s="3" t="s">
        <v>304</v>
      </c>
      <c r="B127" s="3" t="s">
        <v>305</v>
      </c>
    </row>
    <row r="128">
      <c r="A128" s="3" t="s">
        <v>306</v>
      </c>
      <c r="B128" s="3" t="s">
        <v>307</v>
      </c>
    </row>
    <row r="129">
      <c r="A129" s="3" t="s">
        <v>308</v>
      </c>
      <c r="B129" s="3" t="s">
        <v>309</v>
      </c>
    </row>
    <row r="130">
      <c r="A130" s="3" t="s">
        <v>310</v>
      </c>
      <c r="B130" s="3" t="s">
        <v>311</v>
      </c>
    </row>
    <row r="131">
      <c r="A131" s="3" t="s">
        <v>312</v>
      </c>
      <c r="B131" s="3" t="s">
        <v>313</v>
      </c>
    </row>
    <row r="132">
      <c r="A132" s="3" t="s">
        <v>314</v>
      </c>
      <c r="B132" s="3" t="s">
        <v>315</v>
      </c>
    </row>
    <row r="133">
      <c r="A133" s="3" t="s">
        <v>316</v>
      </c>
      <c r="B133" s="3" t="s">
        <v>317</v>
      </c>
    </row>
    <row r="134">
      <c r="A134" s="3" t="s">
        <v>318</v>
      </c>
      <c r="B134" s="3" t="s">
        <v>319</v>
      </c>
    </row>
    <row r="135">
      <c r="A135" s="3" t="s">
        <v>320</v>
      </c>
      <c r="B135" s="3" t="s">
        <v>321</v>
      </c>
    </row>
    <row r="136">
      <c r="A136" s="3" t="s">
        <v>322</v>
      </c>
      <c r="B136" s="3" t="s">
        <v>323</v>
      </c>
    </row>
    <row r="137">
      <c r="A137" s="3" t="s">
        <v>324</v>
      </c>
      <c r="B137" s="3" t="s">
        <v>325</v>
      </c>
    </row>
    <row r="138">
      <c r="A138" s="3" t="s">
        <v>326</v>
      </c>
      <c r="B138" s="3" t="s">
        <v>327</v>
      </c>
    </row>
    <row r="139">
      <c r="A139" s="3" t="s">
        <v>328</v>
      </c>
      <c r="B139" s="3" t="s">
        <v>329</v>
      </c>
    </row>
    <row r="140">
      <c r="A140" s="3" t="s">
        <v>330</v>
      </c>
      <c r="B140" s="3" t="s">
        <v>331</v>
      </c>
    </row>
    <row r="141">
      <c r="A141" s="3" t="s">
        <v>332</v>
      </c>
      <c r="B141" s="3" t="s">
        <v>333</v>
      </c>
    </row>
    <row r="142">
      <c r="A142" s="3" t="s">
        <v>334</v>
      </c>
      <c r="B142" s="3" t="s">
        <v>335</v>
      </c>
    </row>
    <row r="143">
      <c r="A143" s="3" t="s">
        <v>336</v>
      </c>
      <c r="B143" s="3" t="s">
        <v>337</v>
      </c>
    </row>
    <row r="144">
      <c r="A144" s="3" t="s">
        <v>338</v>
      </c>
      <c r="B144" s="3" t="s">
        <v>339</v>
      </c>
    </row>
    <row r="145">
      <c r="A145" s="3" t="s">
        <v>340</v>
      </c>
      <c r="B145" s="3" t="s">
        <v>341</v>
      </c>
    </row>
    <row r="146">
      <c r="A146" s="3" t="s">
        <v>342</v>
      </c>
      <c r="B146" s="3" t="s">
        <v>343</v>
      </c>
    </row>
    <row r="147">
      <c r="A147" s="3" t="s">
        <v>344</v>
      </c>
      <c r="B147" s="3" t="s">
        <v>345</v>
      </c>
    </row>
    <row r="148">
      <c r="A148" s="3" t="s">
        <v>346</v>
      </c>
      <c r="B148" s="3" t="s">
        <v>347</v>
      </c>
    </row>
    <row r="149">
      <c r="A149" s="3" t="s">
        <v>348</v>
      </c>
      <c r="B149" s="3" t="s">
        <v>349</v>
      </c>
    </row>
    <row r="150">
      <c r="A150" s="3" t="s">
        <v>350</v>
      </c>
      <c r="B150" s="3" t="s">
        <v>351</v>
      </c>
    </row>
    <row r="151">
      <c r="A151" s="3" t="s">
        <v>352</v>
      </c>
      <c r="B151" s="3" t="s">
        <v>353</v>
      </c>
    </row>
    <row r="152">
      <c r="A152" s="3" t="s">
        <v>354</v>
      </c>
      <c r="B152" s="3" t="s">
        <v>355</v>
      </c>
    </row>
    <row r="153">
      <c r="A153" s="3" t="s">
        <v>356</v>
      </c>
      <c r="B153" s="3" t="s">
        <v>357</v>
      </c>
    </row>
    <row r="154">
      <c r="A154" s="3" t="s">
        <v>358</v>
      </c>
      <c r="B154" s="3" t="s">
        <v>359</v>
      </c>
    </row>
    <row r="155">
      <c r="A155" s="3" t="s">
        <v>360</v>
      </c>
      <c r="B155" s="3" t="s">
        <v>361</v>
      </c>
    </row>
    <row r="156">
      <c r="A156" s="3" t="s">
        <v>362</v>
      </c>
      <c r="B156" s="3" t="s">
        <v>363</v>
      </c>
    </row>
    <row r="157">
      <c r="A157" s="3" t="s">
        <v>364</v>
      </c>
      <c r="B157" s="3" t="s">
        <v>365</v>
      </c>
    </row>
    <row r="158">
      <c r="A158" s="3" t="s">
        <v>366</v>
      </c>
      <c r="B158" s="3" t="s">
        <v>367</v>
      </c>
    </row>
    <row r="159">
      <c r="A159" s="3" t="s">
        <v>368</v>
      </c>
      <c r="B159" s="3" t="s">
        <v>369</v>
      </c>
    </row>
    <row r="160">
      <c r="A160" s="3" t="s">
        <v>370</v>
      </c>
      <c r="B160" s="3" t="s">
        <v>371</v>
      </c>
    </row>
    <row r="161">
      <c r="A161" s="3" t="s">
        <v>372</v>
      </c>
      <c r="B161" s="3" t="s">
        <v>373</v>
      </c>
    </row>
    <row r="162">
      <c r="A162" s="3" t="s">
        <v>374</v>
      </c>
      <c r="B162" s="3" t="s">
        <v>375</v>
      </c>
    </row>
    <row r="163">
      <c r="A163" s="3" t="s">
        <v>376</v>
      </c>
      <c r="B163" s="3" t="s">
        <v>377</v>
      </c>
    </row>
    <row r="164">
      <c r="A164" s="3" t="s">
        <v>378</v>
      </c>
      <c r="B164" s="3" t="s">
        <v>379</v>
      </c>
    </row>
    <row r="165">
      <c r="A165" s="3" t="s">
        <v>380</v>
      </c>
      <c r="B165" s="3" t="s">
        <v>381</v>
      </c>
    </row>
    <row r="166">
      <c r="A166" s="3" t="s">
        <v>382</v>
      </c>
      <c r="B166" s="3" t="s">
        <v>383</v>
      </c>
    </row>
    <row r="167">
      <c r="A167" s="3" t="s">
        <v>384</v>
      </c>
      <c r="B167" s="3" t="s">
        <v>385</v>
      </c>
    </row>
    <row r="168">
      <c r="A168" s="3" t="s">
        <v>386</v>
      </c>
      <c r="B168" s="3" t="s">
        <v>387</v>
      </c>
    </row>
    <row r="169">
      <c r="A169" s="3" t="s">
        <v>388</v>
      </c>
      <c r="B169" s="3" t="s">
        <v>389</v>
      </c>
    </row>
    <row r="170">
      <c r="A170" s="3" t="s">
        <v>390</v>
      </c>
      <c r="B170" s="3" t="s">
        <v>391</v>
      </c>
    </row>
    <row r="171">
      <c r="A171" s="3" t="s">
        <v>392</v>
      </c>
      <c r="B171" s="3" t="s">
        <v>393</v>
      </c>
    </row>
    <row r="172">
      <c r="A172" s="3" t="s">
        <v>394</v>
      </c>
      <c r="B172" s="3" t="s">
        <v>395</v>
      </c>
    </row>
    <row r="173">
      <c r="A173" s="3" t="s">
        <v>396</v>
      </c>
      <c r="B173" s="3" t="s">
        <v>397</v>
      </c>
    </row>
    <row r="174">
      <c r="A174" s="3" t="s">
        <v>398</v>
      </c>
      <c r="B174" s="3" t="s">
        <v>399</v>
      </c>
    </row>
    <row r="175">
      <c r="A175" s="3" t="s">
        <v>400</v>
      </c>
      <c r="B175" s="3" t="s">
        <v>401</v>
      </c>
    </row>
    <row r="176">
      <c r="A176" s="3" t="s">
        <v>402</v>
      </c>
      <c r="B176" s="3" t="s">
        <v>403</v>
      </c>
    </row>
    <row r="177">
      <c r="A177" s="3" t="s">
        <v>404</v>
      </c>
      <c r="B177" s="3" t="s">
        <v>405</v>
      </c>
    </row>
    <row r="178">
      <c r="A178" s="3" t="s">
        <v>406</v>
      </c>
      <c r="B178" s="3" t="s">
        <v>407</v>
      </c>
    </row>
    <row r="179">
      <c r="A179" s="3" t="s">
        <v>408</v>
      </c>
      <c r="B179" s="3" t="s">
        <v>409</v>
      </c>
    </row>
    <row r="180">
      <c r="A180" s="3" t="s">
        <v>410</v>
      </c>
      <c r="B180" s="3" t="s">
        <v>411</v>
      </c>
    </row>
    <row r="181">
      <c r="A181" s="3" t="s">
        <v>412</v>
      </c>
      <c r="B181" s="3" t="s">
        <v>413</v>
      </c>
    </row>
    <row r="182">
      <c r="A182" s="3" t="s">
        <v>414</v>
      </c>
      <c r="B182" s="3" t="s">
        <v>415</v>
      </c>
    </row>
    <row r="183">
      <c r="A183" s="3" t="s">
        <v>416</v>
      </c>
      <c r="B183" s="3" t="s">
        <v>417</v>
      </c>
    </row>
    <row r="184">
      <c r="A184" s="3" t="s">
        <v>418</v>
      </c>
      <c r="B184" s="3" t="s">
        <v>419</v>
      </c>
    </row>
    <row r="185">
      <c r="A185" s="3" t="s">
        <v>420</v>
      </c>
      <c r="B185" s="3" t="s">
        <v>421</v>
      </c>
    </row>
    <row r="186">
      <c r="A186" s="3" t="s">
        <v>422</v>
      </c>
      <c r="B186" s="3" t="s">
        <v>423</v>
      </c>
    </row>
    <row r="187">
      <c r="A187" s="3" t="s">
        <v>424</v>
      </c>
      <c r="B187" s="3" t="s">
        <v>425</v>
      </c>
    </row>
    <row r="188">
      <c r="A188" s="3" t="s">
        <v>426</v>
      </c>
      <c r="B188" s="3" t="s">
        <v>427</v>
      </c>
    </row>
    <row r="189">
      <c r="A189" s="3" t="s">
        <v>428</v>
      </c>
      <c r="B189" s="3" t="s">
        <v>429</v>
      </c>
    </row>
    <row r="190">
      <c r="A190" s="3" t="s">
        <v>430</v>
      </c>
      <c r="B190" s="3" t="s">
        <v>431</v>
      </c>
    </row>
    <row r="191">
      <c r="A191" s="3" t="s">
        <v>432</v>
      </c>
      <c r="B191" s="3" t="s">
        <v>433</v>
      </c>
    </row>
    <row r="192">
      <c r="A192" s="3" t="s">
        <v>434</v>
      </c>
      <c r="B192" s="3" t="s">
        <v>435</v>
      </c>
    </row>
    <row r="193">
      <c r="A193" s="3" t="s">
        <v>436</v>
      </c>
      <c r="B193" s="3" t="s">
        <v>437</v>
      </c>
    </row>
    <row r="194">
      <c r="A194" s="3" t="s">
        <v>438</v>
      </c>
      <c r="B194" s="3" t="s">
        <v>439</v>
      </c>
    </row>
    <row r="195">
      <c r="A195" s="3" t="s">
        <v>440</v>
      </c>
      <c r="B195" s="3" t="s">
        <v>441</v>
      </c>
    </row>
    <row r="196">
      <c r="A196" s="3" t="s">
        <v>442</v>
      </c>
      <c r="B196" s="3" t="s">
        <v>443</v>
      </c>
    </row>
    <row r="197">
      <c r="A197" s="3" t="s">
        <v>444</v>
      </c>
      <c r="B197" s="3" t="s">
        <v>445</v>
      </c>
    </row>
    <row r="198">
      <c r="A198" s="3" t="s">
        <v>446</v>
      </c>
      <c r="B198" s="3" t="s">
        <v>447</v>
      </c>
    </row>
    <row r="199">
      <c r="A199" s="3" t="s">
        <v>448</v>
      </c>
      <c r="B199" s="3" t="s">
        <v>449</v>
      </c>
    </row>
    <row r="200">
      <c r="A200" s="3" t="s">
        <v>450</v>
      </c>
      <c r="B200" s="3" t="s">
        <v>451</v>
      </c>
    </row>
    <row r="201">
      <c r="A201" s="3" t="s">
        <v>452</v>
      </c>
      <c r="B201" s="3" t="s">
        <v>453</v>
      </c>
    </row>
    <row r="202">
      <c r="A202" s="3" t="s">
        <v>454</v>
      </c>
      <c r="B202" s="3" t="s">
        <v>455</v>
      </c>
    </row>
    <row r="203">
      <c r="A203" s="3" t="s">
        <v>456</v>
      </c>
      <c r="B203" s="3" t="s">
        <v>457</v>
      </c>
    </row>
    <row r="204">
      <c r="A204" s="3" t="s">
        <v>458</v>
      </c>
      <c r="B204" s="3" t="s">
        <v>459</v>
      </c>
    </row>
    <row r="205">
      <c r="A205" s="3" t="s">
        <v>460</v>
      </c>
      <c r="B205" s="3" t="s">
        <v>461</v>
      </c>
    </row>
    <row r="206">
      <c r="A206" s="3" t="s">
        <v>462</v>
      </c>
      <c r="B206" s="3" t="s">
        <v>463</v>
      </c>
    </row>
    <row r="207">
      <c r="A207" s="3" t="s">
        <v>464</v>
      </c>
      <c r="B207" s="3" t="s">
        <v>465</v>
      </c>
    </row>
    <row r="208">
      <c r="A208" s="3" t="s">
        <v>466</v>
      </c>
      <c r="B208" s="3" t="s">
        <v>467</v>
      </c>
    </row>
    <row r="209">
      <c r="A209" s="3" t="s">
        <v>468</v>
      </c>
      <c r="B209" s="3" t="s">
        <v>469</v>
      </c>
    </row>
    <row r="210">
      <c r="A210" s="3" t="s">
        <v>470</v>
      </c>
      <c r="B210" s="3" t="s">
        <v>471</v>
      </c>
    </row>
    <row r="211">
      <c r="A211" s="3" t="s">
        <v>472</v>
      </c>
      <c r="B211" s="3" t="s">
        <v>473</v>
      </c>
    </row>
    <row r="212">
      <c r="A212" s="3" t="s">
        <v>474</v>
      </c>
      <c r="B212" s="3" t="s">
        <v>475</v>
      </c>
    </row>
    <row r="213">
      <c r="A213" s="3" t="s">
        <v>476</v>
      </c>
      <c r="B213" s="3" t="s">
        <v>477</v>
      </c>
    </row>
    <row r="214">
      <c r="A214" s="3" t="s">
        <v>478</v>
      </c>
      <c r="B214" s="3" t="s">
        <v>479</v>
      </c>
    </row>
    <row r="215">
      <c r="A215" s="3" t="s">
        <v>480</v>
      </c>
      <c r="B215" s="3" t="s">
        <v>481</v>
      </c>
    </row>
    <row r="216">
      <c r="A216" s="3" t="s">
        <v>482</v>
      </c>
      <c r="B216" s="13" t="s">
        <v>483</v>
      </c>
    </row>
    <row r="217">
      <c r="A217" s="3" t="s">
        <v>484</v>
      </c>
      <c r="B217" s="13" t="s">
        <v>485</v>
      </c>
    </row>
    <row r="218">
      <c r="A218" s="3" t="s">
        <v>486</v>
      </c>
      <c r="B218" s="3" t="s">
        <v>487</v>
      </c>
    </row>
    <row r="219">
      <c r="A219" s="3" t="s">
        <v>488</v>
      </c>
      <c r="B219" s="3" t="s">
        <v>489</v>
      </c>
    </row>
    <row r="220">
      <c r="A220" s="3" t="s">
        <v>490</v>
      </c>
      <c r="B220" s="3" t="s">
        <v>491</v>
      </c>
    </row>
    <row r="221">
      <c r="A221" s="3" t="s">
        <v>492</v>
      </c>
      <c r="B221" s="3" t="s">
        <v>493</v>
      </c>
    </row>
    <row r="222">
      <c r="A222" s="3" t="s">
        <v>494</v>
      </c>
      <c r="B222" s="3" t="s">
        <v>495</v>
      </c>
    </row>
    <row r="223">
      <c r="A223" s="3" t="s">
        <v>496</v>
      </c>
      <c r="B223" s="3" t="s">
        <v>497</v>
      </c>
    </row>
    <row r="224">
      <c r="A224" s="3" t="s">
        <v>498</v>
      </c>
      <c r="B224" s="3" t="s">
        <v>499</v>
      </c>
    </row>
    <row r="225">
      <c r="A225" s="3" t="s">
        <v>500</v>
      </c>
      <c r="B225" s="3" t="s">
        <v>501</v>
      </c>
    </row>
    <row r="226">
      <c r="A226" s="3" t="s">
        <v>502</v>
      </c>
      <c r="B226" s="3" t="s">
        <v>503</v>
      </c>
    </row>
    <row r="227">
      <c r="A227" s="3" t="s">
        <v>504</v>
      </c>
      <c r="B227" s="3" t="s">
        <v>505</v>
      </c>
    </row>
    <row r="228">
      <c r="A228" s="3" t="s">
        <v>506</v>
      </c>
      <c r="B228" s="3" t="s">
        <v>507</v>
      </c>
    </row>
    <row r="229">
      <c r="A229" s="3" t="s">
        <v>508</v>
      </c>
      <c r="B229" s="3" t="s">
        <v>509</v>
      </c>
    </row>
    <row r="230">
      <c r="A230" s="3" t="s">
        <v>510</v>
      </c>
      <c r="B230" s="3" t="s">
        <v>511</v>
      </c>
    </row>
    <row r="231">
      <c r="A231" s="3" t="s">
        <v>512</v>
      </c>
      <c r="B231" s="3" t="s">
        <v>513</v>
      </c>
    </row>
    <row r="232">
      <c r="A232" s="3" t="s">
        <v>514</v>
      </c>
      <c r="B232" s="3" t="s">
        <v>515</v>
      </c>
    </row>
    <row r="233">
      <c r="A233" s="3" t="s">
        <v>516</v>
      </c>
      <c r="B233" s="3" t="s">
        <v>517</v>
      </c>
    </row>
    <row r="234">
      <c r="A234" s="3" t="s">
        <v>518</v>
      </c>
      <c r="B234" s="3" t="s">
        <v>519</v>
      </c>
    </row>
    <row r="235">
      <c r="A235" s="3" t="s">
        <v>520</v>
      </c>
      <c r="B235" s="3" t="s">
        <v>521</v>
      </c>
    </row>
    <row r="236">
      <c r="A236" s="3" t="s">
        <v>522</v>
      </c>
      <c r="B236" s="3" t="s">
        <v>523</v>
      </c>
    </row>
    <row r="237">
      <c r="A237" s="3" t="s">
        <v>524</v>
      </c>
      <c r="B237" s="3" t="s">
        <v>525</v>
      </c>
    </row>
    <row r="238">
      <c r="A238" s="3" t="s">
        <v>526</v>
      </c>
      <c r="B238" s="3" t="s">
        <v>527</v>
      </c>
    </row>
    <row r="239">
      <c r="A239" s="3" t="s">
        <v>528</v>
      </c>
      <c r="B239" s="3" t="s">
        <v>529</v>
      </c>
    </row>
    <row r="240">
      <c r="A240" s="3" t="s">
        <v>530</v>
      </c>
      <c r="B240" s="3" t="s">
        <v>531</v>
      </c>
    </row>
    <row r="241">
      <c r="A241" s="3" t="s">
        <v>532</v>
      </c>
      <c r="B241" s="3" t="s">
        <v>533</v>
      </c>
    </row>
    <row r="242">
      <c r="A242" s="3" t="s">
        <v>534</v>
      </c>
      <c r="B242" s="3" t="s">
        <v>535</v>
      </c>
    </row>
    <row r="243">
      <c r="A243" s="3" t="s">
        <v>536</v>
      </c>
      <c r="B243" s="3" t="s">
        <v>537</v>
      </c>
    </row>
    <row r="244">
      <c r="A244" s="3" t="s">
        <v>538</v>
      </c>
      <c r="B244" s="3" t="s">
        <v>539</v>
      </c>
    </row>
    <row r="245">
      <c r="A245" s="3" t="s">
        <v>540</v>
      </c>
      <c r="B245" s="3" t="s">
        <v>541</v>
      </c>
    </row>
    <row r="246">
      <c r="A246" s="3" t="s">
        <v>542</v>
      </c>
      <c r="B246" s="3" t="s">
        <v>543</v>
      </c>
    </row>
    <row r="247">
      <c r="A247" s="3" t="s">
        <v>544</v>
      </c>
      <c r="B247" s="3" t="s">
        <v>545</v>
      </c>
    </row>
    <row r="248">
      <c r="A248" s="3" t="s">
        <v>546</v>
      </c>
      <c r="B248" s="3" t="s">
        <v>547</v>
      </c>
    </row>
    <row r="249">
      <c r="A249" s="3" t="s">
        <v>548</v>
      </c>
      <c r="B249" s="3" t="s">
        <v>549</v>
      </c>
    </row>
    <row r="250">
      <c r="A250" s="3" t="s">
        <v>550</v>
      </c>
      <c r="B250" s="3" t="s">
        <v>551</v>
      </c>
    </row>
    <row r="251">
      <c r="A251" s="3" t="s">
        <v>552</v>
      </c>
      <c r="B251" s="3" t="s">
        <v>553</v>
      </c>
    </row>
    <row r="252">
      <c r="A252" s="3" t="s">
        <v>554</v>
      </c>
      <c r="B252" s="3" t="s">
        <v>555</v>
      </c>
    </row>
    <row r="253">
      <c r="A253" s="3" t="s">
        <v>556</v>
      </c>
      <c r="B253" s="3" t="s">
        <v>557</v>
      </c>
    </row>
    <row r="254">
      <c r="A254" s="3" t="s">
        <v>558</v>
      </c>
      <c r="B254" s="3" t="s">
        <v>559</v>
      </c>
    </row>
    <row r="255">
      <c r="A255" s="3" t="s">
        <v>560</v>
      </c>
      <c r="B255" s="3" t="s">
        <v>561</v>
      </c>
    </row>
    <row r="256">
      <c r="A256" s="3" t="s">
        <v>562</v>
      </c>
      <c r="B256" s="3" t="s">
        <v>563</v>
      </c>
    </row>
    <row r="257">
      <c r="A257" s="3" t="s">
        <v>564</v>
      </c>
      <c r="B257" s="3" t="s">
        <v>565</v>
      </c>
    </row>
    <row r="258">
      <c r="A258" s="3" t="s">
        <v>566</v>
      </c>
      <c r="B258" s="3" t="s">
        <v>567</v>
      </c>
    </row>
    <row r="259">
      <c r="A259" s="3" t="s">
        <v>568</v>
      </c>
      <c r="B259" s="3" t="s">
        <v>569</v>
      </c>
    </row>
    <row r="260">
      <c r="A260" s="3" t="s">
        <v>570</v>
      </c>
      <c r="B260" s="3" t="s">
        <v>571</v>
      </c>
    </row>
    <row r="261">
      <c r="A261" s="3" t="s">
        <v>572</v>
      </c>
      <c r="B261" s="3" t="s">
        <v>573</v>
      </c>
    </row>
    <row r="262">
      <c r="A262" s="3" t="s">
        <v>574</v>
      </c>
      <c r="B262" s="3" t="s">
        <v>575</v>
      </c>
    </row>
    <row r="263">
      <c r="A263" s="3" t="s">
        <v>576</v>
      </c>
      <c r="B263" s="3" t="s">
        <v>577</v>
      </c>
    </row>
    <row r="264">
      <c r="A264" s="3" t="s">
        <v>578</v>
      </c>
      <c r="B264" s="3" t="s">
        <v>579</v>
      </c>
    </row>
    <row r="265">
      <c r="A265" s="3" t="s">
        <v>580</v>
      </c>
      <c r="B265" s="3" t="s">
        <v>581</v>
      </c>
    </row>
    <row r="266">
      <c r="A266" s="3" t="s">
        <v>582</v>
      </c>
      <c r="B266" s="3" t="s">
        <v>583</v>
      </c>
    </row>
    <row r="267">
      <c r="A267" s="3" t="s">
        <v>584</v>
      </c>
      <c r="B267" s="3" t="s">
        <v>585</v>
      </c>
    </row>
    <row r="268">
      <c r="A268" s="3" t="s">
        <v>586</v>
      </c>
      <c r="B268" s="3" t="s">
        <v>587</v>
      </c>
    </row>
    <row r="269">
      <c r="A269" s="3" t="s">
        <v>588</v>
      </c>
      <c r="B269" s="3" t="s">
        <v>589</v>
      </c>
    </row>
    <row r="270">
      <c r="A270" s="3" t="s">
        <v>590</v>
      </c>
      <c r="B270" s="3" t="s">
        <v>591</v>
      </c>
    </row>
    <row r="271">
      <c r="A271" s="3" t="s">
        <v>592</v>
      </c>
      <c r="B271" s="3" t="s">
        <v>593</v>
      </c>
    </row>
    <row r="272">
      <c r="A272" s="3" t="s">
        <v>594</v>
      </c>
      <c r="B272" s="3" t="s">
        <v>595</v>
      </c>
    </row>
    <row r="273">
      <c r="A273" s="3" t="s">
        <v>596</v>
      </c>
      <c r="B273" s="3" t="s">
        <v>597</v>
      </c>
    </row>
    <row r="274">
      <c r="A274" s="3" t="s">
        <v>598</v>
      </c>
      <c r="B274" s="3" t="s">
        <v>599</v>
      </c>
    </row>
    <row r="275">
      <c r="A275" s="3" t="s">
        <v>600</v>
      </c>
      <c r="B275" s="3" t="s">
        <v>601</v>
      </c>
    </row>
    <row r="276">
      <c r="A276" s="3" t="s">
        <v>602</v>
      </c>
      <c r="B276" s="3" t="s">
        <v>603</v>
      </c>
    </row>
    <row r="277">
      <c r="A277" s="3" t="s">
        <v>604</v>
      </c>
      <c r="B277" s="3" t="s">
        <v>605</v>
      </c>
    </row>
    <row r="278">
      <c r="A278" s="3" t="s">
        <v>606</v>
      </c>
      <c r="B278" s="3" t="s">
        <v>607</v>
      </c>
    </row>
    <row r="279">
      <c r="A279" s="3" t="s">
        <v>608</v>
      </c>
      <c r="B279" s="3" t="s">
        <v>609</v>
      </c>
    </row>
    <row r="280">
      <c r="A280" s="3" t="s">
        <v>610</v>
      </c>
      <c r="B280" s="3" t="s">
        <v>611</v>
      </c>
    </row>
    <row r="281">
      <c r="A281" s="3" t="s">
        <v>612</v>
      </c>
      <c r="B281" s="3" t="s">
        <v>613</v>
      </c>
    </row>
    <row r="282">
      <c r="A282" s="3" t="s">
        <v>614</v>
      </c>
      <c r="B282" s="3" t="s">
        <v>615</v>
      </c>
    </row>
    <row r="283">
      <c r="A283" s="3" t="s">
        <v>616</v>
      </c>
      <c r="B283" s="3" t="s">
        <v>617</v>
      </c>
    </row>
    <row r="284">
      <c r="A284" s="3" t="s">
        <v>618</v>
      </c>
      <c r="B284" s="3" t="s">
        <v>619</v>
      </c>
    </row>
    <row r="285">
      <c r="A285" s="3" t="s">
        <v>620</v>
      </c>
      <c r="B285" s="3" t="s">
        <v>621</v>
      </c>
    </row>
    <row r="286">
      <c r="A286" s="3" t="s">
        <v>622</v>
      </c>
      <c r="B286" s="3" t="s">
        <v>623</v>
      </c>
    </row>
    <row r="287">
      <c r="A287" s="3" t="s">
        <v>624</v>
      </c>
      <c r="B287" s="3" t="s">
        <v>625</v>
      </c>
    </row>
    <row r="288">
      <c r="A288" s="3" t="s">
        <v>626</v>
      </c>
      <c r="B288" s="3" t="s">
        <v>627</v>
      </c>
    </row>
    <row r="289">
      <c r="A289" s="3" t="s">
        <v>628</v>
      </c>
      <c r="B289" s="3" t="s">
        <v>629</v>
      </c>
    </row>
    <row r="290">
      <c r="A290" s="3" t="s">
        <v>630</v>
      </c>
      <c r="B290" s="3" t="s">
        <v>631</v>
      </c>
    </row>
    <row r="291">
      <c r="A291" s="3" t="s">
        <v>632</v>
      </c>
      <c r="B291" s="3" t="s">
        <v>633</v>
      </c>
    </row>
    <row r="292">
      <c r="A292" s="3" t="s">
        <v>634</v>
      </c>
      <c r="B292" s="3" t="s">
        <v>635</v>
      </c>
    </row>
    <row r="293">
      <c r="A293" s="3" t="s">
        <v>636</v>
      </c>
      <c r="B293" s="3" t="s">
        <v>637</v>
      </c>
    </row>
    <row r="294">
      <c r="A294" s="3" t="s">
        <v>638</v>
      </c>
      <c r="B294" s="3" t="s">
        <v>639</v>
      </c>
    </row>
    <row r="295">
      <c r="A295" s="3" t="s">
        <v>640</v>
      </c>
      <c r="B295" s="3" t="s">
        <v>641</v>
      </c>
    </row>
    <row r="296">
      <c r="A296" s="3" t="s">
        <v>642</v>
      </c>
      <c r="B296" s="3" t="s">
        <v>643</v>
      </c>
    </row>
    <row r="297">
      <c r="A297" s="3" t="s">
        <v>644</v>
      </c>
      <c r="B297" s="3" t="s">
        <v>645</v>
      </c>
    </row>
    <row r="298">
      <c r="A298" s="3" t="s">
        <v>646</v>
      </c>
      <c r="B298" s="3" t="s">
        <v>647</v>
      </c>
    </row>
    <row r="299">
      <c r="A299" s="3" t="s">
        <v>648</v>
      </c>
      <c r="B299" s="3" t="s">
        <v>649</v>
      </c>
    </row>
    <row r="300">
      <c r="A300" s="3" t="s">
        <v>650</v>
      </c>
      <c r="B300" s="3" t="s">
        <v>651</v>
      </c>
    </row>
    <row r="301">
      <c r="A301" s="3" t="s">
        <v>652</v>
      </c>
      <c r="B301" s="3" t="s">
        <v>653</v>
      </c>
    </row>
    <row r="302">
      <c r="A302" s="3" t="s">
        <v>654</v>
      </c>
      <c r="B302" s="3" t="s">
        <v>655</v>
      </c>
    </row>
    <row r="303">
      <c r="A303" s="3" t="s">
        <v>656</v>
      </c>
      <c r="B303" s="3" t="s">
        <v>657</v>
      </c>
    </row>
    <row r="304">
      <c r="A304" s="3" t="s">
        <v>658</v>
      </c>
      <c r="B304" s="3" t="s">
        <v>659</v>
      </c>
    </row>
    <row r="305">
      <c r="A305" s="3" t="s">
        <v>660</v>
      </c>
      <c r="B305" s="3" t="s">
        <v>661</v>
      </c>
    </row>
    <row r="306">
      <c r="A306" s="3" t="s">
        <v>662</v>
      </c>
      <c r="B306" s="3" t="s">
        <v>663</v>
      </c>
    </row>
    <row r="307">
      <c r="A307" s="3" t="s">
        <v>664</v>
      </c>
      <c r="B307" s="3" t="s">
        <v>665</v>
      </c>
    </row>
    <row r="308">
      <c r="A308" s="3" t="s">
        <v>666</v>
      </c>
      <c r="B308" s="3" t="s">
        <v>667</v>
      </c>
    </row>
    <row r="309">
      <c r="A309" s="3" t="s">
        <v>668</v>
      </c>
      <c r="B309" s="3" t="s">
        <v>669</v>
      </c>
    </row>
    <row r="310">
      <c r="A310" s="3" t="s">
        <v>670</v>
      </c>
      <c r="B310" s="3" t="s">
        <v>671</v>
      </c>
    </row>
    <row r="311">
      <c r="A311" s="3" t="s">
        <v>672</v>
      </c>
      <c r="B311" s="3" t="s">
        <v>673</v>
      </c>
    </row>
    <row r="312">
      <c r="A312" s="3" t="s">
        <v>674</v>
      </c>
      <c r="B312" s="3" t="s">
        <v>675</v>
      </c>
    </row>
    <row r="313">
      <c r="A313" s="3" t="s">
        <v>676</v>
      </c>
      <c r="B313" s="3" t="s">
        <v>677</v>
      </c>
    </row>
    <row r="314">
      <c r="A314" s="3" t="s">
        <v>678</v>
      </c>
      <c r="B314" s="3" t="s">
        <v>679</v>
      </c>
    </row>
    <row r="315">
      <c r="A315" s="3" t="s">
        <v>680</v>
      </c>
      <c r="B315" s="3" t="s">
        <v>681</v>
      </c>
    </row>
    <row r="316">
      <c r="A316" s="3" t="s">
        <v>682</v>
      </c>
      <c r="B316" s="3" t="s">
        <v>683</v>
      </c>
    </row>
    <row r="317">
      <c r="A317" s="3" t="s">
        <v>684</v>
      </c>
      <c r="B317" s="3" t="s">
        <v>685</v>
      </c>
    </row>
    <row r="318">
      <c r="A318" s="3" t="s">
        <v>686</v>
      </c>
      <c r="B318" s="3" t="s">
        <v>687</v>
      </c>
    </row>
    <row r="319">
      <c r="A319" s="3" t="s">
        <v>688</v>
      </c>
      <c r="B319" s="3" t="s">
        <v>689</v>
      </c>
    </row>
    <row r="320">
      <c r="A320" s="3" t="s">
        <v>690</v>
      </c>
      <c r="B320" s="3" t="s">
        <v>691</v>
      </c>
    </row>
    <row r="321">
      <c r="A321" s="3" t="s">
        <v>692</v>
      </c>
      <c r="B321" s="3" t="s">
        <v>693</v>
      </c>
    </row>
    <row r="322">
      <c r="A322" s="3" t="s">
        <v>694</v>
      </c>
      <c r="B322" s="3" t="s">
        <v>695</v>
      </c>
    </row>
    <row r="323">
      <c r="A323" s="3" t="s">
        <v>696</v>
      </c>
      <c r="B323" s="3" t="s">
        <v>697</v>
      </c>
    </row>
    <row r="324">
      <c r="A324" s="3" t="s">
        <v>698</v>
      </c>
      <c r="B324" s="3" t="s">
        <v>699</v>
      </c>
    </row>
    <row r="325">
      <c r="A325" s="3" t="s">
        <v>700</v>
      </c>
      <c r="B325" s="3" t="s">
        <v>701</v>
      </c>
    </row>
    <row r="326">
      <c r="A326" s="3" t="s">
        <v>702</v>
      </c>
      <c r="B326" s="3" t="s">
        <v>703</v>
      </c>
    </row>
    <row r="327">
      <c r="A327" s="3" t="s">
        <v>704</v>
      </c>
      <c r="B327" s="3" t="s">
        <v>705</v>
      </c>
    </row>
    <row r="328">
      <c r="A328" s="3" t="s">
        <v>706</v>
      </c>
      <c r="B328" s="3" t="s">
        <v>707</v>
      </c>
    </row>
    <row r="329">
      <c r="A329" s="3" t="s">
        <v>708</v>
      </c>
      <c r="B329" s="3" t="s">
        <v>709</v>
      </c>
    </row>
    <row r="330">
      <c r="A330" s="3" t="s">
        <v>710</v>
      </c>
      <c r="B330" s="3" t="s">
        <v>711</v>
      </c>
    </row>
    <row r="331">
      <c r="A331" s="3" t="s">
        <v>712</v>
      </c>
      <c r="B331" s="3" t="s">
        <v>713</v>
      </c>
    </row>
    <row r="332">
      <c r="A332" s="3" t="s">
        <v>714</v>
      </c>
      <c r="B332" s="3" t="s">
        <v>715</v>
      </c>
    </row>
    <row r="333">
      <c r="A333" s="3" t="s">
        <v>716</v>
      </c>
      <c r="B333" s="3" t="s">
        <v>717</v>
      </c>
    </row>
    <row r="334">
      <c r="A334" s="3" t="s">
        <v>718</v>
      </c>
      <c r="B334" s="3" t="s">
        <v>719</v>
      </c>
    </row>
    <row r="335">
      <c r="A335" s="3" t="s">
        <v>720</v>
      </c>
      <c r="B335" s="3" t="s">
        <v>721</v>
      </c>
    </row>
    <row r="336">
      <c r="A336" s="3" t="s">
        <v>722</v>
      </c>
      <c r="B336" s="3" t="s">
        <v>723</v>
      </c>
    </row>
    <row r="337">
      <c r="A337" s="3" t="s">
        <v>724</v>
      </c>
      <c r="B337" s="3" t="s">
        <v>725</v>
      </c>
    </row>
    <row r="338">
      <c r="A338" s="3" t="s">
        <v>726</v>
      </c>
      <c r="B338" s="3" t="s">
        <v>727</v>
      </c>
    </row>
    <row r="339">
      <c r="A339" s="3" t="s">
        <v>728</v>
      </c>
      <c r="B339" s="3" t="s">
        <v>729</v>
      </c>
    </row>
    <row r="340">
      <c r="A340" s="3" t="s">
        <v>730</v>
      </c>
      <c r="B340" s="3" t="s">
        <v>731</v>
      </c>
    </row>
    <row r="341">
      <c r="A341" s="3" t="s">
        <v>732</v>
      </c>
      <c r="B341" s="3" t="s">
        <v>733</v>
      </c>
    </row>
    <row r="342">
      <c r="A342" s="3" t="s">
        <v>734</v>
      </c>
      <c r="B342" s="3" t="s">
        <v>735</v>
      </c>
    </row>
    <row r="343">
      <c r="A343" s="3" t="s">
        <v>736</v>
      </c>
      <c r="B343" s="3" t="s">
        <v>737</v>
      </c>
    </row>
    <row r="344">
      <c r="A344" s="3" t="s">
        <v>738</v>
      </c>
      <c r="B344" s="3" t="s">
        <v>739</v>
      </c>
    </row>
    <row r="345">
      <c r="A345" s="3" t="s">
        <v>740</v>
      </c>
      <c r="B345" s="3" t="s">
        <v>741</v>
      </c>
    </row>
    <row r="346">
      <c r="A346" s="3" t="s">
        <v>742</v>
      </c>
      <c r="B346" s="3" t="s">
        <v>743</v>
      </c>
    </row>
    <row r="347">
      <c r="A347" s="3" t="s">
        <v>744</v>
      </c>
      <c r="B347" s="3" t="s">
        <v>745</v>
      </c>
    </row>
    <row r="348">
      <c r="A348" s="3" t="s">
        <v>746</v>
      </c>
      <c r="B348" s="3" t="s">
        <v>747</v>
      </c>
    </row>
    <row r="349">
      <c r="A349" s="3" t="s">
        <v>748</v>
      </c>
      <c r="B349" s="3" t="s">
        <v>749</v>
      </c>
    </row>
    <row r="350">
      <c r="A350" s="3" t="s">
        <v>750</v>
      </c>
      <c r="B350" s="3" t="s">
        <v>751</v>
      </c>
    </row>
    <row r="351">
      <c r="A351" s="3" t="s">
        <v>752</v>
      </c>
      <c r="B351" s="3" t="s">
        <v>753</v>
      </c>
    </row>
    <row r="352">
      <c r="A352" s="3" t="s">
        <v>754</v>
      </c>
      <c r="B352" s="3" t="s">
        <v>755</v>
      </c>
    </row>
    <row r="353">
      <c r="A353" s="3" t="s">
        <v>756</v>
      </c>
      <c r="B353" s="3" t="s">
        <v>757</v>
      </c>
    </row>
    <row r="354">
      <c r="A354" s="3" t="s">
        <v>758</v>
      </c>
      <c r="B354" s="3" t="s">
        <v>759</v>
      </c>
    </row>
    <row r="355">
      <c r="A355" s="3" t="s">
        <v>760</v>
      </c>
      <c r="B355" s="3" t="s">
        <v>761</v>
      </c>
    </row>
    <row r="356">
      <c r="A356" s="3" t="s">
        <v>762</v>
      </c>
      <c r="B356" s="3" t="s">
        <v>763</v>
      </c>
    </row>
    <row r="357">
      <c r="A357" s="3" t="s">
        <v>764</v>
      </c>
      <c r="B357" s="3" t="s">
        <v>765</v>
      </c>
    </row>
    <row r="358">
      <c r="A358" s="3" t="s">
        <v>766</v>
      </c>
      <c r="B358" s="3" t="s">
        <v>767</v>
      </c>
    </row>
    <row r="359">
      <c r="A359" s="3" t="s">
        <v>768</v>
      </c>
      <c r="B359" s="3" t="s">
        <v>769</v>
      </c>
    </row>
    <row r="360">
      <c r="A360" s="3" t="s">
        <v>770</v>
      </c>
      <c r="B360" s="3" t="s">
        <v>771</v>
      </c>
    </row>
    <row r="361">
      <c r="A361" s="3" t="s">
        <v>772</v>
      </c>
      <c r="B361" s="3" t="s">
        <v>773</v>
      </c>
    </row>
    <row r="362">
      <c r="A362" s="3" t="s">
        <v>774</v>
      </c>
      <c r="B362" s="3" t="s">
        <v>775</v>
      </c>
    </row>
    <row r="363">
      <c r="A363" s="3" t="s">
        <v>776</v>
      </c>
      <c r="B363" s="3" t="s">
        <v>777</v>
      </c>
    </row>
    <row r="364">
      <c r="A364" s="3" t="s">
        <v>778</v>
      </c>
      <c r="B364" s="3" t="s">
        <v>779</v>
      </c>
    </row>
    <row r="365">
      <c r="A365" s="3" t="s">
        <v>780</v>
      </c>
      <c r="B365" s="3" t="s">
        <v>781</v>
      </c>
    </row>
    <row r="366">
      <c r="A366" s="3" t="s">
        <v>782</v>
      </c>
      <c r="B366" s="3" t="s">
        <v>783</v>
      </c>
    </row>
    <row r="367">
      <c r="A367" s="3" t="s">
        <v>784</v>
      </c>
      <c r="B367" s="3" t="s">
        <v>785</v>
      </c>
    </row>
    <row r="368">
      <c r="A368" s="3" t="s">
        <v>786</v>
      </c>
      <c r="B368" s="3" t="s">
        <v>787</v>
      </c>
    </row>
    <row r="369">
      <c r="A369" s="3" t="s">
        <v>788</v>
      </c>
      <c r="B369" s="3" t="s">
        <v>789</v>
      </c>
    </row>
    <row r="370">
      <c r="A370" s="3" t="s">
        <v>790</v>
      </c>
      <c r="B370" s="3" t="s">
        <v>791</v>
      </c>
    </row>
    <row r="371">
      <c r="A371" s="3" t="s">
        <v>792</v>
      </c>
      <c r="B371" s="3" t="s">
        <v>793</v>
      </c>
    </row>
    <row r="372">
      <c r="A372" s="3" t="s">
        <v>794</v>
      </c>
      <c r="B372" s="3" t="s">
        <v>795</v>
      </c>
    </row>
    <row r="373">
      <c r="A373" s="3" t="s">
        <v>796</v>
      </c>
      <c r="B373" s="3" t="s">
        <v>797</v>
      </c>
    </row>
    <row r="374">
      <c r="A374" s="3" t="s">
        <v>798</v>
      </c>
      <c r="B374" s="3" t="s">
        <v>799</v>
      </c>
    </row>
    <row r="375">
      <c r="A375" s="3" t="s">
        <v>800</v>
      </c>
      <c r="B375" s="3" t="s">
        <v>801</v>
      </c>
    </row>
    <row r="376">
      <c r="A376" s="3" t="s">
        <v>802</v>
      </c>
      <c r="B376" s="3" t="s">
        <v>803</v>
      </c>
    </row>
    <row r="377">
      <c r="A377" s="3" t="s">
        <v>804</v>
      </c>
      <c r="B377" s="3" t="s">
        <v>805</v>
      </c>
    </row>
    <row r="378">
      <c r="A378" s="3" t="s">
        <v>806</v>
      </c>
      <c r="B378" s="3" t="s">
        <v>807</v>
      </c>
    </row>
    <row r="379">
      <c r="A379" s="3" t="s">
        <v>808</v>
      </c>
      <c r="B379" s="3" t="s">
        <v>809</v>
      </c>
    </row>
    <row r="380">
      <c r="A380" s="3" t="s">
        <v>810</v>
      </c>
      <c r="B380" s="3" t="s">
        <v>811</v>
      </c>
    </row>
    <row r="381">
      <c r="A381" s="3" t="s">
        <v>812</v>
      </c>
      <c r="B381" s="3" t="s">
        <v>813</v>
      </c>
    </row>
    <row r="382">
      <c r="A382" s="3" t="s">
        <v>814</v>
      </c>
      <c r="B382" s="3" t="s">
        <v>815</v>
      </c>
    </row>
    <row r="383">
      <c r="A383" s="3" t="s">
        <v>816</v>
      </c>
      <c r="B383" s="3" t="s">
        <v>817</v>
      </c>
    </row>
    <row r="384">
      <c r="A384" s="3" t="s">
        <v>818</v>
      </c>
      <c r="B384" s="3" t="s">
        <v>819</v>
      </c>
    </row>
    <row r="385">
      <c r="A385" s="3" t="s">
        <v>820</v>
      </c>
      <c r="B385" s="3" t="s">
        <v>821</v>
      </c>
    </row>
    <row r="386">
      <c r="A386" s="3" t="s">
        <v>822</v>
      </c>
      <c r="B386" s="3" t="s">
        <v>823</v>
      </c>
    </row>
    <row r="387">
      <c r="A387" s="3" t="s">
        <v>824</v>
      </c>
      <c r="B387" s="3" t="s">
        <v>825</v>
      </c>
    </row>
    <row r="388">
      <c r="A388" s="3" t="s">
        <v>826</v>
      </c>
      <c r="B388" s="3" t="s">
        <v>827</v>
      </c>
    </row>
    <row r="389">
      <c r="A389" s="3" t="s">
        <v>828</v>
      </c>
      <c r="B389" s="3" t="s">
        <v>829</v>
      </c>
    </row>
    <row r="390">
      <c r="A390" s="3" t="s">
        <v>830</v>
      </c>
      <c r="B390" s="3" t="s">
        <v>831</v>
      </c>
    </row>
    <row r="391">
      <c r="A391" s="3" t="s">
        <v>832</v>
      </c>
      <c r="B391" s="3" t="s">
        <v>833</v>
      </c>
    </row>
    <row r="392">
      <c r="A392" s="3" t="s">
        <v>834</v>
      </c>
      <c r="B392" s="3" t="s">
        <v>835</v>
      </c>
    </row>
    <row r="393">
      <c r="A393" s="3" t="s">
        <v>836</v>
      </c>
      <c r="B393" s="3" t="s">
        <v>837</v>
      </c>
    </row>
    <row r="394">
      <c r="A394" s="3" t="s">
        <v>838</v>
      </c>
      <c r="B394" s="3" t="s">
        <v>839</v>
      </c>
    </row>
    <row r="395">
      <c r="A395" s="3" t="s">
        <v>840</v>
      </c>
      <c r="B395" s="3" t="s">
        <v>841</v>
      </c>
    </row>
    <row r="396">
      <c r="A396" s="3" t="s">
        <v>842</v>
      </c>
      <c r="B396" s="3" t="s">
        <v>843</v>
      </c>
    </row>
    <row r="397">
      <c r="A397" s="3" t="s">
        <v>844</v>
      </c>
      <c r="B397" s="3" t="s">
        <v>845</v>
      </c>
    </row>
    <row r="398">
      <c r="A398" s="3" t="s">
        <v>846</v>
      </c>
      <c r="B398" s="3" t="s">
        <v>847</v>
      </c>
    </row>
    <row r="399">
      <c r="A399" s="3" t="s">
        <v>848</v>
      </c>
      <c r="B399" s="3" t="s">
        <v>849</v>
      </c>
    </row>
    <row r="400">
      <c r="A400" s="3" t="s">
        <v>850</v>
      </c>
      <c r="B400" s="3" t="s">
        <v>851</v>
      </c>
    </row>
    <row r="401">
      <c r="A401" s="3" t="s">
        <v>852</v>
      </c>
      <c r="B401" s="3" t="s">
        <v>853</v>
      </c>
    </row>
    <row r="402">
      <c r="A402" s="3" t="s">
        <v>854</v>
      </c>
      <c r="B402" s="3" t="s">
        <v>855</v>
      </c>
    </row>
    <row r="403">
      <c r="A403" s="3" t="s">
        <v>856</v>
      </c>
      <c r="B403" s="3" t="s">
        <v>857</v>
      </c>
    </row>
    <row r="404">
      <c r="A404" s="3" t="s">
        <v>858</v>
      </c>
      <c r="B404" s="3" t="s">
        <v>859</v>
      </c>
    </row>
    <row r="405">
      <c r="A405" s="3" t="s">
        <v>860</v>
      </c>
      <c r="B405" s="3" t="s">
        <v>861</v>
      </c>
    </row>
    <row r="406">
      <c r="A406" s="3" t="s">
        <v>862</v>
      </c>
      <c r="B406" s="3" t="s">
        <v>863</v>
      </c>
    </row>
    <row r="407">
      <c r="A407" s="3" t="s">
        <v>864</v>
      </c>
      <c r="B407" s="3" t="s">
        <v>865</v>
      </c>
    </row>
    <row r="408">
      <c r="A408" s="3" t="s">
        <v>866</v>
      </c>
      <c r="B408" s="3" t="s">
        <v>867</v>
      </c>
    </row>
    <row r="409">
      <c r="A409" s="3" t="s">
        <v>868</v>
      </c>
      <c r="B409" s="3" t="s">
        <v>869</v>
      </c>
    </row>
    <row r="410">
      <c r="A410" s="3" t="s">
        <v>870</v>
      </c>
      <c r="B410" s="3" t="s">
        <v>871</v>
      </c>
    </row>
    <row r="411">
      <c r="A411" s="3" t="s">
        <v>872</v>
      </c>
      <c r="B411" s="3" t="s">
        <v>873</v>
      </c>
    </row>
    <row r="412">
      <c r="A412" s="3" t="s">
        <v>874</v>
      </c>
      <c r="B412" s="3" t="s">
        <v>875</v>
      </c>
    </row>
    <row r="413">
      <c r="A413" s="3" t="s">
        <v>876</v>
      </c>
      <c r="B413" s="3" t="s">
        <v>877</v>
      </c>
    </row>
    <row r="414">
      <c r="A414" s="3" t="s">
        <v>878</v>
      </c>
      <c r="B414" s="3" t="s">
        <v>879</v>
      </c>
    </row>
    <row r="415">
      <c r="A415" s="3" t="s">
        <v>880</v>
      </c>
      <c r="B415" s="3" t="s">
        <v>881</v>
      </c>
    </row>
    <row r="416">
      <c r="A416" s="3" t="s">
        <v>882</v>
      </c>
      <c r="B416" s="3" t="s">
        <v>883</v>
      </c>
    </row>
    <row r="417">
      <c r="A417" s="3" t="s">
        <v>884</v>
      </c>
      <c r="B417" s="3" t="s">
        <v>885</v>
      </c>
    </row>
    <row r="418">
      <c r="A418" s="3" t="s">
        <v>886</v>
      </c>
      <c r="B418" s="3" t="s">
        <v>887</v>
      </c>
    </row>
    <row r="419">
      <c r="A419" s="3" t="s">
        <v>888</v>
      </c>
      <c r="B419" s="3" t="s">
        <v>889</v>
      </c>
    </row>
    <row r="420">
      <c r="A420" s="3" t="s">
        <v>890</v>
      </c>
      <c r="B420" s="3" t="s">
        <v>891</v>
      </c>
    </row>
    <row r="421">
      <c r="A421" s="3" t="s">
        <v>892</v>
      </c>
      <c r="B421" s="3" t="s">
        <v>893</v>
      </c>
    </row>
    <row r="422">
      <c r="A422" s="3" t="s">
        <v>894</v>
      </c>
      <c r="B422" s="3" t="s">
        <v>895</v>
      </c>
    </row>
    <row r="423">
      <c r="A423" s="3" t="s">
        <v>896</v>
      </c>
      <c r="B423" s="3" t="s">
        <v>897</v>
      </c>
    </row>
    <row r="424">
      <c r="A424" s="3" t="s">
        <v>898</v>
      </c>
      <c r="B424" s="3" t="s">
        <v>899</v>
      </c>
    </row>
    <row r="425">
      <c r="A425" s="3" t="s">
        <v>900</v>
      </c>
      <c r="B425" s="3" t="s">
        <v>901</v>
      </c>
    </row>
    <row r="426">
      <c r="A426" s="3" t="s">
        <v>902</v>
      </c>
      <c r="B426" s="3" t="s">
        <v>903</v>
      </c>
    </row>
    <row r="427">
      <c r="A427" s="3" t="s">
        <v>904</v>
      </c>
      <c r="B427" s="3" t="s">
        <v>905</v>
      </c>
    </row>
    <row r="428">
      <c r="A428" s="3" t="s">
        <v>906</v>
      </c>
      <c r="B428" s="13" t="s">
        <v>907</v>
      </c>
    </row>
    <row r="429">
      <c r="A429" s="3" t="s">
        <v>908</v>
      </c>
      <c r="B429" s="13" t="s">
        <v>909</v>
      </c>
    </row>
    <row r="430">
      <c r="A430" s="3" t="s">
        <v>910</v>
      </c>
      <c r="B430" s="3" t="s">
        <v>911</v>
      </c>
    </row>
    <row r="431">
      <c r="A431" s="3" t="s">
        <v>912</v>
      </c>
      <c r="B431" s="3" t="s">
        <v>913</v>
      </c>
    </row>
    <row r="432">
      <c r="A432" s="3" t="s">
        <v>914</v>
      </c>
      <c r="B432" s="3" t="s">
        <v>915</v>
      </c>
    </row>
    <row r="433">
      <c r="A433" s="3" t="s">
        <v>916</v>
      </c>
      <c r="B433" s="3" t="s">
        <v>917</v>
      </c>
    </row>
    <row r="434">
      <c r="A434" s="3" t="s">
        <v>918</v>
      </c>
      <c r="B434" s="3" t="s">
        <v>919</v>
      </c>
    </row>
    <row r="435">
      <c r="A435" s="3" t="s">
        <v>920</v>
      </c>
      <c r="B435" s="3" t="s">
        <v>921</v>
      </c>
    </row>
    <row r="436">
      <c r="A436" s="3" t="s">
        <v>922</v>
      </c>
      <c r="B436" s="3" t="s">
        <v>923</v>
      </c>
    </row>
    <row r="437">
      <c r="A437" s="3" t="s">
        <v>924</v>
      </c>
      <c r="B437" s="3" t="s">
        <v>925</v>
      </c>
    </row>
    <row r="438">
      <c r="A438" s="3" t="s">
        <v>926</v>
      </c>
      <c r="B438" s="3" t="s">
        <v>927</v>
      </c>
    </row>
    <row r="439">
      <c r="A439" s="3" t="s">
        <v>928</v>
      </c>
      <c r="B439" s="3" t="s">
        <v>929</v>
      </c>
    </row>
    <row r="440">
      <c r="A440" s="3" t="s">
        <v>930</v>
      </c>
      <c r="B440" s="3" t="s">
        <v>931</v>
      </c>
    </row>
    <row r="441">
      <c r="A441" s="3" t="s">
        <v>932</v>
      </c>
      <c r="B441" s="3" t="s">
        <v>933</v>
      </c>
    </row>
    <row r="442">
      <c r="A442" s="3" t="s">
        <v>934</v>
      </c>
      <c r="B442" s="3" t="s">
        <v>935</v>
      </c>
    </row>
    <row r="443">
      <c r="A443" s="3" t="s">
        <v>936</v>
      </c>
      <c r="B443" s="3" t="s">
        <v>937</v>
      </c>
    </row>
    <row r="444">
      <c r="A444" s="3" t="s">
        <v>938</v>
      </c>
      <c r="B444" s="3" t="s">
        <v>939</v>
      </c>
    </row>
    <row r="445">
      <c r="A445" s="3" t="s">
        <v>940</v>
      </c>
      <c r="B445" s="3" t="s">
        <v>941</v>
      </c>
    </row>
    <row r="446">
      <c r="A446" s="3" t="s">
        <v>942</v>
      </c>
      <c r="B446" s="3" t="s">
        <v>943</v>
      </c>
    </row>
    <row r="447">
      <c r="A447" s="3" t="s">
        <v>944</v>
      </c>
      <c r="B447" s="3" t="s">
        <v>945</v>
      </c>
    </row>
    <row r="448">
      <c r="A448" s="3" t="s">
        <v>946</v>
      </c>
      <c r="B448" s="3" t="s">
        <v>947</v>
      </c>
    </row>
    <row r="449">
      <c r="A449" s="3" t="s">
        <v>948</v>
      </c>
      <c r="B449" s="3" t="s">
        <v>949</v>
      </c>
    </row>
    <row r="450">
      <c r="A450" s="3" t="s">
        <v>950</v>
      </c>
      <c r="B450" s="3" t="s">
        <v>951</v>
      </c>
    </row>
    <row r="451">
      <c r="A451" s="3" t="s">
        <v>952</v>
      </c>
      <c r="B451" s="3" t="s">
        <v>953</v>
      </c>
    </row>
    <row r="452">
      <c r="A452" s="3" t="s">
        <v>954</v>
      </c>
      <c r="B452" s="3" t="s">
        <v>955</v>
      </c>
    </row>
    <row r="453">
      <c r="A453" s="3" t="s">
        <v>956</v>
      </c>
      <c r="B453" s="3" t="s">
        <v>957</v>
      </c>
    </row>
    <row r="454">
      <c r="A454" s="3" t="s">
        <v>958</v>
      </c>
      <c r="B454" s="3" t="s">
        <v>959</v>
      </c>
    </row>
    <row r="455">
      <c r="A455" s="3" t="s">
        <v>960</v>
      </c>
      <c r="B455" s="3" t="s">
        <v>961</v>
      </c>
    </row>
    <row r="456">
      <c r="A456" s="3" t="s">
        <v>962</v>
      </c>
      <c r="B456" s="3" t="s">
        <v>963</v>
      </c>
    </row>
    <row r="457">
      <c r="A457" s="3" t="s">
        <v>964</v>
      </c>
      <c r="B457" s="3" t="s">
        <v>965</v>
      </c>
    </row>
    <row r="458">
      <c r="A458" s="3" t="s">
        <v>966</v>
      </c>
      <c r="B458" s="3" t="s">
        <v>967</v>
      </c>
    </row>
    <row r="459">
      <c r="A459" s="3" t="s">
        <v>968</v>
      </c>
      <c r="B459" s="3" t="s">
        <v>969</v>
      </c>
    </row>
    <row r="460">
      <c r="A460" s="3" t="s">
        <v>970</v>
      </c>
      <c r="B460" s="3" t="s">
        <v>971</v>
      </c>
    </row>
    <row r="461">
      <c r="A461" s="3" t="s">
        <v>972</v>
      </c>
      <c r="B461" s="3" t="s">
        <v>973</v>
      </c>
    </row>
    <row r="462">
      <c r="A462" s="3" t="s">
        <v>974</v>
      </c>
      <c r="B462" s="3" t="s">
        <v>975</v>
      </c>
    </row>
    <row r="463">
      <c r="A463" s="3" t="s">
        <v>976</v>
      </c>
      <c r="B463" s="3" t="s">
        <v>977</v>
      </c>
    </row>
    <row r="464">
      <c r="A464" s="3" t="s">
        <v>978</v>
      </c>
      <c r="B464" s="3" t="s">
        <v>979</v>
      </c>
    </row>
    <row r="465">
      <c r="A465" s="3" t="s">
        <v>980</v>
      </c>
      <c r="B465" s="3" t="s">
        <v>981</v>
      </c>
    </row>
    <row r="466">
      <c r="A466" s="3" t="s">
        <v>982</v>
      </c>
      <c r="B466" s="3" t="s">
        <v>983</v>
      </c>
    </row>
    <row r="467">
      <c r="A467" s="3" t="s">
        <v>984</v>
      </c>
      <c r="B467" s="3" t="s">
        <v>985</v>
      </c>
    </row>
    <row r="468">
      <c r="A468" s="3" t="s">
        <v>986</v>
      </c>
      <c r="B468" s="3" t="s">
        <v>987</v>
      </c>
    </row>
    <row r="469">
      <c r="A469" s="3" t="s">
        <v>988</v>
      </c>
      <c r="B469" s="3" t="s">
        <v>989</v>
      </c>
    </row>
    <row r="470">
      <c r="A470" s="3" t="s">
        <v>990</v>
      </c>
      <c r="B470" s="3" t="s">
        <v>991</v>
      </c>
    </row>
    <row r="471">
      <c r="A471" s="3" t="s">
        <v>992</v>
      </c>
      <c r="B471" s="3" t="s">
        <v>993</v>
      </c>
    </row>
    <row r="472">
      <c r="A472" s="3" t="s">
        <v>994</v>
      </c>
      <c r="B472" s="3" t="s">
        <v>995</v>
      </c>
    </row>
    <row r="473">
      <c r="A473" s="3" t="s">
        <v>996</v>
      </c>
      <c r="B473" s="3" t="s">
        <v>997</v>
      </c>
    </row>
    <row r="474">
      <c r="A474" s="3" t="s">
        <v>998</v>
      </c>
      <c r="B474" s="3" t="s">
        <v>999</v>
      </c>
    </row>
    <row r="475">
      <c r="A475" s="3" t="s">
        <v>1000</v>
      </c>
      <c r="B475" s="3" t="s">
        <v>1001</v>
      </c>
    </row>
    <row r="476">
      <c r="A476" s="3" t="s">
        <v>1002</v>
      </c>
      <c r="B476" s="3" t="s">
        <v>1003</v>
      </c>
    </row>
    <row r="477">
      <c r="A477" s="3" t="s">
        <v>1004</v>
      </c>
      <c r="B477" s="3" t="s">
        <v>1005</v>
      </c>
    </row>
    <row r="478">
      <c r="A478" s="3" t="s">
        <v>1006</v>
      </c>
      <c r="B478" s="3" t="s">
        <v>1007</v>
      </c>
    </row>
    <row r="479">
      <c r="A479" s="3" t="s">
        <v>1008</v>
      </c>
      <c r="B479" s="3" t="s">
        <v>1009</v>
      </c>
    </row>
    <row r="480">
      <c r="A480" s="3" t="s">
        <v>1010</v>
      </c>
      <c r="B480" s="3" t="s">
        <v>1011</v>
      </c>
    </row>
    <row r="481">
      <c r="A481" s="3" t="s">
        <v>1012</v>
      </c>
      <c r="B481" s="3" t="s">
        <v>1013</v>
      </c>
    </row>
    <row r="482">
      <c r="A482" s="3" t="s">
        <v>1014</v>
      </c>
      <c r="B482" s="3" t="s">
        <v>1015</v>
      </c>
    </row>
    <row r="483">
      <c r="A483" s="3" t="s">
        <v>1016</v>
      </c>
      <c r="B483" s="3" t="s">
        <v>1017</v>
      </c>
    </row>
    <row r="484">
      <c r="A484" s="3" t="s">
        <v>1018</v>
      </c>
      <c r="B484" s="3" t="s">
        <v>1019</v>
      </c>
    </row>
    <row r="485">
      <c r="A485" s="3" t="s">
        <v>1020</v>
      </c>
      <c r="B485" s="3" t="s">
        <v>1021</v>
      </c>
    </row>
    <row r="486">
      <c r="A486" s="3" t="s">
        <v>1022</v>
      </c>
      <c r="B486" s="3" t="s">
        <v>1023</v>
      </c>
    </row>
    <row r="487">
      <c r="A487" s="3" t="s">
        <v>1024</v>
      </c>
      <c r="B487" s="3" t="s">
        <v>1025</v>
      </c>
    </row>
    <row r="488">
      <c r="A488" s="3" t="s">
        <v>1026</v>
      </c>
      <c r="B488" s="3" t="s">
        <v>1027</v>
      </c>
    </row>
    <row r="489">
      <c r="A489" s="3" t="s">
        <v>1028</v>
      </c>
      <c r="B489" s="3" t="s">
        <v>1029</v>
      </c>
    </row>
    <row r="490">
      <c r="A490" s="3" t="s">
        <v>1030</v>
      </c>
      <c r="B490" s="3" t="s">
        <v>1031</v>
      </c>
    </row>
    <row r="491">
      <c r="A491" s="3" t="s">
        <v>1032</v>
      </c>
      <c r="B491" s="3" t="s">
        <v>1033</v>
      </c>
    </row>
    <row r="492">
      <c r="A492" s="3" t="s">
        <v>1034</v>
      </c>
      <c r="B492" s="3" t="s">
        <v>1035</v>
      </c>
    </row>
    <row r="493">
      <c r="A493" s="3" t="s">
        <v>1036</v>
      </c>
      <c r="B493" s="3" t="s">
        <v>1037</v>
      </c>
    </row>
    <row r="494">
      <c r="A494" s="3" t="s">
        <v>1038</v>
      </c>
      <c r="B494" s="3" t="s">
        <v>1039</v>
      </c>
    </row>
    <row r="495">
      <c r="A495" s="3" t="s">
        <v>1040</v>
      </c>
      <c r="B495" s="3" t="s">
        <v>1041</v>
      </c>
    </row>
    <row r="496">
      <c r="A496" s="3" t="s">
        <v>1042</v>
      </c>
      <c r="B496" s="3" t="s">
        <v>1043</v>
      </c>
    </row>
    <row r="497">
      <c r="A497" s="3" t="s">
        <v>1044</v>
      </c>
      <c r="B497" s="3" t="s">
        <v>1045</v>
      </c>
    </row>
    <row r="498">
      <c r="A498" s="3" t="s">
        <v>1046</v>
      </c>
      <c r="B498" s="3" t="s">
        <v>1047</v>
      </c>
    </row>
    <row r="499">
      <c r="A499" s="3" t="s">
        <v>1048</v>
      </c>
      <c r="B499" s="3" t="s">
        <v>1049</v>
      </c>
    </row>
    <row r="500">
      <c r="A500" s="3" t="s">
        <v>1050</v>
      </c>
      <c r="B500" s="3" t="s">
        <v>1051</v>
      </c>
    </row>
    <row r="501">
      <c r="A501" s="3" t="s">
        <v>1052</v>
      </c>
      <c r="B501" s="3" t="s">
        <v>1053</v>
      </c>
    </row>
    <row r="502">
      <c r="A502" s="3" t="s">
        <v>1054</v>
      </c>
      <c r="B502" s="3" t="s">
        <v>1055</v>
      </c>
    </row>
    <row r="503">
      <c r="A503" s="3" t="s">
        <v>1056</v>
      </c>
      <c r="B503" s="3" t="s">
        <v>1057</v>
      </c>
    </row>
    <row r="504">
      <c r="A504" s="3" t="s">
        <v>1058</v>
      </c>
      <c r="B504" s="3" t="s">
        <v>1059</v>
      </c>
    </row>
    <row r="505">
      <c r="A505" s="3" t="s">
        <v>1060</v>
      </c>
      <c r="B505" s="3" t="s">
        <v>1061</v>
      </c>
    </row>
    <row r="506">
      <c r="A506" s="3" t="s">
        <v>1062</v>
      </c>
      <c r="B506" s="3" t="s">
        <v>1063</v>
      </c>
    </row>
    <row r="507">
      <c r="A507" s="3" t="s">
        <v>1064</v>
      </c>
      <c r="B507" s="3" t="s">
        <v>1065</v>
      </c>
    </row>
    <row r="508">
      <c r="A508" s="3" t="s">
        <v>1066</v>
      </c>
      <c r="B508" s="3" t="s">
        <v>1067</v>
      </c>
    </row>
    <row r="509">
      <c r="A509" s="3" t="s">
        <v>1068</v>
      </c>
      <c r="B509" s="3" t="s">
        <v>1069</v>
      </c>
    </row>
    <row r="510">
      <c r="A510" s="3" t="s">
        <v>1070</v>
      </c>
      <c r="B510" s="3" t="s">
        <v>1071</v>
      </c>
    </row>
    <row r="511">
      <c r="A511" s="3" t="s">
        <v>1072</v>
      </c>
      <c r="B511" s="3" t="s">
        <v>1073</v>
      </c>
    </row>
    <row r="512">
      <c r="A512" s="3" t="s">
        <v>1074</v>
      </c>
      <c r="B512" s="3" t="s">
        <v>1075</v>
      </c>
    </row>
    <row r="513">
      <c r="A513" s="3" t="s">
        <v>1076</v>
      </c>
      <c r="B513" s="3" t="s">
        <v>1077</v>
      </c>
    </row>
    <row r="514">
      <c r="A514" s="3" t="s">
        <v>1078</v>
      </c>
      <c r="B514" s="3" t="s">
        <v>1079</v>
      </c>
    </row>
    <row r="515">
      <c r="A515" s="3" t="s">
        <v>1080</v>
      </c>
      <c r="B515" s="3" t="s">
        <v>1081</v>
      </c>
    </row>
    <row r="516">
      <c r="A516" s="3" t="s">
        <v>1082</v>
      </c>
      <c r="B516" s="3" t="s">
        <v>1083</v>
      </c>
    </row>
    <row r="517">
      <c r="A517" s="3" t="s">
        <v>1084</v>
      </c>
      <c r="B517" s="3" t="s">
        <v>1085</v>
      </c>
    </row>
    <row r="518">
      <c r="A518" s="3" t="s">
        <v>1086</v>
      </c>
      <c r="B518" s="3" t="s">
        <v>1087</v>
      </c>
    </row>
    <row r="519">
      <c r="A519" s="3" t="s">
        <v>1088</v>
      </c>
      <c r="B519" s="3" t="s">
        <v>1089</v>
      </c>
    </row>
    <row r="520">
      <c r="A520" s="3" t="s">
        <v>1090</v>
      </c>
      <c r="B520" s="3" t="s">
        <v>1091</v>
      </c>
    </row>
    <row r="521">
      <c r="A521" s="3" t="s">
        <v>1092</v>
      </c>
      <c r="B521" s="3" t="s">
        <v>1093</v>
      </c>
    </row>
    <row r="522">
      <c r="A522" s="3" t="s">
        <v>1094</v>
      </c>
      <c r="B522" s="3" t="s">
        <v>1095</v>
      </c>
    </row>
    <row r="523">
      <c r="A523" s="3" t="s">
        <v>1096</v>
      </c>
      <c r="B523" s="3" t="s">
        <v>1097</v>
      </c>
    </row>
    <row r="524">
      <c r="A524" s="3" t="s">
        <v>1098</v>
      </c>
      <c r="B524" s="3" t="s">
        <v>1099</v>
      </c>
    </row>
    <row r="525">
      <c r="A525" s="3" t="s">
        <v>1100</v>
      </c>
      <c r="B525" s="3" t="s">
        <v>1101</v>
      </c>
    </row>
    <row r="526">
      <c r="A526" s="3" t="s">
        <v>1102</v>
      </c>
      <c r="B526" s="3" t="s">
        <v>1103</v>
      </c>
    </row>
    <row r="527">
      <c r="A527" s="3" t="s">
        <v>1104</v>
      </c>
      <c r="B527" s="3" t="s">
        <v>1105</v>
      </c>
    </row>
    <row r="528">
      <c r="A528" s="3" t="s">
        <v>1106</v>
      </c>
      <c r="B528" s="3" t="s">
        <v>1107</v>
      </c>
    </row>
    <row r="529">
      <c r="A529" s="3" t="s">
        <v>1108</v>
      </c>
      <c r="B529" s="3" t="s">
        <v>1109</v>
      </c>
    </row>
    <row r="530">
      <c r="A530" s="3" t="s">
        <v>1110</v>
      </c>
      <c r="B530" s="3" t="s">
        <v>1111</v>
      </c>
    </row>
    <row r="531">
      <c r="A531" s="3" t="s">
        <v>1112</v>
      </c>
      <c r="B531" s="3" t="s">
        <v>1113</v>
      </c>
    </row>
    <row r="532">
      <c r="A532" s="3" t="s">
        <v>1114</v>
      </c>
      <c r="B532" s="3" t="s">
        <v>1115</v>
      </c>
    </row>
    <row r="533">
      <c r="A533" s="3" t="s">
        <v>1116</v>
      </c>
      <c r="B533" s="3" t="s">
        <v>1117</v>
      </c>
    </row>
    <row r="534">
      <c r="A534" s="3" t="s">
        <v>1118</v>
      </c>
      <c r="B534" s="3" t="s">
        <v>1119</v>
      </c>
    </row>
    <row r="535">
      <c r="A535" s="3" t="s">
        <v>1120</v>
      </c>
      <c r="B535" s="3" t="s">
        <v>1121</v>
      </c>
    </row>
    <row r="536">
      <c r="A536" s="3" t="s">
        <v>1122</v>
      </c>
      <c r="B536" s="3" t="s">
        <v>1123</v>
      </c>
    </row>
    <row r="537">
      <c r="A537" s="3" t="s">
        <v>1124</v>
      </c>
      <c r="B537" s="3" t="s">
        <v>1125</v>
      </c>
    </row>
    <row r="538">
      <c r="A538" s="3" t="s">
        <v>1126</v>
      </c>
      <c r="B538" s="3" t="s">
        <v>1127</v>
      </c>
    </row>
    <row r="539">
      <c r="A539" s="3" t="s">
        <v>1128</v>
      </c>
      <c r="B539" s="3" t="s">
        <v>1129</v>
      </c>
    </row>
    <row r="540">
      <c r="A540" s="3" t="s">
        <v>1130</v>
      </c>
      <c r="B540" s="3" t="s">
        <v>1131</v>
      </c>
    </row>
    <row r="541">
      <c r="A541" s="3" t="s">
        <v>1132</v>
      </c>
      <c r="B541" s="3" t="s">
        <v>1133</v>
      </c>
    </row>
    <row r="542">
      <c r="A542" s="3" t="s">
        <v>1134</v>
      </c>
      <c r="B542" s="3" t="s">
        <v>1135</v>
      </c>
    </row>
    <row r="543">
      <c r="A543" s="3" t="s">
        <v>1136</v>
      </c>
      <c r="B543" s="3" t="s">
        <v>1137</v>
      </c>
    </row>
    <row r="544">
      <c r="A544" s="3" t="s">
        <v>1138</v>
      </c>
      <c r="B544" s="3" t="s">
        <v>1139</v>
      </c>
    </row>
    <row r="545">
      <c r="A545" s="3" t="s">
        <v>1140</v>
      </c>
      <c r="B545" s="3" t="s">
        <v>1141</v>
      </c>
    </row>
    <row r="546">
      <c r="A546" s="3" t="s">
        <v>1142</v>
      </c>
      <c r="B546" s="3" t="s">
        <v>1143</v>
      </c>
    </row>
    <row r="547">
      <c r="A547" s="3" t="s">
        <v>1144</v>
      </c>
      <c r="B547" s="3" t="s">
        <v>1145</v>
      </c>
    </row>
    <row r="548">
      <c r="A548" s="3" t="s">
        <v>1146</v>
      </c>
      <c r="B548" s="3" t="s">
        <v>1147</v>
      </c>
    </row>
    <row r="549">
      <c r="A549" s="3" t="s">
        <v>1148</v>
      </c>
      <c r="B549" s="3" t="s">
        <v>1149</v>
      </c>
    </row>
    <row r="550">
      <c r="A550" s="3" t="s">
        <v>1150</v>
      </c>
      <c r="B550" s="3" t="s">
        <v>1151</v>
      </c>
    </row>
    <row r="551">
      <c r="A551" s="3" t="s">
        <v>1152</v>
      </c>
      <c r="B551" s="3" t="s">
        <v>1153</v>
      </c>
    </row>
    <row r="552">
      <c r="A552" s="3" t="s">
        <v>1154</v>
      </c>
      <c r="B552" s="3" t="s">
        <v>1155</v>
      </c>
    </row>
    <row r="553">
      <c r="A553" s="3" t="s">
        <v>1156</v>
      </c>
      <c r="B553" s="3" t="s">
        <v>1157</v>
      </c>
    </row>
    <row r="554">
      <c r="A554" s="3" t="s">
        <v>1158</v>
      </c>
      <c r="B554" s="3" t="s">
        <v>1159</v>
      </c>
    </row>
    <row r="555">
      <c r="A555" s="3" t="s">
        <v>1160</v>
      </c>
      <c r="B555" s="3" t="s">
        <v>1161</v>
      </c>
    </row>
    <row r="556">
      <c r="A556" s="3" t="s">
        <v>1162</v>
      </c>
      <c r="B556" s="3" t="s">
        <v>1163</v>
      </c>
    </row>
    <row r="557">
      <c r="A557" s="3" t="s">
        <v>1164</v>
      </c>
      <c r="B557" s="3" t="s">
        <v>1165</v>
      </c>
    </row>
    <row r="558">
      <c r="A558" s="3" t="s">
        <v>1166</v>
      </c>
      <c r="B558" s="3" t="s">
        <v>1167</v>
      </c>
    </row>
    <row r="559">
      <c r="A559" s="3" t="s">
        <v>1168</v>
      </c>
      <c r="B559" s="3" t="s">
        <v>1169</v>
      </c>
    </row>
    <row r="560">
      <c r="A560" s="3" t="s">
        <v>1170</v>
      </c>
      <c r="B560" s="3" t="s">
        <v>1171</v>
      </c>
    </row>
    <row r="561">
      <c r="A561" s="3" t="s">
        <v>1172</v>
      </c>
      <c r="B561" s="3" t="s">
        <v>1173</v>
      </c>
    </row>
    <row r="562">
      <c r="A562" s="3" t="s">
        <v>1174</v>
      </c>
      <c r="B562" s="3" t="s">
        <v>1175</v>
      </c>
    </row>
    <row r="563">
      <c r="A563" s="3" t="s">
        <v>1176</v>
      </c>
      <c r="B563" s="3" t="s">
        <v>1177</v>
      </c>
    </row>
    <row r="564">
      <c r="A564" s="3" t="s">
        <v>1178</v>
      </c>
      <c r="B564" s="3" t="s">
        <v>1179</v>
      </c>
    </row>
    <row r="565">
      <c r="A565" s="3" t="s">
        <v>1180</v>
      </c>
      <c r="B565" s="3" t="s">
        <v>1181</v>
      </c>
    </row>
    <row r="566">
      <c r="A566" s="3" t="s">
        <v>1182</v>
      </c>
      <c r="B566" s="3" t="s">
        <v>1183</v>
      </c>
    </row>
    <row r="567">
      <c r="A567" s="3" t="s">
        <v>1184</v>
      </c>
      <c r="B567" s="3" t="s">
        <v>1185</v>
      </c>
    </row>
    <row r="568">
      <c r="A568" s="3" t="s">
        <v>1186</v>
      </c>
      <c r="B568" s="3" t="s">
        <v>1187</v>
      </c>
    </row>
    <row r="569">
      <c r="A569" s="3" t="s">
        <v>1188</v>
      </c>
      <c r="B569" s="3" t="s">
        <v>1189</v>
      </c>
    </row>
    <row r="570">
      <c r="A570" s="3" t="s">
        <v>1190</v>
      </c>
      <c r="B570" s="3" t="s">
        <v>1191</v>
      </c>
    </row>
    <row r="571">
      <c r="A571" s="3" t="s">
        <v>1192</v>
      </c>
      <c r="B571" s="3" t="s">
        <v>1193</v>
      </c>
    </row>
    <row r="572">
      <c r="A572" s="3" t="s">
        <v>1194</v>
      </c>
      <c r="B572" s="3" t="s">
        <v>1195</v>
      </c>
    </row>
    <row r="573">
      <c r="A573" s="3" t="s">
        <v>1196</v>
      </c>
      <c r="B573" s="3" t="s">
        <v>1197</v>
      </c>
    </row>
    <row r="574">
      <c r="A574" s="3" t="s">
        <v>1198</v>
      </c>
      <c r="B574" s="3" t="s">
        <v>1199</v>
      </c>
    </row>
    <row r="575">
      <c r="A575" s="3" t="s">
        <v>1200</v>
      </c>
      <c r="B575" s="3" t="s">
        <v>1201</v>
      </c>
    </row>
    <row r="576">
      <c r="A576" s="3" t="s">
        <v>1202</v>
      </c>
      <c r="B576" s="3" t="s">
        <v>1203</v>
      </c>
    </row>
    <row r="577">
      <c r="A577" s="3" t="s">
        <v>1204</v>
      </c>
      <c r="B577" s="3" t="s">
        <v>1205</v>
      </c>
    </row>
    <row r="578">
      <c r="A578" s="3" t="s">
        <v>1206</v>
      </c>
      <c r="B578" s="3" t="s">
        <v>1207</v>
      </c>
    </row>
    <row r="579">
      <c r="A579" s="3" t="s">
        <v>1208</v>
      </c>
      <c r="B579" s="3" t="s">
        <v>1209</v>
      </c>
    </row>
    <row r="580">
      <c r="A580" s="3" t="s">
        <v>1210</v>
      </c>
      <c r="B580" s="3" t="s">
        <v>1211</v>
      </c>
    </row>
    <row r="581">
      <c r="A581" s="3" t="s">
        <v>1212</v>
      </c>
      <c r="B581" s="3" t="s">
        <v>1213</v>
      </c>
    </row>
    <row r="582">
      <c r="A582" s="3" t="s">
        <v>1214</v>
      </c>
      <c r="B582" s="3" t="s">
        <v>1215</v>
      </c>
    </row>
    <row r="583">
      <c r="A583" s="3" t="s">
        <v>1216</v>
      </c>
      <c r="B583" s="3" t="s">
        <v>1217</v>
      </c>
    </row>
    <row r="584">
      <c r="A584" s="3" t="s">
        <v>1218</v>
      </c>
      <c r="B584" s="3" t="s">
        <v>1219</v>
      </c>
    </row>
    <row r="585">
      <c r="A585" s="3" t="s">
        <v>1220</v>
      </c>
      <c r="B585" s="3" t="s">
        <v>1221</v>
      </c>
    </row>
    <row r="586">
      <c r="A586" s="3" t="s">
        <v>1222</v>
      </c>
      <c r="B586" s="3" t="s">
        <v>1223</v>
      </c>
    </row>
    <row r="587">
      <c r="A587" s="3" t="s">
        <v>1224</v>
      </c>
      <c r="B587" s="3" t="s">
        <v>1225</v>
      </c>
    </row>
    <row r="588">
      <c r="A588" s="3" t="s">
        <v>1226</v>
      </c>
      <c r="B588" s="3" t="s">
        <v>1227</v>
      </c>
    </row>
    <row r="589">
      <c r="A589" s="3" t="s">
        <v>1228</v>
      </c>
      <c r="B589" s="3" t="s">
        <v>1229</v>
      </c>
    </row>
    <row r="590">
      <c r="A590" s="3" t="s">
        <v>1230</v>
      </c>
      <c r="B590" s="3" t="s">
        <v>1231</v>
      </c>
    </row>
    <row r="591">
      <c r="A591" s="3" t="s">
        <v>1232</v>
      </c>
      <c r="B591" s="3" t="s">
        <v>1233</v>
      </c>
    </row>
    <row r="592">
      <c r="A592" s="3" t="s">
        <v>1234</v>
      </c>
      <c r="B592" s="3" t="s">
        <v>1235</v>
      </c>
    </row>
    <row r="593">
      <c r="A593" s="3" t="s">
        <v>1236</v>
      </c>
      <c r="B593" s="3" t="s">
        <v>1237</v>
      </c>
    </row>
    <row r="594">
      <c r="A594" s="3" t="s">
        <v>1238</v>
      </c>
      <c r="B594" s="3" t="s">
        <v>1239</v>
      </c>
    </row>
    <row r="595">
      <c r="A595" s="3" t="s">
        <v>1240</v>
      </c>
      <c r="B595" s="3" t="s">
        <v>1241</v>
      </c>
    </row>
    <row r="596">
      <c r="A596" s="3" t="s">
        <v>1242</v>
      </c>
      <c r="B596" s="3" t="s">
        <v>1243</v>
      </c>
    </row>
    <row r="597">
      <c r="A597" s="3" t="s">
        <v>1244</v>
      </c>
      <c r="B597" s="3" t="s">
        <v>1245</v>
      </c>
    </row>
    <row r="598">
      <c r="A598" s="3" t="s">
        <v>1246</v>
      </c>
      <c r="B598" s="3" t="s">
        <v>1247</v>
      </c>
    </row>
    <row r="599">
      <c r="A599" s="3" t="s">
        <v>1248</v>
      </c>
      <c r="B599" s="3" t="s">
        <v>1249</v>
      </c>
    </row>
    <row r="600">
      <c r="A600" s="3" t="s">
        <v>1250</v>
      </c>
      <c r="B600" s="3" t="s">
        <v>1251</v>
      </c>
    </row>
    <row r="601">
      <c r="A601" s="3" t="s">
        <v>1252</v>
      </c>
      <c r="B601" s="3" t="s">
        <v>1253</v>
      </c>
    </row>
    <row r="602">
      <c r="A602" s="3" t="s">
        <v>1254</v>
      </c>
      <c r="B602" s="3" t="s">
        <v>1255</v>
      </c>
    </row>
    <row r="603">
      <c r="A603" s="3" t="s">
        <v>1256</v>
      </c>
      <c r="B603" s="3" t="s">
        <v>1257</v>
      </c>
    </row>
    <row r="604">
      <c r="A604" s="3" t="s">
        <v>1258</v>
      </c>
      <c r="B604" s="3" t="s">
        <v>1259</v>
      </c>
    </row>
    <row r="605">
      <c r="A605" s="3" t="s">
        <v>1260</v>
      </c>
      <c r="B605" s="3" t="s">
        <v>1261</v>
      </c>
    </row>
    <row r="606">
      <c r="A606" s="3" t="s">
        <v>1262</v>
      </c>
      <c r="B606" s="3" t="s">
        <v>1263</v>
      </c>
    </row>
    <row r="607">
      <c r="A607" s="3" t="s">
        <v>1264</v>
      </c>
      <c r="B607" s="3" t="s">
        <v>1265</v>
      </c>
    </row>
    <row r="608">
      <c r="A608" s="3" t="s">
        <v>1266</v>
      </c>
      <c r="B608" s="3" t="s">
        <v>1267</v>
      </c>
    </row>
    <row r="609">
      <c r="A609" s="3" t="s">
        <v>1268</v>
      </c>
      <c r="B609" s="3" t="s">
        <v>1269</v>
      </c>
    </row>
    <row r="610">
      <c r="A610" s="3" t="s">
        <v>1270</v>
      </c>
      <c r="B610" s="3" t="s">
        <v>1271</v>
      </c>
    </row>
    <row r="611">
      <c r="A611" s="3" t="s">
        <v>1272</v>
      </c>
      <c r="B611" s="3" t="s">
        <v>1273</v>
      </c>
    </row>
    <row r="612">
      <c r="A612" s="3" t="s">
        <v>1274</v>
      </c>
      <c r="B612" s="3" t="s">
        <v>1275</v>
      </c>
    </row>
    <row r="613">
      <c r="A613" s="3" t="s">
        <v>1276</v>
      </c>
      <c r="B613" s="3" t="s">
        <v>1277</v>
      </c>
    </row>
    <row r="614">
      <c r="A614" s="3" t="s">
        <v>1278</v>
      </c>
      <c r="B614" s="3" t="s">
        <v>1279</v>
      </c>
    </row>
    <row r="615">
      <c r="A615" s="3" t="s">
        <v>1280</v>
      </c>
      <c r="B615" s="3" t="s">
        <v>1281</v>
      </c>
    </row>
    <row r="616">
      <c r="A616" s="3" t="s">
        <v>1282</v>
      </c>
      <c r="B616" s="3" t="s">
        <v>1283</v>
      </c>
    </row>
    <row r="617">
      <c r="A617" s="3" t="s">
        <v>1284</v>
      </c>
      <c r="B617" s="3" t="s">
        <v>1285</v>
      </c>
    </row>
    <row r="618">
      <c r="A618" s="3" t="s">
        <v>1286</v>
      </c>
      <c r="B618" s="3" t="s">
        <v>1287</v>
      </c>
    </row>
    <row r="619">
      <c r="A619" s="3" t="s">
        <v>1288</v>
      </c>
      <c r="B619" s="3" t="s">
        <v>1289</v>
      </c>
    </row>
    <row r="620">
      <c r="A620" s="3" t="s">
        <v>1290</v>
      </c>
      <c r="B620" s="3" t="s">
        <v>1291</v>
      </c>
    </row>
    <row r="621">
      <c r="A621" s="3" t="s">
        <v>1292</v>
      </c>
      <c r="B621" s="3" t="s">
        <v>1293</v>
      </c>
    </row>
    <row r="622">
      <c r="A622" s="3" t="s">
        <v>1294</v>
      </c>
      <c r="B622" s="3" t="s">
        <v>1295</v>
      </c>
    </row>
    <row r="623">
      <c r="A623" s="3" t="s">
        <v>1296</v>
      </c>
      <c r="B623" s="3" t="s">
        <v>1297</v>
      </c>
    </row>
    <row r="624">
      <c r="A624" s="3" t="s">
        <v>1298</v>
      </c>
      <c r="B624" s="3" t="s">
        <v>1299</v>
      </c>
    </row>
    <row r="625">
      <c r="A625" s="3" t="s">
        <v>1300</v>
      </c>
      <c r="B625" s="3" t="s">
        <v>1301</v>
      </c>
    </row>
    <row r="626">
      <c r="A626" s="3" t="s">
        <v>1302</v>
      </c>
      <c r="B626" s="3" t="s">
        <v>1303</v>
      </c>
    </row>
    <row r="627">
      <c r="A627" s="3" t="s">
        <v>1304</v>
      </c>
      <c r="B627" s="3" t="s">
        <v>1305</v>
      </c>
    </row>
    <row r="628">
      <c r="A628" s="3" t="s">
        <v>1306</v>
      </c>
      <c r="B628" s="3" t="s">
        <v>1307</v>
      </c>
    </row>
    <row r="629">
      <c r="A629" s="3" t="s">
        <v>1308</v>
      </c>
      <c r="B629" s="3" t="s">
        <v>1309</v>
      </c>
    </row>
    <row r="630">
      <c r="A630" s="3" t="s">
        <v>1310</v>
      </c>
      <c r="B630" s="3" t="s">
        <v>1311</v>
      </c>
    </row>
    <row r="631">
      <c r="A631" s="3" t="s">
        <v>1312</v>
      </c>
      <c r="B631" s="3" t="s">
        <v>1313</v>
      </c>
    </row>
    <row r="632">
      <c r="A632" s="3" t="s">
        <v>1314</v>
      </c>
      <c r="B632" s="3" t="s">
        <v>1315</v>
      </c>
    </row>
    <row r="633">
      <c r="A633" s="3" t="s">
        <v>1316</v>
      </c>
      <c r="B633" s="3" t="s">
        <v>1317</v>
      </c>
    </row>
    <row r="634">
      <c r="A634" s="3" t="s">
        <v>1318</v>
      </c>
      <c r="B634" s="3" t="s">
        <v>1319</v>
      </c>
    </row>
    <row r="635">
      <c r="A635" s="3" t="s">
        <v>1320</v>
      </c>
      <c r="B635" s="3" t="s">
        <v>1321</v>
      </c>
    </row>
    <row r="636">
      <c r="A636" s="3" t="s">
        <v>1322</v>
      </c>
      <c r="B636" s="3" t="s">
        <v>1323</v>
      </c>
    </row>
    <row r="637">
      <c r="A637" s="3" t="s">
        <v>1324</v>
      </c>
      <c r="B637" s="3" t="s">
        <v>1325</v>
      </c>
    </row>
    <row r="638">
      <c r="A638" s="3" t="s">
        <v>1326</v>
      </c>
      <c r="B638" s="3" t="s">
        <v>1327</v>
      </c>
    </row>
    <row r="639">
      <c r="A639" s="3" t="s">
        <v>1328</v>
      </c>
      <c r="B639" s="3" t="s">
        <v>1329</v>
      </c>
    </row>
    <row r="640">
      <c r="A640" s="3" t="s">
        <v>1330</v>
      </c>
      <c r="B640" s="3" t="s">
        <v>1331</v>
      </c>
    </row>
    <row r="641">
      <c r="A641" s="3" t="s">
        <v>1332</v>
      </c>
      <c r="B641" s="3" t="s">
        <v>1333</v>
      </c>
    </row>
    <row r="642">
      <c r="A642" s="3" t="s">
        <v>1334</v>
      </c>
      <c r="B642" s="3" t="s">
        <v>1335</v>
      </c>
    </row>
    <row r="643">
      <c r="A643" s="3" t="s">
        <v>1336</v>
      </c>
      <c r="B643" s="3" t="s">
        <v>1337</v>
      </c>
    </row>
    <row r="644">
      <c r="A644" s="3" t="s">
        <v>1338</v>
      </c>
      <c r="B644" s="3" t="s">
        <v>1339</v>
      </c>
    </row>
    <row r="645">
      <c r="A645" s="3" t="s">
        <v>1340</v>
      </c>
      <c r="B645" s="3" t="s">
        <v>1341</v>
      </c>
    </row>
    <row r="646">
      <c r="A646" s="3" t="s">
        <v>1342</v>
      </c>
      <c r="B646" s="3" t="s">
        <v>1343</v>
      </c>
    </row>
    <row r="647">
      <c r="A647" s="3" t="s">
        <v>1344</v>
      </c>
      <c r="B647" s="3" t="s">
        <v>1345</v>
      </c>
    </row>
    <row r="648">
      <c r="A648" s="3" t="s">
        <v>1346</v>
      </c>
      <c r="B648" s="3" t="s">
        <v>1347</v>
      </c>
    </row>
    <row r="649">
      <c r="A649" s="3" t="s">
        <v>1348</v>
      </c>
      <c r="B649" s="3" t="s">
        <v>1349</v>
      </c>
    </row>
    <row r="650">
      <c r="A650" s="3" t="s">
        <v>1350</v>
      </c>
      <c r="B650" s="3" t="s">
        <v>1351</v>
      </c>
    </row>
    <row r="651">
      <c r="A651" s="3" t="s">
        <v>1352</v>
      </c>
      <c r="B651" s="3" t="s">
        <v>1353</v>
      </c>
    </row>
    <row r="652">
      <c r="A652" s="3" t="s">
        <v>1354</v>
      </c>
      <c r="B652" s="3" t="s">
        <v>1355</v>
      </c>
    </row>
    <row r="653">
      <c r="A653" s="3" t="s">
        <v>1356</v>
      </c>
      <c r="B653" s="3" t="s">
        <v>1357</v>
      </c>
    </row>
    <row r="654">
      <c r="A654" s="3" t="s">
        <v>1358</v>
      </c>
      <c r="B654" s="3" t="s">
        <v>1359</v>
      </c>
    </row>
    <row r="655">
      <c r="A655" s="3" t="s">
        <v>1360</v>
      </c>
      <c r="B655" s="3" t="s">
        <v>1361</v>
      </c>
    </row>
    <row r="656">
      <c r="A656" s="3" t="s">
        <v>1362</v>
      </c>
      <c r="B656" s="3" t="s">
        <v>1363</v>
      </c>
    </row>
    <row r="657">
      <c r="A657" s="3" t="s">
        <v>1364</v>
      </c>
      <c r="B657" s="3" t="s">
        <v>1365</v>
      </c>
    </row>
    <row r="658">
      <c r="A658" s="3" t="s">
        <v>1366</v>
      </c>
      <c r="B658" s="3" t="s">
        <v>1367</v>
      </c>
    </row>
    <row r="659">
      <c r="A659" s="3" t="s">
        <v>1368</v>
      </c>
      <c r="B659" s="3" t="s">
        <v>1369</v>
      </c>
    </row>
    <row r="660">
      <c r="A660" s="3" t="s">
        <v>1370</v>
      </c>
      <c r="B660" s="3" t="s">
        <v>1371</v>
      </c>
    </row>
    <row r="661">
      <c r="A661" s="3" t="s">
        <v>1372</v>
      </c>
      <c r="B661" s="3" t="s">
        <v>1373</v>
      </c>
    </row>
    <row r="662">
      <c r="A662" s="3" t="s">
        <v>1374</v>
      </c>
      <c r="B662" s="3" t="s">
        <v>1375</v>
      </c>
    </row>
    <row r="663">
      <c r="A663" s="3" t="s">
        <v>1376</v>
      </c>
      <c r="B663" s="3" t="s">
        <v>1377</v>
      </c>
    </row>
    <row r="664">
      <c r="A664" s="3" t="s">
        <v>1378</v>
      </c>
      <c r="B664" s="3" t="s">
        <v>1379</v>
      </c>
    </row>
    <row r="665">
      <c r="A665" s="3" t="s">
        <v>1380</v>
      </c>
      <c r="B665" s="3" t="s">
        <v>1381</v>
      </c>
    </row>
    <row r="666">
      <c r="A666" s="3" t="s">
        <v>1382</v>
      </c>
      <c r="B666" s="3" t="s">
        <v>1383</v>
      </c>
    </row>
    <row r="667">
      <c r="A667" s="3" t="s">
        <v>1384</v>
      </c>
      <c r="B667" s="3" t="s">
        <v>1385</v>
      </c>
    </row>
    <row r="668">
      <c r="A668" s="3" t="s">
        <v>1386</v>
      </c>
      <c r="B668" s="3" t="s">
        <v>1387</v>
      </c>
    </row>
    <row r="669">
      <c r="A669" s="3" t="s">
        <v>1388</v>
      </c>
      <c r="B669" s="3" t="s">
        <v>1389</v>
      </c>
    </row>
    <row r="670">
      <c r="A670" s="3" t="s">
        <v>1390</v>
      </c>
      <c r="B670" s="3" t="s">
        <v>1391</v>
      </c>
    </row>
    <row r="671">
      <c r="A671" s="3" t="s">
        <v>1392</v>
      </c>
      <c r="B671" s="3" t="s">
        <v>1393</v>
      </c>
    </row>
    <row r="672">
      <c r="A672" s="3" t="s">
        <v>1394</v>
      </c>
      <c r="B672" s="3" t="s">
        <v>1395</v>
      </c>
    </row>
    <row r="673">
      <c r="A673" s="3" t="s">
        <v>1396</v>
      </c>
      <c r="B673" s="3" t="s">
        <v>1397</v>
      </c>
    </row>
    <row r="674">
      <c r="A674" s="3" t="s">
        <v>1398</v>
      </c>
      <c r="B674" s="3" t="s">
        <v>1399</v>
      </c>
    </row>
    <row r="675">
      <c r="A675" s="3" t="s">
        <v>1400</v>
      </c>
      <c r="B675" s="3" t="s">
        <v>1401</v>
      </c>
    </row>
    <row r="676">
      <c r="A676" s="3" t="s">
        <v>1402</v>
      </c>
      <c r="B676" s="3" t="s">
        <v>1403</v>
      </c>
    </row>
    <row r="677">
      <c r="A677" s="3" t="s">
        <v>1404</v>
      </c>
      <c r="B677" s="3" t="s">
        <v>1405</v>
      </c>
    </row>
    <row r="678">
      <c r="A678" s="3" t="s">
        <v>1406</v>
      </c>
      <c r="B678" s="3" t="s">
        <v>1407</v>
      </c>
    </row>
    <row r="679">
      <c r="A679" s="3" t="s">
        <v>1408</v>
      </c>
      <c r="B679" s="3" t="s">
        <v>1409</v>
      </c>
    </row>
    <row r="680">
      <c r="A680" s="3" t="s">
        <v>1410</v>
      </c>
      <c r="B680" s="3" t="s">
        <v>1411</v>
      </c>
    </row>
    <row r="681">
      <c r="A681" s="3" t="s">
        <v>1412</v>
      </c>
      <c r="B681" s="3" t="s">
        <v>1413</v>
      </c>
    </row>
    <row r="682">
      <c r="A682" s="3" t="s">
        <v>1414</v>
      </c>
      <c r="B682" s="3" t="s">
        <v>1415</v>
      </c>
    </row>
    <row r="683">
      <c r="A683" s="3" t="s">
        <v>1416</v>
      </c>
      <c r="B683" s="3" t="s">
        <v>1417</v>
      </c>
    </row>
    <row r="684">
      <c r="A684" s="3" t="s">
        <v>1418</v>
      </c>
      <c r="B684" s="3" t="s">
        <v>1419</v>
      </c>
    </row>
    <row r="685">
      <c r="A685" s="3" t="s">
        <v>1420</v>
      </c>
      <c r="B685" s="3" t="s">
        <v>1421</v>
      </c>
    </row>
    <row r="686">
      <c r="A686" s="3" t="s">
        <v>1422</v>
      </c>
      <c r="B686" s="3" t="s">
        <v>1423</v>
      </c>
    </row>
    <row r="687">
      <c r="A687" s="3" t="s">
        <v>1424</v>
      </c>
      <c r="B687" s="3" t="s">
        <v>1425</v>
      </c>
    </row>
    <row r="688">
      <c r="A688" s="3" t="s">
        <v>1426</v>
      </c>
      <c r="B688" s="3" t="s">
        <v>1427</v>
      </c>
    </row>
    <row r="689">
      <c r="A689" s="3" t="s">
        <v>1428</v>
      </c>
      <c r="B689" s="3" t="s">
        <v>1429</v>
      </c>
    </row>
    <row r="690">
      <c r="A690" s="3" t="s">
        <v>1430</v>
      </c>
      <c r="B690" s="3" t="s">
        <v>1431</v>
      </c>
    </row>
    <row r="691">
      <c r="A691" s="3" t="s">
        <v>1432</v>
      </c>
      <c r="B691" s="3" t="s">
        <v>1433</v>
      </c>
    </row>
    <row r="692">
      <c r="A692" s="3" t="s">
        <v>1434</v>
      </c>
      <c r="B692" s="3" t="s">
        <v>1435</v>
      </c>
    </row>
    <row r="693">
      <c r="A693" s="3" t="s">
        <v>1436</v>
      </c>
      <c r="B693" s="3" t="s">
        <v>1437</v>
      </c>
    </row>
    <row r="694">
      <c r="A694" s="3" t="s">
        <v>1438</v>
      </c>
      <c r="B694" s="3" t="s">
        <v>1439</v>
      </c>
    </row>
    <row r="695">
      <c r="A695" s="3" t="s">
        <v>1440</v>
      </c>
      <c r="B695" s="3" t="s">
        <v>1441</v>
      </c>
    </row>
    <row r="696">
      <c r="A696" s="3" t="s">
        <v>1442</v>
      </c>
      <c r="B696" s="3" t="s">
        <v>1443</v>
      </c>
    </row>
    <row r="697">
      <c r="A697" s="3" t="s">
        <v>1444</v>
      </c>
      <c r="B697" s="3" t="s">
        <v>1445</v>
      </c>
    </row>
    <row r="698">
      <c r="A698" s="3" t="s">
        <v>1446</v>
      </c>
      <c r="B698" s="3" t="s">
        <v>1447</v>
      </c>
    </row>
    <row r="699">
      <c r="A699" s="3" t="s">
        <v>1448</v>
      </c>
      <c r="B699" s="3" t="s">
        <v>1449</v>
      </c>
    </row>
    <row r="700">
      <c r="A700" s="3" t="s">
        <v>1450</v>
      </c>
      <c r="B700" s="3" t="s">
        <v>1451</v>
      </c>
    </row>
    <row r="701">
      <c r="A701" s="3" t="s">
        <v>1452</v>
      </c>
      <c r="B701" s="3" t="s">
        <v>1453</v>
      </c>
    </row>
    <row r="702">
      <c r="A702" s="3" t="s">
        <v>1454</v>
      </c>
      <c r="B702" s="3" t="s">
        <v>1455</v>
      </c>
    </row>
    <row r="703">
      <c r="A703" s="3" t="s">
        <v>1456</v>
      </c>
      <c r="B703" s="3" t="s">
        <v>1457</v>
      </c>
    </row>
    <row r="704">
      <c r="A704" s="3" t="s">
        <v>1458</v>
      </c>
      <c r="B704" s="13" t="s">
        <v>1459</v>
      </c>
    </row>
    <row r="705">
      <c r="A705" s="3" t="s">
        <v>1460</v>
      </c>
      <c r="B705" s="3" t="s">
        <v>1461</v>
      </c>
    </row>
    <row r="706">
      <c r="A706" s="3" t="s">
        <v>1462</v>
      </c>
      <c r="B706" s="3" t="s">
        <v>1463</v>
      </c>
    </row>
    <row r="707">
      <c r="A707" s="3" t="s">
        <v>1464</v>
      </c>
      <c r="B707" s="3" t="s">
        <v>1465</v>
      </c>
    </row>
    <row r="708">
      <c r="A708" s="3" t="s">
        <v>1466</v>
      </c>
      <c r="B708" s="3" t="s">
        <v>1467</v>
      </c>
    </row>
    <row r="709">
      <c r="A709" s="3" t="s">
        <v>1468</v>
      </c>
      <c r="B709" s="3" t="s">
        <v>1469</v>
      </c>
    </row>
    <row r="710">
      <c r="A710" s="3" t="s">
        <v>1470</v>
      </c>
      <c r="B710" s="3" t="s">
        <v>1471</v>
      </c>
    </row>
    <row r="711">
      <c r="A711" s="3" t="s">
        <v>1472</v>
      </c>
      <c r="B711" s="3" t="s">
        <v>1473</v>
      </c>
    </row>
    <row r="712">
      <c r="A712" s="3" t="s">
        <v>1474</v>
      </c>
      <c r="B712" s="3" t="s">
        <v>1475</v>
      </c>
    </row>
    <row r="713">
      <c r="A713" s="3" t="s">
        <v>1476</v>
      </c>
      <c r="B713" s="3" t="s">
        <v>1477</v>
      </c>
    </row>
    <row r="714">
      <c r="A714" s="3" t="s">
        <v>1478</v>
      </c>
      <c r="B714" s="3" t="s">
        <v>1479</v>
      </c>
    </row>
    <row r="715">
      <c r="A715" s="3" t="s">
        <v>1480</v>
      </c>
      <c r="B715" s="3" t="s">
        <v>1481</v>
      </c>
    </row>
    <row r="716">
      <c r="A716" s="3" t="s">
        <v>1482</v>
      </c>
      <c r="B716" s="3" t="s">
        <v>1483</v>
      </c>
    </row>
    <row r="717">
      <c r="A717" s="3" t="s">
        <v>1484</v>
      </c>
      <c r="B717" s="3" t="s">
        <v>1485</v>
      </c>
    </row>
    <row r="718">
      <c r="A718" s="3" t="s">
        <v>1486</v>
      </c>
      <c r="B718" s="3" t="s">
        <v>1487</v>
      </c>
    </row>
    <row r="719">
      <c r="A719" s="3" t="s">
        <v>1488</v>
      </c>
      <c r="B719" s="3" t="s">
        <v>1489</v>
      </c>
    </row>
    <row r="720">
      <c r="A720" s="3" t="s">
        <v>1490</v>
      </c>
      <c r="B720" s="3" t="s">
        <v>1491</v>
      </c>
    </row>
    <row r="721">
      <c r="A721" s="3" t="s">
        <v>1492</v>
      </c>
      <c r="B721" s="3" t="s">
        <v>1493</v>
      </c>
    </row>
    <row r="722">
      <c r="A722" s="3" t="s">
        <v>1494</v>
      </c>
      <c r="B722" s="3" t="s">
        <v>1495</v>
      </c>
    </row>
    <row r="723">
      <c r="A723" s="3" t="s">
        <v>1496</v>
      </c>
      <c r="B723" s="3" t="s">
        <v>1497</v>
      </c>
    </row>
    <row r="724">
      <c r="A724" s="3" t="s">
        <v>1498</v>
      </c>
      <c r="B724" s="3" t="s">
        <v>1499</v>
      </c>
    </row>
    <row r="725">
      <c r="A725" s="3" t="s">
        <v>1500</v>
      </c>
      <c r="B725" s="3" t="s">
        <v>1501</v>
      </c>
    </row>
    <row r="726">
      <c r="A726" s="3" t="s">
        <v>1502</v>
      </c>
      <c r="B726" s="3" t="s">
        <v>1503</v>
      </c>
    </row>
    <row r="727">
      <c r="A727" s="3" t="s">
        <v>1504</v>
      </c>
      <c r="B727" s="3" t="s">
        <v>1505</v>
      </c>
    </row>
    <row r="728">
      <c r="A728" s="3" t="s">
        <v>1506</v>
      </c>
      <c r="B728" s="3" t="s">
        <v>1507</v>
      </c>
    </row>
    <row r="729">
      <c r="A729" s="3" t="s">
        <v>1508</v>
      </c>
      <c r="B729" s="3" t="s">
        <v>1509</v>
      </c>
    </row>
    <row r="730">
      <c r="A730" s="3" t="s">
        <v>1510</v>
      </c>
      <c r="B730" s="3" t="s">
        <v>1511</v>
      </c>
    </row>
    <row r="731">
      <c r="A731" s="3" t="s">
        <v>1512</v>
      </c>
      <c r="B731" s="3" t="s">
        <v>1513</v>
      </c>
    </row>
    <row r="732">
      <c r="A732" s="3" t="s">
        <v>1514</v>
      </c>
      <c r="B732" s="3" t="s">
        <v>1515</v>
      </c>
    </row>
    <row r="733">
      <c r="A733" s="3" t="s">
        <v>1516</v>
      </c>
      <c r="B733" s="3" t="s">
        <v>1517</v>
      </c>
    </row>
    <row r="734">
      <c r="A734" s="3" t="s">
        <v>1518</v>
      </c>
      <c r="B734" s="3" t="s">
        <v>1519</v>
      </c>
    </row>
    <row r="735">
      <c r="A735" s="3" t="s">
        <v>1520</v>
      </c>
      <c r="B735" s="3" t="s">
        <v>1521</v>
      </c>
    </row>
    <row r="736">
      <c r="A736" s="3" t="s">
        <v>1522</v>
      </c>
      <c r="B736" s="3" t="s">
        <v>1523</v>
      </c>
    </row>
    <row r="737">
      <c r="A737" s="3" t="s">
        <v>1524</v>
      </c>
      <c r="B737" s="3" t="s">
        <v>1525</v>
      </c>
    </row>
    <row r="738">
      <c r="A738" s="3" t="s">
        <v>1526</v>
      </c>
      <c r="B738" s="3" t="s">
        <v>1527</v>
      </c>
    </row>
    <row r="739">
      <c r="A739" s="3" t="s">
        <v>1528</v>
      </c>
      <c r="B739" s="3" t="s">
        <v>1529</v>
      </c>
    </row>
    <row r="740">
      <c r="A740" s="3" t="s">
        <v>1530</v>
      </c>
      <c r="B740" s="3" t="s">
        <v>1531</v>
      </c>
    </row>
    <row r="741">
      <c r="A741" s="3" t="s">
        <v>1532</v>
      </c>
      <c r="B741" s="3" t="s">
        <v>1533</v>
      </c>
    </row>
    <row r="742">
      <c r="A742" s="3" t="s">
        <v>1534</v>
      </c>
      <c r="B742" s="3" t="s">
        <v>1535</v>
      </c>
    </row>
    <row r="743">
      <c r="A743" s="3" t="s">
        <v>1536</v>
      </c>
      <c r="B743" s="3" t="s">
        <v>1537</v>
      </c>
    </row>
    <row r="744">
      <c r="A744" s="3" t="s">
        <v>1538</v>
      </c>
      <c r="B744" s="3" t="s">
        <v>1539</v>
      </c>
    </row>
    <row r="745">
      <c r="A745" s="3" t="s">
        <v>1540</v>
      </c>
      <c r="B745" s="3" t="s">
        <v>1541</v>
      </c>
    </row>
    <row r="746">
      <c r="A746" s="3" t="s">
        <v>1542</v>
      </c>
      <c r="B746" s="3" t="s">
        <v>1543</v>
      </c>
    </row>
    <row r="747">
      <c r="A747" s="3" t="s">
        <v>1544</v>
      </c>
      <c r="B747" s="3" t="s">
        <v>1545</v>
      </c>
    </row>
    <row r="748">
      <c r="A748" s="3" t="s">
        <v>1546</v>
      </c>
      <c r="B748" s="3" t="s">
        <v>1547</v>
      </c>
    </row>
    <row r="749">
      <c r="A749" s="3" t="s">
        <v>1548</v>
      </c>
      <c r="B749" s="3" t="s">
        <v>1549</v>
      </c>
    </row>
    <row r="750">
      <c r="A750" s="3" t="s">
        <v>1550</v>
      </c>
      <c r="B750" s="3" t="s">
        <v>1551</v>
      </c>
    </row>
    <row r="751">
      <c r="A751" s="3" t="s">
        <v>1552</v>
      </c>
      <c r="B751" s="3" t="s">
        <v>1553</v>
      </c>
    </row>
    <row r="752">
      <c r="A752" s="3" t="s">
        <v>1554</v>
      </c>
      <c r="B752" s="3" t="s">
        <v>1555</v>
      </c>
    </row>
    <row r="753">
      <c r="A753" s="3" t="s">
        <v>1556</v>
      </c>
      <c r="B753" s="3" t="s">
        <v>1557</v>
      </c>
    </row>
    <row r="754">
      <c r="A754" s="3" t="s">
        <v>1558</v>
      </c>
      <c r="B754" s="3" t="s">
        <v>1559</v>
      </c>
    </row>
    <row r="755">
      <c r="A755" s="3" t="s">
        <v>1560</v>
      </c>
      <c r="B755" s="3" t="s">
        <v>1561</v>
      </c>
    </row>
    <row r="756">
      <c r="A756" s="3" t="s">
        <v>1562</v>
      </c>
      <c r="B756" s="3" t="s">
        <v>1563</v>
      </c>
    </row>
    <row r="757">
      <c r="A757" s="3" t="s">
        <v>1564</v>
      </c>
      <c r="B757" s="3" t="s">
        <v>1565</v>
      </c>
    </row>
    <row r="758">
      <c r="A758" s="3" t="s">
        <v>1566</v>
      </c>
      <c r="B758" s="3" t="s">
        <v>1567</v>
      </c>
    </row>
    <row r="759">
      <c r="A759" s="3" t="s">
        <v>1568</v>
      </c>
      <c r="B759" s="3" t="s">
        <v>1569</v>
      </c>
    </row>
    <row r="760">
      <c r="A760" s="3" t="s">
        <v>1570</v>
      </c>
      <c r="B760" s="3" t="s">
        <v>1571</v>
      </c>
    </row>
    <row r="761">
      <c r="A761" s="3" t="s">
        <v>1572</v>
      </c>
      <c r="B761" s="3" t="s">
        <v>1573</v>
      </c>
    </row>
    <row r="762">
      <c r="A762" s="3" t="s">
        <v>1574</v>
      </c>
      <c r="B762" s="3" t="s">
        <v>1575</v>
      </c>
    </row>
    <row r="763">
      <c r="A763" s="3" t="s">
        <v>1576</v>
      </c>
      <c r="B763" s="3" t="s">
        <v>1577</v>
      </c>
    </row>
    <row r="764">
      <c r="A764" s="3" t="s">
        <v>1578</v>
      </c>
      <c r="B764" s="3" t="s">
        <v>1579</v>
      </c>
    </row>
    <row r="765">
      <c r="A765" s="3" t="s">
        <v>1580</v>
      </c>
      <c r="B765" s="3" t="s">
        <v>1581</v>
      </c>
    </row>
    <row r="766">
      <c r="A766" s="3" t="s">
        <v>1582</v>
      </c>
      <c r="B766" s="3" t="s">
        <v>1583</v>
      </c>
    </row>
    <row r="767">
      <c r="A767" s="3" t="s">
        <v>1584</v>
      </c>
      <c r="B767" s="3" t="s">
        <v>1585</v>
      </c>
    </row>
    <row r="768">
      <c r="A768" s="3" t="s">
        <v>1586</v>
      </c>
      <c r="B768" s="3" t="s">
        <v>1587</v>
      </c>
    </row>
    <row r="769">
      <c r="A769" s="3" t="s">
        <v>1588</v>
      </c>
      <c r="B769" s="3" t="s">
        <v>1589</v>
      </c>
    </row>
    <row r="770">
      <c r="A770" s="3" t="s">
        <v>1590</v>
      </c>
      <c r="B770" s="3" t="s">
        <v>1591</v>
      </c>
    </row>
    <row r="771">
      <c r="A771" s="3" t="s">
        <v>1592</v>
      </c>
      <c r="B771" s="3" t="s">
        <v>1593</v>
      </c>
    </row>
    <row r="772">
      <c r="A772" s="3" t="s">
        <v>1594</v>
      </c>
      <c r="B772" s="3" t="s">
        <v>1595</v>
      </c>
    </row>
    <row r="773">
      <c r="A773" s="3" t="s">
        <v>1596</v>
      </c>
      <c r="B773" s="3" t="s">
        <v>1597</v>
      </c>
    </row>
    <row r="774">
      <c r="A774" s="3" t="s">
        <v>1598</v>
      </c>
      <c r="B774" s="3" t="s">
        <v>1599</v>
      </c>
    </row>
    <row r="775">
      <c r="A775" s="3" t="s">
        <v>1600</v>
      </c>
      <c r="B775" s="3" t="s">
        <v>1601</v>
      </c>
    </row>
    <row r="776">
      <c r="A776" s="3" t="s">
        <v>1602</v>
      </c>
      <c r="B776" s="3" t="s">
        <v>1603</v>
      </c>
    </row>
    <row r="777">
      <c r="A777" s="3" t="s">
        <v>1604</v>
      </c>
      <c r="B777" s="3" t="s">
        <v>1605</v>
      </c>
    </row>
    <row r="778">
      <c r="A778" s="3" t="s">
        <v>1606</v>
      </c>
      <c r="B778" s="3" t="s">
        <v>1607</v>
      </c>
    </row>
    <row r="779">
      <c r="A779" s="3" t="s">
        <v>1608</v>
      </c>
      <c r="B779" s="3" t="s">
        <v>1609</v>
      </c>
    </row>
    <row r="780">
      <c r="A780" s="3" t="s">
        <v>1610</v>
      </c>
      <c r="B780" s="3" t="s">
        <v>1611</v>
      </c>
    </row>
    <row r="781">
      <c r="A781" s="3" t="s">
        <v>1612</v>
      </c>
      <c r="B781" s="3" t="s">
        <v>1613</v>
      </c>
    </row>
    <row r="782">
      <c r="A782" s="3" t="s">
        <v>1614</v>
      </c>
      <c r="B782" s="3" t="s">
        <v>1615</v>
      </c>
    </row>
    <row r="783">
      <c r="A783" s="3" t="s">
        <v>1616</v>
      </c>
      <c r="B783" s="3" t="s">
        <v>1617</v>
      </c>
    </row>
    <row r="784">
      <c r="A784" s="3" t="s">
        <v>1618</v>
      </c>
      <c r="B784" s="3" t="s">
        <v>1619</v>
      </c>
    </row>
    <row r="785">
      <c r="A785" s="3" t="s">
        <v>1620</v>
      </c>
      <c r="B785" s="3" t="s">
        <v>1621</v>
      </c>
    </row>
    <row r="786">
      <c r="A786" s="3" t="s">
        <v>1622</v>
      </c>
      <c r="B786" s="3" t="s">
        <v>1623</v>
      </c>
    </row>
    <row r="787">
      <c r="A787" s="3" t="s">
        <v>1624</v>
      </c>
      <c r="B787" s="3" t="s">
        <v>1625</v>
      </c>
    </row>
    <row r="788">
      <c r="A788" s="3" t="s">
        <v>1626</v>
      </c>
      <c r="B788" s="3" t="s">
        <v>1627</v>
      </c>
    </row>
    <row r="789">
      <c r="A789" s="3" t="s">
        <v>1628</v>
      </c>
      <c r="B789" s="3" t="s">
        <v>1629</v>
      </c>
    </row>
    <row r="790">
      <c r="A790" s="3" t="s">
        <v>1630</v>
      </c>
      <c r="B790" s="3" t="s">
        <v>1631</v>
      </c>
    </row>
    <row r="791">
      <c r="A791" s="3" t="s">
        <v>1632</v>
      </c>
      <c r="B791" s="3" t="s">
        <v>1633</v>
      </c>
    </row>
    <row r="792">
      <c r="A792" s="3" t="s">
        <v>1634</v>
      </c>
      <c r="B792" s="3" t="s">
        <v>1635</v>
      </c>
    </row>
    <row r="793">
      <c r="A793" s="3" t="s">
        <v>1636</v>
      </c>
      <c r="B793" s="3" t="s">
        <v>1637</v>
      </c>
    </row>
    <row r="794">
      <c r="A794" s="3" t="s">
        <v>1638</v>
      </c>
      <c r="B794" s="3" t="s">
        <v>1639</v>
      </c>
    </row>
    <row r="795">
      <c r="A795" s="3" t="s">
        <v>1640</v>
      </c>
      <c r="B795" s="3" t="s">
        <v>1641</v>
      </c>
    </row>
    <row r="796">
      <c r="A796" s="3" t="s">
        <v>1642</v>
      </c>
      <c r="B796" s="3" t="s">
        <v>1643</v>
      </c>
    </row>
    <row r="797">
      <c r="A797" s="3" t="s">
        <v>1644</v>
      </c>
      <c r="B797" s="3" t="s">
        <v>1645</v>
      </c>
    </row>
    <row r="798">
      <c r="A798" s="3" t="s">
        <v>1646</v>
      </c>
      <c r="B798" s="3" t="s">
        <v>1647</v>
      </c>
    </row>
    <row r="799">
      <c r="A799" s="3" t="s">
        <v>1648</v>
      </c>
      <c r="B799" s="3" t="s">
        <v>1649</v>
      </c>
    </row>
    <row r="800">
      <c r="A800" s="3" t="s">
        <v>1650</v>
      </c>
      <c r="B800" s="3" t="s">
        <v>1651</v>
      </c>
    </row>
    <row r="801">
      <c r="A801" s="3" t="s">
        <v>1652</v>
      </c>
      <c r="B801" s="3" t="s">
        <v>1653</v>
      </c>
    </row>
    <row r="802">
      <c r="A802" s="3" t="s">
        <v>1654</v>
      </c>
      <c r="B802" s="3" t="s">
        <v>1655</v>
      </c>
    </row>
    <row r="803">
      <c r="A803" s="3" t="s">
        <v>1656</v>
      </c>
      <c r="B803" s="3" t="s">
        <v>1657</v>
      </c>
    </row>
    <row r="804">
      <c r="A804" s="3" t="s">
        <v>1658</v>
      </c>
      <c r="B804" s="3" t="s">
        <v>1659</v>
      </c>
    </row>
    <row r="805">
      <c r="A805" s="3" t="s">
        <v>1660</v>
      </c>
      <c r="B805" s="3" t="s">
        <v>1661</v>
      </c>
    </row>
    <row r="806">
      <c r="A806" s="3" t="s">
        <v>1662</v>
      </c>
      <c r="B806" s="3" t="s">
        <v>1663</v>
      </c>
    </row>
    <row r="807">
      <c r="A807" s="3" t="s">
        <v>1664</v>
      </c>
      <c r="B807" s="3" t="s">
        <v>1665</v>
      </c>
    </row>
    <row r="808">
      <c r="A808" s="3" t="s">
        <v>1666</v>
      </c>
      <c r="B808" s="3" t="s">
        <v>1667</v>
      </c>
    </row>
    <row r="809">
      <c r="A809" s="3" t="s">
        <v>1668</v>
      </c>
      <c r="B809" s="3" t="s">
        <v>1669</v>
      </c>
    </row>
    <row r="810">
      <c r="A810" s="3" t="s">
        <v>1670</v>
      </c>
      <c r="B810" s="3" t="s">
        <v>1671</v>
      </c>
    </row>
    <row r="811">
      <c r="A811" s="3" t="s">
        <v>1672</v>
      </c>
      <c r="B811" s="3" t="s">
        <v>1673</v>
      </c>
    </row>
    <row r="812">
      <c r="A812" s="3" t="s">
        <v>1674</v>
      </c>
      <c r="B812" s="3" t="s">
        <v>1675</v>
      </c>
    </row>
    <row r="813">
      <c r="A813" s="3" t="s">
        <v>1676</v>
      </c>
      <c r="B813" s="3" t="s">
        <v>1677</v>
      </c>
    </row>
    <row r="814">
      <c r="A814" s="3" t="s">
        <v>1678</v>
      </c>
      <c r="B814" s="3" t="s">
        <v>1679</v>
      </c>
    </row>
    <row r="815">
      <c r="A815" s="3" t="s">
        <v>1680</v>
      </c>
      <c r="B815" s="3" t="s">
        <v>1681</v>
      </c>
    </row>
    <row r="816">
      <c r="A816" s="3" t="s">
        <v>1682</v>
      </c>
      <c r="B816" s="3" t="s">
        <v>1683</v>
      </c>
    </row>
    <row r="817">
      <c r="A817" s="3" t="s">
        <v>1684</v>
      </c>
      <c r="B817" s="3" t="s">
        <v>1685</v>
      </c>
    </row>
    <row r="818">
      <c r="A818" s="3" t="s">
        <v>1686</v>
      </c>
      <c r="B818" s="3" t="s">
        <v>1687</v>
      </c>
    </row>
    <row r="819">
      <c r="A819" s="3" t="s">
        <v>1688</v>
      </c>
      <c r="B819" s="3" t="s">
        <v>1689</v>
      </c>
    </row>
    <row r="820">
      <c r="A820" s="3" t="s">
        <v>1690</v>
      </c>
      <c r="B820" s="3" t="s">
        <v>1691</v>
      </c>
    </row>
    <row r="821">
      <c r="A821" s="3" t="s">
        <v>1692</v>
      </c>
      <c r="B821" s="3" t="s">
        <v>1693</v>
      </c>
    </row>
    <row r="822">
      <c r="A822" s="3" t="s">
        <v>1694</v>
      </c>
      <c r="B822" s="3" t="s">
        <v>1695</v>
      </c>
    </row>
    <row r="823">
      <c r="A823" s="3" t="s">
        <v>1696</v>
      </c>
      <c r="B823" s="3" t="s">
        <v>1697</v>
      </c>
    </row>
    <row r="824">
      <c r="A824" s="3" t="s">
        <v>1698</v>
      </c>
      <c r="B824" s="3" t="s">
        <v>1699</v>
      </c>
    </row>
    <row r="825">
      <c r="A825" s="3" t="s">
        <v>1700</v>
      </c>
      <c r="B825" s="3" t="s">
        <v>1701</v>
      </c>
    </row>
    <row r="826">
      <c r="A826" s="3" t="s">
        <v>1702</v>
      </c>
      <c r="B826" s="3" t="s">
        <v>1703</v>
      </c>
    </row>
    <row r="827">
      <c r="A827" s="3" t="s">
        <v>1704</v>
      </c>
      <c r="B827" s="3" t="s">
        <v>1705</v>
      </c>
    </row>
    <row r="828">
      <c r="A828" s="3" t="s">
        <v>1706</v>
      </c>
      <c r="B828" s="3" t="s">
        <v>1707</v>
      </c>
    </row>
    <row r="829">
      <c r="A829" s="3" t="s">
        <v>1708</v>
      </c>
      <c r="B829" s="3" t="s">
        <v>1709</v>
      </c>
    </row>
    <row r="830">
      <c r="A830" s="3" t="s">
        <v>1710</v>
      </c>
      <c r="B830" s="3" t="s">
        <v>1711</v>
      </c>
    </row>
    <row r="831">
      <c r="A831" s="3" t="s">
        <v>1712</v>
      </c>
      <c r="B831" s="3" t="s">
        <v>1713</v>
      </c>
    </row>
    <row r="832">
      <c r="A832" s="3" t="s">
        <v>1714</v>
      </c>
      <c r="B832" s="3" t="s">
        <v>1715</v>
      </c>
    </row>
    <row r="833">
      <c r="A833" s="3" t="s">
        <v>1716</v>
      </c>
      <c r="B833" s="3" t="s">
        <v>1717</v>
      </c>
    </row>
    <row r="834">
      <c r="A834" s="3" t="s">
        <v>1718</v>
      </c>
      <c r="B834" s="3" t="s">
        <v>1719</v>
      </c>
    </row>
    <row r="835">
      <c r="A835" s="3" t="s">
        <v>1720</v>
      </c>
      <c r="B835" s="3" t="s">
        <v>1721</v>
      </c>
    </row>
    <row r="836">
      <c r="A836" s="3" t="s">
        <v>1722</v>
      </c>
      <c r="B836" s="3" t="s">
        <v>1723</v>
      </c>
    </row>
    <row r="837">
      <c r="A837" s="3" t="s">
        <v>1724</v>
      </c>
      <c r="B837" s="3" t="s">
        <v>1725</v>
      </c>
    </row>
    <row r="838">
      <c r="A838" s="3" t="s">
        <v>1726</v>
      </c>
      <c r="B838" s="3" t="s">
        <v>1727</v>
      </c>
    </row>
    <row r="839">
      <c r="A839" s="3" t="s">
        <v>1728</v>
      </c>
      <c r="B839" s="3" t="s">
        <v>1729</v>
      </c>
    </row>
    <row r="840">
      <c r="A840" s="3" t="s">
        <v>1730</v>
      </c>
      <c r="B840" s="3" t="s">
        <v>1731</v>
      </c>
    </row>
    <row r="841">
      <c r="A841" s="3" t="s">
        <v>1732</v>
      </c>
      <c r="B841" s="3" t="s">
        <v>1733</v>
      </c>
    </row>
    <row r="842">
      <c r="A842" s="3" t="s">
        <v>1734</v>
      </c>
      <c r="B842" s="3" t="s">
        <v>1735</v>
      </c>
    </row>
    <row r="843">
      <c r="A843" s="3" t="s">
        <v>1736</v>
      </c>
      <c r="B843" s="3" t="s">
        <v>1737</v>
      </c>
    </row>
    <row r="844">
      <c r="A844" s="3" t="s">
        <v>1738</v>
      </c>
      <c r="B844" s="3" t="s">
        <v>1739</v>
      </c>
    </row>
    <row r="845">
      <c r="A845" s="3" t="s">
        <v>1740</v>
      </c>
      <c r="B845" s="3" t="s">
        <v>1741</v>
      </c>
    </row>
    <row r="846">
      <c r="A846" s="3" t="s">
        <v>1742</v>
      </c>
      <c r="B846" s="3" t="s">
        <v>1743</v>
      </c>
    </row>
    <row r="847">
      <c r="A847" s="3" t="s">
        <v>1744</v>
      </c>
      <c r="B847" s="3" t="s">
        <v>1745</v>
      </c>
    </row>
    <row r="848">
      <c r="A848" s="3" t="s">
        <v>1746</v>
      </c>
      <c r="B848" s="3" t="s">
        <v>1747</v>
      </c>
    </row>
    <row r="849">
      <c r="A849" s="3" t="s">
        <v>1748</v>
      </c>
      <c r="B849" s="3" t="s">
        <v>1749</v>
      </c>
    </row>
    <row r="850">
      <c r="A850" s="3" t="s">
        <v>1750</v>
      </c>
      <c r="B850" s="3" t="s">
        <v>1751</v>
      </c>
    </row>
    <row r="851">
      <c r="A851" s="3" t="s">
        <v>1752</v>
      </c>
      <c r="B851" s="3" t="s">
        <v>1753</v>
      </c>
    </row>
    <row r="852">
      <c r="A852" s="3" t="s">
        <v>1754</v>
      </c>
      <c r="B852" s="3" t="s">
        <v>1755</v>
      </c>
    </row>
    <row r="853">
      <c r="A853" s="3" t="s">
        <v>1756</v>
      </c>
      <c r="B853" s="3" t="s">
        <v>1757</v>
      </c>
    </row>
    <row r="854">
      <c r="A854" s="3" t="s">
        <v>1758</v>
      </c>
      <c r="B854" s="3" t="s">
        <v>1759</v>
      </c>
    </row>
    <row r="855">
      <c r="A855" s="3" t="s">
        <v>1760</v>
      </c>
      <c r="B855" s="3" t="s">
        <v>1761</v>
      </c>
    </row>
    <row r="856">
      <c r="A856" s="3" t="s">
        <v>1762</v>
      </c>
      <c r="B856" s="3" t="s">
        <v>1763</v>
      </c>
    </row>
    <row r="857">
      <c r="A857" s="3" t="s">
        <v>1764</v>
      </c>
      <c r="B857" s="3" t="s">
        <v>1765</v>
      </c>
    </row>
    <row r="858">
      <c r="A858" s="3" t="s">
        <v>1766</v>
      </c>
      <c r="B858" s="3" t="s">
        <v>1767</v>
      </c>
    </row>
    <row r="859">
      <c r="A859" s="3" t="s">
        <v>1768</v>
      </c>
      <c r="B859" s="3" t="s">
        <v>1769</v>
      </c>
    </row>
    <row r="860">
      <c r="A860" s="3" t="s">
        <v>1770</v>
      </c>
      <c r="B860" s="3" t="s">
        <v>1771</v>
      </c>
    </row>
    <row r="861">
      <c r="A861" s="3" t="s">
        <v>1772</v>
      </c>
      <c r="B861" s="3" t="s">
        <v>1773</v>
      </c>
    </row>
    <row r="862">
      <c r="A862" s="3" t="s">
        <v>1774</v>
      </c>
      <c r="B862" s="3" t="s">
        <v>1775</v>
      </c>
    </row>
    <row r="863">
      <c r="A863" s="3" t="s">
        <v>1776</v>
      </c>
      <c r="B863" s="3" t="s">
        <v>1777</v>
      </c>
    </row>
    <row r="864">
      <c r="A864" s="3" t="s">
        <v>1778</v>
      </c>
      <c r="B864" s="3" t="s">
        <v>1779</v>
      </c>
    </row>
    <row r="865">
      <c r="A865" s="3" t="s">
        <v>1780</v>
      </c>
      <c r="B865" s="3" t="s">
        <v>1781</v>
      </c>
    </row>
    <row r="866">
      <c r="A866" s="3" t="s">
        <v>1782</v>
      </c>
      <c r="B866" s="3" t="s">
        <v>1783</v>
      </c>
    </row>
    <row r="867">
      <c r="A867" s="3" t="s">
        <v>1784</v>
      </c>
      <c r="B867" s="3" t="s">
        <v>1785</v>
      </c>
    </row>
    <row r="868">
      <c r="A868" s="3" t="s">
        <v>1786</v>
      </c>
      <c r="B868" s="3" t="s">
        <v>1787</v>
      </c>
    </row>
    <row r="869">
      <c r="A869" s="3" t="s">
        <v>1788</v>
      </c>
      <c r="B869" s="3" t="s">
        <v>1789</v>
      </c>
    </row>
    <row r="870">
      <c r="A870" s="3" t="s">
        <v>1790</v>
      </c>
      <c r="B870" s="3" t="s">
        <v>1791</v>
      </c>
    </row>
    <row r="871">
      <c r="A871" s="3" t="s">
        <v>1792</v>
      </c>
      <c r="B871" s="3" t="s">
        <v>1793</v>
      </c>
    </row>
    <row r="872">
      <c r="A872" s="3" t="s">
        <v>1794</v>
      </c>
      <c r="B872" s="3" t="s">
        <v>1795</v>
      </c>
    </row>
    <row r="873">
      <c r="A873" s="3" t="s">
        <v>1796</v>
      </c>
      <c r="B873" s="3" t="s">
        <v>1797</v>
      </c>
    </row>
    <row r="874">
      <c r="A874" s="3" t="s">
        <v>1798</v>
      </c>
      <c r="B874" s="3" t="s">
        <v>1799</v>
      </c>
    </row>
    <row r="875">
      <c r="A875" s="3" t="s">
        <v>1800</v>
      </c>
      <c r="B875" s="3" t="s">
        <v>1801</v>
      </c>
    </row>
    <row r="876">
      <c r="A876" s="3" t="s">
        <v>1802</v>
      </c>
      <c r="B876" s="3" t="s">
        <v>1803</v>
      </c>
    </row>
    <row r="877">
      <c r="A877" s="3" t="s">
        <v>1804</v>
      </c>
      <c r="B877" s="3" t="s">
        <v>1805</v>
      </c>
    </row>
    <row r="878">
      <c r="A878" s="3" t="s">
        <v>1806</v>
      </c>
      <c r="B878" s="3" t="s">
        <v>1807</v>
      </c>
    </row>
    <row r="879">
      <c r="A879" s="3" t="s">
        <v>1808</v>
      </c>
      <c r="B879" s="3" t="s">
        <v>1809</v>
      </c>
    </row>
    <row r="880">
      <c r="A880" s="3" t="s">
        <v>1810</v>
      </c>
      <c r="B880" s="3" t="s">
        <v>1811</v>
      </c>
    </row>
    <row r="881">
      <c r="A881" s="3" t="s">
        <v>1812</v>
      </c>
      <c r="B881" s="3" t="s">
        <v>1813</v>
      </c>
    </row>
    <row r="882">
      <c r="A882" s="3" t="s">
        <v>1814</v>
      </c>
      <c r="B882" s="3" t="s">
        <v>1815</v>
      </c>
    </row>
    <row r="883">
      <c r="A883" s="3" t="s">
        <v>1816</v>
      </c>
      <c r="B883" s="3" t="s">
        <v>1817</v>
      </c>
    </row>
    <row r="884">
      <c r="A884" s="3" t="s">
        <v>1818</v>
      </c>
      <c r="B884" s="3" t="s">
        <v>1819</v>
      </c>
    </row>
    <row r="885">
      <c r="A885" s="3" t="s">
        <v>1820</v>
      </c>
      <c r="B885" s="3" t="s">
        <v>1821</v>
      </c>
    </row>
    <row r="886">
      <c r="A886" s="3" t="s">
        <v>1822</v>
      </c>
      <c r="B886" s="3" t="s">
        <v>1823</v>
      </c>
    </row>
    <row r="887">
      <c r="A887" s="3" t="s">
        <v>1824</v>
      </c>
      <c r="B887" s="3" t="s">
        <v>1825</v>
      </c>
    </row>
    <row r="888">
      <c r="A888" s="3" t="s">
        <v>1826</v>
      </c>
      <c r="B888" s="3" t="s">
        <v>1827</v>
      </c>
    </row>
    <row r="889">
      <c r="A889" s="3" t="s">
        <v>1828</v>
      </c>
      <c r="B889" s="3" t="s">
        <v>1829</v>
      </c>
    </row>
    <row r="890">
      <c r="A890" s="3" t="s">
        <v>1830</v>
      </c>
      <c r="B890" s="3" t="s">
        <v>1831</v>
      </c>
    </row>
    <row r="891">
      <c r="A891" s="3" t="s">
        <v>1832</v>
      </c>
      <c r="B891" s="3" t="s">
        <v>1833</v>
      </c>
    </row>
    <row r="892">
      <c r="A892" s="3" t="s">
        <v>1834</v>
      </c>
      <c r="B892" s="3" t="s">
        <v>1835</v>
      </c>
    </row>
    <row r="893">
      <c r="A893" s="3" t="s">
        <v>1836</v>
      </c>
      <c r="B893" s="3" t="s">
        <v>1837</v>
      </c>
    </row>
    <row r="894">
      <c r="A894" s="3" t="s">
        <v>1838</v>
      </c>
      <c r="B894" s="3" t="s">
        <v>1839</v>
      </c>
    </row>
    <row r="895">
      <c r="A895" s="3" t="s">
        <v>1840</v>
      </c>
      <c r="B895" s="3" t="s">
        <v>1841</v>
      </c>
    </row>
    <row r="896">
      <c r="A896" s="3" t="s">
        <v>1842</v>
      </c>
      <c r="B896" s="3" t="s">
        <v>1843</v>
      </c>
    </row>
    <row r="897">
      <c r="A897" s="3" t="s">
        <v>1844</v>
      </c>
      <c r="B897" s="3" t="s">
        <v>1845</v>
      </c>
    </row>
    <row r="898">
      <c r="A898" s="3" t="s">
        <v>1846</v>
      </c>
      <c r="B898" s="3" t="s">
        <v>1847</v>
      </c>
    </row>
    <row r="899">
      <c r="A899" s="3" t="s">
        <v>1848</v>
      </c>
      <c r="B899" s="3" t="s">
        <v>1849</v>
      </c>
    </row>
    <row r="900">
      <c r="A900" s="3" t="s">
        <v>1850</v>
      </c>
      <c r="B900" s="3" t="s">
        <v>1851</v>
      </c>
    </row>
    <row r="901">
      <c r="A901" s="3" t="s">
        <v>1852</v>
      </c>
      <c r="B901" s="3" t="s">
        <v>1853</v>
      </c>
    </row>
    <row r="902">
      <c r="A902" s="3" t="s">
        <v>1854</v>
      </c>
      <c r="B902" s="3" t="s">
        <v>1855</v>
      </c>
    </row>
    <row r="903">
      <c r="A903" s="3" t="s">
        <v>1856</v>
      </c>
      <c r="B903" s="3" t="s">
        <v>1857</v>
      </c>
    </row>
    <row r="904">
      <c r="A904" s="3" t="s">
        <v>1858</v>
      </c>
      <c r="B904" s="3" t="s">
        <v>1859</v>
      </c>
    </row>
    <row r="905">
      <c r="A905" s="3" t="s">
        <v>1860</v>
      </c>
      <c r="B905" s="3" t="s">
        <v>1861</v>
      </c>
    </row>
    <row r="906">
      <c r="A906" s="3" t="s">
        <v>1862</v>
      </c>
      <c r="B906" s="3" t="s">
        <v>1863</v>
      </c>
    </row>
    <row r="907">
      <c r="A907" s="3" t="s">
        <v>1864</v>
      </c>
      <c r="B907" s="3" t="s">
        <v>1865</v>
      </c>
    </row>
    <row r="908">
      <c r="A908" s="3" t="s">
        <v>1866</v>
      </c>
      <c r="B908" s="3" t="s">
        <v>1867</v>
      </c>
    </row>
    <row r="909">
      <c r="A909" s="3" t="s">
        <v>1868</v>
      </c>
      <c r="B909" s="3" t="s">
        <v>1869</v>
      </c>
    </row>
    <row r="910">
      <c r="A910" s="3" t="s">
        <v>1870</v>
      </c>
      <c r="B910" s="3" t="s">
        <v>1871</v>
      </c>
    </row>
    <row r="911">
      <c r="A911" s="3" t="s">
        <v>1872</v>
      </c>
      <c r="B911" s="3" t="s">
        <v>1873</v>
      </c>
    </row>
    <row r="912">
      <c r="A912" s="3" t="s">
        <v>1874</v>
      </c>
      <c r="B912" s="3" t="s">
        <v>1875</v>
      </c>
    </row>
    <row r="913">
      <c r="A913" s="3" t="s">
        <v>1876</v>
      </c>
      <c r="B913" s="3" t="s">
        <v>1877</v>
      </c>
    </row>
    <row r="914">
      <c r="A914" s="3" t="s">
        <v>1878</v>
      </c>
      <c r="B914" s="3" t="s">
        <v>1879</v>
      </c>
    </row>
    <row r="915">
      <c r="A915" s="3" t="s">
        <v>1880</v>
      </c>
      <c r="B915" s="3" t="s">
        <v>1881</v>
      </c>
    </row>
    <row r="916">
      <c r="A916" s="3" t="s">
        <v>1882</v>
      </c>
      <c r="B916" s="3" t="s">
        <v>1883</v>
      </c>
    </row>
    <row r="917">
      <c r="A917" s="3" t="s">
        <v>1884</v>
      </c>
      <c r="B917" s="3" t="s">
        <v>1885</v>
      </c>
    </row>
    <row r="918">
      <c r="A918" s="3" t="s">
        <v>1886</v>
      </c>
      <c r="B918" s="3" t="s">
        <v>1887</v>
      </c>
    </row>
    <row r="919">
      <c r="A919" s="3" t="s">
        <v>1888</v>
      </c>
      <c r="B919" s="3" t="s">
        <v>1889</v>
      </c>
    </row>
    <row r="920">
      <c r="A920" s="3" t="s">
        <v>1890</v>
      </c>
      <c r="B920" s="3" t="s">
        <v>1891</v>
      </c>
    </row>
    <row r="921">
      <c r="A921" s="3" t="s">
        <v>1892</v>
      </c>
      <c r="B921" s="3" t="s">
        <v>1893</v>
      </c>
    </row>
    <row r="922">
      <c r="A922" s="3" t="s">
        <v>1894</v>
      </c>
      <c r="B922" s="3" t="s">
        <v>1895</v>
      </c>
    </row>
    <row r="923">
      <c r="A923" s="3" t="s">
        <v>1896</v>
      </c>
      <c r="B923" s="3" t="s">
        <v>1897</v>
      </c>
    </row>
    <row r="924">
      <c r="A924" s="3" t="s">
        <v>1898</v>
      </c>
      <c r="B924" s="3" t="s">
        <v>1899</v>
      </c>
    </row>
    <row r="925">
      <c r="A925" s="3" t="s">
        <v>1900</v>
      </c>
      <c r="B925" s="3" t="s">
        <v>1901</v>
      </c>
    </row>
    <row r="926">
      <c r="A926" s="3" t="s">
        <v>1902</v>
      </c>
      <c r="B926" s="3" t="s">
        <v>1903</v>
      </c>
    </row>
    <row r="927">
      <c r="A927" s="3" t="s">
        <v>1904</v>
      </c>
      <c r="B927" s="3" t="s">
        <v>1905</v>
      </c>
    </row>
    <row r="928">
      <c r="A928" s="3" t="s">
        <v>1906</v>
      </c>
      <c r="B928" s="3" t="s">
        <v>1907</v>
      </c>
    </row>
    <row r="929">
      <c r="A929" s="3" t="s">
        <v>1908</v>
      </c>
      <c r="B929" s="3" t="s">
        <v>1909</v>
      </c>
    </row>
    <row r="930">
      <c r="A930" s="3" t="s">
        <v>1910</v>
      </c>
      <c r="B930" s="3" t="s">
        <v>1911</v>
      </c>
    </row>
    <row r="931">
      <c r="A931" s="3" t="s">
        <v>1912</v>
      </c>
      <c r="B931" s="3" t="s">
        <v>1913</v>
      </c>
    </row>
    <row r="932">
      <c r="A932" s="3" t="s">
        <v>1914</v>
      </c>
      <c r="B932" s="3" t="s">
        <v>1915</v>
      </c>
    </row>
    <row r="933">
      <c r="A933" s="3" t="s">
        <v>1916</v>
      </c>
      <c r="B933" s="3" t="s">
        <v>1917</v>
      </c>
    </row>
    <row r="934">
      <c r="A934" s="3" t="s">
        <v>1918</v>
      </c>
      <c r="B934" s="3" t="s">
        <v>1919</v>
      </c>
    </row>
    <row r="935">
      <c r="A935" s="3" t="s">
        <v>1920</v>
      </c>
      <c r="B935" s="3" t="s">
        <v>1921</v>
      </c>
    </row>
    <row r="936">
      <c r="A936" s="3" t="s">
        <v>1922</v>
      </c>
      <c r="B936" s="3" t="s">
        <v>1923</v>
      </c>
    </row>
    <row r="937">
      <c r="A937" s="3" t="s">
        <v>1924</v>
      </c>
      <c r="B937" s="3" t="s">
        <v>1925</v>
      </c>
    </row>
    <row r="938">
      <c r="A938" s="3" t="s">
        <v>1926</v>
      </c>
      <c r="B938" s="3" t="s">
        <v>1927</v>
      </c>
    </row>
    <row r="939">
      <c r="A939" s="3" t="s">
        <v>1928</v>
      </c>
      <c r="B939" s="3" t="s">
        <v>1929</v>
      </c>
    </row>
    <row r="940">
      <c r="A940" s="3" t="s">
        <v>1930</v>
      </c>
      <c r="B940" s="3" t="s">
        <v>1931</v>
      </c>
    </row>
    <row r="941">
      <c r="A941" s="3" t="s">
        <v>1932</v>
      </c>
      <c r="B941" s="3" t="s">
        <v>1933</v>
      </c>
    </row>
    <row r="942">
      <c r="A942" s="3" t="s">
        <v>1934</v>
      </c>
      <c r="B942" s="3" t="s">
        <v>1935</v>
      </c>
    </row>
    <row r="943">
      <c r="A943" s="3" t="s">
        <v>1936</v>
      </c>
      <c r="B943" s="3" t="s">
        <v>1937</v>
      </c>
    </row>
    <row r="944">
      <c r="A944" s="3" t="s">
        <v>1938</v>
      </c>
      <c r="B944" s="3" t="s">
        <v>1939</v>
      </c>
    </row>
    <row r="945">
      <c r="A945" s="3" t="s">
        <v>1940</v>
      </c>
      <c r="B945" s="3" t="s">
        <v>1941</v>
      </c>
    </row>
    <row r="946">
      <c r="A946" s="3" t="s">
        <v>1942</v>
      </c>
      <c r="B946" s="3" t="s">
        <v>1943</v>
      </c>
    </row>
    <row r="947">
      <c r="A947" s="3" t="s">
        <v>1944</v>
      </c>
      <c r="B947" s="3" t="s">
        <v>1945</v>
      </c>
    </row>
    <row r="948">
      <c r="A948" s="3" t="s">
        <v>1946</v>
      </c>
      <c r="B948" s="3" t="s">
        <v>1947</v>
      </c>
    </row>
    <row r="949">
      <c r="A949" s="3" t="s">
        <v>1948</v>
      </c>
      <c r="B949" s="3" t="s">
        <v>1949</v>
      </c>
    </row>
    <row r="950">
      <c r="A950" s="3" t="s">
        <v>1950</v>
      </c>
      <c r="B950" s="3" t="s">
        <v>1951</v>
      </c>
    </row>
    <row r="951">
      <c r="A951" s="3" t="s">
        <v>1952</v>
      </c>
      <c r="B951" s="3" t="s">
        <v>1953</v>
      </c>
    </row>
    <row r="952">
      <c r="A952" s="3" t="s">
        <v>1954</v>
      </c>
      <c r="B952" s="3" t="s">
        <v>1955</v>
      </c>
    </row>
    <row r="953">
      <c r="A953" s="3" t="s">
        <v>1956</v>
      </c>
      <c r="B953" s="3" t="s">
        <v>1957</v>
      </c>
    </row>
    <row r="954">
      <c r="A954" s="3" t="s">
        <v>1958</v>
      </c>
      <c r="B954" s="3" t="s">
        <v>1959</v>
      </c>
    </row>
    <row r="955">
      <c r="A955" s="3" t="s">
        <v>1960</v>
      </c>
      <c r="B955" s="3" t="s">
        <v>1961</v>
      </c>
    </row>
    <row r="956">
      <c r="A956" s="3" t="s">
        <v>1962</v>
      </c>
      <c r="B956" s="3" t="s">
        <v>1963</v>
      </c>
    </row>
    <row r="957">
      <c r="A957" s="3" t="s">
        <v>1964</v>
      </c>
      <c r="B957" s="3" t="s">
        <v>1965</v>
      </c>
    </row>
    <row r="958">
      <c r="A958" s="3" t="s">
        <v>1966</v>
      </c>
      <c r="B958" s="3" t="s">
        <v>1967</v>
      </c>
    </row>
    <row r="959">
      <c r="A959" s="3" t="s">
        <v>1968</v>
      </c>
      <c r="B959" s="3" t="s">
        <v>1969</v>
      </c>
    </row>
    <row r="960">
      <c r="A960" s="3" t="s">
        <v>1970</v>
      </c>
      <c r="B960" s="3" t="s">
        <v>1971</v>
      </c>
    </row>
    <row r="961">
      <c r="A961" s="3" t="s">
        <v>1972</v>
      </c>
      <c r="B961" s="3" t="s">
        <v>1973</v>
      </c>
    </row>
    <row r="962">
      <c r="A962" s="3" t="s">
        <v>1974</v>
      </c>
      <c r="B962" s="3" t="s">
        <v>1975</v>
      </c>
    </row>
    <row r="963">
      <c r="A963" s="3" t="s">
        <v>1976</v>
      </c>
      <c r="B963" s="3" t="s">
        <v>1977</v>
      </c>
    </row>
    <row r="964">
      <c r="A964" s="3" t="s">
        <v>1978</v>
      </c>
      <c r="B964" s="3" t="s">
        <v>1979</v>
      </c>
    </row>
    <row r="965">
      <c r="A965" s="3" t="s">
        <v>1980</v>
      </c>
      <c r="B965" s="3" t="s">
        <v>1981</v>
      </c>
    </row>
    <row r="966">
      <c r="A966" s="3" t="s">
        <v>1982</v>
      </c>
      <c r="B966" s="3" t="s">
        <v>1983</v>
      </c>
    </row>
    <row r="967">
      <c r="A967" s="3" t="s">
        <v>1984</v>
      </c>
      <c r="B967" s="3" t="s">
        <v>1985</v>
      </c>
    </row>
    <row r="968">
      <c r="A968" s="3" t="s">
        <v>1986</v>
      </c>
      <c r="B968" s="3" t="s">
        <v>1987</v>
      </c>
    </row>
    <row r="969">
      <c r="A969" s="3" t="s">
        <v>1988</v>
      </c>
      <c r="B969" s="3" t="s">
        <v>1989</v>
      </c>
    </row>
    <row r="970">
      <c r="A970" s="3" t="s">
        <v>1990</v>
      </c>
      <c r="B970" s="3" t="s">
        <v>1991</v>
      </c>
    </row>
    <row r="971">
      <c r="A971" s="3" t="s">
        <v>1992</v>
      </c>
      <c r="B971" s="3" t="s">
        <v>1993</v>
      </c>
    </row>
    <row r="972">
      <c r="A972" s="3" t="s">
        <v>1994</v>
      </c>
      <c r="B972" s="3" t="s">
        <v>1995</v>
      </c>
    </row>
    <row r="973">
      <c r="A973" s="3" t="s">
        <v>1996</v>
      </c>
      <c r="B973" s="3" t="s">
        <v>1997</v>
      </c>
    </row>
    <row r="974">
      <c r="A974" s="3" t="s">
        <v>1998</v>
      </c>
      <c r="B974" s="3" t="s">
        <v>1999</v>
      </c>
    </row>
    <row r="975">
      <c r="A975" s="3" t="s">
        <v>2000</v>
      </c>
      <c r="B975" s="3" t="s">
        <v>2001</v>
      </c>
    </row>
    <row r="976">
      <c r="A976" s="3" t="s">
        <v>2002</v>
      </c>
      <c r="B976" s="3" t="s">
        <v>2003</v>
      </c>
    </row>
    <row r="977">
      <c r="A977" s="3" t="s">
        <v>2004</v>
      </c>
      <c r="B977" s="3" t="s">
        <v>2005</v>
      </c>
    </row>
    <row r="978">
      <c r="A978" s="3" t="s">
        <v>2006</v>
      </c>
      <c r="B978" s="3" t="s">
        <v>2007</v>
      </c>
    </row>
    <row r="979">
      <c r="A979" s="3" t="s">
        <v>2008</v>
      </c>
      <c r="B979" s="3" t="s">
        <v>2009</v>
      </c>
    </row>
    <row r="980">
      <c r="A980" s="3" t="s">
        <v>2010</v>
      </c>
      <c r="B980" s="3" t="s">
        <v>2011</v>
      </c>
    </row>
    <row r="981">
      <c r="A981" s="3" t="s">
        <v>2012</v>
      </c>
      <c r="B981" s="3" t="s">
        <v>2013</v>
      </c>
    </row>
    <row r="982">
      <c r="A982" s="3" t="s">
        <v>2014</v>
      </c>
      <c r="B982" s="3" t="s">
        <v>2015</v>
      </c>
    </row>
    <row r="983">
      <c r="A983" s="3" t="s">
        <v>2016</v>
      </c>
      <c r="B983" s="3" t="s">
        <v>2017</v>
      </c>
    </row>
    <row r="984">
      <c r="A984" s="3" t="s">
        <v>2018</v>
      </c>
      <c r="B984" s="3" t="s">
        <v>2019</v>
      </c>
    </row>
    <row r="985">
      <c r="A985" s="3" t="s">
        <v>2020</v>
      </c>
      <c r="B985" s="3" t="s">
        <v>2021</v>
      </c>
    </row>
    <row r="986">
      <c r="A986" s="3" t="s">
        <v>2022</v>
      </c>
      <c r="B986" s="3" t="s">
        <v>2023</v>
      </c>
    </row>
    <row r="987">
      <c r="A987" s="3" t="s">
        <v>2024</v>
      </c>
      <c r="B987" s="3" t="s">
        <v>2025</v>
      </c>
    </row>
    <row r="988">
      <c r="A988" s="3" t="s">
        <v>2026</v>
      </c>
      <c r="B988" s="3" t="s">
        <v>2027</v>
      </c>
    </row>
    <row r="989">
      <c r="A989" s="3" t="s">
        <v>2028</v>
      </c>
      <c r="B989" s="3" t="s">
        <v>2029</v>
      </c>
    </row>
    <row r="990">
      <c r="A990" s="3" t="s">
        <v>2030</v>
      </c>
      <c r="B990" s="3" t="s">
        <v>2031</v>
      </c>
    </row>
    <row r="991">
      <c r="A991" s="3" t="s">
        <v>2032</v>
      </c>
      <c r="B991" s="3" t="s">
        <v>2033</v>
      </c>
    </row>
    <row r="992">
      <c r="A992" s="3" t="s">
        <v>2034</v>
      </c>
      <c r="B992" s="3" t="s">
        <v>2035</v>
      </c>
    </row>
    <row r="993">
      <c r="A993" s="3" t="s">
        <v>2036</v>
      </c>
      <c r="B993" s="3" t="s">
        <v>2037</v>
      </c>
    </row>
    <row r="994">
      <c r="A994" s="3" t="s">
        <v>2038</v>
      </c>
      <c r="B994" s="3" t="s">
        <v>2039</v>
      </c>
    </row>
    <row r="995">
      <c r="A995" s="3" t="s">
        <v>2040</v>
      </c>
      <c r="B995" s="3" t="s">
        <v>2041</v>
      </c>
    </row>
    <row r="996">
      <c r="A996" s="3" t="s">
        <v>2042</v>
      </c>
      <c r="B996" s="3" t="s">
        <v>2043</v>
      </c>
    </row>
    <row r="997">
      <c r="A997" s="3" t="s">
        <v>2044</v>
      </c>
      <c r="B997" s="3" t="s">
        <v>2045</v>
      </c>
    </row>
    <row r="998">
      <c r="A998" s="3" t="s">
        <v>2046</v>
      </c>
      <c r="B998" s="3" t="s">
        <v>2047</v>
      </c>
    </row>
    <row r="999">
      <c r="A999" s="3" t="s">
        <v>2048</v>
      </c>
      <c r="B999" s="3" t="s">
        <v>2049</v>
      </c>
    </row>
    <row r="1000">
      <c r="A1000" s="3" t="s">
        <v>2050</v>
      </c>
      <c r="B1000" s="3" t="s">
        <v>2051</v>
      </c>
    </row>
    <row r="1001">
      <c r="A1001" s="3" t="s">
        <v>2052</v>
      </c>
      <c r="B1001" s="3" t="s">
        <v>2053</v>
      </c>
    </row>
    <row r="1002">
      <c r="A1002" s="3" t="s">
        <v>2054</v>
      </c>
      <c r="B1002" s="3" t="s">
        <v>2055</v>
      </c>
    </row>
    <row r="1003">
      <c r="A1003" s="3" t="s">
        <v>2056</v>
      </c>
      <c r="B1003" s="3" t="s">
        <v>2057</v>
      </c>
    </row>
    <row r="1004">
      <c r="A1004" s="3" t="s">
        <v>2058</v>
      </c>
      <c r="B1004" s="3" t="s">
        <v>2059</v>
      </c>
    </row>
    <row r="1005">
      <c r="A1005" s="3" t="s">
        <v>2060</v>
      </c>
      <c r="B1005" s="3" t="s">
        <v>2061</v>
      </c>
    </row>
    <row r="1006">
      <c r="A1006" s="3" t="s">
        <v>2062</v>
      </c>
      <c r="B1006" s="3" t="s">
        <v>2063</v>
      </c>
    </row>
    <row r="1007">
      <c r="A1007" s="3" t="s">
        <v>2064</v>
      </c>
      <c r="B1007" s="3" t="s">
        <v>2065</v>
      </c>
    </row>
    <row r="1008">
      <c r="A1008" s="3" t="s">
        <v>2066</v>
      </c>
      <c r="B1008" s="3" t="s">
        <v>2067</v>
      </c>
    </row>
    <row r="1009">
      <c r="A1009" s="3" t="s">
        <v>2068</v>
      </c>
      <c r="B1009" s="3" t="s">
        <v>2069</v>
      </c>
    </row>
    <row r="1010">
      <c r="A1010" s="3" t="s">
        <v>2070</v>
      </c>
      <c r="B1010" s="3" t="s">
        <v>2071</v>
      </c>
    </row>
    <row r="1011">
      <c r="A1011" s="3" t="s">
        <v>2072</v>
      </c>
      <c r="B1011" s="3" t="s">
        <v>2073</v>
      </c>
    </row>
    <row r="1012">
      <c r="A1012" s="3" t="s">
        <v>2074</v>
      </c>
      <c r="B1012" s="3" t="s">
        <v>2075</v>
      </c>
    </row>
    <row r="1013">
      <c r="A1013" s="3" t="s">
        <v>2076</v>
      </c>
      <c r="B1013" s="3" t="s">
        <v>2077</v>
      </c>
    </row>
    <row r="1014">
      <c r="A1014" s="3" t="s">
        <v>2078</v>
      </c>
      <c r="B1014" s="3" t="s">
        <v>2079</v>
      </c>
    </row>
    <row r="1015">
      <c r="A1015" s="3" t="s">
        <v>2080</v>
      </c>
      <c r="B1015" s="3" t="s">
        <v>2081</v>
      </c>
    </row>
    <row r="1016">
      <c r="A1016" s="3" t="s">
        <v>2082</v>
      </c>
      <c r="B1016" s="3" t="s">
        <v>2083</v>
      </c>
    </row>
    <row r="1017">
      <c r="A1017" s="3" t="s">
        <v>2084</v>
      </c>
      <c r="B1017" s="3" t="s">
        <v>2085</v>
      </c>
    </row>
    <row r="1018">
      <c r="A1018" s="3" t="s">
        <v>2086</v>
      </c>
      <c r="B1018" s="3" t="s">
        <v>2087</v>
      </c>
    </row>
    <row r="1019">
      <c r="A1019" s="3" t="s">
        <v>2088</v>
      </c>
      <c r="B1019" s="3" t="s">
        <v>2089</v>
      </c>
    </row>
    <row r="1020">
      <c r="A1020" s="3" t="s">
        <v>2090</v>
      </c>
      <c r="B1020" s="3" t="s">
        <v>2091</v>
      </c>
    </row>
    <row r="1021">
      <c r="A1021" s="3" t="s">
        <v>2092</v>
      </c>
      <c r="B1021" s="3" t="s">
        <v>2093</v>
      </c>
    </row>
    <row r="1022">
      <c r="A1022" s="3" t="s">
        <v>2094</v>
      </c>
      <c r="B1022" s="3" t="s">
        <v>2095</v>
      </c>
    </row>
    <row r="1023">
      <c r="A1023" s="3" t="s">
        <v>2096</v>
      </c>
      <c r="B1023" s="3" t="s">
        <v>2097</v>
      </c>
    </row>
    <row r="1024">
      <c r="A1024" s="3" t="s">
        <v>2098</v>
      </c>
      <c r="B1024" s="3" t="s">
        <v>2099</v>
      </c>
    </row>
    <row r="1025">
      <c r="A1025" s="3" t="s">
        <v>2100</v>
      </c>
      <c r="B1025" s="3" t="s">
        <v>2101</v>
      </c>
    </row>
    <row r="1026">
      <c r="A1026" s="3" t="s">
        <v>2102</v>
      </c>
      <c r="B1026" s="3" t="s">
        <v>2103</v>
      </c>
    </row>
    <row r="1027">
      <c r="A1027" s="3" t="s">
        <v>2104</v>
      </c>
      <c r="B1027" s="3" t="s">
        <v>2105</v>
      </c>
    </row>
    <row r="1028">
      <c r="A1028" s="3" t="s">
        <v>2106</v>
      </c>
      <c r="B1028" s="3" t="s">
        <v>2107</v>
      </c>
    </row>
    <row r="1029">
      <c r="A1029" s="3" t="s">
        <v>2108</v>
      </c>
      <c r="B1029" s="3" t="s">
        <v>2109</v>
      </c>
    </row>
    <row r="1030">
      <c r="A1030" s="3" t="s">
        <v>2110</v>
      </c>
      <c r="B1030" s="3" t="s">
        <v>2111</v>
      </c>
    </row>
    <row r="1031">
      <c r="A1031" s="3" t="s">
        <v>2112</v>
      </c>
      <c r="B1031" s="3" t="s">
        <v>2113</v>
      </c>
    </row>
    <row r="1032">
      <c r="A1032" s="3" t="s">
        <v>2114</v>
      </c>
      <c r="B1032" s="3" t="s">
        <v>2115</v>
      </c>
    </row>
    <row r="1033">
      <c r="A1033" s="3" t="s">
        <v>2116</v>
      </c>
      <c r="B1033" s="3" t="s">
        <v>2117</v>
      </c>
    </row>
    <row r="1034">
      <c r="A1034" s="3" t="s">
        <v>2118</v>
      </c>
      <c r="B1034" s="3" t="s">
        <v>2119</v>
      </c>
    </row>
    <row r="1035">
      <c r="A1035" s="3" t="s">
        <v>2120</v>
      </c>
      <c r="B1035" s="3" t="s">
        <v>2121</v>
      </c>
    </row>
    <row r="1036">
      <c r="A1036" s="3" t="s">
        <v>2122</v>
      </c>
      <c r="B1036" s="3" t="s">
        <v>2123</v>
      </c>
    </row>
    <row r="1037">
      <c r="A1037" s="3" t="s">
        <v>2124</v>
      </c>
      <c r="B1037" s="3" t="s">
        <v>2125</v>
      </c>
    </row>
    <row r="1038">
      <c r="A1038" s="3" t="s">
        <v>2126</v>
      </c>
      <c r="B1038" s="3" t="s">
        <v>2127</v>
      </c>
    </row>
    <row r="1039">
      <c r="A1039" s="3" t="s">
        <v>2128</v>
      </c>
      <c r="B1039" s="3" t="s">
        <v>2129</v>
      </c>
    </row>
    <row r="1040">
      <c r="A1040" s="3" t="s">
        <v>2130</v>
      </c>
      <c r="B1040" s="3" t="s">
        <v>2131</v>
      </c>
    </row>
    <row r="1041">
      <c r="A1041" s="3" t="s">
        <v>2132</v>
      </c>
      <c r="B1041" s="3" t="s">
        <v>2133</v>
      </c>
    </row>
    <row r="1042">
      <c r="A1042" s="3" t="s">
        <v>2134</v>
      </c>
      <c r="B1042" s="3" t="s">
        <v>2135</v>
      </c>
    </row>
    <row r="1043">
      <c r="A1043" s="3" t="s">
        <v>2136</v>
      </c>
      <c r="B1043" s="3" t="s">
        <v>2137</v>
      </c>
    </row>
    <row r="1044">
      <c r="A1044" s="3" t="s">
        <v>2138</v>
      </c>
      <c r="B1044" s="3" t="s">
        <v>2139</v>
      </c>
    </row>
    <row r="1045">
      <c r="A1045" s="3" t="s">
        <v>2140</v>
      </c>
      <c r="B1045" s="3" t="s">
        <v>2141</v>
      </c>
    </row>
    <row r="1046">
      <c r="A1046" s="3" t="s">
        <v>2142</v>
      </c>
      <c r="B1046" s="3" t="s">
        <v>2143</v>
      </c>
    </row>
    <row r="1047">
      <c r="A1047" s="3" t="s">
        <v>2144</v>
      </c>
      <c r="B1047" s="3" t="s">
        <v>2145</v>
      </c>
    </row>
    <row r="1048">
      <c r="A1048" s="3" t="s">
        <v>2146</v>
      </c>
      <c r="B1048" s="3" t="s">
        <v>2147</v>
      </c>
    </row>
    <row r="1049">
      <c r="A1049" s="3" t="s">
        <v>2148</v>
      </c>
      <c r="B1049" s="3" t="s">
        <v>2149</v>
      </c>
    </row>
    <row r="1050">
      <c r="A1050" s="3" t="s">
        <v>2150</v>
      </c>
      <c r="B1050" s="3" t="s">
        <v>2151</v>
      </c>
    </row>
    <row r="1051">
      <c r="A1051" s="3" t="s">
        <v>2152</v>
      </c>
      <c r="B1051" s="3" t="s">
        <v>2153</v>
      </c>
    </row>
    <row r="1052">
      <c r="A1052" s="3" t="s">
        <v>2154</v>
      </c>
      <c r="B1052" s="3" t="s">
        <v>2155</v>
      </c>
    </row>
    <row r="1053">
      <c r="A1053" s="3" t="s">
        <v>2156</v>
      </c>
      <c r="B1053" s="3" t="s">
        <v>2157</v>
      </c>
    </row>
    <row r="1054">
      <c r="A1054" s="3" t="s">
        <v>2158</v>
      </c>
      <c r="B1054" s="3" t="s">
        <v>2159</v>
      </c>
    </row>
    <row r="1055">
      <c r="A1055" s="3" t="s">
        <v>2160</v>
      </c>
      <c r="B1055" s="3" t="s">
        <v>2161</v>
      </c>
    </row>
    <row r="1056">
      <c r="A1056" s="3" t="s">
        <v>2162</v>
      </c>
      <c r="B1056" s="3" t="s">
        <v>2163</v>
      </c>
    </row>
    <row r="1057">
      <c r="A1057" s="3" t="s">
        <v>2164</v>
      </c>
      <c r="B1057" s="3" t="s">
        <v>2165</v>
      </c>
    </row>
    <row r="1058">
      <c r="A1058" s="3" t="s">
        <v>2166</v>
      </c>
      <c r="B1058" s="3" t="s">
        <v>2167</v>
      </c>
    </row>
    <row r="1059">
      <c r="A1059" s="3" t="s">
        <v>2168</v>
      </c>
      <c r="B1059" s="3" t="s">
        <v>2169</v>
      </c>
    </row>
    <row r="1060">
      <c r="A1060" s="3" t="s">
        <v>2170</v>
      </c>
      <c r="B1060" s="3" t="s">
        <v>2171</v>
      </c>
    </row>
    <row r="1061">
      <c r="A1061" s="3" t="s">
        <v>2172</v>
      </c>
      <c r="B1061" s="3" t="s">
        <v>2173</v>
      </c>
    </row>
    <row r="1062">
      <c r="A1062" s="3" t="s">
        <v>2174</v>
      </c>
      <c r="B1062" s="3" t="s">
        <v>2175</v>
      </c>
    </row>
    <row r="1063">
      <c r="A1063" s="3" t="s">
        <v>2176</v>
      </c>
      <c r="B1063" s="3" t="s">
        <v>2177</v>
      </c>
    </row>
    <row r="1064">
      <c r="A1064" s="3" t="s">
        <v>2178</v>
      </c>
      <c r="B1064" s="3" t="s">
        <v>2179</v>
      </c>
    </row>
    <row r="1065">
      <c r="A1065" s="3" t="s">
        <v>2180</v>
      </c>
      <c r="B1065" s="3" t="s">
        <v>2181</v>
      </c>
    </row>
    <row r="1066">
      <c r="A1066" s="3" t="s">
        <v>2182</v>
      </c>
      <c r="B1066" s="3" t="s">
        <v>2183</v>
      </c>
    </row>
    <row r="1067">
      <c r="A1067" s="3" t="s">
        <v>2184</v>
      </c>
      <c r="B1067" s="3" t="s">
        <v>2185</v>
      </c>
    </row>
    <row r="1068">
      <c r="A1068" s="3" t="s">
        <v>2186</v>
      </c>
      <c r="B1068" s="3" t="s">
        <v>2187</v>
      </c>
    </row>
    <row r="1069">
      <c r="A1069" s="3" t="s">
        <v>2188</v>
      </c>
      <c r="B1069" s="3" t="s">
        <v>2189</v>
      </c>
    </row>
    <row r="1070">
      <c r="A1070" s="3" t="s">
        <v>2190</v>
      </c>
      <c r="B1070" s="3" t="s">
        <v>2191</v>
      </c>
    </row>
    <row r="1071">
      <c r="A1071" s="3" t="s">
        <v>2192</v>
      </c>
      <c r="B1071" s="3" t="s">
        <v>2193</v>
      </c>
    </row>
    <row r="1072">
      <c r="A1072" s="3" t="s">
        <v>2194</v>
      </c>
      <c r="B1072" s="3" t="s">
        <v>2195</v>
      </c>
    </row>
    <row r="1073">
      <c r="A1073" s="3" t="s">
        <v>2196</v>
      </c>
      <c r="B1073" s="3" t="s">
        <v>2197</v>
      </c>
    </row>
    <row r="1074">
      <c r="A1074" s="3" t="s">
        <v>2198</v>
      </c>
      <c r="B1074" s="3" t="s">
        <v>2199</v>
      </c>
    </row>
    <row r="1075">
      <c r="A1075" s="3" t="s">
        <v>2200</v>
      </c>
      <c r="B1075" s="3" t="s">
        <v>2201</v>
      </c>
    </row>
    <row r="1076">
      <c r="A1076" s="3" t="s">
        <v>2202</v>
      </c>
      <c r="B1076" s="3" t="s">
        <v>2203</v>
      </c>
    </row>
    <row r="1077">
      <c r="A1077" s="3" t="s">
        <v>2204</v>
      </c>
      <c r="B1077" s="3" t="s">
        <v>2205</v>
      </c>
    </row>
    <row r="1078">
      <c r="A1078" s="3" t="s">
        <v>2206</v>
      </c>
      <c r="B1078" s="3" t="s">
        <v>2207</v>
      </c>
    </row>
    <row r="1079">
      <c r="A1079" s="3" t="s">
        <v>2208</v>
      </c>
      <c r="B1079" s="3" t="s">
        <v>2209</v>
      </c>
    </row>
    <row r="1080">
      <c r="A1080" s="3" t="s">
        <v>2210</v>
      </c>
      <c r="B1080" s="3" t="s">
        <v>2211</v>
      </c>
    </row>
    <row r="1081">
      <c r="A1081" s="3" t="s">
        <v>2212</v>
      </c>
      <c r="B1081" s="3" t="s">
        <v>2213</v>
      </c>
    </row>
    <row r="1082">
      <c r="A1082" s="3" t="s">
        <v>2214</v>
      </c>
      <c r="B1082" s="3" t="s">
        <v>2215</v>
      </c>
    </row>
    <row r="1083">
      <c r="A1083" s="3" t="s">
        <v>2216</v>
      </c>
      <c r="B1083" s="3" t="s">
        <v>2217</v>
      </c>
    </row>
    <row r="1084">
      <c r="A1084" s="3" t="s">
        <v>2218</v>
      </c>
      <c r="B1084" s="3" t="s">
        <v>2219</v>
      </c>
    </row>
    <row r="1085">
      <c r="A1085" s="3" t="s">
        <v>2220</v>
      </c>
      <c r="B1085" s="3" t="s">
        <v>2221</v>
      </c>
    </row>
    <row r="1086">
      <c r="A1086" s="3" t="s">
        <v>2222</v>
      </c>
      <c r="B1086" s="3" t="s">
        <v>2223</v>
      </c>
    </row>
    <row r="1087">
      <c r="A1087" s="3" t="s">
        <v>2224</v>
      </c>
      <c r="B1087" s="3" t="s">
        <v>2225</v>
      </c>
    </row>
    <row r="1088">
      <c r="A1088" s="3" t="s">
        <v>2226</v>
      </c>
      <c r="B1088" s="3" t="s">
        <v>2227</v>
      </c>
    </row>
    <row r="1089">
      <c r="A1089" s="3" t="s">
        <v>2228</v>
      </c>
      <c r="B1089" s="3" t="s">
        <v>2229</v>
      </c>
    </row>
    <row r="1090">
      <c r="A1090" s="3" t="s">
        <v>2230</v>
      </c>
      <c r="B1090" s="3" t="s">
        <v>2231</v>
      </c>
    </row>
    <row r="1091">
      <c r="A1091" s="3" t="s">
        <v>2232</v>
      </c>
      <c r="B1091" s="3" t="s">
        <v>2233</v>
      </c>
    </row>
    <row r="1092">
      <c r="A1092" s="3" t="s">
        <v>2234</v>
      </c>
      <c r="B1092" s="3" t="s">
        <v>2235</v>
      </c>
    </row>
    <row r="1093">
      <c r="A1093" s="3" t="s">
        <v>2236</v>
      </c>
      <c r="B1093" s="3" t="s">
        <v>2237</v>
      </c>
    </row>
    <row r="1094">
      <c r="A1094" s="3" t="s">
        <v>2238</v>
      </c>
      <c r="B1094" s="3" t="s">
        <v>2239</v>
      </c>
    </row>
    <row r="1095">
      <c r="A1095" s="3" t="s">
        <v>2240</v>
      </c>
      <c r="B1095" s="3" t="s">
        <v>2241</v>
      </c>
    </row>
    <row r="1096">
      <c r="A1096" s="3" t="s">
        <v>2242</v>
      </c>
      <c r="B1096" s="3" t="s">
        <v>2243</v>
      </c>
    </row>
    <row r="1097">
      <c r="A1097" s="3" t="s">
        <v>2244</v>
      </c>
      <c r="B1097" s="3" t="s">
        <v>2245</v>
      </c>
    </row>
    <row r="1098">
      <c r="A1098" s="3" t="s">
        <v>2246</v>
      </c>
      <c r="B1098" s="3" t="s">
        <v>2247</v>
      </c>
    </row>
    <row r="1099">
      <c r="A1099" s="3" t="s">
        <v>2248</v>
      </c>
      <c r="B1099" s="3" t="s">
        <v>2249</v>
      </c>
    </row>
    <row r="1100">
      <c r="A1100" s="3" t="s">
        <v>2250</v>
      </c>
      <c r="B1100" s="3" t="s">
        <v>2251</v>
      </c>
    </row>
    <row r="1101">
      <c r="A1101" s="3" t="s">
        <v>2252</v>
      </c>
      <c r="B1101" s="3" t="s">
        <v>2253</v>
      </c>
    </row>
    <row r="1102">
      <c r="A1102" s="3" t="s">
        <v>2254</v>
      </c>
      <c r="B1102" s="3" t="s">
        <v>2255</v>
      </c>
    </row>
    <row r="1103">
      <c r="A1103" s="3" t="s">
        <v>2256</v>
      </c>
      <c r="B1103" s="3" t="s">
        <v>2257</v>
      </c>
    </row>
    <row r="1104">
      <c r="A1104" s="3" t="s">
        <v>2258</v>
      </c>
      <c r="B1104" s="3" t="s">
        <v>2259</v>
      </c>
    </row>
    <row r="1105">
      <c r="A1105" s="3" t="s">
        <v>2260</v>
      </c>
      <c r="B1105" s="3" t="s">
        <v>2261</v>
      </c>
    </row>
    <row r="1106">
      <c r="A1106" s="3" t="s">
        <v>2262</v>
      </c>
      <c r="B1106" s="3" t="s">
        <v>2263</v>
      </c>
    </row>
    <row r="1107">
      <c r="A1107" s="3" t="s">
        <v>2264</v>
      </c>
      <c r="B1107" s="3" t="s">
        <v>2265</v>
      </c>
    </row>
    <row r="1108">
      <c r="A1108" s="3" t="s">
        <v>2266</v>
      </c>
      <c r="B1108" s="3" t="s">
        <v>2267</v>
      </c>
    </row>
    <row r="1109">
      <c r="A1109" s="3" t="s">
        <v>2268</v>
      </c>
      <c r="B1109" s="3" t="s">
        <v>2269</v>
      </c>
    </row>
    <row r="1110">
      <c r="A1110" s="3" t="s">
        <v>2270</v>
      </c>
      <c r="B1110" s="3" t="s">
        <v>2271</v>
      </c>
    </row>
    <row r="1111">
      <c r="A1111" s="3" t="s">
        <v>2272</v>
      </c>
      <c r="B1111" s="3" t="s">
        <v>2273</v>
      </c>
    </row>
    <row r="1112">
      <c r="A1112" s="3" t="s">
        <v>2274</v>
      </c>
      <c r="B1112" s="3" t="s">
        <v>2275</v>
      </c>
    </row>
    <row r="1113">
      <c r="A1113" s="3" t="s">
        <v>2276</v>
      </c>
      <c r="B1113" s="3" t="s">
        <v>2277</v>
      </c>
    </row>
    <row r="1114">
      <c r="A1114" s="3" t="s">
        <v>2278</v>
      </c>
      <c r="B1114" s="3" t="s">
        <v>2279</v>
      </c>
    </row>
    <row r="1115">
      <c r="A1115" s="3" t="s">
        <v>2280</v>
      </c>
      <c r="B1115" s="3" t="s">
        <v>2281</v>
      </c>
    </row>
    <row r="1116">
      <c r="A1116" s="3" t="s">
        <v>2282</v>
      </c>
      <c r="B1116" s="3" t="s">
        <v>2283</v>
      </c>
    </row>
    <row r="1117">
      <c r="A1117" s="3" t="s">
        <v>2284</v>
      </c>
      <c r="B1117" s="3" t="s">
        <v>2285</v>
      </c>
    </row>
    <row r="1118">
      <c r="A1118" s="3" t="s">
        <v>2286</v>
      </c>
      <c r="B1118" s="3" t="s">
        <v>2287</v>
      </c>
    </row>
    <row r="1119">
      <c r="A1119" s="3" t="s">
        <v>2288</v>
      </c>
      <c r="B1119" s="3" t="s">
        <v>2289</v>
      </c>
    </row>
    <row r="1120">
      <c r="A1120" s="3" t="s">
        <v>2290</v>
      </c>
      <c r="B1120" s="3" t="s">
        <v>2291</v>
      </c>
    </row>
    <row r="1121">
      <c r="A1121" s="3" t="s">
        <v>2292</v>
      </c>
      <c r="B1121" s="3" t="s">
        <v>2293</v>
      </c>
    </row>
    <row r="1122">
      <c r="A1122" s="3" t="s">
        <v>2294</v>
      </c>
      <c r="B1122" s="3" t="s">
        <v>2295</v>
      </c>
    </row>
    <row r="1123">
      <c r="A1123" s="3" t="s">
        <v>2296</v>
      </c>
      <c r="B1123" s="3" t="s">
        <v>2297</v>
      </c>
    </row>
    <row r="1124">
      <c r="A1124" s="3" t="s">
        <v>2298</v>
      </c>
      <c r="B1124" s="3" t="s">
        <v>2299</v>
      </c>
    </row>
    <row r="1125">
      <c r="A1125" s="3" t="s">
        <v>2300</v>
      </c>
      <c r="B1125" s="3" t="s">
        <v>2301</v>
      </c>
    </row>
    <row r="1126">
      <c r="A1126" s="3" t="s">
        <v>2302</v>
      </c>
      <c r="B1126" s="3" t="s">
        <v>2303</v>
      </c>
    </row>
    <row r="1127">
      <c r="A1127" s="3" t="s">
        <v>2304</v>
      </c>
      <c r="B1127" s="3" t="s">
        <v>2305</v>
      </c>
    </row>
    <row r="1128">
      <c r="A1128" s="3" t="s">
        <v>2306</v>
      </c>
      <c r="B1128" s="3" t="s">
        <v>2307</v>
      </c>
    </row>
    <row r="1129">
      <c r="A1129" s="3" t="s">
        <v>2308</v>
      </c>
      <c r="B1129" s="3" t="s">
        <v>2309</v>
      </c>
    </row>
    <row r="1130">
      <c r="A1130" s="3" t="s">
        <v>2310</v>
      </c>
      <c r="B1130" s="3" t="s">
        <v>2311</v>
      </c>
    </row>
    <row r="1131">
      <c r="A1131" s="3" t="s">
        <v>2312</v>
      </c>
      <c r="B1131" s="3" t="s">
        <v>2313</v>
      </c>
    </row>
    <row r="1132">
      <c r="A1132" s="3" t="s">
        <v>2314</v>
      </c>
      <c r="B1132" s="3" t="s">
        <v>2315</v>
      </c>
    </row>
    <row r="1133">
      <c r="A1133" s="3" t="s">
        <v>2316</v>
      </c>
      <c r="B1133" s="3" t="s">
        <v>2317</v>
      </c>
    </row>
    <row r="1134">
      <c r="A1134" s="3" t="s">
        <v>2318</v>
      </c>
      <c r="B1134" s="3" t="s">
        <v>2319</v>
      </c>
    </row>
    <row r="1135">
      <c r="A1135" s="3" t="s">
        <v>2320</v>
      </c>
      <c r="B1135" s="3" t="s">
        <v>2321</v>
      </c>
    </row>
    <row r="1136">
      <c r="A1136" s="3" t="s">
        <v>2322</v>
      </c>
      <c r="B1136" s="3" t="s">
        <v>2323</v>
      </c>
    </row>
    <row r="1137">
      <c r="A1137" s="3" t="s">
        <v>2324</v>
      </c>
      <c r="B1137" s="3" t="s">
        <v>2325</v>
      </c>
    </row>
    <row r="1138">
      <c r="A1138" s="3" t="s">
        <v>2326</v>
      </c>
      <c r="B1138" s="3" t="s">
        <v>2327</v>
      </c>
    </row>
    <row r="1139">
      <c r="A1139" s="3" t="s">
        <v>2328</v>
      </c>
      <c r="B1139" s="3" t="s">
        <v>2329</v>
      </c>
    </row>
    <row r="1140">
      <c r="A1140" s="3" t="s">
        <v>2330</v>
      </c>
      <c r="B1140" s="3" t="s">
        <v>2331</v>
      </c>
    </row>
    <row r="1141">
      <c r="A1141" s="3" t="s">
        <v>2332</v>
      </c>
      <c r="B1141" s="3" t="s">
        <v>2333</v>
      </c>
    </row>
    <row r="1142">
      <c r="A1142" s="3" t="s">
        <v>2334</v>
      </c>
      <c r="B1142" s="3" t="s">
        <v>2335</v>
      </c>
    </row>
    <row r="1143">
      <c r="A1143" s="3" t="s">
        <v>2336</v>
      </c>
      <c r="B1143" s="3" t="s">
        <v>2337</v>
      </c>
    </row>
    <row r="1144">
      <c r="A1144" s="3" t="s">
        <v>2338</v>
      </c>
      <c r="B1144" s="3" t="s">
        <v>2339</v>
      </c>
    </row>
    <row r="1145">
      <c r="A1145" s="3" t="s">
        <v>2340</v>
      </c>
      <c r="B1145" s="3" t="s">
        <v>2341</v>
      </c>
    </row>
    <row r="1146">
      <c r="A1146" s="3" t="s">
        <v>2342</v>
      </c>
      <c r="B1146" s="3" t="s">
        <v>2343</v>
      </c>
    </row>
    <row r="1147">
      <c r="A1147" s="3" t="s">
        <v>2344</v>
      </c>
      <c r="B1147" s="3" t="s">
        <v>2345</v>
      </c>
    </row>
    <row r="1148">
      <c r="A1148" s="3" t="s">
        <v>2346</v>
      </c>
      <c r="B1148" s="3" t="s">
        <v>2347</v>
      </c>
    </row>
    <row r="1149">
      <c r="A1149" s="3" t="s">
        <v>2348</v>
      </c>
      <c r="B1149" s="3" t="s">
        <v>2349</v>
      </c>
    </row>
    <row r="1150">
      <c r="A1150" s="3" t="s">
        <v>2350</v>
      </c>
      <c r="B1150" s="3" t="s">
        <v>2327</v>
      </c>
    </row>
    <row r="1151">
      <c r="A1151" s="3" t="s">
        <v>2351</v>
      </c>
      <c r="B1151" s="3" t="s">
        <v>2352</v>
      </c>
    </row>
    <row r="1152">
      <c r="A1152" s="3" t="s">
        <v>2353</v>
      </c>
      <c r="B1152" s="3" t="s">
        <v>2354</v>
      </c>
    </row>
    <row r="1153">
      <c r="A1153" s="3" t="s">
        <v>2355</v>
      </c>
      <c r="B1153" s="3" t="s">
        <v>2356</v>
      </c>
    </row>
    <row r="1154">
      <c r="A1154" s="3" t="s">
        <v>2357</v>
      </c>
      <c r="B1154" s="3" t="s">
        <v>2358</v>
      </c>
    </row>
    <row r="1155">
      <c r="A1155" s="3" t="s">
        <v>2359</v>
      </c>
      <c r="B1155" s="3" t="s">
        <v>2360</v>
      </c>
    </row>
    <row r="1156">
      <c r="A1156" s="3" t="s">
        <v>2361</v>
      </c>
      <c r="B1156" s="3" t="s">
        <v>2362</v>
      </c>
    </row>
    <row r="1157">
      <c r="A1157" s="3" t="s">
        <v>2363</v>
      </c>
      <c r="B1157" s="3" t="s">
        <v>2364</v>
      </c>
    </row>
    <row r="1158">
      <c r="A1158" s="3" t="s">
        <v>2365</v>
      </c>
      <c r="B1158" s="3" t="s">
        <v>2366</v>
      </c>
    </row>
    <row r="1159">
      <c r="A1159" s="3" t="s">
        <v>2367</v>
      </c>
      <c r="B1159" s="3" t="s">
        <v>2368</v>
      </c>
    </row>
    <row r="1160">
      <c r="A1160" s="3" t="s">
        <v>2369</v>
      </c>
      <c r="B1160" s="3" t="s">
        <v>2370</v>
      </c>
    </row>
    <row r="1161">
      <c r="A1161" s="3" t="s">
        <v>2371</v>
      </c>
      <c r="B1161" s="3" t="s">
        <v>2372</v>
      </c>
    </row>
    <row r="1162">
      <c r="A1162" s="3" t="s">
        <v>2373</v>
      </c>
      <c r="B1162" s="3" t="s">
        <v>2374</v>
      </c>
    </row>
    <row r="1163">
      <c r="A1163" s="3" t="s">
        <v>2375</v>
      </c>
      <c r="B1163" s="3" t="s">
        <v>2376</v>
      </c>
    </row>
    <row r="1164">
      <c r="A1164" s="3" t="s">
        <v>2377</v>
      </c>
      <c r="B1164" s="3" t="s">
        <v>2378</v>
      </c>
    </row>
    <row r="1165">
      <c r="A1165" s="3" t="s">
        <v>2379</v>
      </c>
      <c r="B1165" s="3" t="s">
        <v>2380</v>
      </c>
    </row>
    <row r="1166">
      <c r="A1166" s="3" t="s">
        <v>2381</v>
      </c>
      <c r="B1166" s="3" t="s">
        <v>2382</v>
      </c>
    </row>
    <row r="1167">
      <c r="A1167" s="3" t="s">
        <v>2383</v>
      </c>
      <c r="B1167" s="3" t="s">
        <v>2384</v>
      </c>
    </row>
    <row r="1168">
      <c r="A1168" s="3" t="s">
        <v>2385</v>
      </c>
      <c r="B1168" s="3" t="s">
        <v>2386</v>
      </c>
    </row>
    <row r="1169">
      <c r="A1169" s="3" t="s">
        <v>2387</v>
      </c>
      <c r="B1169" s="3" t="s">
        <v>2388</v>
      </c>
    </row>
    <row r="1170">
      <c r="A1170" s="3" t="s">
        <v>2389</v>
      </c>
      <c r="B1170" s="3" t="s">
        <v>2390</v>
      </c>
    </row>
    <row r="1171">
      <c r="A1171" s="3" t="s">
        <v>2391</v>
      </c>
      <c r="B1171" s="3" t="s">
        <v>2392</v>
      </c>
    </row>
    <row r="1172">
      <c r="A1172" s="3" t="s">
        <v>2393</v>
      </c>
      <c r="B1172" s="3" t="s">
        <v>2394</v>
      </c>
    </row>
    <row r="1173">
      <c r="A1173" s="3" t="s">
        <v>2395</v>
      </c>
      <c r="B1173" s="3" t="s">
        <v>2396</v>
      </c>
    </row>
    <row r="1174">
      <c r="A1174" s="3" t="s">
        <v>2397</v>
      </c>
      <c r="B1174" s="3" t="s">
        <v>2398</v>
      </c>
    </row>
    <row r="1175">
      <c r="A1175" s="3" t="s">
        <v>2399</v>
      </c>
      <c r="B1175" s="3" t="s">
        <v>2400</v>
      </c>
    </row>
    <row r="1176">
      <c r="A1176" s="3" t="s">
        <v>2401</v>
      </c>
      <c r="B1176" s="3" t="s">
        <v>2402</v>
      </c>
    </row>
    <row r="1177">
      <c r="A1177" s="3" t="s">
        <v>2403</v>
      </c>
      <c r="B1177" s="3" t="s">
        <v>2404</v>
      </c>
    </row>
    <row r="1178">
      <c r="A1178" s="3" t="s">
        <v>2405</v>
      </c>
      <c r="B1178" s="3" t="s">
        <v>2406</v>
      </c>
    </row>
    <row r="1179">
      <c r="A1179" s="3" t="s">
        <v>2407</v>
      </c>
      <c r="B1179" s="3" t="s">
        <v>2408</v>
      </c>
    </row>
    <row r="1180">
      <c r="A1180" s="3" t="s">
        <v>2409</v>
      </c>
      <c r="B1180" s="3" t="s">
        <v>2410</v>
      </c>
    </row>
    <row r="1181">
      <c r="A1181" s="3" t="s">
        <v>2411</v>
      </c>
      <c r="B1181" s="3" t="s">
        <v>2412</v>
      </c>
    </row>
    <row r="1182">
      <c r="A1182" s="3" t="s">
        <v>2413</v>
      </c>
      <c r="B1182" s="3" t="s">
        <v>2414</v>
      </c>
    </row>
    <row r="1183">
      <c r="A1183" s="3" t="s">
        <v>2415</v>
      </c>
      <c r="B1183" s="3" t="s">
        <v>2416</v>
      </c>
    </row>
    <row r="1184">
      <c r="A1184" s="3" t="s">
        <v>2417</v>
      </c>
      <c r="B1184" s="3" t="s">
        <v>2418</v>
      </c>
    </row>
    <row r="1185">
      <c r="A1185" s="3" t="s">
        <v>2419</v>
      </c>
      <c r="B1185" s="3" t="s">
        <v>2420</v>
      </c>
    </row>
    <row r="1186">
      <c r="A1186" s="3" t="s">
        <v>2421</v>
      </c>
      <c r="B1186" s="3" t="s">
        <v>2422</v>
      </c>
    </row>
    <row r="1187">
      <c r="A1187" s="3" t="s">
        <v>2423</v>
      </c>
      <c r="B1187" s="3" t="s">
        <v>2424</v>
      </c>
    </row>
    <row r="1188">
      <c r="A1188" s="3" t="s">
        <v>2425</v>
      </c>
      <c r="B1188" s="3" t="s">
        <v>2426</v>
      </c>
    </row>
    <row r="1189">
      <c r="A1189" s="3" t="s">
        <v>2427</v>
      </c>
      <c r="B1189" s="3" t="s">
        <v>2428</v>
      </c>
    </row>
    <row r="1190">
      <c r="A1190" s="3" t="s">
        <v>2429</v>
      </c>
      <c r="B1190" s="3" t="s">
        <v>2430</v>
      </c>
    </row>
    <row r="1191">
      <c r="A1191" s="3" t="s">
        <v>2431</v>
      </c>
      <c r="B1191" s="3" t="s">
        <v>2432</v>
      </c>
    </row>
    <row r="1192">
      <c r="A1192" s="3" t="s">
        <v>2433</v>
      </c>
      <c r="B1192" s="3" t="s">
        <v>2434</v>
      </c>
    </row>
    <row r="1193">
      <c r="A1193" s="3" t="s">
        <v>2435</v>
      </c>
      <c r="B1193" s="3" t="s">
        <v>2436</v>
      </c>
    </row>
    <row r="1194">
      <c r="A1194" s="3" t="s">
        <v>2437</v>
      </c>
      <c r="B1194" s="3" t="s">
        <v>2438</v>
      </c>
    </row>
    <row r="1195">
      <c r="A1195" s="3" t="s">
        <v>2439</v>
      </c>
      <c r="B1195" s="3" t="s">
        <v>2440</v>
      </c>
    </row>
    <row r="1196">
      <c r="A1196" s="3" t="s">
        <v>2441</v>
      </c>
      <c r="B1196" s="3" t="s">
        <v>2442</v>
      </c>
    </row>
    <row r="1197">
      <c r="A1197" s="3" t="s">
        <v>2443</v>
      </c>
      <c r="B1197" s="3" t="s">
        <v>2444</v>
      </c>
    </row>
    <row r="1198">
      <c r="A1198" s="3" t="s">
        <v>2445</v>
      </c>
      <c r="B1198" s="3" t="s">
        <v>2446</v>
      </c>
    </row>
    <row r="1199">
      <c r="A1199" s="3" t="s">
        <v>2447</v>
      </c>
      <c r="B1199" s="3" t="s">
        <v>2448</v>
      </c>
    </row>
    <row r="1200">
      <c r="A1200" s="3" t="s">
        <v>2449</v>
      </c>
      <c r="B1200" s="3" t="s">
        <v>2450</v>
      </c>
    </row>
    <row r="1201">
      <c r="A1201" s="3" t="s">
        <v>2451</v>
      </c>
      <c r="B1201" s="3" t="s">
        <v>2452</v>
      </c>
    </row>
    <row r="1202">
      <c r="A1202" s="3" t="s">
        <v>2453</v>
      </c>
      <c r="B1202" s="3" t="s">
        <v>2454</v>
      </c>
    </row>
    <row r="1203">
      <c r="A1203" s="3" t="s">
        <v>2455</v>
      </c>
      <c r="B1203" s="3" t="s">
        <v>2456</v>
      </c>
    </row>
    <row r="1204">
      <c r="A1204" s="3" t="s">
        <v>2457</v>
      </c>
      <c r="B1204" s="3" t="s">
        <v>2458</v>
      </c>
    </row>
    <row r="1205">
      <c r="A1205" s="3" t="s">
        <v>2459</v>
      </c>
      <c r="B1205" s="3" t="s">
        <v>2460</v>
      </c>
    </row>
    <row r="1206">
      <c r="A1206" s="3" t="s">
        <v>2461</v>
      </c>
      <c r="B1206" s="3" t="s">
        <v>2462</v>
      </c>
    </row>
    <row r="1207">
      <c r="A1207" s="3" t="s">
        <v>2463</v>
      </c>
      <c r="B1207" s="3" t="s">
        <v>2464</v>
      </c>
    </row>
    <row r="1208">
      <c r="A1208" s="3" t="s">
        <v>2465</v>
      </c>
      <c r="B1208" s="3" t="s">
        <v>2466</v>
      </c>
    </row>
    <row r="1209">
      <c r="A1209" s="3" t="s">
        <v>2467</v>
      </c>
      <c r="B1209" s="3" t="s">
        <v>2468</v>
      </c>
    </row>
    <row r="1210">
      <c r="A1210" s="3" t="s">
        <v>2469</v>
      </c>
      <c r="B1210" s="3" t="s">
        <v>2470</v>
      </c>
    </row>
    <row r="1211">
      <c r="A1211" s="3" t="s">
        <v>2471</v>
      </c>
      <c r="B1211" s="3" t="s">
        <v>2472</v>
      </c>
    </row>
    <row r="1212">
      <c r="A1212" s="3" t="s">
        <v>2473</v>
      </c>
      <c r="B1212" s="3" t="s">
        <v>2474</v>
      </c>
    </row>
    <row r="1213">
      <c r="A1213" s="3" t="s">
        <v>2475</v>
      </c>
      <c r="B1213" s="3" t="s">
        <v>2476</v>
      </c>
    </row>
    <row r="1214">
      <c r="A1214" s="3" t="s">
        <v>2477</v>
      </c>
      <c r="B1214" s="3" t="s">
        <v>2478</v>
      </c>
    </row>
    <row r="1215">
      <c r="A1215" s="3" t="s">
        <v>2479</v>
      </c>
      <c r="B1215" s="3" t="s">
        <v>2480</v>
      </c>
    </row>
    <row r="1216">
      <c r="A1216" s="3" t="s">
        <v>2481</v>
      </c>
      <c r="B1216" s="3" t="s">
        <v>2482</v>
      </c>
    </row>
    <row r="1217">
      <c r="A1217" s="3" t="s">
        <v>2483</v>
      </c>
      <c r="B1217" s="3" t="s">
        <v>2484</v>
      </c>
    </row>
    <row r="1218">
      <c r="A1218" s="3" t="s">
        <v>2485</v>
      </c>
      <c r="B1218" s="3" t="s">
        <v>2486</v>
      </c>
    </row>
    <row r="1219">
      <c r="A1219" s="3" t="s">
        <v>2487</v>
      </c>
      <c r="B1219" s="3" t="s">
        <v>2488</v>
      </c>
    </row>
    <row r="1220">
      <c r="A1220" s="3" t="s">
        <v>2489</v>
      </c>
      <c r="B1220" s="3" t="s">
        <v>2490</v>
      </c>
    </row>
    <row r="1221">
      <c r="A1221" s="3" t="s">
        <v>2491</v>
      </c>
      <c r="B1221" s="3" t="s">
        <v>2492</v>
      </c>
    </row>
    <row r="1222">
      <c r="A1222" s="3" t="s">
        <v>2493</v>
      </c>
      <c r="B1222" s="3" t="s">
        <v>2494</v>
      </c>
    </row>
    <row r="1223">
      <c r="A1223" s="3" t="s">
        <v>2495</v>
      </c>
      <c r="B1223" s="3" t="s">
        <v>2496</v>
      </c>
    </row>
    <row r="1224">
      <c r="A1224" s="3" t="s">
        <v>2497</v>
      </c>
      <c r="B1224" s="3" t="s">
        <v>2498</v>
      </c>
    </row>
    <row r="1225">
      <c r="A1225" s="3" t="s">
        <v>2499</v>
      </c>
      <c r="B1225" s="3" t="s">
        <v>2500</v>
      </c>
    </row>
    <row r="1226">
      <c r="A1226" s="3" t="s">
        <v>2501</v>
      </c>
      <c r="B1226" s="3" t="s">
        <v>2502</v>
      </c>
    </row>
    <row r="1227">
      <c r="A1227" s="3" t="s">
        <v>2503</v>
      </c>
      <c r="B1227" s="3" t="s">
        <v>2504</v>
      </c>
    </row>
    <row r="1228">
      <c r="A1228" s="3" t="s">
        <v>2505</v>
      </c>
      <c r="B1228" s="3" t="s">
        <v>2506</v>
      </c>
    </row>
    <row r="1229">
      <c r="A1229" s="3" t="s">
        <v>2507</v>
      </c>
      <c r="B1229" s="3" t="s">
        <v>2508</v>
      </c>
    </row>
    <row r="1230">
      <c r="A1230" s="3" t="s">
        <v>2509</v>
      </c>
      <c r="B1230" s="3" t="s">
        <v>2510</v>
      </c>
    </row>
    <row r="1231">
      <c r="A1231" s="3" t="s">
        <v>2511</v>
      </c>
      <c r="B1231" s="3" t="s">
        <v>2512</v>
      </c>
    </row>
    <row r="1232">
      <c r="A1232" s="3" t="s">
        <v>2513</v>
      </c>
      <c r="B1232" s="3" t="s">
        <v>2514</v>
      </c>
    </row>
    <row r="1233">
      <c r="A1233" s="3" t="s">
        <v>2515</v>
      </c>
      <c r="B1233" s="3" t="s">
        <v>2516</v>
      </c>
    </row>
    <row r="1234">
      <c r="A1234" s="3" t="s">
        <v>2517</v>
      </c>
      <c r="B1234" s="3" t="s">
        <v>2518</v>
      </c>
    </row>
    <row r="1235">
      <c r="A1235" s="3" t="s">
        <v>2519</v>
      </c>
      <c r="B1235" s="3" t="s">
        <v>2520</v>
      </c>
    </row>
    <row r="1236">
      <c r="A1236" s="3" t="s">
        <v>2521</v>
      </c>
      <c r="B1236" s="3" t="s">
        <v>2522</v>
      </c>
    </row>
    <row r="1237">
      <c r="A1237" s="3" t="s">
        <v>2523</v>
      </c>
      <c r="B1237" s="3" t="s">
        <v>2524</v>
      </c>
    </row>
    <row r="1238">
      <c r="A1238" s="3" t="s">
        <v>2525</v>
      </c>
      <c r="B1238" s="3" t="s">
        <v>2526</v>
      </c>
    </row>
    <row r="1239">
      <c r="A1239" s="3" t="s">
        <v>2527</v>
      </c>
      <c r="B1239" s="3" t="s">
        <v>2528</v>
      </c>
    </row>
    <row r="1240">
      <c r="A1240" s="3" t="s">
        <v>2529</v>
      </c>
      <c r="B1240" s="3" t="s">
        <v>2530</v>
      </c>
    </row>
    <row r="1241">
      <c r="A1241" s="3" t="s">
        <v>2531</v>
      </c>
      <c r="B1241" s="3" t="s">
        <v>2532</v>
      </c>
    </row>
    <row r="1242">
      <c r="A1242" s="3" t="s">
        <v>2533</v>
      </c>
      <c r="B1242" s="3" t="s">
        <v>2534</v>
      </c>
    </row>
    <row r="1243">
      <c r="A1243" s="3" t="s">
        <v>2535</v>
      </c>
      <c r="B1243" s="3" t="s">
        <v>2536</v>
      </c>
    </row>
    <row r="1244">
      <c r="A1244" s="3" t="s">
        <v>2537</v>
      </c>
      <c r="B1244" s="3" t="s">
        <v>2538</v>
      </c>
    </row>
    <row r="1245">
      <c r="A1245" s="3" t="s">
        <v>2539</v>
      </c>
      <c r="B1245" s="3" t="s">
        <v>2540</v>
      </c>
    </row>
    <row r="1246">
      <c r="A1246" s="3" t="s">
        <v>2541</v>
      </c>
      <c r="B1246" s="3" t="s">
        <v>2542</v>
      </c>
    </row>
    <row r="1247">
      <c r="A1247" s="3" t="s">
        <v>2543</v>
      </c>
      <c r="B1247" s="3" t="s">
        <v>2544</v>
      </c>
    </row>
    <row r="1248">
      <c r="A1248" s="3" t="s">
        <v>2545</v>
      </c>
      <c r="B1248" s="3" t="s">
        <v>2546</v>
      </c>
    </row>
    <row r="1249">
      <c r="A1249" s="3" t="s">
        <v>2547</v>
      </c>
      <c r="B1249" s="3" t="s">
        <v>2548</v>
      </c>
    </row>
    <row r="1250">
      <c r="A1250" s="3" t="s">
        <v>2549</v>
      </c>
      <c r="B1250" s="3" t="s">
        <v>2550</v>
      </c>
    </row>
    <row r="1251">
      <c r="A1251" s="3" t="s">
        <v>2551</v>
      </c>
      <c r="B1251" s="3" t="s">
        <v>2552</v>
      </c>
    </row>
    <row r="1252">
      <c r="A1252" s="3" t="s">
        <v>2553</v>
      </c>
      <c r="B1252" s="3" t="s">
        <v>2554</v>
      </c>
    </row>
    <row r="1253">
      <c r="A1253" s="3" t="s">
        <v>2555</v>
      </c>
      <c r="B1253" s="3" t="s">
        <v>2556</v>
      </c>
    </row>
    <row r="1254">
      <c r="A1254" s="3" t="s">
        <v>2557</v>
      </c>
      <c r="B1254" s="3" t="s">
        <v>2558</v>
      </c>
    </row>
    <row r="1255">
      <c r="A1255" s="3" t="s">
        <v>2559</v>
      </c>
      <c r="B1255" s="3" t="s">
        <v>2560</v>
      </c>
    </row>
    <row r="1256">
      <c r="A1256" s="3" t="s">
        <v>2561</v>
      </c>
      <c r="B1256" s="3" t="s">
        <v>2562</v>
      </c>
    </row>
    <row r="1257">
      <c r="A1257" s="3" t="s">
        <v>2563</v>
      </c>
      <c r="B1257" s="3" t="s">
        <v>2564</v>
      </c>
    </row>
    <row r="1258">
      <c r="A1258" s="3" t="s">
        <v>2565</v>
      </c>
      <c r="B1258" s="3" t="s">
        <v>2566</v>
      </c>
    </row>
    <row r="1259">
      <c r="A1259" s="3" t="s">
        <v>2567</v>
      </c>
      <c r="B1259" s="3" t="s">
        <v>2568</v>
      </c>
    </row>
    <row r="1260">
      <c r="A1260" s="3" t="s">
        <v>2569</v>
      </c>
      <c r="B1260" s="3" t="s">
        <v>2570</v>
      </c>
    </row>
    <row r="1261">
      <c r="A1261" s="3" t="s">
        <v>2571</v>
      </c>
      <c r="B1261" s="3" t="s">
        <v>2572</v>
      </c>
    </row>
    <row r="1262">
      <c r="A1262" s="3" t="s">
        <v>2573</v>
      </c>
      <c r="B1262" s="3" t="s">
        <v>2574</v>
      </c>
    </row>
    <row r="1263">
      <c r="A1263" s="3" t="s">
        <v>2575</v>
      </c>
      <c r="B1263" s="3" t="s">
        <v>2576</v>
      </c>
    </row>
    <row r="1264">
      <c r="A1264" s="3" t="s">
        <v>2577</v>
      </c>
      <c r="B1264" s="3" t="s">
        <v>2578</v>
      </c>
    </row>
    <row r="1265">
      <c r="A1265" s="3" t="s">
        <v>2579</v>
      </c>
      <c r="B1265" s="3" t="s">
        <v>2580</v>
      </c>
    </row>
    <row r="1266">
      <c r="A1266" s="3" t="s">
        <v>2581</v>
      </c>
      <c r="B1266" s="3" t="s">
        <v>2582</v>
      </c>
    </row>
    <row r="1267">
      <c r="A1267" s="3" t="s">
        <v>2583</v>
      </c>
      <c r="B1267" s="3" t="s">
        <v>2584</v>
      </c>
    </row>
    <row r="1268">
      <c r="A1268" s="3" t="s">
        <v>2585</v>
      </c>
      <c r="B1268" s="3" t="s">
        <v>2586</v>
      </c>
    </row>
    <row r="1269">
      <c r="A1269" s="3" t="s">
        <v>2587</v>
      </c>
      <c r="B1269" s="3" t="s">
        <v>2588</v>
      </c>
    </row>
    <row r="1270">
      <c r="A1270" s="3" t="s">
        <v>2589</v>
      </c>
      <c r="B1270" s="3" t="s">
        <v>2590</v>
      </c>
    </row>
    <row r="1271">
      <c r="A1271" s="3" t="s">
        <v>2591</v>
      </c>
      <c r="B1271" s="3" t="s">
        <v>2592</v>
      </c>
    </row>
    <row r="1272">
      <c r="A1272" s="3" t="s">
        <v>2593</v>
      </c>
      <c r="B1272" s="3" t="s">
        <v>2594</v>
      </c>
    </row>
    <row r="1273">
      <c r="A1273" s="3" t="s">
        <v>2595</v>
      </c>
      <c r="B1273" s="3" t="s">
        <v>2596</v>
      </c>
    </row>
    <row r="1274">
      <c r="A1274" s="3" t="s">
        <v>2597</v>
      </c>
      <c r="B1274" s="3" t="s">
        <v>2598</v>
      </c>
    </row>
    <row r="1275">
      <c r="A1275" s="3" t="s">
        <v>2599</v>
      </c>
      <c r="B1275" s="3" t="s">
        <v>2600</v>
      </c>
    </row>
    <row r="1276">
      <c r="A1276" s="3" t="s">
        <v>2601</v>
      </c>
      <c r="B1276" s="3" t="s">
        <v>2602</v>
      </c>
    </row>
    <row r="1277">
      <c r="A1277" s="3" t="s">
        <v>2603</v>
      </c>
      <c r="B1277" s="3" t="s">
        <v>2604</v>
      </c>
    </row>
    <row r="1278">
      <c r="A1278" s="3" t="s">
        <v>2605</v>
      </c>
      <c r="B1278" s="3" t="s">
        <v>2606</v>
      </c>
    </row>
    <row r="1279">
      <c r="A1279" s="3" t="s">
        <v>2607</v>
      </c>
      <c r="B1279" s="3" t="s">
        <v>2608</v>
      </c>
    </row>
    <row r="1280">
      <c r="A1280" s="3" t="s">
        <v>2609</v>
      </c>
      <c r="B1280" s="3" t="s">
        <v>2610</v>
      </c>
    </row>
    <row r="1281">
      <c r="A1281" s="3" t="s">
        <v>2611</v>
      </c>
      <c r="B1281" s="3" t="s">
        <v>2612</v>
      </c>
    </row>
    <row r="1282">
      <c r="A1282" s="3" t="s">
        <v>2613</v>
      </c>
      <c r="B1282" s="3" t="s">
        <v>2614</v>
      </c>
    </row>
    <row r="1283">
      <c r="A1283" s="3" t="s">
        <v>2615</v>
      </c>
      <c r="B1283" s="3" t="s">
        <v>2616</v>
      </c>
    </row>
    <row r="1284">
      <c r="A1284" s="3" t="s">
        <v>2617</v>
      </c>
      <c r="B1284" s="3" t="s">
        <v>2618</v>
      </c>
    </row>
    <row r="1285">
      <c r="A1285" s="3" t="s">
        <v>2619</v>
      </c>
      <c r="B1285" s="3" t="s">
        <v>2620</v>
      </c>
    </row>
    <row r="1286">
      <c r="A1286" s="3" t="s">
        <v>2621</v>
      </c>
      <c r="B1286" s="3" t="s">
        <v>2622</v>
      </c>
    </row>
    <row r="1287">
      <c r="A1287" s="3" t="s">
        <v>2623</v>
      </c>
      <c r="B1287" s="3" t="s">
        <v>2624</v>
      </c>
    </row>
    <row r="1288">
      <c r="A1288" s="3" t="s">
        <v>2625</v>
      </c>
      <c r="B1288" s="3" t="s">
        <v>2626</v>
      </c>
    </row>
    <row r="1289">
      <c r="A1289" s="3" t="s">
        <v>2627</v>
      </c>
      <c r="B1289" s="3" t="s">
        <v>2628</v>
      </c>
    </row>
    <row r="1290">
      <c r="A1290" s="3" t="s">
        <v>2629</v>
      </c>
      <c r="B1290" s="3" t="s">
        <v>2630</v>
      </c>
    </row>
    <row r="1291">
      <c r="A1291" s="3" t="s">
        <v>2631</v>
      </c>
      <c r="B1291" s="3" t="s">
        <v>2632</v>
      </c>
    </row>
    <row r="1292">
      <c r="A1292" s="3" t="s">
        <v>2633</v>
      </c>
      <c r="B1292" s="3" t="s">
        <v>2634</v>
      </c>
    </row>
    <row r="1293">
      <c r="A1293" s="3" t="s">
        <v>2635</v>
      </c>
      <c r="B1293" s="3" t="s">
        <v>2636</v>
      </c>
    </row>
    <row r="1294">
      <c r="A1294" s="3" t="s">
        <v>2637</v>
      </c>
      <c r="B1294" s="3" t="s">
        <v>2638</v>
      </c>
    </row>
    <row r="1295">
      <c r="A1295" s="3" t="s">
        <v>2639</v>
      </c>
      <c r="B1295" s="3" t="s">
        <v>2640</v>
      </c>
    </row>
    <row r="1296">
      <c r="A1296" s="3" t="s">
        <v>2641</v>
      </c>
      <c r="B1296" s="3" t="s">
        <v>2642</v>
      </c>
    </row>
    <row r="1297">
      <c r="A1297" s="3" t="s">
        <v>2643</v>
      </c>
      <c r="B1297" s="3" t="s">
        <v>2644</v>
      </c>
    </row>
    <row r="1298">
      <c r="A1298" s="3" t="s">
        <v>2645</v>
      </c>
      <c r="B1298" s="3" t="s">
        <v>2646</v>
      </c>
    </row>
    <row r="1299">
      <c r="A1299" s="3" t="s">
        <v>2647</v>
      </c>
      <c r="B1299" s="3" t="s">
        <v>2648</v>
      </c>
    </row>
    <row r="1300">
      <c r="A1300" s="3" t="s">
        <v>2649</v>
      </c>
      <c r="B1300" s="3" t="s">
        <v>2650</v>
      </c>
    </row>
    <row r="1301">
      <c r="A1301" s="3" t="s">
        <v>2651</v>
      </c>
      <c r="B1301" s="3" t="s">
        <v>2652</v>
      </c>
    </row>
    <row r="1302">
      <c r="A1302" s="3" t="s">
        <v>2653</v>
      </c>
      <c r="B1302" s="3" t="s">
        <v>2654</v>
      </c>
    </row>
    <row r="1303">
      <c r="A1303" s="3" t="s">
        <v>2655</v>
      </c>
      <c r="B1303" s="3" t="s">
        <v>2656</v>
      </c>
    </row>
    <row r="1304">
      <c r="A1304" s="3" t="s">
        <v>2657</v>
      </c>
      <c r="B1304" s="3" t="s">
        <v>2658</v>
      </c>
    </row>
    <row r="1305">
      <c r="A1305" s="3" t="s">
        <v>2659</v>
      </c>
      <c r="B1305" s="3" t="s">
        <v>2660</v>
      </c>
    </row>
    <row r="1306">
      <c r="A1306" s="3" t="s">
        <v>2661</v>
      </c>
      <c r="B1306" s="3" t="s">
        <v>2662</v>
      </c>
    </row>
    <row r="1307">
      <c r="A1307" s="3" t="s">
        <v>2663</v>
      </c>
      <c r="B1307" s="3" t="s">
        <v>2664</v>
      </c>
    </row>
    <row r="1308">
      <c r="A1308" s="3" t="s">
        <v>2665</v>
      </c>
      <c r="B1308" s="3" t="s">
        <v>2666</v>
      </c>
    </row>
    <row r="1309">
      <c r="A1309" s="3" t="s">
        <v>2667</v>
      </c>
      <c r="B1309" s="3" t="s">
        <v>2668</v>
      </c>
    </row>
    <row r="1310">
      <c r="A1310" s="3" t="s">
        <v>2669</v>
      </c>
      <c r="B1310" s="3" t="s">
        <v>2670</v>
      </c>
    </row>
    <row r="1311">
      <c r="A1311" s="3" t="s">
        <v>2671</v>
      </c>
      <c r="B1311" s="3" t="s">
        <v>2672</v>
      </c>
    </row>
    <row r="1312">
      <c r="A1312" s="3" t="s">
        <v>2673</v>
      </c>
      <c r="B1312" s="3" t="s">
        <v>2674</v>
      </c>
    </row>
    <row r="1313">
      <c r="A1313" s="3" t="s">
        <v>2675</v>
      </c>
      <c r="B1313" s="3" t="s">
        <v>2676</v>
      </c>
    </row>
    <row r="1314">
      <c r="A1314" s="3" t="s">
        <v>2677</v>
      </c>
      <c r="B1314" s="3" t="s">
        <v>2678</v>
      </c>
    </row>
    <row r="1315">
      <c r="A1315" s="3" t="s">
        <v>2679</v>
      </c>
      <c r="B1315" s="3" t="s">
        <v>2680</v>
      </c>
    </row>
    <row r="1316">
      <c r="A1316" s="3" t="s">
        <v>2681</v>
      </c>
      <c r="B1316" s="3" t="s">
        <v>2682</v>
      </c>
    </row>
    <row r="1317">
      <c r="A1317" s="3" t="s">
        <v>2683</v>
      </c>
      <c r="B1317" s="3" t="s">
        <v>2684</v>
      </c>
    </row>
    <row r="1318">
      <c r="A1318" s="3" t="s">
        <v>2685</v>
      </c>
      <c r="B1318" s="3" t="s">
        <v>2686</v>
      </c>
    </row>
    <row r="1319">
      <c r="A1319" s="3" t="s">
        <v>2687</v>
      </c>
      <c r="B1319" s="3" t="s">
        <v>2688</v>
      </c>
    </row>
    <row r="1320">
      <c r="A1320" s="3" t="s">
        <v>2689</v>
      </c>
      <c r="B1320" s="3" t="s">
        <v>2690</v>
      </c>
    </row>
    <row r="1321">
      <c r="A1321" s="3" t="s">
        <v>2691</v>
      </c>
      <c r="B1321" s="3" t="s">
        <v>2692</v>
      </c>
    </row>
    <row r="1322">
      <c r="A1322" s="3" t="s">
        <v>2693</v>
      </c>
      <c r="B1322" s="3" t="s">
        <v>2694</v>
      </c>
    </row>
    <row r="1323">
      <c r="A1323" s="3" t="s">
        <v>2695</v>
      </c>
      <c r="B1323" s="3" t="s">
        <v>2696</v>
      </c>
    </row>
    <row r="1324">
      <c r="A1324" s="3" t="s">
        <v>2697</v>
      </c>
      <c r="B1324" s="3" t="s">
        <v>2698</v>
      </c>
    </row>
    <row r="1325">
      <c r="A1325" s="3" t="s">
        <v>2699</v>
      </c>
      <c r="B1325" s="3" t="s">
        <v>2700</v>
      </c>
    </row>
    <row r="1326">
      <c r="A1326" s="3" t="s">
        <v>2701</v>
      </c>
      <c r="B1326" s="3" t="s">
        <v>2702</v>
      </c>
    </row>
    <row r="1327">
      <c r="A1327" s="3" t="s">
        <v>2703</v>
      </c>
      <c r="B1327" s="3" t="s">
        <v>2704</v>
      </c>
    </row>
    <row r="1328">
      <c r="A1328" s="3" t="s">
        <v>2705</v>
      </c>
      <c r="B1328" s="3" t="s">
        <v>2706</v>
      </c>
    </row>
    <row r="1329">
      <c r="A1329" s="3" t="s">
        <v>2707</v>
      </c>
      <c r="B1329" s="3" t="s">
        <v>2708</v>
      </c>
    </row>
    <row r="1330">
      <c r="A1330" s="3" t="s">
        <v>2709</v>
      </c>
      <c r="B1330" s="3" t="s">
        <v>2710</v>
      </c>
    </row>
    <row r="1331">
      <c r="A1331" s="3" t="s">
        <v>2711</v>
      </c>
      <c r="B1331" s="3" t="s">
        <v>2712</v>
      </c>
    </row>
    <row r="1332">
      <c r="A1332" s="3" t="s">
        <v>2713</v>
      </c>
      <c r="B1332" s="3" t="s">
        <v>2714</v>
      </c>
    </row>
    <row r="1333">
      <c r="A1333" s="3" t="s">
        <v>2715</v>
      </c>
      <c r="B1333" s="3" t="s">
        <v>2716</v>
      </c>
    </row>
    <row r="1334">
      <c r="A1334" s="3" t="s">
        <v>2717</v>
      </c>
      <c r="B1334" s="3" t="s">
        <v>2718</v>
      </c>
    </row>
    <row r="1335">
      <c r="A1335" s="3" t="s">
        <v>2719</v>
      </c>
      <c r="B1335" s="3" t="s">
        <v>2720</v>
      </c>
    </row>
    <row r="1336">
      <c r="A1336" s="3" t="s">
        <v>2721</v>
      </c>
      <c r="B1336" s="3" t="s">
        <v>2722</v>
      </c>
    </row>
    <row r="1337">
      <c r="A1337" s="3" t="s">
        <v>2723</v>
      </c>
      <c r="B1337" s="3" t="s">
        <v>2724</v>
      </c>
    </row>
    <row r="1338">
      <c r="A1338" s="3" t="s">
        <v>2725</v>
      </c>
      <c r="B1338" s="3" t="s">
        <v>2726</v>
      </c>
    </row>
    <row r="1339">
      <c r="A1339" s="3" t="s">
        <v>2727</v>
      </c>
      <c r="B1339" s="3" t="s">
        <v>2728</v>
      </c>
    </row>
    <row r="1340">
      <c r="A1340" s="3" t="s">
        <v>2729</v>
      </c>
      <c r="B1340" s="3" t="s">
        <v>2730</v>
      </c>
    </row>
    <row r="1341">
      <c r="A1341" s="3" t="s">
        <v>2731</v>
      </c>
      <c r="B1341" s="3" t="s">
        <v>2732</v>
      </c>
    </row>
    <row r="1342">
      <c r="A1342" s="3" t="s">
        <v>2733</v>
      </c>
      <c r="B1342" s="3" t="s">
        <v>2734</v>
      </c>
    </row>
    <row r="1343">
      <c r="A1343" s="3" t="s">
        <v>2735</v>
      </c>
      <c r="B1343" s="3" t="s">
        <v>2736</v>
      </c>
    </row>
    <row r="1344">
      <c r="A1344" s="3" t="s">
        <v>2737</v>
      </c>
      <c r="B1344" s="3" t="s">
        <v>2738</v>
      </c>
    </row>
    <row r="1345">
      <c r="A1345" s="3" t="s">
        <v>2739</v>
      </c>
      <c r="B1345" s="3" t="s">
        <v>2740</v>
      </c>
    </row>
    <row r="1346">
      <c r="A1346" s="3" t="s">
        <v>2741</v>
      </c>
      <c r="B1346" s="3" t="s">
        <v>2742</v>
      </c>
    </row>
    <row r="1347">
      <c r="A1347" s="3" t="s">
        <v>2743</v>
      </c>
      <c r="B1347" s="3" t="s">
        <v>2744</v>
      </c>
    </row>
    <row r="1348">
      <c r="A1348" s="3" t="s">
        <v>2745</v>
      </c>
      <c r="B1348" s="3" t="s">
        <v>2746</v>
      </c>
    </row>
    <row r="1349">
      <c r="A1349" s="3" t="s">
        <v>2747</v>
      </c>
      <c r="B1349" s="3" t="s">
        <v>2748</v>
      </c>
    </row>
    <row r="1350">
      <c r="A1350" s="3" t="s">
        <v>2749</v>
      </c>
      <c r="B1350" s="3" t="s">
        <v>2750</v>
      </c>
    </row>
    <row r="1351">
      <c r="A1351" s="3" t="s">
        <v>2751</v>
      </c>
      <c r="B1351" s="3" t="s">
        <v>2752</v>
      </c>
    </row>
    <row r="1352">
      <c r="A1352" s="3" t="s">
        <v>2753</v>
      </c>
      <c r="B1352" s="3" t="s">
        <v>2754</v>
      </c>
    </row>
    <row r="1353">
      <c r="A1353" s="3" t="s">
        <v>2755</v>
      </c>
      <c r="B1353" s="3" t="s">
        <v>2756</v>
      </c>
    </row>
    <row r="1354">
      <c r="A1354" s="3" t="s">
        <v>2757</v>
      </c>
      <c r="B1354" s="3" t="s">
        <v>2758</v>
      </c>
    </row>
    <row r="1355">
      <c r="A1355" s="3" t="s">
        <v>2759</v>
      </c>
      <c r="B1355" s="3" t="s">
        <v>2760</v>
      </c>
    </row>
    <row r="1356">
      <c r="A1356" s="3" t="s">
        <v>2761</v>
      </c>
      <c r="B1356" s="3" t="s">
        <v>2762</v>
      </c>
    </row>
    <row r="1357">
      <c r="A1357" s="3" t="s">
        <v>2763</v>
      </c>
      <c r="B1357" s="3" t="s">
        <v>2764</v>
      </c>
    </row>
    <row r="1358">
      <c r="A1358" s="3" t="s">
        <v>2765</v>
      </c>
      <c r="B1358" s="3" t="s">
        <v>2766</v>
      </c>
    </row>
    <row r="1359">
      <c r="A1359" s="3" t="s">
        <v>2767</v>
      </c>
      <c r="B1359" s="3" t="s">
        <v>2768</v>
      </c>
    </row>
    <row r="1360">
      <c r="A1360" s="3" t="s">
        <v>2769</v>
      </c>
      <c r="B1360" s="3" t="s">
        <v>2770</v>
      </c>
    </row>
    <row r="1361">
      <c r="A1361" s="3" t="s">
        <v>2771</v>
      </c>
      <c r="B1361" s="3" t="s">
        <v>2772</v>
      </c>
    </row>
    <row r="1362">
      <c r="A1362" s="3" t="s">
        <v>2773</v>
      </c>
      <c r="B1362" s="3" t="s">
        <v>2774</v>
      </c>
    </row>
    <row r="1363">
      <c r="A1363" s="3" t="s">
        <v>2775</v>
      </c>
      <c r="B1363" s="3" t="s">
        <v>2776</v>
      </c>
    </row>
    <row r="1364">
      <c r="A1364" s="3" t="s">
        <v>2777</v>
      </c>
      <c r="B1364" s="3" t="s">
        <v>2778</v>
      </c>
    </row>
    <row r="1365">
      <c r="A1365" s="3" t="s">
        <v>2779</v>
      </c>
      <c r="B1365" s="3" t="s">
        <v>2780</v>
      </c>
    </row>
    <row r="1366">
      <c r="A1366" s="3" t="s">
        <v>2781</v>
      </c>
      <c r="B1366" s="3" t="s">
        <v>2782</v>
      </c>
    </row>
    <row r="1367">
      <c r="A1367" s="3" t="s">
        <v>2783</v>
      </c>
      <c r="B1367" s="3" t="s">
        <v>2784</v>
      </c>
    </row>
    <row r="1368">
      <c r="A1368" s="3" t="s">
        <v>2785</v>
      </c>
      <c r="B1368" s="3" t="s">
        <v>2786</v>
      </c>
    </row>
    <row r="1369">
      <c r="A1369" s="3" t="s">
        <v>2787</v>
      </c>
      <c r="B1369" s="3" t="s">
        <v>2788</v>
      </c>
    </row>
    <row r="1370">
      <c r="A1370" s="3" t="s">
        <v>2789</v>
      </c>
      <c r="B1370" s="3" t="s">
        <v>2790</v>
      </c>
    </row>
    <row r="1371">
      <c r="A1371" s="3" t="s">
        <v>2791</v>
      </c>
      <c r="B1371" s="3" t="s">
        <v>2792</v>
      </c>
    </row>
    <row r="1372">
      <c r="A1372" s="3" t="s">
        <v>2793</v>
      </c>
      <c r="B1372" s="3" t="s">
        <v>2794</v>
      </c>
    </row>
    <row r="1373">
      <c r="A1373" s="3" t="s">
        <v>2795</v>
      </c>
      <c r="B1373" s="3" t="s">
        <v>2796</v>
      </c>
    </row>
    <row r="1374">
      <c r="A1374" s="3" t="s">
        <v>2797</v>
      </c>
      <c r="B1374" s="3" t="s">
        <v>2798</v>
      </c>
    </row>
    <row r="1375">
      <c r="A1375" s="3" t="s">
        <v>2799</v>
      </c>
      <c r="B1375" s="3" t="s">
        <v>2800</v>
      </c>
    </row>
    <row r="1376">
      <c r="A1376" s="3" t="s">
        <v>2801</v>
      </c>
      <c r="B1376" s="3" t="s">
        <v>2802</v>
      </c>
    </row>
    <row r="1377">
      <c r="A1377" s="3" t="s">
        <v>2803</v>
      </c>
      <c r="B1377" s="3" t="s">
        <v>2804</v>
      </c>
    </row>
    <row r="1378">
      <c r="A1378" s="3" t="s">
        <v>2805</v>
      </c>
      <c r="B1378" s="3" t="s">
        <v>2806</v>
      </c>
    </row>
    <row r="1379">
      <c r="A1379" s="3" t="s">
        <v>2807</v>
      </c>
      <c r="B1379" s="3" t="s">
        <v>2808</v>
      </c>
    </row>
    <row r="1380">
      <c r="A1380" s="3" t="s">
        <v>2809</v>
      </c>
      <c r="B1380" s="3" t="s">
        <v>2810</v>
      </c>
    </row>
    <row r="1381">
      <c r="A1381" s="3" t="s">
        <v>2811</v>
      </c>
      <c r="B1381" s="3" t="s">
        <v>2812</v>
      </c>
    </row>
    <row r="1382">
      <c r="A1382" s="3" t="s">
        <v>2813</v>
      </c>
      <c r="B1382" s="3" t="s">
        <v>2814</v>
      </c>
    </row>
    <row r="1383">
      <c r="A1383" s="3" t="s">
        <v>2815</v>
      </c>
      <c r="B1383" s="3" t="s">
        <v>2816</v>
      </c>
    </row>
    <row r="1384">
      <c r="A1384" s="3" t="s">
        <v>2817</v>
      </c>
      <c r="B1384" s="3" t="s">
        <v>2818</v>
      </c>
    </row>
    <row r="1385">
      <c r="A1385" s="3" t="s">
        <v>2819</v>
      </c>
      <c r="B1385" s="3" t="s">
        <v>2820</v>
      </c>
    </row>
    <row r="1386">
      <c r="A1386" s="3" t="s">
        <v>2821</v>
      </c>
      <c r="B1386" s="3" t="s">
        <v>2822</v>
      </c>
    </row>
    <row r="1387">
      <c r="A1387" s="3" t="s">
        <v>2823</v>
      </c>
      <c r="B1387" s="3" t="s">
        <v>2824</v>
      </c>
    </row>
    <row r="1388">
      <c r="A1388" s="3" t="s">
        <v>2825</v>
      </c>
      <c r="B1388" s="3" t="s">
        <v>2826</v>
      </c>
    </row>
    <row r="1389">
      <c r="A1389" s="3" t="s">
        <v>2827</v>
      </c>
      <c r="B1389" s="3" t="s">
        <v>2828</v>
      </c>
    </row>
    <row r="1390">
      <c r="A1390" s="3" t="s">
        <v>2829</v>
      </c>
      <c r="B1390" s="3" t="s">
        <v>2830</v>
      </c>
    </row>
    <row r="1391">
      <c r="A1391" s="3" t="s">
        <v>2831</v>
      </c>
      <c r="B1391" s="3" t="s">
        <v>2832</v>
      </c>
    </row>
    <row r="1392">
      <c r="A1392" s="3" t="s">
        <v>2833</v>
      </c>
      <c r="B1392" s="3" t="s">
        <v>2834</v>
      </c>
    </row>
    <row r="1393">
      <c r="A1393" s="3" t="s">
        <v>2835</v>
      </c>
      <c r="B1393" s="3" t="s">
        <v>2836</v>
      </c>
    </row>
    <row r="1394">
      <c r="A1394" s="3" t="s">
        <v>2837</v>
      </c>
      <c r="B1394" s="3" t="s">
        <v>2838</v>
      </c>
    </row>
    <row r="1395">
      <c r="A1395" s="3" t="s">
        <v>2839</v>
      </c>
      <c r="B1395" s="3" t="s">
        <v>2840</v>
      </c>
    </row>
    <row r="1396">
      <c r="A1396" s="3" t="s">
        <v>2841</v>
      </c>
      <c r="B1396" s="3" t="s">
        <v>2842</v>
      </c>
    </row>
    <row r="1397">
      <c r="A1397" s="3" t="s">
        <v>2843</v>
      </c>
      <c r="B1397" s="3" t="s">
        <v>2844</v>
      </c>
    </row>
    <row r="1398">
      <c r="A1398" s="3" t="s">
        <v>2845</v>
      </c>
      <c r="B1398" s="3" t="s">
        <v>2846</v>
      </c>
    </row>
    <row r="1399">
      <c r="A1399" s="3" t="s">
        <v>2847</v>
      </c>
      <c r="B1399" s="3" t="s">
        <v>2848</v>
      </c>
    </row>
    <row r="1400">
      <c r="A1400" s="3" t="s">
        <v>2849</v>
      </c>
      <c r="B1400" s="3" t="s">
        <v>2850</v>
      </c>
    </row>
    <row r="1401">
      <c r="A1401" s="3" t="s">
        <v>2851</v>
      </c>
      <c r="B1401" s="3" t="s">
        <v>2852</v>
      </c>
    </row>
    <row r="1402">
      <c r="A1402" s="3" t="s">
        <v>2853</v>
      </c>
      <c r="B1402" s="3" t="s">
        <v>2854</v>
      </c>
    </row>
    <row r="1403">
      <c r="A1403" s="3" t="s">
        <v>2855</v>
      </c>
      <c r="B1403" s="3" t="s">
        <v>2856</v>
      </c>
    </row>
    <row r="1404">
      <c r="A1404" s="3" t="s">
        <v>2857</v>
      </c>
      <c r="B1404" s="3" t="s">
        <v>2858</v>
      </c>
    </row>
    <row r="1405">
      <c r="A1405" s="3" t="s">
        <v>2859</v>
      </c>
      <c r="B1405" s="3" t="s">
        <v>2860</v>
      </c>
    </row>
    <row r="1406">
      <c r="A1406" s="3" t="s">
        <v>2861</v>
      </c>
      <c r="B1406" s="3" t="s">
        <v>2862</v>
      </c>
    </row>
    <row r="1407">
      <c r="A1407" s="3" t="s">
        <v>2863</v>
      </c>
      <c r="B1407" s="3" t="s">
        <v>2864</v>
      </c>
    </row>
    <row r="1408">
      <c r="A1408" s="3" t="s">
        <v>2865</v>
      </c>
      <c r="B1408" s="3" t="s">
        <v>2866</v>
      </c>
    </row>
    <row r="1409">
      <c r="A1409" s="3" t="s">
        <v>2867</v>
      </c>
      <c r="B1409" s="3" t="s">
        <v>2868</v>
      </c>
    </row>
    <row r="1410">
      <c r="A1410" s="3" t="s">
        <v>2869</v>
      </c>
      <c r="B1410" s="3" t="s">
        <v>2870</v>
      </c>
    </row>
    <row r="1411">
      <c r="A1411" s="3" t="s">
        <v>2871</v>
      </c>
      <c r="B1411" s="3" t="s">
        <v>2872</v>
      </c>
    </row>
    <row r="1412">
      <c r="A1412" s="3" t="s">
        <v>2873</v>
      </c>
      <c r="B1412" s="3" t="s">
        <v>2874</v>
      </c>
    </row>
    <row r="1413">
      <c r="A1413" s="3" t="s">
        <v>2875</v>
      </c>
      <c r="B1413" s="3" t="s">
        <v>2876</v>
      </c>
    </row>
    <row r="1414">
      <c r="A1414" s="3" t="s">
        <v>2877</v>
      </c>
      <c r="B1414" s="3" t="s">
        <v>2878</v>
      </c>
    </row>
    <row r="1415">
      <c r="A1415" s="3" t="s">
        <v>2879</v>
      </c>
      <c r="B1415" s="3" t="s">
        <v>2880</v>
      </c>
    </row>
    <row r="1416">
      <c r="A1416" s="3" t="s">
        <v>2881</v>
      </c>
      <c r="B1416" s="3" t="s">
        <v>2882</v>
      </c>
    </row>
    <row r="1417">
      <c r="A1417" s="3" t="s">
        <v>2883</v>
      </c>
      <c r="B1417" s="3" t="s">
        <v>2884</v>
      </c>
    </row>
    <row r="1418">
      <c r="A1418" s="3" t="s">
        <v>2885</v>
      </c>
      <c r="B1418" s="3" t="s">
        <v>2886</v>
      </c>
    </row>
    <row r="1419">
      <c r="A1419" s="3" t="s">
        <v>2887</v>
      </c>
      <c r="B1419" s="3" t="s">
        <v>2888</v>
      </c>
    </row>
    <row r="1420">
      <c r="A1420" s="3" t="s">
        <v>2889</v>
      </c>
      <c r="B1420" s="3" t="s">
        <v>2890</v>
      </c>
    </row>
    <row r="1421">
      <c r="A1421" s="3" t="s">
        <v>2891</v>
      </c>
      <c r="B1421" s="3" t="s">
        <v>2892</v>
      </c>
    </row>
    <row r="1422">
      <c r="A1422" s="3" t="s">
        <v>2893</v>
      </c>
      <c r="B1422" s="3" t="s">
        <v>2894</v>
      </c>
    </row>
    <row r="1423">
      <c r="A1423" s="3" t="s">
        <v>2895</v>
      </c>
      <c r="B1423" s="3" t="s">
        <v>2896</v>
      </c>
    </row>
    <row r="1424">
      <c r="A1424" s="3" t="s">
        <v>2897</v>
      </c>
      <c r="B1424" s="3" t="s">
        <v>2898</v>
      </c>
    </row>
    <row r="1425">
      <c r="A1425" s="3" t="s">
        <v>2899</v>
      </c>
      <c r="B1425" s="3" t="s">
        <v>2900</v>
      </c>
    </row>
    <row r="1426">
      <c r="A1426" s="3" t="s">
        <v>2901</v>
      </c>
      <c r="B1426" s="3" t="s">
        <v>2902</v>
      </c>
    </row>
    <row r="1427">
      <c r="A1427" s="3" t="s">
        <v>2903</v>
      </c>
      <c r="B1427" s="3" t="s">
        <v>2904</v>
      </c>
    </row>
    <row r="1428">
      <c r="A1428" s="3" t="s">
        <v>2905</v>
      </c>
      <c r="B1428" s="3" t="s">
        <v>2906</v>
      </c>
    </row>
    <row r="1429">
      <c r="A1429" s="3" t="s">
        <v>2907</v>
      </c>
      <c r="B1429" s="3" t="s">
        <v>2908</v>
      </c>
    </row>
    <row r="1430">
      <c r="A1430" s="3" t="s">
        <v>2909</v>
      </c>
      <c r="B1430" s="3" t="s">
        <v>2910</v>
      </c>
    </row>
    <row r="1431">
      <c r="A1431" s="3" t="s">
        <v>2911</v>
      </c>
      <c r="B1431" s="3" t="s">
        <v>2912</v>
      </c>
    </row>
    <row r="1432">
      <c r="A1432" s="3" t="s">
        <v>2913</v>
      </c>
      <c r="B1432" s="3" t="s">
        <v>2914</v>
      </c>
    </row>
    <row r="1433">
      <c r="A1433" s="3" t="s">
        <v>2915</v>
      </c>
      <c r="B1433" s="3" t="s">
        <v>2916</v>
      </c>
    </row>
    <row r="1434">
      <c r="A1434" s="3" t="s">
        <v>2917</v>
      </c>
      <c r="B1434" s="3" t="s">
        <v>2918</v>
      </c>
    </row>
    <row r="1435">
      <c r="A1435" s="3" t="s">
        <v>2919</v>
      </c>
      <c r="B1435" s="3" t="s">
        <v>2920</v>
      </c>
    </row>
    <row r="1436">
      <c r="A1436" s="3" t="s">
        <v>2921</v>
      </c>
      <c r="B1436" s="3" t="s">
        <v>2922</v>
      </c>
    </row>
    <row r="1437">
      <c r="A1437" s="3" t="s">
        <v>2923</v>
      </c>
      <c r="B1437" s="3" t="s">
        <v>2924</v>
      </c>
    </row>
    <row r="1438">
      <c r="A1438" s="3" t="s">
        <v>2925</v>
      </c>
      <c r="B1438" s="3" t="s">
        <v>2926</v>
      </c>
    </row>
    <row r="1439">
      <c r="A1439" s="3" t="s">
        <v>2927</v>
      </c>
      <c r="B1439" s="3" t="s">
        <v>2928</v>
      </c>
    </row>
    <row r="1440">
      <c r="A1440" s="3" t="s">
        <v>2929</v>
      </c>
      <c r="B1440" s="3" t="s">
        <v>2930</v>
      </c>
    </row>
    <row r="1441">
      <c r="A1441" s="3" t="s">
        <v>2931</v>
      </c>
      <c r="B1441" s="3" t="s">
        <v>2932</v>
      </c>
    </row>
    <row r="1442">
      <c r="A1442" s="3" t="s">
        <v>2933</v>
      </c>
      <c r="B1442" s="3" t="s">
        <v>2934</v>
      </c>
    </row>
    <row r="1443">
      <c r="A1443" s="3" t="s">
        <v>2935</v>
      </c>
      <c r="B1443" s="3" t="s">
        <v>2936</v>
      </c>
    </row>
    <row r="1444">
      <c r="A1444" s="3" t="s">
        <v>2937</v>
      </c>
      <c r="B1444" s="3" t="s">
        <v>2938</v>
      </c>
    </row>
    <row r="1445">
      <c r="A1445" s="3" t="s">
        <v>2939</v>
      </c>
      <c r="B1445" s="3" t="s">
        <v>2940</v>
      </c>
    </row>
    <row r="1446">
      <c r="A1446" s="3" t="s">
        <v>2941</v>
      </c>
      <c r="B1446" s="3" t="s">
        <v>2942</v>
      </c>
    </row>
    <row r="1447">
      <c r="A1447" s="3" t="s">
        <v>2943</v>
      </c>
      <c r="B1447" s="3" t="s">
        <v>2944</v>
      </c>
    </row>
    <row r="1448">
      <c r="A1448" s="3" t="s">
        <v>2945</v>
      </c>
      <c r="B1448" s="3" t="s">
        <v>2946</v>
      </c>
    </row>
    <row r="1449">
      <c r="A1449" s="3" t="s">
        <v>2947</v>
      </c>
      <c r="B1449" s="3" t="s">
        <v>2948</v>
      </c>
    </row>
    <row r="1450">
      <c r="A1450" s="3" t="s">
        <v>2949</v>
      </c>
      <c r="B1450" s="3" t="s">
        <v>2950</v>
      </c>
    </row>
    <row r="1451">
      <c r="A1451" s="3" t="s">
        <v>2951</v>
      </c>
      <c r="B1451" s="3" t="s">
        <v>2952</v>
      </c>
    </row>
    <row r="1452">
      <c r="A1452" s="3" t="s">
        <v>2953</v>
      </c>
      <c r="B1452" s="3" t="s">
        <v>2954</v>
      </c>
    </row>
    <row r="1453">
      <c r="A1453" s="3" t="s">
        <v>2955</v>
      </c>
      <c r="B1453" s="3" t="s">
        <v>2956</v>
      </c>
    </row>
    <row r="1454">
      <c r="A1454" s="3" t="s">
        <v>2957</v>
      </c>
      <c r="B1454" s="3" t="s">
        <v>2958</v>
      </c>
    </row>
    <row r="1455">
      <c r="A1455" s="3" t="s">
        <v>2959</v>
      </c>
      <c r="B1455" s="3" t="s">
        <v>2960</v>
      </c>
    </row>
    <row r="1456">
      <c r="A1456" s="3" t="s">
        <v>2961</v>
      </c>
      <c r="B1456" s="3" t="s">
        <v>2962</v>
      </c>
    </row>
    <row r="1457">
      <c r="A1457" s="3" t="s">
        <v>2963</v>
      </c>
      <c r="B1457" s="3" t="s">
        <v>2964</v>
      </c>
    </row>
    <row r="1458">
      <c r="A1458" s="3" t="s">
        <v>2965</v>
      </c>
      <c r="B1458" s="3" t="s">
        <v>2966</v>
      </c>
    </row>
    <row r="1459">
      <c r="A1459" s="3" t="s">
        <v>2967</v>
      </c>
      <c r="B1459" s="3" t="s">
        <v>2968</v>
      </c>
    </row>
    <row r="1460">
      <c r="A1460" s="3" t="s">
        <v>2969</v>
      </c>
      <c r="B1460" s="3" t="s">
        <v>2970</v>
      </c>
    </row>
    <row r="1461">
      <c r="A1461" s="3" t="s">
        <v>2971</v>
      </c>
      <c r="B1461" s="3" t="s">
        <v>2972</v>
      </c>
    </row>
    <row r="1462">
      <c r="A1462" s="3" t="s">
        <v>2973</v>
      </c>
      <c r="B1462" s="3" t="s">
        <v>2974</v>
      </c>
    </row>
    <row r="1463">
      <c r="A1463" s="3" t="s">
        <v>2975</v>
      </c>
      <c r="B1463" s="3" t="s">
        <v>2976</v>
      </c>
    </row>
    <row r="1464">
      <c r="A1464" s="3" t="s">
        <v>2977</v>
      </c>
      <c r="B1464" s="3" t="s">
        <v>2978</v>
      </c>
    </row>
    <row r="1465">
      <c r="A1465" s="3" t="s">
        <v>2979</v>
      </c>
      <c r="B1465" s="3" t="s">
        <v>2980</v>
      </c>
    </row>
    <row r="1466">
      <c r="A1466" s="3" t="s">
        <v>2981</v>
      </c>
      <c r="B1466" s="3" t="s">
        <v>2982</v>
      </c>
    </row>
    <row r="1467">
      <c r="A1467" s="3" t="s">
        <v>2983</v>
      </c>
      <c r="B1467" s="3" t="s">
        <v>2984</v>
      </c>
    </row>
    <row r="1468">
      <c r="A1468" s="3" t="s">
        <v>2985</v>
      </c>
      <c r="B1468" s="3" t="s">
        <v>2986</v>
      </c>
    </row>
    <row r="1469">
      <c r="A1469" s="3" t="s">
        <v>2987</v>
      </c>
      <c r="B1469" s="3" t="s">
        <v>2988</v>
      </c>
    </row>
    <row r="1470">
      <c r="A1470" s="3" t="s">
        <v>2989</v>
      </c>
      <c r="B1470" s="3" t="s">
        <v>2990</v>
      </c>
    </row>
    <row r="1471">
      <c r="A1471" s="3" t="s">
        <v>2991</v>
      </c>
      <c r="B1471" s="3" t="s">
        <v>2992</v>
      </c>
    </row>
    <row r="1472">
      <c r="A1472" s="3" t="s">
        <v>2993</v>
      </c>
      <c r="B1472" s="3" t="s">
        <v>2994</v>
      </c>
    </row>
    <row r="1473">
      <c r="A1473" s="3" t="s">
        <v>2995</v>
      </c>
      <c r="B1473" s="3" t="s">
        <v>2996</v>
      </c>
    </row>
    <row r="1474">
      <c r="A1474" s="3" t="s">
        <v>2997</v>
      </c>
      <c r="B1474" s="3" t="s">
        <v>2998</v>
      </c>
    </row>
    <row r="1475">
      <c r="A1475" s="3" t="s">
        <v>2999</v>
      </c>
      <c r="B1475" s="3" t="s">
        <v>3000</v>
      </c>
    </row>
    <row r="1476">
      <c r="A1476" s="3" t="s">
        <v>3001</v>
      </c>
      <c r="B1476" s="3" t="s">
        <v>3002</v>
      </c>
    </row>
    <row r="1477">
      <c r="A1477" s="3" t="s">
        <v>3003</v>
      </c>
      <c r="B1477" s="3" t="s">
        <v>3004</v>
      </c>
    </row>
    <row r="1478">
      <c r="A1478" s="3" t="s">
        <v>3005</v>
      </c>
      <c r="B1478" s="3" t="s">
        <v>3006</v>
      </c>
    </row>
    <row r="1479">
      <c r="A1479" s="3" t="s">
        <v>3007</v>
      </c>
      <c r="B1479" s="3" t="s">
        <v>3008</v>
      </c>
    </row>
    <row r="1480">
      <c r="A1480" s="3" t="s">
        <v>3009</v>
      </c>
      <c r="B1480" s="3" t="s">
        <v>3010</v>
      </c>
    </row>
    <row r="1481">
      <c r="A1481" s="3" t="s">
        <v>3011</v>
      </c>
      <c r="B1481" s="3" t="s">
        <v>3012</v>
      </c>
    </row>
    <row r="1482">
      <c r="A1482" s="3" t="s">
        <v>3013</v>
      </c>
      <c r="B1482" s="3" t="s">
        <v>3014</v>
      </c>
    </row>
    <row r="1483">
      <c r="A1483" s="3" t="s">
        <v>3015</v>
      </c>
      <c r="B1483" s="3" t="s">
        <v>3016</v>
      </c>
    </row>
    <row r="1484">
      <c r="A1484" s="3" t="s">
        <v>3017</v>
      </c>
      <c r="B1484" s="3" t="s">
        <v>3018</v>
      </c>
    </row>
    <row r="1485">
      <c r="A1485" s="3" t="s">
        <v>3019</v>
      </c>
      <c r="B1485" s="3" t="s">
        <v>3020</v>
      </c>
    </row>
    <row r="1486">
      <c r="A1486" s="3" t="s">
        <v>3021</v>
      </c>
      <c r="B1486" s="3" t="s">
        <v>3022</v>
      </c>
    </row>
    <row r="1487">
      <c r="A1487" s="3" t="s">
        <v>3023</v>
      </c>
      <c r="B1487" s="3" t="s">
        <v>3024</v>
      </c>
    </row>
    <row r="1488">
      <c r="A1488" s="3" t="s">
        <v>3025</v>
      </c>
      <c r="B1488" s="3" t="s">
        <v>3026</v>
      </c>
    </row>
    <row r="1489">
      <c r="A1489" s="3" t="s">
        <v>3027</v>
      </c>
      <c r="B1489" s="3" t="s">
        <v>3028</v>
      </c>
    </row>
    <row r="1490">
      <c r="A1490" s="3" t="s">
        <v>3029</v>
      </c>
      <c r="B1490" s="3" t="s">
        <v>3030</v>
      </c>
    </row>
    <row r="1491">
      <c r="A1491" s="3" t="s">
        <v>3031</v>
      </c>
      <c r="B1491" s="3" t="s">
        <v>3032</v>
      </c>
    </row>
    <row r="1492">
      <c r="A1492" s="3" t="s">
        <v>3033</v>
      </c>
      <c r="B1492" s="3" t="s">
        <v>3034</v>
      </c>
    </row>
    <row r="1493">
      <c r="A1493" s="3" t="s">
        <v>3035</v>
      </c>
      <c r="B1493" s="3" t="s">
        <v>3036</v>
      </c>
    </row>
    <row r="1494">
      <c r="A1494" s="3" t="s">
        <v>3037</v>
      </c>
      <c r="B1494" s="3" t="s">
        <v>3038</v>
      </c>
    </row>
    <row r="1495">
      <c r="A1495" s="3" t="s">
        <v>3039</v>
      </c>
      <c r="B1495" s="3" t="s">
        <v>3040</v>
      </c>
    </row>
    <row r="1496">
      <c r="A1496" s="3" t="s">
        <v>3041</v>
      </c>
      <c r="B1496" s="3" t="s">
        <v>3042</v>
      </c>
    </row>
    <row r="1497">
      <c r="A1497" s="3" t="s">
        <v>3043</v>
      </c>
      <c r="B1497" s="3" t="s">
        <v>3044</v>
      </c>
    </row>
    <row r="1498">
      <c r="A1498" s="3" t="s">
        <v>3045</v>
      </c>
      <c r="B1498" s="3" t="s">
        <v>3046</v>
      </c>
    </row>
    <row r="1499">
      <c r="A1499" s="3" t="s">
        <v>3047</v>
      </c>
      <c r="B1499" s="3" t="s">
        <v>3048</v>
      </c>
    </row>
    <row r="1500">
      <c r="A1500" s="3" t="s">
        <v>3049</v>
      </c>
      <c r="B1500" s="3" t="s">
        <v>3050</v>
      </c>
    </row>
    <row r="1501">
      <c r="A1501" s="3" t="s">
        <v>3051</v>
      </c>
      <c r="B1501" s="3" t="s">
        <v>3052</v>
      </c>
    </row>
    <row r="1502">
      <c r="A1502" s="3" t="s">
        <v>3053</v>
      </c>
      <c r="B1502" s="3" t="s">
        <v>3054</v>
      </c>
    </row>
    <row r="1503">
      <c r="A1503" s="3" t="s">
        <v>3055</v>
      </c>
      <c r="B1503" s="3" t="s">
        <v>3056</v>
      </c>
    </row>
    <row r="1504">
      <c r="A1504" s="3" t="s">
        <v>3057</v>
      </c>
      <c r="B1504" s="3" t="s">
        <v>3058</v>
      </c>
    </row>
    <row r="1505">
      <c r="A1505" s="3" t="s">
        <v>3059</v>
      </c>
      <c r="B1505" s="3" t="s">
        <v>3060</v>
      </c>
    </row>
    <row r="1506">
      <c r="A1506" s="3" t="s">
        <v>3061</v>
      </c>
      <c r="B1506" s="3" t="s">
        <v>3062</v>
      </c>
    </row>
    <row r="1507">
      <c r="A1507" s="3" t="s">
        <v>3063</v>
      </c>
      <c r="B1507" s="3" t="s">
        <v>3064</v>
      </c>
    </row>
    <row r="1508">
      <c r="A1508" s="3" t="s">
        <v>3065</v>
      </c>
      <c r="B1508" s="3" t="s">
        <v>3066</v>
      </c>
    </row>
    <row r="1509">
      <c r="A1509" s="3" t="s">
        <v>3067</v>
      </c>
      <c r="B1509" s="3" t="s">
        <v>3068</v>
      </c>
    </row>
    <row r="1510">
      <c r="A1510" s="3" t="s">
        <v>3069</v>
      </c>
      <c r="B1510" s="3" t="s">
        <v>3070</v>
      </c>
    </row>
    <row r="1511">
      <c r="A1511" s="3" t="s">
        <v>3071</v>
      </c>
      <c r="B1511" s="3" t="s">
        <v>3072</v>
      </c>
    </row>
    <row r="1512">
      <c r="A1512" s="3" t="s">
        <v>3073</v>
      </c>
      <c r="B1512" s="3" t="s">
        <v>3074</v>
      </c>
    </row>
    <row r="1513">
      <c r="A1513" s="3" t="s">
        <v>3075</v>
      </c>
      <c r="B1513" s="3" t="s">
        <v>3076</v>
      </c>
    </row>
    <row r="1514">
      <c r="A1514" s="3" t="s">
        <v>3077</v>
      </c>
      <c r="B1514" s="3" t="s">
        <v>3078</v>
      </c>
    </row>
    <row r="1515">
      <c r="A1515" s="3" t="s">
        <v>3079</v>
      </c>
      <c r="B1515" s="3" t="s">
        <v>3080</v>
      </c>
    </row>
    <row r="1516">
      <c r="A1516" s="3" t="s">
        <v>3081</v>
      </c>
      <c r="B1516" s="3" t="s">
        <v>3082</v>
      </c>
    </row>
    <row r="1517">
      <c r="A1517" s="3" t="s">
        <v>3083</v>
      </c>
      <c r="B1517" s="3" t="s">
        <v>3084</v>
      </c>
    </row>
    <row r="1518">
      <c r="A1518" s="3" t="s">
        <v>3085</v>
      </c>
      <c r="B1518" s="3" t="s">
        <v>3086</v>
      </c>
    </row>
    <row r="1519">
      <c r="A1519" s="3" t="s">
        <v>3087</v>
      </c>
      <c r="B1519" s="3" t="s">
        <v>3088</v>
      </c>
    </row>
    <row r="1520">
      <c r="A1520" s="3" t="s">
        <v>3089</v>
      </c>
      <c r="B1520" s="3" t="s">
        <v>3090</v>
      </c>
    </row>
    <row r="1521">
      <c r="A1521" s="3" t="s">
        <v>3091</v>
      </c>
      <c r="B1521" s="3" t="s">
        <v>3092</v>
      </c>
    </row>
    <row r="1522">
      <c r="A1522" s="3" t="s">
        <v>3093</v>
      </c>
      <c r="B1522" s="3" t="s">
        <v>3094</v>
      </c>
    </row>
    <row r="1523">
      <c r="A1523" s="3" t="s">
        <v>3095</v>
      </c>
      <c r="B1523" s="3" t="s">
        <v>3096</v>
      </c>
    </row>
    <row r="1524">
      <c r="A1524" s="3" t="s">
        <v>3097</v>
      </c>
      <c r="B1524" s="3" t="s">
        <v>3098</v>
      </c>
    </row>
    <row r="1525">
      <c r="A1525" s="3" t="s">
        <v>3099</v>
      </c>
      <c r="B1525" s="3" t="s">
        <v>3100</v>
      </c>
    </row>
    <row r="1526">
      <c r="A1526" s="3" t="s">
        <v>3101</v>
      </c>
      <c r="B1526" s="3" t="s">
        <v>3102</v>
      </c>
    </row>
    <row r="1527">
      <c r="A1527" s="3" t="s">
        <v>3103</v>
      </c>
      <c r="B1527" s="3" t="s">
        <v>3104</v>
      </c>
    </row>
    <row r="1528">
      <c r="A1528" s="3" t="s">
        <v>3105</v>
      </c>
      <c r="B1528" s="3" t="s">
        <v>3106</v>
      </c>
    </row>
    <row r="1529">
      <c r="A1529" s="3" t="s">
        <v>3107</v>
      </c>
      <c r="B1529" s="3" t="s">
        <v>3108</v>
      </c>
    </row>
    <row r="1530">
      <c r="A1530" s="3" t="s">
        <v>3109</v>
      </c>
      <c r="B1530" s="3" t="s">
        <v>3110</v>
      </c>
    </row>
    <row r="1531">
      <c r="A1531" s="3" t="s">
        <v>3111</v>
      </c>
      <c r="B1531" s="3" t="s">
        <v>3112</v>
      </c>
    </row>
    <row r="1532">
      <c r="A1532" s="3" t="s">
        <v>3113</v>
      </c>
      <c r="B1532" s="3" t="s">
        <v>3114</v>
      </c>
    </row>
    <row r="1533">
      <c r="A1533" s="3" t="s">
        <v>3115</v>
      </c>
      <c r="B1533" s="3" t="s">
        <v>3116</v>
      </c>
    </row>
    <row r="1534">
      <c r="A1534" s="3" t="s">
        <v>3117</v>
      </c>
      <c r="B1534" s="3" t="s">
        <v>3118</v>
      </c>
    </row>
    <row r="1535">
      <c r="A1535" s="3" t="s">
        <v>3119</v>
      </c>
      <c r="B1535" s="3" t="s">
        <v>3120</v>
      </c>
    </row>
    <row r="1536">
      <c r="A1536" s="3" t="s">
        <v>3121</v>
      </c>
      <c r="B1536" s="3" t="s">
        <v>3122</v>
      </c>
    </row>
    <row r="1537">
      <c r="A1537" s="3" t="s">
        <v>3123</v>
      </c>
      <c r="B1537" s="3" t="s">
        <v>3124</v>
      </c>
    </row>
    <row r="1538">
      <c r="A1538" s="3" t="s">
        <v>3125</v>
      </c>
      <c r="B1538" s="3" t="s">
        <v>3126</v>
      </c>
    </row>
    <row r="1539">
      <c r="A1539" s="3" t="s">
        <v>3127</v>
      </c>
      <c r="B1539" s="3" t="s">
        <v>3128</v>
      </c>
    </row>
    <row r="1540">
      <c r="A1540" s="3" t="s">
        <v>3129</v>
      </c>
      <c r="B1540" s="3" t="s">
        <v>3130</v>
      </c>
    </row>
    <row r="1541">
      <c r="A1541" s="3" t="s">
        <v>3131</v>
      </c>
      <c r="B1541" s="3" t="s">
        <v>3132</v>
      </c>
    </row>
    <row r="1542">
      <c r="A1542" s="3" t="s">
        <v>3133</v>
      </c>
      <c r="B1542" s="3" t="s">
        <v>3134</v>
      </c>
    </row>
    <row r="1543">
      <c r="A1543" s="3" t="s">
        <v>3135</v>
      </c>
      <c r="B1543" s="3" t="s">
        <v>3136</v>
      </c>
    </row>
    <row r="1544">
      <c r="A1544" s="3" t="s">
        <v>3137</v>
      </c>
      <c r="B1544" s="3" t="s">
        <v>3138</v>
      </c>
    </row>
    <row r="1545">
      <c r="A1545" s="3" t="s">
        <v>3139</v>
      </c>
      <c r="B1545" s="3" t="s">
        <v>3140</v>
      </c>
    </row>
    <row r="1546">
      <c r="A1546" s="3" t="s">
        <v>3141</v>
      </c>
      <c r="B1546" s="3" t="s">
        <v>3142</v>
      </c>
    </row>
    <row r="1547">
      <c r="A1547" s="3" t="s">
        <v>3143</v>
      </c>
      <c r="B1547" s="3" t="s">
        <v>3144</v>
      </c>
    </row>
    <row r="1548">
      <c r="A1548" s="3" t="s">
        <v>3145</v>
      </c>
      <c r="B1548" s="3" t="s">
        <v>3146</v>
      </c>
    </row>
    <row r="1549">
      <c r="A1549" s="3" t="s">
        <v>3147</v>
      </c>
      <c r="B1549" s="3" t="s">
        <v>3148</v>
      </c>
    </row>
    <row r="1550">
      <c r="A1550" s="3" t="s">
        <v>3149</v>
      </c>
      <c r="B1550" s="3" t="s">
        <v>3150</v>
      </c>
    </row>
    <row r="1551">
      <c r="A1551" s="3" t="s">
        <v>3151</v>
      </c>
      <c r="B1551" s="3" t="s">
        <v>3152</v>
      </c>
    </row>
    <row r="1552">
      <c r="A1552" s="3" t="s">
        <v>3153</v>
      </c>
      <c r="B1552" s="3" t="s">
        <v>3154</v>
      </c>
    </row>
    <row r="1553">
      <c r="A1553" s="3" t="s">
        <v>3155</v>
      </c>
      <c r="B1553" s="3" t="s">
        <v>3156</v>
      </c>
    </row>
    <row r="1554">
      <c r="A1554" s="3" t="s">
        <v>3157</v>
      </c>
      <c r="B1554" s="3" t="s">
        <v>3158</v>
      </c>
    </row>
    <row r="1555">
      <c r="A1555" s="3" t="s">
        <v>3159</v>
      </c>
      <c r="B1555" s="3" t="s">
        <v>3160</v>
      </c>
    </row>
    <row r="1556">
      <c r="A1556" s="3" t="s">
        <v>3161</v>
      </c>
      <c r="B1556" s="3" t="s">
        <v>3162</v>
      </c>
    </row>
    <row r="1557">
      <c r="A1557" s="3" t="s">
        <v>3163</v>
      </c>
      <c r="B1557" s="3" t="s">
        <v>3164</v>
      </c>
    </row>
    <row r="1558">
      <c r="A1558" s="3" t="s">
        <v>3165</v>
      </c>
      <c r="B1558" s="3" t="s">
        <v>3166</v>
      </c>
    </row>
    <row r="1559">
      <c r="A1559" s="3" t="s">
        <v>3167</v>
      </c>
      <c r="B1559" s="3" t="s">
        <v>3168</v>
      </c>
    </row>
    <row r="1560">
      <c r="A1560" s="3" t="s">
        <v>3169</v>
      </c>
      <c r="B1560" s="3" t="s">
        <v>3170</v>
      </c>
    </row>
    <row r="1561">
      <c r="A1561" s="3" t="s">
        <v>3171</v>
      </c>
      <c r="B1561" s="3" t="s">
        <v>3172</v>
      </c>
    </row>
    <row r="1562">
      <c r="A1562" s="3" t="s">
        <v>3173</v>
      </c>
      <c r="B1562" s="3" t="s">
        <v>3174</v>
      </c>
    </row>
    <row r="1563">
      <c r="A1563" s="3" t="s">
        <v>3175</v>
      </c>
      <c r="B1563" s="3" t="s">
        <v>3176</v>
      </c>
    </row>
    <row r="1564">
      <c r="A1564" s="3" t="s">
        <v>3177</v>
      </c>
      <c r="B1564" s="3" t="s">
        <v>3178</v>
      </c>
    </row>
    <row r="1565">
      <c r="A1565" s="3" t="s">
        <v>3179</v>
      </c>
      <c r="B1565" s="3" t="s">
        <v>3180</v>
      </c>
    </row>
    <row r="1566">
      <c r="A1566" s="3" t="s">
        <v>3181</v>
      </c>
      <c r="B1566" s="3" t="s">
        <v>3182</v>
      </c>
    </row>
    <row r="1567">
      <c r="A1567" s="3" t="s">
        <v>3183</v>
      </c>
      <c r="B1567" s="3" t="s">
        <v>3184</v>
      </c>
    </row>
    <row r="1568">
      <c r="A1568" s="3" t="s">
        <v>3185</v>
      </c>
      <c r="B1568" s="3" t="s">
        <v>3186</v>
      </c>
    </row>
    <row r="1569">
      <c r="A1569" s="3" t="s">
        <v>3187</v>
      </c>
      <c r="B1569" s="3" t="s">
        <v>3188</v>
      </c>
    </row>
    <row r="1570">
      <c r="A1570" s="3" t="s">
        <v>3189</v>
      </c>
      <c r="B1570" s="3" t="s">
        <v>3190</v>
      </c>
    </row>
    <row r="1571">
      <c r="A1571" s="3" t="s">
        <v>3191</v>
      </c>
      <c r="B1571" s="3" t="s">
        <v>3192</v>
      </c>
    </row>
    <row r="1572">
      <c r="A1572" s="3" t="s">
        <v>3193</v>
      </c>
      <c r="B1572" s="3" t="s">
        <v>3194</v>
      </c>
    </row>
    <row r="1573">
      <c r="A1573" s="3" t="s">
        <v>3195</v>
      </c>
      <c r="B1573" s="3" t="s">
        <v>3196</v>
      </c>
    </row>
    <row r="1574">
      <c r="A1574" s="3" t="s">
        <v>3197</v>
      </c>
      <c r="B1574" s="3" t="s">
        <v>3198</v>
      </c>
    </row>
    <row r="1575">
      <c r="A1575" s="3" t="s">
        <v>3199</v>
      </c>
      <c r="B1575" s="3" t="s">
        <v>3200</v>
      </c>
    </row>
    <row r="1576">
      <c r="A1576" s="3" t="s">
        <v>3201</v>
      </c>
      <c r="B1576" s="3" t="s">
        <v>3202</v>
      </c>
    </row>
    <row r="1577">
      <c r="A1577" s="3" t="s">
        <v>3203</v>
      </c>
      <c r="B1577" s="3" t="s">
        <v>3204</v>
      </c>
    </row>
    <row r="1578">
      <c r="A1578" s="3" t="s">
        <v>3205</v>
      </c>
      <c r="B1578" s="3" t="s">
        <v>3206</v>
      </c>
    </row>
    <row r="1579">
      <c r="A1579" s="3" t="s">
        <v>3207</v>
      </c>
      <c r="B1579" s="3" t="s">
        <v>3208</v>
      </c>
    </row>
    <row r="1580">
      <c r="A1580" s="3" t="s">
        <v>3209</v>
      </c>
      <c r="B1580" s="3" t="s">
        <v>3210</v>
      </c>
    </row>
    <row r="1581">
      <c r="A1581" s="3" t="s">
        <v>3211</v>
      </c>
      <c r="B1581" s="3" t="s">
        <v>3212</v>
      </c>
    </row>
    <row r="1582">
      <c r="A1582" s="3" t="s">
        <v>3213</v>
      </c>
      <c r="B1582" s="3" t="s">
        <v>3214</v>
      </c>
    </row>
    <row r="1583">
      <c r="A1583" s="3" t="s">
        <v>3215</v>
      </c>
      <c r="B1583" s="3" t="s">
        <v>3216</v>
      </c>
    </row>
    <row r="1584">
      <c r="A1584" s="3" t="s">
        <v>3217</v>
      </c>
      <c r="B1584" s="3" t="s">
        <v>3218</v>
      </c>
    </row>
    <row r="1585">
      <c r="A1585" s="3" t="s">
        <v>3219</v>
      </c>
      <c r="B1585" s="3" t="s">
        <v>3220</v>
      </c>
    </row>
    <row r="1586">
      <c r="A1586" s="3" t="s">
        <v>3221</v>
      </c>
      <c r="B1586" s="3" t="s">
        <v>3222</v>
      </c>
    </row>
    <row r="1587">
      <c r="A1587" s="3" t="s">
        <v>3223</v>
      </c>
      <c r="B1587" s="3" t="s">
        <v>3224</v>
      </c>
    </row>
    <row r="1588">
      <c r="A1588" s="3" t="s">
        <v>3225</v>
      </c>
      <c r="B1588" s="3" t="s">
        <v>3226</v>
      </c>
    </row>
    <row r="1589">
      <c r="A1589" s="3" t="s">
        <v>3227</v>
      </c>
      <c r="B1589" s="3" t="s">
        <v>3228</v>
      </c>
    </row>
    <row r="1590">
      <c r="A1590" s="3" t="s">
        <v>3229</v>
      </c>
      <c r="B1590" s="3" t="s">
        <v>3230</v>
      </c>
    </row>
    <row r="1591">
      <c r="A1591" s="3" t="s">
        <v>3231</v>
      </c>
      <c r="B1591" s="3" t="s">
        <v>3232</v>
      </c>
    </row>
    <row r="1592">
      <c r="A1592" s="3" t="s">
        <v>3233</v>
      </c>
      <c r="B1592" s="3" t="s">
        <v>3234</v>
      </c>
    </row>
    <row r="1593">
      <c r="A1593" s="3" t="s">
        <v>3235</v>
      </c>
      <c r="B1593" s="3" t="s">
        <v>3236</v>
      </c>
    </row>
    <row r="1594">
      <c r="A1594" s="3" t="s">
        <v>3237</v>
      </c>
      <c r="B1594" s="3" t="s">
        <v>3238</v>
      </c>
    </row>
    <row r="1595">
      <c r="A1595" s="3" t="s">
        <v>3239</v>
      </c>
      <c r="B1595" s="3" t="s">
        <v>3240</v>
      </c>
    </row>
    <row r="1596">
      <c r="A1596" s="3" t="s">
        <v>3241</v>
      </c>
      <c r="B1596" s="3" t="s">
        <v>3242</v>
      </c>
    </row>
    <row r="1597">
      <c r="A1597" s="3" t="s">
        <v>3243</v>
      </c>
      <c r="B1597" s="3" t="s">
        <v>3244</v>
      </c>
    </row>
    <row r="1598">
      <c r="A1598" s="3" t="s">
        <v>3245</v>
      </c>
      <c r="B1598" s="3" t="s">
        <v>3246</v>
      </c>
    </row>
    <row r="1599">
      <c r="A1599" s="3" t="s">
        <v>3247</v>
      </c>
      <c r="B1599" s="3" t="s">
        <v>3248</v>
      </c>
    </row>
    <row r="1600">
      <c r="A1600" s="3" t="s">
        <v>3249</v>
      </c>
      <c r="B1600" s="3" t="s">
        <v>3250</v>
      </c>
    </row>
    <row r="1601">
      <c r="A1601" s="3" t="s">
        <v>3251</v>
      </c>
      <c r="B1601" s="3" t="s">
        <v>3252</v>
      </c>
    </row>
    <row r="1602">
      <c r="A1602" s="3" t="s">
        <v>3253</v>
      </c>
      <c r="B1602" s="3" t="s">
        <v>3254</v>
      </c>
    </row>
    <row r="1603">
      <c r="A1603" s="3" t="s">
        <v>3255</v>
      </c>
      <c r="B1603" s="3" t="s">
        <v>3256</v>
      </c>
    </row>
    <row r="1604">
      <c r="A1604" s="3" t="s">
        <v>3257</v>
      </c>
      <c r="B1604" s="3" t="s">
        <v>3258</v>
      </c>
    </row>
    <row r="1605">
      <c r="A1605" s="3" t="s">
        <v>3259</v>
      </c>
      <c r="B1605" s="3" t="s">
        <v>3260</v>
      </c>
    </row>
    <row r="1606">
      <c r="A1606" s="3" t="s">
        <v>3261</v>
      </c>
      <c r="B1606" s="3" t="s">
        <v>3262</v>
      </c>
    </row>
    <row r="1607">
      <c r="A1607" s="3" t="s">
        <v>3263</v>
      </c>
      <c r="B1607" s="3" t="s">
        <v>3264</v>
      </c>
    </row>
    <row r="1608">
      <c r="A1608" s="3" t="s">
        <v>3265</v>
      </c>
      <c r="B1608" s="3" t="s">
        <v>3266</v>
      </c>
    </row>
    <row r="1609">
      <c r="A1609" s="3" t="s">
        <v>3267</v>
      </c>
      <c r="B1609" s="3" t="s">
        <v>3268</v>
      </c>
    </row>
    <row r="1610">
      <c r="A1610" s="3" t="s">
        <v>3269</v>
      </c>
      <c r="B1610" s="3" t="s">
        <v>3270</v>
      </c>
    </row>
    <row r="1611">
      <c r="A1611" s="3" t="s">
        <v>3271</v>
      </c>
      <c r="B1611" s="3" t="s">
        <v>3272</v>
      </c>
    </row>
    <row r="1612">
      <c r="A1612" s="3" t="s">
        <v>3273</v>
      </c>
      <c r="B1612" s="3" t="s">
        <v>3274</v>
      </c>
    </row>
    <row r="1613">
      <c r="A1613" s="3" t="s">
        <v>3275</v>
      </c>
      <c r="B1613" s="3" t="s">
        <v>3276</v>
      </c>
    </row>
    <row r="1614">
      <c r="A1614" s="3" t="s">
        <v>3277</v>
      </c>
      <c r="B1614" s="3" t="s">
        <v>3278</v>
      </c>
    </row>
    <row r="1615">
      <c r="A1615" s="3" t="s">
        <v>3279</v>
      </c>
      <c r="B1615" s="3" t="s">
        <v>3280</v>
      </c>
    </row>
    <row r="1616">
      <c r="A1616" s="3" t="s">
        <v>3281</v>
      </c>
      <c r="B1616" s="3" t="s">
        <v>3282</v>
      </c>
    </row>
    <row r="1617">
      <c r="A1617" s="3" t="s">
        <v>3283</v>
      </c>
      <c r="B1617" s="3" t="s">
        <v>3284</v>
      </c>
    </row>
    <row r="1618">
      <c r="A1618" s="3" t="s">
        <v>3285</v>
      </c>
      <c r="B1618" s="3" t="s">
        <v>3286</v>
      </c>
    </row>
    <row r="1619">
      <c r="A1619" s="3" t="s">
        <v>3287</v>
      </c>
      <c r="B1619" s="3" t="s">
        <v>3288</v>
      </c>
    </row>
    <row r="1620">
      <c r="A1620" s="3" t="s">
        <v>3289</v>
      </c>
      <c r="B1620" s="3" t="s">
        <v>3290</v>
      </c>
    </row>
    <row r="1621">
      <c r="A1621" s="3" t="s">
        <v>3291</v>
      </c>
      <c r="B1621" s="3" t="s">
        <v>3292</v>
      </c>
    </row>
    <row r="1622">
      <c r="A1622" s="3" t="s">
        <v>3293</v>
      </c>
      <c r="B1622" s="3" t="s">
        <v>3294</v>
      </c>
    </row>
    <row r="1623">
      <c r="A1623" s="3" t="s">
        <v>3295</v>
      </c>
      <c r="B1623" s="3" t="s">
        <v>3296</v>
      </c>
    </row>
    <row r="1624">
      <c r="A1624" s="3" t="s">
        <v>3297</v>
      </c>
      <c r="B1624" s="3" t="s">
        <v>3298</v>
      </c>
    </row>
    <row r="1625">
      <c r="A1625" s="3" t="s">
        <v>3299</v>
      </c>
      <c r="B1625" s="3" t="s">
        <v>3300</v>
      </c>
    </row>
    <row r="1626">
      <c r="A1626" s="3" t="s">
        <v>3301</v>
      </c>
      <c r="B1626" s="3" t="s">
        <v>3302</v>
      </c>
    </row>
    <row r="1627">
      <c r="A1627" s="3" t="s">
        <v>3303</v>
      </c>
      <c r="B1627" s="3" t="s">
        <v>3304</v>
      </c>
    </row>
    <row r="1628">
      <c r="A1628" s="3" t="s">
        <v>3305</v>
      </c>
      <c r="B1628" s="3" t="s">
        <v>3306</v>
      </c>
    </row>
    <row r="1629">
      <c r="A1629" s="3" t="s">
        <v>3307</v>
      </c>
      <c r="B1629" s="3" t="s">
        <v>3308</v>
      </c>
    </row>
    <row r="1630">
      <c r="A1630" s="3" t="s">
        <v>3309</v>
      </c>
      <c r="B1630" s="3" t="s">
        <v>3310</v>
      </c>
    </row>
    <row r="1631">
      <c r="A1631" s="3" t="s">
        <v>3311</v>
      </c>
      <c r="B1631" s="3" t="s">
        <v>3312</v>
      </c>
    </row>
    <row r="1632">
      <c r="A1632" s="3" t="s">
        <v>3313</v>
      </c>
      <c r="B1632" s="3" t="s">
        <v>3314</v>
      </c>
    </row>
    <row r="1633">
      <c r="A1633" s="3" t="s">
        <v>3315</v>
      </c>
      <c r="B1633" s="3" t="s">
        <v>3316</v>
      </c>
    </row>
    <row r="1634">
      <c r="A1634" s="3" t="s">
        <v>3317</v>
      </c>
      <c r="B1634" s="3" t="s">
        <v>3318</v>
      </c>
    </row>
    <row r="1635">
      <c r="A1635" s="3" t="s">
        <v>3319</v>
      </c>
      <c r="B1635" s="3" t="s">
        <v>3320</v>
      </c>
    </row>
    <row r="1636">
      <c r="A1636" s="3" t="s">
        <v>3321</v>
      </c>
      <c r="B1636" s="3" t="s">
        <v>3322</v>
      </c>
    </row>
    <row r="1637">
      <c r="A1637" s="3" t="s">
        <v>3323</v>
      </c>
      <c r="B1637" s="3" t="s">
        <v>3324</v>
      </c>
    </row>
    <row r="1638">
      <c r="A1638" s="3" t="s">
        <v>3325</v>
      </c>
      <c r="B1638" s="3" t="s">
        <v>3326</v>
      </c>
    </row>
    <row r="1639">
      <c r="A1639" s="3" t="s">
        <v>3327</v>
      </c>
      <c r="B1639" s="3" t="s">
        <v>3328</v>
      </c>
    </row>
    <row r="1640">
      <c r="A1640" s="3" t="s">
        <v>3329</v>
      </c>
      <c r="B1640" s="3" t="s">
        <v>3330</v>
      </c>
    </row>
    <row r="1641">
      <c r="A1641" s="3" t="s">
        <v>3331</v>
      </c>
      <c r="B1641" s="3" t="s">
        <v>3332</v>
      </c>
    </row>
    <row r="1642">
      <c r="A1642" s="3" t="s">
        <v>3333</v>
      </c>
      <c r="B1642" s="3" t="s">
        <v>3334</v>
      </c>
    </row>
    <row r="1643">
      <c r="A1643" s="3" t="s">
        <v>3335</v>
      </c>
      <c r="B1643" s="3" t="s">
        <v>3336</v>
      </c>
    </row>
    <row r="1644">
      <c r="A1644" s="3" t="s">
        <v>3337</v>
      </c>
      <c r="B1644" s="3" t="s">
        <v>3338</v>
      </c>
    </row>
    <row r="1645">
      <c r="A1645" s="3" t="s">
        <v>3339</v>
      </c>
      <c r="B1645" s="3" t="s">
        <v>3340</v>
      </c>
    </row>
    <row r="1646">
      <c r="A1646" s="3" t="s">
        <v>3341</v>
      </c>
      <c r="B1646" s="3" t="s">
        <v>3342</v>
      </c>
    </row>
    <row r="1647">
      <c r="A1647" s="3" t="s">
        <v>3343</v>
      </c>
      <c r="B1647" s="3" t="s">
        <v>3344</v>
      </c>
    </row>
    <row r="1648">
      <c r="A1648" s="3" t="s">
        <v>3345</v>
      </c>
      <c r="B1648" s="3" t="s">
        <v>3346</v>
      </c>
    </row>
    <row r="1649">
      <c r="A1649" s="3" t="s">
        <v>3347</v>
      </c>
      <c r="B1649" s="3" t="s">
        <v>3348</v>
      </c>
    </row>
    <row r="1650">
      <c r="A1650" s="3" t="s">
        <v>3349</v>
      </c>
      <c r="B1650" s="3" t="s">
        <v>3350</v>
      </c>
    </row>
    <row r="1651">
      <c r="A1651" s="3" t="s">
        <v>3351</v>
      </c>
      <c r="B1651" s="3" t="s">
        <v>3352</v>
      </c>
    </row>
    <row r="1652">
      <c r="A1652" s="3" t="s">
        <v>3353</v>
      </c>
      <c r="B1652" s="3" t="s">
        <v>3354</v>
      </c>
    </row>
    <row r="1653">
      <c r="A1653" s="3" t="s">
        <v>3355</v>
      </c>
      <c r="B1653" s="3" t="s">
        <v>3356</v>
      </c>
    </row>
    <row r="1654">
      <c r="A1654" s="3" t="s">
        <v>3357</v>
      </c>
      <c r="B1654" s="3" t="s">
        <v>3358</v>
      </c>
    </row>
    <row r="1655">
      <c r="A1655" s="3" t="s">
        <v>3359</v>
      </c>
      <c r="B1655" s="3" t="s">
        <v>3360</v>
      </c>
    </row>
    <row r="1656">
      <c r="A1656" s="3" t="s">
        <v>3361</v>
      </c>
      <c r="B1656" s="3" t="s">
        <v>3362</v>
      </c>
    </row>
    <row r="1657">
      <c r="A1657" s="3" t="s">
        <v>3363</v>
      </c>
      <c r="B1657" s="3" t="s">
        <v>3364</v>
      </c>
    </row>
    <row r="1658">
      <c r="A1658" s="3" t="s">
        <v>3365</v>
      </c>
      <c r="B1658" s="3" t="s">
        <v>3366</v>
      </c>
    </row>
    <row r="1659">
      <c r="A1659" s="3" t="s">
        <v>3367</v>
      </c>
      <c r="B1659" s="3" t="s">
        <v>3368</v>
      </c>
    </row>
    <row r="1660">
      <c r="A1660" s="3" t="s">
        <v>3369</v>
      </c>
      <c r="B1660" s="3" t="s">
        <v>3370</v>
      </c>
    </row>
    <row r="1661">
      <c r="A1661" s="3" t="s">
        <v>3371</v>
      </c>
      <c r="B1661" s="3" t="s">
        <v>3372</v>
      </c>
    </row>
    <row r="1662">
      <c r="A1662" s="3" t="s">
        <v>3373</v>
      </c>
      <c r="B1662" s="3" t="s">
        <v>3374</v>
      </c>
    </row>
    <row r="1663">
      <c r="A1663" s="3" t="s">
        <v>3375</v>
      </c>
      <c r="B1663" s="3" t="s">
        <v>3376</v>
      </c>
    </row>
    <row r="1664">
      <c r="A1664" s="3" t="s">
        <v>3377</v>
      </c>
      <c r="B1664" s="3" t="s">
        <v>3378</v>
      </c>
    </row>
    <row r="1665">
      <c r="A1665" s="3" t="s">
        <v>3379</v>
      </c>
      <c r="B1665" s="3" t="s">
        <v>3380</v>
      </c>
    </row>
    <row r="1666">
      <c r="A1666" s="3" t="s">
        <v>3381</v>
      </c>
      <c r="B1666" s="3" t="s">
        <v>3382</v>
      </c>
    </row>
    <row r="1667">
      <c r="A1667" s="3" t="s">
        <v>3383</v>
      </c>
      <c r="B1667" s="3" t="s">
        <v>3384</v>
      </c>
    </row>
    <row r="1668">
      <c r="A1668" s="3" t="s">
        <v>3385</v>
      </c>
      <c r="B1668" s="3" t="s">
        <v>3386</v>
      </c>
    </row>
    <row r="1669">
      <c r="A1669" s="3" t="s">
        <v>3387</v>
      </c>
      <c r="B1669" s="3" t="s">
        <v>3388</v>
      </c>
    </row>
    <row r="1670">
      <c r="A1670" s="3" t="s">
        <v>3389</v>
      </c>
      <c r="B1670" s="3" t="s">
        <v>3390</v>
      </c>
    </row>
    <row r="1671">
      <c r="A1671" s="3" t="s">
        <v>3391</v>
      </c>
      <c r="B1671" s="3" t="s">
        <v>3392</v>
      </c>
    </row>
    <row r="1672">
      <c r="A1672" s="3" t="s">
        <v>3393</v>
      </c>
      <c r="B1672" s="3" t="s">
        <v>3394</v>
      </c>
    </row>
    <row r="1673">
      <c r="A1673" s="3" t="s">
        <v>3395</v>
      </c>
      <c r="B1673" s="3" t="s">
        <v>3396</v>
      </c>
    </row>
    <row r="1674">
      <c r="A1674" s="3" t="s">
        <v>3397</v>
      </c>
      <c r="B1674" s="3" t="s">
        <v>3398</v>
      </c>
    </row>
    <row r="1675">
      <c r="A1675" s="3" t="s">
        <v>3399</v>
      </c>
      <c r="B1675" s="3" t="s">
        <v>3400</v>
      </c>
    </row>
    <row r="1676">
      <c r="A1676" s="3" t="s">
        <v>3401</v>
      </c>
      <c r="B1676" s="3" t="s">
        <v>3402</v>
      </c>
    </row>
    <row r="1677">
      <c r="A1677" s="3" t="s">
        <v>3403</v>
      </c>
      <c r="B1677" s="3" t="s">
        <v>3404</v>
      </c>
    </row>
    <row r="1678">
      <c r="A1678" s="3" t="s">
        <v>3405</v>
      </c>
      <c r="B1678" s="3" t="s">
        <v>3406</v>
      </c>
    </row>
    <row r="1679">
      <c r="A1679" s="3" t="s">
        <v>3407</v>
      </c>
      <c r="B1679" s="3" t="s">
        <v>3408</v>
      </c>
    </row>
    <row r="1680">
      <c r="A1680" s="3" t="s">
        <v>3409</v>
      </c>
      <c r="B1680" s="3" t="s">
        <v>3410</v>
      </c>
    </row>
    <row r="1681">
      <c r="A1681" s="3" t="s">
        <v>3411</v>
      </c>
      <c r="B1681" s="3" t="s">
        <v>3412</v>
      </c>
    </row>
    <row r="1682">
      <c r="A1682" s="3" t="s">
        <v>3413</v>
      </c>
      <c r="B1682" s="3" t="s">
        <v>3414</v>
      </c>
    </row>
    <row r="1683">
      <c r="A1683" s="3" t="s">
        <v>3415</v>
      </c>
      <c r="B1683" s="3" t="s">
        <v>3416</v>
      </c>
    </row>
    <row r="1684">
      <c r="A1684" s="3" t="s">
        <v>3417</v>
      </c>
      <c r="B1684" s="3" t="s">
        <v>3418</v>
      </c>
    </row>
    <row r="1685">
      <c r="A1685" s="3" t="s">
        <v>3419</v>
      </c>
      <c r="B1685" s="3" t="s">
        <v>3420</v>
      </c>
    </row>
    <row r="1686">
      <c r="A1686" s="3" t="s">
        <v>3421</v>
      </c>
      <c r="B1686" s="3" t="s">
        <v>3422</v>
      </c>
    </row>
    <row r="1687">
      <c r="A1687" s="3" t="s">
        <v>3423</v>
      </c>
      <c r="B1687" s="3" t="s">
        <v>3424</v>
      </c>
    </row>
    <row r="1688">
      <c r="A1688" s="3" t="s">
        <v>3425</v>
      </c>
      <c r="B1688" s="3" t="s">
        <v>3426</v>
      </c>
    </row>
    <row r="1689">
      <c r="A1689" s="3" t="s">
        <v>3427</v>
      </c>
      <c r="B1689" s="3" t="s">
        <v>3428</v>
      </c>
    </row>
    <row r="1690">
      <c r="A1690" s="3" t="s">
        <v>3429</v>
      </c>
      <c r="B1690" s="3" t="s">
        <v>3430</v>
      </c>
    </row>
    <row r="1691">
      <c r="A1691" s="3" t="s">
        <v>3431</v>
      </c>
      <c r="B1691" s="3" t="s">
        <v>3432</v>
      </c>
    </row>
    <row r="1692">
      <c r="A1692" s="3" t="s">
        <v>3433</v>
      </c>
      <c r="B1692" s="3" t="s">
        <v>3434</v>
      </c>
    </row>
    <row r="1693">
      <c r="A1693" s="3" t="s">
        <v>3435</v>
      </c>
      <c r="B1693" s="3" t="s">
        <v>3436</v>
      </c>
    </row>
    <row r="1694">
      <c r="A1694" s="3" t="s">
        <v>3437</v>
      </c>
      <c r="B1694" s="3" t="s">
        <v>3438</v>
      </c>
    </row>
    <row r="1695">
      <c r="A1695" s="3" t="s">
        <v>3439</v>
      </c>
      <c r="B1695" s="3" t="s">
        <v>3440</v>
      </c>
    </row>
    <row r="1696">
      <c r="A1696" s="3" t="s">
        <v>3441</v>
      </c>
      <c r="B1696" s="3" t="s">
        <v>3442</v>
      </c>
    </row>
    <row r="1697">
      <c r="A1697" s="3" t="s">
        <v>3443</v>
      </c>
      <c r="B1697" s="3" t="s">
        <v>3444</v>
      </c>
    </row>
    <row r="1698">
      <c r="A1698" s="3" t="s">
        <v>3445</v>
      </c>
      <c r="B1698" s="3" t="s">
        <v>3446</v>
      </c>
    </row>
    <row r="1699">
      <c r="A1699" s="3" t="s">
        <v>3447</v>
      </c>
      <c r="B1699" s="3" t="s">
        <v>3448</v>
      </c>
    </row>
    <row r="1700">
      <c r="A1700" s="3" t="s">
        <v>3449</v>
      </c>
      <c r="B1700" s="3" t="s">
        <v>3450</v>
      </c>
    </row>
    <row r="1701">
      <c r="A1701" s="3" t="s">
        <v>3451</v>
      </c>
      <c r="B1701" s="3" t="s">
        <v>3452</v>
      </c>
    </row>
    <row r="1702">
      <c r="A1702" s="3" t="s">
        <v>3453</v>
      </c>
      <c r="B1702" s="3" t="s">
        <v>3454</v>
      </c>
    </row>
    <row r="1703">
      <c r="A1703" s="3" t="s">
        <v>3455</v>
      </c>
      <c r="B1703" s="3" t="s">
        <v>3456</v>
      </c>
    </row>
    <row r="1704">
      <c r="A1704" s="3" t="s">
        <v>3457</v>
      </c>
      <c r="B1704" s="3" t="s">
        <v>3458</v>
      </c>
    </row>
    <row r="1705">
      <c r="A1705" s="3" t="s">
        <v>3459</v>
      </c>
      <c r="B1705" s="3" t="s">
        <v>3460</v>
      </c>
    </row>
    <row r="1706">
      <c r="A1706" s="3" t="s">
        <v>3461</v>
      </c>
      <c r="B1706" s="3" t="s">
        <v>3462</v>
      </c>
    </row>
    <row r="1707">
      <c r="A1707" s="3" t="s">
        <v>3463</v>
      </c>
      <c r="B1707" s="3" t="s">
        <v>3464</v>
      </c>
    </row>
    <row r="1708">
      <c r="A1708" s="3" t="s">
        <v>3465</v>
      </c>
      <c r="B1708" s="3" t="s">
        <v>3466</v>
      </c>
    </row>
    <row r="1709">
      <c r="A1709" s="3" t="s">
        <v>3467</v>
      </c>
      <c r="B1709" s="3" t="s">
        <v>3468</v>
      </c>
    </row>
    <row r="1710">
      <c r="A1710" s="3" t="s">
        <v>3469</v>
      </c>
      <c r="B1710" s="3" t="s">
        <v>3470</v>
      </c>
    </row>
    <row r="1711">
      <c r="A1711" s="3" t="s">
        <v>3471</v>
      </c>
      <c r="B1711" s="3" t="s">
        <v>3472</v>
      </c>
    </row>
    <row r="1712">
      <c r="A1712" s="3" t="s">
        <v>3473</v>
      </c>
      <c r="B1712" s="3" t="s">
        <v>3474</v>
      </c>
    </row>
    <row r="1713">
      <c r="A1713" s="3" t="s">
        <v>3475</v>
      </c>
      <c r="B1713" s="3" t="s">
        <v>3476</v>
      </c>
    </row>
    <row r="1714">
      <c r="A1714" s="3" t="s">
        <v>3477</v>
      </c>
      <c r="B1714" s="3" t="s">
        <v>3478</v>
      </c>
    </row>
    <row r="1715">
      <c r="A1715" s="3" t="s">
        <v>3479</v>
      </c>
      <c r="B1715" s="3" t="s">
        <v>3480</v>
      </c>
    </row>
    <row r="1716">
      <c r="A1716" s="3" t="s">
        <v>3481</v>
      </c>
      <c r="B1716" s="3" t="s">
        <v>3482</v>
      </c>
    </row>
    <row r="1717">
      <c r="A1717" s="3" t="s">
        <v>3483</v>
      </c>
      <c r="B1717" s="3" t="s">
        <v>3484</v>
      </c>
    </row>
    <row r="1718">
      <c r="A1718" s="3" t="s">
        <v>3485</v>
      </c>
      <c r="B1718" s="3" t="s">
        <v>3486</v>
      </c>
    </row>
    <row r="1719">
      <c r="A1719" s="3" t="s">
        <v>3487</v>
      </c>
      <c r="B1719" s="3" t="s">
        <v>3488</v>
      </c>
    </row>
    <row r="1720">
      <c r="A1720" s="3" t="s">
        <v>3489</v>
      </c>
      <c r="B1720" s="3" t="s">
        <v>3490</v>
      </c>
    </row>
    <row r="1721">
      <c r="A1721" s="3" t="s">
        <v>3491</v>
      </c>
      <c r="B1721" s="3" t="s">
        <v>3492</v>
      </c>
    </row>
    <row r="1722">
      <c r="A1722" s="3" t="s">
        <v>3493</v>
      </c>
      <c r="B1722" s="3" t="s">
        <v>3494</v>
      </c>
    </row>
    <row r="1723">
      <c r="A1723" s="3" t="s">
        <v>3495</v>
      </c>
      <c r="B1723" s="3" t="s">
        <v>3496</v>
      </c>
    </row>
    <row r="1724">
      <c r="A1724" s="3" t="s">
        <v>3497</v>
      </c>
      <c r="B1724" s="3" t="s">
        <v>3498</v>
      </c>
    </row>
    <row r="1725">
      <c r="A1725" s="3" t="s">
        <v>3499</v>
      </c>
      <c r="B1725" s="3" t="s">
        <v>3500</v>
      </c>
    </row>
    <row r="1726">
      <c r="A1726" s="3" t="s">
        <v>3501</v>
      </c>
      <c r="B1726" s="3" t="s">
        <v>3502</v>
      </c>
    </row>
    <row r="1727">
      <c r="A1727" s="3" t="s">
        <v>3503</v>
      </c>
      <c r="B1727" s="3" t="s">
        <v>3504</v>
      </c>
    </row>
    <row r="1728">
      <c r="A1728" s="3" t="s">
        <v>3505</v>
      </c>
      <c r="B1728" s="3" t="s">
        <v>3506</v>
      </c>
    </row>
    <row r="1729">
      <c r="A1729" s="3" t="s">
        <v>3507</v>
      </c>
      <c r="B1729" s="3" t="s">
        <v>3508</v>
      </c>
    </row>
    <row r="1730">
      <c r="A1730" s="3" t="s">
        <v>3509</v>
      </c>
      <c r="B1730" s="3" t="s">
        <v>3510</v>
      </c>
    </row>
    <row r="1731">
      <c r="A1731" s="3" t="s">
        <v>3511</v>
      </c>
      <c r="B1731" s="3" t="s">
        <v>3512</v>
      </c>
    </row>
    <row r="1732">
      <c r="A1732" s="3" t="s">
        <v>3513</v>
      </c>
      <c r="B1732" s="3" t="s">
        <v>3514</v>
      </c>
    </row>
    <row r="1733">
      <c r="A1733" s="3" t="s">
        <v>3515</v>
      </c>
      <c r="B1733" s="3" t="s">
        <v>3516</v>
      </c>
    </row>
    <row r="1734">
      <c r="A1734" s="3" t="s">
        <v>3517</v>
      </c>
      <c r="B1734" s="3" t="s">
        <v>3518</v>
      </c>
    </row>
    <row r="1735">
      <c r="A1735" s="3" t="s">
        <v>3519</v>
      </c>
      <c r="B1735" s="3" t="s">
        <v>3520</v>
      </c>
    </row>
    <row r="1736">
      <c r="A1736" s="3" t="s">
        <v>3521</v>
      </c>
      <c r="B1736" s="3" t="s">
        <v>3522</v>
      </c>
    </row>
    <row r="1737">
      <c r="A1737" s="3" t="s">
        <v>3523</v>
      </c>
      <c r="B1737" s="3" t="s">
        <v>3524</v>
      </c>
    </row>
    <row r="1738">
      <c r="A1738" s="3" t="s">
        <v>3525</v>
      </c>
      <c r="B1738" s="3" t="s">
        <v>3526</v>
      </c>
    </row>
    <row r="1739">
      <c r="A1739" s="3" t="s">
        <v>3527</v>
      </c>
      <c r="B1739" s="3" t="s">
        <v>3528</v>
      </c>
    </row>
    <row r="1740">
      <c r="A1740" s="3" t="s">
        <v>3529</v>
      </c>
      <c r="B1740" s="3" t="s">
        <v>3530</v>
      </c>
    </row>
    <row r="1741">
      <c r="A1741" s="3" t="s">
        <v>3531</v>
      </c>
      <c r="B1741" s="3" t="s">
        <v>3532</v>
      </c>
    </row>
    <row r="1742">
      <c r="A1742" s="3" t="s">
        <v>3533</v>
      </c>
      <c r="B1742" s="3" t="s">
        <v>3534</v>
      </c>
    </row>
    <row r="1743">
      <c r="A1743" s="3" t="s">
        <v>3535</v>
      </c>
      <c r="B1743" s="3" t="s">
        <v>3536</v>
      </c>
    </row>
    <row r="1744">
      <c r="A1744" s="3" t="s">
        <v>3537</v>
      </c>
      <c r="B1744" s="3" t="s">
        <v>3538</v>
      </c>
    </row>
    <row r="1745">
      <c r="A1745" s="3" t="s">
        <v>3539</v>
      </c>
      <c r="B1745" s="3" t="s">
        <v>3540</v>
      </c>
    </row>
    <row r="1746">
      <c r="A1746" s="3" t="s">
        <v>3541</v>
      </c>
      <c r="B1746" s="3" t="s">
        <v>3542</v>
      </c>
    </row>
    <row r="1747">
      <c r="A1747" s="3" t="s">
        <v>3543</v>
      </c>
      <c r="B1747" s="3" t="s">
        <v>3544</v>
      </c>
    </row>
    <row r="1748">
      <c r="A1748" s="3" t="s">
        <v>3545</v>
      </c>
      <c r="B1748" s="3" t="s">
        <v>3546</v>
      </c>
    </row>
    <row r="1749">
      <c r="A1749" s="3" t="s">
        <v>3547</v>
      </c>
      <c r="B1749" s="3" t="s">
        <v>3548</v>
      </c>
    </row>
    <row r="1750">
      <c r="A1750" s="3" t="s">
        <v>3549</v>
      </c>
      <c r="B1750" s="3" t="s">
        <v>3550</v>
      </c>
    </row>
    <row r="1751">
      <c r="A1751" s="3" t="s">
        <v>3551</v>
      </c>
      <c r="B1751" s="3" t="s">
        <v>3552</v>
      </c>
    </row>
    <row r="1752">
      <c r="A1752" s="3" t="s">
        <v>3553</v>
      </c>
      <c r="B1752" s="3" t="s">
        <v>3554</v>
      </c>
    </row>
    <row r="1753">
      <c r="A1753" s="3" t="s">
        <v>3555</v>
      </c>
      <c r="B1753" s="3" t="s">
        <v>3556</v>
      </c>
    </row>
    <row r="1754">
      <c r="A1754" s="3" t="s">
        <v>3557</v>
      </c>
      <c r="B1754" s="3" t="s">
        <v>3558</v>
      </c>
    </row>
    <row r="1755">
      <c r="A1755" s="3" t="s">
        <v>3559</v>
      </c>
      <c r="B1755" s="3" t="s">
        <v>3560</v>
      </c>
    </row>
    <row r="1756">
      <c r="A1756" s="3" t="s">
        <v>3561</v>
      </c>
      <c r="B1756" s="3" t="s">
        <v>3562</v>
      </c>
    </row>
    <row r="1757">
      <c r="A1757" s="3" t="s">
        <v>3563</v>
      </c>
      <c r="B1757" s="3" t="s">
        <v>3564</v>
      </c>
    </row>
    <row r="1758">
      <c r="A1758" s="3" t="s">
        <v>3565</v>
      </c>
      <c r="B1758" s="3" t="s">
        <v>3566</v>
      </c>
    </row>
    <row r="1759">
      <c r="A1759" s="3" t="s">
        <v>3567</v>
      </c>
      <c r="B1759" s="3" t="s">
        <v>3568</v>
      </c>
    </row>
    <row r="1760">
      <c r="A1760" s="3" t="s">
        <v>3569</v>
      </c>
      <c r="B1760" s="3" t="s">
        <v>3570</v>
      </c>
    </row>
    <row r="1761">
      <c r="A1761" s="3" t="s">
        <v>3571</v>
      </c>
      <c r="B1761" s="3" t="s">
        <v>3572</v>
      </c>
    </row>
    <row r="1762">
      <c r="A1762" s="3" t="s">
        <v>3573</v>
      </c>
      <c r="B1762" s="3" t="s">
        <v>3574</v>
      </c>
    </row>
    <row r="1763">
      <c r="A1763" s="3" t="s">
        <v>3575</v>
      </c>
      <c r="B1763" s="3" t="s">
        <v>3576</v>
      </c>
    </row>
    <row r="1764">
      <c r="A1764" s="3" t="s">
        <v>3577</v>
      </c>
      <c r="B1764" s="3" t="s">
        <v>3578</v>
      </c>
    </row>
    <row r="1765">
      <c r="A1765" s="3" t="s">
        <v>3579</v>
      </c>
      <c r="B1765" s="3" t="s">
        <v>3580</v>
      </c>
    </row>
    <row r="1766">
      <c r="A1766" s="3" t="s">
        <v>3581</v>
      </c>
      <c r="B1766" s="3" t="s">
        <v>3582</v>
      </c>
    </row>
    <row r="1767">
      <c r="A1767" s="3" t="s">
        <v>3583</v>
      </c>
      <c r="B1767" s="3" t="s">
        <v>3584</v>
      </c>
    </row>
    <row r="1768">
      <c r="A1768" s="3" t="s">
        <v>3585</v>
      </c>
      <c r="B1768" s="3" t="s">
        <v>3586</v>
      </c>
    </row>
    <row r="1769">
      <c r="A1769" s="3" t="s">
        <v>3587</v>
      </c>
      <c r="B1769" s="3" t="s">
        <v>3588</v>
      </c>
    </row>
    <row r="1770">
      <c r="A1770" s="3" t="s">
        <v>3589</v>
      </c>
      <c r="B1770" s="3" t="s">
        <v>3590</v>
      </c>
    </row>
    <row r="1771">
      <c r="A1771" s="3" t="s">
        <v>3591</v>
      </c>
      <c r="B1771" s="3" t="s">
        <v>3592</v>
      </c>
    </row>
    <row r="1772">
      <c r="A1772" s="3" t="s">
        <v>3593</v>
      </c>
      <c r="B1772" s="3" t="s">
        <v>3594</v>
      </c>
    </row>
    <row r="1773">
      <c r="A1773" s="3" t="s">
        <v>3595</v>
      </c>
      <c r="B1773" s="3" t="s">
        <v>3596</v>
      </c>
    </row>
    <row r="1774">
      <c r="A1774" s="3" t="s">
        <v>3597</v>
      </c>
      <c r="B1774" s="3" t="s">
        <v>3598</v>
      </c>
    </row>
    <row r="1775">
      <c r="A1775" s="3" t="s">
        <v>3599</v>
      </c>
      <c r="B1775" s="3" t="s">
        <v>3600</v>
      </c>
    </row>
    <row r="1776">
      <c r="A1776" s="3" t="s">
        <v>3601</v>
      </c>
      <c r="B1776" s="3" t="s">
        <v>3602</v>
      </c>
    </row>
    <row r="1777">
      <c r="A1777" s="3" t="s">
        <v>3603</v>
      </c>
      <c r="B1777" s="3" t="s">
        <v>3604</v>
      </c>
    </row>
    <row r="1778">
      <c r="A1778" s="3" t="s">
        <v>3605</v>
      </c>
      <c r="B1778" s="3" t="s">
        <v>3606</v>
      </c>
    </row>
    <row r="1779">
      <c r="A1779" s="3" t="s">
        <v>3607</v>
      </c>
      <c r="B1779" s="3" t="s">
        <v>3608</v>
      </c>
    </row>
    <row r="1780">
      <c r="A1780" s="3" t="s">
        <v>3609</v>
      </c>
      <c r="B1780" s="3" t="s">
        <v>3610</v>
      </c>
    </row>
    <row r="1781">
      <c r="A1781" s="3" t="s">
        <v>3611</v>
      </c>
      <c r="B1781" s="3" t="s">
        <v>3612</v>
      </c>
    </row>
    <row r="1782">
      <c r="A1782" s="3" t="s">
        <v>3613</v>
      </c>
      <c r="B1782" s="3" t="s">
        <v>3614</v>
      </c>
    </row>
    <row r="1783">
      <c r="A1783" s="3" t="s">
        <v>3615</v>
      </c>
      <c r="B1783" s="3" t="s">
        <v>3616</v>
      </c>
    </row>
    <row r="1784">
      <c r="A1784" s="3" t="s">
        <v>3617</v>
      </c>
      <c r="B1784" s="3" t="s">
        <v>3618</v>
      </c>
    </row>
    <row r="1785">
      <c r="A1785" s="3" t="s">
        <v>3619</v>
      </c>
      <c r="B1785" s="3" t="s">
        <v>3620</v>
      </c>
    </row>
    <row r="1786">
      <c r="A1786" s="3" t="s">
        <v>3621</v>
      </c>
      <c r="B1786" s="3" t="s">
        <v>3622</v>
      </c>
    </row>
    <row r="1787">
      <c r="A1787" s="3" t="s">
        <v>3623</v>
      </c>
      <c r="B1787" s="3" t="s">
        <v>3624</v>
      </c>
    </row>
    <row r="1788">
      <c r="A1788" s="3" t="s">
        <v>3625</v>
      </c>
      <c r="B1788" s="3" t="s">
        <v>3626</v>
      </c>
    </row>
    <row r="1789">
      <c r="A1789" s="3" t="s">
        <v>3627</v>
      </c>
      <c r="B1789" s="3" t="s">
        <v>3628</v>
      </c>
    </row>
    <row r="1790">
      <c r="A1790" s="3" t="s">
        <v>3629</v>
      </c>
      <c r="B1790" s="3" t="s">
        <v>3630</v>
      </c>
    </row>
    <row r="1791">
      <c r="A1791" s="3" t="s">
        <v>3631</v>
      </c>
      <c r="B1791" s="3" t="s">
        <v>3632</v>
      </c>
    </row>
    <row r="1792">
      <c r="A1792" s="3" t="s">
        <v>3633</v>
      </c>
      <c r="B1792" s="3" t="s">
        <v>3634</v>
      </c>
    </row>
    <row r="1793">
      <c r="A1793" s="3" t="s">
        <v>3635</v>
      </c>
      <c r="B1793" s="3" t="s">
        <v>3636</v>
      </c>
    </row>
    <row r="1794">
      <c r="A1794" s="3" t="s">
        <v>3637</v>
      </c>
      <c r="B1794" s="3" t="s">
        <v>3638</v>
      </c>
    </row>
    <row r="1795">
      <c r="A1795" s="3" t="s">
        <v>3639</v>
      </c>
      <c r="B1795" s="3" t="s">
        <v>3640</v>
      </c>
    </row>
    <row r="1796">
      <c r="A1796" s="3" t="s">
        <v>3641</v>
      </c>
      <c r="B1796" s="3" t="s">
        <v>3642</v>
      </c>
    </row>
    <row r="1797">
      <c r="A1797" s="3" t="s">
        <v>3643</v>
      </c>
      <c r="B1797" s="3" t="s">
        <v>3644</v>
      </c>
    </row>
    <row r="1798">
      <c r="A1798" s="3" t="s">
        <v>3645</v>
      </c>
      <c r="B1798" s="3" t="s">
        <v>3646</v>
      </c>
    </row>
    <row r="1799">
      <c r="A1799" s="3" t="s">
        <v>3647</v>
      </c>
      <c r="B1799" s="3" t="s">
        <v>3648</v>
      </c>
    </row>
    <row r="1800">
      <c r="A1800" s="3" t="s">
        <v>3649</v>
      </c>
      <c r="B1800" s="3" t="s">
        <v>3650</v>
      </c>
    </row>
    <row r="1801">
      <c r="A1801" s="3" t="s">
        <v>3651</v>
      </c>
      <c r="B1801" s="3" t="s">
        <v>3652</v>
      </c>
    </row>
    <row r="1802">
      <c r="A1802" s="3" t="s">
        <v>3653</v>
      </c>
      <c r="B1802" s="3" t="s">
        <v>3654</v>
      </c>
    </row>
    <row r="1803">
      <c r="A1803" s="3" t="s">
        <v>3655</v>
      </c>
      <c r="B1803" s="3" t="s">
        <v>3656</v>
      </c>
    </row>
    <row r="1804">
      <c r="A1804" s="3" t="s">
        <v>3657</v>
      </c>
      <c r="B1804" s="3" t="s">
        <v>3658</v>
      </c>
    </row>
    <row r="1805">
      <c r="A1805" s="3" t="s">
        <v>3659</v>
      </c>
      <c r="B1805" s="3" t="s">
        <v>3660</v>
      </c>
    </row>
    <row r="1806">
      <c r="A1806" s="3" t="s">
        <v>3661</v>
      </c>
      <c r="B1806" s="3" t="s">
        <v>3662</v>
      </c>
    </row>
    <row r="1807">
      <c r="A1807" s="3" t="s">
        <v>3663</v>
      </c>
      <c r="B1807" s="3" t="s">
        <v>3664</v>
      </c>
    </row>
    <row r="1808">
      <c r="A1808" s="3" t="s">
        <v>3665</v>
      </c>
      <c r="B1808" s="3" t="s">
        <v>3666</v>
      </c>
    </row>
    <row r="1809">
      <c r="A1809" s="3" t="s">
        <v>3667</v>
      </c>
      <c r="B1809" s="3" t="s">
        <v>3668</v>
      </c>
    </row>
    <row r="1810">
      <c r="A1810" s="3" t="s">
        <v>3669</v>
      </c>
      <c r="B1810" s="3" t="s">
        <v>3670</v>
      </c>
    </row>
    <row r="1811">
      <c r="A1811" s="3" t="s">
        <v>3671</v>
      </c>
      <c r="B1811" s="3" t="s">
        <v>3672</v>
      </c>
    </row>
    <row r="1812">
      <c r="A1812" s="3" t="s">
        <v>3673</v>
      </c>
      <c r="B1812" s="3" t="s">
        <v>3674</v>
      </c>
    </row>
    <row r="1813">
      <c r="A1813" s="3" t="s">
        <v>3675</v>
      </c>
      <c r="B1813" s="3" t="s">
        <v>3676</v>
      </c>
    </row>
    <row r="1814">
      <c r="A1814" s="3" t="s">
        <v>3677</v>
      </c>
      <c r="B1814" s="3" t="s">
        <v>3678</v>
      </c>
    </row>
    <row r="1815">
      <c r="A1815" s="3" t="s">
        <v>3679</v>
      </c>
      <c r="B1815" s="3" t="s">
        <v>3680</v>
      </c>
    </row>
    <row r="1816">
      <c r="A1816" s="3" t="s">
        <v>3681</v>
      </c>
      <c r="B1816" s="3" t="s">
        <v>3682</v>
      </c>
    </row>
    <row r="1817">
      <c r="A1817" s="3" t="s">
        <v>3683</v>
      </c>
      <c r="B1817" s="3" t="s">
        <v>3684</v>
      </c>
    </row>
    <row r="1818">
      <c r="A1818" s="3" t="s">
        <v>3685</v>
      </c>
      <c r="B1818" s="3" t="s">
        <v>3686</v>
      </c>
    </row>
    <row r="1819">
      <c r="A1819" s="3" t="s">
        <v>3687</v>
      </c>
      <c r="B1819" s="3" t="s">
        <v>3688</v>
      </c>
    </row>
    <row r="1820">
      <c r="A1820" s="3" t="s">
        <v>3689</v>
      </c>
      <c r="B1820" s="3" t="s">
        <v>3690</v>
      </c>
    </row>
    <row r="1821">
      <c r="A1821" s="3" t="s">
        <v>3691</v>
      </c>
      <c r="B1821" s="3" t="s">
        <v>3692</v>
      </c>
    </row>
    <row r="1822">
      <c r="A1822" s="3" t="s">
        <v>3693</v>
      </c>
      <c r="B1822" s="3" t="s">
        <v>3694</v>
      </c>
    </row>
    <row r="1823">
      <c r="A1823" s="3" t="s">
        <v>3695</v>
      </c>
      <c r="B1823" s="3" t="s">
        <v>3696</v>
      </c>
    </row>
    <row r="1824">
      <c r="A1824" s="3" t="s">
        <v>3697</v>
      </c>
      <c r="B1824" s="3" t="s">
        <v>3698</v>
      </c>
    </row>
    <row r="1825">
      <c r="A1825" s="3" t="s">
        <v>3699</v>
      </c>
      <c r="B1825" s="3" t="s">
        <v>3700</v>
      </c>
    </row>
    <row r="1826">
      <c r="A1826" s="3" t="s">
        <v>3701</v>
      </c>
      <c r="B1826" s="3" t="s">
        <v>3702</v>
      </c>
    </row>
    <row r="1827">
      <c r="A1827" s="3" t="s">
        <v>3703</v>
      </c>
      <c r="B1827" s="3" t="s">
        <v>3704</v>
      </c>
    </row>
    <row r="1828">
      <c r="A1828" s="3" t="s">
        <v>3705</v>
      </c>
      <c r="B1828" s="3" t="s">
        <v>3706</v>
      </c>
    </row>
    <row r="1829">
      <c r="A1829" s="3" t="s">
        <v>3707</v>
      </c>
      <c r="B1829" s="3" t="s">
        <v>3708</v>
      </c>
    </row>
    <row r="1830">
      <c r="A1830" s="3" t="s">
        <v>3709</v>
      </c>
      <c r="B1830" s="3" t="s">
        <v>3710</v>
      </c>
    </row>
    <row r="1831">
      <c r="A1831" s="3" t="s">
        <v>3711</v>
      </c>
      <c r="B1831" s="3" t="s">
        <v>3712</v>
      </c>
    </row>
    <row r="1832">
      <c r="A1832" s="3" t="s">
        <v>3713</v>
      </c>
      <c r="B1832" s="3" t="s">
        <v>3714</v>
      </c>
    </row>
    <row r="1833">
      <c r="A1833" s="3" t="s">
        <v>3715</v>
      </c>
      <c r="B1833" s="3" t="s">
        <v>3716</v>
      </c>
    </row>
    <row r="1834">
      <c r="A1834" s="3" t="s">
        <v>3717</v>
      </c>
      <c r="B1834" s="3" t="s">
        <v>3718</v>
      </c>
    </row>
    <row r="1835">
      <c r="A1835" s="3" t="s">
        <v>3719</v>
      </c>
      <c r="B1835" s="3" t="s">
        <v>3720</v>
      </c>
    </row>
    <row r="1836">
      <c r="A1836" s="3" t="s">
        <v>3721</v>
      </c>
      <c r="B1836" s="3" t="s">
        <v>3722</v>
      </c>
    </row>
    <row r="1837">
      <c r="A1837" s="3" t="s">
        <v>3723</v>
      </c>
      <c r="B1837" s="3" t="s">
        <v>3724</v>
      </c>
    </row>
    <row r="1838">
      <c r="A1838" s="3" t="s">
        <v>3725</v>
      </c>
      <c r="B1838" s="3" t="s">
        <v>3726</v>
      </c>
    </row>
    <row r="1839">
      <c r="A1839" s="3" t="s">
        <v>3727</v>
      </c>
      <c r="B1839" s="3" t="s">
        <v>3728</v>
      </c>
    </row>
    <row r="1840">
      <c r="A1840" s="3" t="s">
        <v>3729</v>
      </c>
      <c r="B1840" s="3" t="s">
        <v>3730</v>
      </c>
    </row>
    <row r="1841">
      <c r="A1841" s="3" t="s">
        <v>3731</v>
      </c>
      <c r="B1841" s="3" t="s">
        <v>3732</v>
      </c>
    </row>
    <row r="1842">
      <c r="A1842" s="3" t="s">
        <v>3733</v>
      </c>
      <c r="B1842" s="3" t="s">
        <v>3734</v>
      </c>
    </row>
    <row r="1843">
      <c r="A1843" s="3" t="s">
        <v>3735</v>
      </c>
      <c r="B1843" s="3" t="s">
        <v>3736</v>
      </c>
    </row>
    <row r="1844">
      <c r="A1844" s="3" t="s">
        <v>3737</v>
      </c>
      <c r="B1844" s="3" t="s">
        <v>3738</v>
      </c>
    </row>
    <row r="1845">
      <c r="A1845" s="3" t="s">
        <v>3739</v>
      </c>
      <c r="B1845" s="3" t="s">
        <v>3740</v>
      </c>
    </row>
    <row r="1846">
      <c r="A1846" s="3" t="s">
        <v>3741</v>
      </c>
      <c r="B1846" s="3" t="s">
        <v>3742</v>
      </c>
    </row>
    <row r="1847">
      <c r="A1847" s="3" t="s">
        <v>3743</v>
      </c>
      <c r="B1847" s="3" t="s">
        <v>3744</v>
      </c>
    </row>
    <row r="1848">
      <c r="A1848" s="3" t="s">
        <v>3745</v>
      </c>
      <c r="B1848" s="3" t="s">
        <v>3746</v>
      </c>
    </row>
    <row r="1849">
      <c r="A1849" s="3" t="s">
        <v>3747</v>
      </c>
      <c r="B1849" s="3" t="s">
        <v>3748</v>
      </c>
    </row>
    <row r="1850">
      <c r="A1850" s="3" t="s">
        <v>3749</v>
      </c>
      <c r="B1850" s="3" t="s">
        <v>3750</v>
      </c>
    </row>
    <row r="1851">
      <c r="A1851" s="3" t="s">
        <v>3751</v>
      </c>
      <c r="B1851" s="3" t="s">
        <v>3752</v>
      </c>
    </row>
    <row r="1852">
      <c r="A1852" s="3" t="s">
        <v>3753</v>
      </c>
      <c r="B1852" s="3" t="s">
        <v>3754</v>
      </c>
    </row>
    <row r="1853">
      <c r="A1853" s="3" t="s">
        <v>3755</v>
      </c>
      <c r="B1853" s="3" t="s">
        <v>3756</v>
      </c>
    </row>
    <row r="1854">
      <c r="A1854" s="3" t="s">
        <v>3757</v>
      </c>
      <c r="B1854" s="3" t="s">
        <v>3758</v>
      </c>
    </row>
    <row r="1855">
      <c r="A1855" s="3" t="s">
        <v>3759</v>
      </c>
      <c r="B1855" s="3" t="s">
        <v>3760</v>
      </c>
    </row>
    <row r="1856">
      <c r="A1856" s="3" t="s">
        <v>3761</v>
      </c>
      <c r="B1856" s="3" t="s">
        <v>3762</v>
      </c>
    </row>
    <row r="1857">
      <c r="A1857" s="3" t="s">
        <v>3763</v>
      </c>
      <c r="B1857" s="3" t="s">
        <v>3764</v>
      </c>
    </row>
    <row r="1858">
      <c r="A1858" s="3" t="s">
        <v>3765</v>
      </c>
      <c r="B1858" s="3" t="s">
        <v>3766</v>
      </c>
    </row>
    <row r="1859">
      <c r="A1859" s="3" t="s">
        <v>3767</v>
      </c>
      <c r="B1859" s="3" t="s">
        <v>3768</v>
      </c>
    </row>
    <row r="1860">
      <c r="A1860" s="3" t="s">
        <v>3769</v>
      </c>
      <c r="B1860" s="3" t="s">
        <v>3770</v>
      </c>
    </row>
    <row r="1861">
      <c r="A1861" s="3" t="s">
        <v>3771</v>
      </c>
      <c r="B1861" s="3" t="s">
        <v>3772</v>
      </c>
    </row>
    <row r="1862">
      <c r="A1862" s="3" t="s">
        <v>3773</v>
      </c>
      <c r="B1862" s="3" t="s">
        <v>3774</v>
      </c>
    </row>
    <row r="1863">
      <c r="A1863" s="3" t="s">
        <v>3775</v>
      </c>
      <c r="B1863" s="3" t="s">
        <v>3776</v>
      </c>
    </row>
    <row r="1864">
      <c r="A1864" s="3" t="s">
        <v>3777</v>
      </c>
      <c r="B1864" s="3" t="s">
        <v>3778</v>
      </c>
    </row>
    <row r="1865">
      <c r="A1865" s="3" t="s">
        <v>3779</v>
      </c>
      <c r="B1865" s="3" t="s">
        <v>3780</v>
      </c>
    </row>
    <row r="1866">
      <c r="A1866" s="3" t="s">
        <v>3781</v>
      </c>
      <c r="B1866" s="3" t="s">
        <v>3782</v>
      </c>
    </row>
    <row r="1867">
      <c r="A1867" s="3" t="s">
        <v>3783</v>
      </c>
      <c r="B1867" s="3" t="s">
        <v>3784</v>
      </c>
    </row>
    <row r="1868">
      <c r="A1868" s="3" t="s">
        <v>3785</v>
      </c>
      <c r="B1868" s="3" t="s">
        <v>3786</v>
      </c>
    </row>
    <row r="1869">
      <c r="A1869" s="3" t="s">
        <v>3787</v>
      </c>
      <c r="B1869" s="3" t="s">
        <v>3788</v>
      </c>
    </row>
    <row r="1870">
      <c r="A1870" s="3" t="s">
        <v>3789</v>
      </c>
      <c r="B1870" s="3" t="s">
        <v>3790</v>
      </c>
    </row>
    <row r="1871">
      <c r="A1871" s="3" t="s">
        <v>3791</v>
      </c>
      <c r="B1871" s="3" t="s">
        <v>3792</v>
      </c>
    </row>
    <row r="1872">
      <c r="A1872" s="3" t="s">
        <v>3793</v>
      </c>
      <c r="B1872" s="3" t="s">
        <v>3794</v>
      </c>
    </row>
    <row r="1873">
      <c r="A1873" s="3" t="s">
        <v>3795</v>
      </c>
      <c r="B1873" s="3" t="s">
        <v>3796</v>
      </c>
    </row>
    <row r="1874">
      <c r="A1874" s="3" t="s">
        <v>3797</v>
      </c>
      <c r="B1874" s="3" t="s">
        <v>3798</v>
      </c>
    </row>
    <row r="1875">
      <c r="A1875" s="3" t="s">
        <v>3799</v>
      </c>
      <c r="B1875" s="3" t="s">
        <v>3800</v>
      </c>
    </row>
    <row r="1876">
      <c r="A1876" s="3" t="s">
        <v>3801</v>
      </c>
      <c r="B1876" s="3" t="s">
        <v>3802</v>
      </c>
    </row>
    <row r="1877">
      <c r="A1877" s="3" t="s">
        <v>3803</v>
      </c>
      <c r="B1877" s="3" t="s">
        <v>3804</v>
      </c>
    </row>
    <row r="1878">
      <c r="A1878" s="3" t="s">
        <v>3805</v>
      </c>
      <c r="B1878" s="3" t="s">
        <v>3806</v>
      </c>
    </row>
    <row r="1879">
      <c r="A1879" s="3" t="s">
        <v>3807</v>
      </c>
      <c r="B1879" s="3" t="s">
        <v>3808</v>
      </c>
    </row>
    <row r="1880">
      <c r="A1880" s="3" t="s">
        <v>3809</v>
      </c>
      <c r="B1880" s="3" t="s">
        <v>3810</v>
      </c>
    </row>
    <row r="1881">
      <c r="A1881" s="3" t="s">
        <v>3811</v>
      </c>
      <c r="B1881" s="3" t="s">
        <v>3812</v>
      </c>
    </row>
    <row r="1882">
      <c r="A1882" s="3" t="s">
        <v>3813</v>
      </c>
      <c r="B1882" s="3" t="s">
        <v>3814</v>
      </c>
    </row>
    <row r="1883">
      <c r="A1883" s="3" t="s">
        <v>3815</v>
      </c>
      <c r="B1883" s="3" t="s">
        <v>3816</v>
      </c>
    </row>
    <row r="1884">
      <c r="A1884" s="3" t="s">
        <v>3817</v>
      </c>
      <c r="B1884" s="3" t="s">
        <v>3818</v>
      </c>
    </row>
    <row r="1885">
      <c r="A1885" s="3" t="s">
        <v>3819</v>
      </c>
      <c r="B1885" s="3" t="s">
        <v>3820</v>
      </c>
    </row>
    <row r="1886">
      <c r="A1886" s="3" t="s">
        <v>3821</v>
      </c>
      <c r="B1886" s="3" t="s">
        <v>3822</v>
      </c>
    </row>
    <row r="1887">
      <c r="A1887" s="3" t="s">
        <v>3823</v>
      </c>
      <c r="B1887" s="3" t="s">
        <v>3824</v>
      </c>
    </row>
    <row r="1888">
      <c r="A1888" s="3" t="s">
        <v>3825</v>
      </c>
      <c r="B1888" s="3" t="s">
        <v>3826</v>
      </c>
    </row>
    <row r="1889">
      <c r="A1889" s="3" t="s">
        <v>3827</v>
      </c>
      <c r="B1889" s="3" t="s">
        <v>3828</v>
      </c>
    </row>
    <row r="1890">
      <c r="A1890" s="3" t="s">
        <v>3829</v>
      </c>
      <c r="B1890" s="3" t="s">
        <v>3830</v>
      </c>
    </row>
    <row r="1891">
      <c r="A1891" s="3" t="s">
        <v>3831</v>
      </c>
      <c r="B1891" s="3" t="s">
        <v>3832</v>
      </c>
    </row>
    <row r="1892">
      <c r="A1892" s="3" t="s">
        <v>3833</v>
      </c>
      <c r="B1892" s="3" t="s">
        <v>3834</v>
      </c>
    </row>
    <row r="1893">
      <c r="A1893" s="3" t="s">
        <v>3835</v>
      </c>
      <c r="B1893" s="3" t="s">
        <v>3836</v>
      </c>
    </row>
    <row r="1894">
      <c r="A1894" s="3" t="s">
        <v>3837</v>
      </c>
      <c r="B1894" s="3" t="s">
        <v>3838</v>
      </c>
    </row>
    <row r="1895">
      <c r="A1895" s="3" t="s">
        <v>3839</v>
      </c>
      <c r="B1895" s="3" t="s">
        <v>3840</v>
      </c>
    </row>
    <row r="1896">
      <c r="A1896" s="3" t="s">
        <v>3841</v>
      </c>
      <c r="B1896" s="3" t="s">
        <v>3842</v>
      </c>
    </row>
    <row r="1897">
      <c r="A1897" s="3" t="s">
        <v>3843</v>
      </c>
      <c r="B1897" s="3" t="s">
        <v>3844</v>
      </c>
    </row>
    <row r="1898">
      <c r="A1898" s="3" t="s">
        <v>3845</v>
      </c>
      <c r="B1898" s="3" t="s">
        <v>3846</v>
      </c>
    </row>
    <row r="1899">
      <c r="A1899" s="3" t="s">
        <v>3847</v>
      </c>
      <c r="B1899" s="3" t="s">
        <v>3848</v>
      </c>
    </row>
    <row r="1900">
      <c r="A1900" s="3" t="s">
        <v>3849</v>
      </c>
      <c r="B1900" s="3" t="s">
        <v>3850</v>
      </c>
    </row>
    <row r="1901">
      <c r="A1901" s="3" t="s">
        <v>3851</v>
      </c>
      <c r="B1901" s="3" t="s">
        <v>3852</v>
      </c>
    </row>
    <row r="1902">
      <c r="A1902" s="3" t="s">
        <v>3853</v>
      </c>
      <c r="B1902" s="3" t="s">
        <v>3854</v>
      </c>
    </row>
    <row r="1903">
      <c r="A1903" s="3" t="s">
        <v>3855</v>
      </c>
      <c r="B1903" s="3" t="s">
        <v>3856</v>
      </c>
    </row>
    <row r="1904">
      <c r="A1904" s="3" t="s">
        <v>3857</v>
      </c>
      <c r="B1904" s="3" t="s">
        <v>3858</v>
      </c>
    </row>
    <row r="1905">
      <c r="A1905" s="3" t="s">
        <v>3859</v>
      </c>
      <c r="B1905" s="3" t="s">
        <v>3860</v>
      </c>
    </row>
    <row r="1906">
      <c r="A1906" s="3" t="s">
        <v>3861</v>
      </c>
      <c r="B1906" s="3" t="s">
        <v>3862</v>
      </c>
    </row>
    <row r="1907">
      <c r="A1907" s="3" t="s">
        <v>3863</v>
      </c>
      <c r="B1907" s="3" t="s">
        <v>3864</v>
      </c>
    </row>
    <row r="1908">
      <c r="A1908" s="3" t="s">
        <v>3865</v>
      </c>
      <c r="B1908" s="3" t="s">
        <v>3866</v>
      </c>
    </row>
    <row r="1909">
      <c r="A1909" s="3" t="s">
        <v>3867</v>
      </c>
      <c r="B1909" s="3" t="s">
        <v>3868</v>
      </c>
    </row>
    <row r="1910">
      <c r="A1910" s="3" t="s">
        <v>3869</v>
      </c>
      <c r="B1910" s="3" t="s">
        <v>3870</v>
      </c>
    </row>
    <row r="1911">
      <c r="A1911" s="3" t="s">
        <v>3871</v>
      </c>
      <c r="B1911" s="3" t="s">
        <v>3872</v>
      </c>
    </row>
    <row r="1912">
      <c r="A1912" s="3" t="s">
        <v>3873</v>
      </c>
      <c r="B1912" s="3" t="s">
        <v>3874</v>
      </c>
    </row>
    <row r="1913">
      <c r="A1913" s="3" t="s">
        <v>3875</v>
      </c>
      <c r="B1913" s="3" t="s">
        <v>3876</v>
      </c>
    </row>
    <row r="1914">
      <c r="A1914" s="3" t="s">
        <v>3877</v>
      </c>
      <c r="B1914" s="3" t="s">
        <v>3878</v>
      </c>
    </row>
    <row r="1915">
      <c r="A1915" s="3" t="s">
        <v>3879</v>
      </c>
      <c r="B1915" s="3" t="s">
        <v>3880</v>
      </c>
    </row>
    <row r="1916">
      <c r="A1916" s="3" t="s">
        <v>3881</v>
      </c>
      <c r="B1916" s="3" t="s">
        <v>3882</v>
      </c>
    </row>
    <row r="1917">
      <c r="A1917" s="3" t="s">
        <v>3883</v>
      </c>
      <c r="B1917" s="3" t="s">
        <v>3884</v>
      </c>
    </row>
    <row r="1918">
      <c r="A1918" s="3" t="s">
        <v>3885</v>
      </c>
      <c r="B1918" s="3" t="s">
        <v>3886</v>
      </c>
    </row>
    <row r="1919">
      <c r="A1919" s="3" t="s">
        <v>3887</v>
      </c>
      <c r="B1919" s="3" t="s">
        <v>3888</v>
      </c>
    </row>
    <row r="1920">
      <c r="A1920" s="3" t="s">
        <v>3889</v>
      </c>
      <c r="B1920" s="3" t="s">
        <v>3890</v>
      </c>
    </row>
    <row r="1921">
      <c r="A1921" s="3" t="s">
        <v>3891</v>
      </c>
      <c r="B1921" s="3" t="s">
        <v>3892</v>
      </c>
    </row>
    <row r="1922">
      <c r="A1922" s="3" t="s">
        <v>3893</v>
      </c>
      <c r="B1922" s="3" t="s">
        <v>3894</v>
      </c>
    </row>
    <row r="1923">
      <c r="A1923" s="3" t="s">
        <v>3895</v>
      </c>
      <c r="B1923" s="3" t="s">
        <v>3896</v>
      </c>
    </row>
    <row r="1924">
      <c r="A1924" s="3" t="s">
        <v>3897</v>
      </c>
      <c r="B1924" s="3" t="s">
        <v>3898</v>
      </c>
    </row>
    <row r="1925">
      <c r="A1925" s="3" t="s">
        <v>3899</v>
      </c>
      <c r="B1925" s="3" t="s">
        <v>3900</v>
      </c>
    </row>
    <row r="1926">
      <c r="A1926" s="3" t="s">
        <v>3901</v>
      </c>
      <c r="B1926" s="3" t="s">
        <v>3902</v>
      </c>
    </row>
    <row r="1927">
      <c r="A1927" s="3" t="s">
        <v>3903</v>
      </c>
      <c r="B1927" s="3" t="s">
        <v>3904</v>
      </c>
    </row>
    <row r="1928">
      <c r="A1928" s="3" t="s">
        <v>3905</v>
      </c>
      <c r="B1928" s="3" t="s">
        <v>3906</v>
      </c>
    </row>
    <row r="1929">
      <c r="A1929" s="3" t="s">
        <v>3907</v>
      </c>
      <c r="B1929" s="3" t="s">
        <v>3908</v>
      </c>
    </row>
    <row r="1930">
      <c r="A1930" s="3" t="s">
        <v>3909</v>
      </c>
      <c r="B1930" s="3" t="s">
        <v>3910</v>
      </c>
    </row>
    <row r="1931">
      <c r="A1931" s="3" t="s">
        <v>3911</v>
      </c>
      <c r="B1931" s="3" t="s">
        <v>3912</v>
      </c>
    </row>
    <row r="1932">
      <c r="A1932" s="3" t="s">
        <v>3913</v>
      </c>
      <c r="B1932" s="3" t="s">
        <v>3914</v>
      </c>
    </row>
    <row r="1933">
      <c r="A1933" s="3" t="s">
        <v>3915</v>
      </c>
      <c r="B1933" s="3" t="s">
        <v>3916</v>
      </c>
    </row>
    <row r="1934">
      <c r="A1934" s="3" t="s">
        <v>3917</v>
      </c>
      <c r="B1934" s="3" t="s">
        <v>3918</v>
      </c>
    </row>
    <row r="1935">
      <c r="A1935" s="3" t="s">
        <v>3919</v>
      </c>
      <c r="B1935" s="3" t="s">
        <v>3920</v>
      </c>
    </row>
    <row r="1936">
      <c r="A1936" s="3" t="s">
        <v>3921</v>
      </c>
      <c r="B1936" s="3" t="s">
        <v>3922</v>
      </c>
    </row>
    <row r="1937">
      <c r="A1937" s="3" t="s">
        <v>3923</v>
      </c>
      <c r="B1937" s="3" t="s">
        <v>3924</v>
      </c>
    </row>
    <row r="1938">
      <c r="A1938" s="3" t="s">
        <v>3925</v>
      </c>
      <c r="B1938" s="3" t="s">
        <v>3926</v>
      </c>
    </row>
    <row r="1939">
      <c r="A1939" s="3" t="s">
        <v>3927</v>
      </c>
      <c r="B1939" s="3" t="s">
        <v>3928</v>
      </c>
    </row>
    <row r="1940">
      <c r="A1940" s="3" t="s">
        <v>3929</v>
      </c>
      <c r="B1940" s="3" t="s">
        <v>3930</v>
      </c>
    </row>
    <row r="1941">
      <c r="A1941" s="3" t="s">
        <v>3931</v>
      </c>
      <c r="B1941" s="3" t="s">
        <v>3932</v>
      </c>
    </row>
    <row r="1942">
      <c r="A1942" s="3" t="s">
        <v>3933</v>
      </c>
      <c r="B1942" s="3" t="s">
        <v>3934</v>
      </c>
    </row>
    <row r="1943">
      <c r="A1943" s="3" t="s">
        <v>3935</v>
      </c>
      <c r="B1943" s="3" t="s">
        <v>3936</v>
      </c>
    </row>
    <row r="1944">
      <c r="A1944" s="3" t="s">
        <v>3937</v>
      </c>
      <c r="B1944" s="3" t="s">
        <v>3938</v>
      </c>
    </row>
    <row r="1945">
      <c r="A1945" s="3" t="s">
        <v>3939</v>
      </c>
      <c r="B1945" s="3" t="s">
        <v>3940</v>
      </c>
    </row>
    <row r="1946">
      <c r="A1946" s="3" t="s">
        <v>3941</v>
      </c>
      <c r="B1946" s="3" t="s">
        <v>3942</v>
      </c>
    </row>
    <row r="1947">
      <c r="A1947" s="3" t="s">
        <v>3943</v>
      </c>
      <c r="B1947" s="3" t="s">
        <v>3944</v>
      </c>
    </row>
    <row r="1948">
      <c r="A1948" s="3" t="s">
        <v>3945</v>
      </c>
      <c r="B1948" s="3" t="s">
        <v>3946</v>
      </c>
    </row>
    <row r="1949">
      <c r="A1949" s="3" t="s">
        <v>3947</v>
      </c>
      <c r="B1949" s="3" t="s">
        <v>3948</v>
      </c>
    </row>
    <row r="1950">
      <c r="A1950" s="3" t="s">
        <v>3949</v>
      </c>
      <c r="B1950" s="3" t="s">
        <v>3950</v>
      </c>
    </row>
    <row r="1951">
      <c r="A1951" s="3" t="s">
        <v>3951</v>
      </c>
      <c r="B1951" s="3" t="s">
        <v>3952</v>
      </c>
    </row>
    <row r="1952">
      <c r="A1952" s="3" t="s">
        <v>3953</v>
      </c>
      <c r="B1952" s="3" t="s">
        <v>3954</v>
      </c>
    </row>
    <row r="1953">
      <c r="A1953" s="3" t="s">
        <v>3955</v>
      </c>
      <c r="B1953" s="3" t="s">
        <v>3956</v>
      </c>
    </row>
    <row r="1954">
      <c r="A1954" s="3" t="s">
        <v>3957</v>
      </c>
      <c r="B1954" s="3" t="s">
        <v>3958</v>
      </c>
    </row>
    <row r="1955">
      <c r="A1955" s="3" t="s">
        <v>3959</v>
      </c>
      <c r="B1955" s="3" t="s">
        <v>3960</v>
      </c>
    </row>
    <row r="1956">
      <c r="A1956" s="3" t="s">
        <v>3961</v>
      </c>
      <c r="B1956" s="3" t="s">
        <v>3962</v>
      </c>
    </row>
    <row r="1957">
      <c r="A1957" s="3" t="s">
        <v>3963</v>
      </c>
      <c r="B1957" s="3" t="s">
        <v>3964</v>
      </c>
    </row>
    <row r="1958">
      <c r="A1958" s="3" t="s">
        <v>3965</v>
      </c>
      <c r="B1958" s="3" t="s">
        <v>3966</v>
      </c>
    </row>
    <row r="1959">
      <c r="A1959" s="3" t="s">
        <v>3967</v>
      </c>
      <c r="B1959" s="3" t="s">
        <v>3968</v>
      </c>
    </row>
    <row r="1960">
      <c r="A1960" s="3" t="s">
        <v>3969</v>
      </c>
      <c r="B1960" s="3" t="s">
        <v>3970</v>
      </c>
    </row>
    <row r="1961">
      <c r="A1961" s="3" t="s">
        <v>3971</v>
      </c>
      <c r="B1961" s="3" t="s">
        <v>3972</v>
      </c>
    </row>
    <row r="1962">
      <c r="A1962" s="3" t="s">
        <v>3973</v>
      </c>
      <c r="B1962" s="3" t="s">
        <v>3974</v>
      </c>
    </row>
    <row r="1963">
      <c r="A1963" s="3" t="s">
        <v>3975</v>
      </c>
      <c r="B1963" s="3" t="s">
        <v>3976</v>
      </c>
    </row>
    <row r="1964">
      <c r="A1964" s="3" t="s">
        <v>3977</v>
      </c>
      <c r="B1964" s="3" t="s">
        <v>3978</v>
      </c>
    </row>
    <row r="1965">
      <c r="A1965" s="3" t="s">
        <v>3979</v>
      </c>
      <c r="B1965" s="3" t="s">
        <v>3980</v>
      </c>
    </row>
    <row r="1966">
      <c r="A1966" s="3" t="s">
        <v>3981</v>
      </c>
      <c r="B1966" s="3" t="s">
        <v>3982</v>
      </c>
    </row>
    <row r="1967">
      <c r="A1967" s="3" t="s">
        <v>3983</v>
      </c>
      <c r="B1967" s="3" t="s">
        <v>3984</v>
      </c>
    </row>
    <row r="1968">
      <c r="A1968" s="3" t="s">
        <v>3985</v>
      </c>
      <c r="B1968" s="3" t="s">
        <v>3986</v>
      </c>
    </row>
    <row r="1969">
      <c r="A1969" s="3" t="s">
        <v>3987</v>
      </c>
      <c r="B1969" s="3" t="s">
        <v>3988</v>
      </c>
    </row>
    <row r="1970">
      <c r="A1970" s="3" t="s">
        <v>3989</v>
      </c>
      <c r="B1970" s="3" t="s">
        <v>3990</v>
      </c>
    </row>
    <row r="1971">
      <c r="A1971" s="3" t="s">
        <v>3991</v>
      </c>
      <c r="B1971" s="3" t="s">
        <v>3992</v>
      </c>
    </row>
    <row r="1972">
      <c r="A1972" s="3" t="s">
        <v>3993</v>
      </c>
      <c r="B1972" s="3" t="s">
        <v>3994</v>
      </c>
    </row>
    <row r="1973">
      <c r="A1973" s="3" t="s">
        <v>3995</v>
      </c>
      <c r="B1973" s="3" t="s">
        <v>3996</v>
      </c>
    </row>
    <row r="1974">
      <c r="A1974" s="3" t="s">
        <v>3997</v>
      </c>
      <c r="B1974" s="3" t="s">
        <v>3998</v>
      </c>
    </row>
    <row r="1975">
      <c r="A1975" s="3" t="s">
        <v>3999</v>
      </c>
      <c r="B1975" s="3" t="s">
        <v>4000</v>
      </c>
    </row>
    <row r="1976">
      <c r="A1976" s="3" t="s">
        <v>4001</v>
      </c>
      <c r="B1976" s="3" t="s">
        <v>4002</v>
      </c>
    </row>
    <row r="1977">
      <c r="A1977" s="3" t="s">
        <v>4003</v>
      </c>
      <c r="B1977" s="3" t="s">
        <v>4004</v>
      </c>
    </row>
    <row r="1978">
      <c r="A1978" s="3" t="s">
        <v>4005</v>
      </c>
      <c r="B1978" s="3" t="s">
        <v>4006</v>
      </c>
    </row>
    <row r="1979">
      <c r="A1979" s="3" t="s">
        <v>4007</v>
      </c>
      <c r="B1979" s="3" t="s">
        <v>4008</v>
      </c>
    </row>
    <row r="1980">
      <c r="A1980" s="3" t="s">
        <v>4009</v>
      </c>
      <c r="B1980" s="3" t="s">
        <v>4010</v>
      </c>
    </row>
    <row r="1981">
      <c r="A1981" s="3" t="s">
        <v>4011</v>
      </c>
      <c r="B1981" s="3" t="s">
        <v>4012</v>
      </c>
    </row>
    <row r="1982">
      <c r="A1982" s="3" t="s">
        <v>4013</v>
      </c>
      <c r="B1982" s="3" t="s">
        <v>4014</v>
      </c>
    </row>
    <row r="1983">
      <c r="A1983" s="3" t="s">
        <v>4015</v>
      </c>
      <c r="B1983" s="3" t="s">
        <v>4016</v>
      </c>
    </row>
    <row r="1984">
      <c r="A1984" s="3" t="s">
        <v>4017</v>
      </c>
      <c r="B1984" s="3" t="s">
        <v>4018</v>
      </c>
    </row>
    <row r="1985">
      <c r="A1985" s="3" t="s">
        <v>4019</v>
      </c>
      <c r="B1985" s="3" t="s">
        <v>4020</v>
      </c>
    </row>
    <row r="1986">
      <c r="A1986" s="3" t="s">
        <v>4021</v>
      </c>
      <c r="B1986" s="3" t="s">
        <v>4022</v>
      </c>
    </row>
    <row r="1987">
      <c r="A1987" s="3" t="s">
        <v>4023</v>
      </c>
      <c r="B1987" s="3" t="s">
        <v>4024</v>
      </c>
    </row>
    <row r="1988">
      <c r="A1988" s="3" t="s">
        <v>4025</v>
      </c>
      <c r="B1988" s="3" t="s">
        <v>4026</v>
      </c>
    </row>
    <row r="1989">
      <c r="A1989" s="3" t="s">
        <v>4027</v>
      </c>
      <c r="B1989" s="3" t="s">
        <v>4028</v>
      </c>
    </row>
    <row r="1990">
      <c r="A1990" s="3" t="s">
        <v>4029</v>
      </c>
      <c r="B1990" s="3" t="s">
        <v>4030</v>
      </c>
    </row>
    <row r="1991">
      <c r="A1991" s="3" t="s">
        <v>4031</v>
      </c>
      <c r="B1991" s="3" t="s">
        <v>4032</v>
      </c>
    </row>
    <row r="1992">
      <c r="A1992" s="3" t="s">
        <v>4033</v>
      </c>
      <c r="B1992" s="3" t="s">
        <v>4034</v>
      </c>
    </row>
    <row r="1993">
      <c r="A1993" s="3" t="s">
        <v>4035</v>
      </c>
      <c r="B1993" s="3" t="s">
        <v>4036</v>
      </c>
    </row>
    <row r="1994">
      <c r="A1994" s="3" t="s">
        <v>4037</v>
      </c>
      <c r="B1994" s="3" t="s">
        <v>4038</v>
      </c>
    </row>
    <row r="1995">
      <c r="A1995" s="3" t="s">
        <v>4039</v>
      </c>
      <c r="B1995" s="3" t="s">
        <v>4040</v>
      </c>
    </row>
    <row r="1996">
      <c r="A1996" s="3" t="s">
        <v>4041</v>
      </c>
      <c r="B1996" s="3" t="s">
        <v>4042</v>
      </c>
    </row>
    <row r="1997">
      <c r="A1997" s="3" t="s">
        <v>4043</v>
      </c>
      <c r="B1997" s="3" t="s">
        <v>4044</v>
      </c>
    </row>
    <row r="1998">
      <c r="A1998" s="3" t="s">
        <v>4045</v>
      </c>
      <c r="B1998" s="3" t="s">
        <v>4046</v>
      </c>
    </row>
    <row r="1999">
      <c r="A1999" s="3" t="s">
        <v>4047</v>
      </c>
      <c r="B1999" s="3" t="s">
        <v>4048</v>
      </c>
    </row>
    <row r="2000">
      <c r="A2000" s="3" t="s">
        <v>4049</v>
      </c>
      <c r="B2000" s="3" t="s">
        <v>4050</v>
      </c>
    </row>
    <row r="2001">
      <c r="A2001" s="3" t="s">
        <v>4051</v>
      </c>
      <c r="B2001" s="3" t="s">
        <v>4052</v>
      </c>
    </row>
    <row r="2002">
      <c r="A2002" s="3" t="s">
        <v>4053</v>
      </c>
      <c r="B2002" s="3" t="s">
        <v>4054</v>
      </c>
    </row>
    <row r="2003">
      <c r="A2003" s="3" t="s">
        <v>4055</v>
      </c>
      <c r="B2003" s="3" t="s">
        <v>4056</v>
      </c>
    </row>
    <row r="2004">
      <c r="A2004" s="3" t="s">
        <v>4057</v>
      </c>
      <c r="B2004" s="3" t="s">
        <v>4058</v>
      </c>
    </row>
    <row r="2005">
      <c r="A2005" s="3" t="s">
        <v>4059</v>
      </c>
      <c r="B2005" s="3" t="s">
        <v>4060</v>
      </c>
    </row>
    <row r="2006">
      <c r="A2006" s="3" t="s">
        <v>4061</v>
      </c>
      <c r="B2006" s="3" t="s">
        <v>4062</v>
      </c>
    </row>
    <row r="2007">
      <c r="A2007" s="3" t="s">
        <v>4063</v>
      </c>
      <c r="B2007" s="3" t="s">
        <v>4064</v>
      </c>
    </row>
    <row r="2008">
      <c r="A2008" s="3" t="s">
        <v>4065</v>
      </c>
      <c r="B2008" s="3" t="s">
        <v>4066</v>
      </c>
    </row>
    <row r="2009">
      <c r="A2009" s="3" t="s">
        <v>4067</v>
      </c>
      <c r="B2009" s="3" t="s">
        <v>4068</v>
      </c>
    </row>
    <row r="2010">
      <c r="A2010" s="3" t="s">
        <v>4069</v>
      </c>
      <c r="B2010" s="3" t="s">
        <v>4070</v>
      </c>
    </row>
    <row r="2011">
      <c r="A2011" s="3" t="s">
        <v>4071</v>
      </c>
      <c r="B2011" s="3" t="s">
        <v>4072</v>
      </c>
    </row>
    <row r="2012">
      <c r="A2012" s="3" t="s">
        <v>4073</v>
      </c>
      <c r="B2012" s="3" t="s">
        <v>4074</v>
      </c>
    </row>
    <row r="2013">
      <c r="A2013" s="3" t="s">
        <v>4075</v>
      </c>
      <c r="B2013" s="3" t="s">
        <v>4076</v>
      </c>
    </row>
    <row r="2014">
      <c r="A2014" s="3" t="s">
        <v>4077</v>
      </c>
      <c r="B2014" s="3" t="s">
        <v>4078</v>
      </c>
    </row>
    <row r="2015">
      <c r="A2015" s="3" t="s">
        <v>4079</v>
      </c>
      <c r="B2015" s="3" t="s">
        <v>4080</v>
      </c>
    </row>
    <row r="2016">
      <c r="A2016" s="3" t="s">
        <v>4081</v>
      </c>
      <c r="B2016" s="3" t="s">
        <v>4082</v>
      </c>
    </row>
    <row r="2017">
      <c r="A2017" s="3" t="s">
        <v>4083</v>
      </c>
      <c r="B2017" s="3" t="s">
        <v>4084</v>
      </c>
    </row>
    <row r="2018">
      <c r="A2018" s="3" t="s">
        <v>4085</v>
      </c>
      <c r="B2018" s="3" t="s">
        <v>4086</v>
      </c>
    </row>
    <row r="2019">
      <c r="A2019" s="3" t="s">
        <v>4087</v>
      </c>
      <c r="B2019" s="3" t="s">
        <v>4088</v>
      </c>
    </row>
    <row r="2020">
      <c r="A2020" s="3" t="s">
        <v>4089</v>
      </c>
      <c r="B2020" s="3" t="s">
        <v>4090</v>
      </c>
    </row>
    <row r="2021">
      <c r="A2021" s="3" t="s">
        <v>4091</v>
      </c>
      <c r="B2021" s="3" t="s">
        <v>4092</v>
      </c>
    </row>
    <row r="2022">
      <c r="A2022" s="3" t="s">
        <v>4093</v>
      </c>
      <c r="B2022" s="3" t="s">
        <v>4094</v>
      </c>
    </row>
    <row r="2023">
      <c r="A2023" s="3" t="s">
        <v>4095</v>
      </c>
      <c r="B2023" s="3" t="s">
        <v>4096</v>
      </c>
    </row>
    <row r="2024">
      <c r="A2024" s="3" t="s">
        <v>4097</v>
      </c>
      <c r="B2024" s="3" t="s">
        <v>4098</v>
      </c>
    </row>
    <row r="2025">
      <c r="A2025" s="3" t="s">
        <v>4099</v>
      </c>
      <c r="B2025" s="3" t="s">
        <v>4100</v>
      </c>
    </row>
    <row r="2026">
      <c r="A2026" s="3" t="s">
        <v>4101</v>
      </c>
      <c r="B2026" s="3" t="s">
        <v>4102</v>
      </c>
    </row>
    <row r="2027">
      <c r="A2027" s="3" t="s">
        <v>4103</v>
      </c>
      <c r="B2027" s="3" t="s">
        <v>4104</v>
      </c>
    </row>
    <row r="2028">
      <c r="A2028" s="3" t="s">
        <v>4105</v>
      </c>
      <c r="B2028" s="3" t="s">
        <v>4106</v>
      </c>
    </row>
    <row r="2029">
      <c r="A2029" s="3" t="s">
        <v>4107</v>
      </c>
      <c r="B2029" s="3" t="s">
        <v>4108</v>
      </c>
    </row>
    <row r="2030">
      <c r="A2030" s="3" t="s">
        <v>4109</v>
      </c>
      <c r="B2030" s="3" t="s">
        <v>4110</v>
      </c>
    </row>
    <row r="2031">
      <c r="A2031" s="3" t="s">
        <v>4111</v>
      </c>
      <c r="B2031" s="3" t="s">
        <v>4112</v>
      </c>
    </row>
    <row r="2032">
      <c r="A2032" s="3" t="s">
        <v>4113</v>
      </c>
      <c r="B2032" s="3" t="s">
        <v>4114</v>
      </c>
    </row>
    <row r="2033">
      <c r="A2033" s="3" t="s">
        <v>4115</v>
      </c>
      <c r="B2033" s="3" t="s">
        <v>4116</v>
      </c>
    </row>
    <row r="2034">
      <c r="A2034" s="3" t="s">
        <v>4117</v>
      </c>
      <c r="B2034" s="3" t="s">
        <v>4118</v>
      </c>
    </row>
    <row r="2035">
      <c r="A2035" s="3" t="s">
        <v>4119</v>
      </c>
      <c r="B2035" s="3" t="s">
        <v>4120</v>
      </c>
    </row>
    <row r="2036">
      <c r="A2036" s="3" t="s">
        <v>4121</v>
      </c>
      <c r="B2036" s="3" t="s">
        <v>4122</v>
      </c>
    </row>
    <row r="2037">
      <c r="A2037" s="3" t="s">
        <v>4123</v>
      </c>
      <c r="B2037" s="3" t="s">
        <v>4124</v>
      </c>
    </row>
    <row r="2038">
      <c r="A2038" s="3" t="s">
        <v>4125</v>
      </c>
      <c r="B2038" s="3" t="s">
        <v>4126</v>
      </c>
    </row>
    <row r="2039">
      <c r="A2039" s="3" t="s">
        <v>4127</v>
      </c>
      <c r="B2039" s="3" t="s">
        <v>4128</v>
      </c>
    </row>
    <row r="2040">
      <c r="A2040" s="3" t="s">
        <v>4129</v>
      </c>
      <c r="B2040" s="3" t="s">
        <v>4130</v>
      </c>
    </row>
    <row r="2041">
      <c r="A2041" s="3" t="s">
        <v>4131</v>
      </c>
      <c r="B2041" s="3" t="s">
        <v>4132</v>
      </c>
    </row>
    <row r="2042">
      <c r="A2042" s="3" t="s">
        <v>4133</v>
      </c>
      <c r="B2042" s="3" t="s">
        <v>4134</v>
      </c>
    </row>
    <row r="2043">
      <c r="A2043" s="3" t="s">
        <v>4135</v>
      </c>
      <c r="B2043" s="3" t="s">
        <v>4136</v>
      </c>
    </row>
    <row r="2044">
      <c r="A2044" s="3" t="s">
        <v>4137</v>
      </c>
      <c r="B2044" s="3" t="s">
        <v>4138</v>
      </c>
    </row>
    <row r="2045">
      <c r="A2045" s="3" t="s">
        <v>4139</v>
      </c>
      <c r="B2045" s="3" t="s">
        <v>4140</v>
      </c>
    </row>
    <row r="2046">
      <c r="A2046" s="3" t="s">
        <v>4141</v>
      </c>
      <c r="B2046" s="3" t="s">
        <v>4142</v>
      </c>
    </row>
    <row r="2047">
      <c r="A2047" s="3" t="s">
        <v>4143</v>
      </c>
      <c r="B2047" s="3" t="s">
        <v>4144</v>
      </c>
    </row>
    <row r="2048">
      <c r="A2048" s="3" t="s">
        <v>4145</v>
      </c>
      <c r="B2048" s="3" t="s">
        <v>4146</v>
      </c>
    </row>
    <row r="2049">
      <c r="A2049" s="3" t="s">
        <v>4147</v>
      </c>
      <c r="B2049" s="3" t="s">
        <v>4148</v>
      </c>
    </row>
    <row r="2050">
      <c r="A2050" s="3" t="s">
        <v>4149</v>
      </c>
      <c r="B2050" s="3" t="s">
        <v>4150</v>
      </c>
    </row>
    <row r="2051">
      <c r="A2051" s="3" t="s">
        <v>4151</v>
      </c>
      <c r="B2051" s="3" t="s">
        <v>4152</v>
      </c>
    </row>
    <row r="2052">
      <c r="A2052" s="3" t="s">
        <v>4153</v>
      </c>
      <c r="B2052" s="3" t="s">
        <v>4154</v>
      </c>
    </row>
    <row r="2053">
      <c r="A2053" s="3" t="s">
        <v>4155</v>
      </c>
      <c r="B2053" s="3" t="s">
        <v>4156</v>
      </c>
    </row>
    <row r="2054">
      <c r="A2054" s="3" t="s">
        <v>4157</v>
      </c>
      <c r="B2054" s="3" t="s">
        <v>4158</v>
      </c>
    </row>
    <row r="2055">
      <c r="A2055" s="3" t="s">
        <v>4159</v>
      </c>
      <c r="B2055" s="3" t="s">
        <v>4160</v>
      </c>
    </row>
    <row r="2056">
      <c r="A2056" s="3" t="s">
        <v>4161</v>
      </c>
      <c r="B2056" s="3" t="s">
        <v>4162</v>
      </c>
    </row>
    <row r="2057">
      <c r="A2057" s="3" t="s">
        <v>4163</v>
      </c>
      <c r="B2057" s="3" t="s">
        <v>4164</v>
      </c>
    </row>
    <row r="2058">
      <c r="A2058" s="3" t="s">
        <v>4165</v>
      </c>
      <c r="B2058" s="3" t="s">
        <v>4166</v>
      </c>
    </row>
    <row r="2059">
      <c r="A2059" s="3" t="s">
        <v>4167</v>
      </c>
      <c r="B2059" s="3" t="s">
        <v>4168</v>
      </c>
    </row>
    <row r="2060">
      <c r="A2060" s="3" t="s">
        <v>4169</v>
      </c>
      <c r="B2060" s="3" t="s">
        <v>4170</v>
      </c>
    </row>
    <row r="2061">
      <c r="A2061" s="3" t="s">
        <v>4171</v>
      </c>
      <c r="B2061" s="3" t="s">
        <v>4172</v>
      </c>
    </row>
    <row r="2062">
      <c r="A2062" s="3" t="s">
        <v>4173</v>
      </c>
      <c r="B2062" s="3" t="s">
        <v>4174</v>
      </c>
    </row>
    <row r="2063">
      <c r="A2063" s="3" t="s">
        <v>4175</v>
      </c>
      <c r="B2063" s="3" t="s">
        <v>4176</v>
      </c>
    </row>
    <row r="2064">
      <c r="A2064" s="3" t="s">
        <v>4177</v>
      </c>
      <c r="B2064" s="3" t="s">
        <v>4178</v>
      </c>
    </row>
    <row r="2065">
      <c r="A2065" s="3" t="s">
        <v>4179</v>
      </c>
      <c r="B2065" s="3" t="s">
        <v>4180</v>
      </c>
    </row>
    <row r="2066">
      <c r="A2066" s="3" t="s">
        <v>4181</v>
      </c>
      <c r="B2066" s="3" t="s">
        <v>4182</v>
      </c>
    </row>
    <row r="2067">
      <c r="A2067" s="3" t="s">
        <v>4183</v>
      </c>
      <c r="B2067" s="3" t="s">
        <v>4184</v>
      </c>
    </row>
    <row r="2068">
      <c r="A2068" s="3" t="s">
        <v>4185</v>
      </c>
      <c r="B2068" s="3" t="s">
        <v>4186</v>
      </c>
    </row>
    <row r="2069">
      <c r="A2069" s="3" t="s">
        <v>4187</v>
      </c>
      <c r="B2069" s="3" t="s">
        <v>4188</v>
      </c>
    </row>
    <row r="2070">
      <c r="A2070" s="3" t="s">
        <v>4189</v>
      </c>
      <c r="B2070" s="3" t="s">
        <v>4190</v>
      </c>
    </row>
    <row r="2071">
      <c r="A2071" s="3" t="s">
        <v>4191</v>
      </c>
      <c r="B2071" s="3" t="s">
        <v>4192</v>
      </c>
    </row>
    <row r="2072">
      <c r="A2072" s="3" t="s">
        <v>4193</v>
      </c>
      <c r="B2072" s="3" t="s">
        <v>4194</v>
      </c>
    </row>
    <row r="2073">
      <c r="A2073" s="3" t="s">
        <v>4195</v>
      </c>
      <c r="B2073" s="3" t="s">
        <v>4196</v>
      </c>
    </row>
    <row r="2074">
      <c r="A2074" s="3" t="s">
        <v>4197</v>
      </c>
      <c r="B2074" s="3" t="s">
        <v>4198</v>
      </c>
    </row>
    <row r="2075">
      <c r="A2075" s="3" t="s">
        <v>4199</v>
      </c>
      <c r="B2075" s="3" t="s">
        <v>4200</v>
      </c>
    </row>
    <row r="2076">
      <c r="A2076" s="3" t="s">
        <v>4201</v>
      </c>
      <c r="B2076" s="3" t="s">
        <v>4202</v>
      </c>
    </row>
    <row r="2077">
      <c r="A2077" s="3" t="s">
        <v>4203</v>
      </c>
      <c r="B2077" s="3" t="s">
        <v>4204</v>
      </c>
    </row>
    <row r="2078">
      <c r="A2078" s="3" t="s">
        <v>4205</v>
      </c>
      <c r="B2078" s="3" t="s">
        <v>4206</v>
      </c>
    </row>
    <row r="2079">
      <c r="A2079" s="3" t="s">
        <v>4207</v>
      </c>
      <c r="B2079" s="3" t="s">
        <v>4208</v>
      </c>
    </row>
    <row r="2080">
      <c r="A2080" s="3" t="s">
        <v>4209</v>
      </c>
      <c r="B2080" s="3" t="s">
        <v>4210</v>
      </c>
    </row>
    <row r="2081">
      <c r="A2081" s="3" t="s">
        <v>4211</v>
      </c>
      <c r="B2081" s="3" t="s">
        <v>4212</v>
      </c>
    </row>
    <row r="2082">
      <c r="A2082" s="3" t="s">
        <v>4213</v>
      </c>
      <c r="B2082" s="3" t="s">
        <v>4214</v>
      </c>
    </row>
    <row r="2083">
      <c r="A2083" s="3" t="s">
        <v>4215</v>
      </c>
      <c r="B2083" s="3" t="s">
        <v>4216</v>
      </c>
    </row>
    <row r="2084">
      <c r="A2084" s="3" t="s">
        <v>4217</v>
      </c>
      <c r="B2084" s="3" t="s">
        <v>4218</v>
      </c>
    </row>
    <row r="2085">
      <c r="A2085" s="3" t="s">
        <v>4219</v>
      </c>
      <c r="B2085" s="3" t="s">
        <v>4220</v>
      </c>
    </row>
    <row r="2086">
      <c r="A2086" s="3" t="s">
        <v>4221</v>
      </c>
      <c r="B2086" s="3" t="s">
        <v>4222</v>
      </c>
    </row>
    <row r="2087">
      <c r="A2087" s="3" t="s">
        <v>4223</v>
      </c>
      <c r="B2087" s="3" t="s">
        <v>4224</v>
      </c>
    </row>
    <row r="2088">
      <c r="A2088" s="3" t="s">
        <v>4225</v>
      </c>
      <c r="B2088" s="3" t="s">
        <v>4226</v>
      </c>
    </row>
    <row r="2089">
      <c r="A2089" s="3" t="s">
        <v>4227</v>
      </c>
      <c r="B2089" s="3" t="s">
        <v>4228</v>
      </c>
    </row>
    <row r="2090">
      <c r="A2090" s="3" t="s">
        <v>4229</v>
      </c>
      <c r="B2090" s="3" t="s">
        <v>4230</v>
      </c>
    </row>
    <row r="2091">
      <c r="A2091" s="3" t="s">
        <v>4231</v>
      </c>
      <c r="B2091" s="3" t="s">
        <v>4232</v>
      </c>
    </row>
    <row r="2092">
      <c r="A2092" s="3" t="s">
        <v>4233</v>
      </c>
      <c r="B2092" s="3" t="s">
        <v>4234</v>
      </c>
    </row>
    <row r="2093">
      <c r="A2093" s="3" t="s">
        <v>4235</v>
      </c>
      <c r="B2093" s="3" t="s">
        <v>4236</v>
      </c>
    </row>
    <row r="2094">
      <c r="A2094" s="3" t="s">
        <v>4237</v>
      </c>
      <c r="B2094" s="3" t="s">
        <v>4238</v>
      </c>
    </row>
    <row r="2095">
      <c r="A2095" s="3" t="s">
        <v>4239</v>
      </c>
      <c r="B2095" s="3" t="s">
        <v>4240</v>
      </c>
    </row>
    <row r="2096">
      <c r="A2096" s="3" t="s">
        <v>4241</v>
      </c>
      <c r="B2096" s="3" t="s">
        <v>4242</v>
      </c>
    </row>
    <row r="2097">
      <c r="A2097" s="3" t="s">
        <v>4243</v>
      </c>
      <c r="B2097" s="3" t="s">
        <v>4244</v>
      </c>
    </row>
    <row r="2098">
      <c r="A2098" s="3" t="s">
        <v>4245</v>
      </c>
      <c r="B2098" s="3" t="s">
        <v>4246</v>
      </c>
    </row>
    <row r="2099">
      <c r="A2099" s="3" t="s">
        <v>4247</v>
      </c>
      <c r="B2099" s="3" t="s">
        <v>4248</v>
      </c>
    </row>
    <row r="2100">
      <c r="A2100" s="3" t="s">
        <v>4249</v>
      </c>
      <c r="B2100" s="3" t="s">
        <v>4250</v>
      </c>
    </row>
    <row r="2101">
      <c r="A2101" s="3" t="s">
        <v>4251</v>
      </c>
      <c r="B2101" s="3" t="s">
        <v>4252</v>
      </c>
    </row>
    <row r="2102">
      <c r="A2102" s="3" t="s">
        <v>4253</v>
      </c>
      <c r="B2102" s="3" t="s">
        <v>4254</v>
      </c>
    </row>
    <row r="2103">
      <c r="A2103" s="3" t="s">
        <v>4255</v>
      </c>
      <c r="B2103" s="3" t="s">
        <v>4256</v>
      </c>
    </row>
    <row r="2104">
      <c r="A2104" s="3" t="s">
        <v>4257</v>
      </c>
      <c r="B2104" s="3" t="s">
        <v>4258</v>
      </c>
    </row>
    <row r="2105">
      <c r="A2105" s="3" t="s">
        <v>4259</v>
      </c>
      <c r="B2105" s="3" t="s">
        <v>4260</v>
      </c>
    </row>
    <row r="2106">
      <c r="A2106" s="3" t="s">
        <v>4261</v>
      </c>
      <c r="B2106" s="3" t="s">
        <v>4262</v>
      </c>
    </row>
    <row r="2107">
      <c r="A2107" s="3" t="s">
        <v>4263</v>
      </c>
      <c r="B2107" s="3" t="s">
        <v>4264</v>
      </c>
    </row>
    <row r="2108">
      <c r="A2108" s="3" t="s">
        <v>4265</v>
      </c>
      <c r="B2108" s="3" t="s">
        <v>4266</v>
      </c>
    </row>
    <row r="2109">
      <c r="A2109" s="3" t="s">
        <v>4267</v>
      </c>
      <c r="B2109" s="3" t="s">
        <v>4268</v>
      </c>
    </row>
    <row r="2110">
      <c r="A2110" s="3" t="s">
        <v>4269</v>
      </c>
      <c r="B2110" s="3" t="s">
        <v>4270</v>
      </c>
    </row>
    <row r="2111">
      <c r="A2111" s="3" t="s">
        <v>4271</v>
      </c>
      <c r="B2111" s="3" t="s">
        <v>4272</v>
      </c>
    </row>
    <row r="2112">
      <c r="A2112" s="3" t="s">
        <v>4273</v>
      </c>
      <c r="B2112" s="3" t="s">
        <v>4274</v>
      </c>
    </row>
    <row r="2113">
      <c r="A2113" s="3" t="s">
        <v>4275</v>
      </c>
      <c r="B2113" s="3" t="s">
        <v>4276</v>
      </c>
    </row>
    <row r="2114">
      <c r="A2114" s="3" t="s">
        <v>4277</v>
      </c>
      <c r="B2114" s="3" t="s">
        <v>4278</v>
      </c>
    </row>
    <row r="2115">
      <c r="A2115" s="3" t="s">
        <v>4279</v>
      </c>
      <c r="B2115" s="3" t="s">
        <v>4280</v>
      </c>
    </row>
    <row r="2116">
      <c r="A2116" s="3" t="s">
        <v>4281</v>
      </c>
      <c r="B2116" s="3" t="s">
        <v>4282</v>
      </c>
    </row>
    <row r="2117">
      <c r="A2117" s="3" t="s">
        <v>4283</v>
      </c>
      <c r="B2117" s="3" t="s">
        <v>4284</v>
      </c>
    </row>
    <row r="2118">
      <c r="A2118" s="3" t="s">
        <v>4285</v>
      </c>
      <c r="B2118" s="3" t="s">
        <v>4286</v>
      </c>
    </row>
    <row r="2119">
      <c r="A2119" s="3" t="s">
        <v>4287</v>
      </c>
      <c r="B2119" s="3" t="s">
        <v>4288</v>
      </c>
    </row>
    <row r="2120">
      <c r="A2120" s="3" t="s">
        <v>4289</v>
      </c>
      <c r="B2120" s="3" t="s">
        <v>4290</v>
      </c>
    </row>
    <row r="2121">
      <c r="A2121" s="3" t="s">
        <v>4291</v>
      </c>
      <c r="B2121" s="3" t="s">
        <v>4292</v>
      </c>
    </row>
    <row r="2122">
      <c r="A2122" s="3" t="s">
        <v>4293</v>
      </c>
      <c r="B2122" s="3" t="s">
        <v>4294</v>
      </c>
    </row>
    <row r="2123">
      <c r="A2123" s="3" t="s">
        <v>4295</v>
      </c>
      <c r="B2123" s="3" t="s">
        <v>4296</v>
      </c>
    </row>
    <row r="2124">
      <c r="A2124" s="3" t="s">
        <v>4297</v>
      </c>
      <c r="B2124" s="3" t="s">
        <v>4298</v>
      </c>
    </row>
    <row r="2125">
      <c r="A2125" s="3" t="s">
        <v>4299</v>
      </c>
      <c r="B2125" s="3" t="s">
        <v>4300</v>
      </c>
    </row>
    <row r="2126">
      <c r="A2126" s="3" t="s">
        <v>4301</v>
      </c>
      <c r="B2126" s="3" t="s">
        <v>4302</v>
      </c>
    </row>
    <row r="2127">
      <c r="A2127" s="3" t="s">
        <v>4303</v>
      </c>
      <c r="B2127" s="3" t="s">
        <v>4304</v>
      </c>
    </row>
    <row r="2128">
      <c r="A2128" s="3" t="s">
        <v>4305</v>
      </c>
      <c r="B2128" s="3" t="s">
        <v>4306</v>
      </c>
    </row>
    <row r="2129">
      <c r="A2129" s="3" t="s">
        <v>4307</v>
      </c>
      <c r="B2129" s="3" t="s">
        <v>4308</v>
      </c>
    </row>
    <row r="2130">
      <c r="A2130" s="3" t="s">
        <v>4309</v>
      </c>
      <c r="B2130" s="3" t="s">
        <v>4310</v>
      </c>
    </row>
    <row r="2131">
      <c r="A2131" s="3" t="s">
        <v>4311</v>
      </c>
      <c r="B2131" s="3" t="s">
        <v>4312</v>
      </c>
    </row>
    <row r="2132">
      <c r="A2132" s="3" t="s">
        <v>4313</v>
      </c>
      <c r="B2132" s="3" t="s">
        <v>4314</v>
      </c>
    </row>
    <row r="2133">
      <c r="A2133" s="3" t="s">
        <v>4315</v>
      </c>
      <c r="B2133" s="3" t="s">
        <v>4316</v>
      </c>
    </row>
    <row r="2134">
      <c r="A2134" s="3" t="s">
        <v>4317</v>
      </c>
      <c r="B2134" s="3" t="s">
        <v>4318</v>
      </c>
    </row>
    <row r="2135">
      <c r="A2135" s="3" t="s">
        <v>4319</v>
      </c>
      <c r="B2135" s="3" t="s">
        <v>4320</v>
      </c>
    </row>
    <row r="2136">
      <c r="A2136" s="3" t="s">
        <v>4321</v>
      </c>
      <c r="B2136" s="3" t="s">
        <v>4322</v>
      </c>
    </row>
    <row r="2137">
      <c r="A2137" s="3" t="s">
        <v>4323</v>
      </c>
      <c r="B2137" s="3" t="s">
        <v>4324</v>
      </c>
    </row>
    <row r="2138">
      <c r="A2138" s="3" t="s">
        <v>4325</v>
      </c>
      <c r="B2138" s="3" t="s">
        <v>4326</v>
      </c>
    </row>
    <row r="2139">
      <c r="A2139" s="3" t="s">
        <v>4327</v>
      </c>
      <c r="B2139" s="3" t="s">
        <v>4328</v>
      </c>
    </row>
    <row r="2140">
      <c r="A2140" s="3" t="s">
        <v>4329</v>
      </c>
      <c r="B2140" s="3" t="s">
        <v>4330</v>
      </c>
    </row>
    <row r="2141">
      <c r="A2141" s="3" t="s">
        <v>4331</v>
      </c>
      <c r="B2141" s="3" t="s">
        <v>4332</v>
      </c>
    </row>
    <row r="2142">
      <c r="A2142" s="3" t="s">
        <v>4333</v>
      </c>
      <c r="B2142" s="3" t="s">
        <v>4334</v>
      </c>
    </row>
    <row r="2143">
      <c r="A2143" s="3" t="s">
        <v>4335</v>
      </c>
      <c r="B2143" s="3" t="s">
        <v>4336</v>
      </c>
    </row>
    <row r="2144">
      <c r="A2144" s="3" t="s">
        <v>4337</v>
      </c>
      <c r="B2144" s="3" t="s">
        <v>4338</v>
      </c>
    </row>
    <row r="2145">
      <c r="A2145" s="3" t="s">
        <v>4339</v>
      </c>
      <c r="B2145" s="3" t="s">
        <v>4340</v>
      </c>
    </row>
    <row r="2146">
      <c r="A2146" s="3" t="s">
        <v>4341</v>
      </c>
      <c r="B2146" s="3" t="s">
        <v>4342</v>
      </c>
    </row>
    <row r="2147">
      <c r="A2147" s="3" t="s">
        <v>4343</v>
      </c>
      <c r="B2147" s="3" t="s">
        <v>4344</v>
      </c>
    </row>
    <row r="2148">
      <c r="A2148" s="3" t="s">
        <v>4345</v>
      </c>
      <c r="B2148" s="3" t="s">
        <v>4346</v>
      </c>
    </row>
    <row r="2149">
      <c r="A2149" s="3" t="s">
        <v>4347</v>
      </c>
      <c r="B2149" s="3" t="s">
        <v>4348</v>
      </c>
    </row>
    <row r="2150">
      <c r="A2150" s="3" t="s">
        <v>4349</v>
      </c>
      <c r="B2150" s="3" t="s">
        <v>4350</v>
      </c>
    </row>
    <row r="2151">
      <c r="A2151" s="3" t="s">
        <v>4351</v>
      </c>
      <c r="B2151" s="3" t="s">
        <v>4352</v>
      </c>
    </row>
    <row r="2152">
      <c r="A2152" s="3" t="s">
        <v>4353</v>
      </c>
      <c r="B2152" s="3" t="s">
        <v>4354</v>
      </c>
    </row>
    <row r="2153">
      <c r="A2153" s="3" t="s">
        <v>4355</v>
      </c>
      <c r="B2153" s="3" t="s">
        <v>4356</v>
      </c>
    </row>
    <row r="2154">
      <c r="A2154" s="3" t="s">
        <v>4357</v>
      </c>
      <c r="B2154" s="3" t="s">
        <v>4358</v>
      </c>
    </row>
    <row r="2155">
      <c r="A2155" s="3" t="s">
        <v>4359</v>
      </c>
      <c r="B2155" s="3" t="s">
        <v>4360</v>
      </c>
    </row>
    <row r="2156">
      <c r="A2156" s="3" t="s">
        <v>4361</v>
      </c>
      <c r="B2156" s="3" t="s">
        <v>4362</v>
      </c>
    </row>
    <row r="2157">
      <c r="A2157" s="3" t="s">
        <v>4363</v>
      </c>
      <c r="B2157" s="3" t="s">
        <v>4364</v>
      </c>
    </row>
    <row r="2158">
      <c r="A2158" s="3" t="s">
        <v>4365</v>
      </c>
      <c r="B2158" s="3" t="s">
        <v>4366</v>
      </c>
    </row>
    <row r="2159">
      <c r="A2159" s="3" t="s">
        <v>4367</v>
      </c>
      <c r="B2159" s="3" t="s">
        <v>4368</v>
      </c>
    </row>
    <row r="2160">
      <c r="A2160" s="3" t="s">
        <v>4369</v>
      </c>
      <c r="B2160" s="3" t="s">
        <v>4370</v>
      </c>
    </row>
    <row r="2161">
      <c r="A2161" s="3" t="s">
        <v>4371</v>
      </c>
      <c r="B2161" s="3" t="s">
        <v>4372</v>
      </c>
    </row>
    <row r="2162">
      <c r="A2162" s="3" t="s">
        <v>4373</v>
      </c>
      <c r="B2162" s="3" t="s">
        <v>4374</v>
      </c>
    </row>
    <row r="2163">
      <c r="A2163" s="3" t="s">
        <v>4375</v>
      </c>
      <c r="B2163" s="3" t="s">
        <v>4376</v>
      </c>
    </row>
    <row r="2164">
      <c r="A2164" s="3" t="s">
        <v>4377</v>
      </c>
      <c r="B2164" s="3" t="s">
        <v>4378</v>
      </c>
    </row>
    <row r="2165">
      <c r="A2165" s="3" t="s">
        <v>4379</v>
      </c>
      <c r="B2165" s="3" t="s">
        <v>4380</v>
      </c>
    </row>
    <row r="2166">
      <c r="A2166" s="3" t="s">
        <v>4381</v>
      </c>
      <c r="B2166" s="3" t="s">
        <v>4382</v>
      </c>
    </row>
    <row r="2167">
      <c r="A2167" s="3" t="s">
        <v>4383</v>
      </c>
      <c r="B2167" s="3" t="s">
        <v>4384</v>
      </c>
    </row>
    <row r="2168">
      <c r="A2168" s="3" t="s">
        <v>4385</v>
      </c>
      <c r="B2168" s="3" t="s">
        <v>4386</v>
      </c>
    </row>
    <row r="2169">
      <c r="A2169" s="3" t="s">
        <v>4387</v>
      </c>
      <c r="B2169" s="3" t="s">
        <v>4388</v>
      </c>
    </row>
    <row r="2170">
      <c r="A2170" s="3" t="s">
        <v>4389</v>
      </c>
      <c r="B2170" s="3" t="s">
        <v>4390</v>
      </c>
    </row>
    <row r="2171">
      <c r="A2171" s="3" t="s">
        <v>4391</v>
      </c>
      <c r="B2171" s="3" t="s">
        <v>4392</v>
      </c>
    </row>
    <row r="2172">
      <c r="A2172" s="3" t="s">
        <v>4393</v>
      </c>
      <c r="B2172" s="3" t="s">
        <v>4394</v>
      </c>
    </row>
    <row r="2173">
      <c r="A2173" s="3" t="s">
        <v>4395</v>
      </c>
      <c r="B2173" s="3" t="s">
        <v>4396</v>
      </c>
    </row>
    <row r="2174">
      <c r="A2174" s="3" t="s">
        <v>4397</v>
      </c>
      <c r="B2174" s="3" t="s">
        <v>4398</v>
      </c>
    </row>
    <row r="2175">
      <c r="A2175" s="3" t="s">
        <v>4399</v>
      </c>
      <c r="B2175" s="3" t="s">
        <v>4400</v>
      </c>
    </row>
    <row r="2176">
      <c r="A2176" s="3" t="s">
        <v>4401</v>
      </c>
      <c r="B2176" s="3" t="s">
        <v>4402</v>
      </c>
    </row>
    <row r="2177">
      <c r="A2177" s="3" t="s">
        <v>4403</v>
      </c>
      <c r="B2177" s="3" t="s">
        <v>4404</v>
      </c>
    </row>
    <row r="2178">
      <c r="A2178" s="3" t="s">
        <v>4405</v>
      </c>
      <c r="B2178" s="3" t="s">
        <v>4406</v>
      </c>
    </row>
    <row r="2179">
      <c r="A2179" s="3" t="s">
        <v>4407</v>
      </c>
      <c r="B2179" s="3" t="s">
        <v>4408</v>
      </c>
    </row>
    <row r="2180">
      <c r="A2180" s="3" t="s">
        <v>4409</v>
      </c>
      <c r="B2180" s="3" t="s">
        <v>4410</v>
      </c>
    </row>
    <row r="2181">
      <c r="A2181" s="3" t="s">
        <v>4411</v>
      </c>
      <c r="B2181" s="3" t="s">
        <v>4412</v>
      </c>
    </row>
    <row r="2182">
      <c r="A2182" s="3" t="s">
        <v>4413</v>
      </c>
      <c r="B2182" s="3" t="s">
        <v>4414</v>
      </c>
    </row>
    <row r="2183">
      <c r="A2183" s="3" t="s">
        <v>4415</v>
      </c>
      <c r="B2183" s="3" t="s">
        <v>4416</v>
      </c>
    </row>
    <row r="2184">
      <c r="A2184" s="3" t="s">
        <v>4417</v>
      </c>
      <c r="B2184" s="3" t="s">
        <v>4418</v>
      </c>
    </row>
    <row r="2185">
      <c r="A2185" s="3" t="s">
        <v>4419</v>
      </c>
      <c r="B2185" s="3" t="s">
        <v>4420</v>
      </c>
    </row>
    <row r="2186">
      <c r="A2186" s="3" t="s">
        <v>4421</v>
      </c>
      <c r="B2186" s="3" t="s">
        <v>4422</v>
      </c>
    </row>
    <row r="2187">
      <c r="A2187" s="3" t="s">
        <v>4423</v>
      </c>
      <c r="B2187" s="3" t="s">
        <v>4424</v>
      </c>
    </row>
    <row r="2188">
      <c r="A2188" s="3" t="s">
        <v>4425</v>
      </c>
      <c r="B2188" s="3" t="s">
        <v>4426</v>
      </c>
    </row>
    <row r="2189">
      <c r="A2189" s="3" t="s">
        <v>4427</v>
      </c>
      <c r="B2189" s="3" t="s">
        <v>4428</v>
      </c>
    </row>
    <row r="2190">
      <c r="A2190" s="3" t="s">
        <v>4429</v>
      </c>
      <c r="B2190" s="3" t="s">
        <v>4430</v>
      </c>
    </row>
    <row r="2191">
      <c r="A2191" s="3" t="s">
        <v>4431</v>
      </c>
      <c r="B2191" s="3" t="s">
        <v>4432</v>
      </c>
    </row>
    <row r="2192">
      <c r="A2192" s="3" t="s">
        <v>4433</v>
      </c>
      <c r="B2192" s="3" t="s">
        <v>4434</v>
      </c>
    </row>
    <row r="2193">
      <c r="A2193" s="3" t="s">
        <v>4435</v>
      </c>
      <c r="B2193" s="3" t="s">
        <v>4436</v>
      </c>
    </row>
    <row r="2194">
      <c r="A2194" s="3" t="s">
        <v>4437</v>
      </c>
      <c r="B2194" s="3" t="s">
        <v>4438</v>
      </c>
    </row>
    <row r="2195">
      <c r="A2195" s="3" t="s">
        <v>4439</v>
      </c>
      <c r="B2195" s="3" t="s">
        <v>4440</v>
      </c>
    </row>
    <row r="2196">
      <c r="A2196" s="3" t="s">
        <v>4441</v>
      </c>
      <c r="B2196" s="3" t="s">
        <v>4442</v>
      </c>
    </row>
    <row r="2197">
      <c r="A2197" s="3" t="s">
        <v>4443</v>
      </c>
      <c r="B2197" s="3" t="s">
        <v>4444</v>
      </c>
    </row>
    <row r="2198">
      <c r="A2198" s="3" t="s">
        <v>4445</v>
      </c>
      <c r="B2198" s="3" t="s">
        <v>4446</v>
      </c>
    </row>
    <row r="2199">
      <c r="A2199" s="3" t="s">
        <v>4447</v>
      </c>
      <c r="B2199" s="3" t="s">
        <v>4448</v>
      </c>
    </row>
    <row r="2200">
      <c r="A2200" s="3" t="s">
        <v>4449</v>
      </c>
      <c r="B2200" s="3" t="s">
        <v>4450</v>
      </c>
    </row>
    <row r="2201">
      <c r="A2201" s="3" t="s">
        <v>4451</v>
      </c>
      <c r="B2201" s="3" t="s">
        <v>4452</v>
      </c>
    </row>
    <row r="2202">
      <c r="A2202" s="3" t="s">
        <v>4453</v>
      </c>
      <c r="B2202" s="3" t="s">
        <v>4454</v>
      </c>
    </row>
    <row r="2203">
      <c r="A2203" s="3" t="s">
        <v>4455</v>
      </c>
      <c r="B2203" s="3" t="s">
        <v>4456</v>
      </c>
    </row>
    <row r="2204">
      <c r="A2204" s="3" t="s">
        <v>4457</v>
      </c>
      <c r="B2204" s="3" t="s">
        <v>4458</v>
      </c>
    </row>
    <row r="2205">
      <c r="A2205" s="3" t="s">
        <v>4459</v>
      </c>
      <c r="B2205" s="3" t="s">
        <v>4460</v>
      </c>
    </row>
    <row r="2206">
      <c r="A2206" s="3" t="s">
        <v>4461</v>
      </c>
      <c r="B2206" s="3" t="s">
        <v>4462</v>
      </c>
    </row>
    <row r="2207">
      <c r="A2207" s="3" t="s">
        <v>4463</v>
      </c>
      <c r="B2207" s="3" t="s">
        <v>4464</v>
      </c>
    </row>
    <row r="2208">
      <c r="A2208" s="3" t="s">
        <v>4465</v>
      </c>
      <c r="B2208" s="3" t="s">
        <v>4466</v>
      </c>
    </row>
    <row r="2209">
      <c r="A2209" s="3" t="s">
        <v>4467</v>
      </c>
      <c r="B2209" s="3" t="s">
        <v>4468</v>
      </c>
    </row>
    <row r="2210">
      <c r="A2210" s="3" t="s">
        <v>4469</v>
      </c>
      <c r="B2210" s="3" t="s">
        <v>4470</v>
      </c>
    </row>
    <row r="2211">
      <c r="A2211" s="3" t="s">
        <v>4471</v>
      </c>
      <c r="B2211" s="3" t="s">
        <v>4472</v>
      </c>
    </row>
    <row r="2212">
      <c r="A2212" s="3" t="s">
        <v>4473</v>
      </c>
      <c r="B2212" s="3" t="s">
        <v>4474</v>
      </c>
    </row>
    <row r="2213">
      <c r="A2213" s="3" t="s">
        <v>4475</v>
      </c>
      <c r="B2213" s="3" t="s">
        <v>4476</v>
      </c>
    </row>
    <row r="2214">
      <c r="A2214" s="3" t="s">
        <v>4477</v>
      </c>
      <c r="B2214" s="3" t="s">
        <v>4478</v>
      </c>
    </row>
    <row r="2215">
      <c r="A2215" s="3" t="s">
        <v>4479</v>
      </c>
      <c r="B2215" s="3" t="s">
        <v>4480</v>
      </c>
    </row>
    <row r="2216">
      <c r="A2216" s="3" t="s">
        <v>4481</v>
      </c>
      <c r="B2216" s="3" t="s">
        <v>4482</v>
      </c>
    </row>
    <row r="2217">
      <c r="A2217" s="3" t="s">
        <v>4483</v>
      </c>
      <c r="B2217" s="3" t="s">
        <v>4484</v>
      </c>
    </row>
    <row r="2218">
      <c r="A2218" s="3" t="s">
        <v>4485</v>
      </c>
      <c r="B2218" s="3" t="s">
        <v>4486</v>
      </c>
    </row>
    <row r="2219">
      <c r="A2219" s="3" t="s">
        <v>4487</v>
      </c>
      <c r="B2219" s="3" t="s">
        <v>4488</v>
      </c>
    </row>
    <row r="2220">
      <c r="A2220" s="3" t="s">
        <v>4489</v>
      </c>
      <c r="B2220" s="3" t="s">
        <v>4490</v>
      </c>
    </row>
    <row r="2221">
      <c r="A2221" s="3" t="s">
        <v>4491</v>
      </c>
      <c r="B2221" s="3" t="s">
        <v>4492</v>
      </c>
    </row>
    <row r="2222">
      <c r="A2222" s="3" t="s">
        <v>4493</v>
      </c>
      <c r="B2222" s="3" t="s">
        <v>4494</v>
      </c>
    </row>
    <row r="2223">
      <c r="A2223" s="3" t="s">
        <v>4495</v>
      </c>
      <c r="B2223" s="3" t="s">
        <v>4496</v>
      </c>
    </row>
    <row r="2224">
      <c r="A2224" s="3" t="s">
        <v>4497</v>
      </c>
      <c r="B2224" s="3" t="s">
        <v>4498</v>
      </c>
    </row>
    <row r="2225">
      <c r="A2225" s="3" t="s">
        <v>4499</v>
      </c>
      <c r="B2225" s="3" t="s">
        <v>4500</v>
      </c>
    </row>
    <row r="2226">
      <c r="A2226" s="3" t="s">
        <v>4501</v>
      </c>
      <c r="B2226" s="3" t="s">
        <v>4502</v>
      </c>
    </row>
    <row r="2227">
      <c r="A2227" s="3" t="s">
        <v>4503</v>
      </c>
      <c r="B2227" s="3" t="s">
        <v>4504</v>
      </c>
    </row>
    <row r="2228">
      <c r="A2228" s="3" t="s">
        <v>4505</v>
      </c>
      <c r="B2228" s="3" t="s">
        <v>4506</v>
      </c>
    </row>
    <row r="2229">
      <c r="A2229" s="3" t="s">
        <v>4507</v>
      </c>
      <c r="B2229" s="3" t="s">
        <v>4508</v>
      </c>
    </row>
    <row r="2230">
      <c r="A2230" s="3" t="s">
        <v>4509</v>
      </c>
      <c r="B2230" s="3" t="s">
        <v>4510</v>
      </c>
    </row>
    <row r="2231">
      <c r="A2231" s="3" t="s">
        <v>4511</v>
      </c>
      <c r="B2231" s="3" t="s">
        <v>4512</v>
      </c>
    </row>
    <row r="2232">
      <c r="A2232" s="3" t="s">
        <v>4513</v>
      </c>
      <c r="B2232" s="3" t="s">
        <v>4514</v>
      </c>
    </row>
    <row r="2233">
      <c r="A2233" s="3" t="s">
        <v>4515</v>
      </c>
      <c r="B2233" s="3" t="s">
        <v>4516</v>
      </c>
    </row>
    <row r="2234">
      <c r="A2234" s="3" t="s">
        <v>4517</v>
      </c>
      <c r="B2234" s="3" t="s">
        <v>4518</v>
      </c>
    </row>
    <row r="2235">
      <c r="A2235" s="3" t="s">
        <v>4519</v>
      </c>
      <c r="B2235" s="3" t="s">
        <v>4520</v>
      </c>
    </row>
    <row r="2236">
      <c r="A2236" s="3" t="s">
        <v>4521</v>
      </c>
      <c r="B2236" s="3" t="s">
        <v>4522</v>
      </c>
    </row>
    <row r="2237">
      <c r="A2237" s="3" t="s">
        <v>4523</v>
      </c>
      <c r="B2237" s="3" t="s">
        <v>4524</v>
      </c>
    </row>
    <row r="2238">
      <c r="A2238" s="3" t="s">
        <v>4525</v>
      </c>
      <c r="B2238" s="3" t="s">
        <v>4526</v>
      </c>
    </row>
    <row r="2239">
      <c r="A2239" s="3" t="s">
        <v>4527</v>
      </c>
      <c r="B2239" s="3" t="s">
        <v>4528</v>
      </c>
    </row>
    <row r="2240">
      <c r="A2240" s="3" t="s">
        <v>4529</v>
      </c>
      <c r="B2240" s="3" t="s">
        <v>4530</v>
      </c>
    </row>
    <row r="2241">
      <c r="A2241" s="3" t="s">
        <v>4531</v>
      </c>
      <c r="B2241" s="3" t="s">
        <v>4532</v>
      </c>
    </row>
    <row r="2242">
      <c r="A2242" s="3" t="s">
        <v>4533</v>
      </c>
      <c r="B2242" s="3" t="s">
        <v>4534</v>
      </c>
    </row>
    <row r="2243">
      <c r="A2243" s="3" t="s">
        <v>4535</v>
      </c>
      <c r="B2243" s="3" t="s">
        <v>4536</v>
      </c>
    </row>
    <row r="2244">
      <c r="A2244" s="3" t="s">
        <v>4537</v>
      </c>
      <c r="B2244" s="3" t="s">
        <v>4538</v>
      </c>
    </row>
    <row r="2245">
      <c r="A2245" s="3" t="s">
        <v>4539</v>
      </c>
      <c r="B2245" s="3" t="s">
        <v>4540</v>
      </c>
    </row>
    <row r="2246">
      <c r="A2246" s="3" t="s">
        <v>4541</v>
      </c>
      <c r="B2246" s="3" t="s">
        <v>4542</v>
      </c>
    </row>
    <row r="2247">
      <c r="A2247" s="3" t="s">
        <v>4543</v>
      </c>
      <c r="B2247" s="3" t="s">
        <v>4544</v>
      </c>
    </row>
    <row r="2248">
      <c r="A2248" s="3" t="s">
        <v>4545</v>
      </c>
      <c r="B2248" s="3" t="s">
        <v>4546</v>
      </c>
    </row>
    <row r="2249">
      <c r="A2249" s="3" t="s">
        <v>4547</v>
      </c>
      <c r="B2249" s="3" t="s">
        <v>4548</v>
      </c>
    </row>
    <row r="2250">
      <c r="A2250" s="3" t="s">
        <v>4549</v>
      </c>
      <c r="B2250" s="3" t="s">
        <v>4550</v>
      </c>
    </row>
    <row r="2251">
      <c r="A2251" s="3" t="s">
        <v>4551</v>
      </c>
      <c r="B2251" s="3" t="s">
        <v>4552</v>
      </c>
    </row>
    <row r="2252">
      <c r="A2252" s="3" t="s">
        <v>4553</v>
      </c>
      <c r="B2252" s="3" t="s">
        <v>4554</v>
      </c>
    </row>
    <row r="2253">
      <c r="A2253" s="3" t="s">
        <v>4555</v>
      </c>
      <c r="B2253" s="3" t="s">
        <v>4556</v>
      </c>
    </row>
    <row r="2254">
      <c r="A2254" s="3" t="s">
        <v>4557</v>
      </c>
      <c r="B2254" s="3" t="s">
        <v>4558</v>
      </c>
    </row>
    <row r="2255">
      <c r="A2255" s="3" t="s">
        <v>4559</v>
      </c>
      <c r="B2255" s="3" t="s">
        <v>4560</v>
      </c>
    </row>
    <row r="2256">
      <c r="A2256" s="3" t="s">
        <v>4561</v>
      </c>
      <c r="B2256" s="3" t="s">
        <v>4562</v>
      </c>
    </row>
    <row r="2257">
      <c r="A2257" s="3" t="s">
        <v>4563</v>
      </c>
      <c r="B2257" s="3" t="s">
        <v>4564</v>
      </c>
    </row>
    <row r="2258">
      <c r="A2258" s="3" t="s">
        <v>4565</v>
      </c>
      <c r="B2258" s="3" t="s">
        <v>4566</v>
      </c>
    </row>
    <row r="2259">
      <c r="A2259" s="3" t="s">
        <v>4567</v>
      </c>
      <c r="B2259" s="3" t="s">
        <v>4568</v>
      </c>
    </row>
    <row r="2260">
      <c r="A2260" s="3" t="s">
        <v>4569</v>
      </c>
      <c r="B2260" s="3" t="s">
        <v>4570</v>
      </c>
    </row>
    <row r="2261">
      <c r="A2261" s="3" t="s">
        <v>4571</v>
      </c>
      <c r="B2261" s="3" t="s">
        <v>4572</v>
      </c>
    </row>
    <row r="2262">
      <c r="A2262" s="3" t="s">
        <v>4573</v>
      </c>
      <c r="B2262" s="3" t="s">
        <v>4574</v>
      </c>
    </row>
    <row r="2263">
      <c r="A2263" s="3" t="s">
        <v>4575</v>
      </c>
      <c r="B2263" s="3" t="s">
        <v>4576</v>
      </c>
    </row>
    <row r="2264">
      <c r="A2264" s="3" t="s">
        <v>4577</v>
      </c>
      <c r="B2264" s="3" t="s">
        <v>4578</v>
      </c>
    </row>
    <row r="2265">
      <c r="A2265" s="3" t="s">
        <v>4579</v>
      </c>
      <c r="B2265" s="3" t="s">
        <v>4580</v>
      </c>
    </row>
    <row r="2266">
      <c r="A2266" s="3" t="s">
        <v>4581</v>
      </c>
      <c r="B2266" s="3" t="s">
        <v>4582</v>
      </c>
    </row>
    <row r="2267">
      <c r="A2267" s="3" t="s">
        <v>4583</v>
      </c>
      <c r="B2267" s="3" t="s">
        <v>4584</v>
      </c>
    </row>
    <row r="2268">
      <c r="A2268" s="3" t="s">
        <v>4585</v>
      </c>
      <c r="B2268" s="3" t="s">
        <v>4586</v>
      </c>
    </row>
    <row r="2269">
      <c r="A2269" s="3" t="s">
        <v>4587</v>
      </c>
      <c r="B2269" s="3" t="s">
        <v>4588</v>
      </c>
    </row>
    <row r="2270">
      <c r="A2270" s="3" t="s">
        <v>4589</v>
      </c>
      <c r="B2270" s="3" t="s">
        <v>4590</v>
      </c>
    </row>
    <row r="2271">
      <c r="A2271" s="3" t="s">
        <v>4591</v>
      </c>
      <c r="B2271" s="3" t="s">
        <v>4592</v>
      </c>
    </row>
    <row r="2272">
      <c r="A2272" s="3" t="s">
        <v>4593</v>
      </c>
      <c r="B2272" s="3" t="s">
        <v>4594</v>
      </c>
    </row>
    <row r="2273">
      <c r="A2273" s="3" t="s">
        <v>4595</v>
      </c>
      <c r="B2273" s="3" t="s">
        <v>4596</v>
      </c>
    </row>
    <row r="2274">
      <c r="A2274" s="3" t="s">
        <v>4597</v>
      </c>
      <c r="B2274" s="3" t="s">
        <v>4598</v>
      </c>
    </row>
    <row r="2275">
      <c r="A2275" s="3" t="s">
        <v>4599</v>
      </c>
      <c r="B2275" s="3" t="s">
        <v>4600</v>
      </c>
    </row>
    <row r="2276">
      <c r="A2276" s="3" t="s">
        <v>4601</v>
      </c>
      <c r="B2276" s="3" t="s">
        <v>4602</v>
      </c>
    </row>
    <row r="2277">
      <c r="A2277" s="3" t="s">
        <v>4603</v>
      </c>
      <c r="B2277" s="3" t="s">
        <v>4604</v>
      </c>
    </row>
    <row r="2278">
      <c r="A2278" s="3" t="s">
        <v>4605</v>
      </c>
      <c r="B2278" s="3" t="s">
        <v>4606</v>
      </c>
    </row>
    <row r="2279">
      <c r="A2279" s="3" t="s">
        <v>4607</v>
      </c>
      <c r="B2279" s="3" t="s">
        <v>4608</v>
      </c>
    </row>
    <row r="2280">
      <c r="A2280" s="3" t="s">
        <v>4609</v>
      </c>
      <c r="B2280" s="3" t="s">
        <v>4610</v>
      </c>
    </row>
    <row r="2281">
      <c r="A2281" s="3" t="s">
        <v>4611</v>
      </c>
      <c r="B2281" s="3" t="s">
        <v>4612</v>
      </c>
    </row>
    <row r="2282">
      <c r="A2282" s="3" t="s">
        <v>4613</v>
      </c>
      <c r="B2282" s="3" t="s">
        <v>4614</v>
      </c>
    </row>
    <row r="2283">
      <c r="A2283" s="3" t="s">
        <v>4615</v>
      </c>
      <c r="B2283" s="3" t="s">
        <v>4616</v>
      </c>
    </row>
    <row r="2284">
      <c r="A2284" s="3" t="s">
        <v>4617</v>
      </c>
      <c r="B2284" s="3" t="s">
        <v>4618</v>
      </c>
    </row>
    <row r="2285">
      <c r="A2285" s="3" t="s">
        <v>4619</v>
      </c>
      <c r="B2285" s="3" t="s">
        <v>4620</v>
      </c>
    </row>
    <row r="2286">
      <c r="A2286" s="3" t="s">
        <v>4621</v>
      </c>
      <c r="B2286" s="3" t="s">
        <v>4622</v>
      </c>
    </row>
    <row r="2287">
      <c r="A2287" s="3" t="s">
        <v>4623</v>
      </c>
      <c r="B2287" s="3" t="s">
        <v>4624</v>
      </c>
    </row>
    <row r="2288">
      <c r="A2288" s="3" t="s">
        <v>4625</v>
      </c>
      <c r="B2288" s="3" t="s">
        <v>4626</v>
      </c>
    </row>
    <row r="2289">
      <c r="A2289" s="3" t="s">
        <v>4627</v>
      </c>
      <c r="B2289" s="3" t="s">
        <v>4628</v>
      </c>
    </row>
    <row r="2290">
      <c r="A2290" s="3" t="s">
        <v>4629</v>
      </c>
      <c r="B2290" s="3" t="s">
        <v>4630</v>
      </c>
    </row>
    <row r="2291">
      <c r="A2291" s="3" t="s">
        <v>4631</v>
      </c>
      <c r="B2291" s="3" t="s">
        <v>4632</v>
      </c>
    </row>
    <row r="2292">
      <c r="A2292" s="3" t="s">
        <v>4633</v>
      </c>
      <c r="B2292" s="3" t="s">
        <v>4634</v>
      </c>
    </row>
    <row r="2293">
      <c r="A2293" s="3" t="s">
        <v>4635</v>
      </c>
      <c r="B2293" s="3" t="s">
        <v>4636</v>
      </c>
    </row>
    <row r="2294">
      <c r="A2294" s="3" t="s">
        <v>4637</v>
      </c>
      <c r="B2294" s="3" t="s">
        <v>4638</v>
      </c>
    </row>
    <row r="2295">
      <c r="A2295" s="3" t="s">
        <v>4639</v>
      </c>
      <c r="B2295" s="3" t="s">
        <v>4640</v>
      </c>
    </row>
    <row r="2296">
      <c r="A2296" s="3" t="s">
        <v>4641</v>
      </c>
      <c r="B2296" s="3" t="s">
        <v>4642</v>
      </c>
    </row>
    <row r="2297">
      <c r="A2297" s="3" t="s">
        <v>4643</v>
      </c>
      <c r="B2297" s="3" t="s">
        <v>4644</v>
      </c>
    </row>
    <row r="2298">
      <c r="A2298" s="3" t="s">
        <v>4645</v>
      </c>
      <c r="B2298" s="3" t="s">
        <v>4646</v>
      </c>
    </row>
    <row r="2299">
      <c r="A2299" s="3" t="s">
        <v>4647</v>
      </c>
      <c r="B2299" s="3" t="s">
        <v>4648</v>
      </c>
    </row>
    <row r="2300">
      <c r="A2300" s="3" t="s">
        <v>4649</v>
      </c>
      <c r="B2300" s="3" t="s">
        <v>4650</v>
      </c>
    </row>
    <row r="2301">
      <c r="A2301" s="3" t="s">
        <v>4651</v>
      </c>
      <c r="B2301" s="3" t="s">
        <v>4652</v>
      </c>
    </row>
    <row r="2302">
      <c r="A2302" s="3" t="s">
        <v>4653</v>
      </c>
      <c r="B2302" s="3" t="s">
        <v>4654</v>
      </c>
    </row>
    <row r="2303">
      <c r="A2303" s="3" t="s">
        <v>4655</v>
      </c>
      <c r="B2303" s="3" t="s">
        <v>4656</v>
      </c>
    </row>
    <row r="2304">
      <c r="A2304" s="3" t="s">
        <v>4657</v>
      </c>
      <c r="B2304" s="3" t="s">
        <v>4658</v>
      </c>
    </row>
    <row r="2305">
      <c r="A2305" s="3" t="s">
        <v>4659</v>
      </c>
      <c r="B2305" s="3" t="s">
        <v>4660</v>
      </c>
    </row>
    <row r="2306">
      <c r="A2306" s="3" t="s">
        <v>4661</v>
      </c>
      <c r="B2306" s="3" t="s">
        <v>4662</v>
      </c>
    </row>
    <row r="2307">
      <c r="A2307" s="3" t="s">
        <v>4663</v>
      </c>
      <c r="B2307" s="3" t="s">
        <v>4664</v>
      </c>
    </row>
    <row r="2308">
      <c r="A2308" s="3" t="s">
        <v>4665</v>
      </c>
      <c r="B2308" s="3" t="s">
        <v>4666</v>
      </c>
    </row>
    <row r="2309">
      <c r="A2309" s="3" t="s">
        <v>4667</v>
      </c>
      <c r="B2309" s="3" t="s">
        <v>4668</v>
      </c>
    </row>
    <row r="2310">
      <c r="A2310" s="3" t="s">
        <v>4669</v>
      </c>
      <c r="B2310" s="3" t="s">
        <v>4670</v>
      </c>
    </row>
    <row r="2311">
      <c r="A2311" s="3" t="s">
        <v>4671</v>
      </c>
      <c r="B2311" s="3" t="s">
        <v>4672</v>
      </c>
    </row>
    <row r="2312">
      <c r="A2312" s="3" t="s">
        <v>4673</v>
      </c>
      <c r="B2312" s="3" t="s">
        <v>4674</v>
      </c>
    </row>
    <row r="2313">
      <c r="A2313" s="3" t="s">
        <v>4675</v>
      </c>
      <c r="B2313" s="3" t="s">
        <v>4676</v>
      </c>
    </row>
    <row r="2314">
      <c r="A2314" s="3" t="s">
        <v>4677</v>
      </c>
      <c r="B2314" s="3" t="s">
        <v>4678</v>
      </c>
    </row>
    <row r="2315">
      <c r="A2315" s="3" t="s">
        <v>4679</v>
      </c>
      <c r="B2315" s="3" t="s">
        <v>4680</v>
      </c>
    </row>
    <row r="2316">
      <c r="A2316" s="3" t="s">
        <v>4681</v>
      </c>
      <c r="B2316" s="3" t="s">
        <v>4682</v>
      </c>
    </row>
    <row r="2317">
      <c r="A2317" s="3" t="s">
        <v>4683</v>
      </c>
      <c r="B2317" s="3" t="s">
        <v>4684</v>
      </c>
    </row>
    <row r="2318">
      <c r="A2318" s="3" t="s">
        <v>4685</v>
      </c>
      <c r="B2318" s="3" t="s">
        <v>4686</v>
      </c>
    </row>
    <row r="2319">
      <c r="A2319" s="3" t="s">
        <v>4687</v>
      </c>
      <c r="B2319" s="3" t="s">
        <v>4688</v>
      </c>
    </row>
    <row r="2320">
      <c r="A2320" s="3" t="s">
        <v>4689</v>
      </c>
      <c r="B2320" s="3" t="s">
        <v>4690</v>
      </c>
    </row>
    <row r="2321">
      <c r="A2321" s="3" t="s">
        <v>4691</v>
      </c>
      <c r="B2321" s="3" t="s">
        <v>4692</v>
      </c>
    </row>
    <row r="2322">
      <c r="A2322" s="3" t="s">
        <v>4693</v>
      </c>
      <c r="B2322" s="3" t="s">
        <v>4694</v>
      </c>
    </row>
    <row r="2323">
      <c r="A2323" s="3" t="s">
        <v>4695</v>
      </c>
      <c r="B2323" s="3" t="s">
        <v>4696</v>
      </c>
    </row>
    <row r="2324">
      <c r="A2324" s="3" t="s">
        <v>4697</v>
      </c>
      <c r="B2324" s="3" t="s">
        <v>4698</v>
      </c>
    </row>
    <row r="2325">
      <c r="A2325" s="3" t="s">
        <v>4699</v>
      </c>
      <c r="B2325" s="3" t="s">
        <v>4700</v>
      </c>
    </row>
    <row r="2326">
      <c r="A2326" s="3" t="s">
        <v>4701</v>
      </c>
      <c r="B2326" s="3" t="s">
        <v>4702</v>
      </c>
    </row>
    <row r="2327">
      <c r="A2327" s="3" t="s">
        <v>4703</v>
      </c>
      <c r="B2327" s="3" t="s">
        <v>4704</v>
      </c>
    </row>
    <row r="2328">
      <c r="A2328" s="3" t="s">
        <v>4705</v>
      </c>
      <c r="B2328" s="3" t="s">
        <v>4706</v>
      </c>
    </row>
    <row r="2329">
      <c r="A2329" s="3" t="s">
        <v>4707</v>
      </c>
      <c r="B2329" s="3" t="s">
        <v>4708</v>
      </c>
    </row>
    <row r="2330">
      <c r="A2330" s="3" t="s">
        <v>4709</v>
      </c>
      <c r="B2330" s="3" t="s">
        <v>4710</v>
      </c>
    </row>
    <row r="2331">
      <c r="A2331" s="3" t="s">
        <v>4711</v>
      </c>
      <c r="B2331" s="3" t="s">
        <v>4712</v>
      </c>
    </row>
    <row r="2332">
      <c r="A2332" s="3" t="s">
        <v>4713</v>
      </c>
      <c r="B2332" s="3" t="s">
        <v>4714</v>
      </c>
    </row>
    <row r="2333">
      <c r="A2333" s="3" t="s">
        <v>4715</v>
      </c>
      <c r="B2333" s="3" t="s">
        <v>4716</v>
      </c>
    </row>
    <row r="2334">
      <c r="A2334" s="3" t="s">
        <v>4717</v>
      </c>
      <c r="B2334" s="3" t="s">
        <v>4718</v>
      </c>
    </row>
    <row r="2335">
      <c r="A2335" s="3" t="s">
        <v>4719</v>
      </c>
      <c r="B2335" s="3" t="s">
        <v>4720</v>
      </c>
    </row>
    <row r="2336">
      <c r="A2336" s="3" t="s">
        <v>4721</v>
      </c>
      <c r="B2336" s="3" t="s">
        <v>4722</v>
      </c>
    </row>
    <row r="2337">
      <c r="A2337" s="3" t="s">
        <v>4723</v>
      </c>
      <c r="B2337" s="3" t="s">
        <v>4724</v>
      </c>
    </row>
    <row r="2338">
      <c r="A2338" s="3" t="s">
        <v>4725</v>
      </c>
      <c r="B2338" s="3" t="s">
        <v>4726</v>
      </c>
    </row>
    <row r="2339">
      <c r="A2339" s="3" t="s">
        <v>4727</v>
      </c>
      <c r="B2339" s="3" t="s">
        <v>4728</v>
      </c>
    </row>
    <row r="2340">
      <c r="A2340" s="3" t="s">
        <v>4729</v>
      </c>
      <c r="B2340" s="3" t="s">
        <v>4730</v>
      </c>
    </row>
    <row r="2341">
      <c r="A2341" s="3" t="s">
        <v>4731</v>
      </c>
      <c r="B2341" s="3" t="s">
        <v>4732</v>
      </c>
    </row>
    <row r="2342">
      <c r="A2342" s="3" t="s">
        <v>4733</v>
      </c>
      <c r="B2342" s="3" t="s">
        <v>4734</v>
      </c>
    </row>
    <row r="2343">
      <c r="A2343" s="3" t="s">
        <v>4735</v>
      </c>
      <c r="B2343" s="3" t="s">
        <v>4736</v>
      </c>
    </row>
    <row r="2344">
      <c r="A2344" s="3" t="s">
        <v>4737</v>
      </c>
      <c r="B2344" s="3" t="s">
        <v>4738</v>
      </c>
    </row>
    <row r="2345">
      <c r="A2345" s="3" t="s">
        <v>4739</v>
      </c>
      <c r="B2345" s="3" t="s">
        <v>4740</v>
      </c>
    </row>
    <row r="2346">
      <c r="A2346" s="3" t="s">
        <v>4741</v>
      </c>
      <c r="B2346" s="3" t="s">
        <v>4742</v>
      </c>
    </row>
    <row r="2347">
      <c r="A2347" s="3" t="s">
        <v>4743</v>
      </c>
      <c r="B2347" s="3" t="s">
        <v>4744</v>
      </c>
    </row>
    <row r="2348">
      <c r="A2348" s="3" t="s">
        <v>4745</v>
      </c>
      <c r="B2348" s="3" t="s">
        <v>4746</v>
      </c>
    </row>
    <row r="2349">
      <c r="A2349" s="3" t="s">
        <v>4747</v>
      </c>
      <c r="B2349" s="3" t="s">
        <v>4748</v>
      </c>
    </row>
    <row r="2350">
      <c r="A2350" s="3" t="s">
        <v>4749</v>
      </c>
      <c r="B2350" s="3" t="s">
        <v>4750</v>
      </c>
    </row>
    <row r="2351">
      <c r="A2351" s="3" t="s">
        <v>4751</v>
      </c>
      <c r="B2351" s="3" t="s">
        <v>4752</v>
      </c>
    </row>
    <row r="2352">
      <c r="A2352" s="3" t="s">
        <v>4753</v>
      </c>
      <c r="B2352" s="3" t="s">
        <v>4754</v>
      </c>
    </row>
    <row r="2353">
      <c r="A2353" s="3" t="s">
        <v>4755</v>
      </c>
      <c r="B2353" s="3" t="s">
        <v>4756</v>
      </c>
    </row>
    <row r="2354">
      <c r="A2354" s="3" t="s">
        <v>4757</v>
      </c>
      <c r="B2354" s="3" t="s">
        <v>4758</v>
      </c>
    </row>
    <row r="2355">
      <c r="A2355" s="3" t="s">
        <v>4759</v>
      </c>
      <c r="B2355" s="3" t="s">
        <v>4760</v>
      </c>
    </row>
    <row r="2356">
      <c r="A2356" s="3" t="s">
        <v>4761</v>
      </c>
      <c r="B2356" s="3" t="s">
        <v>4762</v>
      </c>
    </row>
    <row r="2357">
      <c r="A2357" s="3" t="s">
        <v>4763</v>
      </c>
      <c r="B2357" s="3" t="s">
        <v>4764</v>
      </c>
    </row>
    <row r="2358">
      <c r="A2358" s="3" t="s">
        <v>4765</v>
      </c>
      <c r="B2358" s="3" t="s">
        <v>4766</v>
      </c>
    </row>
    <row r="2359">
      <c r="A2359" s="3" t="s">
        <v>4767</v>
      </c>
      <c r="B2359" s="3" t="s">
        <v>4768</v>
      </c>
    </row>
    <row r="2360">
      <c r="A2360" s="3" t="s">
        <v>4769</v>
      </c>
      <c r="B2360" s="3" t="s">
        <v>4770</v>
      </c>
    </row>
    <row r="2361">
      <c r="A2361" s="3" t="s">
        <v>4771</v>
      </c>
      <c r="B2361" s="3" t="s">
        <v>4772</v>
      </c>
    </row>
    <row r="2362">
      <c r="A2362" s="3" t="s">
        <v>4773</v>
      </c>
      <c r="B2362" s="3" t="s">
        <v>4774</v>
      </c>
    </row>
    <row r="2363">
      <c r="A2363" s="3" t="s">
        <v>4775</v>
      </c>
      <c r="B2363" s="3" t="s">
        <v>4776</v>
      </c>
    </row>
    <row r="2364">
      <c r="A2364" s="3" t="s">
        <v>4777</v>
      </c>
      <c r="B2364" s="3" t="s">
        <v>4778</v>
      </c>
    </row>
    <row r="2365">
      <c r="A2365" s="3" t="s">
        <v>4779</v>
      </c>
      <c r="B2365" s="3" t="s">
        <v>4780</v>
      </c>
    </row>
    <row r="2366">
      <c r="A2366" s="3" t="s">
        <v>4781</v>
      </c>
      <c r="B2366" s="3" t="s">
        <v>4782</v>
      </c>
    </row>
    <row r="2367">
      <c r="A2367" s="3" t="s">
        <v>4783</v>
      </c>
      <c r="B2367" s="3" t="s">
        <v>4784</v>
      </c>
    </row>
    <row r="2368">
      <c r="A2368" s="3" t="s">
        <v>4785</v>
      </c>
      <c r="B2368" s="3" t="s">
        <v>4786</v>
      </c>
    </row>
    <row r="2369">
      <c r="A2369" s="3" t="s">
        <v>4787</v>
      </c>
      <c r="B2369" s="3" t="s">
        <v>4788</v>
      </c>
    </row>
    <row r="2370">
      <c r="A2370" s="3" t="s">
        <v>4789</v>
      </c>
      <c r="B2370" s="3" t="s">
        <v>4790</v>
      </c>
    </row>
    <row r="2371">
      <c r="A2371" s="3" t="s">
        <v>4791</v>
      </c>
      <c r="B2371" s="3" t="s">
        <v>4792</v>
      </c>
    </row>
    <row r="2372">
      <c r="A2372" s="3" t="s">
        <v>4793</v>
      </c>
      <c r="B2372" s="3" t="s">
        <v>4794</v>
      </c>
    </row>
    <row r="2373">
      <c r="A2373" s="3" t="s">
        <v>4795</v>
      </c>
      <c r="B2373" s="3" t="s">
        <v>4796</v>
      </c>
    </row>
    <row r="2374">
      <c r="A2374" s="3" t="s">
        <v>4797</v>
      </c>
      <c r="B2374" s="3" t="s">
        <v>4798</v>
      </c>
    </row>
    <row r="2375">
      <c r="A2375" s="3" t="s">
        <v>4799</v>
      </c>
      <c r="B2375" s="3" t="s">
        <v>4800</v>
      </c>
    </row>
    <row r="2376">
      <c r="A2376" s="3" t="s">
        <v>4801</v>
      </c>
      <c r="B2376" s="3" t="s">
        <v>4802</v>
      </c>
    </row>
    <row r="2377">
      <c r="A2377" s="3" t="s">
        <v>4803</v>
      </c>
      <c r="B2377" s="3" t="s">
        <v>4804</v>
      </c>
    </row>
    <row r="2378">
      <c r="A2378" s="3" t="s">
        <v>4805</v>
      </c>
      <c r="B2378" s="3" t="s">
        <v>4806</v>
      </c>
    </row>
    <row r="2379">
      <c r="A2379" s="3" t="s">
        <v>4807</v>
      </c>
      <c r="B2379" s="3" t="s">
        <v>4808</v>
      </c>
    </row>
    <row r="2380">
      <c r="A2380" s="3" t="s">
        <v>4809</v>
      </c>
      <c r="B2380" s="3" t="s">
        <v>4810</v>
      </c>
    </row>
    <row r="2381">
      <c r="A2381" s="3" t="s">
        <v>4811</v>
      </c>
      <c r="B2381" s="3" t="s">
        <v>4812</v>
      </c>
    </row>
    <row r="2382">
      <c r="A2382" s="3" t="s">
        <v>4813</v>
      </c>
      <c r="B2382" s="3" t="s">
        <v>4814</v>
      </c>
    </row>
    <row r="2383">
      <c r="A2383" s="3" t="s">
        <v>4815</v>
      </c>
      <c r="B2383" s="3" t="s">
        <v>4816</v>
      </c>
    </row>
    <row r="2384">
      <c r="A2384" s="3" t="s">
        <v>4817</v>
      </c>
      <c r="B2384" s="3" t="s">
        <v>4818</v>
      </c>
    </row>
    <row r="2385">
      <c r="A2385" s="3" t="s">
        <v>4819</v>
      </c>
      <c r="B2385" s="3" t="s">
        <v>4820</v>
      </c>
    </row>
    <row r="2386">
      <c r="A2386" s="3" t="s">
        <v>4821</v>
      </c>
      <c r="B2386" s="3" t="s">
        <v>4822</v>
      </c>
    </row>
    <row r="2387">
      <c r="A2387" s="3" t="s">
        <v>4823</v>
      </c>
      <c r="B2387" s="3" t="s">
        <v>4824</v>
      </c>
    </row>
    <row r="2388">
      <c r="A2388" s="3" t="s">
        <v>4825</v>
      </c>
      <c r="B2388" s="3" t="s">
        <v>4826</v>
      </c>
    </row>
    <row r="2389">
      <c r="A2389" s="3" t="s">
        <v>4827</v>
      </c>
      <c r="B2389" s="3" t="s">
        <v>4828</v>
      </c>
    </row>
    <row r="2390">
      <c r="A2390" s="3" t="s">
        <v>4829</v>
      </c>
      <c r="B2390" s="3" t="s">
        <v>4830</v>
      </c>
    </row>
    <row r="2391">
      <c r="A2391" s="3" t="s">
        <v>4831</v>
      </c>
      <c r="B2391" s="3" t="s">
        <v>4832</v>
      </c>
    </row>
    <row r="2392">
      <c r="A2392" s="3" t="s">
        <v>4833</v>
      </c>
      <c r="B2392" s="3" t="s">
        <v>4834</v>
      </c>
    </row>
    <row r="2393">
      <c r="A2393" s="3" t="s">
        <v>4835</v>
      </c>
      <c r="B2393" s="3" t="s">
        <v>4836</v>
      </c>
    </row>
    <row r="2394">
      <c r="A2394" s="3" t="s">
        <v>4837</v>
      </c>
      <c r="B2394" s="3" t="s">
        <v>4838</v>
      </c>
    </row>
    <row r="2395">
      <c r="A2395" s="3" t="s">
        <v>4839</v>
      </c>
      <c r="B2395" s="3" t="s">
        <v>4840</v>
      </c>
    </row>
    <row r="2396">
      <c r="A2396" s="3" t="s">
        <v>4841</v>
      </c>
      <c r="B2396" s="3" t="s">
        <v>4842</v>
      </c>
    </row>
    <row r="2397">
      <c r="A2397" s="3" t="s">
        <v>4843</v>
      </c>
      <c r="B2397" s="3" t="s">
        <v>4844</v>
      </c>
    </row>
    <row r="2398">
      <c r="A2398" s="3" t="s">
        <v>4845</v>
      </c>
      <c r="B2398" s="3" t="s">
        <v>4846</v>
      </c>
    </row>
    <row r="2399">
      <c r="A2399" s="3" t="s">
        <v>4847</v>
      </c>
      <c r="B2399" s="3" t="s">
        <v>4848</v>
      </c>
    </row>
    <row r="2400">
      <c r="A2400" s="3" t="s">
        <v>4849</v>
      </c>
      <c r="B2400" s="3" t="s">
        <v>4850</v>
      </c>
    </row>
    <row r="2401">
      <c r="A2401" s="3" t="s">
        <v>4851</v>
      </c>
      <c r="B2401" s="3" t="s">
        <v>4852</v>
      </c>
    </row>
    <row r="2402">
      <c r="A2402" s="3" t="s">
        <v>4853</v>
      </c>
      <c r="B2402" s="3" t="s">
        <v>4854</v>
      </c>
    </row>
    <row r="2403">
      <c r="A2403" s="3" t="s">
        <v>4855</v>
      </c>
      <c r="B2403" s="3" t="s">
        <v>4856</v>
      </c>
    </row>
    <row r="2404">
      <c r="A2404" s="3" t="s">
        <v>4857</v>
      </c>
      <c r="B2404" s="3" t="s">
        <v>4858</v>
      </c>
    </row>
    <row r="2405">
      <c r="A2405" s="3" t="s">
        <v>4859</v>
      </c>
      <c r="B2405" s="3" t="s">
        <v>4860</v>
      </c>
    </row>
    <row r="2406">
      <c r="A2406" s="3" t="s">
        <v>4861</v>
      </c>
      <c r="B2406" s="3" t="s">
        <v>4862</v>
      </c>
    </row>
    <row r="2407">
      <c r="A2407" s="3" t="s">
        <v>4863</v>
      </c>
      <c r="B2407" s="3" t="s">
        <v>4864</v>
      </c>
    </row>
    <row r="2408">
      <c r="A2408" s="3" t="s">
        <v>4865</v>
      </c>
      <c r="B2408" s="3" t="s">
        <v>4866</v>
      </c>
    </row>
    <row r="2409">
      <c r="A2409" s="3" t="s">
        <v>4867</v>
      </c>
      <c r="B2409" s="3" t="s">
        <v>4868</v>
      </c>
    </row>
    <row r="2410">
      <c r="A2410" s="3" t="s">
        <v>4869</v>
      </c>
      <c r="B2410" s="3" t="s">
        <v>4870</v>
      </c>
    </row>
    <row r="2411">
      <c r="A2411" s="3" t="s">
        <v>4871</v>
      </c>
      <c r="B2411" s="3" t="s">
        <v>4872</v>
      </c>
    </row>
    <row r="2412">
      <c r="A2412" s="3" t="s">
        <v>4873</v>
      </c>
      <c r="B2412" s="3" t="s">
        <v>4874</v>
      </c>
    </row>
    <row r="2413">
      <c r="A2413" s="3" t="s">
        <v>4875</v>
      </c>
      <c r="B2413" s="3" t="s">
        <v>4876</v>
      </c>
    </row>
    <row r="2414">
      <c r="A2414" s="3" t="s">
        <v>4877</v>
      </c>
      <c r="B2414" s="3" t="s">
        <v>4878</v>
      </c>
    </row>
    <row r="2415">
      <c r="A2415" s="3" t="s">
        <v>4879</v>
      </c>
      <c r="B2415" s="13" t="s">
        <v>4880</v>
      </c>
    </row>
    <row r="2416">
      <c r="A2416" s="3" t="s">
        <v>4881</v>
      </c>
      <c r="B2416" s="3" t="s">
        <v>4882</v>
      </c>
    </row>
    <row r="2417">
      <c r="A2417" s="3" t="s">
        <v>4883</v>
      </c>
      <c r="B2417" s="3" t="s">
        <v>4884</v>
      </c>
    </row>
    <row r="2418">
      <c r="A2418" s="3" t="s">
        <v>4885</v>
      </c>
      <c r="B2418" s="3" t="s">
        <v>4886</v>
      </c>
    </row>
    <row r="2419">
      <c r="A2419" s="3" t="s">
        <v>4887</v>
      </c>
      <c r="B2419" s="3" t="s">
        <v>4888</v>
      </c>
    </row>
    <row r="2420">
      <c r="A2420" s="3" t="s">
        <v>4889</v>
      </c>
      <c r="B2420" s="3" t="s">
        <v>4890</v>
      </c>
    </row>
    <row r="2421">
      <c r="A2421" s="3" t="s">
        <v>4891</v>
      </c>
      <c r="B2421" s="3" t="s">
        <v>4892</v>
      </c>
    </row>
    <row r="2422">
      <c r="A2422" s="3" t="s">
        <v>4893</v>
      </c>
      <c r="B2422" s="3" t="s">
        <v>4894</v>
      </c>
    </row>
    <row r="2423">
      <c r="A2423" s="3" t="s">
        <v>4895</v>
      </c>
      <c r="B2423" s="3" t="s">
        <v>4896</v>
      </c>
    </row>
    <row r="2424">
      <c r="A2424" s="3" t="s">
        <v>4897</v>
      </c>
      <c r="B2424" s="3" t="s">
        <v>4898</v>
      </c>
    </row>
    <row r="2425">
      <c r="A2425" s="3" t="s">
        <v>4899</v>
      </c>
      <c r="B2425" s="3" t="s">
        <v>4900</v>
      </c>
    </row>
    <row r="2426">
      <c r="A2426" s="3" t="s">
        <v>4901</v>
      </c>
      <c r="B2426" s="3" t="s">
        <v>4902</v>
      </c>
    </row>
    <row r="2427">
      <c r="A2427" s="3" t="s">
        <v>4903</v>
      </c>
      <c r="B2427" s="3" t="s">
        <v>4904</v>
      </c>
    </row>
    <row r="2428">
      <c r="A2428" s="3" t="s">
        <v>4905</v>
      </c>
      <c r="B2428" s="3" t="s">
        <v>4906</v>
      </c>
    </row>
    <row r="2429">
      <c r="A2429" s="3" t="s">
        <v>4907</v>
      </c>
      <c r="B2429" s="3" t="s">
        <v>4908</v>
      </c>
    </row>
    <row r="2430">
      <c r="A2430" s="3" t="s">
        <v>4909</v>
      </c>
      <c r="B2430" s="3" t="s">
        <v>4910</v>
      </c>
    </row>
    <row r="2431">
      <c r="A2431" s="3" t="s">
        <v>4911</v>
      </c>
      <c r="B2431" s="3" t="s">
        <v>4912</v>
      </c>
    </row>
    <row r="2432">
      <c r="A2432" s="3" t="s">
        <v>4913</v>
      </c>
      <c r="B2432" s="3" t="s">
        <v>4914</v>
      </c>
    </row>
    <row r="2433">
      <c r="A2433" s="3" t="s">
        <v>4915</v>
      </c>
      <c r="B2433" s="3" t="s">
        <v>4916</v>
      </c>
    </row>
    <row r="2434">
      <c r="A2434" s="3" t="s">
        <v>4917</v>
      </c>
      <c r="B2434" s="3" t="s">
        <v>4918</v>
      </c>
    </row>
    <row r="2435">
      <c r="A2435" s="3" t="s">
        <v>4919</v>
      </c>
      <c r="B2435" s="3" t="s">
        <v>4920</v>
      </c>
    </row>
    <row r="2436">
      <c r="A2436" s="3" t="s">
        <v>4921</v>
      </c>
      <c r="B2436" s="3" t="s">
        <v>4922</v>
      </c>
    </row>
    <row r="2437">
      <c r="A2437" s="3" t="s">
        <v>4923</v>
      </c>
      <c r="B2437" s="3" t="s">
        <v>4924</v>
      </c>
    </row>
    <row r="2438">
      <c r="A2438" s="3" t="s">
        <v>4925</v>
      </c>
      <c r="B2438" s="3" t="s">
        <v>4926</v>
      </c>
    </row>
    <row r="2439">
      <c r="A2439" s="3" t="s">
        <v>4927</v>
      </c>
      <c r="B2439" s="3" t="s">
        <v>4928</v>
      </c>
    </row>
    <row r="2440">
      <c r="A2440" s="3" t="s">
        <v>4929</v>
      </c>
      <c r="B2440" s="3" t="s">
        <v>4930</v>
      </c>
    </row>
    <row r="2441">
      <c r="A2441" s="3" t="s">
        <v>4931</v>
      </c>
      <c r="B2441" s="3" t="s">
        <v>4932</v>
      </c>
    </row>
    <row r="2442">
      <c r="A2442" s="3" t="s">
        <v>4933</v>
      </c>
      <c r="B2442" s="3" t="s">
        <v>4934</v>
      </c>
    </row>
    <row r="2443">
      <c r="A2443" s="3" t="s">
        <v>4935</v>
      </c>
      <c r="B2443" s="3" t="s">
        <v>4936</v>
      </c>
    </row>
    <row r="2444">
      <c r="A2444" s="3" t="s">
        <v>4937</v>
      </c>
      <c r="B2444" s="3" t="s">
        <v>4938</v>
      </c>
    </row>
    <row r="2445">
      <c r="A2445" s="3" t="s">
        <v>4939</v>
      </c>
      <c r="B2445" s="3" t="s">
        <v>4940</v>
      </c>
    </row>
    <row r="2446">
      <c r="A2446" s="3" t="s">
        <v>4941</v>
      </c>
      <c r="B2446" s="3" t="s">
        <v>4942</v>
      </c>
    </row>
    <row r="2447">
      <c r="A2447" s="3" t="s">
        <v>4943</v>
      </c>
      <c r="B2447" s="3" t="s">
        <v>4944</v>
      </c>
    </row>
    <row r="2448">
      <c r="A2448" s="3" t="s">
        <v>4945</v>
      </c>
      <c r="B2448" s="3" t="s">
        <v>4946</v>
      </c>
    </row>
    <row r="2449">
      <c r="A2449" s="3" t="s">
        <v>4947</v>
      </c>
      <c r="B2449" s="3" t="s">
        <v>4948</v>
      </c>
    </row>
    <row r="2450">
      <c r="A2450" s="3" t="s">
        <v>4949</v>
      </c>
      <c r="B2450" s="3" t="s">
        <v>4950</v>
      </c>
    </row>
    <row r="2451">
      <c r="A2451" s="3" t="s">
        <v>4951</v>
      </c>
      <c r="B2451" s="3" t="s">
        <v>4952</v>
      </c>
    </row>
    <row r="2452">
      <c r="A2452" s="3" t="s">
        <v>4953</v>
      </c>
      <c r="B2452" s="3" t="s">
        <v>4954</v>
      </c>
    </row>
    <row r="2453">
      <c r="A2453" s="3" t="s">
        <v>4955</v>
      </c>
      <c r="B2453" s="3" t="s">
        <v>4956</v>
      </c>
    </row>
    <row r="2454">
      <c r="A2454" s="3" t="s">
        <v>4957</v>
      </c>
      <c r="B2454" s="3" t="s">
        <v>4958</v>
      </c>
    </row>
    <row r="2455">
      <c r="A2455" s="3" t="s">
        <v>4959</v>
      </c>
      <c r="B2455" s="3" t="s">
        <v>4960</v>
      </c>
    </row>
    <row r="2456">
      <c r="A2456" s="3" t="s">
        <v>4961</v>
      </c>
      <c r="B2456" s="3" t="s">
        <v>4962</v>
      </c>
    </row>
    <row r="2457">
      <c r="A2457" s="3" t="s">
        <v>4963</v>
      </c>
      <c r="B2457" s="3" t="s">
        <v>4964</v>
      </c>
    </row>
    <row r="2458">
      <c r="A2458" s="3" t="s">
        <v>4965</v>
      </c>
      <c r="B2458" s="3" t="s">
        <v>4966</v>
      </c>
    </row>
    <row r="2459">
      <c r="A2459" s="3" t="s">
        <v>4967</v>
      </c>
      <c r="B2459" s="3" t="s">
        <v>4968</v>
      </c>
    </row>
    <row r="2460">
      <c r="A2460" s="3" t="s">
        <v>4969</v>
      </c>
      <c r="B2460" s="3" t="s">
        <v>4970</v>
      </c>
    </row>
    <row r="2461">
      <c r="A2461" s="3" t="s">
        <v>4971</v>
      </c>
      <c r="B2461" s="3" t="s">
        <v>4972</v>
      </c>
    </row>
    <row r="2462">
      <c r="A2462" s="3" t="s">
        <v>4973</v>
      </c>
      <c r="B2462" s="3" t="s">
        <v>4974</v>
      </c>
    </row>
    <row r="2463">
      <c r="A2463" s="3" t="s">
        <v>4975</v>
      </c>
      <c r="B2463" s="3" t="s">
        <v>4976</v>
      </c>
    </row>
    <row r="2464">
      <c r="A2464" s="3" t="s">
        <v>4977</v>
      </c>
      <c r="B2464" s="3" t="s">
        <v>4978</v>
      </c>
    </row>
    <row r="2465">
      <c r="A2465" s="3" t="s">
        <v>4979</v>
      </c>
      <c r="B2465" s="3" t="s">
        <v>4980</v>
      </c>
    </row>
    <row r="2466">
      <c r="A2466" s="3" t="s">
        <v>4981</v>
      </c>
      <c r="B2466" s="3" t="s">
        <v>4982</v>
      </c>
    </row>
    <row r="2467">
      <c r="A2467" s="3" t="s">
        <v>4983</v>
      </c>
      <c r="B2467" s="3" t="s">
        <v>4984</v>
      </c>
    </row>
    <row r="2468">
      <c r="A2468" s="3" t="s">
        <v>4985</v>
      </c>
      <c r="B2468" s="3" t="s">
        <v>4986</v>
      </c>
    </row>
    <row r="2469">
      <c r="A2469" s="3" t="s">
        <v>4987</v>
      </c>
      <c r="B2469" s="3" t="s">
        <v>4988</v>
      </c>
    </row>
    <row r="2470">
      <c r="A2470" s="3" t="s">
        <v>4989</v>
      </c>
      <c r="B2470" s="3" t="s">
        <v>4990</v>
      </c>
    </row>
    <row r="2471">
      <c r="A2471" s="3" t="s">
        <v>4991</v>
      </c>
      <c r="B2471" s="3" t="s">
        <v>4992</v>
      </c>
    </row>
    <row r="2472">
      <c r="A2472" s="3" t="s">
        <v>4993</v>
      </c>
      <c r="B2472" s="3" t="s">
        <v>4994</v>
      </c>
    </row>
    <row r="2473">
      <c r="A2473" s="3" t="s">
        <v>4995</v>
      </c>
      <c r="B2473" s="3" t="s">
        <v>4996</v>
      </c>
    </row>
    <row r="2474">
      <c r="A2474" s="3" t="s">
        <v>4997</v>
      </c>
      <c r="B2474" s="3" t="s">
        <v>4998</v>
      </c>
    </row>
    <row r="2475">
      <c r="A2475" s="3" t="s">
        <v>4999</v>
      </c>
      <c r="B2475" s="3" t="s">
        <v>5000</v>
      </c>
    </row>
    <row r="2476">
      <c r="A2476" s="3" t="s">
        <v>5001</v>
      </c>
      <c r="B2476" s="3" t="s">
        <v>5002</v>
      </c>
    </row>
    <row r="2477">
      <c r="A2477" s="3" t="s">
        <v>5003</v>
      </c>
      <c r="B2477" s="3" t="s">
        <v>5004</v>
      </c>
    </row>
    <row r="2478">
      <c r="A2478" s="3" t="s">
        <v>5005</v>
      </c>
      <c r="B2478" s="3" t="s">
        <v>5006</v>
      </c>
    </row>
    <row r="2479">
      <c r="A2479" s="3" t="s">
        <v>5007</v>
      </c>
      <c r="B2479" s="3" t="s">
        <v>5008</v>
      </c>
    </row>
    <row r="2480">
      <c r="A2480" s="3" t="s">
        <v>5009</v>
      </c>
      <c r="B2480" s="3" t="s">
        <v>5010</v>
      </c>
    </row>
    <row r="2481">
      <c r="A2481" s="3" t="s">
        <v>5011</v>
      </c>
      <c r="B2481" s="3" t="s">
        <v>5012</v>
      </c>
    </row>
    <row r="2482">
      <c r="A2482" s="3" t="s">
        <v>5013</v>
      </c>
      <c r="B2482" s="3" t="s">
        <v>5014</v>
      </c>
    </row>
    <row r="2483">
      <c r="A2483" s="3" t="s">
        <v>5015</v>
      </c>
      <c r="B2483" s="3" t="s">
        <v>5016</v>
      </c>
    </row>
    <row r="2484">
      <c r="A2484" s="3" t="s">
        <v>5017</v>
      </c>
      <c r="B2484" s="3" t="s">
        <v>5018</v>
      </c>
    </row>
    <row r="2485">
      <c r="A2485" s="3" t="s">
        <v>5019</v>
      </c>
      <c r="B2485" s="3" t="s">
        <v>5020</v>
      </c>
    </row>
    <row r="2486">
      <c r="A2486" s="3" t="s">
        <v>5021</v>
      </c>
      <c r="B2486" s="3" t="s">
        <v>5022</v>
      </c>
    </row>
    <row r="2487">
      <c r="A2487" s="3" t="s">
        <v>5023</v>
      </c>
      <c r="B2487" s="3" t="s">
        <v>5024</v>
      </c>
    </row>
    <row r="2488">
      <c r="A2488" s="3" t="s">
        <v>5025</v>
      </c>
      <c r="B2488" s="3" t="s">
        <v>5026</v>
      </c>
    </row>
    <row r="2489">
      <c r="A2489" s="3" t="s">
        <v>5027</v>
      </c>
      <c r="B2489" s="3" t="s">
        <v>5028</v>
      </c>
    </row>
    <row r="2490">
      <c r="A2490" s="3" t="s">
        <v>5029</v>
      </c>
      <c r="B2490" s="3" t="s">
        <v>5030</v>
      </c>
    </row>
    <row r="2491">
      <c r="A2491" s="3" t="s">
        <v>5031</v>
      </c>
      <c r="B2491" s="3" t="s">
        <v>5032</v>
      </c>
    </row>
    <row r="2492">
      <c r="A2492" s="3" t="s">
        <v>5033</v>
      </c>
      <c r="B2492" s="3" t="s">
        <v>5034</v>
      </c>
    </row>
    <row r="2493">
      <c r="A2493" s="3" t="s">
        <v>5035</v>
      </c>
      <c r="B2493" s="3" t="s">
        <v>5036</v>
      </c>
    </row>
    <row r="2494">
      <c r="A2494" s="3" t="s">
        <v>5037</v>
      </c>
      <c r="B2494" s="3" t="s">
        <v>5038</v>
      </c>
    </row>
    <row r="2495">
      <c r="A2495" s="3" t="s">
        <v>5039</v>
      </c>
      <c r="B2495" s="3" t="s">
        <v>5040</v>
      </c>
    </row>
    <row r="2496">
      <c r="A2496" s="3" t="s">
        <v>5041</v>
      </c>
      <c r="B2496" s="3" t="s">
        <v>5042</v>
      </c>
    </row>
    <row r="2497">
      <c r="A2497" s="3" t="s">
        <v>5043</v>
      </c>
      <c r="B2497" s="3" t="s">
        <v>5044</v>
      </c>
    </row>
    <row r="2498">
      <c r="A2498" s="3" t="s">
        <v>5045</v>
      </c>
      <c r="B2498" s="3" t="s">
        <v>5046</v>
      </c>
    </row>
    <row r="2499">
      <c r="A2499" s="3" t="s">
        <v>5047</v>
      </c>
      <c r="B2499" s="3" t="s">
        <v>5048</v>
      </c>
    </row>
    <row r="2500">
      <c r="A2500" s="3" t="s">
        <v>5049</v>
      </c>
      <c r="B2500" s="3" t="s">
        <v>5050</v>
      </c>
    </row>
    <row r="2501">
      <c r="A2501" s="3" t="s">
        <v>5051</v>
      </c>
      <c r="B2501" s="3" t="s">
        <v>5052</v>
      </c>
    </row>
    <row r="2502">
      <c r="A2502" s="3" t="s">
        <v>5053</v>
      </c>
      <c r="B2502" s="3" t="s">
        <v>5054</v>
      </c>
    </row>
    <row r="2503">
      <c r="A2503" s="3" t="s">
        <v>5055</v>
      </c>
      <c r="B2503" s="3" t="s">
        <v>5056</v>
      </c>
    </row>
    <row r="2504">
      <c r="A2504" s="3" t="s">
        <v>5057</v>
      </c>
      <c r="B2504" s="3" t="s">
        <v>5058</v>
      </c>
    </row>
    <row r="2505">
      <c r="A2505" s="3" t="s">
        <v>5059</v>
      </c>
      <c r="B2505" s="3" t="s">
        <v>5060</v>
      </c>
    </row>
    <row r="2506">
      <c r="A2506" s="3" t="s">
        <v>5061</v>
      </c>
      <c r="B2506" s="3" t="s">
        <v>5062</v>
      </c>
    </row>
    <row r="2507">
      <c r="A2507" s="3" t="s">
        <v>5063</v>
      </c>
      <c r="B2507" s="3" t="s">
        <v>5064</v>
      </c>
    </row>
    <row r="2508">
      <c r="A2508" s="3" t="s">
        <v>5065</v>
      </c>
      <c r="B2508" s="3" t="s">
        <v>5066</v>
      </c>
    </row>
    <row r="2509">
      <c r="A2509" s="3" t="s">
        <v>5067</v>
      </c>
      <c r="B2509" s="3" t="s">
        <v>5068</v>
      </c>
    </row>
    <row r="2510">
      <c r="A2510" s="3" t="s">
        <v>5069</v>
      </c>
      <c r="B2510" s="3" t="s">
        <v>5070</v>
      </c>
    </row>
    <row r="2511">
      <c r="A2511" s="3" t="s">
        <v>5071</v>
      </c>
      <c r="B2511" s="3" t="s">
        <v>5072</v>
      </c>
    </row>
    <row r="2512">
      <c r="A2512" s="3" t="s">
        <v>5073</v>
      </c>
      <c r="B2512" s="3" t="s">
        <v>5074</v>
      </c>
    </row>
    <row r="2513">
      <c r="A2513" s="3" t="s">
        <v>5075</v>
      </c>
      <c r="B2513" s="3" t="s">
        <v>5076</v>
      </c>
    </row>
    <row r="2514">
      <c r="A2514" s="3" t="s">
        <v>5077</v>
      </c>
      <c r="B2514" s="3" t="s">
        <v>5078</v>
      </c>
    </row>
    <row r="2515">
      <c r="A2515" s="3" t="s">
        <v>5079</v>
      </c>
      <c r="B2515" s="3" t="s">
        <v>5080</v>
      </c>
    </row>
    <row r="2516">
      <c r="A2516" s="3" t="s">
        <v>5081</v>
      </c>
      <c r="B2516" s="3" t="s">
        <v>5082</v>
      </c>
    </row>
    <row r="2517">
      <c r="A2517" s="3" t="s">
        <v>5083</v>
      </c>
      <c r="B2517" s="3" t="s">
        <v>5084</v>
      </c>
    </row>
    <row r="2518">
      <c r="A2518" s="3" t="s">
        <v>5085</v>
      </c>
      <c r="B2518" s="3" t="s">
        <v>5086</v>
      </c>
    </row>
    <row r="2519">
      <c r="A2519" s="3" t="s">
        <v>5087</v>
      </c>
      <c r="B2519" s="3" t="s">
        <v>5088</v>
      </c>
    </row>
    <row r="2520">
      <c r="A2520" s="3" t="s">
        <v>5089</v>
      </c>
      <c r="B2520" s="3" t="s">
        <v>5090</v>
      </c>
    </row>
    <row r="2521">
      <c r="A2521" s="3" t="s">
        <v>5091</v>
      </c>
      <c r="B2521" s="3" t="s">
        <v>5092</v>
      </c>
    </row>
    <row r="2522">
      <c r="A2522" s="3" t="s">
        <v>5093</v>
      </c>
      <c r="B2522" s="3" t="s">
        <v>5094</v>
      </c>
    </row>
    <row r="2523">
      <c r="A2523" s="3" t="s">
        <v>5095</v>
      </c>
      <c r="B2523" s="3" t="s">
        <v>5096</v>
      </c>
    </row>
    <row r="2524">
      <c r="A2524" s="3" t="s">
        <v>5097</v>
      </c>
      <c r="B2524" s="3" t="s">
        <v>5098</v>
      </c>
    </row>
    <row r="2525">
      <c r="A2525" s="3" t="s">
        <v>5099</v>
      </c>
      <c r="B2525" s="3" t="s">
        <v>5100</v>
      </c>
    </row>
    <row r="2526">
      <c r="A2526" s="3" t="s">
        <v>5101</v>
      </c>
      <c r="B2526" s="3" t="s">
        <v>5102</v>
      </c>
    </row>
    <row r="2527">
      <c r="A2527" s="3" t="s">
        <v>5103</v>
      </c>
      <c r="B2527" s="3" t="s">
        <v>5104</v>
      </c>
    </row>
    <row r="2528">
      <c r="A2528" s="3" t="s">
        <v>5105</v>
      </c>
      <c r="B2528" s="3" t="s">
        <v>5106</v>
      </c>
    </row>
    <row r="2529">
      <c r="A2529" s="3" t="s">
        <v>5107</v>
      </c>
      <c r="B2529" s="3" t="s">
        <v>5108</v>
      </c>
    </row>
    <row r="2530">
      <c r="A2530" s="3" t="s">
        <v>5109</v>
      </c>
      <c r="B2530" s="3" t="s">
        <v>5110</v>
      </c>
    </row>
    <row r="2531">
      <c r="A2531" s="3" t="s">
        <v>5111</v>
      </c>
      <c r="B2531" s="3" t="s">
        <v>5112</v>
      </c>
    </row>
    <row r="2532">
      <c r="A2532" s="3" t="s">
        <v>5113</v>
      </c>
      <c r="B2532" s="3" t="s">
        <v>5114</v>
      </c>
    </row>
    <row r="2533">
      <c r="A2533" s="3" t="s">
        <v>5115</v>
      </c>
      <c r="B2533" s="3" t="s">
        <v>5116</v>
      </c>
    </row>
    <row r="2534">
      <c r="A2534" s="3" t="s">
        <v>5117</v>
      </c>
      <c r="B2534" s="3" t="s">
        <v>5118</v>
      </c>
    </row>
    <row r="2535">
      <c r="A2535" s="3" t="s">
        <v>5119</v>
      </c>
      <c r="B2535" s="3" t="s">
        <v>5120</v>
      </c>
    </row>
    <row r="2536">
      <c r="A2536" s="3" t="s">
        <v>5121</v>
      </c>
      <c r="B2536" s="3" t="s">
        <v>5122</v>
      </c>
    </row>
    <row r="2537">
      <c r="A2537" s="3" t="s">
        <v>5123</v>
      </c>
      <c r="B2537" s="3" t="s">
        <v>5124</v>
      </c>
    </row>
    <row r="2538">
      <c r="A2538" s="3" t="s">
        <v>5125</v>
      </c>
      <c r="B2538" s="3" t="s">
        <v>5126</v>
      </c>
    </row>
    <row r="2539">
      <c r="A2539" s="3" t="s">
        <v>5127</v>
      </c>
      <c r="B2539" s="3" t="s">
        <v>5128</v>
      </c>
    </row>
    <row r="2540">
      <c r="A2540" s="3" t="s">
        <v>5129</v>
      </c>
      <c r="B2540" s="3" t="s">
        <v>5130</v>
      </c>
    </row>
    <row r="2541">
      <c r="A2541" s="3" t="s">
        <v>5131</v>
      </c>
      <c r="B2541" s="3" t="s">
        <v>5132</v>
      </c>
    </row>
    <row r="2542">
      <c r="A2542" s="3" t="s">
        <v>5133</v>
      </c>
      <c r="B2542" s="3" t="s">
        <v>5134</v>
      </c>
    </row>
    <row r="2543">
      <c r="A2543" s="3" t="s">
        <v>5135</v>
      </c>
      <c r="B2543" s="3" t="s">
        <v>5136</v>
      </c>
    </row>
    <row r="2544">
      <c r="A2544" s="3" t="s">
        <v>5137</v>
      </c>
      <c r="B2544" s="3" t="s">
        <v>5138</v>
      </c>
    </row>
    <row r="2545">
      <c r="A2545" s="3" t="s">
        <v>5139</v>
      </c>
      <c r="B2545" s="3" t="s">
        <v>5140</v>
      </c>
    </row>
    <row r="2546">
      <c r="A2546" s="3" t="s">
        <v>5141</v>
      </c>
      <c r="B2546" s="3" t="s">
        <v>5142</v>
      </c>
    </row>
    <row r="2547">
      <c r="A2547" s="3" t="s">
        <v>5143</v>
      </c>
      <c r="B2547" s="3" t="s">
        <v>5144</v>
      </c>
    </row>
    <row r="2548">
      <c r="A2548" s="3" t="s">
        <v>5145</v>
      </c>
      <c r="B2548" s="3" t="s">
        <v>5146</v>
      </c>
    </row>
    <row r="2549">
      <c r="A2549" s="3" t="s">
        <v>5147</v>
      </c>
      <c r="B2549" s="3" t="s">
        <v>5148</v>
      </c>
    </row>
    <row r="2550">
      <c r="A2550" s="3" t="s">
        <v>5149</v>
      </c>
      <c r="B2550" s="3" t="s">
        <v>5150</v>
      </c>
    </row>
    <row r="2551">
      <c r="A2551" s="3" t="s">
        <v>5151</v>
      </c>
      <c r="B2551" s="3" t="s">
        <v>5152</v>
      </c>
    </row>
    <row r="2552">
      <c r="A2552" s="3" t="s">
        <v>5153</v>
      </c>
      <c r="B2552" s="3" t="s">
        <v>5154</v>
      </c>
    </row>
    <row r="2553">
      <c r="A2553" s="3" t="s">
        <v>5155</v>
      </c>
      <c r="B2553" s="3" t="s">
        <v>5156</v>
      </c>
    </row>
    <row r="2554">
      <c r="A2554" s="3" t="s">
        <v>5157</v>
      </c>
      <c r="B2554" s="3" t="s">
        <v>5158</v>
      </c>
    </row>
    <row r="2555">
      <c r="A2555" s="3" t="s">
        <v>5159</v>
      </c>
      <c r="B2555" s="3" t="s">
        <v>5160</v>
      </c>
    </row>
    <row r="2556">
      <c r="A2556" s="3" t="s">
        <v>5161</v>
      </c>
      <c r="B2556" s="3" t="s">
        <v>5162</v>
      </c>
    </row>
    <row r="2557">
      <c r="A2557" s="3" t="s">
        <v>5163</v>
      </c>
      <c r="B2557" s="3" t="s">
        <v>5164</v>
      </c>
    </row>
    <row r="2558">
      <c r="A2558" s="3" t="s">
        <v>5165</v>
      </c>
      <c r="B2558" s="3" t="s">
        <v>5166</v>
      </c>
    </row>
    <row r="2559">
      <c r="A2559" s="3" t="s">
        <v>5167</v>
      </c>
      <c r="B2559" s="3" t="s">
        <v>5168</v>
      </c>
    </row>
    <row r="2560">
      <c r="A2560" s="3" t="s">
        <v>5169</v>
      </c>
      <c r="B2560" s="3" t="s">
        <v>5170</v>
      </c>
    </row>
    <row r="2561">
      <c r="A2561" s="3" t="s">
        <v>5171</v>
      </c>
      <c r="B2561" s="3" t="s">
        <v>5172</v>
      </c>
    </row>
    <row r="2562">
      <c r="A2562" s="3" t="s">
        <v>5173</v>
      </c>
      <c r="B2562" s="3" t="s">
        <v>5174</v>
      </c>
    </row>
    <row r="2563">
      <c r="A2563" s="3" t="s">
        <v>5175</v>
      </c>
      <c r="B2563" s="3" t="s">
        <v>5176</v>
      </c>
    </row>
    <row r="2564">
      <c r="A2564" s="3" t="s">
        <v>5177</v>
      </c>
      <c r="B2564" s="3" t="s">
        <v>5178</v>
      </c>
    </row>
    <row r="2565">
      <c r="A2565" s="3" t="s">
        <v>5179</v>
      </c>
      <c r="B2565" s="3" t="s">
        <v>5180</v>
      </c>
    </row>
    <row r="2566">
      <c r="A2566" s="3" t="s">
        <v>5181</v>
      </c>
      <c r="B2566" s="3" t="s">
        <v>5182</v>
      </c>
    </row>
    <row r="2567">
      <c r="A2567" s="3" t="s">
        <v>5183</v>
      </c>
      <c r="B2567" s="3" t="s">
        <v>5184</v>
      </c>
    </row>
    <row r="2568">
      <c r="A2568" s="3" t="s">
        <v>5185</v>
      </c>
      <c r="B2568" s="3" t="s">
        <v>5186</v>
      </c>
    </row>
    <row r="2569">
      <c r="A2569" s="3" t="s">
        <v>5187</v>
      </c>
      <c r="B2569" s="3" t="s">
        <v>5188</v>
      </c>
    </row>
    <row r="2570">
      <c r="A2570" s="3" t="s">
        <v>5189</v>
      </c>
      <c r="B2570" s="3" t="s">
        <v>5190</v>
      </c>
    </row>
    <row r="2571">
      <c r="A2571" s="3" t="s">
        <v>5191</v>
      </c>
      <c r="B2571" s="3" t="s">
        <v>5192</v>
      </c>
    </row>
    <row r="2572">
      <c r="A2572" s="3" t="s">
        <v>5193</v>
      </c>
      <c r="B2572" s="3" t="s">
        <v>5194</v>
      </c>
    </row>
    <row r="2573">
      <c r="A2573" s="3" t="s">
        <v>5195</v>
      </c>
      <c r="B2573" s="3" t="s">
        <v>5196</v>
      </c>
    </row>
    <row r="2574">
      <c r="A2574" s="3" t="s">
        <v>5197</v>
      </c>
      <c r="B2574" s="3" t="s">
        <v>5198</v>
      </c>
    </row>
    <row r="2575">
      <c r="A2575" s="3" t="s">
        <v>5199</v>
      </c>
      <c r="B2575" s="3" t="s">
        <v>5200</v>
      </c>
    </row>
    <row r="2576">
      <c r="A2576" s="3" t="s">
        <v>5201</v>
      </c>
      <c r="B2576" s="3" t="s">
        <v>5202</v>
      </c>
    </row>
    <row r="2577">
      <c r="A2577" s="3" t="s">
        <v>5203</v>
      </c>
      <c r="B2577" s="3" t="s">
        <v>5204</v>
      </c>
    </row>
    <row r="2578">
      <c r="A2578" s="3" t="s">
        <v>5205</v>
      </c>
      <c r="B2578" s="3" t="s">
        <v>5206</v>
      </c>
    </row>
    <row r="2579">
      <c r="A2579" s="3" t="s">
        <v>5207</v>
      </c>
      <c r="B2579" s="3" t="s">
        <v>5208</v>
      </c>
    </row>
    <row r="2580">
      <c r="A2580" s="3" t="s">
        <v>5209</v>
      </c>
      <c r="B2580" s="3" t="s">
        <v>5210</v>
      </c>
    </row>
    <row r="2581">
      <c r="A2581" s="3" t="s">
        <v>5211</v>
      </c>
      <c r="B2581" s="3" t="s">
        <v>5212</v>
      </c>
    </row>
    <row r="2582">
      <c r="A2582" s="3" t="s">
        <v>5213</v>
      </c>
      <c r="B2582" s="3" t="s">
        <v>5214</v>
      </c>
    </row>
    <row r="2583">
      <c r="A2583" s="3" t="s">
        <v>5215</v>
      </c>
      <c r="B2583" s="3" t="s">
        <v>5216</v>
      </c>
    </row>
    <row r="2584">
      <c r="A2584" s="3" t="s">
        <v>5217</v>
      </c>
      <c r="B2584" s="3" t="s">
        <v>5218</v>
      </c>
    </row>
    <row r="2585">
      <c r="A2585" s="3" t="s">
        <v>5219</v>
      </c>
      <c r="B2585" s="3" t="s">
        <v>5220</v>
      </c>
    </row>
    <row r="2586">
      <c r="A2586" s="3" t="s">
        <v>5221</v>
      </c>
      <c r="B2586" s="3" t="s">
        <v>5222</v>
      </c>
    </row>
    <row r="2587">
      <c r="A2587" s="3" t="s">
        <v>5223</v>
      </c>
      <c r="B2587" s="3" t="s">
        <v>5224</v>
      </c>
    </row>
    <row r="2588">
      <c r="A2588" s="3" t="s">
        <v>5225</v>
      </c>
      <c r="B2588" s="3" t="s">
        <v>5226</v>
      </c>
    </row>
    <row r="2589">
      <c r="A2589" s="3" t="s">
        <v>5227</v>
      </c>
      <c r="B2589" s="3" t="s">
        <v>5228</v>
      </c>
    </row>
    <row r="2590">
      <c r="A2590" s="3" t="s">
        <v>5229</v>
      </c>
      <c r="B2590" s="3" t="s">
        <v>5230</v>
      </c>
    </row>
    <row r="2591">
      <c r="A2591" s="3" t="s">
        <v>5231</v>
      </c>
      <c r="B2591" s="3" t="s">
        <v>5232</v>
      </c>
    </row>
    <row r="2592">
      <c r="A2592" s="3" t="s">
        <v>5233</v>
      </c>
      <c r="B2592" s="3" t="s">
        <v>5234</v>
      </c>
    </row>
    <row r="2593">
      <c r="A2593" s="3" t="s">
        <v>5235</v>
      </c>
      <c r="B2593" s="3" t="s">
        <v>5236</v>
      </c>
    </row>
    <row r="2594">
      <c r="A2594" s="3" t="s">
        <v>5237</v>
      </c>
      <c r="B2594" s="3" t="s">
        <v>5238</v>
      </c>
    </row>
    <row r="2595">
      <c r="A2595" s="3" t="s">
        <v>5239</v>
      </c>
      <c r="B2595" s="3" t="s">
        <v>5240</v>
      </c>
    </row>
    <row r="2596">
      <c r="A2596" s="3" t="s">
        <v>5241</v>
      </c>
      <c r="B2596" s="3" t="s">
        <v>5242</v>
      </c>
    </row>
    <row r="2597">
      <c r="A2597" s="3" t="s">
        <v>5243</v>
      </c>
      <c r="B2597" s="3" t="s">
        <v>5244</v>
      </c>
    </row>
    <row r="2598">
      <c r="A2598" s="3" t="s">
        <v>5245</v>
      </c>
      <c r="B2598" s="3" t="s">
        <v>5246</v>
      </c>
    </row>
    <row r="2599">
      <c r="A2599" s="3" t="s">
        <v>5247</v>
      </c>
      <c r="B2599" s="3" t="s">
        <v>5248</v>
      </c>
    </row>
    <row r="2600">
      <c r="A2600" s="3" t="s">
        <v>5249</v>
      </c>
      <c r="B2600" s="3" t="s">
        <v>5250</v>
      </c>
    </row>
    <row r="2601">
      <c r="A2601" s="3" t="s">
        <v>5251</v>
      </c>
      <c r="B2601" s="3" t="s">
        <v>5252</v>
      </c>
    </row>
    <row r="2602">
      <c r="A2602" s="3" t="s">
        <v>5253</v>
      </c>
      <c r="B2602" s="3" t="s">
        <v>2612</v>
      </c>
    </row>
    <row r="2603">
      <c r="A2603" s="3" t="s">
        <v>5254</v>
      </c>
      <c r="B2603" s="3" t="s">
        <v>5255</v>
      </c>
    </row>
    <row r="2604">
      <c r="A2604" s="3" t="s">
        <v>5256</v>
      </c>
      <c r="B2604" s="3" t="s">
        <v>5257</v>
      </c>
    </row>
    <row r="2605">
      <c r="A2605" s="3" t="s">
        <v>5258</v>
      </c>
      <c r="B2605" s="3" t="s">
        <v>5259</v>
      </c>
    </row>
    <row r="2606">
      <c r="A2606" s="3" t="s">
        <v>5260</v>
      </c>
      <c r="B2606" s="3" t="s">
        <v>5261</v>
      </c>
    </row>
    <row r="2607">
      <c r="A2607" s="3" t="s">
        <v>5262</v>
      </c>
      <c r="B2607" s="3" t="s">
        <v>5263</v>
      </c>
    </row>
    <row r="2608">
      <c r="A2608" s="3" t="s">
        <v>5264</v>
      </c>
      <c r="B2608" s="3" t="s">
        <v>5265</v>
      </c>
    </row>
    <row r="2609">
      <c r="A2609" s="3" t="s">
        <v>5266</v>
      </c>
      <c r="B2609" s="3" t="s">
        <v>5267</v>
      </c>
    </row>
    <row r="2610">
      <c r="A2610" s="3" t="s">
        <v>5268</v>
      </c>
      <c r="B2610" s="3" t="s">
        <v>5269</v>
      </c>
    </row>
    <row r="2611">
      <c r="A2611" s="3" t="s">
        <v>5270</v>
      </c>
      <c r="B2611" s="3" t="s">
        <v>5271</v>
      </c>
    </row>
    <row r="2612">
      <c r="A2612" s="3" t="s">
        <v>5272</v>
      </c>
      <c r="B2612" s="3" t="s">
        <v>5273</v>
      </c>
    </row>
    <row r="2613">
      <c r="A2613" s="3" t="s">
        <v>5274</v>
      </c>
      <c r="B2613" s="3" t="s">
        <v>5275</v>
      </c>
    </row>
    <row r="2614">
      <c r="A2614" s="3" t="s">
        <v>5276</v>
      </c>
      <c r="B2614" s="3" t="s">
        <v>5277</v>
      </c>
    </row>
    <row r="2615">
      <c r="A2615" s="3" t="s">
        <v>5278</v>
      </c>
      <c r="B2615" s="3" t="s">
        <v>5279</v>
      </c>
    </row>
    <row r="2616">
      <c r="A2616" s="3" t="s">
        <v>5280</v>
      </c>
      <c r="B2616" s="3" t="s">
        <v>5281</v>
      </c>
    </row>
    <row r="2617">
      <c r="A2617" s="3" t="s">
        <v>5282</v>
      </c>
      <c r="B2617" s="3" t="s">
        <v>5283</v>
      </c>
    </row>
    <row r="2618">
      <c r="A2618" s="3" t="s">
        <v>5284</v>
      </c>
      <c r="B2618" s="3" t="s">
        <v>5285</v>
      </c>
    </row>
    <row r="2619">
      <c r="A2619" s="3" t="s">
        <v>5286</v>
      </c>
      <c r="B2619" s="3" t="s">
        <v>5287</v>
      </c>
    </row>
    <row r="2620">
      <c r="A2620" s="3" t="s">
        <v>5288</v>
      </c>
      <c r="B2620" s="3" t="s">
        <v>5289</v>
      </c>
    </row>
    <row r="2621">
      <c r="A2621" s="3" t="s">
        <v>5290</v>
      </c>
      <c r="B2621" s="3" t="s">
        <v>5291</v>
      </c>
    </row>
    <row r="2622">
      <c r="A2622" s="3" t="s">
        <v>5292</v>
      </c>
      <c r="B2622" s="3" t="s">
        <v>5293</v>
      </c>
    </row>
    <row r="2623">
      <c r="A2623" s="3" t="s">
        <v>5294</v>
      </c>
      <c r="B2623" s="3" t="s">
        <v>5295</v>
      </c>
    </row>
    <row r="2624">
      <c r="A2624" s="3" t="s">
        <v>5296</v>
      </c>
      <c r="B2624" s="3" t="s">
        <v>5297</v>
      </c>
    </row>
    <row r="2625">
      <c r="A2625" s="3" t="s">
        <v>5298</v>
      </c>
      <c r="B2625" s="3" t="s">
        <v>5299</v>
      </c>
    </row>
    <row r="2626">
      <c r="A2626" s="3" t="s">
        <v>5300</v>
      </c>
      <c r="B2626" s="3" t="s">
        <v>5301</v>
      </c>
    </row>
    <row r="2627">
      <c r="A2627" s="3" t="s">
        <v>5302</v>
      </c>
      <c r="B2627" s="3" t="s">
        <v>5303</v>
      </c>
    </row>
    <row r="2628">
      <c r="A2628" s="3" t="s">
        <v>5304</v>
      </c>
      <c r="B2628" s="3" t="s">
        <v>5305</v>
      </c>
    </row>
    <row r="2629">
      <c r="A2629" s="3" t="s">
        <v>5306</v>
      </c>
      <c r="B2629" s="3" t="s">
        <v>2418</v>
      </c>
    </row>
    <row r="2630">
      <c r="A2630" s="3" t="s">
        <v>5307</v>
      </c>
      <c r="B2630" s="3" t="s">
        <v>5308</v>
      </c>
    </row>
    <row r="2631">
      <c r="A2631" s="3" t="s">
        <v>5309</v>
      </c>
      <c r="B2631" s="3" t="s">
        <v>5310</v>
      </c>
    </row>
    <row r="2632">
      <c r="A2632" s="3" t="s">
        <v>5311</v>
      </c>
      <c r="B2632" s="3" t="s">
        <v>5312</v>
      </c>
    </row>
    <row r="2633">
      <c r="A2633" s="3" t="s">
        <v>5313</v>
      </c>
      <c r="B2633" s="3" t="s">
        <v>5314</v>
      </c>
    </row>
    <row r="2634">
      <c r="A2634" s="3" t="s">
        <v>5315</v>
      </c>
      <c r="B2634" s="3" t="s">
        <v>5316</v>
      </c>
    </row>
    <row r="2635">
      <c r="A2635" s="3" t="s">
        <v>5317</v>
      </c>
      <c r="B2635" s="3" t="s">
        <v>5318</v>
      </c>
    </row>
    <row r="2636">
      <c r="A2636" s="3" t="s">
        <v>5319</v>
      </c>
      <c r="B2636" s="3" t="s">
        <v>5320</v>
      </c>
    </row>
    <row r="2637">
      <c r="A2637" s="3" t="s">
        <v>5321</v>
      </c>
      <c r="B2637" s="3" t="s">
        <v>5322</v>
      </c>
    </row>
    <row r="2638">
      <c r="A2638" s="3" t="s">
        <v>5323</v>
      </c>
      <c r="B2638" s="3" t="s">
        <v>5324</v>
      </c>
    </row>
    <row r="2639">
      <c r="A2639" s="3" t="s">
        <v>5325</v>
      </c>
      <c r="B2639" s="3" t="s">
        <v>5326</v>
      </c>
    </row>
    <row r="2640">
      <c r="A2640" s="3" t="s">
        <v>5327</v>
      </c>
      <c r="B2640" s="3" t="s">
        <v>5328</v>
      </c>
    </row>
    <row r="2641">
      <c r="A2641" s="3" t="s">
        <v>5329</v>
      </c>
      <c r="B2641" s="3" t="s">
        <v>5330</v>
      </c>
    </row>
    <row r="2642">
      <c r="A2642" s="3" t="s">
        <v>5331</v>
      </c>
      <c r="B2642" s="3" t="s">
        <v>5332</v>
      </c>
    </row>
    <row r="2643">
      <c r="A2643" s="3" t="s">
        <v>5333</v>
      </c>
      <c r="B2643" s="3" t="s">
        <v>5334</v>
      </c>
    </row>
    <row r="2644">
      <c r="A2644" s="3" t="s">
        <v>5335</v>
      </c>
      <c r="B2644" s="3" t="s">
        <v>5336</v>
      </c>
    </row>
    <row r="2645">
      <c r="A2645" s="3" t="s">
        <v>5337</v>
      </c>
      <c r="B2645" s="3" t="s">
        <v>5338</v>
      </c>
    </row>
    <row r="2646">
      <c r="A2646" s="3" t="s">
        <v>5339</v>
      </c>
      <c r="B2646" s="3" t="s">
        <v>5340</v>
      </c>
    </row>
    <row r="2647">
      <c r="A2647" s="3" t="s">
        <v>5341</v>
      </c>
      <c r="B2647" s="3" t="s">
        <v>5342</v>
      </c>
    </row>
    <row r="2648">
      <c r="A2648" s="3" t="s">
        <v>5343</v>
      </c>
      <c r="B2648" s="3" t="s">
        <v>5344</v>
      </c>
    </row>
    <row r="2649">
      <c r="A2649" s="3" t="s">
        <v>5345</v>
      </c>
      <c r="B2649" s="3" t="s">
        <v>5346</v>
      </c>
    </row>
    <row r="2650">
      <c r="A2650" s="3" t="s">
        <v>5347</v>
      </c>
      <c r="B2650" s="3" t="s">
        <v>5348</v>
      </c>
    </row>
    <row r="2651">
      <c r="A2651" s="3" t="s">
        <v>5349</v>
      </c>
      <c r="B2651" s="3" t="s">
        <v>5350</v>
      </c>
    </row>
    <row r="2652">
      <c r="A2652" s="3" t="s">
        <v>5351</v>
      </c>
      <c r="B2652" s="3" t="s">
        <v>5352</v>
      </c>
    </row>
    <row r="2653">
      <c r="A2653" s="3" t="s">
        <v>5353</v>
      </c>
      <c r="B2653" s="3" t="s">
        <v>5354</v>
      </c>
    </row>
    <row r="2654">
      <c r="A2654" s="3" t="s">
        <v>5355</v>
      </c>
      <c r="B2654" s="3" t="s">
        <v>5356</v>
      </c>
    </row>
    <row r="2655">
      <c r="A2655" s="3" t="s">
        <v>5357</v>
      </c>
      <c r="B2655" s="3" t="s">
        <v>5358</v>
      </c>
    </row>
    <row r="2656">
      <c r="A2656" s="3" t="s">
        <v>5359</v>
      </c>
      <c r="B2656" s="3" t="s">
        <v>5360</v>
      </c>
    </row>
    <row r="2657">
      <c r="A2657" s="3" t="s">
        <v>5361</v>
      </c>
      <c r="B2657" s="3" t="s">
        <v>5362</v>
      </c>
    </row>
    <row r="2658">
      <c r="A2658" s="3" t="s">
        <v>5363</v>
      </c>
      <c r="B2658" s="3" t="s">
        <v>5364</v>
      </c>
    </row>
    <row r="2659">
      <c r="A2659" s="3" t="s">
        <v>5365</v>
      </c>
      <c r="B2659" s="3" t="s">
        <v>5366</v>
      </c>
    </row>
    <row r="2660">
      <c r="A2660" s="3" t="s">
        <v>5367</v>
      </c>
      <c r="B2660" s="3" t="s">
        <v>5368</v>
      </c>
    </row>
    <row r="2661">
      <c r="A2661" s="3" t="s">
        <v>5369</v>
      </c>
      <c r="B2661" s="3" t="s">
        <v>5370</v>
      </c>
    </row>
    <row r="2662">
      <c r="A2662" s="3" t="s">
        <v>5371</v>
      </c>
      <c r="B2662" s="3" t="s">
        <v>5372</v>
      </c>
    </row>
    <row r="2663">
      <c r="A2663" s="3" t="s">
        <v>5373</v>
      </c>
      <c r="B2663" s="3" t="s">
        <v>5374</v>
      </c>
    </row>
    <row r="2664">
      <c r="A2664" s="3" t="s">
        <v>5375</v>
      </c>
      <c r="B2664" s="3" t="s">
        <v>5376</v>
      </c>
    </row>
    <row r="2665">
      <c r="A2665" s="3" t="s">
        <v>5377</v>
      </c>
      <c r="B2665" s="3" t="s">
        <v>5378</v>
      </c>
    </row>
    <row r="2666">
      <c r="A2666" s="3" t="s">
        <v>5379</v>
      </c>
      <c r="B2666" s="3" t="s">
        <v>5380</v>
      </c>
    </row>
    <row r="2667">
      <c r="A2667" s="3" t="s">
        <v>5381</v>
      </c>
      <c r="B2667" s="3" t="s">
        <v>5382</v>
      </c>
    </row>
    <row r="2668">
      <c r="A2668" s="3" t="s">
        <v>5383</v>
      </c>
      <c r="B2668" s="3" t="s">
        <v>5384</v>
      </c>
    </row>
    <row r="2669">
      <c r="A2669" s="3" t="s">
        <v>5385</v>
      </c>
      <c r="B2669" s="3" t="s">
        <v>5386</v>
      </c>
    </row>
    <row r="2670">
      <c r="A2670" s="3" t="s">
        <v>5387</v>
      </c>
      <c r="B2670" s="3" t="s">
        <v>5388</v>
      </c>
    </row>
    <row r="2671">
      <c r="A2671" s="3" t="s">
        <v>5389</v>
      </c>
      <c r="B2671" s="3" t="s">
        <v>5390</v>
      </c>
    </row>
    <row r="2672">
      <c r="A2672" s="3" t="s">
        <v>5391</v>
      </c>
      <c r="B2672" s="3" t="s">
        <v>5392</v>
      </c>
    </row>
    <row r="2673">
      <c r="A2673" s="3" t="s">
        <v>5393</v>
      </c>
      <c r="B2673" s="3" t="s">
        <v>5394</v>
      </c>
    </row>
    <row r="2674">
      <c r="A2674" s="3" t="s">
        <v>5395</v>
      </c>
      <c r="B2674" s="3" t="s">
        <v>5396</v>
      </c>
    </row>
    <row r="2675">
      <c r="A2675" s="3" t="s">
        <v>5397</v>
      </c>
      <c r="B2675" s="3" t="s">
        <v>5398</v>
      </c>
    </row>
    <row r="2676">
      <c r="A2676" s="3" t="s">
        <v>5399</v>
      </c>
      <c r="B2676" s="3" t="s">
        <v>5400</v>
      </c>
    </row>
    <row r="2677">
      <c r="A2677" s="3" t="s">
        <v>5401</v>
      </c>
      <c r="B2677" s="3" t="s">
        <v>5402</v>
      </c>
    </row>
    <row r="2678">
      <c r="A2678" s="3" t="s">
        <v>5403</v>
      </c>
      <c r="B2678" s="3" t="s">
        <v>5404</v>
      </c>
    </row>
    <row r="2679">
      <c r="A2679" s="3" t="s">
        <v>5405</v>
      </c>
      <c r="B2679" s="3" t="s">
        <v>5406</v>
      </c>
    </row>
    <row r="2680">
      <c r="A2680" s="3" t="s">
        <v>5407</v>
      </c>
      <c r="B2680" s="3" t="s">
        <v>5408</v>
      </c>
    </row>
    <row r="2681">
      <c r="A2681" s="3" t="s">
        <v>5409</v>
      </c>
      <c r="B2681" s="3" t="s">
        <v>5410</v>
      </c>
    </row>
    <row r="2682">
      <c r="A2682" s="3" t="s">
        <v>5411</v>
      </c>
      <c r="B2682" s="3" t="s">
        <v>5412</v>
      </c>
    </row>
    <row r="2683">
      <c r="A2683" s="3" t="s">
        <v>5413</v>
      </c>
      <c r="B2683" s="3" t="s">
        <v>5414</v>
      </c>
    </row>
    <row r="2684">
      <c r="A2684" s="3" t="s">
        <v>5415</v>
      </c>
      <c r="B2684" s="3" t="s">
        <v>5416</v>
      </c>
    </row>
    <row r="2685">
      <c r="A2685" s="3" t="s">
        <v>5417</v>
      </c>
      <c r="B2685" s="3" t="s">
        <v>5418</v>
      </c>
    </row>
    <row r="2686">
      <c r="A2686" s="3" t="s">
        <v>5419</v>
      </c>
      <c r="B2686" s="3" t="s">
        <v>5420</v>
      </c>
    </row>
    <row r="2687">
      <c r="A2687" s="3" t="s">
        <v>5421</v>
      </c>
      <c r="B2687" s="3" t="s">
        <v>5422</v>
      </c>
    </row>
    <row r="2688">
      <c r="A2688" s="3" t="s">
        <v>5423</v>
      </c>
      <c r="B2688" s="3" t="s">
        <v>5424</v>
      </c>
    </row>
    <row r="2689">
      <c r="A2689" s="3" t="s">
        <v>5425</v>
      </c>
      <c r="B2689" s="3" t="s">
        <v>5426</v>
      </c>
    </row>
    <row r="2690">
      <c r="A2690" s="3" t="s">
        <v>5427</v>
      </c>
      <c r="B2690" s="3" t="s">
        <v>5428</v>
      </c>
    </row>
    <row r="2691">
      <c r="A2691" s="3" t="s">
        <v>5429</v>
      </c>
      <c r="B2691" s="3" t="s">
        <v>5430</v>
      </c>
    </row>
    <row r="2692">
      <c r="A2692" s="3" t="s">
        <v>5431</v>
      </c>
      <c r="B2692" s="3" t="s">
        <v>5432</v>
      </c>
    </row>
    <row r="2693">
      <c r="A2693" s="3" t="s">
        <v>5433</v>
      </c>
      <c r="B2693" s="3" t="s">
        <v>5434</v>
      </c>
    </row>
    <row r="2694">
      <c r="A2694" s="3" t="s">
        <v>5435</v>
      </c>
      <c r="B2694" s="3" t="s">
        <v>5436</v>
      </c>
    </row>
    <row r="2695">
      <c r="A2695" s="3" t="s">
        <v>5437</v>
      </c>
      <c r="B2695" s="3" t="s">
        <v>5438</v>
      </c>
    </row>
    <row r="2696">
      <c r="A2696" s="3" t="s">
        <v>5439</v>
      </c>
      <c r="B2696" s="3" t="s">
        <v>5440</v>
      </c>
    </row>
    <row r="2697">
      <c r="A2697" s="3" t="s">
        <v>5441</v>
      </c>
      <c r="B2697" s="3" t="s">
        <v>5442</v>
      </c>
    </row>
    <row r="2698">
      <c r="A2698" s="3" t="s">
        <v>5443</v>
      </c>
      <c r="B2698" s="3" t="s">
        <v>5444</v>
      </c>
    </row>
    <row r="2699">
      <c r="A2699" s="3" t="s">
        <v>5445</v>
      </c>
      <c r="B2699" s="3" t="s">
        <v>5446</v>
      </c>
    </row>
    <row r="2700">
      <c r="A2700" s="3" t="s">
        <v>5447</v>
      </c>
      <c r="B2700" s="3" t="s">
        <v>5448</v>
      </c>
    </row>
    <row r="2701">
      <c r="A2701" s="3" t="s">
        <v>5449</v>
      </c>
      <c r="B2701" s="3" t="s">
        <v>5450</v>
      </c>
    </row>
    <row r="2702">
      <c r="A2702" s="3" t="s">
        <v>5451</v>
      </c>
      <c r="B2702" s="3" t="s">
        <v>5452</v>
      </c>
    </row>
    <row r="2703">
      <c r="A2703" s="3" t="s">
        <v>5453</v>
      </c>
      <c r="B2703" s="3" t="s">
        <v>5454</v>
      </c>
    </row>
    <row r="2704">
      <c r="A2704" s="3" t="s">
        <v>5455</v>
      </c>
      <c r="B2704" s="3" t="s">
        <v>5456</v>
      </c>
    </row>
    <row r="2705">
      <c r="A2705" s="3" t="s">
        <v>5457</v>
      </c>
      <c r="B2705" s="3" t="s">
        <v>5458</v>
      </c>
    </row>
    <row r="2706">
      <c r="A2706" s="3" t="s">
        <v>5459</v>
      </c>
      <c r="B2706" s="3" t="s">
        <v>5460</v>
      </c>
    </row>
    <row r="2707">
      <c r="A2707" s="3" t="s">
        <v>5461</v>
      </c>
      <c r="B2707" s="3" t="s">
        <v>5462</v>
      </c>
    </row>
    <row r="2708">
      <c r="A2708" s="3" t="s">
        <v>5463</v>
      </c>
      <c r="B2708" s="3" t="s">
        <v>5464</v>
      </c>
    </row>
    <row r="2709">
      <c r="A2709" s="3" t="s">
        <v>5465</v>
      </c>
      <c r="B2709" s="3" t="s">
        <v>5466</v>
      </c>
    </row>
    <row r="2710">
      <c r="A2710" s="3" t="s">
        <v>5467</v>
      </c>
      <c r="B2710" s="3" t="s">
        <v>5468</v>
      </c>
    </row>
    <row r="2711">
      <c r="A2711" s="3" t="s">
        <v>5469</v>
      </c>
      <c r="B2711" s="3" t="s">
        <v>5470</v>
      </c>
    </row>
    <row r="2712">
      <c r="A2712" s="3" t="s">
        <v>5471</v>
      </c>
      <c r="B2712" s="3" t="s">
        <v>5472</v>
      </c>
    </row>
    <row r="2713">
      <c r="A2713" s="3" t="s">
        <v>5473</v>
      </c>
      <c r="B2713" s="3" t="s">
        <v>5474</v>
      </c>
    </row>
    <row r="2714">
      <c r="A2714" s="3" t="s">
        <v>5475</v>
      </c>
      <c r="B2714" s="3" t="s">
        <v>5476</v>
      </c>
    </row>
    <row r="2715">
      <c r="A2715" s="3" t="s">
        <v>5477</v>
      </c>
      <c r="B2715" s="3" t="s">
        <v>5478</v>
      </c>
    </row>
    <row r="2716">
      <c r="A2716" s="3" t="s">
        <v>5479</v>
      </c>
      <c r="B2716" s="3" t="s">
        <v>5480</v>
      </c>
    </row>
    <row r="2717">
      <c r="A2717" s="3" t="s">
        <v>5481</v>
      </c>
      <c r="B2717" s="3" t="s">
        <v>5482</v>
      </c>
    </row>
    <row r="2718">
      <c r="A2718" s="3" t="s">
        <v>5483</v>
      </c>
      <c r="B2718" s="3" t="s">
        <v>5484</v>
      </c>
    </row>
    <row r="2719">
      <c r="A2719" s="3" t="s">
        <v>5485</v>
      </c>
      <c r="B2719" s="3" t="s">
        <v>5486</v>
      </c>
    </row>
    <row r="2720">
      <c r="A2720" s="3" t="s">
        <v>5487</v>
      </c>
      <c r="B2720" s="3" t="s">
        <v>5488</v>
      </c>
    </row>
    <row r="2721">
      <c r="A2721" s="3" t="s">
        <v>5489</v>
      </c>
      <c r="B2721" s="3" t="s">
        <v>5490</v>
      </c>
    </row>
    <row r="2722">
      <c r="A2722" s="3" t="s">
        <v>5491</v>
      </c>
      <c r="B2722" s="3" t="s">
        <v>5492</v>
      </c>
    </row>
    <row r="2723">
      <c r="A2723" s="3" t="s">
        <v>5493</v>
      </c>
      <c r="B2723" s="3" t="s">
        <v>5494</v>
      </c>
    </row>
    <row r="2724">
      <c r="A2724" s="3" t="s">
        <v>5495</v>
      </c>
      <c r="B2724" s="3" t="s">
        <v>5496</v>
      </c>
    </row>
    <row r="2725">
      <c r="A2725" s="3" t="s">
        <v>5497</v>
      </c>
      <c r="B2725" s="3" t="s">
        <v>5498</v>
      </c>
    </row>
    <row r="2726">
      <c r="A2726" s="3" t="s">
        <v>5499</v>
      </c>
      <c r="B2726" s="3" t="s">
        <v>5500</v>
      </c>
    </row>
    <row r="2727">
      <c r="A2727" s="3" t="s">
        <v>5501</v>
      </c>
      <c r="B2727" s="3" t="s">
        <v>5502</v>
      </c>
    </row>
    <row r="2728">
      <c r="A2728" s="3" t="s">
        <v>5503</v>
      </c>
      <c r="B2728" s="3" t="s">
        <v>5504</v>
      </c>
    </row>
    <row r="2729">
      <c r="A2729" s="3" t="s">
        <v>5505</v>
      </c>
      <c r="B2729" s="3" t="s">
        <v>5506</v>
      </c>
    </row>
    <row r="2730">
      <c r="A2730" s="3" t="s">
        <v>5507</v>
      </c>
      <c r="B2730" s="3" t="s">
        <v>5508</v>
      </c>
    </row>
    <row r="2731">
      <c r="A2731" s="3" t="s">
        <v>5509</v>
      </c>
      <c r="B2731" s="3" t="s">
        <v>5510</v>
      </c>
    </row>
    <row r="2732">
      <c r="A2732" s="3" t="s">
        <v>5511</v>
      </c>
      <c r="B2732" s="3" t="s">
        <v>5512</v>
      </c>
    </row>
    <row r="2733">
      <c r="A2733" s="3" t="s">
        <v>5513</v>
      </c>
      <c r="B2733" s="3" t="s">
        <v>5514</v>
      </c>
    </row>
    <row r="2734">
      <c r="A2734" s="3" t="s">
        <v>5515</v>
      </c>
      <c r="B2734" s="3" t="s">
        <v>5516</v>
      </c>
    </row>
    <row r="2735">
      <c r="A2735" s="3" t="s">
        <v>5517</v>
      </c>
      <c r="B2735" s="3" t="s">
        <v>5518</v>
      </c>
    </row>
    <row r="2736">
      <c r="A2736" s="3" t="s">
        <v>5519</v>
      </c>
      <c r="B2736" s="3" t="s">
        <v>5520</v>
      </c>
    </row>
    <row r="2737">
      <c r="A2737" s="3" t="s">
        <v>5521</v>
      </c>
      <c r="B2737" s="3" t="s">
        <v>5522</v>
      </c>
    </row>
    <row r="2738">
      <c r="A2738" s="3" t="s">
        <v>5523</v>
      </c>
      <c r="B2738" s="3" t="s">
        <v>5524</v>
      </c>
    </row>
    <row r="2739">
      <c r="A2739" s="3" t="s">
        <v>5525</v>
      </c>
      <c r="B2739" s="3" t="s">
        <v>5526</v>
      </c>
    </row>
    <row r="2740">
      <c r="A2740" s="3" t="s">
        <v>5527</v>
      </c>
      <c r="B2740" s="3" t="s">
        <v>5528</v>
      </c>
    </row>
    <row r="2741">
      <c r="A2741" s="3" t="s">
        <v>5529</v>
      </c>
      <c r="B2741" s="3" t="s">
        <v>5530</v>
      </c>
    </row>
    <row r="2742">
      <c r="A2742" s="3" t="s">
        <v>5531</v>
      </c>
      <c r="B2742" s="3" t="s">
        <v>5532</v>
      </c>
    </row>
    <row r="2743">
      <c r="A2743" s="3" t="s">
        <v>5533</v>
      </c>
      <c r="B2743" s="3" t="s">
        <v>5534</v>
      </c>
    </row>
    <row r="2744">
      <c r="A2744" s="3" t="s">
        <v>5535</v>
      </c>
      <c r="B2744" s="3" t="s">
        <v>5536</v>
      </c>
    </row>
    <row r="2745">
      <c r="A2745" s="3" t="s">
        <v>5537</v>
      </c>
      <c r="B2745" s="3" t="s">
        <v>5538</v>
      </c>
    </row>
    <row r="2746">
      <c r="A2746" s="3" t="s">
        <v>5539</v>
      </c>
      <c r="B2746" s="3" t="s">
        <v>5540</v>
      </c>
    </row>
    <row r="2747">
      <c r="A2747" s="3" t="s">
        <v>5541</v>
      </c>
      <c r="B2747" s="3" t="s">
        <v>5542</v>
      </c>
    </row>
    <row r="2748">
      <c r="A2748" s="3" t="s">
        <v>5543</v>
      </c>
      <c r="B2748" s="3" t="s">
        <v>5544</v>
      </c>
    </row>
    <row r="2749">
      <c r="A2749" s="3" t="s">
        <v>5545</v>
      </c>
      <c r="B2749" s="3" t="s">
        <v>5546</v>
      </c>
    </row>
    <row r="2750">
      <c r="A2750" s="3" t="s">
        <v>5547</v>
      </c>
      <c r="B2750" s="3" t="s">
        <v>5548</v>
      </c>
    </row>
    <row r="2751">
      <c r="A2751" s="3" t="s">
        <v>5549</v>
      </c>
      <c r="B2751" s="3" t="s">
        <v>5550</v>
      </c>
    </row>
    <row r="2752">
      <c r="A2752" s="3" t="s">
        <v>5551</v>
      </c>
      <c r="B2752" s="3" t="s">
        <v>5552</v>
      </c>
    </row>
    <row r="2753">
      <c r="A2753" s="3" t="s">
        <v>5553</v>
      </c>
      <c r="B2753" s="3" t="s">
        <v>5554</v>
      </c>
    </row>
    <row r="2754">
      <c r="A2754" s="3" t="s">
        <v>5555</v>
      </c>
      <c r="B2754" s="3" t="s">
        <v>5556</v>
      </c>
    </row>
    <row r="2755">
      <c r="A2755" s="3" t="s">
        <v>5557</v>
      </c>
      <c r="B2755" s="3" t="s">
        <v>5558</v>
      </c>
    </row>
    <row r="2756">
      <c r="A2756" s="3" t="s">
        <v>5559</v>
      </c>
      <c r="B2756" s="3" t="s">
        <v>5560</v>
      </c>
    </row>
    <row r="2757">
      <c r="A2757" s="3" t="s">
        <v>5561</v>
      </c>
      <c r="B2757" s="3" t="s">
        <v>5562</v>
      </c>
    </row>
    <row r="2758">
      <c r="A2758" s="3" t="s">
        <v>5563</v>
      </c>
      <c r="B2758" s="3" t="s">
        <v>5564</v>
      </c>
    </row>
    <row r="2759">
      <c r="A2759" s="3" t="s">
        <v>5565</v>
      </c>
      <c r="B2759" s="3" t="s">
        <v>5566</v>
      </c>
    </row>
    <row r="2760">
      <c r="A2760" s="3" t="s">
        <v>5567</v>
      </c>
      <c r="B2760" s="3" t="s">
        <v>5568</v>
      </c>
    </row>
    <row r="2761">
      <c r="A2761" s="3" t="s">
        <v>5569</v>
      </c>
      <c r="B2761" s="3" t="s">
        <v>5570</v>
      </c>
    </row>
    <row r="2762">
      <c r="A2762" s="3" t="s">
        <v>5571</v>
      </c>
      <c r="B2762" s="3" t="s">
        <v>5572</v>
      </c>
    </row>
    <row r="2763">
      <c r="A2763" s="3" t="s">
        <v>5573</v>
      </c>
      <c r="B2763" s="3" t="s">
        <v>5574</v>
      </c>
    </row>
    <row r="2764">
      <c r="A2764" s="3" t="s">
        <v>5575</v>
      </c>
      <c r="B2764" s="3" t="s">
        <v>5576</v>
      </c>
    </row>
    <row r="2765">
      <c r="A2765" s="3" t="s">
        <v>5577</v>
      </c>
      <c r="B2765" s="3" t="s">
        <v>5578</v>
      </c>
    </row>
    <row r="2766">
      <c r="A2766" s="3" t="s">
        <v>5579</v>
      </c>
      <c r="B2766" s="3" t="s">
        <v>5580</v>
      </c>
    </row>
    <row r="2767">
      <c r="A2767" s="3" t="s">
        <v>5581</v>
      </c>
      <c r="B2767" s="3" t="s">
        <v>5582</v>
      </c>
    </row>
    <row r="2768">
      <c r="A2768" s="3" t="s">
        <v>5583</v>
      </c>
      <c r="B2768" s="3" t="s">
        <v>5584</v>
      </c>
    </row>
    <row r="2769">
      <c r="A2769" s="3" t="s">
        <v>5585</v>
      </c>
      <c r="B2769" s="3" t="s">
        <v>5586</v>
      </c>
    </row>
    <row r="2770">
      <c r="A2770" s="3" t="s">
        <v>5587</v>
      </c>
      <c r="B2770" s="3" t="s">
        <v>5588</v>
      </c>
    </row>
    <row r="2771">
      <c r="A2771" s="3" t="s">
        <v>5589</v>
      </c>
      <c r="B2771" s="3" t="s">
        <v>5590</v>
      </c>
    </row>
    <row r="2772">
      <c r="A2772" s="3" t="s">
        <v>5591</v>
      </c>
      <c r="B2772" s="3" t="s">
        <v>5592</v>
      </c>
    </row>
    <row r="2773">
      <c r="A2773" s="3" t="s">
        <v>5593</v>
      </c>
      <c r="B2773" s="3" t="s">
        <v>5594</v>
      </c>
    </row>
    <row r="2774">
      <c r="A2774" s="3" t="s">
        <v>5595</v>
      </c>
      <c r="B2774" s="3" t="s">
        <v>5596</v>
      </c>
    </row>
    <row r="2775">
      <c r="A2775" s="3" t="s">
        <v>5597</v>
      </c>
      <c r="B2775" s="3" t="s">
        <v>5598</v>
      </c>
    </row>
    <row r="2776">
      <c r="A2776" s="3" t="s">
        <v>5599</v>
      </c>
      <c r="B2776" s="3" t="s">
        <v>5600</v>
      </c>
    </row>
    <row r="2777">
      <c r="A2777" s="3" t="s">
        <v>5601</v>
      </c>
      <c r="B2777" s="3" t="s">
        <v>5602</v>
      </c>
    </row>
    <row r="2778">
      <c r="A2778" s="3" t="s">
        <v>5603</v>
      </c>
      <c r="B2778" s="3" t="s">
        <v>5604</v>
      </c>
    </row>
    <row r="2779">
      <c r="A2779" s="3" t="s">
        <v>5605</v>
      </c>
      <c r="B2779" s="3" t="s">
        <v>5606</v>
      </c>
    </row>
    <row r="2780">
      <c r="A2780" s="3" t="s">
        <v>5607</v>
      </c>
      <c r="B2780" s="3" t="s">
        <v>5608</v>
      </c>
    </row>
    <row r="2781">
      <c r="A2781" s="3" t="s">
        <v>5609</v>
      </c>
      <c r="B2781" s="3" t="s">
        <v>5610</v>
      </c>
    </row>
    <row r="2782">
      <c r="A2782" s="3" t="s">
        <v>5611</v>
      </c>
      <c r="B2782" s="3" t="s">
        <v>5612</v>
      </c>
    </row>
    <row r="2783">
      <c r="A2783" s="3" t="s">
        <v>5613</v>
      </c>
      <c r="B2783" s="3" t="s">
        <v>5590</v>
      </c>
    </row>
    <row r="2784">
      <c r="A2784" s="3" t="s">
        <v>5614</v>
      </c>
      <c r="B2784" s="3" t="s">
        <v>5590</v>
      </c>
    </row>
    <row r="2785">
      <c r="A2785" s="3" t="s">
        <v>5615</v>
      </c>
      <c r="B2785" s="3" t="s">
        <v>5590</v>
      </c>
    </row>
    <row r="2786">
      <c r="A2786" s="3" t="s">
        <v>5616</v>
      </c>
      <c r="B2786" s="3" t="s">
        <v>5617</v>
      </c>
    </row>
    <row r="2787">
      <c r="A2787" s="3" t="s">
        <v>5618</v>
      </c>
      <c r="B2787" s="3" t="s">
        <v>5619</v>
      </c>
    </row>
    <row r="2788">
      <c r="A2788" s="3" t="s">
        <v>5620</v>
      </c>
      <c r="B2788" s="3" t="s">
        <v>5621</v>
      </c>
    </row>
    <row r="2789">
      <c r="A2789" s="3" t="s">
        <v>5622</v>
      </c>
      <c r="B2789" s="3" t="s">
        <v>5623</v>
      </c>
    </row>
    <row r="2790">
      <c r="A2790" s="3" t="s">
        <v>5624</v>
      </c>
      <c r="B2790" s="3" t="s">
        <v>5625</v>
      </c>
    </row>
    <row r="2791">
      <c r="A2791" s="3" t="s">
        <v>5626</v>
      </c>
      <c r="B2791" s="3" t="s">
        <v>5627</v>
      </c>
    </row>
    <row r="2792">
      <c r="A2792" s="3" t="s">
        <v>5628</v>
      </c>
      <c r="B2792" s="3" t="s">
        <v>5629</v>
      </c>
    </row>
    <row r="2793">
      <c r="A2793" s="3" t="s">
        <v>5630</v>
      </c>
      <c r="B2793" s="3" t="s">
        <v>5631</v>
      </c>
    </row>
    <row r="2794">
      <c r="A2794" s="3" t="s">
        <v>5632</v>
      </c>
      <c r="B2794" s="3" t="s">
        <v>5633</v>
      </c>
    </row>
    <row r="2795">
      <c r="A2795" s="3" t="s">
        <v>5634</v>
      </c>
      <c r="B2795" s="3" t="s">
        <v>5635</v>
      </c>
    </row>
    <row r="2796">
      <c r="A2796" s="3" t="s">
        <v>5636</v>
      </c>
      <c r="B2796" s="3" t="s">
        <v>5637</v>
      </c>
    </row>
    <row r="2797">
      <c r="A2797" s="3" t="s">
        <v>5638</v>
      </c>
      <c r="B2797" s="3" t="s">
        <v>5639</v>
      </c>
    </row>
    <row r="2798">
      <c r="A2798" s="3" t="s">
        <v>5640</v>
      </c>
      <c r="B2798" s="3" t="s">
        <v>5641</v>
      </c>
    </row>
    <row r="2799">
      <c r="A2799" s="3" t="s">
        <v>5642</v>
      </c>
      <c r="B2799" s="3" t="s">
        <v>5643</v>
      </c>
    </row>
    <row r="2800">
      <c r="A2800" s="3" t="s">
        <v>5644</v>
      </c>
      <c r="B2800" s="3" t="s">
        <v>5645</v>
      </c>
    </row>
    <row r="2801">
      <c r="A2801" s="3" t="s">
        <v>5646</v>
      </c>
      <c r="B2801" s="3" t="s">
        <v>5647</v>
      </c>
    </row>
    <row r="2802">
      <c r="A2802" s="3" t="s">
        <v>5648</v>
      </c>
      <c r="B2802" s="3" t="s">
        <v>5649</v>
      </c>
    </row>
    <row r="2803">
      <c r="A2803" s="3" t="s">
        <v>5650</v>
      </c>
      <c r="B2803" s="3" t="s">
        <v>5651</v>
      </c>
    </row>
    <row r="2804">
      <c r="A2804" s="3" t="s">
        <v>5652</v>
      </c>
      <c r="B2804" s="3" t="s">
        <v>5653</v>
      </c>
    </row>
    <row r="2805">
      <c r="A2805" s="3" t="s">
        <v>5654</v>
      </c>
      <c r="B2805" s="3" t="s">
        <v>5655</v>
      </c>
    </row>
    <row r="2806">
      <c r="A2806" s="3" t="s">
        <v>5656</v>
      </c>
      <c r="B2806" s="3" t="s">
        <v>5657</v>
      </c>
    </row>
    <row r="2807">
      <c r="A2807" s="3" t="s">
        <v>5658</v>
      </c>
      <c r="B2807" s="3" t="s">
        <v>5659</v>
      </c>
    </row>
    <row r="2808">
      <c r="A2808" s="3" t="s">
        <v>5660</v>
      </c>
      <c r="B2808" s="3" t="s">
        <v>5661</v>
      </c>
    </row>
    <row r="2809">
      <c r="A2809" s="3" t="s">
        <v>5662</v>
      </c>
      <c r="B2809" s="3" t="s">
        <v>5663</v>
      </c>
    </row>
    <row r="2810">
      <c r="A2810" s="3" t="s">
        <v>5664</v>
      </c>
      <c r="B2810" s="3" t="s">
        <v>5665</v>
      </c>
    </row>
    <row r="2811">
      <c r="A2811" s="3" t="s">
        <v>5666</v>
      </c>
      <c r="B2811" s="3" t="s">
        <v>5667</v>
      </c>
    </row>
    <row r="2812">
      <c r="A2812" s="3" t="s">
        <v>5668</v>
      </c>
      <c r="B2812" s="3" t="s">
        <v>5669</v>
      </c>
    </row>
    <row r="2813">
      <c r="A2813" s="3" t="s">
        <v>5670</v>
      </c>
      <c r="B2813" s="3" t="s">
        <v>5671</v>
      </c>
    </row>
    <row r="2814">
      <c r="A2814" s="3" t="s">
        <v>5672</v>
      </c>
      <c r="B2814" s="3" t="s">
        <v>5673</v>
      </c>
    </row>
    <row r="2815">
      <c r="A2815" s="3" t="s">
        <v>5674</v>
      </c>
      <c r="B2815" s="3" t="s">
        <v>5675</v>
      </c>
    </row>
    <row r="2816">
      <c r="A2816" s="3" t="s">
        <v>5676</v>
      </c>
      <c r="B2816" s="3" t="s">
        <v>5677</v>
      </c>
    </row>
    <row r="2817">
      <c r="A2817" s="3" t="s">
        <v>5678</v>
      </c>
      <c r="B2817" s="3" t="s">
        <v>5679</v>
      </c>
    </row>
    <row r="2818">
      <c r="A2818" s="3" t="s">
        <v>5680</v>
      </c>
      <c r="B2818" s="3" t="s">
        <v>5681</v>
      </c>
    </row>
    <row r="2819">
      <c r="A2819" s="3" t="s">
        <v>5682</v>
      </c>
      <c r="B2819" s="3" t="s">
        <v>5683</v>
      </c>
    </row>
    <row r="2820">
      <c r="A2820" s="3" t="s">
        <v>5684</v>
      </c>
      <c r="B2820" s="3" t="s">
        <v>5685</v>
      </c>
    </row>
    <row r="2821">
      <c r="A2821" s="3" t="s">
        <v>5686</v>
      </c>
      <c r="B2821" s="3" t="s">
        <v>5687</v>
      </c>
    </row>
    <row r="2822">
      <c r="A2822" s="3" t="s">
        <v>5688</v>
      </c>
      <c r="B2822" s="3" t="s">
        <v>5689</v>
      </c>
    </row>
    <row r="2823">
      <c r="A2823" s="3" t="s">
        <v>5690</v>
      </c>
      <c r="B2823" s="3" t="s">
        <v>5691</v>
      </c>
    </row>
    <row r="2824">
      <c r="A2824" s="3" t="s">
        <v>5692</v>
      </c>
      <c r="B2824" s="3" t="s">
        <v>5693</v>
      </c>
    </row>
    <row r="2825">
      <c r="A2825" s="3" t="s">
        <v>5694</v>
      </c>
      <c r="B2825" s="3" t="s">
        <v>5695</v>
      </c>
    </row>
    <row r="2826">
      <c r="A2826" s="3" t="s">
        <v>5696</v>
      </c>
      <c r="B2826" s="3" t="s">
        <v>5697</v>
      </c>
    </row>
    <row r="2827">
      <c r="A2827" s="3" t="s">
        <v>5698</v>
      </c>
      <c r="B2827" s="3" t="s">
        <v>5699</v>
      </c>
    </row>
    <row r="2828">
      <c r="A2828" s="3" t="s">
        <v>5700</v>
      </c>
      <c r="B2828" s="3" t="s">
        <v>5701</v>
      </c>
    </row>
    <row r="2829">
      <c r="A2829" s="3" t="s">
        <v>5702</v>
      </c>
      <c r="B2829" s="3" t="s">
        <v>5703</v>
      </c>
    </row>
    <row r="2830">
      <c r="A2830" s="3" t="s">
        <v>5704</v>
      </c>
      <c r="B2830" s="3" t="s">
        <v>5705</v>
      </c>
    </row>
    <row r="2831">
      <c r="A2831" s="3" t="s">
        <v>5706</v>
      </c>
      <c r="B2831" s="3" t="s">
        <v>5707</v>
      </c>
    </row>
    <row r="2832">
      <c r="A2832" s="3" t="s">
        <v>5708</v>
      </c>
      <c r="B2832" s="3" t="s">
        <v>5709</v>
      </c>
    </row>
    <row r="2833">
      <c r="A2833" s="3" t="s">
        <v>5710</v>
      </c>
      <c r="B2833" s="3" t="s">
        <v>5711</v>
      </c>
    </row>
    <row r="2834">
      <c r="A2834" s="3" t="s">
        <v>5712</v>
      </c>
      <c r="B2834" s="3" t="s">
        <v>5713</v>
      </c>
    </row>
    <row r="2835">
      <c r="A2835" s="3" t="s">
        <v>5714</v>
      </c>
      <c r="B2835" s="3" t="s">
        <v>5715</v>
      </c>
    </row>
    <row r="2836">
      <c r="A2836" s="3" t="s">
        <v>5716</v>
      </c>
      <c r="B2836" s="3" t="s">
        <v>5717</v>
      </c>
    </row>
    <row r="2837">
      <c r="A2837" s="3" t="s">
        <v>5718</v>
      </c>
      <c r="B2837" s="3" t="s">
        <v>5719</v>
      </c>
    </row>
    <row r="2838">
      <c r="A2838" s="3" t="s">
        <v>5720</v>
      </c>
      <c r="B2838" s="3" t="s">
        <v>5721</v>
      </c>
    </row>
    <row r="2839">
      <c r="A2839" s="3" t="s">
        <v>5722</v>
      </c>
      <c r="B2839" s="3" t="s">
        <v>5723</v>
      </c>
    </row>
    <row r="2840">
      <c r="A2840" s="3" t="s">
        <v>5724</v>
      </c>
      <c r="B2840" s="3" t="s">
        <v>5725</v>
      </c>
    </row>
    <row r="2841">
      <c r="A2841" s="3" t="s">
        <v>5726</v>
      </c>
      <c r="B2841" s="3" t="s">
        <v>5727</v>
      </c>
    </row>
    <row r="2842">
      <c r="A2842" s="3" t="s">
        <v>5728</v>
      </c>
      <c r="B2842" s="3" t="s">
        <v>5729</v>
      </c>
    </row>
    <row r="2843">
      <c r="A2843" s="3" t="s">
        <v>5730</v>
      </c>
      <c r="B2843" s="3" t="s">
        <v>5731</v>
      </c>
    </row>
    <row r="2844">
      <c r="A2844" s="3" t="s">
        <v>5732</v>
      </c>
      <c r="B2844" s="3" t="s">
        <v>5733</v>
      </c>
    </row>
    <row r="2845">
      <c r="A2845" s="3" t="s">
        <v>5734</v>
      </c>
      <c r="B2845" s="3" t="s">
        <v>5735</v>
      </c>
    </row>
    <row r="2846">
      <c r="A2846" s="3" t="s">
        <v>5736</v>
      </c>
      <c r="B2846" s="3" t="s">
        <v>5737</v>
      </c>
    </row>
    <row r="2847">
      <c r="A2847" s="3" t="s">
        <v>5738</v>
      </c>
      <c r="B2847" s="3" t="s">
        <v>5739</v>
      </c>
    </row>
    <row r="2848">
      <c r="A2848" s="3" t="s">
        <v>5740</v>
      </c>
      <c r="B2848" s="3" t="s">
        <v>5741</v>
      </c>
    </row>
    <row r="2849">
      <c r="A2849" s="3" t="s">
        <v>5742</v>
      </c>
      <c r="B2849" s="3" t="s">
        <v>5743</v>
      </c>
    </row>
    <row r="2850">
      <c r="A2850" s="3" t="s">
        <v>5744</v>
      </c>
      <c r="B2850" s="3" t="s">
        <v>5745</v>
      </c>
    </row>
    <row r="2851">
      <c r="A2851" s="3" t="s">
        <v>5746</v>
      </c>
      <c r="B2851" s="3" t="s">
        <v>5747</v>
      </c>
    </row>
    <row r="2852">
      <c r="A2852" s="3" t="s">
        <v>5748</v>
      </c>
      <c r="B2852" s="3" t="s">
        <v>5749</v>
      </c>
    </row>
    <row r="2853">
      <c r="A2853" s="3" t="s">
        <v>5750</v>
      </c>
      <c r="B2853" s="3" t="s">
        <v>5751</v>
      </c>
    </row>
    <row r="2854">
      <c r="A2854" s="3" t="s">
        <v>5752</v>
      </c>
      <c r="B2854" s="3" t="s">
        <v>5753</v>
      </c>
    </row>
    <row r="2855">
      <c r="A2855" s="3" t="s">
        <v>5754</v>
      </c>
      <c r="B2855" s="3" t="s">
        <v>5755</v>
      </c>
    </row>
    <row r="2856">
      <c r="A2856" s="3" t="s">
        <v>5756</v>
      </c>
      <c r="B2856" s="3" t="s">
        <v>5757</v>
      </c>
    </row>
    <row r="2857">
      <c r="A2857" s="3" t="s">
        <v>5758</v>
      </c>
      <c r="B2857" s="3" t="s">
        <v>5759</v>
      </c>
    </row>
    <row r="2858">
      <c r="A2858" s="3" t="s">
        <v>5760</v>
      </c>
      <c r="B2858" s="3" t="s">
        <v>5761</v>
      </c>
    </row>
    <row r="2859">
      <c r="A2859" s="3" t="s">
        <v>5762</v>
      </c>
      <c r="B2859" s="3" t="s">
        <v>5763</v>
      </c>
    </row>
    <row r="2860">
      <c r="A2860" s="3" t="s">
        <v>5764</v>
      </c>
      <c r="B2860" s="3" t="s">
        <v>5765</v>
      </c>
    </row>
    <row r="2861">
      <c r="A2861" s="3" t="s">
        <v>5766</v>
      </c>
      <c r="B2861" s="3" t="s">
        <v>5767</v>
      </c>
    </row>
    <row r="2862">
      <c r="A2862" s="3" t="s">
        <v>5768</v>
      </c>
      <c r="B2862" s="3" t="s">
        <v>5769</v>
      </c>
    </row>
    <row r="2863">
      <c r="A2863" s="3" t="s">
        <v>5770</v>
      </c>
      <c r="B2863" s="3" t="s">
        <v>5771</v>
      </c>
    </row>
    <row r="2864">
      <c r="A2864" s="3" t="s">
        <v>5772</v>
      </c>
      <c r="B2864" s="3" t="s">
        <v>5773</v>
      </c>
    </row>
    <row r="2865">
      <c r="A2865" s="3" t="s">
        <v>5774</v>
      </c>
      <c r="B2865" s="3" t="s">
        <v>5775</v>
      </c>
    </row>
    <row r="2866">
      <c r="A2866" s="3" t="s">
        <v>5776</v>
      </c>
      <c r="B2866" s="3" t="s">
        <v>5777</v>
      </c>
    </row>
    <row r="2867">
      <c r="A2867" s="3" t="s">
        <v>5778</v>
      </c>
      <c r="B2867" s="3" t="s">
        <v>5779</v>
      </c>
    </row>
    <row r="2868">
      <c r="A2868" s="3" t="s">
        <v>5780</v>
      </c>
      <c r="B2868" s="3" t="s">
        <v>5781</v>
      </c>
    </row>
    <row r="2869">
      <c r="A2869" s="3" t="s">
        <v>5782</v>
      </c>
      <c r="B2869" s="3" t="s">
        <v>5783</v>
      </c>
    </row>
    <row r="2870">
      <c r="A2870" s="3" t="s">
        <v>5784</v>
      </c>
      <c r="B2870" s="3" t="s">
        <v>5785</v>
      </c>
    </row>
    <row r="2871">
      <c r="A2871" s="3" t="s">
        <v>5786</v>
      </c>
      <c r="B2871" s="3" t="s">
        <v>5787</v>
      </c>
    </row>
    <row r="2872">
      <c r="A2872" s="3" t="s">
        <v>5788</v>
      </c>
      <c r="B2872" s="3" t="s">
        <v>5789</v>
      </c>
    </row>
    <row r="2873">
      <c r="A2873" s="3" t="s">
        <v>5790</v>
      </c>
      <c r="B2873" s="3" t="s">
        <v>5791</v>
      </c>
    </row>
    <row r="2874">
      <c r="A2874" s="3" t="s">
        <v>5792</v>
      </c>
      <c r="B2874" s="3" t="s">
        <v>5793</v>
      </c>
    </row>
    <row r="2875">
      <c r="A2875" s="3" t="s">
        <v>5794</v>
      </c>
      <c r="B2875" s="3" t="s">
        <v>5795</v>
      </c>
    </row>
    <row r="2876">
      <c r="A2876" s="3" t="s">
        <v>5796</v>
      </c>
      <c r="B2876" s="3" t="s">
        <v>5797</v>
      </c>
    </row>
    <row r="2877">
      <c r="A2877" s="3" t="s">
        <v>5798</v>
      </c>
      <c r="B2877" s="3" t="s">
        <v>5799</v>
      </c>
    </row>
    <row r="2878">
      <c r="A2878" s="3" t="s">
        <v>5800</v>
      </c>
      <c r="B2878" s="3" t="s">
        <v>5801</v>
      </c>
    </row>
    <row r="2879">
      <c r="A2879" s="3" t="s">
        <v>5802</v>
      </c>
      <c r="B2879" s="3" t="s">
        <v>5803</v>
      </c>
    </row>
    <row r="2880">
      <c r="A2880" s="3" t="s">
        <v>5804</v>
      </c>
      <c r="B2880" s="3" t="s">
        <v>5805</v>
      </c>
    </row>
    <row r="2881">
      <c r="A2881" s="3" t="s">
        <v>5806</v>
      </c>
      <c r="B2881" s="3" t="s">
        <v>5807</v>
      </c>
    </row>
    <row r="2882">
      <c r="A2882" s="3" t="s">
        <v>5808</v>
      </c>
      <c r="B2882" s="3" t="s">
        <v>5809</v>
      </c>
    </row>
    <row r="2883">
      <c r="A2883" s="3" t="s">
        <v>5810</v>
      </c>
      <c r="B2883" s="3" t="s">
        <v>5811</v>
      </c>
    </row>
    <row r="2884">
      <c r="A2884" s="3" t="s">
        <v>5812</v>
      </c>
      <c r="B2884" s="3" t="s">
        <v>5813</v>
      </c>
    </row>
    <row r="2885">
      <c r="A2885" s="3" t="s">
        <v>5814</v>
      </c>
      <c r="B2885" s="3" t="s">
        <v>5815</v>
      </c>
    </row>
    <row r="2886">
      <c r="A2886" s="3" t="s">
        <v>5816</v>
      </c>
      <c r="B2886" s="3" t="s">
        <v>5817</v>
      </c>
    </row>
    <row r="2887">
      <c r="A2887" s="3" t="s">
        <v>5818</v>
      </c>
      <c r="B2887" s="3" t="s">
        <v>5819</v>
      </c>
    </row>
    <row r="2888">
      <c r="A2888" s="3" t="s">
        <v>5820</v>
      </c>
      <c r="B2888" s="3" t="s">
        <v>5821</v>
      </c>
    </row>
    <row r="2889">
      <c r="A2889" s="3" t="s">
        <v>5822</v>
      </c>
      <c r="B2889" s="3" t="s">
        <v>5823</v>
      </c>
    </row>
    <row r="2890">
      <c r="A2890" s="3" t="s">
        <v>5824</v>
      </c>
      <c r="B2890" s="3" t="s">
        <v>5825</v>
      </c>
    </row>
    <row r="2891">
      <c r="A2891" s="3" t="s">
        <v>5826</v>
      </c>
      <c r="B2891" s="3" t="s">
        <v>5827</v>
      </c>
    </row>
    <row r="2892">
      <c r="A2892" s="3" t="s">
        <v>5828</v>
      </c>
      <c r="B2892" s="3" t="s">
        <v>5829</v>
      </c>
    </row>
  </sheetData>
  <hyperlinks>
    <hyperlink r:id="rId1" ref="B216"/>
    <hyperlink r:id="rId2" ref="B217"/>
    <hyperlink r:id="rId3" ref="B428"/>
    <hyperlink r:id="rId4" ref="B429"/>
    <hyperlink r:id="rId5" ref="B704"/>
    <hyperlink r:id="rId6" ref="B2415"/>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19.5"/>
    <col customWidth="1" min="3" max="3" width="36.13"/>
    <col customWidth="1" min="4" max="4" width="21.88"/>
  </cols>
  <sheetData>
    <row r="1">
      <c r="A1" s="1" t="s">
        <v>5830</v>
      </c>
      <c r="B1" s="1" t="s">
        <v>52</v>
      </c>
      <c r="C1" s="1" t="s">
        <v>53</v>
      </c>
      <c r="D1" s="1" t="s">
        <v>5831</v>
      </c>
      <c r="F1" s="3" t="s">
        <v>21</v>
      </c>
      <c r="G1" s="4">
        <v>46037.532436828704</v>
      </c>
    </row>
    <row r="2">
      <c r="A2" s="3" t="b">
        <v>0</v>
      </c>
      <c r="B2" s="3" t="s">
        <v>5832</v>
      </c>
      <c r="C2" s="3" t="s">
        <v>5833</v>
      </c>
    </row>
    <row r="3">
      <c r="A3" s="3" t="b">
        <v>1</v>
      </c>
      <c r="B3" s="3" t="s">
        <v>5834</v>
      </c>
      <c r="C3" s="3" t="s">
        <v>5835</v>
      </c>
    </row>
    <row r="4">
      <c r="A4" s="3" t="b">
        <v>1</v>
      </c>
      <c r="B4" s="3" t="s">
        <v>5836</v>
      </c>
      <c r="C4" s="3" t="s">
        <v>5837</v>
      </c>
    </row>
    <row r="5">
      <c r="A5" s="3" t="b">
        <v>0</v>
      </c>
      <c r="B5" s="3" t="s">
        <v>5838</v>
      </c>
      <c r="C5" s="3" t="s">
        <v>5839</v>
      </c>
    </row>
    <row r="6">
      <c r="A6" s="3" t="b">
        <v>0</v>
      </c>
      <c r="B6" s="3" t="s">
        <v>5840</v>
      </c>
      <c r="C6" s="3" t="s">
        <v>5841</v>
      </c>
    </row>
    <row r="7">
      <c r="A7" s="3" t="b">
        <v>1</v>
      </c>
      <c r="B7" s="3" t="s">
        <v>5842</v>
      </c>
      <c r="C7" s="3" t="s">
        <v>5843</v>
      </c>
    </row>
    <row r="8">
      <c r="A8" s="3" t="b">
        <v>0</v>
      </c>
      <c r="B8" s="3" t="s">
        <v>5844</v>
      </c>
      <c r="C8" s="3" t="s">
        <v>5845</v>
      </c>
      <c r="D8" s="3" t="s">
        <v>2623</v>
      </c>
    </row>
    <row r="9">
      <c r="A9" s="3" t="b">
        <v>1</v>
      </c>
      <c r="B9" s="3" t="s">
        <v>5846</v>
      </c>
      <c r="C9" s="3" t="s">
        <v>5847</v>
      </c>
      <c r="D9" s="3" t="s">
        <v>1928</v>
      </c>
    </row>
    <row r="10">
      <c r="A10" s="3" t="b">
        <v>1</v>
      </c>
      <c r="B10" s="3" t="s">
        <v>5848</v>
      </c>
      <c r="C10" s="3" t="s">
        <v>5849</v>
      </c>
      <c r="D10" s="3" t="s">
        <v>2268</v>
      </c>
    </row>
    <row r="11">
      <c r="A11" s="3" t="b">
        <v>1</v>
      </c>
      <c r="B11" s="3" t="s">
        <v>5850</v>
      </c>
      <c r="C11" s="3" t="s">
        <v>5851</v>
      </c>
      <c r="D11" s="3" t="s">
        <v>5447</v>
      </c>
    </row>
    <row r="12">
      <c r="A12" s="3" t="b">
        <v>0</v>
      </c>
      <c r="B12" s="3" t="s">
        <v>5852</v>
      </c>
      <c r="C12" s="3" t="s">
        <v>5853</v>
      </c>
      <c r="D12" s="3" t="s">
        <v>2308</v>
      </c>
    </row>
    <row r="13">
      <c r="A13" s="3" t="b">
        <v>0</v>
      </c>
      <c r="B13" s="3" t="s">
        <v>5854</v>
      </c>
      <c r="C13" s="3" t="s">
        <v>5855</v>
      </c>
      <c r="D13" s="3" t="s">
        <v>5347</v>
      </c>
    </row>
    <row r="14">
      <c r="A14" s="3" t="b">
        <v>1</v>
      </c>
      <c r="B14" s="3" t="s">
        <v>5856</v>
      </c>
      <c r="C14" s="3" t="s">
        <v>5857</v>
      </c>
      <c r="D14" s="3" t="s">
        <v>5559</v>
      </c>
    </row>
    <row r="15">
      <c r="A15" s="3" t="b">
        <v>0</v>
      </c>
      <c r="B15" s="3" t="s">
        <v>5858</v>
      </c>
      <c r="C15" s="3" t="s">
        <v>5859</v>
      </c>
      <c r="D15" s="3" t="s">
        <v>174</v>
      </c>
    </row>
    <row r="16">
      <c r="A16" s="3" t="b">
        <v>1</v>
      </c>
      <c r="B16" s="3" t="s">
        <v>5860</v>
      </c>
      <c r="C16" s="3" t="s">
        <v>5861</v>
      </c>
      <c r="D16" s="3" t="s">
        <v>5750</v>
      </c>
    </row>
    <row r="17">
      <c r="A17" s="3" t="b">
        <v>1</v>
      </c>
      <c r="B17" s="3" t="s">
        <v>5862</v>
      </c>
      <c r="C17" s="3" t="s">
        <v>5863</v>
      </c>
      <c r="D17" s="3" t="s">
        <v>2761</v>
      </c>
    </row>
    <row r="18">
      <c r="A18" s="3" t="b">
        <v>0</v>
      </c>
      <c r="B18" s="3" t="s">
        <v>5864</v>
      </c>
      <c r="C18" s="3" t="s">
        <v>5865</v>
      </c>
      <c r="D18" s="3" t="s">
        <v>5405</v>
      </c>
    </row>
    <row r="19">
      <c r="A19" s="3" t="b">
        <v>1</v>
      </c>
      <c r="B19" s="3" t="s">
        <v>5866</v>
      </c>
      <c r="C19" s="3" t="s">
        <v>5867</v>
      </c>
      <c r="D19" s="3" t="s">
        <v>156</v>
      </c>
    </row>
    <row r="20">
      <c r="A20" s="3" t="b">
        <v>0</v>
      </c>
      <c r="B20" s="3" t="s">
        <v>5868</v>
      </c>
      <c r="C20" s="3" t="s">
        <v>5869</v>
      </c>
      <c r="D20" s="3" t="s">
        <v>5461</v>
      </c>
    </row>
    <row r="21">
      <c r="A21" s="3" t="b">
        <v>1</v>
      </c>
      <c r="B21" s="3" t="s">
        <v>5870</v>
      </c>
      <c r="C21" s="3" t="s">
        <v>5871</v>
      </c>
      <c r="D21" s="3" t="s">
        <v>236</v>
      </c>
    </row>
    <row r="22">
      <c r="A22" s="3" t="b">
        <v>0</v>
      </c>
      <c r="B22" s="3" t="s">
        <v>5872</v>
      </c>
      <c r="C22" s="3" t="s">
        <v>5873</v>
      </c>
      <c r="D22" s="3" t="s">
        <v>5519</v>
      </c>
    </row>
    <row r="23">
      <c r="A23" s="3" t="b">
        <v>0</v>
      </c>
      <c r="B23" s="3" t="s">
        <v>5874</v>
      </c>
      <c r="C23" s="3" t="s">
        <v>5875</v>
      </c>
      <c r="D23" s="3" t="s">
        <v>2949</v>
      </c>
    </row>
    <row r="24">
      <c r="A24" s="3" t="b">
        <v>0</v>
      </c>
      <c r="B24" s="3" t="s">
        <v>5876</v>
      </c>
      <c r="C24" s="3" t="s">
        <v>5877</v>
      </c>
      <c r="D24" s="3" t="s">
        <v>2449</v>
      </c>
    </row>
    <row r="25">
      <c r="A25" s="3" t="b">
        <v>1</v>
      </c>
      <c r="B25" s="3" t="s">
        <v>5878</v>
      </c>
      <c r="C25" s="3" t="s">
        <v>5879</v>
      </c>
      <c r="D25" s="3" t="s">
        <v>1800</v>
      </c>
    </row>
    <row r="26">
      <c r="A26" s="3" t="b">
        <v>0</v>
      </c>
      <c r="B26" s="3" t="s">
        <v>5880</v>
      </c>
      <c r="C26" s="3" t="s">
        <v>5881</v>
      </c>
      <c r="D26" s="3" t="s">
        <v>772</v>
      </c>
    </row>
    <row r="27">
      <c r="A27" s="3" t="b">
        <v>1</v>
      </c>
      <c r="B27" s="3" t="s">
        <v>5882</v>
      </c>
      <c r="C27" s="3" t="s">
        <v>5883</v>
      </c>
      <c r="D27" s="3" t="s">
        <v>5636</v>
      </c>
    </row>
    <row r="28">
      <c r="A28" s="3" t="b">
        <v>1</v>
      </c>
      <c r="B28" s="3" t="s">
        <v>5884</v>
      </c>
      <c r="C28" s="3" t="s">
        <v>5885</v>
      </c>
      <c r="D28" s="3" t="s">
        <v>2945</v>
      </c>
    </row>
    <row r="29">
      <c r="A29" s="3" t="b">
        <v>1</v>
      </c>
      <c r="B29" s="3" t="s">
        <v>5886</v>
      </c>
      <c r="C29" s="3" t="s">
        <v>5887</v>
      </c>
      <c r="D29" s="3" t="s">
        <v>770</v>
      </c>
    </row>
    <row r="30">
      <c r="A30" s="3" t="b">
        <v>1</v>
      </c>
      <c r="B30" s="3" t="s">
        <v>5888</v>
      </c>
      <c r="C30" s="3" t="s">
        <v>5889</v>
      </c>
      <c r="D30" s="3" t="s">
        <v>5333</v>
      </c>
    </row>
    <row r="31">
      <c r="A31" s="3" t="b">
        <v>0</v>
      </c>
      <c r="B31" s="3" t="s">
        <v>5890</v>
      </c>
      <c r="C31" s="3" t="s">
        <v>5891</v>
      </c>
      <c r="D31" s="3" t="s">
        <v>990</v>
      </c>
    </row>
    <row r="32">
      <c r="A32" s="3" t="b">
        <v>0</v>
      </c>
      <c r="B32" s="3" t="s">
        <v>5892</v>
      </c>
      <c r="C32" s="3" t="s">
        <v>5893</v>
      </c>
      <c r="D32" s="3" t="s">
        <v>656</v>
      </c>
    </row>
    <row r="33">
      <c r="A33" s="3" t="b">
        <v>1</v>
      </c>
      <c r="B33" s="3" t="s">
        <v>5894</v>
      </c>
      <c r="C33" s="3" t="s">
        <v>5895</v>
      </c>
      <c r="D33" s="3" t="s">
        <v>3017</v>
      </c>
    </row>
    <row r="34">
      <c r="A34" s="3" t="b">
        <v>1</v>
      </c>
      <c r="B34" s="3" t="s">
        <v>5896</v>
      </c>
      <c r="C34" s="3" t="s">
        <v>5897</v>
      </c>
      <c r="D34" s="3" t="s">
        <v>2789</v>
      </c>
    </row>
    <row r="35">
      <c r="A35" s="3" t="b">
        <v>0</v>
      </c>
      <c r="B35" s="3" t="s">
        <v>5898</v>
      </c>
      <c r="C35" s="3" t="s">
        <v>5899</v>
      </c>
      <c r="D35" s="3" t="s">
        <v>5762</v>
      </c>
    </row>
    <row r="36">
      <c r="A36" s="3" t="b">
        <v>0</v>
      </c>
      <c r="B36" s="3" t="s">
        <v>5900</v>
      </c>
      <c r="C36" s="3" t="s">
        <v>5901</v>
      </c>
      <c r="D36" s="3" t="s">
        <v>2661</v>
      </c>
    </row>
    <row r="37">
      <c r="A37" s="3" t="b">
        <v>0</v>
      </c>
      <c r="B37" s="3" t="s">
        <v>5902</v>
      </c>
      <c r="C37" s="3" t="s">
        <v>5903</v>
      </c>
      <c r="D37" s="3" t="s">
        <v>5710</v>
      </c>
    </row>
    <row r="38">
      <c r="A38" s="3" t="b">
        <v>1</v>
      </c>
      <c r="B38" s="3" t="s">
        <v>5904</v>
      </c>
      <c r="C38" s="3" t="s">
        <v>5905</v>
      </c>
      <c r="D38" s="3" t="s">
        <v>5616</v>
      </c>
    </row>
    <row r="39">
      <c r="A39" s="3" t="b">
        <v>1</v>
      </c>
      <c r="B39" s="3" t="s">
        <v>5906</v>
      </c>
      <c r="C39" s="3" t="s">
        <v>5907</v>
      </c>
      <c r="D39" s="3" t="s">
        <v>5816</v>
      </c>
    </row>
    <row r="40">
      <c r="A40" s="3" t="b">
        <v>0</v>
      </c>
      <c r="B40" s="3" t="s">
        <v>5908</v>
      </c>
      <c r="C40" s="3" t="s">
        <v>5909</v>
      </c>
      <c r="D40" s="3" t="s">
        <v>2851</v>
      </c>
    </row>
    <row r="41">
      <c r="A41" s="3" t="b">
        <v>0</v>
      </c>
      <c r="B41" s="3" t="s">
        <v>5910</v>
      </c>
      <c r="C41" s="3" t="s">
        <v>5911</v>
      </c>
      <c r="D41" s="3" t="s">
        <v>5551</v>
      </c>
    </row>
    <row r="42">
      <c r="A42" s="3" t="b">
        <v>0</v>
      </c>
      <c r="B42" s="3" t="s">
        <v>5912</v>
      </c>
      <c r="C42" s="3" t="s">
        <v>5913</v>
      </c>
      <c r="D42" s="3" t="s">
        <v>2649</v>
      </c>
    </row>
    <row r="43">
      <c r="A43" s="3" t="b">
        <v>0</v>
      </c>
      <c r="B43" s="3" t="s">
        <v>5914</v>
      </c>
      <c r="C43" s="3" t="s">
        <v>5915</v>
      </c>
      <c r="D43" s="3" t="s">
        <v>5696</v>
      </c>
    </row>
    <row r="44">
      <c r="A44" s="3" t="b">
        <v>0</v>
      </c>
      <c r="B44" s="3" t="s">
        <v>5916</v>
      </c>
      <c r="C44" s="3" t="s">
        <v>5917</v>
      </c>
      <c r="D44" s="3" t="s">
        <v>5417</v>
      </c>
    </row>
    <row r="45">
      <c r="A45" s="3" t="b">
        <v>0</v>
      </c>
      <c r="B45" s="3" t="s">
        <v>5918</v>
      </c>
      <c r="C45" s="3" t="s">
        <v>5919</v>
      </c>
      <c r="D45" s="3" t="s">
        <v>2409</v>
      </c>
    </row>
    <row r="46">
      <c r="A46" s="3" t="b">
        <v>0</v>
      </c>
      <c r="B46" s="3" t="s">
        <v>5920</v>
      </c>
      <c r="C46" s="3" t="s">
        <v>5921</v>
      </c>
      <c r="D46" s="3" t="s">
        <v>5077</v>
      </c>
    </row>
    <row r="47">
      <c r="A47" s="3" t="b">
        <v>1</v>
      </c>
      <c r="B47" s="3" t="s">
        <v>5922</v>
      </c>
      <c r="C47" s="3" t="s">
        <v>5923</v>
      </c>
      <c r="D47" s="3" t="s">
        <v>170</v>
      </c>
    </row>
    <row r="48">
      <c r="A48" s="3" t="b">
        <v>1</v>
      </c>
      <c r="B48" s="3" t="s">
        <v>5924</v>
      </c>
      <c r="C48" s="3" t="s">
        <v>5925</v>
      </c>
      <c r="D48" s="3" t="s">
        <v>1568</v>
      </c>
    </row>
    <row r="49">
      <c r="A49" s="3" t="b">
        <v>1</v>
      </c>
      <c r="B49" s="3" t="s">
        <v>5926</v>
      </c>
      <c r="C49" s="3" t="s">
        <v>5927</v>
      </c>
      <c r="D49" s="3" t="s">
        <v>2435</v>
      </c>
    </row>
    <row r="50">
      <c r="A50" s="3" t="b">
        <v>0</v>
      </c>
      <c r="B50" s="3" t="s">
        <v>5928</v>
      </c>
      <c r="C50" s="3" t="s">
        <v>5929</v>
      </c>
      <c r="D50" s="3" t="s">
        <v>4867</v>
      </c>
    </row>
    <row r="51">
      <c r="A51" s="3" t="b">
        <v>0</v>
      </c>
      <c r="B51" s="3" t="s">
        <v>5930</v>
      </c>
      <c r="C51" s="3" t="s">
        <v>5931</v>
      </c>
      <c r="D51" s="3" t="s">
        <v>5477</v>
      </c>
    </row>
    <row r="52">
      <c r="A52" s="3" t="b">
        <v>0</v>
      </c>
      <c r="B52" s="3" t="s">
        <v>5932</v>
      </c>
      <c r="C52" s="3" t="s">
        <v>5933</v>
      </c>
      <c r="D52" s="3" t="s">
        <v>2941</v>
      </c>
    </row>
    <row r="53">
      <c r="A53" s="3" t="b">
        <v>1</v>
      </c>
      <c r="B53" s="3" t="s">
        <v>5934</v>
      </c>
      <c r="C53" s="3" t="s">
        <v>5935</v>
      </c>
      <c r="D53" s="3" t="s">
        <v>2959</v>
      </c>
    </row>
    <row r="54">
      <c r="A54" s="3" t="b">
        <v>1</v>
      </c>
      <c r="B54" s="3" t="s">
        <v>5936</v>
      </c>
      <c r="C54" s="3" t="s">
        <v>5937</v>
      </c>
      <c r="D54" s="3" t="s">
        <v>3029</v>
      </c>
    </row>
    <row r="55">
      <c r="A55" s="3" t="b">
        <v>1</v>
      </c>
      <c r="B55" s="3" t="s">
        <v>5938</v>
      </c>
      <c r="C55" s="3" t="s">
        <v>5939</v>
      </c>
      <c r="D55" s="3" t="s">
        <v>1814</v>
      </c>
    </row>
    <row r="56">
      <c r="A56" s="3" t="b">
        <v>1</v>
      </c>
      <c r="B56" s="3" t="s">
        <v>5940</v>
      </c>
      <c r="C56" s="3" t="s">
        <v>5941</v>
      </c>
      <c r="D56" s="3" t="s">
        <v>2827</v>
      </c>
    </row>
    <row r="57">
      <c r="A57" s="3" t="b">
        <v>0</v>
      </c>
      <c r="B57" s="3" t="s">
        <v>5942</v>
      </c>
      <c r="C57" s="3" t="s">
        <v>5943</v>
      </c>
      <c r="D57" s="3" t="s">
        <v>2963</v>
      </c>
    </row>
    <row r="58">
      <c r="A58" s="3" t="b">
        <v>1</v>
      </c>
      <c r="B58" s="3" t="s">
        <v>5944</v>
      </c>
      <c r="C58" s="3" t="s">
        <v>5945</v>
      </c>
      <c r="D58" s="3" t="s">
        <v>5599</v>
      </c>
    </row>
    <row r="59">
      <c r="A59" s="3" t="b">
        <v>0</v>
      </c>
      <c r="B59" s="3" t="s">
        <v>5946</v>
      </c>
      <c r="C59" s="3" t="s">
        <v>5947</v>
      </c>
      <c r="D59" s="3" t="s">
        <v>182</v>
      </c>
    </row>
    <row r="60">
      <c r="A60" s="3" t="b">
        <v>1</v>
      </c>
      <c r="B60" s="3" t="s">
        <v>5948</v>
      </c>
      <c r="C60" s="3" t="s">
        <v>5949</v>
      </c>
      <c r="D60" s="3" t="s">
        <v>5389</v>
      </c>
    </row>
    <row r="61">
      <c r="A61" s="3" t="b">
        <v>1</v>
      </c>
      <c r="B61" s="3" t="s">
        <v>5950</v>
      </c>
      <c r="C61" s="3" t="s">
        <v>5951</v>
      </c>
      <c r="D61" s="3" t="s">
        <v>5543</v>
      </c>
    </row>
    <row r="62">
      <c r="A62" s="3" t="b">
        <v>0</v>
      </c>
      <c r="B62" s="3" t="s">
        <v>5952</v>
      </c>
      <c r="C62" s="3" t="s">
        <v>5953</v>
      </c>
      <c r="D62" s="3" t="s">
        <v>2062</v>
      </c>
    </row>
    <row r="63">
      <c r="A63" s="3" t="b">
        <v>1</v>
      </c>
      <c r="B63" s="3" t="s">
        <v>5954</v>
      </c>
      <c r="C63" s="3" t="s">
        <v>5955</v>
      </c>
      <c r="D63" s="3" t="s">
        <v>5361</v>
      </c>
    </row>
    <row r="64">
      <c r="A64" s="3" t="b">
        <v>1</v>
      </c>
      <c r="B64" s="3" t="s">
        <v>5956</v>
      </c>
      <c r="C64" s="3" t="s">
        <v>5957</v>
      </c>
      <c r="D64" s="3" t="s">
        <v>5704</v>
      </c>
    </row>
    <row r="65">
      <c r="A65" s="3" t="b">
        <v>1</v>
      </c>
      <c r="B65" s="3" t="s">
        <v>5958</v>
      </c>
      <c r="C65" s="3" t="s">
        <v>5959</v>
      </c>
      <c r="D65" s="3" t="s">
        <v>2050</v>
      </c>
    </row>
    <row r="66">
      <c r="A66" s="3" t="b">
        <v>0</v>
      </c>
      <c r="B66" s="3" t="s">
        <v>5960</v>
      </c>
      <c r="C66" s="3" t="s">
        <v>5961</v>
      </c>
      <c r="D66" s="3" t="s">
        <v>2146</v>
      </c>
    </row>
    <row r="67">
      <c r="A67" s="3" t="b">
        <v>1</v>
      </c>
      <c r="B67" s="3" t="s">
        <v>5962</v>
      </c>
      <c r="C67" s="3" t="s">
        <v>5963</v>
      </c>
      <c r="D67" s="3" t="s">
        <v>5387</v>
      </c>
    </row>
    <row r="68">
      <c r="A68" s="3" t="b">
        <v>1</v>
      </c>
      <c r="B68" s="3" t="s">
        <v>5964</v>
      </c>
      <c r="C68" s="3" t="s">
        <v>5965</v>
      </c>
      <c r="D68" s="3" t="s">
        <v>5603</v>
      </c>
    </row>
    <row r="69">
      <c r="A69" s="3" t="b">
        <v>1</v>
      </c>
      <c r="B69" s="3" t="s">
        <v>5966</v>
      </c>
      <c r="C69" s="3" t="s">
        <v>5967</v>
      </c>
      <c r="D69" s="3" t="s">
        <v>2421</v>
      </c>
    </row>
    <row r="70">
      <c r="A70" s="3" t="b">
        <v>0</v>
      </c>
      <c r="B70" s="3" t="s">
        <v>5968</v>
      </c>
      <c r="C70" s="3" t="s">
        <v>5969</v>
      </c>
      <c r="D70" s="3" t="s">
        <v>5529</v>
      </c>
    </row>
    <row r="71">
      <c r="A71" s="3" t="b">
        <v>1</v>
      </c>
      <c r="B71" s="3" t="s">
        <v>5970</v>
      </c>
      <c r="C71" s="3" t="s">
        <v>5971</v>
      </c>
      <c r="D71" s="3" t="s">
        <v>2923</v>
      </c>
    </row>
    <row r="72">
      <c r="A72" s="3" t="b">
        <v>1</v>
      </c>
      <c r="B72" s="3" t="s">
        <v>5972</v>
      </c>
      <c r="C72" s="3" t="s">
        <v>5973</v>
      </c>
      <c r="D72" s="3" t="s">
        <v>2837</v>
      </c>
    </row>
    <row r="73">
      <c r="A73" s="3" t="b">
        <v>0</v>
      </c>
      <c r="B73" s="3" t="s">
        <v>5974</v>
      </c>
      <c r="C73" s="3" t="s">
        <v>5975</v>
      </c>
      <c r="D73" s="3" t="s">
        <v>2625</v>
      </c>
    </row>
    <row r="74">
      <c r="A74" s="3" t="b">
        <v>1</v>
      </c>
      <c r="B74" s="3" t="s">
        <v>5976</v>
      </c>
      <c r="C74" s="3" t="s">
        <v>5977</v>
      </c>
      <c r="D74" s="3" t="s">
        <v>5393</v>
      </c>
    </row>
    <row r="75">
      <c r="A75" s="3" t="b">
        <v>0</v>
      </c>
      <c r="B75" s="3" t="s">
        <v>5978</v>
      </c>
      <c r="C75" s="3" t="s">
        <v>5979</v>
      </c>
      <c r="D75" s="3" t="s">
        <v>5395</v>
      </c>
    </row>
    <row r="76">
      <c r="A76" s="3" t="b">
        <v>0</v>
      </c>
      <c r="B76" s="3" t="s">
        <v>5980</v>
      </c>
      <c r="C76" s="3" t="s">
        <v>5981</v>
      </c>
      <c r="D76" s="3" t="s">
        <v>5251</v>
      </c>
    </row>
    <row r="77">
      <c r="A77" s="3" t="b">
        <v>1</v>
      </c>
      <c r="B77" s="3" t="s">
        <v>5982</v>
      </c>
      <c r="C77" s="3" t="s">
        <v>5983</v>
      </c>
      <c r="D77" s="3" t="s">
        <v>2859</v>
      </c>
    </row>
    <row r="78">
      <c r="A78" s="3" t="b">
        <v>0</v>
      </c>
      <c r="B78" s="3" t="s">
        <v>5984</v>
      </c>
      <c r="C78" s="3" t="s">
        <v>5985</v>
      </c>
      <c r="D78" s="3" t="s">
        <v>2849</v>
      </c>
    </row>
    <row r="79">
      <c r="A79" s="3" t="b">
        <v>1</v>
      </c>
      <c r="B79" s="3" t="s">
        <v>5986</v>
      </c>
      <c r="C79" s="3" t="s">
        <v>5987</v>
      </c>
      <c r="D79" s="3" t="s">
        <v>5822</v>
      </c>
    </row>
    <row r="80">
      <c r="A80" s="3" t="b">
        <v>1</v>
      </c>
      <c r="B80" s="3" t="s">
        <v>5988</v>
      </c>
      <c r="C80" s="3" t="s">
        <v>5989</v>
      </c>
      <c r="D80" s="3" t="s">
        <v>5505</v>
      </c>
    </row>
    <row r="81">
      <c r="A81" s="3" t="b">
        <v>1</v>
      </c>
      <c r="B81" s="3" t="s">
        <v>5990</v>
      </c>
      <c r="C81" s="3" t="s">
        <v>5991</v>
      </c>
      <c r="D81" s="3" t="s">
        <v>5427</v>
      </c>
    </row>
    <row r="82">
      <c r="A82" s="3" t="b">
        <v>1</v>
      </c>
      <c r="B82" s="3" t="s">
        <v>5992</v>
      </c>
      <c r="C82" s="3" t="s">
        <v>5993</v>
      </c>
      <c r="D82" s="3" t="s">
        <v>2929</v>
      </c>
    </row>
    <row r="83">
      <c r="A83" s="3" t="b">
        <v>1</v>
      </c>
      <c r="B83" s="3" t="s">
        <v>5994</v>
      </c>
      <c r="C83" s="3" t="s">
        <v>5995</v>
      </c>
      <c r="D83" s="3" t="s">
        <v>5335</v>
      </c>
    </row>
    <row r="84">
      <c r="A84" s="3" t="b">
        <v>0</v>
      </c>
      <c r="B84" s="3" t="s">
        <v>5996</v>
      </c>
      <c r="C84" s="3" t="s">
        <v>5997</v>
      </c>
      <c r="D84" s="3" t="s">
        <v>5343</v>
      </c>
    </row>
    <row r="85">
      <c r="A85" s="3" t="b">
        <v>1</v>
      </c>
      <c r="B85" s="3" t="s">
        <v>5998</v>
      </c>
      <c r="C85" s="3" t="s">
        <v>5999</v>
      </c>
      <c r="D85" s="3" t="s">
        <v>5351</v>
      </c>
    </row>
    <row r="86">
      <c r="A86" s="3" t="b">
        <v>1</v>
      </c>
      <c r="B86" s="3" t="s">
        <v>6000</v>
      </c>
      <c r="C86" s="3" t="s">
        <v>6001</v>
      </c>
      <c r="D86" s="3" t="s">
        <v>5276</v>
      </c>
    </row>
    <row r="87">
      <c r="A87" s="3" t="b">
        <v>1</v>
      </c>
      <c r="B87" s="3" t="s">
        <v>6002</v>
      </c>
      <c r="C87" s="3" t="s">
        <v>6003</v>
      </c>
      <c r="D87" s="3" t="s">
        <v>2677</v>
      </c>
    </row>
    <row r="88">
      <c r="A88" s="3" t="b">
        <v>1</v>
      </c>
      <c r="B88" s="3" t="s">
        <v>6004</v>
      </c>
      <c r="C88" s="3" t="s">
        <v>6005</v>
      </c>
      <c r="D88" s="3" t="s">
        <v>2641</v>
      </c>
    </row>
    <row r="89">
      <c r="A89" s="3" t="b">
        <v>0</v>
      </c>
      <c r="B89" s="3" t="s">
        <v>6006</v>
      </c>
      <c r="C89" s="3" t="s">
        <v>6007</v>
      </c>
      <c r="D89" s="3" t="s">
        <v>2178</v>
      </c>
    </row>
    <row r="90">
      <c r="A90" s="3" t="b">
        <v>0</v>
      </c>
      <c r="B90" s="3" t="s">
        <v>6008</v>
      </c>
      <c r="C90" s="3" t="s">
        <v>6009</v>
      </c>
      <c r="D90" s="3" t="s">
        <v>1274</v>
      </c>
    </row>
    <row r="91">
      <c r="A91" s="3" t="b">
        <v>1</v>
      </c>
      <c r="B91" s="3" t="s">
        <v>6010</v>
      </c>
      <c r="C91" s="3" t="s">
        <v>6011</v>
      </c>
      <c r="D91" s="3" t="s">
        <v>5585</v>
      </c>
    </row>
    <row r="92">
      <c r="A92" s="3" t="b">
        <v>1</v>
      </c>
      <c r="B92" s="3" t="s">
        <v>6012</v>
      </c>
      <c r="C92" s="3" t="s">
        <v>6013</v>
      </c>
      <c r="D92" s="3" t="s">
        <v>3915</v>
      </c>
    </row>
    <row r="93">
      <c r="A93" s="3" t="b">
        <v>1</v>
      </c>
      <c r="B93" s="3" t="s">
        <v>6014</v>
      </c>
      <c r="C93" s="3" t="s">
        <v>6015</v>
      </c>
      <c r="D93" s="3" t="s">
        <v>5266</v>
      </c>
    </row>
    <row r="94">
      <c r="A94" s="3" t="b">
        <v>0</v>
      </c>
      <c r="B94" s="3" t="s">
        <v>6016</v>
      </c>
      <c r="C94" s="3" t="s">
        <v>6017</v>
      </c>
      <c r="D94" s="3" t="s">
        <v>2174</v>
      </c>
    </row>
    <row r="95">
      <c r="A95" s="3" t="b">
        <v>1</v>
      </c>
      <c r="B95" s="3" t="s">
        <v>6018</v>
      </c>
      <c r="C95" s="3" t="s">
        <v>6019</v>
      </c>
      <c r="D95" s="3" t="s">
        <v>3163</v>
      </c>
    </row>
    <row r="96">
      <c r="A96" s="3" t="b">
        <v>1</v>
      </c>
      <c r="B96" s="3" t="s">
        <v>6020</v>
      </c>
      <c r="C96" s="3" t="s">
        <v>6021</v>
      </c>
      <c r="D96" s="3" t="s">
        <v>2318</v>
      </c>
    </row>
    <row r="97">
      <c r="A97" s="3" t="b">
        <v>1</v>
      </c>
      <c r="B97" s="3" t="s">
        <v>6022</v>
      </c>
      <c r="C97" s="3" t="s">
        <v>6023</v>
      </c>
      <c r="D97" s="3" t="s">
        <v>3043</v>
      </c>
    </row>
    <row r="98">
      <c r="A98" s="3" t="b">
        <v>0</v>
      </c>
      <c r="B98" s="3" t="s">
        <v>6024</v>
      </c>
      <c r="C98" s="3" t="s">
        <v>6025</v>
      </c>
      <c r="D98" s="3" t="s">
        <v>2867</v>
      </c>
    </row>
    <row r="99">
      <c r="A99" s="3" t="b">
        <v>0</v>
      </c>
      <c r="B99" s="3" t="s">
        <v>6026</v>
      </c>
      <c r="C99" s="3" t="s">
        <v>6027</v>
      </c>
      <c r="D99" s="3" t="s">
        <v>168</v>
      </c>
    </row>
    <row r="100">
      <c r="A100" s="3" t="b">
        <v>1</v>
      </c>
      <c r="B100" s="3" t="s">
        <v>6028</v>
      </c>
      <c r="C100" s="3" t="s">
        <v>6029</v>
      </c>
      <c r="D100" s="3" t="s">
        <v>826</v>
      </c>
    </row>
    <row r="101">
      <c r="A101" s="3" t="b">
        <v>0</v>
      </c>
      <c r="B101" s="3" t="s">
        <v>6030</v>
      </c>
      <c r="C101" s="3" t="s">
        <v>6031</v>
      </c>
      <c r="D101" s="3" t="s">
        <v>3421</v>
      </c>
    </row>
    <row r="102">
      <c r="A102" s="3" t="b">
        <v>0</v>
      </c>
      <c r="B102" s="3" t="s">
        <v>6032</v>
      </c>
      <c r="C102" s="3" t="s">
        <v>6033</v>
      </c>
      <c r="D102" s="3" t="s">
        <v>2975</v>
      </c>
    </row>
    <row r="103">
      <c r="A103" s="3" t="b">
        <v>1</v>
      </c>
      <c r="B103" s="3" t="s">
        <v>6034</v>
      </c>
      <c r="C103" s="3" t="s">
        <v>6035</v>
      </c>
      <c r="D103" s="3" t="s">
        <v>2985</v>
      </c>
    </row>
    <row r="104">
      <c r="A104" s="3" t="b">
        <v>0</v>
      </c>
      <c r="B104" s="3" t="s">
        <v>6036</v>
      </c>
      <c r="C104" s="3" t="s">
        <v>6037</v>
      </c>
      <c r="D104" s="3" t="s">
        <v>1954</v>
      </c>
    </row>
    <row r="105">
      <c r="A105" s="3" t="b">
        <v>1</v>
      </c>
      <c r="B105" s="3" t="s">
        <v>6038</v>
      </c>
      <c r="C105" s="3" t="s">
        <v>6039</v>
      </c>
      <c r="D105" s="3" t="s">
        <v>5634</v>
      </c>
    </row>
    <row r="106">
      <c r="A106" s="3" t="b">
        <v>1</v>
      </c>
      <c r="B106" s="3" t="s">
        <v>6040</v>
      </c>
      <c r="C106" s="3" t="s">
        <v>6041</v>
      </c>
      <c r="D106" s="3" t="s">
        <v>2797</v>
      </c>
    </row>
    <row r="107">
      <c r="A107" s="3" t="b">
        <v>0</v>
      </c>
      <c r="B107" s="3" t="s">
        <v>6042</v>
      </c>
      <c r="C107" s="3" t="s">
        <v>6043</v>
      </c>
      <c r="D107" s="3" t="s">
        <v>1238</v>
      </c>
    </row>
    <row r="108">
      <c r="A108" s="3" t="b">
        <v>1</v>
      </c>
      <c r="B108" s="3" t="s">
        <v>6044</v>
      </c>
      <c r="C108" s="3" t="s">
        <v>6045</v>
      </c>
      <c r="D108" s="3" t="s">
        <v>5409</v>
      </c>
    </row>
    <row r="109">
      <c r="A109" s="3" t="b">
        <v>1</v>
      </c>
      <c r="B109" s="3" t="s">
        <v>6046</v>
      </c>
      <c r="C109" s="3" t="s">
        <v>6047</v>
      </c>
      <c r="D109" s="3" t="s">
        <v>818</v>
      </c>
    </row>
    <row r="110">
      <c r="A110" s="3" t="b">
        <v>1</v>
      </c>
      <c r="B110" s="3" t="s">
        <v>6048</v>
      </c>
      <c r="C110" s="3" t="s">
        <v>6049</v>
      </c>
      <c r="D110" s="3" t="s">
        <v>5359</v>
      </c>
    </row>
    <row r="111">
      <c r="A111" s="3" t="b">
        <v>0</v>
      </c>
      <c r="B111" s="3" t="s">
        <v>6050</v>
      </c>
      <c r="C111" s="3" t="s">
        <v>6051</v>
      </c>
      <c r="D111" s="3" t="s">
        <v>5201</v>
      </c>
    </row>
    <row r="112">
      <c r="A112" s="3" t="b">
        <v>0</v>
      </c>
      <c r="B112" s="3" t="s">
        <v>6052</v>
      </c>
      <c r="C112" s="3" t="s">
        <v>6053</v>
      </c>
      <c r="D112" s="3" t="s">
        <v>158</v>
      </c>
    </row>
    <row r="113">
      <c r="A113" s="3" t="b">
        <v>1</v>
      </c>
      <c r="B113" s="3" t="s">
        <v>6054</v>
      </c>
      <c r="C113" s="3" t="s">
        <v>6055</v>
      </c>
      <c r="D113" s="3" t="s">
        <v>5569</v>
      </c>
    </row>
    <row r="114">
      <c r="A114" s="3" t="b">
        <v>0</v>
      </c>
      <c r="B114" s="3" t="s">
        <v>6056</v>
      </c>
      <c r="C114" s="3" t="s">
        <v>6057</v>
      </c>
      <c r="D114" s="3" t="s">
        <v>2747</v>
      </c>
    </row>
    <row r="115">
      <c r="A115" s="3" t="b">
        <v>0</v>
      </c>
      <c r="B115" s="3" t="s">
        <v>6058</v>
      </c>
      <c r="C115" s="3" t="s">
        <v>6059</v>
      </c>
      <c r="D115" s="3" t="s">
        <v>5740</v>
      </c>
    </row>
    <row r="116">
      <c r="A116" s="3" t="b">
        <v>1</v>
      </c>
      <c r="B116" s="3" t="s">
        <v>6060</v>
      </c>
      <c r="C116" s="3" t="s">
        <v>6061</v>
      </c>
      <c r="D116" s="3" t="s">
        <v>5720</v>
      </c>
    </row>
    <row r="117">
      <c r="A117" s="3" t="b">
        <v>0</v>
      </c>
      <c r="B117" s="3" t="s">
        <v>6062</v>
      </c>
      <c r="C117" s="3" t="s">
        <v>6063</v>
      </c>
      <c r="D117" s="3" t="s">
        <v>2785</v>
      </c>
    </row>
    <row r="118">
      <c r="A118" s="3" t="b">
        <v>1</v>
      </c>
      <c r="B118" s="3" t="s">
        <v>6064</v>
      </c>
      <c r="C118" s="3" t="s">
        <v>6065</v>
      </c>
      <c r="D118" s="3" t="s">
        <v>2300</v>
      </c>
    </row>
    <row r="119">
      <c r="A119" s="3" t="b">
        <v>1</v>
      </c>
      <c r="B119" s="3" t="s">
        <v>6066</v>
      </c>
      <c r="C119" s="3" t="s">
        <v>6067</v>
      </c>
      <c r="D119" s="3" t="s">
        <v>178</v>
      </c>
    </row>
    <row r="120">
      <c r="A120" s="3" t="b">
        <v>0</v>
      </c>
      <c r="B120" s="3" t="s">
        <v>6068</v>
      </c>
      <c r="C120" s="3" t="s">
        <v>6069</v>
      </c>
      <c r="D120" s="3" t="s">
        <v>5624</v>
      </c>
    </row>
    <row r="121">
      <c r="A121" s="3" t="b">
        <v>1</v>
      </c>
      <c r="B121" s="3" t="s">
        <v>6070</v>
      </c>
      <c r="C121" s="3" t="s">
        <v>6071</v>
      </c>
      <c r="D121" s="3" t="s">
        <v>2164</v>
      </c>
    </row>
    <row r="122">
      <c r="A122" s="3" t="b">
        <v>1</v>
      </c>
      <c r="B122" s="3" t="s">
        <v>6072</v>
      </c>
      <c r="C122" s="3" t="s">
        <v>6073</v>
      </c>
      <c r="D122" s="3" t="s">
        <v>2413</v>
      </c>
    </row>
    <row r="123">
      <c r="A123" s="3" t="b">
        <v>1</v>
      </c>
      <c r="B123" s="3" t="s">
        <v>6074</v>
      </c>
      <c r="C123" s="3" t="s">
        <v>6075</v>
      </c>
      <c r="D123" s="3" t="s">
        <v>2258</v>
      </c>
    </row>
    <row r="124">
      <c r="A124" s="3" t="b">
        <v>0</v>
      </c>
      <c r="B124" s="3" t="s">
        <v>6076</v>
      </c>
      <c r="C124" s="3" t="s">
        <v>6077</v>
      </c>
      <c r="D124" s="3" t="s">
        <v>5648</v>
      </c>
    </row>
    <row r="125">
      <c r="A125" s="3" t="b">
        <v>1</v>
      </c>
      <c r="B125" s="3" t="s">
        <v>6078</v>
      </c>
      <c r="C125" s="3" t="s">
        <v>6079</v>
      </c>
      <c r="D125" s="3" t="s">
        <v>1264</v>
      </c>
    </row>
    <row r="126">
      <c r="A126" s="3" t="b">
        <v>1</v>
      </c>
      <c r="B126" s="3" t="s">
        <v>6080</v>
      </c>
      <c r="C126" s="3" t="s">
        <v>6081</v>
      </c>
      <c r="D126" s="3" t="s">
        <v>860</v>
      </c>
    </row>
    <row r="127">
      <c r="A127" s="3" t="b">
        <v>0</v>
      </c>
      <c r="B127" s="3" t="s">
        <v>6082</v>
      </c>
      <c r="C127" s="3" t="s">
        <v>6083</v>
      </c>
      <c r="D127" s="3" t="s">
        <v>5339</v>
      </c>
    </row>
    <row r="128">
      <c r="A128" s="3" t="b">
        <v>0</v>
      </c>
      <c r="B128" s="3" t="s">
        <v>6084</v>
      </c>
      <c r="C128" s="3" t="s">
        <v>6085</v>
      </c>
      <c r="D128" s="3" t="s">
        <v>5302</v>
      </c>
    </row>
    <row r="129">
      <c r="A129" s="3" t="b">
        <v>1</v>
      </c>
      <c r="B129" s="3" t="s">
        <v>6086</v>
      </c>
      <c r="C129" s="3" t="s">
        <v>6087</v>
      </c>
      <c r="D129" s="3" t="s">
        <v>1290</v>
      </c>
    </row>
    <row r="130">
      <c r="A130" s="3" t="b">
        <v>1</v>
      </c>
      <c r="B130" s="3" t="s">
        <v>6088</v>
      </c>
      <c r="C130" s="3" t="s">
        <v>6089</v>
      </c>
      <c r="D130" s="3" t="s">
        <v>5754</v>
      </c>
    </row>
    <row r="131">
      <c r="A131" s="3" t="b">
        <v>0</v>
      </c>
      <c r="B131" s="3" t="s">
        <v>6090</v>
      </c>
      <c r="C131" s="3" t="s">
        <v>6091</v>
      </c>
      <c r="D131" s="3" t="s">
        <v>5618</v>
      </c>
    </row>
    <row r="132">
      <c r="A132" s="3" t="b">
        <v>0</v>
      </c>
      <c r="B132" s="3" t="s">
        <v>6092</v>
      </c>
      <c r="C132" s="3" t="s">
        <v>6093</v>
      </c>
      <c r="D132" s="3" t="s">
        <v>2545</v>
      </c>
    </row>
    <row r="133">
      <c r="A133" s="3" t="b">
        <v>0</v>
      </c>
      <c r="B133" s="3" t="s">
        <v>6094</v>
      </c>
      <c r="C133" s="3" t="s">
        <v>6095</v>
      </c>
      <c r="D133" s="3" t="s">
        <v>5284</v>
      </c>
    </row>
    <row r="134">
      <c r="A134" s="3" t="b">
        <v>0</v>
      </c>
      <c r="B134" s="3" t="s">
        <v>6096</v>
      </c>
      <c r="C134" s="3" t="s">
        <v>6097</v>
      </c>
      <c r="D134" s="3" t="s">
        <v>420</v>
      </c>
    </row>
    <row r="135">
      <c r="A135" s="3" t="b">
        <v>0</v>
      </c>
      <c r="B135" s="3" t="s">
        <v>6098</v>
      </c>
      <c r="C135" s="3" t="s">
        <v>6099</v>
      </c>
      <c r="D135" s="3" t="s">
        <v>5419</v>
      </c>
    </row>
    <row r="136">
      <c r="A136" s="3" t="b">
        <v>1</v>
      </c>
      <c r="B136" s="3" t="s">
        <v>6100</v>
      </c>
      <c r="C136" s="3" t="s">
        <v>6101</v>
      </c>
      <c r="D136" s="3" t="s">
        <v>2503</v>
      </c>
    </row>
    <row r="137">
      <c r="A137" s="3" t="b">
        <v>1</v>
      </c>
      <c r="B137" s="3" t="s">
        <v>6102</v>
      </c>
      <c r="C137" s="3" t="s">
        <v>6103</v>
      </c>
      <c r="D137" s="3" t="s">
        <v>3579</v>
      </c>
    </row>
    <row r="138">
      <c r="A138" s="3" t="b">
        <v>0</v>
      </c>
      <c r="B138" s="3" t="s">
        <v>6104</v>
      </c>
      <c r="C138" s="3" t="s">
        <v>6105</v>
      </c>
      <c r="D138" s="3" t="s">
        <v>498</v>
      </c>
    </row>
    <row r="139">
      <c r="A139" s="3" t="b">
        <v>0</v>
      </c>
      <c r="B139" s="3" t="s">
        <v>6106</v>
      </c>
      <c r="C139" s="3" t="s">
        <v>6107</v>
      </c>
      <c r="D139" s="3" t="s">
        <v>2188</v>
      </c>
    </row>
    <row r="140">
      <c r="A140" s="3" t="b">
        <v>1</v>
      </c>
      <c r="B140" s="3" t="s">
        <v>6108</v>
      </c>
      <c r="C140" s="3" t="s">
        <v>6109</v>
      </c>
      <c r="D140" s="3" t="s">
        <v>5503</v>
      </c>
    </row>
    <row r="141">
      <c r="A141" s="3" t="b">
        <v>1</v>
      </c>
      <c r="B141" s="3" t="s">
        <v>6110</v>
      </c>
      <c r="C141" s="3" t="s">
        <v>6111</v>
      </c>
      <c r="D141" s="3" t="s">
        <v>2611</v>
      </c>
    </row>
    <row r="142">
      <c r="A142" s="3" t="b">
        <v>0</v>
      </c>
      <c r="B142" s="3" t="s">
        <v>6112</v>
      </c>
      <c r="C142" s="3" t="s">
        <v>6113</v>
      </c>
      <c r="D142" s="3" t="s">
        <v>5513</v>
      </c>
    </row>
    <row r="143">
      <c r="A143" s="3" t="b">
        <v>0</v>
      </c>
      <c r="B143" s="3" t="s">
        <v>6114</v>
      </c>
      <c r="C143" s="3" t="s">
        <v>6115</v>
      </c>
      <c r="D143" s="3" t="s">
        <v>5471</v>
      </c>
    </row>
    <row r="144">
      <c r="A144" s="3" t="b">
        <v>0</v>
      </c>
      <c r="B144" s="3" t="s">
        <v>6116</v>
      </c>
      <c r="C144" s="3" t="s">
        <v>6117</v>
      </c>
      <c r="D144" s="3" t="s">
        <v>318</v>
      </c>
    </row>
    <row r="145">
      <c r="A145" s="3" t="b">
        <v>1</v>
      </c>
      <c r="B145" s="3" t="s">
        <v>6118</v>
      </c>
      <c r="C145" s="3" t="s">
        <v>6119</v>
      </c>
      <c r="D145" s="3" t="s">
        <v>3615</v>
      </c>
    </row>
    <row r="146">
      <c r="A146" s="3" t="b">
        <v>1</v>
      </c>
      <c r="B146" s="3" t="s">
        <v>6120</v>
      </c>
      <c r="C146" s="3" t="s">
        <v>6121</v>
      </c>
      <c r="D146" s="3" t="s">
        <v>704</v>
      </c>
    </row>
    <row r="147">
      <c r="A147" s="3" t="b">
        <v>1</v>
      </c>
      <c r="B147" s="3" t="s">
        <v>6122</v>
      </c>
      <c r="C147" s="3" t="s">
        <v>6123</v>
      </c>
      <c r="D147" s="3" t="s">
        <v>2475</v>
      </c>
    </row>
    <row r="148">
      <c r="A148" s="3" t="b">
        <v>1</v>
      </c>
      <c r="B148" s="3" t="s">
        <v>6124</v>
      </c>
      <c r="C148" s="3" t="s">
        <v>6125</v>
      </c>
      <c r="D148" s="3" t="s">
        <v>1672</v>
      </c>
    </row>
    <row r="149">
      <c r="A149" s="3" t="b">
        <v>0</v>
      </c>
      <c r="B149" s="3" t="s">
        <v>6126</v>
      </c>
      <c r="C149" s="3" t="s">
        <v>6127</v>
      </c>
      <c r="D149" s="3" t="s">
        <v>160</v>
      </c>
    </row>
    <row r="150">
      <c r="A150" s="3" t="b">
        <v>0</v>
      </c>
      <c r="B150" s="3" t="s">
        <v>6128</v>
      </c>
      <c r="C150" s="3" t="s">
        <v>6129</v>
      </c>
      <c r="D150" s="3" t="s">
        <v>4523</v>
      </c>
    </row>
    <row r="151">
      <c r="A151" s="3" t="b">
        <v>1</v>
      </c>
      <c r="B151" s="3" t="s">
        <v>6130</v>
      </c>
      <c r="C151" s="3" t="s">
        <v>6131</v>
      </c>
      <c r="D151" s="3" t="s">
        <v>1996</v>
      </c>
    </row>
    <row r="152">
      <c r="A152" s="3" t="b">
        <v>0</v>
      </c>
      <c r="B152" s="3" t="s">
        <v>6132</v>
      </c>
      <c r="C152" s="3" t="s">
        <v>6133</v>
      </c>
      <c r="D152" s="3" t="s">
        <v>2993</v>
      </c>
    </row>
    <row r="153">
      <c r="A153" s="3" t="b">
        <v>0</v>
      </c>
      <c r="B153" s="3" t="s">
        <v>6134</v>
      </c>
      <c r="C153" s="3" t="s">
        <v>6135</v>
      </c>
      <c r="D153" s="3" t="s">
        <v>2921</v>
      </c>
    </row>
    <row r="154">
      <c r="A154" s="3" t="b">
        <v>0</v>
      </c>
      <c r="B154" s="3" t="s">
        <v>6136</v>
      </c>
      <c r="C154" s="3" t="s">
        <v>6137</v>
      </c>
      <c r="D154" s="3" t="s">
        <v>1092</v>
      </c>
    </row>
    <row r="155">
      <c r="A155" s="3" t="b">
        <v>0</v>
      </c>
      <c r="B155" s="3" t="s">
        <v>6138</v>
      </c>
      <c r="C155" s="3" t="s">
        <v>6139</v>
      </c>
      <c r="D155" s="3" t="s">
        <v>2615</v>
      </c>
    </row>
    <row r="156">
      <c r="A156" s="3" t="b">
        <v>1</v>
      </c>
      <c r="B156" s="3" t="s">
        <v>6140</v>
      </c>
      <c r="C156" s="3" t="s">
        <v>6141</v>
      </c>
      <c r="D156" s="3" t="s">
        <v>4513</v>
      </c>
    </row>
    <row r="157">
      <c r="A157" s="3" t="b">
        <v>0</v>
      </c>
      <c r="B157" s="3" t="s">
        <v>6142</v>
      </c>
      <c r="C157" s="3" t="s">
        <v>6143</v>
      </c>
      <c r="D157" s="3" t="s">
        <v>5411</v>
      </c>
    </row>
    <row r="158">
      <c r="A158" s="3" t="b">
        <v>0</v>
      </c>
      <c r="B158" s="3" t="s">
        <v>6144</v>
      </c>
      <c r="C158" s="3" t="s">
        <v>6145</v>
      </c>
      <c r="D158" s="3" t="s">
        <v>1724</v>
      </c>
    </row>
    <row r="159">
      <c r="A159" s="3" t="b">
        <v>0</v>
      </c>
      <c r="B159" s="3" t="s">
        <v>6146</v>
      </c>
      <c r="C159" s="3" t="s">
        <v>6147</v>
      </c>
      <c r="D159" s="3" t="s">
        <v>1846</v>
      </c>
    </row>
    <row r="160">
      <c r="A160" s="3" t="b">
        <v>1</v>
      </c>
      <c r="B160" s="3" t="s">
        <v>6148</v>
      </c>
      <c r="C160" s="3" t="s">
        <v>6149</v>
      </c>
      <c r="D160" s="3" t="s">
        <v>2387</v>
      </c>
    </row>
    <row r="161">
      <c r="A161" s="3" t="b">
        <v>0</v>
      </c>
      <c r="B161" s="3" t="s">
        <v>6150</v>
      </c>
      <c r="C161" s="3" t="s">
        <v>6151</v>
      </c>
      <c r="D161" s="3" t="s">
        <v>5403</v>
      </c>
    </row>
    <row r="162">
      <c r="A162" s="3" t="b">
        <v>0</v>
      </c>
      <c r="B162" s="3" t="s">
        <v>6152</v>
      </c>
      <c r="C162" s="3" t="s">
        <v>6153</v>
      </c>
      <c r="D162" s="3" t="s">
        <v>5611</v>
      </c>
    </row>
    <row r="163">
      <c r="A163" s="3" t="b">
        <v>1</v>
      </c>
      <c r="B163" s="3" t="s">
        <v>6154</v>
      </c>
      <c r="C163" s="3" t="s">
        <v>6155</v>
      </c>
      <c r="D163" s="3" t="s">
        <v>5692</v>
      </c>
    </row>
    <row r="164">
      <c r="A164" s="3" t="b">
        <v>1</v>
      </c>
      <c r="B164" s="3" t="s">
        <v>6156</v>
      </c>
      <c r="C164" s="3" t="s">
        <v>6157</v>
      </c>
      <c r="D164" s="3" t="s">
        <v>5714</v>
      </c>
    </row>
    <row r="165">
      <c r="A165" s="3" t="b">
        <v>1</v>
      </c>
      <c r="B165" s="3" t="s">
        <v>6158</v>
      </c>
      <c r="C165" s="3" t="s">
        <v>6159</v>
      </c>
      <c r="D165" s="3" t="s">
        <v>5286</v>
      </c>
    </row>
    <row r="166">
      <c r="A166" s="3" t="b">
        <v>1</v>
      </c>
      <c r="B166" s="3" t="s">
        <v>6160</v>
      </c>
      <c r="C166" s="3" t="s">
        <v>6161</v>
      </c>
      <c r="D166" s="3" t="s">
        <v>5744</v>
      </c>
    </row>
    <row r="167">
      <c r="A167" s="3" t="b">
        <v>1</v>
      </c>
      <c r="B167" s="3" t="s">
        <v>6162</v>
      </c>
      <c r="C167" s="3" t="s">
        <v>6163</v>
      </c>
      <c r="D167" s="3" t="s">
        <v>5778</v>
      </c>
    </row>
    <row r="168">
      <c r="A168" s="3" t="b">
        <v>1</v>
      </c>
      <c r="B168" s="3" t="s">
        <v>6164</v>
      </c>
      <c r="C168" s="3" t="s">
        <v>6165</v>
      </c>
      <c r="D168" s="3" t="s">
        <v>5734</v>
      </c>
    </row>
    <row r="169">
      <c r="A169" s="3" t="b">
        <v>0</v>
      </c>
      <c r="B169" s="3" t="s">
        <v>6166</v>
      </c>
      <c r="C169" s="3" t="s">
        <v>6167</v>
      </c>
      <c r="D169" s="3" t="s">
        <v>5601</v>
      </c>
    </row>
    <row r="170">
      <c r="A170" s="3" t="b">
        <v>1</v>
      </c>
      <c r="B170" s="3" t="s">
        <v>6168</v>
      </c>
      <c r="C170" s="3" t="s">
        <v>6169</v>
      </c>
      <c r="D170" s="3" t="s">
        <v>172</v>
      </c>
    </row>
    <row r="171">
      <c r="A171" s="3" t="b">
        <v>0</v>
      </c>
      <c r="B171" s="3" t="s">
        <v>6170</v>
      </c>
      <c r="C171" s="3" t="s">
        <v>6171</v>
      </c>
      <c r="D171" s="3" t="s">
        <v>562</v>
      </c>
    </row>
    <row r="172">
      <c r="A172" s="3" t="b">
        <v>1</v>
      </c>
      <c r="B172" s="3" t="s">
        <v>6172</v>
      </c>
      <c r="C172" s="3" t="s">
        <v>6173</v>
      </c>
      <c r="D172" s="3" t="s">
        <v>176</v>
      </c>
    </row>
    <row r="173">
      <c r="A173" s="3" t="b">
        <v>0</v>
      </c>
      <c r="B173" s="3" t="s">
        <v>6174</v>
      </c>
      <c r="C173" s="3" t="s">
        <v>6175</v>
      </c>
      <c r="D173" s="3" t="s">
        <v>5666</v>
      </c>
    </row>
    <row r="174">
      <c r="A174" s="3" t="b">
        <v>0</v>
      </c>
      <c r="B174" s="3" t="s">
        <v>6176</v>
      </c>
      <c r="C174" s="3" t="s">
        <v>6177</v>
      </c>
      <c r="D174" s="3" t="s">
        <v>2681</v>
      </c>
    </row>
    <row r="175">
      <c r="A175" s="3" t="b">
        <v>1</v>
      </c>
      <c r="B175" s="3" t="s">
        <v>6178</v>
      </c>
      <c r="C175" s="3" t="s">
        <v>6179</v>
      </c>
      <c r="D175" s="3" t="s">
        <v>2857</v>
      </c>
    </row>
    <row r="176">
      <c r="A176" s="3" t="b">
        <v>0</v>
      </c>
      <c r="B176" s="3" t="s">
        <v>6180</v>
      </c>
      <c r="C176" s="3" t="s">
        <v>6181</v>
      </c>
      <c r="D176" s="3" t="s">
        <v>2603</v>
      </c>
    </row>
    <row r="177">
      <c r="A177" s="3" t="b">
        <v>1</v>
      </c>
      <c r="B177" s="3" t="s">
        <v>6182</v>
      </c>
      <c r="C177" s="3" t="s">
        <v>6183</v>
      </c>
      <c r="D177" s="3" t="s">
        <v>2967</v>
      </c>
    </row>
    <row r="178">
      <c r="A178" s="3" t="b">
        <v>1</v>
      </c>
      <c r="B178" s="3" t="s">
        <v>6184</v>
      </c>
      <c r="C178" s="3" t="s">
        <v>6185</v>
      </c>
      <c r="D178" s="3" t="s">
        <v>5292</v>
      </c>
    </row>
    <row r="179">
      <c r="A179" s="3" t="b">
        <v>0</v>
      </c>
      <c r="B179" s="3" t="s">
        <v>6186</v>
      </c>
      <c r="C179" s="3" t="s">
        <v>6187</v>
      </c>
      <c r="D179" s="3" t="s">
        <v>5828</v>
      </c>
    </row>
    <row r="180">
      <c r="A180" s="3" t="b">
        <v>1</v>
      </c>
      <c r="B180" s="3" t="s">
        <v>6188</v>
      </c>
      <c r="C180" s="3" t="s">
        <v>6189</v>
      </c>
      <c r="D180" s="3" t="s">
        <v>3299</v>
      </c>
    </row>
    <row r="181">
      <c r="A181" s="3" t="b">
        <v>1</v>
      </c>
      <c r="B181" s="3" t="s">
        <v>6190</v>
      </c>
      <c r="C181" s="3" t="s">
        <v>6191</v>
      </c>
      <c r="D181" s="3" t="s">
        <v>2819</v>
      </c>
    </row>
    <row r="182">
      <c r="A182" s="3" t="b">
        <v>0</v>
      </c>
      <c r="B182" s="3" t="s">
        <v>6192</v>
      </c>
      <c r="C182" s="13" t="s">
        <v>6193</v>
      </c>
      <c r="D182" s="3" t="s">
        <v>5521</v>
      </c>
    </row>
    <row r="183">
      <c r="A183" s="3" t="b">
        <v>0</v>
      </c>
      <c r="B183" s="3" t="s">
        <v>6194</v>
      </c>
      <c r="C183" s="3" t="s">
        <v>6195</v>
      </c>
      <c r="D183" s="3" t="s">
        <v>4057</v>
      </c>
    </row>
    <row r="184">
      <c r="A184" s="3" t="b">
        <v>1</v>
      </c>
      <c r="B184" s="3" t="s">
        <v>6196</v>
      </c>
      <c r="C184" s="3" t="s">
        <v>6197</v>
      </c>
      <c r="D184" s="3" t="s">
        <v>2979</v>
      </c>
    </row>
    <row r="185">
      <c r="A185" s="3" t="b">
        <v>1</v>
      </c>
      <c r="B185" s="3" t="s">
        <v>6198</v>
      </c>
      <c r="C185" s="3" t="s">
        <v>6199</v>
      </c>
      <c r="D185" s="3" t="s">
        <v>5274</v>
      </c>
    </row>
    <row r="186">
      <c r="A186" s="3" t="b">
        <v>1</v>
      </c>
      <c r="B186" s="3" t="s">
        <v>6200</v>
      </c>
      <c r="C186" s="3" t="s">
        <v>6201</v>
      </c>
      <c r="D186" s="3" t="s">
        <v>2383</v>
      </c>
    </row>
    <row r="187">
      <c r="A187" s="3" t="b">
        <v>1</v>
      </c>
      <c r="B187" s="3" t="s">
        <v>6202</v>
      </c>
      <c r="C187" s="3" t="s">
        <v>6203</v>
      </c>
      <c r="D187" s="3" t="s">
        <v>1968</v>
      </c>
    </row>
    <row r="188">
      <c r="A188" s="3" t="b">
        <v>0</v>
      </c>
      <c r="B188" s="3" t="s">
        <v>6204</v>
      </c>
      <c r="C188" s="3" t="s">
        <v>6205</v>
      </c>
      <c r="D188" s="3" t="s">
        <v>2551</v>
      </c>
    </row>
    <row r="189">
      <c r="A189" s="3" t="b">
        <v>0</v>
      </c>
      <c r="B189" s="3" t="s">
        <v>6206</v>
      </c>
      <c r="C189" s="3" t="s">
        <v>6207</v>
      </c>
      <c r="D189" s="3" t="s">
        <v>5421</v>
      </c>
    </row>
    <row r="190">
      <c r="A190" s="3" t="b">
        <v>1</v>
      </c>
      <c r="B190" s="3" t="s">
        <v>6208</v>
      </c>
      <c r="C190" s="3" t="s">
        <v>6209</v>
      </c>
      <c r="D190" s="3" t="s">
        <v>186</v>
      </c>
    </row>
    <row r="191">
      <c r="A191" s="3" t="b">
        <v>0</v>
      </c>
      <c r="B191" s="3" t="s">
        <v>6210</v>
      </c>
      <c r="C191" s="3" t="s">
        <v>6211</v>
      </c>
      <c r="D191" s="3" t="s">
        <v>4519</v>
      </c>
    </row>
    <row r="192">
      <c r="A192" s="3" t="b">
        <v>0</v>
      </c>
      <c r="B192" s="3" t="s">
        <v>6212</v>
      </c>
      <c r="C192" s="3" t="s">
        <v>6213</v>
      </c>
      <c r="D192" s="3" t="s">
        <v>2238</v>
      </c>
    </row>
    <row r="193">
      <c r="A193" s="3" t="b">
        <v>1</v>
      </c>
      <c r="B193" s="3" t="s">
        <v>6214</v>
      </c>
      <c r="C193" s="3" t="s">
        <v>6215</v>
      </c>
      <c r="D193" s="3" t="s">
        <v>3001</v>
      </c>
    </row>
    <row r="194">
      <c r="A194" s="3" t="b">
        <v>1</v>
      </c>
      <c r="B194" s="3" t="s">
        <v>6216</v>
      </c>
      <c r="C194" s="3" t="s">
        <v>6217</v>
      </c>
      <c r="D194" s="3" t="s">
        <v>2607</v>
      </c>
    </row>
    <row r="195">
      <c r="A195" s="3" t="b">
        <v>1</v>
      </c>
      <c r="B195" s="3" t="s">
        <v>6218</v>
      </c>
      <c r="C195" s="3" t="s">
        <v>6219</v>
      </c>
      <c r="D195" s="3" t="s">
        <v>102</v>
      </c>
    </row>
    <row r="196">
      <c r="A196" s="3" t="b">
        <v>1</v>
      </c>
      <c r="B196" s="3" t="s">
        <v>6220</v>
      </c>
      <c r="C196" s="3" t="s">
        <v>6221</v>
      </c>
      <c r="D196" s="3" t="s">
        <v>2713</v>
      </c>
    </row>
    <row r="197">
      <c r="A197" s="3" t="b">
        <v>0</v>
      </c>
      <c r="B197" s="3" t="s">
        <v>6222</v>
      </c>
      <c r="C197" s="3" t="s">
        <v>6223</v>
      </c>
      <c r="D197" s="3" t="s">
        <v>5325</v>
      </c>
    </row>
    <row r="198">
      <c r="A198" s="3" t="b">
        <v>0</v>
      </c>
      <c r="B198" s="3" t="s">
        <v>6224</v>
      </c>
      <c r="C198" s="3" t="s">
        <v>6225</v>
      </c>
      <c r="D198" s="3" t="s">
        <v>2182</v>
      </c>
    </row>
    <row r="199">
      <c r="A199" s="3" t="b">
        <v>1</v>
      </c>
      <c r="B199" s="3" t="s">
        <v>6226</v>
      </c>
      <c r="C199" s="3" t="s">
        <v>1489</v>
      </c>
      <c r="D199" s="3" t="s">
        <v>2771</v>
      </c>
    </row>
    <row r="200">
      <c r="A200" s="3" t="b">
        <v>1</v>
      </c>
      <c r="B200" s="3" t="s">
        <v>6227</v>
      </c>
      <c r="C200" s="3" t="s">
        <v>6228</v>
      </c>
      <c r="D200" s="3" t="s">
        <v>3215</v>
      </c>
    </row>
    <row r="201">
      <c r="A201" s="3" t="b">
        <v>1</v>
      </c>
      <c r="B201" s="3" t="s">
        <v>6229</v>
      </c>
      <c r="C201" s="3" t="s">
        <v>6230</v>
      </c>
      <c r="D201" s="3" t="s">
        <v>5680</v>
      </c>
    </row>
    <row r="202">
      <c r="A202" s="3" t="b">
        <v>1</v>
      </c>
      <c r="B202" s="3" t="s">
        <v>6231</v>
      </c>
      <c r="C202" s="3" t="s">
        <v>6232</v>
      </c>
      <c r="D202" s="3" t="s">
        <v>2429</v>
      </c>
    </row>
    <row r="203">
      <c r="A203" s="3" t="b">
        <v>1</v>
      </c>
      <c r="B203" s="3" t="s">
        <v>6233</v>
      </c>
      <c r="C203" s="3" t="s">
        <v>6234</v>
      </c>
      <c r="D203" s="3" t="s">
        <v>5469</v>
      </c>
    </row>
    <row r="204">
      <c r="A204" s="3" t="b">
        <v>1</v>
      </c>
      <c r="B204" s="3" t="s">
        <v>6235</v>
      </c>
      <c r="C204" s="3" t="s">
        <v>6236</v>
      </c>
      <c r="D204" s="3" t="s">
        <v>2627</v>
      </c>
    </row>
    <row r="205">
      <c r="A205" s="3" t="b">
        <v>0</v>
      </c>
      <c r="B205" s="3" t="s">
        <v>6237</v>
      </c>
      <c r="C205" s="3" t="s">
        <v>6238</v>
      </c>
      <c r="D205" s="3" t="s">
        <v>5415</v>
      </c>
    </row>
    <row r="206">
      <c r="A206" s="3" t="b">
        <v>1</v>
      </c>
      <c r="B206" s="3" t="s">
        <v>6239</v>
      </c>
      <c r="C206" s="3" t="s">
        <v>6240</v>
      </c>
      <c r="D206" s="3" t="s">
        <v>666</v>
      </c>
    </row>
    <row r="207">
      <c r="A207" s="3" t="b">
        <v>0</v>
      </c>
      <c r="B207" s="3" t="s">
        <v>6241</v>
      </c>
      <c r="C207" s="3" t="s">
        <v>6242</v>
      </c>
      <c r="D207" s="3" t="s">
        <v>5365</v>
      </c>
    </row>
    <row r="208">
      <c r="A208" s="3" t="b">
        <v>0</v>
      </c>
      <c r="B208" s="3" t="s">
        <v>6243</v>
      </c>
      <c r="C208" s="3" t="s">
        <v>6244</v>
      </c>
      <c r="D208" s="3" t="s">
        <v>5545</v>
      </c>
    </row>
    <row r="209">
      <c r="A209" s="3" t="b">
        <v>0</v>
      </c>
      <c r="B209" s="3" t="s">
        <v>6245</v>
      </c>
      <c r="C209" s="3" t="s">
        <v>6246</v>
      </c>
      <c r="D209" s="3" t="s">
        <v>5726</v>
      </c>
    </row>
    <row r="210">
      <c r="A210" s="3" t="b">
        <v>1</v>
      </c>
      <c r="B210" s="3" t="s">
        <v>6247</v>
      </c>
      <c r="C210" s="3" t="s">
        <v>6248</v>
      </c>
      <c r="D210" s="3" t="s">
        <v>4465</v>
      </c>
    </row>
    <row r="211">
      <c r="A211" s="3" t="b">
        <v>0</v>
      </c>
      <c r="B211" s="3" t="s">
        <v>6249</v>
      </c>
      <c r="C211" s="3" t="s">
        <v>6250</v>
      </c>
      <c r="D211" s="3" t="s">
        <v>5814</v>
      </c>
    </row>
    <row r="212">
      <c r="A212" s="3" t="b">
        <v>1</v>
      </c>
      <c r="B212" s="3" t="s">
        <v>6251</v>
      </c>
      <c r="C212" s="3" t="s">
        <v>6252</v>
      </c>
      <c r="D212" s="3" t="s">
        <v>5219</v>
      </c>
    </row>
    <row r="213">
      <c r="A213" s="3" t="b">
        <v>0</v>
      </c>
      <c r="B213" s="3" t="s">
        <v>6253</v>
      </c>
      <c r="C213" s="3" t="s">
        <v>6254</v>
      </c>
      <c r="D213" s="3" t="s">
        <v>2298</v>
      </c>
    </row>
    <row r="214">
      <c r="A214" s="3" t="b">
        <v>1</v>
      </c>
      <c r="B214" s="3" t="s">
        <v>6255</v>
      </c>
      <c r="C214" s="3" t="s">
        <v>6256</v>
      </c>
      <c r="D214" s="3" t="s">
        <v>2675</v>
      </c>
    </row>
    <row r="215">
      <c r="A215" s="3" t="b">
        <v>0</v>
      </c>
      <c r="B215" s="3" t="s">
        <v>6257</v>
      </c>
      <c r="C215" s="3" t="s">
        <v>6258</v>
      </c>
      <c r="D215" s="3" t="s">
        <v>2601</v>
      </c>
    </row>
    <row r="216">
      <c r="A216" s="3" t="b">
        <v>0</v>
      </c>
      <c r="B216" s="3" t="s">
        <v>6259</v>
      </c>
      <c r="C216" s="3" t="s">
        <v>6260</v>
      </c>
      <c r="D216" s="3" t="s">
        <v>5581</v>
      </c>
    </row>
    <row r="217">
      <c r="A217" s="3" t="b">
        <v>1</v>
      </c>
      <c r="B217" s="3" t="s">
        <v>6261</v>
      </c>
      <c r="C217" s="3" t="s">
        <v>6262</v>
      </c>
      <c r="D217" s="3" t="s">
        <v>2957</v>
      </c>
    </row>
    <row r="218">
      <c r="A218" s="3" t="b">
        <v>0</v>
      </c>
      <c r="B218" s="3" t="s">
        <v>6263</v>
      </c>
      <c r="C218" s="3" t="s">
        <v>6264</v>
      </c>
      <c r="D218" s="3" t="s">
        <v>3037</v>
      </c>
    </row>
    <row r="219">
      <c r="A219" s="3" t="b">
        <v>0</v>
      </c>
      <c r="B219" s="3" t="s">
        <v>6265</v>
      </c>
      <c r="C219" s="3" t="s">
        <v>6266</v>
      </c>
      <c r="D219" s="3" t="s">
        <v>2575</v>
      </c>
    </row>
    <row r="220">
      <c r="A220" s="3" t="b">
        <v>0</v>
      </c>
      <c r="B220" s="3" t="s">
        <v>6267</v>
      </c>
      <c r="C220" s="3" t="s">
        <v>6268</v>
      </c>
      <c r="D220" s="3" t="s">
        <v>2355</v>
      </c>
    </row>
    <row r="221">
      <c r="A221" s="3" t="b">
        <v>0</v>
      </c>
      <c r="B221" s="3" t="s">
        <v>6269</v>
      </c>
      <c r="C221" s="3" t="s">
        <v>6270</v>
      </c>
      <c r="D221" s="3" t="s">
        <v>5808</v>
      </c>
    </row>
    <row r="222">
      <c r="A222" s="3" t="b">
        <v>1</v>
      </c>
      <c r="B222" s="3" t="s">
        <v>6271</v>
      </c>
      <c r="C222" s="3" t="s">
        <v>6272</v>
      </c>
      <c r="D222" s="3" t="s">
        <v>5245</v>
      </c>
    </row>
    <row r="223">
      <c r="A223" s="3" t="b">
        <v>1</v>
      </c>
      <c r="B223" s="3" t="s">
        <v>6273</v>
      </c>
      <c r="C223" s="3" t="s">
        <v>6274</v>
      </c>
      <c r="D223" s="3" t="s">
        <v>1596</v>
      </c>
    </row>
    <row r="224">
      <c r="A224" s="3" t="b">
        <v>1</v>
      </c>
      <c r="B224" s="3" t="s">
        <v>6275</v>
      </c>
      <c r="C224" s="3" t="s">
        <v>6276</v>
      </c>
      <c r="D224" s="3" t="s">
        <v>856</v>
      </c>
    </row>
    <row r="225">
      <c r="A225" s="3" t="b">
        <v>0</v>
      </c>
      <c r="B225" s="3" t="s">
        <v>6277</v>
      </c>
      <c r="C225" s="3" t="s">
        <v>6278</v>
      </c>
      <c r="D225" s="3" t="s">
        <v>5557</v>
      </c>
    </row>
    <row r="226">
      <c r="A226" s="3" t="b">
        <v>1</v>
      </c>
      <c r="B226" s="3" t="s">
        <v>6279</v>
      </c>
      <c r="C226" s="3" t="s">
        <v>6280</v>
      </c>
      <c r="D226" s="3" t="s">
        <v>5313</v>
      </c>
    </row>
    <row r="227">
      <c r="A227" s="3" t="b">
        <v>1</v>
      </c>
      <c r="B227" s="3" t="s">
        <v>6281</v>
      </c>
      <c r="C227" s="3" t="s">
        <v>6282</v>
      </c>
      <c r="D227" s="3" t="s">
        <v>5593</v>
      </c>
    </row>
    <row r="228">
      <c r="A228" s="3" t="b">
        <v>1</v>
      </c>
      <c r="B228" s="3" t="s">
        <v>6283</v>
      </c>
      <c r="C228" s="3" t="s">
        <v>6284</v>
      </c>
      <c r="D228" s="3" t="s">
        <v>5615</v>
      </c>
    </row>
    <row r="229">
      <c r="A229" s="3" t="b">
        <v>1</v>
      </c>
      <c r="B229" s="3" t="s">
        <v>6285</v>
      </c>
      <c r="C229" s="3" t="s">
        <v>6286</v>
      </c>
      <c r="D229" s="3" t="s">
        <v>5243</v>
      </c>
    </row>
    <row r="230">
      <c r="A230" s="3" t="b">
        <v>0</v>
      </c>
      <c r="B230" s="3" t="s">
        <v>6287</v>
      </c>
      <c r="C230" s="3" t="s">
        <v>6288</v>
      </c>
      <c r="D230" s="3" t="s">
        <v>2869</v>
      </c>
    </row>
    <row r="231">
      <c r="A231" s="3" t="b">
        <v>0</v>
      </c>
      <c r="B231" s="3" t="s">
        <v>6289</v>
      </c>
      <c r="C231" s="3" t="s">
        <v>6290</v>
      </c>
      <c r="D231" s="3" t="s">
        <v>162</v>
      </c>
    </row>
    <row r="232">
      <c r="A232" s="3" t="b">
        <v>1</v>
      </c>
      <c r="B232" s="3" t="s">
        <v>6291</v>
      </c>
      <c r="C232" s="3" t="s">
        <v>6292</v>
      </c>
      <c r="D232" s="3" t="s">
        <v>2773</v>
      </c>
    </row>
    <row r="233">
      <c r="A233" s="3" t="b">
        <v>1</v>
      </c>
      <c r="B233" s="3" t="s">
        <v>6293</v>
      </c>
      <c r="C233" s="3" t="s">
        <v>6294</v>
      </c>
      <c r="D233" s="3" t="s">
        <v>452</v>
      </c>
    </row>
    <row r="234">
      <c r="A234" s="3" t="b">
        <v>1</v>
      </c>
      <c r="B234" s="3" t="s">
        <v>6295</v>
      </c>
      <c r="C234" s="3" t="s">
        <v>6296</v>
      </c>
      <c r="D234" s="3" t="s">
        <v>486</v>
      </c>
    </row>
    <row r="235">
      <c r="A235" s="3" t="b">
        <v>1</v>
      </c>
      <c r="B235" s="3" t="s">
        <v>6297</v>
      </c>
      <c r="C235" s="3" t="s">
        <v>6298</v>
      </c>
      <c r="D235" s="3" t="s">
        <v>2593</v>
      </c>
    </row>
    <row r="236">
      <c r="A236" s="3" t="b">
        <v>1</v>
      </c>
      <c r="B236" s="3" t="s">
        <v>6299</v>
      </c>
      <c r="C236" s="3" t="s">
        <v>6300</v>
      </c>
      <c r="D236" s="3" t="s">
        <v>2086</v>
      </c>
    </row>
    <row r="237">
      <c r="A237" s="3" t="b">
        <v>0</v>
      </c>
      <c r="B237" s="3" t="s">
        <v>6301</v>
      </c>
      <c r="C237" s="3" t="s">
        <v>6302</v>
      </c>
      <c r="D237" s="3" t="s">
        <v>5770</v>
      </c>
    </row>
    <row r="238">
      <c r="A238" s="3" t="b">
        <v>1</v>
      </c>
      <c r="B238" s="3" t="s">
        <v>6303</v>
      </c>
      <c r="C238" s="3" t="s">
        <v>6304</v>
      </c>
      <c r="D238" s="3" t="s">
        <v>2905</v>
      </c>
    </row>
    <row r="239">
      <c r="A239" s="3" t="b">
        <v>1</v>
      </c>
      <c r="B239" s="3" t="s">
        <v>6305</v>
      </c>
      <c r="C239" s="3" t="s">
        <v>6306</v>
      </c>
      <c r="D239" s="3" t="s">
        <v>5437</v>
      </c>
    </row>
    <row r="240">
      <c r="A240" s="3" t="b">
        <v>0</v>
      </c>
      <c r="B240" s="3" t="s">
        <v>6307</v>
      </c>
      <c r="C240" s="3" t="s">
        <v>6308</v>
      </c>
      <c r="D240" s="3" t="s">
        <v>5449</v>
      </c>
    </row>
    <row r="241">
      <c r="A241" s="3" t="b">
        <v>0</v>
      </c>
      <c r="B241" s="3" t="s">
        <v>6309</v>
      </c>
      <c r="C241" s="3" t="s">
        <v>6310</v>
      </c>
      <c r="D241" s="3" t="s">
        <v>1356</v>
      </c>
    </row>
    <row r="242">
      <c r="A242" s="3" t="b">
        <v>0</v>
      </c>
      <c r="B242" s="3" t="s">
        <v>6311</v>
      </c>
      <c r="C242" s="3" t="s">
        <v>6312</v>
      </c>
      <c r="D242" s="3" t="s">
        <v>5260</v>
      </c>
    </row>
    <row r="243">
      <c r="A243" s="3" t="b">
        <v>0</v>
      </c>
      <c r="B243" s="3" t="s">
        <v>6313</v>
      </c>
      <c r="C243" s="3" t="s">
        <v>6314</v>
      </c>
      <c r="D243" s="3" t="s">
        <v>5700</v>
      </c>
    </row>
    <row r="244">
      <c r="A244" s="3" t="b">
        <v>0</v>
      </c>
      <c r="B244" s="3" t="s">
        <v>6315</v>
      </c>
      <c r="C244" s="3" t="s">
        <v>6316</v>
      </c>
      <c r="D244" s="3" t="s">
        <v>4545</v>
      </c>
    </row>
    <row r="245">
      <c r="A245" s="3" t="b">
        <v>0</v>
      </c>
      <c r="B245" s="3" t="s">
        <v>6317</v>
      </c>
      <c r="C245" s="3" t="s">
        <v>6318</v>
      </c>
      <c r="D245" s="3" t="s">
        <v>1164</v>
      </c>
    </row>
    <row r="246">
      <c r="A246" s="3" t="b">
        <v>0</v>
      </c>
      <c r="B246" s="3" t="s">
        <v>6319</v>
      </c>
      <c r="C246" s="3" t="s">
        <v>6320</v>
      </c>
      <c r="D246" s="3" t="s">
        <v>2218</v>
      </c>
    </row>
    <row r="247">
      <c r="A247" s="3" t="b">
        <v>0</v>
      </c>
      <c r="B247" s="3" t="s">
        <v>6321</v>
      </c>
      <c r="C247" s="3" t="s">
        <v>6322</v>
      </c>
      <c r="D247" s="3" t="s">
        <v>5327</v>
      </c>
    </row>
    <row r="248">
      <c r="A248" s="3" t="b">
        <v>0</v>
      </c>
      <c r="B248" s="3" t="s">
        <v>6323</v>
      </c>
      <c r="C248" s="3" t="s">
        <v>6324</v>
      </c>
      <c r="D248" s="3" t="s">
        <v>5646</v>
      </c>
    </row>
    <row r="249">
      <c r="A249" s="3" t="b">
        <v>0</v>
      </c>
      <c r="B249" s="3" t="s">
        <v>6325</v>
      </c>
      <c r="C249" s="3" t="s">
        <v>6326</v>
      </c>
      <c r="D249" s="3" t="s">
        <v>1316</v>
      </c>
    </row>
    <row r="250">
      <c r="A250" s="3" t="b">
        <v>1</v>
      </c>
      <c r="B250" s="3" t="s">
        <v>6327</v>
      </c>
      <c r="C250" s="3" t="s">
        <v>6328</v>
      </c>
      <c r="D250" s="3" t="s">
        <v>2743</v>
      </c>
    </row>
    <row r="251">
      <c r="A251" s="3" t="b">
        <v>1</v>
      </c>
      <c r="B251" s="3" t="s">
        <v>6329</v>
      </c>
      <c r="C251" s="3" t="s">
        <v>6330</v>
      </c>
      <c r="D251" s="3" t="s">
        <v>4643</v>
      </c>
    </row>
    <row r="252">
      <c r="A252" s="3" t="b">
        <v>0</v>
      </c>
      <c r="B252" s="3" t="s">
        <v>6331</v>
      </c>
      <c r="C252" s="3" t="s">
        <v>6332</v>
      </c>
      <c r="D252" s="3" t="s">
        <v>2513</v>
      </c>
    </row>
    <row r="253">
      <c r="A253" s="3" t="b">
        <v>1</v>
      </c>
      <c r="B253" s="3" t="s">
        <v>6333</v>
      </c>
      <c r="C253" s="3" t="s">
        <v>6334</v>
      </c>
      <c r="D253" s="3" t="s">
        <v>2815</v>
      </c>
    </row>
    <row r="254">
      <c r="A254" s="3" t="b">
        <v>0</v>
      </c>
      <c r="B254" s="3" t="s">
        <v>6335</v>
      </c>
      <c r="C254" s="3" t="s">
        <v>6336</v>
      </c>
      <c r="D254" s="3" t="s">
        <v>5571</v>
      </c>
    </row>
    <row r="255">
      <c r="A255" s="3" t="b">
        <v>0</v>
      </c>
      <c r="B255" s="3" t="s">
        <v>6337</v>
      </c>
      <c r="C255" s="3" t="s">
        <v>6338</v>
      </c>
      <c r="D255" s="3" t="s">
        <v>5746</v>
      </c>
    </row>
    <row r="256">
      <c r="A256" s="3" t="b">
        <v>0</v>
      </c>
      <c r="B256" s="3" t="s">
        <v>6339</v>
      </c>
      <c r="C256" s="3" t="s">
        <v>6340</v>
      </c>
      <c r="D256" s="3" t="s">
        <v>2535</v>
      </c>
    </row>
    <row r="257">
      <c r="A257" s="3" t="b">
        <v>1</v>
      </c>
      <c r="B257" s="3" t="s">
        <v>6341</v>
      </c>
      <c r="C257" s="3" t="s">
        <v>6342</v>
      </c>
      <c r="D257" s="3" t="s">
        <v>164</v>
      </c>
    </row>
    <row r="258">
      <c r="A258" s="3" t="b">
        <v>0</v>
      </c>
      <c r="B258" s="3" t="s">
        <v>6343</v>
      </c>
      <c r="C258" s="3" t="s">
        <v>6344</v>
      </c>
      <c r="D258" s="3" t="s">
        <v>736</v>
      </c>
    </row>
    <row r="259">
      <c r="A259" s="3" t="b">
        <v>0</v>
      </c>
      <c r="B259" s="3" t="s">
        <v>6345</v>
      </c>
      <c r="C259" s="3" t="s">
        <v>6346</v>
      </c>
      <c r="D259" s="3" t="s">
        <v>1194</v>
      </c>
    </row>
    <row r="260">
      <c r="A260" s="3" t="b">
        <v>0</v>
      </c>
      <c r="B260" s="3" t="s">
        <v>6347</v>
      </c>
      <c r="C260" s="3" t="s">
        <v>6348</v>
      </c>
      <c r="D260" s="3" t="s">
        <v>2124</v>
      </c>
    </row>
    <row r="261">
      <c r="A261" s="3" t="b">
        <v>1</v>
      </c>
      <c r="B261" s="3" t="s">
        <v>6349</v>
      </c>
      <c r="C261" s="3" t="s">
        <v>6350</v>
      </c>
    </row>
    <row r="262">
      <c r="A262" s="3" t="b">
        <v>0</v>
      </c>
      <c r="B262" s="3" t="s">
        <v>6351</v>
      </c>
      <c r="C262" s="3" t="s">
        <v>6352</v>
      </c>
      <c r="D262" s="3" t="s">
        <v>5758</v>
      </c>
    </row>
    <row r="263">
      <c r="A263" s="3" t="b">
        <v>0</v>
      </c>
      <c r="B263" s="3" t="s">
        <v>6353</v>
      </c>
      <c r="C263" s="3" t="s">
        <v>6354</v>
      </c>
      <c r="D263" s="3" t="s">
        <v>1606</v>
      </c>
    </row>
    <row r="264">
      <c r="A264" s="3" t="b">
        <v>0</v>
      </c>
      <c r="B264" s="3" t="s">
        <v>6355</v>
      </c>
      <c r="C264" s="3" t="s">
        <v>6356</v>
      </c>
      <c r="D264" s="3" t="s">
        <v>5674</v>
      </c>
    </row>
    <row r="265">
      <c r="A265" s="3" t="b">
        <v>0</v>
      </c>
      <c r="B265" s="3" t="s">
        <v>6357</v>
      </c>
      <c r="C265" s="3" t="s">
        <v>6358</v>
      </c>
      <c r="D265" s="3" t="s">
        <v>5670</v>
      </c>
    </row>
    <row r="266">
      <c r="A266" s="3" t="b">
        <v>0</v>
      </c>
      <c r="B266" s="3" t="s">
        <v>6359</v>
      </c>
      <c r="C266" s="3" t="s">
        <v>6360</v>
      </c>
      <c r="D266" s="3" t="s">
        <v>5810</v>
      </c>
    </row>
    <row r="267">
      <c r="A267" s="3" t="b">
        <v>1</v>
      </c>
      <c r="B267" s="3" t="s">
        <v>6361</v>
      </c>
      <c r="C267" s="3" t="s">
        <v>6362</v>
      </c>
      <c r="D267" s="3" t="s">
        <v>5688</v>
      </c>
    </row>
    <row r="268">
      <c r="A268" s="3" t="b">
        <v>0</v>
      </c>
      <c r="B268" s="3" t="s">
        <v>6363</v>
      </c>
      <c r="C268" s="3" t="s">
        <v>6364</v>
      </c>
      <c r="D268" s="3" t="s">
        <v>5497</v>
      </c>
    </row>
    <row r="269">
      <c r="A269" s="3" t="b">
        <v>0</v>
      </c>
      <c r="B269" s="3" t="s">
        <v>6365</v>
      </c>
      <c r="C269" s="3" t="s">
        <v>6366</v>
      </c>
      <c r="D269" s="3" t="s">
        <v>2671</v>
      </c>
    </row>
    <row r="270">
      <c r="A270" s="3" t="b">
        <v>1</v>
      </c>
      <c r="B270" s="3" t="s">
        <v>6367</v>
      </c>
      <c r="C270" s="3" t="s">
        <v>6368</v>
      </c>
      <c r="D270" s="3" t="s">
        <v>5439</v>
      </c>
    </row>
    <row r="271">
      <c r="A271" s="3" t="b">
        <v>1</v>
      </c>
      <c r="B271" s="3" t="s">
        <v>6369</v>
      </c>
      <c r="C271" s="3" t="s">
        <v>6370</v>
      </c>
      <c r="D271" s="3" t="s">
        <v>3027</v>
      </c>
    </row>
    <row r="272">
      <c r="A272" s="3" t="b">
        <v>1</v>
      </c>
      <c r="B272" s="3" t="s">
        <v>6371</v>
      </c>
      <c r="C272" s="3" t="s">
        <v>6372</v>
      </c>
      <c r="D272" s="3" t="s">
        <v>1974</v>
      </c>
    </row>
    <row r="273">
      <c r="A273" s="3" t="b">
        <v>0</v>
      </c>
      <c r="B273" s="3" t="s">
        <v>6373</v>
      </c>
      <c r="C273" s="3" t="s">
        <v>6374</v>
      </c>
      <c r="D273" s="3" t="s">
        <v>5788</v>
      </c>
    </row>
    <row r="274">
      <c r="A274" s="3" t="b">
        <v>0</v>
      </c>
      <c r="B274" s="3" t="s">
        <v>6375</v>
      </c>
      <c r="C274" s="3" t="s">
        <v>6376</v>
      </c>
      <c r="D274" s="3" t="s">
        <v>2953</v>
      </c>
    </row>
    <row r="275">
      <c r="A275" s="3" t="b">
        <v>0</v>
      </c>
      <c r="B275" s="3" t="s">
        <v>6377</v>
      </c>
      <c r="C275" s="3" t="s">
        <v>6378</v>
      </c>
      <c r="D275" s="3" t="s">
        <v>5233</v>
      </c>
    </row>
    <row r="276">
      <c r="A276" s="3" t="b">
        <v>0</v>
      </c>
      <c r="B276" s="3" t="s">
        <v>6379</v>
      </c>
      <c r="C276" s="3" t="s">
        <v>6380</v>
      </c>
      <c r="D276" s="3" t="s">
        <v>2687</v>
      </c>
    </row>
    <row r="277">
      <c r="A277" s="3" t="b">
        <v>0</v>
      </c>
      <c r="B277" s="3" t="s">
        <v>6381</v>
      </c>
      <c r="C277" s="3" t="s">
        <v>6382</v>
      </c>
      <c r="D277" s="3" t="s">
        <v>1920</v>
      </c>
    </row>
    <row r="278">
      <c r="A278" s="3" t="b">
        <v>0</v>
      </c>
      <c r="B278" s="3" t="s">
        <v>6383</v>
      </c>
      <c r="C278" s="3" t="s">
        <v>6384</v>
      </c>
      <c r="D278" s="3" t="s">
        <v>2589</v>
      </c>
    </row>
    <row r="279">
      <c r="A279" s="3" t="b">
        <v>1</v>
      </c>
      <c r="B279" s="3" t="s">
        <v>6385</v>
      </c>
      <c r="C279" s="3" t="s">
        <v>6386</v>
      </c>
      <c r="D279" s="3" t="s">
        <v>1526</v>
      </c>
    </row>
    <row r="280">
      <c r="A280" s="3" t="b">
        <v>0</v>
      </c>
      <c r="B280" s="3" t="s">
        <v>6387</v>
      </c>
      <c r="C280" s="3" t="s">
        <v>6388</v>
      </c>
      <c r="D280" s="3" t="s">
        <v>5467</v>
      </c>
    </row>
    <row r="281">
      <c r="A281" s="3" t="b">
        <v>1</v>
      </c>
      <c r="B281" s="3" t="s">
        <v>6389</v>
      </c>
      <c r="C281" s="3" t="s">
        <v>6390</v>
      </c>
      <c r="D281" s="3" t="s">
        <v>5794</v>
      </c>
    </row>
    <row r="282">
      <c r="A282" s="3" t="b">
        <v>0</v>
      </c>
      <c r="B282" s="3" t="s">
        <v>6391</v>
      </c>
      <c r="C282" s="3" t="s">
        <v>6392</v>
      </c>
      <c r="D282" s="3" t="s">
        <v>692</v>
      </c>
    </row>
    <row r="283">
      <c r="A283" s="3" t="b">
        <v>1</v>
      </c>
      <c r="B283" s="3" t="s">
        <v>6393</v>
      </c>
      <c r="C283" s="3" t="s">
        <v>6394</v>
      </c>
      <c r="D283" s="3" t="s">
        <v>5357</v>
      </c>
    </row>
    <row r="284">
      <c r="A284" s="3" t="b">
        <v>1</v>
      </c>
      <c r="B284" s="3" t="s">
        <v>6395</v>
      </c>
      <c r="C284" s="3" t="s">
        <v>6396</v>
      </c>
      <c r="D284" s="3" t="s">
        <v>5491</v>
      </c>
    </row>
    <row r="285">
      <c r="A285" s="3" t="b">
        <v>1</v>
      </c>
      <c r="B285" s="3" t="s">
        <v>6397</v>
      </c>
      <c r="C285" s="3" t="s">
        <v>6398</v>
      </c>
      <c r="D285" s="3" t="s">
        <v>2284</v>
      </c>
    </row>
    <row r="286">
      <c r="A286" s="3" t="b">
        <v>1</v>
      </c>
      <c r="B286" s="3" t="s">
        <v>6399</v>
      </c>
      <c r="C286" s="3" t="s">
        <v>6400</v>
      </c>
      <c r="D286" s="3" t="s">
        <v>5511</v>
      </c>
    </row>
    <row r="287">
      <c r="A287" s="3" t="b">
        <v>0</v>
      </c>
      <c r="B287" s="3" t="s">
        <v>6401</v>
      </c>
      <c r="C287" s="3" t="s">
        <v>6402</v>
      </c>
      <c r="D287" s="3" t="s">
        <v>5537</v>
      </c>
    </row>
    <row r="288">
      <c r="A288" s="3" t="b">
        <v>1</v>
      </c>
      <c r="B288" s="3" t="s">
        <v>6403</v>
      </c>
      <c r="C288" s="3" t="s">
        <v>6404</v>
      </c>
      <c r="D288" s="3" t="s">
        <v>5782</v>
      </c>
    </row>
    <row r="289">
      <c r="A289" s="3" t="b">
        <v>1</v>
      </c>
      <c r="B289" s="3" t="s">
        <v>6405</v>
      </c>
      <c r="C289" s="3" t="s">
        <v>6406</v>
      </c>
      <c r="D289" s="3" t="s">
        <v>5531</v>
      </c>
    </row>
    <row r="290">
      <c r="A290" s="3" t="b">
        <v>0</v>
      </c>
      <c r="B290" s="3" t="s">
        <v>6407</v>
      </c>
      <c r="C290" s="3" t="s">
        <v>6408</v>
      </c>
      <c r="D290" s="3" t="s">
        <v>5407</v>
      </c>
    </row>
    <row r="291">
      <c r="A291" s="3" t="b">
        <v>1</v>
      </c>
      <c r="B291" s="3" t="s">
        <v>6409</v>
      </c>
      <c r="C291" s="3" t="s">
        <v>6410</v>
      </c>
      <c r="D291" s="3" t="s">
        <v>5628</v>
      </c>
    </row>
    <row r="292">
      <c r="A292" s="3" t="b">
        <v>1</v>
      </c>
      <c r="B292" s="3" t="s">
        <v>6411</v>
      </c>
      <c r="C292" s="3" t="s">
        <v>6412</v>
      </c>
      <c r="D292" s="3" t="s">
        <v>5455</v>
      </c>
    </row>
    <row r="293">
      <c r="A293" s="3" t="b">
        <v>1</v>
      </c>
      <c r="B293" s="3" t="s">
        <v>6413</v>
      </c>
      <c r="C293" s="3" t="s">
        <v>6414</v>
      </c>
      <c r="D293" s="3" t="s">
        <v>5463</v>
      </c>
    </row>
    <row r="294">
      <c r="A294" s="3" t="b">
        <v>1</v>
      </c>
      <c r="B294" s="3" t="s">
        <v>6415</v>
      </c>
      <c r="C294" s="3" t="s">
        <v>6416</v>
      </c>
      <c r="D294" s="3" t="s">
        <v>5812</v>
      </c>
    </row>
    <row r="295">
      <c r="A295" s="3" t="b">
        <v>1</v>
      </c>
      <c r="B295" s="3" t="s">
        <v>6417</v>
      </c>
      <c r="C295" s="3" t="s">
        <v>6418</v>
      </c>
      <c r="D295" s="3" t="s">
        <v>5431</v>
      </c>
    </row>
    <row r="296">
      <c r="A296" s="3" t="b">
        <v>1</v>
      </c>
      <c r="B296" s="3" t="s">
        <v>6419</v>
      </c>
      <c r="C296" s="3" t="s">
        <v>6420</v>
      </c>
      <c r="D296" s="3" t="s">
        <v>5678</v>
      </c>
    </row>
    <row r="297">
      <c r="A297" s="3" t="b">
        <v>1</v>
      </c>
      <c r="B297" s="3" t="s">
        <v>6421</v>
      </c>
      <c r="C297" s="3" t="s">
        <v>6422</v>
      </c>
      <c r="D297" s="3" t="s">
        <v>5507</v>
      </c>
    </row>
    <row r="298">
      <c r="A298" s="3" t="b">
        <v>1</v>
      </c>
      <c r="B298" s="3" t="s">
        <v>6423</v>
      </c>
      <c r="C298" s="3" t="s">
        <v>6424</v>
      </c>
      <c r="D298" s="3" t="s">
        <v>5517</v>
      </c>
    </row>
    <row r="299">
      <c r="A299" s="3" t="b">
        <v>1</v>
      </c>
      <c r="B299" s="3" t="s">
        <v>6425</v>
      </c>
      <c r="C299" s="3" t="s">
        <v>6426</v>
      </c>
      <c r="D299" s="3" t="s">
        <v>5553</v>
      </c>
    </row>
    <row r="300">
      <c r="A300" s="3" t="b">
        <v>1</v>
      </c>
      <c r="B300" s="3" t="s">
        <v>6427</v>
      </c>
      <c r="C300" s="3" t="s">
        <v>6428</v>
      </c>
      <c r="D300" s="3" t="s">
        <v>5525</v>
      </c>
    </row>
    <row r="301">
      <c r="A301" s="3" t="b">
        <v>1</v>
      </c>
      <c r="B301" s="3" t="s">
        <v>6429</v>
      </c>
      <c r="C301" s="3" t="s">
        <v>6430</v>
      </c>
      <c r="D301" s="3" t="s">
        <v>5728</v>
      </c>
    </row>
    <row r="302">
      <c r="A302" s="3" t="b">
        <v>0</v>
      </c>
      <c r="B302" s="3" t="s">
        <v>6431</v>
      </c>
      <c r="C302" s="3" t="s">
        <v>6432</v>
      </c>
      <c r="D302" s="3" t="s">
        <v>5764</v>
      </c>
    </row>
    <row r="303">
      <c r="A303" s="3" t="b">
        <v>1</v>
      </c>
      <c r="B303" s="3" t="s">
        <v>6433</v>
      </c>
      <c r="C303" s="3" t="s">
        <v>6434</v>
      </c>
      <c r="D303" s="3" t="s">
        <v>5660</v>
      </c>
    </row>
    <row r="304">
      <c r="A304" s="3" t="b">
        <v>0</v>
      </c>
      <c r="B304" s="3" t="s">
        <v>6435</v>
      </c>
      <c r="C304" s="3" t="s">
        <v>6436</v>
      </c>
      <c r="D304" s="3" t="s">
        <v>5712</v>
      </c>
    </row>
    <row r="305">
      <c r="A305" s="3" t="b">
        <v>1</v>
      </c>
      <c r="B305" s="3" t="s">
        <v>6437</v>
      </c>
      <c r="C305" s="3" t="s">
        <v>6438</v>
      </c>
      <c r="D305" s="3" t="s">
        <v>5345</v>
      </c>
    </row>
    <row r="306">
      <c r="A306" s="3" t="b">
        <v>1</v>
      </c>
      <c r="B306" s="3" t="s">
        <v>6439</v>
      </c>
      <c r="C306" s="3" t="s">
        <v>6440</v>
      </c>
      <c r="D306" s="3" t="s">
        <v>5824</v>
      </c>
    </row>
    <row r="307">
      <c r="A307" s="3" t="b">
        <v>0</v>
      </c>
      <c r="B307" s="3" t="s">
        <v>6441</v>
      </c>
      <c r="C307" s="3" t="s">
        <v>6442</v>
      </c>
      <c r="D307" s="3" t="s">
        <v>1666</v>
      </c>
    </row>
    <row r="308">
      <c r="A308" s="3" t="b">
        <v>0</v>
      </c>
      <c r="B308" s="3" t="s">
        <v>6443</v>
      </c>
      <c r="C308" s="3" t="s">
        <v>6444</v>
      </c>
      <c r="D308" s="3" t="s">
        <v>5223</v>
      </c>
    </row>
    <row r="309">
      <c r="A309" s="3" t="b">
        <v>0</v>
      </c>
      <c r="B309" s="3" t="s">
        <v>6445</v>
      </c>
      <c r="C309" s="3" t="s">
        <v>6446</v>
      </c>
      <c r="D309" s="3" t="s">
        <v>5607</v>
      </c>
    </row>
    <row r="310">
      <c r="A310" s="3" t="b">
        <v>1</v>
      </c>
      <c r="B310" s="3" t="s">
        <v>6447</v>
      </c>
      <c r="C310" s="3" t="s">
        <v>6448</v>
      </c>
      <c r="D310" s="3" t="s">
        <v>180</v>
      </c>
    </row>
    <row r="311">
      <c r="A311" s="3" t="b">
        <v>1</v>
      </c>
      <c r="B311" s="3" t="s">
        <v>6449</v>
      </c>
      <c r="C311" s="3" t="s">
        <v>6450</v>
      </c>
      <c r="D311" s="3" t="s">
        <v>2206</v>
      </c>
    </row>
    <row r="312">
      <c r="A312" s="3" t="b">
        <v>1</v>
      </c>
      <c r="B312" s="3" t="s">
        <v>6451</v>
      </c>
      <c r="C312" s="3" t="s">
        <v>6452</v>
      </c>
      <c r="D312" s="3" t="s">
        <v>2391</v>
      </c>
    </row>
    <row r="313">
      <c r="A313" s="3" t="b">
        <v>0</v>
      </c>
      <c r="B313" s="3" t="s">
        <v>6453</v>
      </c>
      <c r="C313" s="3" t="s">
        <v>6454</v>
      </c>
      <c r="D313" s="3" t="s">
        <v>2517</v>
      </c>
    </row>
    <row r="314">
      <c r="A314" s="3" t="b">
        <v>0</v>
      </c>
      <c r="B314" s="3" t="s">
        <v>6455</v>
      </c>
      <c r="C314" s="3" t="s">
        <v>6456</v>
      </c>
      <c r="D314" s="3" t="s">
        <v>438</v>
      </c>
    </row>
    <row r="315">
      <c r="A315" s="3" t="b">
        <v>0</v>
      </c>
      <c r="B315" s="3" t="s">
        <v>6457</v>
      </c>
      <c r="C315" s="3" t="s">
        <v>6458</v>
      </c>
      <c r="D315" s="3" t="s">
        <v>5433</v>
      </c>
    </row>
    <row r="316">
      <c r="A316" s="3" t="b">
        <v>0</v>
      </c>
      <c r="B316" s="3" t="s">
        <v>6459</v>
      </c>
      <c r="C316" s="3" t="s">
        <v>6460</v>
      </c>
      <c r="D316" s="3" t="s">
        <v>5307</v>
      </c>
    </row>
    <row r="317">
      <c r="A317" s="3" t="b">
        <v>0</v>
      </c>
      <c r="B317" s="3" t="s">
        <v>6461</v>
      </c>
      <c r="C317" s="3" t="s">
        <v>6462</v>
      </c>
      <c r="D317" s="3" t="s">
        <v>5341</v>
      </c>
    </row>
    <row r="318">
      <c r="A318" s="3" t="b">
        <v>0</v>
      </c>
      <c r="B318" s="3" t="s">
        <v>6463</v>
      </c>
      <c r="C318" s="3" t="s">
        <v>6464</v>
      </c>
      <c r="D318" s="3" t="s">
        <v>5377</v>
      </c>
    </row>
    <row r="319">
      <c r="A319" s="3" t="b">
        <v>1</v>
      </c>
      <c r="B319" s="3" t="s">
        <v>6465</v>
      </c>
      <c r="C319" s="3" t="s">
        <v>6466</v>
      </c>
      <c r="D319" s="3" t="s">
        <v>5485</v>
      </c>
    </row>
    <row r="320">
      <c r="A320" s="3" t="b">
        <v>1</v>
      </c>
      <c r="B320" s="3" t="s">
        <v>6467</v>
      </c>
      <c r="C320" s="3" t="s">
        <v>6468</v>
      </c>
      <c r="D320" s="3" t="s">
        <v>5425</v>
      </c>
    </row>
    <row r="321">
      <c r="A321" s="3" t="b">
        <v>0</v>
      </c>
      <c r="B321" s="3" t="s">
        <v>6469</v>
      </c>
      <c r="C321" s="3" t="s">
        <v>6470</v>
      </c>
      <c r="D321" s="3" t="s">
        <v>2204</v>
      </c>
    </row>
    <row r="322">
      <c r="A322" s="3" t="b">
        <v>1</v>
      </c>
      <c r="B322" s="3" t="s">
        <v>6471</v>
      </c>
      <c r="C322" s="3" t="s">
        <v>6472</v>
      </c>
      <c r="D322" s="3" t="s">
        <v>5806</v>
      </c>
    </row>
    <row r="323">
      <c r="A323" s="3" t="b">
        <v>1</v>
      </c>
      <c r="B323" s="3" t="s">
        <v>6473</v>
      </c>
      <c r="C323" s="3" t="s">
        <v>6474</v>
      </c>
      <c r="D323" s="3" t="s">
        <v>5311</v>
      </c>
    </row>
    <row r="324">
      <c r="A324" s="3" t="b">
        <v>1</v>
      </c>
      <c r="B324" s="3" t="s">
        <v>6475</v>
      </c>
      <c r="C324" s="3" t="s">
        <v>6476</v>
      </c>
      <c r="D324" s="3" t="s">
        <v>5672</v>
      </c>
    </row>
    <row r="325">
      <c r="A325" s="3" t="b">
        <v>1</v>
      </c>
      <c r="B325" s="3" t="s">
        <v>6477</v>
      </c>
      <c r="C325" s="3" t="s">
        <v>6478</v>
      </c>
      <c r="D325" s="3" t="s">
        <v>2282</v>
      </c>
    </row>
    <row r="326">
      <c r="A326" s="3" t="b">
        <v>0</v>
      </c>
      <c r="B326" s="3" t="s">
        <v>6479</v>
      </c>
      <c r="C326" s="3" t="s">
        <v>6480</v>
      </c>
      <c r="D326" s="3" t="s">
        <v>1904</v>
      </c>
    </row>
    <row r="327">
      <c r="A327" s="3" t="b">
        <v>1</v>
      </c>
      <c r="B327" s="3" t="s">
        <v>6481</v>
      </c>
      <c r="C327" s="3" t="s">
        <v>6482</v>
      </c>
      <c r="D327" s="3" t="s">
        <v>2417</v>
      </c>
    </row>
    <row r="328">
      <c r="A328" s="3" t="b">
        <v>0</v>
      </c>
      <c r="B328" s="3" t="s">
        <v>6483</v>
      </c>
      <c r="C328" s="3" t="s">
        <v>6484</v>
      </c>
      <c r="D328" s="3" t="s">
        <v>5523</v>
      </c>
    </row>
    <row r="329">
      <c r="A329" s="3" t="b">
        <v>1</v>
      </c>
      <c r="B329" s="3" t="s">
        <v>6485</v>
      </c>
      <c r="C329" s="3" t="s">
        <v>6486</v>
      </c>
      <c r="D329" s="3" t="s">
        <v>5786</v>
      </c>
    </row>
    <row r="330">
      <c r="A330" s="3" t="b">
        <v>0</v>
      </c>
      <c r="B330" s="3" t="s">
        <v>6487</v>
      </c>
      <c r="C330" s="3" t="s">
        <v>6488</v>
      </c>
      <c r="D330" s="3" t="s">
        <v>3643</v>
      </c>
    </row>
    <row r="331">
      <c r="A331" s="3" t="b">
        <v>0</v>
      </c>
      <c r="B331" s="3" t="s">
        <v>6489</v>
      </c>
      <c r="C331" s="3" t="s">
        <v>6490</v>
      </c>
      <c r="D331" s="3" t="s">
        <v>5481</v>
      </c>
    </row>
    <row r="332">
      <c r="A332" s="3" t="b">
        <v>0</v>
      </c>
      <c r="B332" s="3" t="s">
        <v>6491</v>
      </c>
      <c r="C332" s="3" t="s">
        <v>6492</v>
      </c>
      <c r="D332" s="3" t="s">
        <v>5527</v>
      </c>
    </row>
    <row r="333">
      <c r="A333" s="3" t="b">
        <v>1</v>
      </c>
      <c r="B333" s="3" t="s">
        <v>6493</v>
      </c>
      <c r="C333" s="3" t="s">
        <v>6494</v>
      </c>
      <c r="D333" s="3" t="s">
        <v>2969</v>
      </c>
    </row>
    <row r="334">
      <c r="A334" s="3" t="b">
        <v>1</v>
      </c>
      <c r="B334" s="3" t="s">
        <v>6495</v>
      </c>
      <c r="C334" s="3" t="s">
        <v>6496</v>
      </c>
      <c r="D334" s="3" t="s">
        <v>2367</v>
      </c>
    </row>
    <row r="335">
      <c r="A335" s="3" t="b">
        <v>1</v>
      </c>
      <c r="B335" s="3" t="s">
        <v>6497</v>
      </c>
      <c r="C335" s="3" t="s">
        <v>6498</v>
      </c>
      <c r="D335" s="3" t="s">
        <v>5766</v>
      </c>
    </row>
    <row r="336">
      <c r="A336" s="3" t="b">
        <v>1</v>
      </c>
      <c r="B336" s="3" t="s">
        <v>6499</v>
      </c>
      <c r="C336" s="3" t="s">
        <v>6500</v>
      </c>
      <c r="D336" s="3" t="s">
        <v>4555</v>
      </c>
    </row>
    <row r="337">
      <c r="A337" s="3" t="b">
        <v>0</v>
      </c>
      <c r="B337" s="3" t="s">
        <v>6501</v>
      </c>
      <c r="C337" s="3" t="s">
        <v>6502</v>
      </c>
      <c r="D337" s="3" t="s">
        <v>2997</v>
      </c>
    </row>
    <row r="338">
      <c r="A338" s="3" t="b">
        <v>1</v>
      </c>
      <c r="B338" s="3" t="s">
        <v>6503</v>
      </c>
      <c r="C338" s="3" t="s">
        <v>6504</v>
      </c>
      <c r="D338" s="3" t="s">
        <v>960</v>
      </c>
    </row>
    <row r="339">
      <c r="A339" s="3" t="b">
        <v>1</v>
      </c>
      <c r="B339" s="3" t="s">
        <v>6505</v>
      </c>
      <c r="C339" s="3" t="s">
        <v>6506</v>
      </c>
      <c r="D339" s="3" t="s">
        <v>2939</v>
      </c>
    </row>
    <row r="340">
      <c r="A340" s="3" t="b">
        <v>0</v>
      </c>
      <c r="B340" s="3" t="s">
        <v>6507</v>
      </c>
      <c r="C340" s="3" t="s">
        <v>6508</v>
      </c>
      <c r="D340" s="3" t="s">
        <v>2489</v>
      </c>
    </row>
    <row r="341">
      <c r="A341" s="3" t="b">
        <v>0</v>
      </c>
      <c r="B341" s="3" t="s">
        <v>6509</v>
      </c>
      <c r="C341" s="3" t="s">
        <v>6510</v>
      </c>
      <c r="D341" s="3" t="s">
        <v>5575</v>
      </c>
    </row>
    <row r="342">
      <c r="A342" s="3" t="b">
        <v>1</v>
      </c>
      <c r="B342" s="3" t="s">
        <v>6511</v>
      </c>
      <c r="C342" s="3" t="s">
        <v>6512</v>
      </c>
      <c r="D342" s="3" t="s">
        <v>5702</v>
      </c>
    </row>
    <row r="343">
      <c r="A343" s="3" t="b">
        <v>1</v>
      </c>
      <c r="B343" s="3" t="s">
        <v>6513</v>
      </c>
      <c r="C343" s="3" t="s">
        <v>6514</v>
      </c>
      <c r="D343" s="3" t="s">
        <v>5736</v>
      </c>
    </row>
    <row r="344">
      <c r="A344" s="3" t="b">
        <v>0</v>
      </c>
      <c r="B344" s="3" t="s">
        <v>6515</v>
      </c>
      <c r="C344" s="3" t="s">
        <v>6516</v>
      </c>
      <c r="D344" s="3" t="s">
        <v>2891</v>
      </c>
    </row>
    <row r="345">
      <c r="A345" s="3" t="b">
        <v>1</v>
      </c>
      <c r="B345" s="3" t="s">
        <v>6517</v>
      </c>
      <c r="C345" s="3" t="s">
        <v>6518</v>
      </c>
      <c r="D345" s="3" t="s">
        <v>2156</v>
      </c>
    </row>
    <row r="346">
      <c r="A346" s="3" t="b">
        <v>1</v>
      </c>
      <c r="B346" s="3" t="s">
        <v>6519</v>
      </c>
      <c r="C346" s="3" t="s">
        <v>6520</v>
      </c>
      <c r="D346" s="3" t="s">
        <v>2727</v>
      </c>
    </row>
    <row r="347">
      <c r="A347" s="3" t="b">
        <v>1</v>
      </c>
      <c r="B347" s="3" t="s">
        <v>6521</v>
      </c>
      <c r="C347" s="3" t="s">
        <v>6522</v>
      </c>
      <c r="D347" s="3" t="s">
        <v>4745</v>
      </c>
    </row>
    <row r="348">
      <c r="A348" s="3" t="b">
        <v>1</v>
      </c>
      <c r="B348" s="3" t="s">
        <v>6523</v>
      </c>
      <c r="C348" s="3" t="s">
        <v>6524</v>
      </c>
      <c r="D348" s="3" t="s">
        <v>5724</v>
      </c>
    </row>
    <row r="349">
      <c r="A349" s="3" t="b">
        <v>1</v>
      </c>
      <c r="B349" s="3" t="s">
        <v>6525</v>
      </c>
      <c r="C349" s="3" t="s">
        <v>6526</v>
      </c>
      <c r="D349" s="3" t="s">
        <v>2118</v>
      </c>
    </row>
    <row r="350">
      <c r="A350" s="3" t="b">
        <v>1</v>
      </c>
      <c r="B350" s="3" t="s">
        <v>6527</v>
      </c>
      <c r="C350" s="3" t="s">
        <v>6528</v>
      </c>
      <c r="D350" s="3" t="s">
        <v>5694</v>
      </c>
    </row>
    <row r="351">
      <c r="A351" s="3" t="b">
        <v>1</v>
      </c>
      <c r="B351" s="3" t="s">
        <v>6529</v>
      </c>
      <c r="C351" s="3" t="s">
        <v>6530</v>
      </c>
      <c r="D351" s="3" t="s">
        <v>1962</v>
      </c>
    </row>
    <row r="352">
      <c r="A352" s="3" t="b">
        <v>0</v>
      </c>
      <c r="B352" s="3" t="s">
        <v>6531</v>
      </c>
      <c r="C352" s="3" t="s">
        <v>6532</v>
      </c>
      <c r="D352" s="3" t="s">
        <v>184</v>
      </c>
    </row>
    <row r="353">
      <c r="A353" s="3" t="b">
        <v>0</v>
      </c>
      <c r="B353" s="3" t="s">
        <v>6533</v>
      </c>
      <c r="C353" s="3" t="s">
        <v>6534</v>
      </c>
      <c r="D353" s="3" t="s">
        <v>2196</v>
      </c>
    </row>
    <row r="354">
      <c r="A354" s="3" t="b">
        <v>1</v>
      </c>
      <c r="B354" s="3" t="s">
        <v>6535</v>
      </c>
      <c r="C354" s="3" t="s">
        <v>6536</v>
      </c>
      <c r="D354" s="3" t="s">
        <v>2304</v>
      </c>
    </row>
    <row r="355">
      <c r="A355" s="3" t="b">
        <v>0</v>
      </c>
      <c r="B355" s="3" t="s">
        <v>6537</v>
      </c>
      <c r="C355" s="3" t="s">
        <v>6538</v>
      </c>
      <c r="D355" s="3" t="s">
        <v>5772</v>
      </c>
    </row>
    <row r="356">
      <c r="A356" s="3" t="b">
        <v>0</v>
      </c>
      <c r="B356" s="3" t="s">
        <v>6539</v>
      </c>
      <c r="C356" s="3" t="s">
        <v>6540</v>
      </c>
      <c r="D356" s="3" t="s">
        <v>100</v>
      </c>
    </row>
    <row r="357">
      <c r="A357" s="3" t="b">
        <v>0</v>
      </c>
      <c r="B357" s="3" t="s">
        <v>6541</v>
      </c>
      <c r="C357" s="3" t="s">
        <v>6542</v>
      </c>
      <c r="D357" s="3" t="s">
        <v>632</v>
      </c>
    </row>
    <row r="358">
      <c r="A358" s="3" t="b">
        <v>0</v>
      </c>
      <c r="B358" s="3" t="s">
        <v>6543</v>
      </c>
      <c r="C358" s="3" t="s">
        <v>6544</v>
      </c>
      <c r="D358" s="3" t="s">
        <v>2322</v>
      </c>
    </row>
    <row r="359">
      <c r="A359" s="3" t="b">
        <v>1</v>
      </c>
      <c r="B359" s="3" t="s">
        <v>6545</v>
      </c>
      <c r="C359" s="3" t="s">
        <v>6546</v>
      </c>
      <c r="D359" s="3" t="s">
        <v>4931</v>
      </c>
    </row>
    <row r="360">
      <c r="A360" s="3" t="b">
        <v>1</v>
      </c>
      <c r="B360" s="3" t="s">
        <v>6547</v>
      </c>
      <c r="C360" s="3" t="s">
        <v>6548</v>
      </c>
      <c r="D360" s="3" t="s">
        <v>676</v>
      </c>
    </row>
    <row r="361">
      <c r="A361" s="3" t="b">
        <v>0</v>
      </c>
      <c r="B361" s="3" t="s">
        <v>6549</v>
      </c>
      <c r="C361" s="3" t="s">
        <v>6550</v>
      </c>
      <c r="D361" s="3" t="s">
        <v>4071</v>
      </c>
    </row>
    <row r="362">
      <c r="A362" s="3" t="b">
        <v>1</v>
      </c>
      <c r="B362" s="3" t="s">
        <v>6551</v>
      </c>
      <c r="C362" s="3" t="s">
        <v>6552</v>
      </c>
      <c r="D362" s="3" t="s">
        <v>2935</v>
      </c>
    </row>
    <row r="363">
      <c r="A363" s="3" t="b">
        <v>0</v>
      </c>
      <c r="B363" s="3" t="s">
        <v>6553</v>
      </c>
      <c r="C363" s="3" t="s">
        <v>6554</v>
      </c>
      <c r="D363" s="3" t="s">
        <v>5826</v>
      </c>
    </row>
    <row r="364">
      <c r="A364" s="3" t="b">
        <v>0</v>
      </c>
      <c r="B364" s="3" t="s">
        <v>6555</v>
      </c>
      <c r="C364" s="3" t="s">
        <v>6556</v>
      </c>
      <c r="D364" s="3" t="s">
        <v>2885</v>
      </c>
    </row>
    <row r="365">
      <c r="A365" s="3" t="b">
        <v>1</v>
      </c>
      <c r="B365" s="3" t="s">
        <v>6557</v>
      </c>
      <c r="C365" s="3" t="s">
        <v>6558</v>
      </c>
      <c r="D365" s="3" t="s">
        <v>2108</v>
      </c>
    </row>
    <row r="366">
      <c r="A366" s="3" t="b">
        <v>1</v>
      </c>
      <c r="B366" s="3" t="s">
        <v>6559</v>
      </c>
      <c r="C366" s="3" t="s">
        <v>6560</v>
      </c>
      <c r="D366" s="3" t="s">
        <v>5235</v>
      </c>
    </row>
    <row r="367">
      <c r="A367" s="3" t="b">
        <v>1</v>
      </c>
      <c r="B367" s="3" t="s">
        <v>6561</v>
      </c>
      <c r="C367" s="3" t="s">
        <v>6562</v>
      </c>
      <c r="D367" s="3" t="s">
        <v>5565</v>
      </c>
    </row>
    <row r="368">
      <c r="A368" s="3" t="b">
        <v>0</v>
      </c>
      <c r="B368" s="3" t="s">
        <v>6563</v>
      </c>
      <c r="C368" s="3" t="s">
        <v>6564</v>
      </c>
    </row>
    <row r="369">
      <c r="A369" s="3" t="b">
        <v>1</v>
      </c>
      <c r="B369" s="3" t="s">
        <v>6565</v>
      </c>
      <c r="C369" s="3" t="s">
        <v>6566</v>
      </c>
      <c r="D369" s="3" t="s">
        <v>5752</v>
      </c>
    </row>
    <row r="370">
      <c r="A370" s="3" t="b">
        <v>1</v>
      </c>
      <c r="B370" s="3" t="s">
        <v>6567</v>
      </c>
      <c r="C370" s="3" t="s">
        <v>6568</v>
      </c>
      <c r="D370" s="3" t="s">
        <v>5375</v>
      </c>
    </row>
    <row r="371">
      <c r="A371" s="3" t="b">
        <v>1</v>
      </c>
      <c r="B371" s="3" t="s">
        <v>6569</v>
      </c>
      <c r="C371" s="3" t="s">
        <v>6570</v>
      </c>
      <c r="D371" s="3" t="s">
        <v>5379</v>
      </c>
    </row>
    <row r="372">
      <c r="A372" s="3" t="b">
        <v>1</v>
      </c>
      <c r="B372" s="3" t="s">
        <v>6571</v>
      </c>
      <c r="C372" s="3" t="s">
        <v>6572</v>
      </c>
      <c r="D372" s="3" t="s">
        <v>5441</v>
      </c>
    </row>
    <row r="373">
      <c r="A373" s="3" t="b">
        <v>1</v>
      </c>
      <c r="B373" s="3" t="s">
        <v>6573</v>
      </c>
      <c r="C373" s="3" t="s">
        <v>6574</v>
      </c>
      <c r="D373" s="3" t="s">
        <v>5605</v>
      </c>
    </row>
    <row r="374">
      <c r="A374" s="3" t="b">
        <v>1</v>
      </c>
      <c r="B374" s="3" t="s">
        <v>6575</v>
      </c>
      <c r="C374" s="3" t="s">
        <v>6576</v>
      </c>
      <c r="D374" s="3" t="s">
        <v>5706</v>
      </c>
    </row>
  </sheetData>
  <hyperlinks>
    <hyperlink r:id="rId1" ref="C18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0"/>
    <col customWidth="1" min="2" max="2" width="37.63"/>
  </cols>
  <sheetData>
    <row r="1">
      <c r="A1" s="14" t="s">
        <v>0</v>
      </c>
      <c r="B1" s="14" t="s">
        <v>6577</v>
      </c>
    </row>
    <row r="2">
      <c r="A2" s="3" t="s">
        <v>5763</v>
      </c>
      <c r="B2" s="13" t="s">
        <v>6578</v>
      </c>
    </row>
    <row r="3">
      <c r="A3" s="3" t="s">
        <v>5334</v>
      </c>
      <c r="B3" s="13" t="s">
        <v>6579</v>
      </c>
    </row>
    <row r="4">
      <c r="A4" s="3" t="s">
        <v>2309</v>
      </c>
      <c r="B4" s="3" t="s">
        <v>6580</v>
      </c>
    </row>
    <row r="5">
      <c r="A5" s="3" t="s">
        <v>2616</v>
      </c>
      <c r="B5" s="13" t="s">
        <v>6581</v>
      </c>
    </row>
    <row r="6">
      <c r="A6" s="3" t="s">
        <v>5827</v>
      </c>
      <c r="B6" s="13" t="s">
        <v>6582</v>
      </c>
    </row>
    <row r="7">
      <c r="A7" s="3" t="s">
        <v>3644</v>
      </c>
      <c r="B7" s="13" t="s">
        <v>6583</v>
      </c>
    </row>
    <row r="8">
      <c r="A8" s="3" t="s">
        <v>1725</v>
      </c>
      <c r="B8" s="13" t="s">
        <v>6584</v>
      </c>
    </row>
    <row r="9">
      <c r="A9" s="3" t="s">
        <v>5721</v>
      </c>
      <c r="B9" s="13" t="s">
        <v>6585</v>
      </c>
    </row>
    <row r="10">
      <c r="A10" s="3" t="s">
        <v>5396</v>
      </c>
      <c r="B10" s="13" t="s">
        <v>6586</v>
      </c>
    </row>
    <row r="11">
      <c r="A11" s="3" t="s">
        <v>5815</v>
      </c>
      <c r="B11" s="13" t="s">
        <v>6587</v>
      </c>
    </row>
    <row r="12">
      <c r="A12" s="3" t="s">
        <v>2672</v>
      </c>
      <c r="B12" s="13" t="s">
        <v>6588</v>
      </c>
    </row>
    <row r="13">
      <c r="A13" s="3" t="s">
        <v>5681</v>
      </c>
      <c r="B13" s="3" t="s">
        <v>6589</v>
      </c>
    </row>
    <row r="14">
      <c r="A14" s="3" t="s">
        <v>5667</v>
      </c>
      <c r="B14" s="13" t="s">
        <v>6590</v>
      </c>
    </row>
    <row r="15">
      <c r="A15" s="3" t="s">
        <v>2594</v>
      </c>
      <c r="B15" s="13" t="s">
        <v>6591</v>
      </c>
    </row>
    <row r="16">
      <c r="A16" s="3" t="s">
        <v>5520</v>
      </c>
      <c r="B16" s="13" t="s">
        <v>6592</v>
      </c>
    </row>
    <row r="17">
      <c r="A17" s="3" t="s">
        <v>5637</v>
      </c>
      <c r="B17" s="13" t="s">
        <v>6593</v>
      </c>
    </row>
    <row r="18">
      <c r="A18" s="3" t="s">
        <v>5285</v>
      </c>
      <c r="B18" s="13" t="s">
        <v>6594</v>
      </c>
    </row>
    <row r="19">
      <c r="A19" s="3" t="s">
        <v>1195</v>
      </c>
      <c r="B19" s="13" t="s">
        <v>6595</v>
      </c>
    </row>
    <row r="20">
      <c r="A20" s="3" t="s">
        <v>3616</v>
      </c>
      <c r="B20" s="13" t="s">
        <v>6596</v>
      </c>
    </row>
    <row r="21">
      <c r="A21" s="3" t="s">
        <v>961</v>
      </c>
      <c r="B21" s="13" t="s">
        <v>6597</v>
      </c>
    </row>
    <row r="22">
      <c r="A22" s="3" t="s">
        <v>705</v>
      </c>
      <c r="B22" s="13" t="s">
        <v>6598</v>
      </c>
    </row>
    <row r="23">
      <c r="A23" s="3" t="s">
        <v>861</v>
      </c>
      <c r="B23" s="13" t="s">
        <v>6599</v>
      </c>
    </row>
    <row r="24">
      <c r="A24" s="3" t="s">
        <v>2946</v>
      </c>
      <c r="B24" s="13" t="s">
        <v>6600</v>
      </c>
    </row>
    <row r="25">
      <c r="A25" s="3" t="s">
        <v>5602</v>
      </c>
      <c r="B25" s="13" t="s">
        <v>6601</v>
      </c>
    </row>
    <row r="26">
      <c r="A26" s="3" t="s">
        <v>2922</v>
      </c>
      <c r="B26" s="13" t="s">
        <v>6602</v>
      </c>
    </row>
    <row r="27">
      <c r="A27" s="3" t="s">
        <v>1975</v>
      </c>
      <c r="B27" s="13" t="s">
        <v>6603</v>
      </c>
    </row>
    <row r="28">
      <c r="A28" s="3" t="s">
        <v>5544</v>
      </c>
      <c r="B28" s="13" t="s">
        <v>6604</v>
      </c>
    </row>
    <row r="29">
      <c r="A29" s="3" t="s">
        <v>3028</v>
      </c>
      <c r="B29" s="13" t="s">
        <v>6605</v>
      </c>
    </row>
    <row r="30">
      <c r="A30" s="3" t="s">
        <v>1969</v>
      </c>
      <c r="B30" s="13" t="s">
        <v>6606</v>
      </c>
    </row>
    <row r="31">
      <c r="A31" s="3" t="s">
        <v>2109</v>
      </c>
      <c r="B31" s="13" t="s">
        <v>6607</v>
      </c>
    </row>
    <row r="32">
      <c r="A32" s="3" t="s">
        <v>4466</v>
      </c>
      <c r="B32" s="13" t="s">
        <v>6608</v>
      </c>
    </row>
    <row r="33">
      <c r="A33" s="3" t="s">
        <v>5518</v>
      </c>
      <c r="B33" s="13" t="s">
        <v>6609</v>
      </c>
    </row>
    <row r="34">
      <c r="A34" s="3" t="s">
        <v>453</v>
      </c>
      <c r="B34" s="13" t="s">
        <v>6610</v>
      </c>
    </row>
    <row r="35">
      <c r="A35" s="3" t="s">
        <v>2868</v>
      </c>
      <c r="B35" s="3" t="s">
        <v>6611</v>
      </c>
    </row>
    <row r="36">
      <c r="A36" s="3" t="s">
        <v>5498</v>
      </c>
      <c r="B36" s="13" t="s">
        <v>6612</v>
      </c>
    </row>
    <row r="37">
      <c r="A37" s="3" t="s">
        <v>693</v>
      </c>
      <c r="B37" s="13" t="s">
        <v>6613</v>
      </c>
    </row>
    <row r="38">
      <c r="A38" s="3" t="s">
        <v>4514</v>
      </c>
      <c r="B38" s="13" t="s">
        <v>6614</v>
      </c>
    </row>
    <row r="39">
      <c r="A39" s="3" t="s">
        <v>5478</v>
      </c>
      <c r="B39" s="13" t="s">
        <v>6615</v>
      </c>
    </row>
    <row r="40">
      <c r="A40" s="3" t="s">
        <v>163</v>
      </c>
      <c r="B40" s="13" t="s">
        <v>6616</v>
      </c>
    </row>
    <row r="41">
      <c r="A41" s="3" t="s">
        <v>5530</v>
      </c>
      <c r="B41" s="2"/>
    </row>
    <row r="42">
      <c r="A42" s="3" t="s">
        <v>5745</v>
      </c>
      <c r="B42" s="13" t="s">
        <v>6617</v>
      </c>
    </row>
    <row r="43">
      <c r="A43" s="3" t="s">
        <v>5246</v>
      </c>
      <c r="B43" s="13" t="s">
        <v>6618</v>
      </c>
    </row>
    <row r="44">
      <c r="A44" s="3" t="s">
        <v>2576</v>
      </c>
      <c r="B44" s="13" t="s">
        <v>6619</v>
      </c>
    </row>
    <row r="45">
      <c r="A45" s="2"/>
      <c r="B45" s="2"/>
    </row>
  </sheetData>
  <hyperlinks>
    <hyperlink r:id="rId2" ref="B2"/>
    <hyperlink r:id="rId3" ref="B3"/>
    <hyperlink r:id="rId4" ref="B5"/>
    <hyperlink r:id="rId5" ref="B6"/>
    <hyperlink r:id="rId6" ref="B7"/>
    <hyperlink r:id="rId7" ref="B8"/>
    <hyperlink r:id="rId8" ref="B9"/>
    <hyperlink r:id="rId9" ref="B10"/>
    <hyperlink r:id="rId10" ref="B11"/>
    <hyperlink r:id="rId11" ref="B12"/>
    <hyperlink r:id="rId12" ref="B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 r:id="rId31" ref="B33"/>
    <hyperlink r:id="rId32" ref="B34"/>
    <hyperlink r:id="rId33" ref="B36"/>
    <hyperlink r:id="rId34" ref="B37"/>
    <hyperlink r:id="rId35" ref="B38"/>
    <hyperlink r:id="rId36" ref="B39"/>
    <hyperlink r:id="rId37" ref="B40"/>
    <hyperlink r:id="rId38" ref="B42"/>
    <hyperlink r:id="rId39" ref="B43"/>
    <hyperlink r:id="rId40" ref="B44"/>
  </hyperlinks>
  <drawing r:id="rId41"/>
  <legacyDrawing r:id="rId4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8.25"/>
    <col customWidth="1" min="2" max="2" width="5.25"/>
    <col customWidth="1" min="3" max="3" width="6.75"/>
    <col customWidth="1" min="4" max="4" width="89.88"/>
    <col customWidth="1" min="5" max="5" width="9.0"/>
    <col customWidth="1" min="6" max="7" width="6.88"/>
    <col customWidth="1" min="8" max="8" width="21.25"/>
    <col customWidth="1" min="9" max="9" width="43.13"/>
    <col customWidth="1" min="10" max="10" width="8.63"/>
    <col customWidth="1" min="11" max="11" width="5.75"/>
    <col customWidth="1" min="12" max="14" width="13.63"/>
    <col customWidth="1" min="15" max="15" width="93.88"/>
  </cols>
  <sheetData>
    <row r="1">
      <c r="A1" s="15" t="s">
        <v>6620</v>
      </c>
      <c r="B1" s="15" t="s">
        <v>6621</v>
      </c>
      <c r="C1" s="15" t="s">
        <v>6622</v>
      </c>
      <c r="D1" s="15" t="s">
        <v>6623</v>
      </c>
      <c r="E1" s="15" t="s">
        <v>5</v>
      </c>
      <c r="F1" s="15" t="s">
        <v>6624</v>
      </c>
      <c r="G1" s="15" t="s">
        <v>6625</v>
      </c>
      <c r="H1" s="15" t="s">
        <v>6626</v>
      </c>
      <c r="I1" s="15" t="s">
        <v>6627</v>
      </c>
      <c r="J1" s="15" t="s">
        <v>6628</v>
      </c>
      <c r="K1" s="15" t="s">
        <v>6629</v>
      </c>
      <c r="L1" s="15" t="s">
        <v>6630</v>
      </c>
      <c r="M1" s="15" t="s">
        <v>6631</v>
      </c>
      <c r="N1" s="15" t="s">
        <v>6632</v>
      </c>
      <c r="O1" s="15" t="s">
        <v>6633</v>
      </c>
      <c r="Q1" s="3" t="s">
        <v>21</v>
      </c>
      <c r="R1" s="4">
        <v>46037.53208662037</v>
      </c>
    </row>
    <row r="2">
      <c r="A2" s="3" t="s">
        <v>6634</v>
      </c>
      <c r="B2" s="3" t="s">
        <v>6635</v>
      </c>
      <c r="C2" s="16">
        <v>32.0</v>
      </c>
      <c r="D2" s="3" t="s">
        <v>6636</v>
      </c>
      <c r="E2" s="3" t="s">
        <v>6637</v>
      </c>
      <c r="G2" s="3" t="s">
        <v>6638</v>
      </c>
      <c r="H2" s="3" t="s">
        <v>6639</v>
      </c>
      <c r="I2" s="13" t="s">
        <v>6640</v>
      </c>
      <c r="L2" s="17">
        <v>46034.66704861111</v>
      </c>
      <c r="M2" s="17">
        <v>46037.42883101852</v>
      </c>
      <c r="N2" s="18"/>
      <c r="O2" s="3" t="s">
        <v>6641</v>
      </c>
    </row>
    <row r="3">
      <c r="A3" s="3" t="s">
        <v>6642</v>
      </c>
      <c r="B3" s="3" t="s">
        <v>6635</v>
      </c>
      <c r="C3" s="16">
        <v>15.0</v>
      </c>
      <c r="D3" s="3" t="s">
        <v>6643</v>
      </c>
      <c r="E3" s="3" t="s">
        <v>6644</v>
      </c>
      <c r="G3" s="3" t="s">
        <v>6645</v>
      </c>
      <c r="H3" s="3" t="s">
        <v>6639</v>
      </c>
      <c r="I3" s="13" t="s">
        <v>6646</v>
      </c>
      <c r="L3" s="17">
        <v>46027.43726851852</v>
      </c>
      <c r="M3" s="17">
        <v>46030.62040509259</v>
      </c>
      <c r="N3" s="17">
        <v>46030.62040509259</v>
      </c>
      <c r="O3" s="3" t="s">
        <v>6647</v>
      </c>
    </row>
    <row r="4">
      <c r="A4" s="3" t="s">
        <v>6648</v>
      </c>
      <c r="B4" s="3" t="s">
        <v>6635</v>
      </c>
      <c r="C4" s="16">
        <v>34.0</v>
      </c>
      <c r="D4" s="3" t="s">
        <v>6649</v>
      </c>
      <c r="E4" s="3" t="s">
        <v>6644</v>
      </c>
      <c r="G4" s="3" t="s">
        <v>6645</v>
      </c>
      <c r="H4" s="3" t="s">
        <v>6639</v>
      </c>
      <c r="I4" s="13" t="s">
        <v>6650</v>
      </c>
      <c r="L4" s="17">
        <v>46035.4868287037</v>
      </c>
      <c r="M4" s="17">
        <v>46037.433333333334</v>
      </c>
      <c r="N4" s="17">
        <v>46037.433333333334</v>
      </c>
      <c r="O4" s="3" t="s">
        <v>6651</v>
      </c>
    </row>
    <row r="5">
      <c r="A5" s="3" t="s">
        <v>6652</v>
      </c>
      <c r="B5" s="3" t="s">
        <v>6635</v>
      </c>
      <c r="C5" s="16">
        <v>13.0</v>
      </c>
      <c r="D5" s="3" t="s">
        <v>6653</v>
      </c>
      <c r="E5" s="3" t="s">
        <v>6654</v>
      </c>
      <c r="G5" s="3" t="s">
        <v>6638</v>
      </c>
      <c r="H5" s="3" t="s">
        <v>6639</v>
      </c>
      <c r="I5" s="13" t="s">
        <v>6655</v>
      </c>
      <c r="L5" s="17">
        <v>46027.432025462964</v>
      </c>
      <c r="M5" s="17">
        <v>46027.46472222223</v>
      </c>
      <c r="N5" s="18"/>
      <c r="O5" s="3" t="s">
        <v>6656</v>
      </c>
    </row>
    <row r="6">
      <c r="A6" s="3" t="s">
        <v>6657</v>
      </c>
      <c r="B6" s="3" t="s">
        <v>6635</v>
      </c>
      <c r="C6" s="16">
        <v>11.0</v>
      </c>
      <c r="D6" s="3" t="s">
        <v>6658</v>
      </c>
      <c r="E6" s="3" t="s">
        <v>6644</v>
      </c>
      <c r="G6" s="3" t="s">
        <v>6645</v>
      </c>
      <c r="H6" s="3" t="s">
        <v>6639</v>
      </c>
      <c r="I6" s="13" t="s">
        <v>6659</v>
      </c>
      <c r="L6" s="17">
        <v>46027.41853009259</v>
      </c>
      <c r="M6" s="17">
        <v>46027.46505787037</v>
      </c>
      <c r="N6" s="17">
        <v>46027.42628472223</v>
      </c>
      <c r="O6" s="3" t="s">
        <v>6660</v>
      </c>
    </row>
    <row r="7">
      <c r="A7" s="3" t="s">
        <v>6661</v>
      </c>
      <c r="B7" s="3" t="s">
        <v>6635</v>
      </c>
      <c r="C7" s="16">
        <v>24.0</v>
      </c>
      <c r="D7" s="3" t="s">
        <v>6662</v>
      </c>
      <c r="E7" s="3" t="s">
        <v>6644</v>
      </c>
      <c r="G7" s="3" t="s">
        <v>6645</v>
      </c>
      <c r="H7" s="3" t="s">
        <v>6639</v>
      </c>
      <c r="I7" s="13" t="s">
        <v>6663</v>
      </c>
      <c r="L7" s="17">
        <v>46027.607141203705</v>
      </c>
      <c r="M7" s="17">
        <v>46028.62967592593</v>
      </c>
      <c r="N7" s="17">
        <v>46028.62967592593</v>
      </c>
      <c r="O7" s="3" t="s">
        <v>6664</v>
      </c>
    </row>
    <row r="8">
      <c r="A8" s="3" t="s">
        <v>6665</v>
      </c>
      <c r="B8" s="3" t="s">
        <v>6635</v>
      </c>
      <c r="C8" s="16">
        <v>3.0</v>
      </c>
      <c r="D8" s="3" t="s">
        <v>6666</v>
      </c>
      <c r="E8" s="3" t="s">
        <v>6654</v>
      </c>
      <c r="G8" s="3" t="s">
        <v>6638</v>
      </c>
      <c r="H8" s="3" t="s">
        <v>6639</v>
      </c>
      <c r="I8" s="13" t="s">
        <v>6667</v>
      </c>
      <c r="L8" s="17">
        <v>46017.98025462963</v>
      </c>
      <c r="M8" s="17">
        <v>46017.98025462963</v>
      </c>
      <c r="N8" s="18"/>
      <c r="O8" s="3" t="s">
        <v>6668</v>
      </c>
    </row>
    <row r="9">
      <c r="A9" s="3" t="s">
        <v>6669</v>
      </c>
      <c r="B9" s="3" t="s">
        <v>6635</v>
      </c>
      <c r="C9" s="16">
        <v>2.0</v>
      </c>
      <c r="D9" s="3" t="s">
        <v>6670</v>
      </c>
      <c r="E9" s="3" t="s">
        <v>6654</v>
      </c>
      <c r="G9" s="3" t="s">
        <v>6638</v>
      </c>
      <c r="H9" s="3" t="s">
        <v>6639</v>
      </c>
      <c r="I9" s="13" t="s">
        <v>6671</v>
      </c>
      <c r="L9" s="17">
        <v>46017.97712962963</v>
      </c>
      <c r="M9" s="17">
        <v>46017.98548611111</v>
      </c>
      <c r="N9" s="18"/>
      <c r="O9" s="3" t="s">
        <v>6672</v>
      </c>
    </row>
    <row r="10">
      <c r="A10" s="3" t="s">
        <v>6673</v>
      </c>
      <c r="B10" s="3" t="s">
        <v>6635</v>
      </c>
      <c r="C10" s="16">
        <v>7.0</v>
      </c>
      <c r="D10" s="3" t="s">
        <v>6674</v>
      </c>
      <c r="E10" s="3" t="s">
        <v>6675</v>
      </c>
      <c r="F10" s="3" t="s">
        <v>6676</v>
      </c>
      <c r="G10" s="3" t="s">
        <v>6638</v>
      </c>
      <c r="H10" s="3" t="s">
        <v>6639</v>
      </c>
      <c r="I10" s="13" t="s">
        <v>6677</v>
      </c>
      <c r="L10" s="17">
        <v>46027.4028587963</v>
      </c>
      <c r="M10" s="17">
        <v>46027.46416666667</v>
      </c>
      <c r="N10" s="18"/>
      <c r="O10" s="3" t="s">
        <v>6678</v>
      </c>
    </row>
    <row r="11">
      <c r="A11" s="3" t="s">
        <v>6679</v>
      </c>
      <c r="B11" s="3" t="s">
        <v>6635</v>
      </c>
      <c r="C11" s="16">
        <v>5.0</v>
      </c>
      <c r="D11" s="3" t="s">
        <v>6680</v>
      </c>
      <c r="E11" s="3" t="s">
        <v>6675</v>
      </c>
      <c r="F11" s="3" t="s">
        <v>6676</v>
      </c>
      <c r="G11" s="3" t="s">
        <v>6638</v>
      </c>
      <c r="H11" s="3" t="s">
        <v>6639</v>
      </c>
      <c r="I11" s="13" t="s">
        <v>6681</v>
      </c>
      <c r="L11" s="17">
        <v>46027.401296296295</v>
      </c>
      <c r="M11" s="17">
        <v>46034.62233796297</v>
      </c>
      <c r="N11" s="18"/>
      <c r="O11" s="3" t="s">
        <v>6682</v>
      </c>
    </row>
    <row r="12">
      <c r="A12" s="3" t="s">
        <v>6683</v>
      </c>
      <c r="B12" s="3" t="s">
        <v>6635</v>
      </c>
      <c r="C12" s="16">
        <v>9.0</v>
      </c>
      <c r="D12" s="3" t="s">
        <v>6684</v>
      </c>
      <c r="E12" s="3" t="s">
        <v>6675</v>
      </c>
      <c r="G12" s="3" t="s">
        <v>6638</v>
      </c>
      <c r="H12" s="3" t="s">
        <v>6639</v>
      </c>
      <c r="I12" s="13" t="s">
        <v>6685</v>
      </c>
      <c r="L12" s="17">
        <v>46027.4178125</v>
      </c>
      <c r="M12" s="17">
        <v>46027.464317129634</v>
      </c>
      <c r="N12" s="18"/>
      <c r="O12" s="3" t="s">
        <v>6686</v>
      </c>
    </row>
    <row r="13">
      <c r="A13" s="3" t="s">
        <v>6687</v>
      </c>
      <c r="B13" s="3" t="s">
        <v>6635</v>
      </c>
      <c r="C13" s="16">
        <v>10.0</v>
      </c>
      <c r="D13" s="3" t="s">
        <v>6688</v>
      </c>
      <c r="E13" s="3" t="s">
        <v>6675</v>
      </c>
      <c r="F13" s="3" t="s">
        <v>6689</v>
      </c>
      <c r="G13" s="3" t="s">
        <v>6638</v>
      </c>
      <c r="H13" s="3" t="s">
        <v>6639</v>
      </c>
      <c r="I13" s="13" t="s">
        <v>6690</v>
      </c>
      <c r="L13" s="17">
        <v>46027.41800925926</v>
      </c>
      <c r="M13" s="17">
        <v>46027.464467592596</v>
      </c>
      <c r="N13" s="18"/>
      <c r="O13" s="3" t="s">
        <v>6691</v>
      </c>
    </row>
    <row r="14">
      <c r="A14" s="3" t="s">
        <v>6692</v>
      </c>
      <c r="B14" s="3" t="s">
        <v>6635</v>
      </c>
      <c r="C14" s="16">
        <v>12.0</v>
      </c>
      <c r="D14" s="3" t="s">
        <v>6693</v>
      </c>
      <c r="E14" s="3" t="s">
        <v>6675</v>
      </c>
      <c r="F14" s="3" t="s">
        <v>6676</v>
      </c>
      <c r="G14" s="3" t="s">
        <v>6638</v>
      </c>
      <c r="H14" s="3" t="s">
        <v>6639</v>
      </c>
      <c r="I14" s="13" t="s">
        <v>6694</v>
      </c>
      <c r="L14" s="17">
        <v>46027.42964120371</v>
      </c>
      <c r="M14" s="17">
        <v>46027.49046296296</v>
      </c>
      <c r="N14" s="18"/>
      <c r="O14" s="3" t="s">
        <v>6695</v>
      </c>
    </row>
    <row r="15">
      <c r="A15" s="3" t="s">
        <v>6696</v>
      </c>
      <c r="B15" s="3" t="s">
        <v>6635</v>
      </c>
      <c r="C15" s="16">
        <v>14.0</v>
      </c>
      <c r="D15" s="3" t="s">
        <v>6697</v>
      </c>
      <c r="E15" s="3" t="s">
        <v>6654</v>
      </c>
      <c r="G15" s="3" t="s">
        <v>6638</v>
      </c>
      <c r="H15" s="3" t="s">
        <v>6639</v>
      </c>
      <c r="I15" s="13" t="s">
        <v>6698</v>
      </c>
      <c r="L15" s="17">
        <v>46027.43628472222</v>
      </c>
      <c r="M15" s="17">
        <v>46027.46487268519</v>
      </c>
      <c r="N15" s="18"/>
      <c r="O15" s="3" t="s">
        <v>6699</v>
      </c>
    </row>
    <row r="16">
      <c r="A16" s="3" t="s">
        <v>6700</v>
      </c>
      <c r="B16" s="3" t="s">
        <v>6635</v>
      </c>
      <c r="C16" s="16">
        <v>8.0</v>
      </c>
      <c r="D16" s="3" t="s">
        <v>6701</v>
      </c>
      <c r="E16" s="3" t="s">
        <v>6702</v>
      </c>
      <c r="F16" s="3" t="s">
        <v>6703</v>
      </c>
      <c r="G16" s="3" t="s">
        <v>6638</v>
      </c>
      <c r="H16" s="3" t="s">
        <v>6639</v>
      </c>
      <c r="I16" s="13" t="s">
        <v>6704</v>
      </c>
      <c r="L16" s="17">
        <v>46027.40564814815</v>
      </c>
      <c r="M16" s="17">
        <v>46037.4327662037</v>
      </c>
      <c r="N16" s="18"/>
      <c r="O16" s="3" t="s">
        <v>6705</v>
      </c>
    </row>
    <row r="17">
      <c r="A17" s="3" t="s">
        <v>6706</v>
      </c>
      <c r="B17" s="3" t="s">
        <v>6635</v>
      </c>
      <c r="C17" s="16">
        <v>17.0</v>
      </c>
      <c r="D17" s="3" t="s">
        <v>6707</v>
      </c>
      <c r="E17" s="3" t="s">
        <v>6702</v>
      </c>
      <c r="G17" s="3" t="s">
        <v>6638</v>
      </c>
      <c r="H17" s="3" t="s">
        <v>6639</v>
      </c>
      <c r="I17" s="13" t="s">
        <v>6708</v>
      </c>
      <c r="L17" s="17">
        <v>46027.462106481486</v>
      </c>
      <c r="M17" s="17">
        <v>46036.486608796295</v>
      </c>
      <c r="N17" s="18"/>
      <c r="O17" s="3" t="s">
        <v>6709</v>
      </c>
    </row>
    <row r="18">
      <c r="A18" s="3" t="s">
        <v>6710</v>
      </c>
      <c r="B18" s="3" t="s">
        <v>6635</v>
      </c>
      <c r="C18" s="16">
        <v>37.0</v>
      </c>
      <c r="D18" s="3" t="s">
        <v>6711</v>
      </c>
      <c r="E18" s="3" t="s">
        <v>6702</v>
      </c>
      <c r="G18" s="3" t="s">
        <v>6638</v>
      </c>
      <c r="H18" s="3" t="s">
        <v>6639</v>
      </c>
      <c r="I18" s="13" t="s">
        <v>6712</v>
      </c>
      <c r="L18" s="17">
        <v>46036.75403935185</v>
      </c>
      <c r="M18" s="17">
        <v>46036.75403935185</v>
      </c>
      <c r="N18" s="18"/>
      <c r="O18" s="3" t="s">
        <v>6713</v>
      </c>
    </row>
    <row r="19">
      <c r="A19" s="3" t="s">
        <v>6714</v>
      </c>
      <c r="B19" s="3" t="s">
        <v>6635</v>
      </c>
      <c r="C19" s="16">
        <v>20.0</v>
      </c>
      <c r="D19" s="3" t="s">
        <v>6715</v>
      </c>
      <c r="E19" s="3" t="s">
        <v>6654</v>
      </c>
      <c r="G19" s="3" t="s">
        <v>6638</v>
      </c>
      <c r="H19" s="3" t="s">
        <v>6639</v>
      </c>
      <c r="I19" s="13" t="s">
        <v>6716</v>
      </c>
      <c r="L19" s="17">
        <v>46027.48412037037</v>
      </c>
      <c r="M19" s="17">
        <v>46027.48412037037</v>
      </c>
      <c r="N19" s="18"/>
      <c r="O19" s="3" t="s">
        <v>6717</v>
      </c>
    </row>
    <row r="20">
      <c r="A20" s="3" t="s">
        <v>6718</v>
      </c>
      <c r="B20" s="3" t="s">
        <v>6635</v>
      </c>
      <c r="C20" s="16">
        <v>21.0</v>
      </c>
      <c r="D20" s="3" t="s">
        <v>6719</v>
      </c>
      <c r="E20" s="3" t="s">
        <v>6654</v>
      </c>
      <c r="G20" s="3" t="s">
        <v>6638</v>
      </c>
      <c r="H20" s="3" t="s">
        <v>6639</v>
      </c>
      <c r="I20" s="13" t="s">
        <v>6720</v>
      </c>
      <c r="L20" s="17">
        <v>46027.4897800926</v>
      </c>
      <c r="M20" s="17">
        <v>46027.4897800926</v>
      </c>
      <c r="N20" s="18"/>
      <c r="O20" s="3" t="s">
        <v>6721</v>
      </c>
    </row>
    <row r="21">
      <c r="A21" s="3" t="s">
        <v>6722</v>
      </c>
      <c r="B21" s="3" t="s">
        <v>6635</v>
      </c>
      <c r="C21" s="16">
        <v>22.0</v>
      </c>
      <c r="D21" s="3" t="s">
        <v>6723</v>
      </c>
      <c r="E21" s="3" t="s">
        <v>6644</v>
      </c>
      <c r="G21" s="3" t="s">
        <v>6645</v>
      </c>
      <c r="H21" s="3" t="s">
        <v>6639</v>
      </c>
      <c r="I21" s="13" t="s">
        <v>6724</v>
      </c>
      <c r="L21" s="17">
        <v>46027.57164351852</v>
      </c>
      <c r="M21" s="17">
        <v>46028.634618055556</v>
      </c>
      <c r="N21" s="17">
        <v>46028.634618055556</v>
      </c>
      <c r="O21" s="3" t="s">
        <v>6725</v>
      </c>
    </row>
    <row r="22">
      <c r="A22" s="3" t="s">
        <v>6726</v>
      </c>
      <c r="B22" s="3" t="s">
        <v>6635</v>
      </c>
      <c r="C22" s="16">
        <v>18.0</v>
      </c>
      <c r="D22" s="3" t="s">
        <v>6727</v>
      </c>
      <c r="E22" s="3" t="s">
        <v>6644</v>
      </c>
      <c r="G22" s="3" t="s">
        <v>6645</v>
      </c>
      <c r="H22" s="3" t="s">
        <v>6639</v>
      </c>
      <c r="I22" s="13" t="s">
        <v>6728</v>
      </c>
      <c r="L22" s="17">
        <v>46027.46283564815</v>
      </c>
      <c r="M22" s="17">
        <v>46030.61649305555</v>
      </c>
      <c r="N22" s="17">
        <v>46030.61649305555</v>
      </c>
      <c r="O22" s="3" t="s">
        <v>6729</v>
      </c>
    </row>
    <row r="23">
      <c r="A23" s="3" t="s">
        <v>6730</v>
      </c>
      <c r="B23" s="3" t="s">
        <v>6635</v>
      </c>
      <c r="C23" s="16">
        <v>23.0</v>
      </c>
      <c r="D23" s="3" t="s">
        <v>6731</v>
      </c>
      <c r="E23" s="3" t="s">
        <v>6644</v>
      </c>
      <c r="F23" s="3" t="s">
        <v>6732</v>
      </c>
      <c r="G23" s="3" t="s">
        <v>6645</v>
      </c>
      <c r="H23" s="3" t="s">
        <v>6639</v>
      </c>
      <c r="I23" s="13" t="s">
        <v>6733</v>
      </c>
      <c r="L23" s="17">
        <v>46027.5909837963</v>
      </c>
      <c r="M23" s="17">
        <v>46030.62409722222</v>
      </c>
      <c r="N23" s="17">
        <v>46030.62409722222</v>
      </c>
      <c r="O23" s="3" t="s">
        <v>6734</v>
      </c>
    </row>
    <row r="24">
      <c r="A24" s="3" t="s">
        <v>6735</v>
      </c>
      <c r="B24" s="3" t="s">
        <v>6635</v>
      </c>
      <c r="C24" s="16">
        <v>19.0</v>
      </c>
      <c r="D24" s="3" t="s">
        <v>6736</v>
      </c>
      <c r="E24" s="3" t="s">
        <v>6644</v>
      </c>
      <c r="F24" s="3" t="s">
        <v>6703</v>
      </c>
      <c r="G24" s="3" t="s">
        <v>6645</v>
      </c>
      <c r="H24" s="3" t="s">
        <v>6639</v>
      </c>
      <c r="I24" s="13" t="s">
        <v>6737</v>
      </c>
      <c r="L24" s="17">
        <v>46027.480219907404</v>
      </c>
      <c r="M24" s="17">
        <v>46030.64883101852</v>
      </c>
      <c r="N24" s="17">
        <v>46030.64883101852</v>
      </c>
      <c r="O24" s="3" t="s">
        <v>6738</v>
      </c>
    </row>
    <row r="25">
      <c r="A25" s="3" t="s">
        <v>6739</v>
      </c>
      <c r="B25" s="3" t="s">
        <v>6635</v>
      </c>
      <c r="C25" s="16">
        <v>6.0</v>
      </c>
      <c r="D25" s="3" t="s">
        <v>6740</v>
      </c>
      <c r="E25" s="3" t="s">
        <v>6644</v>
      </c>
      <c r="F25" s="3" t="s">
        <v>6703</v>
      </c>
      <c r="G25" s="3" t="s">
        <v>6645</v>
      </c>
      <c r="H25" s="3" t="s">
        <v>6639</v>
      </c>
      <c r="I25" s="13" t="s">
        <v>6741</v>
      </c>
      <c r="L25" s="17">
        <v>46027.401620370365</v>
      </c>
      <c r="M25" s="17">
        <v>46030.61987268519</v>
      </c>
      <c r="N25" s="17">
        <v>46030.61987268519</v>
      </c>
      <c r="O25" s="3" t="s">
        <v>6742</v>
      </c>
    </row>
    <row r="26">
      <c r="A26" s="3" t="s">
        <v>6743</v>
      </c>
      <c r="B26" s="3" t="s">
        <v>6635</v>
      </c>
      <c r="C26" s="16">
        <v>30.0</v>
      </c>
      <c r="D26" s="3" t="s">
        <v>6744</v>
      </c>
      <c r="E26" s="3" t="s">
        <v>6644</v>
      </c>
      <c r="G26" s="3" t="s">
        <v>6645</v>
      </c>
      <c r="H26" s="3" t="s">
        <v>6639</v>
      </c>
      <c r="I26" s="13" t="s">
        <v>6745</v>
      </c>
      <c r="L26" s="17">
        <v>46034.56920138889</v>
      </c>
      <c r="M26" s="17">
        <v>46034.62159722223</v>
      </c>
      <c r="N26" s="17">
        <v>46034.62159722223</v>
      </c>
      <c r="O26" s="3" t="s">
        <v>6746</v>
      </c>
    </row>
    <row r="27">
      <c r="A27" s="3" t="s">
        <v>6747</v>
      </c>
      <c r="B27" s="3" t="s">
        <v>6635</v>
      </c>
      <c r="C27" s="16">
        <v>16.0</v>
      </c>
      <c r="D27" s="3" t="s">
        <v>6748</v>
      </c>
      <c r="E27" s="3" t="s">
        <v>6644</v>
      </c>
      <c r="F27" s="3" t="s">
        <v>6689</v>
      </c>
      <c r="G27" s="3" t="s">
        <v>6645</v>
      </c>
      <c r="H27" s="3" t="s">
        <v>6639</v>
      </c>
      <c r="I27" s="13" t="s">
        <v>6749</v>
      </c>
      <c r="L27" s="17">
        <v>46027.44681712963</v>
      </c>
      <c r="M27" s="17">
        <v>46030.61640046297</v>
      </c>
      <c r="N27" s="17">
        <v>46030.61640046297</v>
      </c>
      <c r="O27" s="3" t="s">
        <v>6750</v>
      </c>
    </row>
    <row r="28">
      <c r="A28" s="3" t="s">
        <v>6751</v>
      </c>
      <c r="B28" s="3" t="s">
        <v>6635</v>
      </c>
      <c r="C28" s="16">
        <v>26.0</v>
      </c>
      <c r="D28" s="3" t="s">
        <v>6752</v>
      </c>
      <c r="E28" s="3" t="s">
        <v>6644</v>
      </c>
      <c r="F28" s="3" t="s">
        <v>6689</v>
      </c>
      <c r="G28" s="3" t="s">
        <v>6645</v>
      </c>
      <c r="H28" s="3" t="s">
        <v>6639</v>
      </c>
      <c r="I28" s="13" t="s">
        <v>6753</v>
      </c>
      <c r="L28" s="17">
        <v>46029.32517361111</v>
      </c>
      <c r="M28" s="17">
        <v>46029.483125</v>
      </c>
      <c r="N28" s="17">
        <v>46029.483125</v>
      </c>
      <c r="O28" s="3" t="s">
        <v>6754</v>
      </c>
    </row>
    <row r="29">
      <c r="A29" s="3" t="s">
        <v>6755</v>
      </c>
      <c r="B29" s="3" t="s">
        <v>6635</v>
      </c>
      <c r="C29" s="16">
        <v>25.0</v>
      </c>
      <c r="D29" s="3" t="s">
        <v>6756</v>
      </c>
      <c r="E29" s="3" t="s">
        <v>6675</v>
      </c>
      <c r="F29" s="3" t="s">
        <v>6676</v>
      </c>
      <c r="G29" s="3" t="s">
        <v>6638</v>
      </c>
      <c r="H29" s="3" t="s">
        <v>6639</v>
      </c>
      <c r="I29" s="13" t="s">
        <v>6757</v>
      </c>
      <c r="L29" s="17">
        <v>46028.62787037037</v>
      </c>
      <c r="M29" s="17">
        <v>46028.62787037037</v>
      </c>
      <c r="N29" s="18"/>
      <c r="O29" s="3" t="s">
        <v>6758</v>
      </c>
    </row>
    <row r="30">
      <c r="A30" s="3" t="s">
        <v>6759</v>
      </c>
      <c r="B30" s="3" t="s">
        <v>6635</v>
      </c>
      <c r="C30" s="16">
        <v>27.0</v>
      </c>
      <c r="D30" s="3" t="s">
        <v>6760</v>
      </c>
      <c r="E30" s="3" t="s">
        <v>6675</v>
      </c>
      <c r="G30" s="3" t="s">
        <v>6638</v>
      </c>
      <c r="H30" s="3" t="s">
        <v>6639</v>
      </c>
      <c r="I30" s="13" t="s">
        <v>6761</v>
      </c>
      <c r="L30" s="17">
        <v>46029.82582175926</v>
      </c>
      <c r="M30" s="17">
        <v>46029.82582175926</v>
      </c>
      <c r="N30" s="18"/>
      <c r="O30" s="3" t="s">
        <v>6762</v>
      </c>
    </row>
    <row r="31">
      <c r="A31" s="3" t="s">
        <v>6763</v>
      </c>
      <c r="B31" s="3" t="s">
        <v>6635</v>
      </c>
      <c r="C31" s="16">
        <v>28.0</v>
      </c>
      <c r="D31" s="3" t="s">
        <v>6764</v>
      </c>
      <c r="E31" s="3" t="s">
        <v>6675</v>
      </c>
      <c r="F31" s="3" t="s">
        <v>6703</v>
      </c>
      <c r="G31" s="3" t="s">
        <v>6638</v>
      </c>
      <c r="H31" s="3" t="s">
        <v>6639</v>
      </c>
      <c r="I31" s="13" t="s">
        <v>6765</v>
      </c>
      <c r="L31" s="17">
        <v>46030.64966435185</v>
      </c>
      <c r="M31" s="17">
        <v>46030.64966435185</v>
      </c>
      <c r="N31" s="18"/>
      <c r="O31" s="3" t="s">
        <v>6766</v>
      </c>
    </row>
    <row r="32">
      <c r="A32" s="3" t="s">
        <v>6767</v>
      </c>
      <c r="B32" s="3" t="s">
        <v>6635</v>
      </c>
      <c r="C32" s="16">
        <v>29.0</v>
      </c>
      <c r="D32" s="3" t="s">
        <v>6768</v>
      </c>
      <c r="E32" s="3" t="s">
        <v>6675</v>
      </c>
      <c r="F32" s="3" t="s">
        <v>6703</v>
      </c>
      <c r="G32" s="3" t="s">
        <v>6638</v>
      </c>
      <c r="H32" s="3" t="s">
        <v>6639</v>
      </c>
      <c r="I32" s="13" t="s">
        <v>6769</v>
      </c>
      <c r="L32" s="17">
        <v>46030.650347222225</v>
      </c>
      <c r="M32" s="17">
        <v>46030.650347222225</v>
      </c>
      <c r="N32" s="18"/>
      <c r="O32" s="3" t="s">
        <v>6770</v>
      </c>
    </row>
    <row r="33">
      <c r="A33" s="3" t="s">
        <v>6771</v>
      </c>
      <c r="B33" s="3" t="s">
        <v>6635</v>
      </c>
      <c r="C33" s="16">
        <v>31.0</v>
      </c>
      <c r="D33" s="3" t="s">
        <v>6772</v>
      </c>
      <c r="E33" s="3" t="s">
        <v>6675</v>
      </c>
      <c r="F33" s="3" t="s">
        <v>6703</v>
      </c>
      <c r="G33" s="3" t="s">
        <v>6638</v>
      </c>
      <c r="H33" s="3" t="s">
        <v>6639</v>
      </c>
      <c r="I33" s="13" t="s">
        <v>6773</v>
      </c>
      <c r="L33" s="17">
        <v>46034.60056712963</v>
      </c>
      <c r="M33" s="17">
        <v>46034.60056712963</v>
      </c>
      <c r="N33" s="18"/>
      <c r="O33" s="3" t="s">
        <v>6774</v>
      </c>
    </row>
    <row r="34">
      <c r="A34" s="3" t="s">
        <v>6775</v>
      </c>
      <c r="B34" s="3" t="s">
        <v>6635</v>
      </c>
      <c r="C34" s="16">
        <v>33.0</v>
      </c>
      <c r="D34" s="3" t="s">
        <v>6776</v>
      </c>
      <c r="E34" s="3" t="s">
        <v>6675</v>
      </c>
      <c r="G34" s="3" t="s">
        <v>6638</v>
      </c>
      <c r="H34" s="3" t="s">
        <v>6639</v>
      </c>
      <c r="I34" s="13" t="s">
        <v>6777</v>
      </c>
      <c r="L34" s="17">
        <v>46035.44587962963</v>
      </c>
      <c r="M34" s="17">
        <v>46035.44587962963</v>
      </c>
      <c r="N34" s="18"/>
      <c r="O34" s="3" t="s">
        <v>6778</v>
      </c>
    </row>
    <row r="35">
      <c r="A35" s="3" t="s">
        <v>6779</v>
      </c>
      <c r="B35" s="3" t="s">
        <v>6635</v>
      </c>
      <c r="C35" s="16">
        <v>35.0</v>
      </c>
      <c r="D35" s="3" t="s">
        <v>6780</v>
      </c>
      <c r="E35" s="3" t="s">
        <v>6675</v>
      </c>
      <c r="G35" s="3" t="s">
        <v>6638</v>
      </c>
      <c r="H35" s="3" t="s">
        <v>6639</v>
      </c>
      <c r="I35" s="13" t="s">
        <v>6781</v>
      </c>
      <c r="L35" s="17">
        <v>46035.67111111111</v>
      </c>
      <c r="M35" s="17">
        <v>46035.67111111111</v>
      </c>
      <c r="N35" s="18"/>
      <c r="O35" s="3" t="s">
        <v>6782</v>
      </c>
    </row>
    <row r="36">
      <c r="A36" s="3" t="s">
        <v>6783</v>
      </c>
      <c r="B36" s="3" t="s">
        <v>6635</v>
      </c>
      <c r="C36" s="16">
        <v>36.0</v>
      </c>
      <c r="D36" s="3" t="s">
        <v>6784</v>
      </c>
      <c r="E36" s="3" t="s">
        <v>6675</v>
      </c>
      <c r="F36" s="3" t="s">
        <v>6689</v>
      </c>
      <c r="G36" s="3" t="s">
        <v>6638</v>
      </c>
      <c r="H36" s="3" t="s">
        <v>6639</v>
      </c>
      <c r="I36" s="13" t="s">
        <v>6785</v>
      </c>
      <c r="L36" s="17">
        <v>46036.484664351854</v>
      </c>
      <c r="M36" s="17">
        <v>46036.484664351854</v>
      </c>
      <c r="N36" s="18"/>
      <c r="O36" s="3" t="s">
        <v>6786</v>
      </c>
    </row>
    <row r="37">
      <c r="A37" s="3" t="s">
        <v>6787</v>
      </c>
      <c r="B37" s="3" t="s">
        <v>6635</v>
      </c>
      <c r="C37" s="16">
        <v>38.0</v>
      </c>
      <c r="D37" s="3" t="s">
        <v>6788</v>
      </c>
      <c r="E37" s="3" t="s">
        <v>6654</v>
      </c>
      <c r="G37" s="3" t="s">
        <v>6638</v>
      </c>
      <c r="H37" s="3" t="s">
        <v>6639</v>
      </c>
      <c r="I37" s="13" t="s">
        <v>6789</v>
      </c>
      <c r="L37" s="17">
        <v>46036.75803240741</v>
      </c>
      <c r="M37" s="17">
        <v>46036.75803240741</v>
      </c>
      <c r="N37" s="18"/>
      <c r="O37" s="3" t="s">
        <v>6790</v>
      </c>
    </row>
    <row r="38">
      <c r="A38" s="3" t="s">
        <v>6791</v>
      </c>
      <c r="B38" s="3" t="s">
        <v>6635</v>
      </c>
      <c r="C38" s="16">
        <v>39.0</v>
      </c>
      <c r="D38" s="3" t="s">
        <v>6792</v>
      </c>
      <c r="E38" s="3" t="s">
        <v>6675</v>
      </c>
      <c r="G38" s="3" t="s">
        <v>6638</v>
      </c>
      <c r="H38" s="3" t="s">
        <v>6639</v>
      </c>
      <c r="I38" s="13" t="s">
        <v>6793</v>
      </c>
      <c r="L38" s="17">
        <v>46037.374444444446</v>
      </c>
      <c r="M38" s="17">
        <v>46037.374444444446</v>
      </c>
      <c r="N38" s="18"/>
      <c r="O38" s="3" t="s">
        <v>6794</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s>
  <drawing r:id="rId3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6795</v>
      </c>
      <c r="B1" s="3" t="s">
        <v>6796</v>
      </c>
    </row>
    <row r="2">
      <c r="A2" s="4">
        <v>46037.533200844904</v>
      </c>
      <c r="B2" s="16">
        <v>655.0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5.5"/>
    <col customWidth="1" min="2" max="2" width="15.75"/>
    <col customWidth="1" min="3" max="3" width="48.63"/>
    <col customWidth="1" min="4" max="4" width="15.25"/>
    <col customWidth="1" min="5" max="5" width="81.13"/>
    <col customWidth="1" min="6" max="6" width="32.13"/>
    <col customWidth="1" min="7" max="7" width="66.38"/>
    <col customWidth="1" min="8" max="8" width="29.0"/>
    <col customWidth="1" min="9" max="9" width="82.5"/>
    <col customWidth="1" min="10" max="10" width="180.5"/>
    <col customWidth="1" min="11" max="11" width="27.75"/>
    <col customWidth="1" min="12" max="12" width="15.5"/>
  </cols>
  <sheetData>
    <row r="1">
      <c r="A1" s="19" t="s">
        <v>6797</v>
      </c>
      <c r="B1" s="19" t="s">
        <v>6798</v>
      </c>
      <c r="C1" s="19" t="s">
        <v>6799</v>
      </c>
      <c r="D1" s="19" t="s">
        <v>6800</v>
      </c>
      <c r="E1" s="19" t="s">
        <v>6801</v>
      </c>
      <c r="F1" s="19" t="s">
        <v>6802</v>
      </c>
      <c r="G1" s="19" t="s">
        <v>6803</v>
      </c>
      <c r="H1" s="19" t="s">
        <v>6804</v>
      </c>
      <c r="I1" s="19" t="s">
        <v>6805</v>
      </c>
      <c r="J1" s="19" t="s">
        <v>6806</v>
      </c>
      <c r="K1" s="19" t="s">
        <v>6807</v>
      </c>
      <c r="L1" s="19" t="s">
        <v>6808</v>
      </c>
    </row>
    <row r="2">
      <c r="A2" s="20" t="s">
        <v>6809</v>
      </c>
      <c r="B2" s="21">
        <v>46034.38548611111</v>
      </c>
      <c r="C2" s="20" t="s">
        <v>6810</v>
      </c>
      <c r="D2" s="22" t="s">
        <v>6811</v>
      </c>
      <c r="E2" s="20" t="s">
        <v>6812</v>
      </c>
      <c r="F2" s="20" t="s">
        <v>6813</v>
      </c>
      <c r="G2" s="20"/>
      <c r="H2" s="20"/>
      <c r="I2" s="20" t="s">
        <v>6814</v>
      </c>
      <c r="J2" s="20" t="s">
        <v>6815</v>
      </c>
      <c r="K2" s="20" t="s">
        <v>5334</v>
      </c>
      <c r="L2" s="20" t="s">
        <v>6809</v>
      </c>
    </row>
    <row r="3">
      <c r="A3" s="20" t="s">
        <v>6816</v>
      </c>
      <c r="B3" s="21">
        <v>46029.72607638889</v>
      </c>
      <c r="C3" s="20" t="s">
        <v>6817</v>
      </c>
      <c r="D3" s="22" t="s">
        <v>6581</v>
      </c>
      <c r="E3" s="20" t="s">
        <v>6818</v>
      </c>
      <c r="F3" s="22" t="s">
        <v>6811</v>
      </c>
      <c r="G3" s="20"/>
      <c r="H3" s="20"/>
      <c r="I3" s="20" t="s">
        <v>6819</v>
      </c>
      <c r="J3" s="20" t="s">
        <v>6820</v>
      </c>
      <c r="K3" s="20" t="s">
        <v>2616</v>
      </c>
      <c r="L3" s="20" t="s">
        <v>6816</v>
      </c>
    </row>
    <row r="4">
      <c r="A4" s="20" t="s">
        <v>6821</v>
      </c>
      <c r="B4" s="21">
        <v>46029.55149305555</v>
      </c>
      <c r="C4" s="20" t="s">
        <v>6817</v>
      </c>
      <c r="D4" s="22" t="s">
        <v>6581</v>
      </c>
      <c r="E4" s="20" t="s">
        <v>6822</v>
      </c>
      <c r="F4" s="22" t="s">
        <v>6811</v>
      </c>
      <c r="G4" s="20"/>
      <c r="H4" s="20"/>
      <c r="I4" s="20" t="s">
        <v>6823</v>
      </c>
      <c r="J4" s="20" t="s">
        <v>6824</v>
      </c>
      <c r="K4" s="20" t="s">
        <v>2616</v>
      </c>
      <c r="L4" s="20" t="s">
        <v>6821</v>
      </c>
    </row>
    <row r="5">
      <c r="A5" s="20" t="s">
        <v>6825</v>
      </c>
      <c r="B5" s="21">
        <v>46029.55028935186</v>
      </c>
      <c r="C5" s="20" t="s">
        <v>6817</v>
      </c>
      <c r="D5" s="22" t="s">
        <v>6581</v>
      </c>
      <c r="E5" s="20" t="s">
        <v>6822</v>
      </c>
      <c r="F5" s="22" t="s">
        <v>6811</v>
      </c>
      <c r="G5" s="20"/>
      <c r="H5" s="20"/>
      <c r="I5" s="20" t="s">
        <v>6826</v>
      </c>
      <c r="J5" s="20" t="s">
        <v>6827</v>
      </c>
      <c r="K5" s="20" t="s">
        <v>2616</v>
      </c>
      <c r="L5" s="20" t="s">
        <v>6825</v>
      </c>
    </row>
    <row r="6">
      <c r="A6" s="20" t="s">
        <v>6828</v>
      </c>
      <c r="B6" s="21">
        <v>46029.55247685185</v>
      </c>
      <c r="C6" s="20" t="s">
        <v>6817</v>
      </c>
      <c r="D6" s="22" t="s">
        <v>6581</v>
      </c>
      <c r="E6" s="20" t="s">
        <v>6822</v>
      </c>
      <c r="F6" s="22" t="s">
        <v>6811</v>
      </c>
      <c r="G6" s="20"/>
      <c r="H6" s="20"/>
      <c r="I6" s="20" t="s">
        <v>6829</v>
      </c>
      <c r="J6" s="20" t="s">
        <v>6830</v>
      </c>
      <c r="K6" s="20" t="s">
        <v>2616</v>
      </c>
      <c r="L6" s="20" t="s">
        <v>6825</v>
      </c>
    </row>
    <row r="7">
      <c r="A7" s="20" t="s">
        <v>6831</v>
      </c>
      <c r="B7" s="21">
        <v>46029.58887731482</v>
      </c>
      <c r="C7" s="20" t="s">
        <v>6818</v>
      </c>
      <c r="D7" s="22" t="s">
        <v>6811</v>
      </c>
      <c r="E7" s="20" t="s">
        <v>6817</v>
      </c>
      <c r="F7" s="22" t="s">
        <v>6581</v>
      </c>
      <c r="G7" s="20" t="s">
        <v>6832</v>
      </c>
      <c r="H7" s="22" t="s">
        <v>6811</v>
      </c>
      <c r="I7" s="20" t="s">
        <v>6833</v>
      </c>
      <c r="J7" s="20" t="s">
        <v>6834</v>
      </c>
      <c r="K7" s="20" t="s">
        <v>2616</v>
      </c>
      <c r="L7" s="20" t="s">
        <v>6825</v>
      </c>
    </row>
    <row r="8">
      <c r="A8" s="20" t="s">
        <v>6835</v>
      </c>
      <c r="B8" s="21">
        <v>46029.62972222222</v>
      </c>
      <c r="C8" s="20" t="s">
        <v>6817</v>
      </c>
      <c r="D8" s="22" t="s">
        <v>6581</v>
      </c>
      <c r="E8" s="20" t="s">
        <v>6818</v>
      </c>
      <c r="F8" s="22" t="s">
        <v>6811</v>
      </c>
      <c r="G8" s="20" t="s">
        <v>6832</v>
      </c>
      <c r="H8" s="22" t="s">
        <v>6811</v>
      </c>
      <c r="I8" s="20" t="s">
        <v>6836</v>
      </c>
      <c r="J8" s="20" t="s">
        <v>6837</v>
      </c>
      <c r="K8" s="20" t="s">
        <v>2616</v>
      </c>
      <c r="L8" s="20" t="s">
        <v>6825</v>
      </c>
    </row>
    <row r="9">
      <c r="A9" s="20" t="s">
        <v>6838</v>
      </c>
      <c r="B9" s="21">
        <v>46029.632939814815</v>
      </c>
      <c r="C9" s="20" t="s">
        <v>6818</v>
      </c>
      <c r="D9" s="22" t="s">
        <v>6811</v>
      </c>
      <c r="E9" s="20" t="s">
        <v>6817</v>
      </c>
      <c r="F9" s="22" t="s">
        <v>6581</v>
      </c>
      <c r="G9" s="20" t="s">
        <v>6832</v>
      </c>
      <c r="H9" s="22" t="s">
        <v>6811</v>
      </c>
      <c r="I9" s="20" t="s">
        <v>6839</v>
      </c>
      <c r="J9" s="20" t="s">
        <v>6840</v>
      </c>
      <c r="K9" s="20" t="s">
        <v>2616</v>
      </c>
      <c r="L9" s="20" t="s">
        <v>6825</v>
      </c>
    </row>
    <row r="10">
      <c r="A10" s="20" t="s">
        <v>6841</v>
      </c>
      <c r="B10" s="21">
        <v>46028.568148148144</v>
      </c>
      <c r="C10" s="20" t="s">
        <v>6818</v>
      </c>
      <c r="D10" s="22" t="s">
        <v>6811</v>
      </c>
      <c r="E10" s="20" t="s">
        <v>6842</v>
      </c>
      <c r="F10" s="20" t="s">
        <v>6843</v>
      </c>
      <c r="G10" s="20"/>
      <c r="H10" s="20"/>
      <c r="I10" s="20" t="s">
        <v>6844</v>
      </c>
      <c r="J10" s="20" t="s">
        <v>6845</v>
      </c>
      <c r="K10" s="20" t="s">
        <v>2616</v>
      </c>
      <c r="L10" s="20" t="s">
        <v>6841</v>
      </c>
    </row>
    <row r="11">
      <c r="A11" s="20" t="s">
        <v>6846</v>
      </c>
      <c r="B11" s="21">
        <v>46028.66653935185</v>
      </c>
      <c r="C11" s="20" t="s">
        <v>6817</v>
      </c>
      <c r="D11" s="22" t="s">
        <v>6581</v>
      </c>
      <c r="E11" s="20" t="s">
        <v>6818</v>
      </c>
      <c r="F11" s="22" t="s">
        <v>6811</v>
      </c>
      <c r="G11" s="20"/>
      <c r="H11" s="20"/>
      <c r="I11" s="20" t="s">
        <v>6847</v>
      </c>
      <c r="J11" s="20" t="s">
        <v>6848</v>
      </c>
      <c r="K11" s="20" t="s">
        <v>2616</v>
      </c>
      <c r="L11" s="20" t="s">
        <v>6841</v>
      </c>
    </row>
    <row r="12">
      <c r="A12" s="20" t="s">
        <v>6849</v>
      </c>
      <c r="B12" s="21">
        <v>46028.66726851852</v>
      </c>
      <c r="C12" s="20" t="s">
        <v>6818</v>
      </c>
      <c r="D12" s="22" t="s">
        <v>6811</v>
      </c>
      <c r="E12" s="20" t="s">
        <v>6817</v>
      </c>
      <c r="F12" s="22" t="s">
        <v>6581</v>
      </c>
      <c r="G12" s="20"/>
      <c r="H12" s="20"/>
      <c r="I12" s="20" t="s">
        <v>6847</v>
      </c>
      <c r="J12" s="20" t="s">
        <v>6850</v>
      </c>
      <c r="K12" s="20" t="s">
        <v>2616</v>
      </c>
      <c r="L12" s="20" t="s">
        <v>6841</v>
      </c>
    </row>
    <row r="13">
      <c r="A13" s="20" t="s">
        <v>6851</v>
      </c>
      <c r="B13" s="21">
        <v>46028.56296296296</v>
      </c>
      <c r="C13" s="20" t="s">
        <v>6818</v>
      </c>
      <c r="D13" s="22" t="s">
        <v>6811</v>
      </c>
      <c r="E13" s="20" t="s">
        <v>6852</v>
      </c>
      <c r="F13" s="22" t="s">
        <v>6579</v>
      </c>
      <c r="G13" s="20" t="s">
        <v>6853</v>
      </c>
      <c r="H13" s="22" t="s">
        <v>6811</v>
      </c>
      <c r="I13" s="20" t="s">
        <v>6854</v>
      </c>
      <c r="J13" s="20" t="s">
        <v>6855</v>
      </c>
      <c r="K13" s="20" t="s">
        <v>5334</v>
      </c>
      <c r="L13" s="20" t="s">
        <v>6851</v>
      </c>
    </row>
    <row r="14">
      <c r="A14" s="20" t="s">
        <v>6856</v>
      </c>
      <c r="B14" s="21">
        <v>46028.56292824074</v>
      </c>
      <c r="C14" s="20" t="s">
        <v>6818</v>
      </c>
      <c r="D14" s="22" t="s">
        <v>6811</v>
      </c>
      <c r="E14" s="20" t="s">
        <v>6857</v>
      </c>
      <c r="F14" s="22" t="s">
        <v>6579</v>
      </c>
      <c r="G14" s="20" t="s">
        <v>6853</v>
      </c>
      <c r="H14" s="22" t="s">
        <v>6811</v>
      </c>
      <c r="I14" s="20" t="s">
        <v>6854</v>
      </c>
      <c r="J14" s="20" t="s">
        <v>6858</v>
      </c>
      <c r="K14" s="20" t="s">
        <v>5334</v>
      </c>
      <c r="L14" s="20" t="s">
        <v>6856</v>
      </c>
    </row>
    <row r="15">
      <c r="A15" s="20" t="s">
        <v>6859</v>
      </c>
      <c r="B15" s="21">
        <v>46028.56291666666</v>
      </c>
      <c r="C15" s="20" t="s">
        <v>6818</v>
      </c>
      <c r="D15" s="22" t="s">
        <v>6811</v>
      </c>
      <c r="E15" s="20" t="s">
        <v>6860</v>
      </c>
      <c r="F15" s="22" t="s">
        <v>6579</v>
      </c>
      <c r="G15" s="20" t="s">
        <v>6853</v>
      </c>
      <c r="H15" s="22" t="s">
        <v>6811</v>
      </c>
      <c r="I15" s="20" t="s">
        <v>6854</v>
      </c>
      <c r="J15" s="20" t="s">
        <v>6861</v>
      </c>
      <c r="K15" s="20" t="s">
        <v>5334</v>
      </c>
      <c r="L15" s="20" t="s">
        <v>6859</v>
      </c>
    </row>
    <row r="16">
      <c r="A16" s="20" t="s">
        <v>6862</v>
      </c>
      <c r="B16" s="21">
        <v>46028.56291666666</v>
      </c>
      <c r="C16" s="20" t="s">
        <v>6818</v>
      </c>
      <c r="D16" s="22" t="s">
        <v>6811</v>
      </c>
      <c r="E16" s="20" t="s">
        <v>6863</v>
      </c>
      <c r="F16" s="22" t="s">
        <v>6581</v>
      </c>
      <c r="G16" s="20" t="s">
        <v>6853</v>
      </c>
      <c r="H16" s="22" t="s">
        <v>6811</v>
      </c>
      <c r="I16" s="20" t="s">
        <v>6854</v>
      </c>
      <c r="J16" s="20" t="s">
        <v>6864</v>
      </c>
      <c r="K16" s="20" t="s">
        <v>2616</v>
      </c>
      <c r="L16" s="20" t="s">
        <v>6862</v>
      </c>
    </row>
    <row r="17">
      <c r="A17" s="20" t="s">
        <v>6865</v>
      </c>
      <c r="B17" s="21">
        <v>46028.56291666666</v>
      </c>
      <c r="C17" s="20" t="s">
        <v>6818</v>
      </c>
      <c r="D17" s="22" t="s">
        <v>6811</v>
      </c>
      <c r="E17" s="20" t="s">
        <v>6866</v>
      </c>
      <c r="F17" s="22" t="s">
        <v>6578</v>
      </c>
      <c r="G17" s="20" t="s">
        <v>6853</v>
      </c>
      <c r="H17" s="22" t="s">
        <v>6811</v>
      </c>
      <c r="I17" s="20" t="s">
        <v>6854</v>
      </c>
      <c r="J17" s="20" t="s">
        <v>6867</v>
      </c>
      <c r="K17" s="20" t="s">
        <v>5763</v>
      </c>
      <c r="L17" s="20" t="s">
        <v>6865</v>
      </c>
    </row>
    <row r="18">
      <c r="A18" s="20" t="s">
        <v>6868</v>
      </c>
      <c r="B18" s="21">
        <v>46028.56290509259</v>
      </c>
      <c r="C18" s="20" t="s">
        <v>6818</v>
      </c>
      <c r="D18" s="22" t="s">
        <v>6811</v>
      </c>
      <c r="E18" s="20" t="s">
        <v>6869</v>
      </c>
      <c r="F18" s="22" t="s">
        <v>6579</v>
      </c>
      <c r="G18" s="20" t="s">
        <v>6853</v>
      </c>
      <c r="H18" s="22" t="s">
        <v>6811</v>
      </c>
      <c r="I18" s="20" t="s">
        <v>6854</v>
      </c>
      <c r="J18" s="20" t="s">
        <v>6870</v>
      </c>
      <c r="K18" s="20" t="s">
        <v>5334</v>
      </c>
      <c r="L18" s="20" t="s">
        <v>6868</v>
      </c>
    </row>
    <row r="19">
      <c r="A19" s="20" t="s">
        <v>6871</v>
      </c>
      <c r="B19" s="21">
        <v>46028.56289351852</v>
      </c>
      <c r="C19" s="20" t="s">
        <v>6818</v>
      </c>
      <c r="D19" s="22" t="s">
        <v>6811</v>
      </c>
      <c r="E19" s="20" t="s">
        <v>6872</v>
      </c>
      <c r="F19" s="22" t="s">
        <v>6873</v>
      </c>
      <c r="G19" s="20" t="s">
        <v>6853</v>
      </c>
      <c r="H19" s="22" t="s">
        <v>6811</v>
      </c>
      <c r="I19" s="20" t="s">
        <v>6854</v>
      </c>
      <c r="J19" s="20" t="s">
        <v>6874</v>
      </c>
      <c r="K19" s="20" t="s">
        <v>2309</v>
      </c>
      <c r="L19" s="20" t="s">
        <v>6871</v>
      </c>
    </row>
    <row r="20">
      <c r="A20" s="20" t="s">
        <v>6875</v>
      </c>
      <c r="B20" s="21">
        <v>46028.56289351852</v>
      </c>
      <c r="C20" s="20" t="s">
        <v>6818</v>
      </c>
      <c r="D20" s="22" t="s">
        <v>6811</v>
      </c>
      <c r="E20" s="20" t="s">
        <v>6876</v>
      </c>
      <c r="F20" s="22" t="s">
        <v>6581</v>
      </c>
      <c r="G20" s="20" t="s">
        <v>6853</v>
      </c>
      <c r="H20" s="22" t="s">
        <v>6811</v>
      </c>
      <c r="I20" s="20" t="s">
        <v>6854</v>
      </c>
      <c r="J20" s="20" t="s">
        <v>6864</v>
      </c>
      <c r="K20" s="20" t="s">
        <v>2616</v>
      </c>
      <c r="L20" s="20" t="s">
        <v>6875</v>
      </c>
    </row>
    <row r="21">
      <c r="A21" s="20" t="s">
        <v>6877</v>
      </c>
      <c r="B21" s="21">
        <v>46028.56289351852</v>
      </c>
      <c r="C21" s="20" t="s">
        <v>6818</v>
      </c>
      <c r="D21" s="22" t="s">
        <v>6811</v>
      </c>
      <c r="E21" s="20" t="s">
        <v>6878</v>
      </c>
      <c r="F21" s="22" t="s">
        <v>6581</v>
      </c>
      <c r="G21" s="20" t="s">
        <v>6853</v>
      </c>
      <c r="H21" s="22" t="s">
        <v>6811</v>
      </c>
      <c r="I21" s="20" t="s">
        <v>6854</v>
      </c>
      <c r="J21" s="20" t="s">
        <v>6864</v>
      </c>
      <c r="K21" s="20" t="s">
        <v>2616</v>
      </c>
      <c r="L21" s="20" t="s">
        <v>6877</v>
      </c>
    </row>
    <row r="22">
      <c r="A22" s="20" t="s">
        <v>6879</v>
      </c>
      <c r="B22" s="21">
        <v>46023.385462962964</v>
      </c>
      <c r="C22" s="20" t="s">
        <v>6810</v>
      </c>
      <c r="D22" s="22" t="s">
        <v>6811</v>
      </c>
      <c r="E22" s="20" t="s">
        <v>6880</v>
      </c>
      <c r="F22" s="20" t="s">
        <v>6881</v>
      </c>
      <c r="G22" s="20"/>
      <c r="H22" s="20"/>
      <c r="I22" s="20" t="s">
        <v>6882</v>
      </c>
      <c r="J22" s="20" t="s">
        <v>6883</v>
      </c>
      <c r="K22" s="20" t="s">
        <v>5763</v>
      </c>
      <c r="L22" s="20" t="s">
        <v>6879</v>
      </c>
    </row>
    <row r="23">
      <c r="A23" s="20" t="s">
        <v>6884</v>
      </c>
      <c r="B23" s="21">
        <v>46021.385462962964</v>
      </c>
      <c r="C23" s="20" t="s">
        <v>6810</v>
      </c>
      <c r="D23" s="22" t="s">
        <v>6811</v>
      </c>
      <c r="E23" s="20" t="s">
        <v>6885</v>
      </c>
      <c r="F23" s="20" t="s">
        <v>6886</v>
      </c>
      <c r="G23" s="20"/>
      <c r="H23" s="20"/>
      <c r="I23" s="20" t="s">
        <v>6887</v>
      </c>
      <c r="J23" s="20" t="s">
        <v>6888</v>
      </c>
      <c r="K23" s="20" t="s">
        <v>2616</v>
      </c>
      <c r="L23" s="20" t="s">
        <v>6884</v>
      </c>
    </row>
    <row r="24">
      <c r="A24" s="20" t="s">
        <v>6889</v>
      </c>
      <c r="B24" s="21">
        <v>46021.385462962964</v>
      </c>
      <c r="C24" s="20" t="s">
        <v>6810</v>
      </c>
      <c r="D24" s="22" t="s">
        <v>6811</v>
      </c>
      <c r="E24" s="20" t="s">
        <v>6890</v>
      </c>
      <c r="F24" s="20" t="s">
        <v>6891</v>
      </c>
      <c r="G24" s="20"/>
      <c r="H24" s="20"/>
      <c r="I24" s="20" t="s">
        <v>6892</v>
      </c>
      <c r="J24" s="20" t="s">
        <v>6893</v>
      </c>
      <c r="K24" s="20" t="s">
        <v>2309</v>
      </c>
      <c r="L24" s="20" t="s">
        <v>6889</v>
      </c>
    </row>
    <row r="25">
      <c r="A25" s="20" t="s">
        <v>6894</v>
      </c>
      <c r="B25" s="21">
        <v>46013.43855324074</v>
      </c>
      <c r="C25" s="20" t="s">
        <v>6817</v>
      </c>
      <c r="D25" s="22" t="s">
        <v>6581</v>
      </c>
      <c r="E25" s="20" t="s">
        <v>6818</v>
      </c>
      <c r="F25" s="22" t="s">
        <v>6811</v>
      </c>
      <c r="G25" s="20"/>
      <c r="H25" s="20"/>
      <c r="I25" s="20" t="s">
        <v>6895</v>
      </c>
      <c r="J25" s="20" t="s">
        <v>6820</v>
      </c>
      <c r="K25" s="20" t="s">
        <v>2616</v>
      </c>
      <c r="L25" s="20" t="s">
        <v>6894</v>
      </c>
    </row>
    <row r="26">
      <c r="A26" s="20" t="s">
        <v>6896</v>
      </c>
      <c r="B26" s="21">
        <v>46012.76118055556</v>
      </c>
      <c r="C26" s="20" t="s">
        <v>6897</v>
      </c>
      <c r="D26" s="22" t="s">
        <v>6811</v>
      </c>
      <c r="E26" s="20" t="s">
        <v>6898</v>
      </c>
      <c r="F26" s="20" t="s">
        <v>6899</v>
      </c>
      <c r="G26" s="20" t="s">
        <v>6900</v>
      </c>
      <c r="H26" s="22" t="s">
        <v>6579</v>
      </c>
      <c r="I26" s="20" t="s">
        <v>6901</v>
      </c>
      <c r="J26" s="20" t="s">
        <v>6902</v>
      </c>
      <c r="K26" s="20" t="s">
        <v>5334</v>
      </c>
      <c r="L26" s="20" t="s">
        <v>6896</v>
      </c>
    </row>
    <row r="27">
      <c r="A27" s="20" t="s">
        <v>6903</v>
      </c>
      <c r="B27" s="21">
        <v>46010.63417824074</v>
      </c>
      <c r="C27" s="20" t="s">
        <v>6897</v>
      </c>
      <c r="D27" s="22" t="s">
        <v>6811</v>
      </c>
      <c r="E27" s="20" t="s">
        <v>6904</v>
      </c>
      <c r="F27" s="20" t="s">
        <v>6813</v>
      </c>
      <c r="G27" s="20"/>
      <c r="H27" s="20"/>
      <c r="I27" s="20" t="s">
        <v>6905</v>
      </c>
      <c r="J27" s="20" t="s">
        <v>6906</v>
      </c>
      <c r="K27" s="20" t="s">
        <v>5334</v>
      </c>
      <c r="L27" s="20" t="s">
        <v>6903</v>
      </c>
    </row>
    <row r="28">
      <c r="A28" s="20" t="s">
        <v>6907</v>
      </c>
      <c r="B28" s="21">
        <v>46009.66936342593</v>
      </c>
      <c r="C28" s="20" t="s">
        <v>6908</v>
      </c>
      <c r="D28" s="22" t="s">
        <v>6811</v>
      </c>
      <c r="E28" s="20" t="s">
        <v>6909</v>
      </c>
      <c r="F28" s="22" t="s">
        <v>6579</v>
      </c>
      <c r="G28" s="20" t="s">
        <v>6910</v>
      </c>
      <c r="H28" s="22" t="s">
        <v>6811</v>
      </c>
      <c r="I28" s="20" t="s">
        <v>6911</v>
      </c>
      <c r="J28" s="20" t="s">
        <v>6912</v>
      </c>
      <c r="K28" s="20" t="s">
        <v>5334</v>
      </c>
      <c r="L28" s="20" t="s">
        <v>6907</v>
      </c>
    </row>
    <row r="29">
      <c r="A29" s="20" t="s">
        <v>6913</v>
      </c>
      <c r="B29" s="21">
        <v>46009.71965277778</v>
      </c>
      <c r="C29" s="20" t="s">
        <v>6909</v>
      </c>
      <c r="D29" s="22" t="s">
        <v>6579</v>
      </c>
      <c r="E29" s="20" t="s">
        <v>6908</v>
      </c>
      <c r="F29" s="22" t="s">
        <v>6811</v>
      </c>
      <c r="G29" s="20" t="s">
        <v>6910</v>
      </c>
      <c r="H29" s="22" t="s">
        <v>6811</v>
      </c>
      <c r="I29" s="20" t="s">
        <v>6914</v>
      </c>
      <c r="J29" s="20" t="s">
        <v>6915</v>
      </c>
      <c r="K29" s="20" t="s">
        <v>5334</v>
      </c>
      <c r="L29" s="20" t="s">
        <v>6907</v>
      </c>
    </row>
    <row r="30">
      <c r="A30" s="20" t="s">
        <v>6916</v>
      </c>
      <c r="B30" s="21">
        <v>46009.728217592594</v>
      </c>
      <c r="C30" s="20" t="s">
        <v>6908</v>
      </c>
      <c r="D30" s="22" t="s">
        <v>6811</v>
      </c>
      <c r="E30" s="20" t="s">
        <v>6909</v>
      </c>
      <c r="F30" s="22" t="s">
        <v>6579</v>
      </c>
      <c r="G30" s="20" t="s">
        <v>6910</v>
      </c>
      <c r="H30" s="22" t="s">
        <v>6811</v>
      </c>
      <c r="I30" s="20" t="s">
        <v>6911</v>
      </c>
      <c r="J30" s="20" t="s">
        <v>6917</v>
      </c>
      <c r="K30" s="20" t="s">
        <v>5334</v>
      </c>
      <c r="L30" s="20" t="s">
        <v>6907</v>
      </c>
    </row>
    <row r="31">
      <c r="A31" s="20" t="s">
        <v>6918</v>
      </c>
      <c r="B31" s="21">
        <v>46009.73695601852</v>
      </c>
      <c r="C31" s="20" t="s">
        <v>6909</v>
      </c>
      <c r="D31" s="22" t="s">
        <v>6579</v>
      </c>
      <c r="E31" s="20" t="s">
        <v>6908</v>
      </c>
      <c r="F31" s="22" t="s">
        <v>6811</v>
      </c>
      <c r="G31" s="20" t="s">
        <v>6910</v>
      </c>
      <c r="H31" s="22" t="s">
        <v>6811</v>
      </c>
      <c r="I31" s="20" t="s">
        <v>6914</v>
      </c>
      <c r="J31" s="20" t="s">
        <v>6919</v>
      </c>
      <c r="K31" s="20" t="s">
        <v>5334</v>
      </c>
      <c r="L31" s="20" t="s">
        <v>6907</v>
      </c>
    </row>
    <row r="32">
      <c r="A32" s="20" t="s">
        <v>6920</v>
      </c>
      <c r="B32" s="21">
        <v>46010.61077546296</v>
      </c>
      <c r="C32" s="20" t="s">
        <v>6908</v>
      </c>
      <c r="D32" s="22" t="s">
        <v>6811</v>
      </c>
      <c r="E32" s="20" t="s">
        <v>6909</v>
      </c>
      <c r="F32" s="22" t="s">
        <v>6579</v>
      </c>
      <c r="G32" s="20" t="s">
        <v>6910</v>
      </c>
      <c r="H32" s="22" t="s">
        <v>6811</v>
      </c>
      <c r="I32" s="20" t="s">
        <v>6911</v>
      </c>
      <c r="J32" s="20" t="s">
        <v>6921</v>
      </c>
      <c r="K32" s="20" t="s">
        <v>5334</v>
      </c>
      <c r="L32" s="20" t="s">
        <v>6907</v>
      </c>
    </row>
    <row r="33">
      <c r="A33" s="20" t="s">
        <v>6922</v>
      </c>
      <c r="B33" s="21">
        <v>46029.732210648144</v>
      </c>
      <c r="C33" s="20" t="s">
        <v>6909</v>
      </c>
      <c r="D33" s="22" t="s">
        <v>6579</v>
      </c>
      <c r="E33" s="20" t="s">
        <v>6908</v>
      </c>
      <c r="F33" s="22" t="s">
        <v>6811</v>
      </c>
      <c r="G33" s="20" t="s">
        <v>6910</v>
      </c>
      <c r="H33" s="22" t="s">
        <v>6811</v>
      </c>
      <c r="I33" s="20" t="s">
        <v>6911</v>
      </c>
      <c r="J33" s="20" t="s">
        <v>6923</v>
      </c>
      <c r="K33" s="20" t="s">
        <v>5334</v>
      </c>
      <c r="L33" s="20" t="s">
        <v>6907</v>
      </c>
    </row>
    <row r="34">
      <c r="A34" s="20" t="s">
        <v>6924</v>
      </c>
      <c r="B34" s="21">
        <v>46034.59107638889</v>
      </c>
      <c r="C34" s="20" t="s">
        <v>6908</v>
      </c>
      <c r="D34" s="22" t="s">
        <v>6811</v>
      </c>
      <c r="E34" s="20" t="s">
        <v>6909</v>
      </c>
      <c r="F34" s="22" t="s">
        <v>6579</v>
      </c>
      <c r="G34" s="20" t="s">
        <v>6925</v>
      </c>
      <c r="H34" s="22" t="s">
        <v>6811</v>
      </c>
      <c r="I34" s="20" t="s">
        <v>6911</v>
      </c>
      <c r="J34" s="20" t="s">
        <v>6926</v>
      </c>
      <c r="K34" s="20" t="s">
        <v>5334</v>
      </c>
      <c r="L34" s="20" t="s">
        <v>6907</v>
      </c>
    </row>
    <row r="35">
      <c r="A35" s="20" t="s">
        <v>6927</v>
      </c>
      <c r="B35" s="21">
        <v>46009.60724537037</v>
      </c>
      <c r="C35" s="20" t="s">
        <v>6817</v>
      </c>
      <c r="D35" s="22" t="s">
        <v>6581</v>
      </c>
      <c r="E35" s="20" t="s">
        <v>6818</v>
      </c>
      <c r="F35" s="22" t="s">
        <v>6811</v>
      </c>
      <c r="G35" s="20"/>
      <c r="H35" s="20"/>
      <c r="I35" s="20" t="s">
        <v>6895</v>
      </c>
      <c r="J35" s="20" t="s">
        <v>6820</v>
      </c>
      <c r="K35" s="20" t="s">
        <v>2616</v>
      </c>
      <c r="L35" s="20" t="s">
        <v>6927</v>
      </c>
    </row>
    <row r="36">
      <c r="A36" s="20" t="s">
        <v>6928</v>
      </c>
      <c r="B36" s="21">
        <v>46009.46814814815</v>
      </c>
      <c r="C36" s="20" t="s">
        <v>6817</v>
      </c>
      <c r="D36" s="22" t="s">
        <v>6581</v>
      </c>
      <c r="E36" s="20" t="s">
        <v>6929</v>
      </c>
      <c r="F36" s="22" t="s">
        <v>6811</v>
      </c>
      <c r="G36" s="20" t="s">
        <v>6930</v>
      </c>
      <c r="H36" s="20" t="s">
        <v>6886</v>
      </c>
      <c r="I36" s="20" t="s">
        <v>6931</v>
      </c>
      <c r="J36" s="20" t="s">
        <v>6932</v>
      </c>
      <c r="K36" s="20" t="s">
        <v>2616</v>
      </c>
      <c r="L36" s="20" t="s">
        <v>6928</v>
      </c>
    </row>
    <row r="37">
      <c r="A37" s="20" t="s">
        <v>6933</v>
      </c>
      <c r="B37" s="21">
        <v>46009.46853009259</v>
      </c>
      <c r="C37" s="20" t="s">
        <v>6934</v>
      </c>
      <c r="D37" s="22" t="s">
        <v>6811</v>
      </c>
      <c r="E37" s="20" t="s">
        <v>6876</v>
      </c>
      <c r="F37" s="22" t="s">
        <v>6581</v>
      </c>
      <c r="G37" s="20" t="s">
        <v>6935</v>
      </c>
      <c r="H37" s="20" t="s">
        <v>6886</v>
      </c>
      <c r="I37" s="20" t="s">
        <v>6936</v>
      </c>
      <c r="J37" s="20" t="s">
        <v>6937</v>
      </c>
      <c r="K37" s="20" t="s">
        <v>2616</v>
      </c>
      <c r="L37" s="20" t="s">
        <v>6928</v>
      </c>
    </row>
    <row r="38">
      <c r="A38" s="20" t="s">
        <v>6938</v>
      </c>
      <c r="B38" s="21">
        <v>46009.47458333333</v>
      </c>
      <c r="C38" s="20" t="s">
        <v>6897</v>
      </c>
      <c r="D38" s="22" t="s">
        <v>6811</v>
      </c>
      <c r="E38" s="20" t="s">
        <v>6817</v>
      </c>
      <c r="F38" s="22" t="s">
        <v>6581</v>
      </c>
      <c r="G38" s="20" t="s">
        <v>6939</v>
      </c>
      <c r="H38" s="20" t="s">
        <v>6886</v>
      </c>
      <c r="I38" s="20" t="s">
        <v>6940</v>
      </c>
      <c r="J38" s="20" t="s">
        <v>6941</v>
      </c>
      <c r="K38" s="20" t="s">
        <v>2616</v>
      </c>
      <c r="L38" s="20" t="s">
        <v>6928</v>
      </c>
    </row>
    <row r="39">
      <c r="A39" s="20" t="s">
        <v>6942</v>
      </c>
      <c r="B39" s="21">
        <v>46009.479999999996</v>
      </c>
      <c r="C39" s="20" t="s">
        <v>6817</v>
      </c>
      <c r="D39" s="22" t="s">
        <v>6581</v>
      </c>
      <c r="E39" s="20" t="s">
        <v>6897</v>
      </c>
      <c r="F39" s="22" t="s">
        <v>6811</v>
      </c>
      <c r="G39" s="20" t="s">
        <v>6939</v>
      </c>
      <c r="H39" s="20" t="s">
        <v>6886</v>
      </c>
      <c r="I39" s="20" t="s">
        <v>6943</v>
      </c>
      <c r="J39" s="20" t="s">
        <v>6944</v>
      </c>
      <c r="K39" s="20" t="s">
        <v>2616</v>
      </c>
      <c r="L39" s="20" t="s">
        <v>6928</v>
      </c>
    </row>
    <row r="40">
      <c r="A40" s="20" t="s">
        <v>6945</v>
      </c>
      <c r="B40" s="21">
        <v>46009.54300925926</v>
      </c>
      <c r="C40" s="20" t="s">
        <v>6897</v>
      </c>
      <c r="D40" s="22" t="s">
        <v>6811</v>
      </c>
      <c r="E40" s="20" t="s">
        <v>6817</v>
      </c>
      <c r="F40" s="22" t="s">
        <v>6581</v>
      </c>
      <c r="G40" s="20" t="s">
        <v>6939</v>
      </c>
      <c r="H40" s="20" t="s">
        <v>6886</v>
      </c>
      <c r="I40" s="20" t="s">
        <v>6946</v>
      </c>
      <c r="J40" s="20" t="s">
        <v>6947</v>
      </c>
      <c r="K40" s="20" t="s">
        <v>2616</v>
      </c>
      <c r="L40" s="20" t="s">
        <v>6928</v>
      </c>
    </row>
    <row r="41">
      <c r="A41" s="20" t="s">
        <v>6948</v>
      </c>
      <c r="B41" s="21">
        <v>46010.21734953704</v>
      </c>
      <c r="C41" s="20" t="s">
        <v>6949</v>
      </c>
      <c r="D41" s="22" t="s">
        <v>6811</v>
      </c>
      <c r="E41" s="20" t="s">
        <v>6950</v>
      </c>
      <c r="F41" s="22" t="s">
        <v>6811</v>
      </c>
      <c r="G41" s="20" t="s">
        <v>6951</v>
      </c>
      <c r="H41" s="20" t="s">
        <v>6843</v>
      </c>
      <c r="I41" s="20" t="s">
        <v>6936</v>
      </c>
      <c r="J41" s="20" t="s">
        <v>6952</v>
      </c>
      <c r="K41" s="20" t="s">
        <v>2616</v>
      </c>
      <c r="L41" s="20" t="s">
        <v>6928</v>
      </c>
    </row>
    <row r="42">
      <c r="A42" s="20" t="s">
        <v>6953</v>
      </c>
      <c r="B42" s="21">
        <v>46010.21737268519</v>
      </c>
      <c r="C42" s="20" t="s">
        <v>6949</v>
      </c>
      <c r="D42" s="22" t="s">
        <v>6811</v>
      </c>
      <c r="E42" s="20" t="s">
        <v>6876</v>
      </c>
      <c r="F42" s="22" t="s">
        <v>6581</v>
      </c>
      <c r="G42" s="20" t="s">
        <v>6935</v>
      </c>
      <c r="H42" s="20" t="s">
        <v>6886</v>
      </c>
      <c r="I42" s="20" t="s">
        <v>6936</v>
      </c>
      <c r="J42" s="20" t="s">
        <v>6954</v>
      </c>
      <c r="K42" s="20" t="s">
        <v>2616</v>
      </c>
      <c r="L42" s="20" t="s">
        <v>6928</v>
      </c>
    </row>
    <row r="43">
      <c r="A43" s="20" t="s">
        <v>6955</v>
      </c>
      <c r="B43" s="21">
        <v>46010.28768518519</v>
      </c>
      <c r="C43" s="20" t="s">
        <v>6817</v>
      </c>
      <c r="D43" s="22" t="s">
        <v>6581</v>
      </c>
      <c r="E43" s="20" t="s">
        <v>6956</v>
      </c>
      <c r="F43" s="22" t="s">
        <v>6811</v>
      </c>
      <c r="G43" s="20" t="s">
        <v>6957</v>
      </c>
      <c r="H43" s="20" t="s">
        <v>6843</v>
      </c>
      <c r="I43" s="20" t="s">
        <v>6958</v>
      </c>
      <c r="J43" s="20" t="s">
        <v>6959</v>
      </c>
      <c r="K43" s="20" t="s">
        <v>2616</v>
      </c>
      <c r="L43" s="20" t="s">
        <v>6928</v>
      </c>
    </row>
    <row r="44">
      <c r="A44" s="20" t="s">
        <v>6960</v>
      </c>
      <c r="B44" s="21">
        <v>46010.61350694444</v>
      </c>
      <c r="C44" s="20" t="s">
        <v>6949</v>
      </c>
      <c r="D44" s="22" t="s">
        <v>6811</v>
      </c>
      <c r="E44" s="20" t="s">
        <v>6876</v>
      </c>
      <c r="F44" s="22" t="s">
        <v>6581</v>
      </c>
      <c r="G44" s="20" t="s">
        <v>6961</v>
      </c>
      <c r="H44" s="20" t="s">
        <v>6886</v>
      </c>
      <c r="I44" s="20" t="s">
        <v>6936</v>
      </c>
      <c r="J44" s="20" t="s">
        <v>6962</v>
      </c>
      <c r="K44" s="20" t="s">
        <v>2616</v>
      </c>
      <c r="L44" s="20" t="s">
        <v>6928</v>
      </c>
    </row>
    <row r="45">
      <c r="A45" s="20" t="s">
        <v>6963</v>
      </c>
      <c r="B45" s="21">
        <v>46010.613530092596</v>
      </c>
      <c r="C45" s="20" t="s">
        <v>6949</v>
      </c>
      <c r="D45" s="22" t="s">
        <v>6811</v>
      </c>
      <c r="E45" s="20" t="s">
        <v>6876</v>
      </c>
      <c r="F45" s="22" t="s">
        <v>6581</v>
      </c>
      <c r="G45" s="20" t="s">
        <v>6935</v>
      </c>
      <c r="H45" s="20" t="s">
        <v>6886</v>
      </c>
      <c r="I45" s="20" t="s">
        <v>6936</v>
      </c>
      <c r="J45" s="20" t="s">
        <v>6964</v>
      </c>
      <c r="K45" s="20" t="s">
        <v>2616</v>
      </c>
      <c r="L45" s="20" t="s">
        <v>6928</v>
      </c>
    </row>
    <row r="46">
      <c r="A46" s="20" t="s">
        <v>6965</v>
      </c>
      <c r="B46" s="21">
        <v>46013.58758101852</v>
      </c>
      <c r="C46" s="20" t="s">
        <v>6817</v>
      </c>
      <c r="D46" s="22" t="s">
        <v>6581</v>
      </c>
      <c r="E46" s="20" t="s">
        <v>6949</v>
      </c>
      <c r="F46" s="22" t="s">
        <v>6811</v>
      </c>
      <c r="G46" s="20" t="s">
        <v>6966</v>
      </c>
      <c r="H46" s="20" t="s">
        <v>6886</v>
      </c>
      <c r="I46" s="20" t="s">
        <v>6958</v>
      </c>
      <c r="J46" s="20" t="s">
        <v>6967</v>
      </c>
      <c r="K46" s="20" t="s">
        <v>2616</v>
      </c>
      <c r="L46" s="20" t="s">
        <v>6928</v>
      </c>
    </row>
    <row r="47">
      <c r="A47" s="20" t="s">
        <v>6968</v>
      </c>
      <c r="B47" s="21">
        <v>46013.58809027778</v>
      </c>
      <c r="C47" s="20" t="s">
        <v>6934</v>
      </c>
      <c r="D47" s="22" t="s">
        <v>6811</v>
      </c>
      <c r="E47" s="20" t="s">
        <v>6876</v>
      </c>
      <c r="F47" s="22" t="s">
        <v>6581</v>
      </c>
      <c r="G47" s="20" t="s">
        <v>6935</v>
      </c>
      <c r="H47" s="20" t="s">
        <v>6886</v>
      </c>
      <c r="I47" s="20" t="s">
        <v>6969</v>
      </c>
      <c r="J47" s="20" t="s">
        <v>6970</v>
      </c>
      <c r="K47" s="20" t="s">
        <v>2616</v>
      </c>
      <c r="L47" s="20" t="s">
        <v>6928</v>
      </c>
    </row>
    <row r="48">
      <c r="A48" s="20" t="s">
        <v>6971</v>
      </c>
      <c r="B48" s="21">
        <v>46014.13791666667</v>
      </c>
      <c r="C48" s="20" t="s">
        <v>6949</v>
      </c>
      <c r="D48" s="22" t="s">
        <v>6811</v>
      </c>
      <c r="E48" s="20" t="s">
        <v>6876</v>
      </c>
      <c r="F48" s="22" t="s">
        <v>6581</v>
      </c>
      <c r="G48" s="20" t="s">
        <v>6961</v>
      </c>
      <c r="H48" s="20" t="s">
        <v>6886</v>
      </c>
      <c r="I48" s="20" t="s">
        <v>6969</v>
      </c>
      <c r="J48" s="20" t="s">
        <v>6952</v>
      </c>
      <c r="K48" s="20" t="s">
        <v>2616</v>
      </c>
      <c r="L48" s="20" t="s">
        <v>6928</v>
      </c>
    </row>
    <row r="49">
      <c r="A49" s="20" t="s">
        <v>6972</v>
      </c>
      <c r="B49" s="21">
        <v>46014.13795138889</v>
      </c>
      <c r="C49" s="20" t="s">
        <v>6949</v>
      </c>
      <c r="D49" s="22" t="s">
        <v>6811</v>
      </c>
      <c r="E49" s="20" t="s">
        <v>6876</v>
      </c>
      <c r="F49" s="22" t="s">
        <v>6581</v>
      </c>
      <c r="G49" s="20" t="s">
        <v>6935</v>
      </c>
      <c r="H49" s="20" t="s">
        <v>6886</v>
      </c>
      <c r="I49" s="20" t="s">
        <v>6969</v>
      </c>
      <c r="J49" s="20" t="s">
        <v>6973</v>
      </c>
      <c r="K49" s="20" t="s">
        <v>2616</v>
      </c>
      <c r="L49" s="20" t="s">
        <v>6928</v>
      </c>
    </row>
    <row r="50">
      <c r="A50" s="20" t="s">
        <v>6974</v>
      </c>
      <c r="B50" s="21">
        <v>46014.208923611106</v>
      </c>
      <c r="C50" s="20" t="s">
        <v>6949</v>
      </c>
      <c r="D50" s="22" t="s">
        <v>6811</v>
      </c>
      <c r="E50" s="20" t="s">
        <v>6876</v>
      </c>
      <c r="F50" s="22" t="s">
        <v>6581</v>
      </c>
      <c r="G50" s="20" t="s">
        <v>6961</v>
      </c>
      <c r="H50" s="20" t="s">
        <v>6886</v>
      </c>
      <c r="I50" s="20" t="s">
        <v>6969</v>
      </c>
      <c r="J50" s="20" t="s">
        <v>6975</v>
      </c>
      <c r="K50" s="20" t="s">
        <v>2616</v>
      </c>
      <c r="L50" s="20" t="s">
        <v>6928</v>
      </c>
    </row>
    <row r="51">
      <c r="A51" s="20" t="s">
        <v>6976</v>
      </c>
      <c r="B51" s="21">
        <v>46014.20895833333</v>
      </c>
      <c r="C51" s="20" t="s">
        <v>6949</v>
      </c>
      <c r="D51" s="22" t="s">
        <v>6811</v>
      </c>
      <c r="E51" s="20" t="s">
        <v>6876</v>
      </c>
      <c r="F51" s="22" t="s">
        <v>6581</v>
      </c>
      <c r="G51" s="20" t="s">
        <v>6935</v>
      </c>
      <c r="H51" s="20" t="s">
        <v>6886</v>
      </c>
      <c r="I51" s="20" t="s">
        <v>6969</v>
      </c>
      <c r="J51" s="20" t="s">
        <v>6977</v>
      </c>
      <c r="K51" s="20" t="s">
        <v>2616</v>
      </c>
      <c r="L51" s="20" t="s">
        <v>6928</v>
      </c>
    </row>
    <row r="52">
      <c r="A52" s="20" t="s">
        <v>6978</v>
      </c>
      <c r="B52" s="21">
        <v>46014.2987037037</v>
      </c>
      <c r="C52" s="20" t="s">
        <v>6817</v>
      </c>
      <c r="D52" s="22" t="s">
        <v>6581</v>
      </c>
      <c r="E52" s="20" t="s">
        <v>6949</v>
      </c>
      <c r="F52" s="22" t="s">
        <v>6811</v>
      </c>
      <c r="G52" s="20" t="s">
        <v>6979</v>
      </c>
      <c r="H52" s="20" t="s">
        <v>6886</v>
      </c>
      <c r="I52" s="20" t="s">
        <v>6980</v>
      </c>
      <c r="J52" s="20" t="s">
        <v>6981</v>
      </c>
      <c r="K52" s="20" t="s">
        <v>2616</v>
      </c>
      <c r="L52" s="20" t="s">
        <v>6928</v>
      </c>
    </row>
    <row r="53">
      <c r="A53" s="20" t="s">
        <v>6982</v>
      </c>
      <c r="B53" s="21">
        <v>46008.586006944446</v>
      </c>
      <c r="C53" s="20" t="s">
        <v>6983</v>
      </c>
      <c r="D53" s="22" t="s">
        <v>6811</v>
      </c>
      <c r="E53" s="20" t="s">
        <v>6984</v>
      </c>
      <c r="F53" s="22" t="s">
        <v>6985</v>
      </c>
      <c r="G53" s="20" t="s">
        <v>6822</v>
      </c>
      <c r="H53" s="22" t="s">
        <v>6811</v>
      </c>
      <c r="I53" s="20" t="s">
        <v>6986</v>
      </c>
      <c r="J53" s="20" t="s">
        <v>6987</v>
      </c>
      <c r="K53" s="20" t="s">
        <v>2309</v>
      </c>
      <c r="L53" s="20" t="s">
        <v>6982</v>
      </c>
    </row>
    <row r="54">
      <c r="A54" s="20" t="s">
        <v>6988</v>
      </c>
      <c r="B54" s="21">
        <v>46008.592557870375</v>
      </c>
      <c r="C54" s="20" t="s">
        <v>6984</v>
      </c>
      <c r="D54" s="22" t="s">
        <v>6985</v>
      </c>
      <c r="E54" s="20" t="s">
        <v>6983</v>
      </c>
      <c r="F54" s="22" t="s">
        <v>6811</v>
      </c>
      <c r="G54" s="20" t="s">
        <v>6822</v>
      </c>
      <c r="H54" s="22" t="s">
        <v>6811</v>
      </c>
      <c r="I54" s="20" t="s">
        <v>6989</v>
      </c>
      <c r="J54" s="20" t="s">
        <v>6990</v>
      </c>
      <c r="K54" s="20" t="s">
        <v>2309</v>
      </c>
      <c r="L54" s="20" t="s">
        <v>6982</v>
      </c>
    </row>
    <row r="55">
      <c r="A55" s="20" t="s">
        <v>6991</v>
      </c>
      <c r="B55" s="21">
        <v>46008.59732638889</v>
      </c>
      <c r="C55" s="20" t="s">
        <v>6983</v>
      </c>
      <c r="D55" s="22" t="s">
        <v>6811</v>
      </c>
      <c r="E55" s="20" t="s">
        <v>6984</v>
      </c>
      <c r="F55" s="22" t="s">
        <v>6985</v>
      </c>
      <c r="G55" s="20" t="s">
        <v>6822</v>
      </c>
      <c r="H55" s="22" t="s">
        <v>6811</v>
      </c>
      <c r="I55" s="20" t="s">
        <v>6992</v>
      </c>
      <c r="J55" s="20" t="s">
        <v>6993</v>
      </c>
      <c r="K55" s="20" t="s">
        <v>2309</v>
      </c>
      <c r="L55" s="20" t="s">
        <v>6982</v>
      </c>
    </row>
    <row r="56">
      <c r="A56" s="20" t="s">
        <v>6994</v>
      </c>
      <c r="B56" s="21">
        <v>46002.423171296294</v>
      </c>
      <c r="C56" s="20" t="s">
        <v>6817</v>
      </c>
      <c r="D56" s="22" t="s">
        <v>6581</v>
      </c>
      <c r="E56" s="20" t="s">
        <v>6995</v>
      </c>
      <c r="F56" s="22" t="s">
        <v>6811</v>
      </c>
      <c r="G56" s="20"/>
      <c r="H56" s="20"/>
      <c r="I56" s="20" t="s">
        <v>6996</v>
      </c>
      <c r="J56" s="20" t="s">
        <v>6997</v>
      </c>
      <c r="K56" s="20" t="s">
        <v>2616</v>
      </c>
      <c r="L56" s="20" t="s">
        <v>6994</v>
      </c>
    </row>
    <row r="57">
      <c r="A57" s="20" t="s">
        <v>6998</v>
      </c>
      <c r="B57" s="21">
        <v>46002.42878472222</v>
      </c>
      <c r="C57" s="20" t="s">
        <v>6818</v>
      </c>
      <c r="D57" s="22" t="s">
        <v>6811</v>
      </c>
      <c r="E57" s="20" t="s">
        <v>6817</v>
      </c>
      <c r="F57" s="22" t="s">
        <v>6581</v>
      </c>
      <c r="G57" s="20" t="s">
        <v>6897</v>
      </c>
      <c r="H57" s="22" t="s">
        <v>6811</v>
      </c>
      <c r="I57" s="20" t="s">
        <v>6999</v>
      </c>
      <c r="J57" s="20" t="s">
        <v>7000</v>
      </c>
      <c r="K57" s="20" t="s">
        <v>2616</v>
      </c>
      <c r="L57" s="20" t="s">
        <v>6994</v>
      </c>
    </row>
    <row r="58">
      <c r="A58" s="20" t="s">
        <v>7001</v>
      </c>
      <c r="B58" s="21">
        <v>46008.577673611115</v>
      </c>
      <c r="C58" s="20" t="s">
        <v>6897</v>
      </c>
      <c r="D58" s="22" t="s">
        <v>6811</v>
      </c>
      <c r="E58" s="20" t="s">
        <v>7002</v>
      </c>
      <c r="F58" s="22" t="s">
        <v>6811</v>
      </c>
      <c r="G58" s="20" t="s">
        <v>6817</v>
      </c>
      <c r="H58" s="22" t="s">
        <v>6581</v>
      </c>
      <c r="I58" s="20" t="s">
        <v>6999</v>
      </c>
      <c r="J58" s="20" t="s">
        <v>7003</v>
      </c>
      <c r="K58" s="20" t="s">
        <v>2616</v>
      </c>
      <c r="L58" s="20" t="s">
        <v>6994</v>
      </c>
    </row>
    <row r="59">
      <c r="A59" s="20" t="s">
        <v>7004</v>
      </c>
      <c r="B59" s="21">
        <v>46008.63427083333</v>
      </c>
      <c r="C59" s="20" t="s">
        <v>6818</v>
      </c>
      <c r="D59" s="22" t="s">
        <v>6811</v>
      </c>
      <c r="E59" s="20" t="s">
        <v>6897</v>
      </c>
      <c r="F59" s="22" t="s">
        <v>6811</v>
      </c>
      <c r="G59" s="20" t="s">
        <v>6817</v>
      </c>
      <c r="H59" s="22" t="s">
        <v>6581</v>
      </c>
      <c r="I59" s="20" t="s">
        <v>6999</v>
      </c>
      <c r="J59" s="20" t="s">
        <v>7005</v>
      </c>
      <c r="K59" s="20" t="s">
        <v>2616</v>
      </c>
      <c r="L59" s="20" t="s">
        <v>6994</v>
      </c>
    </row>
    <row r="60">
      <c r="A60" s="20" t="s">
        <v>7006</v>
      </c>
      <c r="B60" s="21">
        <v>46008.73063657407</v>
      </c>
      <c r="C60" s="20" t="s">
        <v>7007</v>
      </c>
      <c r="D60" s="22" t="s">
        <v>6811</v>
      </c>
      <c r="E60" s="20" t="s">
        <v>6897</v>
      </c>
      <c r="F60" s="22" t="s">
        <v>6811</v>
      </c>
      <c r="G60" s="20" t="s">
        <v>7008</v>
      </c>
      <c r="H60" s="20" t="s">
        <v>6886</v>
      </c>
      <c r="I60" s="20" t="s">
        <v>6999</v>
      </c>
      <c r="J60" s="20" t="s">
        <v>7009</v>
      </c>
      <c r="K60" s="20" t="s">
        <v>2616</v>
      </c>
      <c r="L60" s="20" t="s">
        <v>6994</v>
      </c>
    </row>
    <row r="61">
      <c r="A61" s="20" t="s">
        <v>7010</v>
      </c>
      <c r="B61" s="21">
        <v>46009.471921296295</v>
      </c>
      <c r="C61" s="20" t="s">
        <v>6817</v>
      </c>
      <c r="D61" s="22" t="s">
        <v>6581</v>
      </c>
      <c r="E61" s="20" t="s">
        <v>6822</v>
      </c>
      <c r="F61" s="22" t="s">
        <v>6811</v>
      </c>
      <c r="G61" s="20"/>
      <c r="H61" s="20"/>
      <c r="I61" s="20" t="s">
        <v>7011</v>
      </c>
      <c r="J61" s="20" t="s">
        <v>7012</v>
      </c>
      <c r="K61" s="20" t="s">
        <v>2616</v>
      </c>
      <c r="L61" s="20" t="s">
        <v>6994</v>
      </c>
    </row>
    <row r="62">
      <c r="A62" s="20" t="s">
        <v>7013</v>
      </c>
      <c r="B62" s="21">
        <v>46009.478356481486</v>
      </c>
      <c r="C62" s="20" t="s">
        <v>6817</v>
      </c>
      <c r="D62" s="22" t="s">
        <v>6581</v>
      </c>
      <c r="E62" s="20" t="s">
        <v>7014</v>
      </c>
      <c r="F62" s="22" t="s">
        <v>6811</v>
      </c>
      <c r="G62" s="20" t="s">
        <v>6818</v>
      </c>
      <c r="H62" s="22" t="s">
        <v>6811</v>
      </c>
      <c r="I62" s="20" t="s">
        <v>7011</v>
      </c>
      <c r="J62" s="20" t="s">
        <v>7015</v>
      </c>
      <c r="K62" s="20" t="s">
        <v>2616</v>
      </c>
      <c r="L62" s="20" t="s">
        <v>6994</v>
      </c>
    </row>
    <row r="63">
      <c r="A63" s="20" t="s">
        <v>7016</v>
      </c>
      <c r="B63" s="21">
        <v>46010.58525462963</v>
      </c>
      <c r="C63" s="20" t="s">
        <v>6817</v>
      </c>
      <c r="D63" s="22" t="s">
        <v>6581</v>
      </c>
      <c r="E63" s="20" t="s">
        <v>6822</v>
      </c>
      <c r="F63" s="22" t="s">
        <v>6811</v>
      </c>
      <c r="G63" s="20"/>
      <c r="H63" s="20"/>
      <c r="I63" s="20" t="s">
        <v>7011</v>
      </c>
      <c r="J63" s="20" t="s">
        <v>7017</v>
      </c>
      <c r="K63" s="20" t="s">
        <v>2616</v>
      </c>
      <c r="L63" s="20" t="s">
        <v>6994</v>
      </c>
    </row>
    <row r="64">
      <c r="A64" s="20" t="s">
        <v>7018</v>
      </c>
      <c r="B64" s="21">
        <v>46013.42129629629</v>
      </c>
      <c r="C64" s="20" t="s">
        <v>6818</v>
      </c>
      <c r="D64" s="22" t="s">
        <v>6811</v>
      </c>
      <c r="E64" s="20" t="s">
        <v>6817</v>
      </c>
      <c r="F64" s="22" t="s">
        <v>6581</v>
      </c>
      <c r="G64" s="20" t="s">
        <v>6897</v>
      </c>
      <c r="H64" s="22" t="s">
        <v>6811</v>
      </c>
      <c r="I64" s="20" t="s">
        <v>7019</v>
      </c>
      <c r="J64" s="20" t="s">
        <v>7020</v>
      </c>
      <c r="K64" s="20" t="s">
        <v>2616</v>
      </c>
      <c r="L64" s="20" t="s">
        <v>6994</v>
      </c>
    </row>
    <row r="65">
      <c r="A65" s="20" t="s">
        <v>7021</v>
      </c>
      <c r="B65" s="21">
        <v>46013.4396412037</v>
      </c>
      <c r="C65" s="20" t="s">
        <v>6817</v>
      </c>
      <c r="D65" s="22" t="s">
        <v>6581</v>
      </c>
      <c r="E65" s="20" t="s">
        <v>6818</v>
      </c>
      <c r="F65" s="22" t="s">
        <v>6811</v>
      </c>
      <c r="G65" s="20" t="s">
        <v>6897</v>
      </c>
      <c r="H65" s="22" t="s">
        <v>6811</v>
      </c>
      <c r="I65" s="20" t="s">
        <v>7011</v>
      </c>
      <c r="J65" s="20" t="s">
        <v>7022</v>
      </c>
      <c r="K65" s="20" t="s">
        <v>2616</v>
      </c>
      <c r="L65" s="20" t="s">
        <v>6994</v>
      </c>
    </row>
    <row r="66">
      <c r="A66" s="20" t="s">
        <v>7023</v>
      </c>
      <c r="B66" s="21">
        <v>46000.43298611111</v>
      </c>
      <c r="C66" s="20" t="s">
        <v>6983</v>
      </c>
      <c r="D66" s="22" t="s">
        <v>6811</v>
      </c>
      <c r="E66" s="20" t="s">
        <v>7024</v>
      </c>
      <c r="F66" s="20" t="s">
        <v>7025</v>
      </c>
      <c r="G66" s="20"/>
      <c r="H66" s="20"/>
      <c r="I66" s="20" t="s">
        <v>7026</v>
      </c>
      <c r="J66" s="20" t="s">
        <v>7027</v>
      </c>
      <c r="K66" s="20" t="s">
        <v>2309</v>
      </c>
      <c r="L66" s="20" t="s">
        <v>7023</v>
      </c>
    </row>
    <row r="67">
      <c r="A67" s="20" t="s">
        <v>7028</v>
      </c>
      <c r="B67" s="21">
        <v>45986.075787037036</v>
      </c>
      <c r="C67" s="20" t="s">
        <v>6897</v>
      </c>
      <c r="D67" s="22" t="s">
        <v>6811</v>
      </c>
      <c r="E67" s="20" t="s">
        <v>7029</v>
      </c>
      <c r="F67" s="20" t="s">
        <v>6886</v>
      </c>
      <c r="G67" s="20"/>
      <c r="H67" s="20"/>
      <c r="I67" s="20" t="s">
        <v>7030</v>
      </c>
      <c r="J67" s="20" t="s">
        <v>7031</v>
      </c>
      <c r="K67" s="20" t="s">
        <v>2616</v>
      </c>
      <c r="L67" s="20" t="s">
        <v>7028</v>
      </c>
    </row>
    <row r="68">
      <c r="A68" s="20" t="s">
        <v>7032</v>
      </c>
      <c r="B68" s="21">
        <v>46034.627280092594</v>
      </c>
      <c r="C68" s="20" t="s">
        <v>7033</v>
      </c>
      <c r="D68" s="22" t="s">
        <v>7034</v>
      </c>
      <c r="E68" s="20" t="s">
        <v>6818</v>
      </c>
      <c r="F68" s="22" t="s">
        <v>6811</v>
      </c>
      <c r="G68" s="20"/>
      <c r="H68" s="20"/>
      <c r="I68" s="20" t="s">
        <v>7035</v>
      </c>
      <c r="J68" s="20" t="s">
        <v>7036</v>
      </c>
      <c r="K68" s="20" t="s">
        <v>2712</v>
      </c>
      <c r="L68" s="20" t="s">
        <v>7032</v>
      </c>
    </row>
    <row r="69">
      <c r="A69" s="20" t="s">
        <v>7037</v>
      </c>
      <c r="B69" s="21">
        <v>46034.50189814815</v>
      </c>
      <c r="C69" s="20" t="s">
        <v>7038</v>
      </c>
      <c r="D69" s="22" t="s">
        <v>6582</v>
      </c>
      <c r="E69" s="20" t="s">
        <v>6818</v>
      </c>
      <c r="F69" s="22" t="s">
        <v>6811</v>
      </c>
      <c r="G69" s="20"/>
      <c r="H69" s="20"/>
      <c r="I69" s="20" t="s">
        <v>7039</v>
      </c>
      <c r="J69" s="20"/>
      <c r="K69" s="20" t="s">
        <v>5827</v>
      </c>
      <c r="L69" s="20" t="s">
        <v>7037</v>
      </c>
    </row>
    <row r="70">
      <c r="A70" s="20" t="s">
        <v>7040</v>
      </c>
      <c r="B70" s="21">
        <v>46034.48771990741</v>
      </c>
      <c r="C70" s="20" t="s">
        <v>7041</v>
      </c>
      <c r="D70" s="22" t="s">
        <v>6582</v>
      </c>
      <c r="E70" s="20" t="s">
        <v>6818</v>
      </c>
      <c r="F70" s="22" t="s">
        <v>6811</v>
      </c>
      <c r="G70" s="20"/>
      <c r="H70" s="20"/>
      <c r="I70" s="20" t="s">
        <v>7039</v>
      </c>
      <c r="J70" s="20" t="s">
        <v>7042</v>
      </c>
      <c r="K70" s="20" t="s">
        <v>5827</v>
      </c>
      <c r="L70" s="20" t="s">
        <v>7040</v>
      </c>
    </row>
    <row r="71">
      <c r="A71" s="20" t="s">
        <v>7043</v>
      </c>
      <c r="B71" s="21">
        <v>46030.64765046297</v>
      </c>
      <c r="C71" s="20" t="s">
        <v>6818</v>
      </c>
      <c r="D71" s="22" t="s">
        <v>6811</v>
      </c>
      <c r="E71" s="20" t="s">
        <v>7044</v>
      </c>
      <c r="F71" s="22" t="s">
        <v>6584</v>
      </c>
      <c r="G71" s="20" t="s">
        <v>6897</v>
      </c>
      <c r="H71" s="22" t="s">
        <v>6811</v>
      </c>
      <c r="I71" s="20" t="s">
        <v>7045</v>
      </c>
      <c r="J71" s="20" t="s">
        <v>7046</v>
      </c>
      <c r="K71" s="20" t="s">
        <v>1725</v>
      </c>
      <c r="L71" s="20" t="s">
        <v>7047</v>
      </c>
    </row>
    <row r="72">
      <c r="A72" s="20" t="s">
        <v>7048</v>
      </c>
      <c r="B72" s="21">
        <v>46031.604108796295</v>
      </c>
      <c r="C72" s="20" t="s">
        <v>7049</v>
      </c>
      <c r="D72" s="22" t="s">
        <v>6584</v>
      </c>
      <c r="E72" s="20" t="s">
        <v>6818</v>
      </c>
      <c r="F72" s="22" t="s">
        <v>6811</v>
      </c>
      <c r="G72" s="20" t="s">
        <v>7050</v>
      </c>
      <c r="H72" s="20" t="s">
        <v>7051</v>
      </c>
      <c r="I72" s="20" t="s">
        <v>7052</v>
      </c>
      <c r="J72" s="20" t="s">
        <v>7053</v>
      </c>
      <c r="K72" s="20" t="s">
        <v>1725</v>
      </c>
      <c r="L72" s="20" t="s">
        <v>7047</v>
      </c>
    </row>
    <row r="73">
      <c r="A73" s="20" t="s">
        <v>7054</v>
      </c>
      <c r="B73" s="21">
        <v>46031.60822916667</v>
      </c>
      <c r="C73" s="20" t="s">
        <v>6818</v>
      </c>
      <c r="D73" s="22" t="s">
        <v>6811</v>
      </c>
      <c r="E73" s="20" t="s">
        <v>7055</v>
      </c>
      <c r="F73" s="20" t="s">
        <v>7051</v>
      </c>
      <c r="G73" s="20" t="s">
        <v>7050</v>
      </c>
      <c r="H73" s="20" t="s">
        <v>7051</v>
      </c>
      <c r="I73" s="20" t="s">
        <v>7052</v>
      </c>
      <c r="J73" s="20" t="s">
        <v>7056</v>
      </c>
      <c r="K73" s="20" t="s">
        <v>1725</v>
      </c>
      <c r="L73" s="20" t="s">
        <v>7047</v>
      </c>
    </row>
    <row r="74">
      <c r="A74" s="20" t="s">
        <v>7057</v>
      </c>
      <c r="B74" s="21">
        <v>46031.60865740741</v>
      </c>
      <c r="C74" s="20" t="s">
        <v>6934</v>
      </c>
      <c r="D74" s="22" t="s">
        <v>6811</v>
      </c>
      <c r="E74" s="20" t="s">
        <v>6853</v>
      </c>
      <c r="F74" s="22" t="s">
        <v>6811</v>
      </c>
      <c r="G74" s="20" t="s">
        <v>7058</v>
      </c>
      <c r="H74" s="20" t="s">
        <v>7051</v>
      </c>
      <c r="I74" s="20" t="s">
        <v>7059</v>
      </c>
      <c r="J74" s="20" t="s">
        <v>7060</v>
      </c>
      <c r="K74" s="20" t="s">
        <v>1725</v>
      </c>
      <c r="L74" s="20" t="s">
        <v>7047</v>
      </c>
    </row>
    <row r="75">
      <c r="A75" s="20" t="s">
        <v>7061</v>
      </c>
      <c r="B75" s="21">
        <v>46034.18366898148</v>
      </c>
      <c r="C75" s="20" t="s">
        <v>7062</v>
      </c>
      <c r="D75" s="22" t="s">
        <v>6811</v>
      </c>
      <c r="E75" s="20" t="s">
        <v>6853</v>
      </c>
      <c r="F75" s="22" t="s">
        <v>6811</v>
      </c>
      <c r="G75" s="20" t="s">
        <v>7063</v>
      </c>
      <c r="H75" s="20" t="s">
        <v>7051</v>
      </c>
      <c r="I75" s="20" t="s">
        <v>7059</v>
      </c>
      <c r="J75" s="20" t="s">
        <v>7064</v>
      </c>
      <c r="K75" s="20" t="s">
        <v>1725</v>
      </c>
      <c r="L75" s="20" t="s">
        <v>7047</v>
      </c>
    </row>
    <row r="76">
      <c r="A76" s="20" t="s">
        <v>7065</v>
      </c>
      <c r="B76" s="21">
        <v>46034.183703703704</v>
      </c>
      <c r="C76" s="20" t="s">
        <v>7062</v>
      </c>
      <c r="D76" s="22" t="s">
        <v>6811</v>
      </c>
      <c r="E76" s="20" t="s">
        <v>6853</v>
      </c>
      <c r="F76" s="22" t="s">
        <v>6811</v>
      </c>
      <c r="G76" s="20" t="s">
        <v>7058</v>
      </c>
      <c r="H76" s="20" t="s">
        <v>7051</v>
      </c>
      <c r="I76" s="20" t="s">
        <v>7059</v>
      </c>
      <c r="J76" s="20" t="s">
        <v>7066</v>
      </c>
      <c r="K76" s="20" t="s">
        <v>1725</v>
      </c>
      <c r="L76" s="20" t="s">
        <v>7047</v>
      </c>
    </row>
    <row r="77">
      <c r="A77" s="20" t="s">
        <v>7067</v>
      </c>
      <c r="B77" s="21">
        <v>46030.47976851852</v>
      </c>
      <c r="C77" s="20" t="s">
        <v>7068</v>
      </c>
      <c r="D77" s="22" t="s">
        <v>7034</v>
      </c>
      <c r="E77" s="20" t="s">
        <v>6818</v>
      </c>
      <c r="F77" s="22" t="s">
        <v>6811</v>
      </c>
      <c r="G77" s="20"/>
      <c r="H77" s="20"/>
      <c r="I77" s="20" t="s">
        <v>7035</v>
      </c>
      <c r="J77" s="20" t="s">
        <v>7036</v>
      </c>
      <c r="K77" s="20" t="s">
        <v>2712</v>
      </c>
      <c r="L77" s="20" t="s">
        <v>7067</v>
      </c>
    </row>
    <row r="78">
      <c r="A78" s="20" t="s">
        <v>7069</v>
      </c>
      <c r="B78" s="21">
        <v>46029.593576388885</v>
      </c>
      <c r="C78" s="20" t="s">
        <v>7049</v>
      </c>
      <c r="D78" s="22" t="s">
        <v>6584</v>
      </c>
      <c r="E78" s="20" t="s">
        <v>6853</v>
      </c>
      <c r="F78" s="22" t="s">
        <v>6811</v>
      </c>
      <c r="G78" s="20"/>
      <c r="H78" s="20"/>
      <c r="I78" s="20" t="s">
        <v>7070</v>
      </c>
      <c r="J78" s="20" t="s">
        <v>7071</v>
      </c>
      <c r="K78" s="20" t="s">
        <v>1725</v>
      </c>
      <c r="L78" s="20" t="s">
        <v>7069</v>
      </c>
    </row>
    <row r="79">
      <c r="A79" s="20" t="s">
        <v>7072</v>
      </c>
      <c r="B79" s="21">
        <v>46028.56296296296</v>
      </c>
      <c r="C79" s="20" t="s">
        <v>6818</v>
      </c>
      <c r="D79" s="22" t="s">
        <v>6811</v>
      </c>
      <c r="E79" s="20" t="s">
        <v>7073</v>
      </c>
      <c r="F79" s="22" t="s">
        <v>7034</v>
      </c>
      <c r="G79" s="20" t="s">
        <v>6853</v>
      </c>
      <c r="H79" s="22" t="s">
        <v>6811</v>
      </c>
      <c r="I79" s="20" t="s">
        <v>6854</v>
      </c>
      <c r="J79" s="20" t="s">
        <v>7074</v>
      </c>
      <c r="K79" s="20" t="s">
        <v>2712</v>
      </c>
      <c r="L79" s="20" t="s">
        <v>7072</v>
      </c>
    </row>
    <row r="80">
      <c r="A80" s="20" t="s">
        <v>7075</v>
      </c>
      <c r="B80" s="21">
        <v>46028.56296296296</v>
      </c>
      <c r="C80" s="20" t="s">
        <v>6818</v>
      </c>
      <c r="D80" s="22" t="s">
        <v>6811</v>
      </c>
      <c r="E80" s="20" t="s">
        <v>7076</v>
      </c>
      <c r="F80" s="22" t="s">
        <v>6585</v>
      </c>
      <c r="G80" s="20" t="s">
        <v>6853</v>
      </c>
      <c r="H80" s="22" t="s">
        <v>6811</v>
      </c>
      <c r="I80" s="20" t="s">
        <v>6854</v>
      </c>
      <c r="J80" s="20" t="s">
        <v>7077</v>
      </c>
      <c r="K80" s="20" t="s">
        <v>5721</v>
      </c>
      <c r="L80" s="20" t="s">
        <v>7075</v>
      </c>
    </row>
    <row r="81">
      <c r="A81" s="20" t="s">
        <v>7078</v>
      </c>
      <c r="B81" s="21">
        <v>46028.56296296296</v>
      </c>
      <c r="C81" s="20" t="s">
        <v>6818</v>
      </c>
      <c r="D81" s="22" t="s">
        <v>6811</v>
      </c>
      <c r="E81" s="20" t="s">
        <v>7079</v>
      </c>
      <c r="F81" s="22" t="s">
        <v>6582</v>
      </c>
      <c r="G81" s="20" t="s">
        <v>6853</v>
      </c>
      <c r="H81" s="22" t="s">
        <v>6811</v>
      </c>
      <c r="I81" s="20" t="s">
        <v>6854</v>
      </c>
      <c r="J81" s="20" t="s">
        <v>7080</v>
      </c>
      <c r="K81" s="20" t="s">
        <v>5827</v>
      </c>
      <c r="L81" s="20" t="s">
        <v>7078</v>
      </c>
    </row>
    <row r="82">
      <c r="A82" s="20" t="s">
        <v>7081</v>
      </c>
      <c r="B82" s="21">
        <v>46028.56296296296</v>
      </c>
      <c r="C82" s="20" t="s">
        <v>6818</v>
      </c>
      <c r="D82" s="22" t="s">
        <v>6811</v>
      </c>
      <c r="E82" s="20" t="s">
        <v>7082</v>
      </c>
      <c r="F82" s="22" t="s">
        <v>6584</v>
      </c>
      <c r="G82" s="20" t="s">
        <v>6853</v>
      </c>
      <c r="H82" s="22" t="s">
        <v>6811</v>
      </c>
      <c r="I82" s="20" t="s">
        <v>6854</v>
      </c>
      <c r="J82" s="20" t="s">
        <v>7083</v>
      </c>
      <c r="K82" s="20" t="s">
        <v>1725</v>
      </c>
      <c r="L82" s="20" t="s">
        <v>7081</v>
      </c>
    </row>
    <row r="83">
      <c r="A83" s="20" t="s">
        <v>7084</v>
      </c>
      <c r="B83" s="21">
        <v>46028.562951388885</v>
      </c>
      <c r="C83" s="20" t="s">
        <v>6818</v>
      </c>
      <c r="D83" s="22" t="s">
        <v>6811</v>
      </c>
      <c r="E83" s="20" t="s">
        <v>7085</v>
      </c>
      <c r="F83" s="22" t="s">
        <v>6585</v>
      </c>
      <c r="G83" s="20" t="s">
        <v>6853</v>
      </c>
      <c r="H83" s="22" t="s">
        <v>6811</v>
      </c>
      <c r="I83" s="20" t="s">
        <v>6854</v>
      </c>
      <c r="J83" s="20" t="s">
        <v>7086</v>
      </c>
      <c r="K83" s="20" t="s">
        <v>5721</v>
      </c>
      <c r="L83" s="20" t="s">
        <v>7084</v>
      </c>
    </row>
    <row r="84">
      <c r="A84" s="20" t="s">
        <v>7087</v>
      </c>
      <c r="B84" s="21">
        <v>46028.562939814816</v>
      </c>
      <c r="C84" s="20" t="s">
        <v>6818</v>
      </c>
      <c r="D84" s="22" t="s">
        <v>6811</v>
      </c>
      <c r="E84" s="20" t="s">
        <v>7088</v>
      </c>
      <c r="F84" s="22" t="s">
        <v>6583</v>
      </c>
      <c r="G84" s="20" t="s">
        <v>6853</v>
      </c>
      <c r="H84" s="22" t="s">
        <v>6811</v>
      </c>
      <c r="I84" s="20" t="s">
        <v>6854</v>
      </c>
      <c r="J84" s="20" t="s">
        <v>7089</v>
      </c>
      <c r="K84" s="20" t="s">
        <v>3644</v>
      </c>
      <c r="L84" s="20" t="s">
        <v>7087</v>
      </c>
    </row>
    <row r="85">
      <c r="A85" s="20" t="s">
        <v>7090</v>
      </c>
      <c r="B85" s="21">
        <v>46028.562939814816</v>
      </c>
      <c r="C85" s="20" t="s">
        <v>6818</v>
      </c>
      <c r="D85" s="22" t="s">
        <v>6811</v>
      </c>
      <c r="E85" s="20" t="s">
        <v>7091</v>
      </c>
      <c r="F85" s="22" t="s">
        <v>6584</v>
      </c>
      <c r="G85" s="20" t="s">
        <v>6853</v>
      </c>
      <c r="H85" s="22" t="s">
        <v>6811</v>
      </c>
      <c r="I85" s="20" t="s">
        <v>6854</v>
      </c>
      <c r="J85" s="20" t="s">
        <v>7092</v>
      </c>
      <c r="K85" s="20" t="s">
        <v>1725</v>
      </c>
      <c r="L85" s="20" t="s">
        <v>7090</v>
      </c>
    </row>
    <row r="86">
      <c r="A86" s="20" t="s">
        <v>7093</v>
      </c>
      <c r="B86" s="21">
        <v>46028.56291666666</v>
      </c>
      <c r="C86" s="20" t="s">
        <v>6818</v>
      </c>
      <c r="D86" s="22" t="s">
        <v>6811</v>
      </c>
      <c r="E86" s="20" t="s">
        <v>7094</v>
      </c>
      <c r="F86" s="22" t="s">
        <v>6584</v>
      </c>
      <c r="G86" s="20" t="s">
        <v>6853</v>
      </c>
      <c r="H86" s="22" t="s">
        <v>6811</v>
      </c>
      <c r="I86" s="20" t="s">
        <v>6854</v>
      </c>
      <c r="J86" s="20" t="s">
        <v>7095</v>
      </c>
      <c r="K86" s="20" t="s">
        <v>1725</v>
      </c>
      <c r="L86" s="20" t="s">
        <v>7093</v>
      </c>
    </row>
    <row r="87">
      <c r="A87" s="20" t="s">
        <v>7096</v>
      </c>
      <c r="B87" s="21">
        <v>46028.56292824074</v>
      </c>
      <c r="C87" s="20" t="s">
        <v>6818</v>
      </c>
      <c r="D87" s="22" t="s">
        <v>6811</v>
      </c>
      <c r="E87" s="20" t="s">
        <v>7097</v>
      </c>
      <c r="F87" s="22" t="s">
        <v>6584</v>
      </c>
      <c r="G87" s="20" t="s">
        <v>6853</v>
      </c>
      <c r="H87" s="22" t="s">
        <v>6811</v>
      </c>
      <c r="I87" s="20" t="s">
        <v>6854</v>
      </c>
      <c r="J87" s="20" t="s">
        <v>7098</v>
      </c>
      <c r="K87" s="20" t="s">
        <v>1725</v>
      </c>
      <c r="L87" s="20" t="s">
        <v>7096</v>
      </c>
    </row>
    <row r="88">
      <c r="A88" s="20" t="s">
        <v>7099</v>
      </c>
      <c r="B88" s="21">
        <v>46028.56292824074</v>
      </c>
      <c r="C88" s="20" t="s">
        <v>6818</v>
      </c>
      <c r="D88" s="22" t="s">
        <v>6811</v>
      </c>
      <c r="E88" s="20" t="s">
        <v>7100</v>
      </c>
      <c r="F88" s="22" t="s">
        <v>6585</v>
      </c>
      <c r="G88" s="20" t="s">
        <v>6853</v>
      </c>
      <c r="H88" s="22" t="s">
        <v>6811</v>
      </c>
      <c r="I88" s="20" t="s">
        <v>6854</v>
      </c>
      <c r="J88" s="20" t="s">
        <v>7101</v>
      </c>
      <c r="K88" s="20" t="s">
        <v>5721</v>
      </c>
      <c r="L88" s="20" t="s">
        <v>7099</v>
      </c>
    </row>
    <row r="89">
      <c r="A89" s="20" t="s">
        <v>7102</v>
      </c>
      <c r="B89" s="21">
        <v>46028.56292824074</v>
      </c>
      <c r="C89" s="20" t="s">
        <v>6818</v>
      </c>
      <c r="D89" s="22" t="s">
        <v>6811</v>
      </c>
      <c r="E89" s="20" t="s">
        <v>7103</v>
      </c>
      <c r="F89" s="22" t="s">
        <v>6583</v>
      </c>
      <c r="G89" s="20" t="s">
        <v>6853</v>
      </c>
      <c r="H89" s="22" t="s">
        <v>6811</v>
      </c>
      <c r="I89" s="20" t="s">
        <v>6854</v>
      </c>
      <c r="J89" s="20" t="s">
        <v>7104</v>
      </c>
      <c r="K89" s="20" t="s">
        <v>3644</v>
      </c>
      <c r="L89" s="20" t="s">
        <v>7102</v>
      </c>
    </row>
    <row r="90">
      <c r="A90" s="20" t="s">
        <v>7105</v>
      </c>
      <c r="B90" s="21">
        <v>46028.56292824074</v>
      </c>
      <c r="C90" s="20" t="s">
        <v>6818</v>
      </c>
      <c r="D90" s="22" t="s">
        <v>6811</v>
      </c>
      <c r="E90" s="20" t="s">
        <v>7106</v>
      </c>
      <c r="F90" s="22" t="s">
        <v>6584</v>
      </c>
      <c r="G90" s="20" t="s">
        <v>6853</v>
      </c>
      <c r="H90" s="22" t="s">
        <v>6811</v>
      </c>
      <c r="I90" s="20" t="s">
        <v>6854</v>
      </c>
      <c r="J90" s="20" t="s">
        <v>7107</v>
      </c>
      <c r="K90" s="20" t="s">
        <v>1725</v>
      </c>
      <c r="L90" s="20" t="s">
        <v>7105</v>
      </c>
    </row>
    <row r="91">
      <c r="A91" s="20" t="s">
        <v>7108</v>
      </c>
      <c r="B91" s="21">
        <v>46028.56291666666</v>
      </c>
      <c r="C91" s="20" t="s">
        <v>6818</v>
      </c>
      <c r="D91" s="22" t="s">
        <v>6811</v>
      </c>
      <c r="E91" s="20" t="s">
        <v>7109</v>
      </c>
      <c r="F91" s="22" t="s">
        <v>7034</v>
      </c>
      <c r="G91" s="20" t="s">
        <v>6853</v>
      </c>
      <c r="H91" s="22" t="s">
        <v>6811</v>
      </c>
      <c r="I91" s="20" t="s">
        <v>6854</v>
      </c>
      <c r="J91" s="20" t="s">
        <v>7110</v>
      </c>
      <c r="K91" s="20" t="s">
        <v>2712</v>
      </c>
      <c r="L91" s="20" t="s">
        <v>7108</v>
      </c>
    </row>
    <row r="92">
      <c r="A92" s="20" t="s">
        <v>7111</v>
      </c>
      <c r="B92" s="21">
        <v>46028.56291666666</v>
      </c>
      <c r="C92" s="20" t="s">
        <v>6818</v>
      </c>
      <c r="D92" s="22" t="s">
        <v>6811</v>
      </c>
      <c r="E92" s="20" t="s">
        <v>7112</v>
      </c>
      <c r="F92" s="22" t="s">
        <v>6585</v>
      </c>
      <c r="G92" s="20" t="s">
        <v>6853</v>
      </c>
      <c r="H92" s="22" t="s">
        <v>6811</v>
      </c>
      <c r="I92" s="20" t="s">
        <v>6854</v>
      </c>
      <c r="J92" s="20" t="s">
        <v>7113</v>
      </c>
      <c r="K92" s="20" t="s">
        <v>5721</v>
      </c>
      <c r="L92" s="20" t="s">
        <v>7111</v>
      </c>
    </row>
    <row r="93">
      <c r="A93" s="20" t="s">
        <v>7114</v>
      </c>
      <c r="B93" s="21">
        <v>46028.56291666666</v>
      </c>
      <c r="C93" s="20" t="s">
        <v>6818</v>
      </c>
      <c r="D93" s="22" t="s">
        <v>6811</v>
      </c>
      <c r="E93" s="20" t="s">
        <v>7115</v>
      </c>
      <c r="F93" s="22" t="s">
        <v>7034</v>
      </c>
      <c r="G93" s="20" t="s">
        <v>6853</v>
      </c>
      <c r="H93" s="22" t="s">
        <v>6811</v>
      </c>
      <c r="I93" s="20" t="s">
        <v>6854</v>
      </c>
      <c r="J93" s="20" t="s">
        <v>7116</v>
      </c>
      <c r="K93" s="20" t="s">
        <v>2712</v>
      </c>
      <c r="L93" s="20" t="s">
        <v>7114</v>
      </c>
    </row>
    <row r="94">
      <c r="A94" s="20" t="s">
        <v>7117</v>
      </c>
      <c r="B94" s="21">
        <v>46028.56291666666</v>
      </c>
      <c r="C94" s="20" t="s">
        <v>6818</v>
      </c>
      <c r="D94" s="22" t="s">
        <v>6811</v>
      </c>
      <c r="E94" s="20" t="s">
        <v>7118</v>
      </c>
      <c r="F94" s="22" t="s">
        <v>7034</v>
      </c>
      <c r="G94" s="20" t="s">
        <v>6853</v>
      </c>
      <c r="H94" s="22" t="s">
        <v>6811</v>
      </c>
      <c r="I94" s="20" t="s">
        <v>6854</v>
      </c>
      <c r="J94" s="20" t="s">
        <v>7119</v>
      </c>
      <c r="K94" s="20" t="s">
        <v>2712</v>
      </c>
      <c r="L94" s="20" t="s">
        <v>7117</v>
      </c>
    </row>
    <row r="95">
      <c r="A95" s="20" t="s">
        <v>7120</v>
      </c>
      <c r="B95" s="21">
        <v>46028.56291666666</v>
      </c>
      <c r="C95" s="20" t="s">
        <v>6818</v>
      </c>
      <c r="D95" s="22" t="s">
        <v>6811</v>
      </c>
      <c r="E95" s="20" t="s">
        <v>7121</v>
      </c>
      <c r="F95" s="22" t="s">
        <v>6584</v>
      </c>
      <c r="G95" s="20" t="s">
        <v>6853</v>
      </c>
      <c r="H95" s="22" t="s">
        <v>6811</v>
      </c>
      <c r="I95" s="20" t="s">
        <v>6854</v>
      </c>
      <c r="J95" s="20" t="s">
        <v>7122</v>
      </c>
      <c r="K95" s="20" t="s">
        <v>1725</v>
      </c>
      <c r="L95" s="20" t="s">
        <v>7120</v>
      </c>
    </row>
    <row r="96">
      <c r="A96" s="20" t="s">
        <v>7123</v>
      </c>
      <c r="B96" s="21">
        <v>46028.56291666666</v>
      </c>
      <c r="C96" s="20" t="s">
        <v>6818</v>
      </c>
      <c r="D96" s="22" t="s">
        <v>6811</v>
      </c>
      <c r="E96" s="20" t="s">
        <v>7124</v>
      </c>
      <c r="F96" s="22" t="s">
        <v>6584</v>
      </c>
      <c r="G96" s="20" t="s">
        <v>6853</v>
      </c>
      <c r="H96" s="22" t="s">
        <v>6811</v>
      </c>
      <c r="I96" s="20" t="s">
        <v>6854</v>
      </c>
      <c r="J96" s="20" t="s">
        <v>7125</v>
      </c>
      <c r="K96" s="20" t="s">
        <v>1725</v>
      </c>
      <c r="L96" s="20" t="s">
        <v>7123</v>
      </c>
    </row>
    <row r="97">
      <c r="A97" s="20" t="s">
        <v>7126</v>
      </c>
      <c r="B97" s="21">
        <v>46028.56291666666</v>
      </c>
      <c r="C97" s="20" t="s">
        <v>6818</v>
      </c>
      <c r="D97" s="22" t="s">
        <v>6811</v>
      </c>
      <c r="E97" s="20" t="s">
        <v>7127</v>
      </c>
      <c r="F97" s="22" t="s">
        <v>6584</v>
      </c>
      <c r="G97" s="20" t="s">
        <v>6853</v>
      </c>
      <c r="H97" s="22" t="s">
        <v>6811</v>
      </c>
      <c r="I97" s="20" t="s">
        <v>6854</v>
      </c>
      <c r="J97" s="20" t="s">
        <v>7128</v>
      </c>
      <c r="K97" s="20" t="s">
        <v>1725</v>
      </c>
      <c r="L97" s="20" t="s">
        <v>7126</v>
      </c>
    </row>
    <row r="98">
      <c r="A98" s="20" t="s">
        <v>7129</v>
      </c>
      <c r="B98" s="21">
        <v>46028.56291666666</v>
      </c>
      <c r="C98" s="20" t="s">
        <v>6818</v>
      </c>
      <c r="D98" s="22" t="s">
        <v>6811</v>
      </c>
      <c r="E98" s="20" t="s">
        <v>7130</v>
      </c>
      <c r="F98" s="22" t="s">
        <v>6584</v>
      </c>
      <c r="G98" s="20" t="s">
        <v>6853</v>
      </c>
      <c r="H98" s="22" t="s">
        <v>6811</v>
      </c>
      <c r="I98" s="20" t="s">
        <v>6854</v>
      </c>
      <c r="J98" s="20" t="s">
        <v>7131</v>
      </c>
      <c r="K98" s="20" t="s">
        <v>1725</v>
      </c>
      <c r="L98" s="20" t="s">
        <v>7129</v>
      </c>
    </row>
    <row r="99">
      <c r="A99" s="20" t="s">
        <v>7132</v>
      </c>
      <c r="B99" s="21">
        <v>46028.56290509259</v>
      </c>
      <c r="C99" s="20" t="s">
        <v>6818</v>
      </c>
      <c r="D99" s="22" t="s">
        <v>6811</v>
      </c>
      <c r="E99" s="20" t="s">
        <v>7133</v>
      </c>
      <c r="F99" s="22" t="s">
        <v>7034</v>
      </c>
      <c r="G99" s="20" t="s">
        <v>6853</v>
      </c>
      <c r="H99" s="22" t="s">
        <v>6811</v>
      </c>
      <c r="I99" s="20" t="s">
        <v>6854</v>
      </c>
      <c r="J99" s="20" t="s">
        <v>7134</v>
      </c>
      <c r="K99" s="20" t="s">
        <v>2712</v>
      </c>
      <c r="L99" s="20" t="s">
        <v>7132</v>
      </c>
    </row>
    <row r="100">
      <c r="A100" s="20" t="s">
        <v>7135</v>
      </c>
      <c r="B100" s="21">
        <v>46028.56290509259</v>
      </c>
      <c r="C100" s="20" t="s">
        <v>6818</v>
      </c>
      <c r="D100" s="22" t="s">
        <v>6811</v>
      </c>
      <c r="E100" s="20" t="s">
        <v>7136</v>
      </c>
      <c r="F100" s="22" t="s">
        <v>6582</v>
      </c>
      <c r="G100" s="20" t="s">
        <v>6853</v>
      </c>
      <c r="H100" s="22" t="s">
        <v>6811</v>
      </c>
      <c r="I100" s="20" t="s">
        <v>6854</v>
      </c>
      <c r="J100" s="20" t="s">
        <v>7137</v>
      </c>
      <c r="K100" s="20" t="s">
        <v>5827</v>
      </c>
      <c r="L100" s="20" t="s">
        <v>7135</v>
      </c>
    </row>
    <row r="101">
      <c r="A101" s="20" t="s">
        <v>7138</v>
      </c>
      <c r="B101" s="21">
        <v>46028.56290509259</v>
      </c>
      <c r="C101" s="20" t="s">
        <v>6818</v>
      </c>
      <c r="D101" s="22" t="s">
        <v>6811</v>
      </c>
      <c r="E101" s="20" t="s">
        <v>7139</v>
      </c>
      <c r="F101" s="22" t="s">
        <v>7034</v>
      </c>
      <c r="G101" s="20" t="s">
        <v>6853</v>
      </c>
      <c r="H101" s="22" t="s">
        <v>6811</v>
      </c>
      <c r="I101" s="20" t="s">
        <v>6854</v>
      </c>
      <c r="J101" s="20" t="s">
        <v>7140</v>
      </c>
      <c r="K101" s="20" t="s">
        <v>2712</v>
      </c>
      <c r="L101" s="20" t="s">
        <v>7138</v>
      </c>
    </row>
    <row r="102">
      <c r="A102" s="20" t="s">
        <v>7141</v>
      </c>
      <c r="B102" s="21">
        <v>46028.56289351852</v>
      </c>
      <c r="C102" s="20" t="s">
        <v>6818</v>
      </c>
      <c r="D102" s="22" t="s">
        <v>6811</v>
      </c>
      <c r="E102" s="20" t="s">
        <v>7142</v>
      </c>
      <c r="F102" s="22" t="s">
        <v>7034</v>
      </c>
      <c r="G102" s="20" t="s">
        <v>6853</v>
      </c>
      <c r="H102" s="22" t="s">
        <v>6811</v>
      </c>
      <c r="I102" s="20" t="s">
        <v>6854</v>
      </c>
      <c r="J102" s="20" t="s">
        <v>7143</v>
      </c>
      <c r="K102" s="20" t="s">
        <v>2712</v>
      </c>
      <c r="L102" s="20" t="s">
        <v>7141</v>
      </c>
    </row>
    <row r="103">
      <c r="A103" s="20" t="s">
        <v>7144</v>
      </c>
      <c r="B103" s="21">
        <v>46027.51700231481</v>
      </c>
      <c r="C103" s="20" t="s">
        <v>7145</v>
      </c>
      <c r="D103" s="22" t="s">
        <v>6584</v>
      </c>
      <c r="E103" s="20" t="s">
        <v>7146</v>
      </c>
      <c r="F103" s="20" t="s">
        <v>7051</v>
      </c>
      <c r="G103" s="20"/>
      <c r="H103" s="20"/>
      <c r="I103" s="20" t="s">
        <v>7147</v>
      </c>
      <c r="J103" s="20" t="s">
        <v>7148</v>
      </c>
      <c r="K103" s="20" t="s">
        <v>1725</v>
      </c>
      <c r="L103" s="20" t="s">
        <v>7144</v>
      </c>
    </row>
    <row r="104">
      <c r="A104" s="20" t="s">
        <v>7149</v>
      </c>
      <c r="B104" s="21">
        <v>46027.54106481481</v>
      </c>
      <c r="C104" s="20" t="s">
        <v>6818</v>
      </c>
      <c r="D104" s="22" t="s">
        <v>6811</v>
      </c>
      <c r="E104" s="20" t="s">
        <v>7145</v>
      </c>
      <c r="F104" s="22" t="s">
        <v>6584</v>
      </c>
      <c r="G104" s="20" t="s">
        <v>7150</v>
      </c>
      <c r="H104" s="20" t="s">
        <v>7051</v>
      </c>
      <c r="I104" s="20" t="s">
        <v>7151</v>
      </c>
      <c r="J104" s="20" t="s">
        <v>7152</v>
      </c>
      <c r="K104" s="20" t="s">
        <v>1725</v>
      </c>
      <c r="L104" s="20" t="s">
        <v>7144</v>
      </c>
    </row>
    <row r="105">
      <c r="A105" s="20" t="s">
        <v>7153</v>
      </c>
      <c r="B105" s="21">
        <v>46027.50002314815</v>
      </c>
      <c r="C105" s="20" t="s">
        <v>7154</v>
      </c>
      <c r="D105" s="22" t="s">
        <v>7155</v>
      </c>
      <c r="E105" s="20" t="s">
        <v>7127</v>
      </c>
      <c r="F105" s="22" t="s">
        <v>6584</v>
      </c>
      <c r="G105" s="20" t="s">
        <v>7156</v>
      </c>
      <c r="H105" s="20" t="s">
        <v>7051</v>
      </c>
      <c r="I105" s="20" t="s">
        <v>7157</v>
      </c>
      <c r="J105" s="20" t="s">
        <v>7158</v>
      </c>
      <c r="K105" s="20" t="s">
        <v>1725</v>
      </c>
      <c r="L105" s="20" t="s">
        <v>7153</v>
      </c>
    </row>
    <row r="106">
      <c r="A106" s="20" t="s">
        <v>7159</v>
      </c>
      <c r="B106" s="21">
        <v>46027.2993287037</v>
      </c>
      <c r="C106" s="20" t="s">
        <v>7049</v>
      </c>
      <c r="D106" s="22" t="s">
        <v>6584</v>
      </c>
      <c r="E106" s="20" t="s">
        <v>6853</v>
      </c>
      <c r="F106" s="22" t="s">
        <v>6811</v>
      </c>
      <c r="G106" s="20"/>
      <c r="H106" s="20"/>
      <c r="I106" s="20" t="s">
        <v>7160</v>
      </c>
      <c r="J106" s="20" t="s">
        <v>7161</v>
      </c>
      <c r="K106" s="20" t="s">
        <v>1725</v>
      </c>
      <c r="L106" s="20" t="s">
        <v>7159</v>
      </c>
    </row>
    <row r="107">
      <c r="A107" s="20" t="s">
        <v>7162</v>
      </c>
      <c r="B107" s="21">
        <v>46022.38552083333</v>
      </c>
      <c r="C107" s="20" t="s">
        <v>6810</v>
      </c>
      <c r="D107" s="22" t="s">
        <v>6811</v>
      </c>
      <c r="E107" s="20" t="s">
        <v>7163</v>
      </c>
      <c r="F107" s="20" t="s">
        <v>7164</v>
      </c>
      <c r="G107" s="20"/>
      <c r="H107" s="20"/>
      <c r="I107" s="20" t="s">
        <v>7165</v>
      </c>
      <c r="J107" s="20" t="s">
        <v>7166</v>
      </c>
      <c r="K107" s="20" t="s">
        <v>3644</v>
      </c>
      <c r="L107" s="20" t="s">
        <v>7162</v>
      </c>
    </row>
    <row r="108">
      <c r="A108" s="20" t="s">
        <v>7167</v>
      </c>
      <c r="B108" s="21">
        <v>46021.385462962964</v>
      </c>
      <c r="C108" s="20" t="s">
        <v>6810</v>
      </c>
      <c r="D108" s="22" t="s">
        <v>6811</v>
      </c>
      <c r="E108" s="20" t="s">
        <v>7168</v>
      </c>
      <c r="F108" s="20" t="s">
        <v>7169</v>
      </c>
      <c r="G108" s="20"/>
      <c r="H108" s="20"/>
      <c r="I108" s="20" t="s">
        <v>7170</v>
      </c>
      <c r="J108" s="20" t="s">
        <v>7171</v>
      </c>
      <c r="K108" s="20" t="s">
        <v>5827</v>
      </c>
      <c r="L108" s="20" t="s">
        <v>7167</v>
      </c>
    </row>
    <row r="109">
      <c r="A109" s="20" t="s">
        <v>7172</v>
      </c>
      <c r="B109" s="21">
        <v>46021.385462962964</v>
      </c>
      <c r="C109" s="20" t="s">
        <v>6810</v>
      </c>
      <c r="D109" s="22" t="s">
        <v>6811</v>
      </c>
      <c r="E109" s="20" t="s">
        <v>7173</v>
      </c>
      <c r="F109" s="20" t="s">
        <v>7174</v>
      </c>
      <c r="G109" s="20"/>
      <c r="H109" s="20"/>
      <c r="I109" s="20" t="s">
        <v>7175</v>
      </c>
      <c r="J109" s="20" t="s">
        <v>7176</v>
      </c>
      <c r="K109" s="20" t="s">
        <v>2712</v>
      </c>
      <c r="L109" s="20" t="s">
        <v>7172</v>
      </c>
    </row>
    <row r="110">
      <c r="A110" s="20" t="s">
        <v>7177</v>
      </c>
      <c r="B110" s="21">
        <v>46021.40699074074</v>
      </c>
      <c r="C110" s="20" t="s">
        <v>7033</v>
      </c>
      <c r="D110" s="22" t="s">
        <v>7034</v>
      </c>
      <c r="E110" s="20" t="s">
        <v>7178</v>
      </c>
      <c r="F110" s="22" t="s">
        <v>6811</v>
      </c>
      <c r="G110" s="20"/>
      <c r="H110" s="20"/>
      <c r="I110" s="20" t="s">
        <v>7179</v>
      </c>
      <c r="J110" s="20" t="s">
        <v>7180</v>
      </c>
      <c r="K110" s="20" t="s">
        <v>2712</v>
      </c>
      <c r="L110" s="20" t="s">
        <v>7172</v>
      </c>
    </row>
    <row r="111">
      <c r="A111" s="20" t="s">
        <v>7181</v>
      </c>
      <c r="B111" s="21">
        <v>46015.38545138889</v>
      </c>
      <c r="C111" s="20" t="s">
        <v>6810</v>
      </c>
      <c r="D111" s="22" t="s">
        <v>6811</v>
      </c>
      <c r="E111" s="20" t="s">
        <v>7182</v>
      </c>
      <c r="F111" s="20" t="s">
        <v>7183</v>
      </c>
      <c r="G111" s="20"/>
      <c r="H111" s="20"/>
      <c r="I111" s="20" t="s">
        <v>7184</v>
      </c>
      <c r="J111" s="20" t="s">
        <v>7185</v>
      </c>
      <c r="K111" s="20" t="s">
        <v>5721</v>
      </c>
      <c r="L111" s="20" t="s">
        <v>7181</v>
      </c>
    </row>
    <row r="112">
      <c r="A112" s="20" t="s">
        <v>7186</v>
      </c>
      <c r="B112" s="21">
        <v>46014.406539351854</v>
      </c>
      <c r="C112" s="20" t="s">
        <v>7068</v>
      </c>
      <c r="D112" s="22" t="s">
        <v>7034</v>
      </c>
      <c r="E112" s="20" t="s">
        <v>6818</v>
      </c>
      <c r="F112" s="22" t="s">
        <v>6811</v>
      </c>
      <c r="G112" s="20"/>
      <c r="H112" s="20"/>
      <c r="I112" s="20" t="s">
        <v>7187</v>
      </c>
      <c r="J112" s="20" t="s">
        <v>7188</v>
      </c>
      <c r="K112" s="20" t="s">
        <v>2712</v>
      </c>
      <c r="L112" s="20" t="s">
        <v>7186</v>
      </c>
    </row>
    <row r="113">
      <c r="A113" s="20" t="s">
        <v>7189</v>
      </c>
      <c r="B113" s="21">
        <v>46014.050416666665</v>
      </c>
      <c r="C113" s="20" t="s">
        <v>7068</v>
      </c>
      <c r="D113" s="22" t="s">
        <v>7034</v>
      </c>
      <c r="E113" s="20" t="s">
        <v>6818</v>
      </c>
      <c r="F113" s="22" t="s">
        <v>6811</v>
      </c>
      <c r="G113" s="20"/>
      <c r="H113" s="20"/>
      <c r="I113" s="20" t="s">
        <v>7190</v>
      </c>
      <c r="J113" s="20" t="s">
        <v>7036</v>
      </c>
      <c r="K113" s="20" t="s">
        <v>2712</v>
      </c>
      <c r="L113" s="20" t="s">
        <v>7189</v>
      </c>
    </row>
    <row r="114">
      <c r="A114" s="20" t="s">
        <v>7191</v>
      </c>
      <c r="B114" s="21">
        <v>46013.63277777778</v>
      </c>
      <c r="C114" s="20" t="s">
        <v>7192</v>
      </c>
      <c r="D114" s="22" t="s">
        <v>7034</v>
      </c>
      <c r="E114" s="20" t="s">
        <v>6818</v>
      </c>
      <c r="F114" s="22" t="s">
        <v>6811</v>
      </c>
      <c r="G114" s="20"/>
      <c r="H114" s="20"/>
      <c r="I114" s="20" t="s">
        <v>7190</v>
      </c>
      <c r="J114" s="20" t="s">
        <v>7193</v>
      </c>
      <c r="K114" s="20" t="s">
        <v>2712</v>
      </c>
      <c r="L114" s="20" t="s">
        <v>7191</v>
      </c>
    </row>
    <row r="115">
      <c r="A115" s="20" t="s">
        <v>7194</v>
      </c>
      <c r="B115" s="21">
        <v>46009.311689814815</v>
      </c>
      <c r="C115" s="20" t="s">
        <v>7033</v>
      </c>
      <c r="D115" s="22" t="s">
        <v>7034</v>
      </c>
      <c r="E115" s="20" t="s">
        <v>6818</v>
      </c>
      <c r="F115" s="22" t="s">
        <v>6811</v>
      </c>
      <c r="G115" s="20"/>
      <c r="H115" s="20"/>
      <c r="I115" s="20" t="s">
        <v>7035</v>
      </c>
      <c r="J115" s="20" t="s">
        <v>7036</v>
      </c>
      <c r="K115" s="20" t="s">
        <v>2712</v>
      </c>
      <c r="L115" s="20" t="s">
        <v>7194</v>
      </c>
    </row>
    <row r="116">
      <c r="A116" s="20" t="s">
        <v>7195</v>
      </c>
      <c r="B116" s="21">
        <v>46007.41121527778</v>
      </c>
      <c r="C116" s="20" t="s">
        <v>7033</v>
      </c>
      <c r="D116" s="22" t="s">
        <v>7034</v>
      </c>
      <c r="E116" s="20" t="s">
        <v>6818</v>
      </c>
      <c r="F116" s="22" t="s">
        <v>6811</v>
      </c>
      <c r="G116" s="20"/>
      <c r="H116" s="20"/>
      <c r="I116" s="20" t="s">
        <v>7190</v>
      </c>
      <c r="J116" s="20" t="s">
        <v>7036</v>
      </c>
      <c r="K116" s="20" t="s">
        <v>2712</v>
      </c>
      <c r="L116" s="20" t="s">
        <v>7195</v>
      </c>
    </row>
    <row r="117">
      <c r="A117" s="20" t="s">
        <v>7196</v>
      </c>
      <c r="B117" s="21">
        <v>46007.4125</v>
      </c>
      <c r="C117" s="20" t="s">
        <v>7033</v>
      </c>
      <c r="D117" s="22" t="s">
        <v>7034</v>
      </c>
      <c r="E117" s="20" t="s">
        <v>6818</v>
      </c>
      <c r="F117" s="22" t="s">
        <v>6811</v>
      </c>
      <c r="G117" s="20"/>
      <c r="H117" s="20"/>
      <c r="I117" s="20" t="s">
        <v>7190</v>
      </c>
      <c r="J117" s="20" t="s">
        <v>7036</v>
      </c>
      <c r="K117" s="20" t="s">
        <v>2712</v>
      </c>
      <c r="L117" s="20" t="s">
        <v>7195</v>
      </c>
    </row>
    <row r="118">
      <c r="A118" s="20" t="s">
        <v>7197</v>
      </c>
      <c r="B118" s="21">
        <v>46006.385601851856</v>
      </c>
      <c r="C118" s="20" t="s">
        <v>6810</v>
      </c>
      <c r="D118" s="22" t="s">
        <v>6811</v>
      </c>
      <c r="E118" s="20" t="s">
        <v>7198</v>
      </c>
      <c r="F118" s="20" t="s">
        <v>7199</v>
      </c>
      <c r="G118" s="20"/>
      <c r="H118" s="20"/>
      <c r="I118" s="20" t="s">
        <v>7200</v>
      </c>
      <c r="J118" s="20" t="s">
        <v>7201</v>
      </c>
      <c r="K118" s="20" t="s">
        <v>1725</v>
      </c>
      <c r="L118" s="20" t="s">
        <v>7197</v>
      </c>
    </row>
    <row r="119">
      <c r="A119" s="20" t="s">
        <v>7202</v>
      </c>
      <c r="B119" s="21">
        <v>46006.385601851856</v>
      </c>
      <c r="C119" s="20" t="s">
        <v>6810</v>
      </c>
      <c r="D119" s="22" t="s">
        <v>6811</v>
      </c>
      <c r="E119" s="20" t="s">
        <v>7203</v>
      </c>
      <c r="F119" s="20" t="s">
        <v>7199</v>
      </c>
      <c r="G119" s="20"/>
      <c r="H119" s="20"/>
      <c r="I119" s="20" t="s">
        <v>7200</v>
      </c>
      <c r="J119" s="20" t="s">
        <v>7204</v>
      </c>
      <c r="K119" s="20" t="s">
        <v>1725</v>
      </c>
      <c r="L119" s="20" t="s">
        <v>7197</v>
      </c>
    </row>
    <row r="120">
      <c r="A120" s="20" t="s">
        <v>7205</v>
      </c>
      <c r="B120" s="21">
        <v>46003.62909722222</v>
      </c>
      <c r="C120" s="20" t="s">
        <v>6897</v>
      </c>
      <c r="D120" s="22" t="s">
        <v>6811</v>
      </c>
      <c r="E120" s="20" t="s">
        <v>7206</v>
      </c>
      <c r="F120" s="20" t="s">
        <v>7183</v>
      </c>
      <c r="G120" s="20"/>
      <c r="H120" s="20"/>
      <c r="I120" s="20" t="s">
        <v>7207</v>
      </c>
      <c r="J120" s="20" t="s">
        <v>7208</v>
      </c>
      <c r="K120" s="20" t="s">
        <v>5721</v>
      </c>
      <c r="L120" s="20" t="s">
        <v>7205</v>
      </c>
    </row>
    <row r="121">
      <c r="A121" s="20" t="s">
        <v>7209</v>
      </c>
      <c r="B121" s="21">
        <v>46003.39712962963</v>
      </c>
      <c r="C121" s="20" t="s">
        <v>6897</v>
      </c>
      <c r="D121" s="22" t="s">
        <v>6811</v>
      </c>
      <c r="E121" s="20" t="s">
        <v>7210</v>
      </c>
      <c r="F121" s="20" t="s">
        <v>7169</v>
      </c>
      <c r="G121" s="20"/>
      <c r="H121" s="20"/>
      <c r="I121" s="20" t="s">
        <v>7211</v>
      </c>
      <c r="J121" s="20" t="s">
        <v>7212</v>
      </c>
      <c r="K121" s="20" t="s">
        <v>5827</v>
      </c>
      <c r="L121" s="20" t="s">
        <v>7209</v>
      </c>
    </row>
    <row r="122">
      <c r="A122" s="20" t="s">
        <v>7213</v>
      </c>
      <c r="B122" s="21">
        <v>46002.60545138889</v>
      </c>
      <c r="C122" s="20" t="s">
        <v>7145</v>
      </c>
      <c r="D122" s="22" t="s">
        <v>6584</v>
      </c>
      <c r="E122" s="20" t="s">
        <v>6853</v>
      </c>
      <c r="F122" s="22" t="s">
        <v>6811</v>
      </c>
      <c r="G122" s="20"/>
      <c r="H122" s="20"/>
      <c r="I122" s="20" t="s">
        <v>7214</v>
      </c>
      <c r="J122" s="20" t="s">
        <v>7215</v>
      </c>
      <c r="K122" s="20" t="s">
        <v>1725</v>
      </c>
      <c r="L122" s="20" t="s">
        <v>7213</v>
      </c>
    </row>
    <row r="123">
      <c r="A123" s="20" t="s">
        <v>7216</v>
      </c>
      <c r="B123" s="21">
        <v>46002.597604166665</v>
      </c>
      <c r="C123" s="20" t="s">
        <v>7145</v>
      </c>
      <c r="D123" s="22" t="s">
        <v>6584</v>
      </c>
      <c r="E123" s="20" t="s">
        <v>6853</v>
      </c>
      <c r="F123" s="22" t="s">
        <v>6811</v>
      </c>
      <c r="G123" s="20"/>
      <c r="H123" s="20"/>
      <c r="I123" s="20" t="s">
        <v>7217</v>
      </c>
      <c r="J123" s="20" t="s">
        <v>7218</v>
      </c>
      <c r="K123" s="20" t="s">
        <v>1725</v>
      </c>
      <c r="L123" s="20" t="s">
        <v>7216</v>
      </c>
    </row>
    <row r="124">
      <c r="A124" s="20" t="s">
        <v>7219</v>
      </c>
      <c r="B124" s="21">
        <v>46002.59724537037</v>
      </c>
      <c r="C124" s="20" t="s">
        <v>7192</v>
      </c>
      <c r="D124" s="22" t="s">
        <v>7034</v>
      </c>
      <c r="E124" s="20" t="s">
        <v>6818</v>
      </c>
      <c r="F124" s="22" t="s">
        <v>6811</v>
      </c>
      <c r="G124" s="20"/>
      <c r="H124" s="20"/>
      <c r="I124" s="20" t="s">
        <v>7035</v>
      </c>
      <c r="J124" s="20" t="s">
        <v>7036</v>
      </c>
      <c r="K124" s="20" t="s">
        <v>2712</v>
      </c>
      <c r="L124" s="20" t="s">
        <v>7219</v>
      </c>
    </row>
    <row r="125">
      <c r="A125" s="20" t="s">
        <v>7220</v>
      </c>
      <c r="B125" s="21">
        <v>46002.474756944444</v>
      </c>
      <c r="C125" s="20" t="s">
        <v>6897</v>
      </c>
      <c r="D125" s="22" t="s">
        <v>6811</v>
      </c>
      <c r="E125" s="20" t="s">
        <v>7221</v>
      </c>
      <c r="F125" s="20" t="s">
        <v>7199</v>
      </c>
      <c r="G125" s="20"/>
      <c r="H125" s="20"/>
      <c r="I125" s="20" t="s">
        <v>7222</v>
      </c>
      <c r="J125" s="20" t="s">
        <v>7223</v>
      </c>
      <c r="K125" s="20" t="s">
        <v>1725</v>
      </c>
      <c r="L125" s="20" t="s">
        <v>7220</v>
      </c>
    </row>
    <row r="126">
      <c r="A126" s="20" t="s">
        <v>7224</v>
      </c>
      <c r="B126" s="21">
        <v>46000.90166666667</v>
      </c>
      <c r="C126" s="20" t="s">
        <v>6897</v>
      </c>
      <c r="D126" s="22" t="s">
        <v>6811</v>
      </c>
      <c r="E126" s="20" t="s">
        <v>7225</v>
      </c>
      <c r="F126" s="20" t="s">
        <v>7164</v>
      </c>
      <c r="G126" s="20"/>
      <c r="H126" s="20"/>
      <c r="I126" s="20" t="s">
        <v>7226</v>
      </c>
      <c r="J126" s="20" t="s">
        <v>7227</v>
      </c>
      <c r="K126" s="20" t="s">
        <v>3644</v>
      </c>
      <c r="L126" s="20" t="s">
        <v>7224</v>
      </c>
    </row>
    <row r="127">
      <c r="A127" s="20" t="s">
        <v>7228</v>
      </c>
      <c r="B127" s="21">
        <v>46000.41678240741</v>
      </c>
      <c r="C127" s="20" t="s">
        <v>6897</v>
      </c>
      <c r="D127" s="22" t="s">
        <v>6811</v>
      </c>
      <c r="E127" s="20" t="s">
        <v>7038</v>
      </c>
      <c r="F127" s="22" t="s">
        <v>6582</v>
      </c>
      <c r="G127" s="20" t="s">
        <v>7229</v>
      </c>
      <c r="H127" s="20" t="s">
        <v>7230</v>
      </c>
      <c r="I127" s="20" t="s">
        <v>7231</v>
      </c>
      <c r="J127" s="20" t="s">
        <v>7232</v>
      </c>
      <c r="K127" s="20" t="s">
        <v>5827</v>
      </c>
      <c r="L127" s="20" t="s">
        <v>7233</v>
      </c>
    </row>
    <row r="128">
      <c r="A128" s="20" t="s">
        <v>7234</v>
      </c>
      <c r="B128" s="21">
        <v>46027.423159722224</v>
      </c>
      <c r="C128" s="20" t="s">
        <v>6818</v>
      </c>
      <c r="D128" s="22" t="s">
        <v>6811</v>
      </c>
      <c r="E128" s="20" t="s">
        <v>6897</v>
      </c>
      <c r="F128" s="22" t="s">
        <v>6811</v>
      </c>
      <c r="G128" s="20" t="s">
        <v>7235</v>
      </c>
      <c r="H128" s="20" t="s">
        <v>7230</v>
      </c>
      <c r="I128" s="20" t="s">
        <v>7231</v>
      </c>
      <c r="J128" s="20" t="s">
        <v>7236</v>
      </c>
      <c r="K128" s="20" t="s">
        <v>5827</v>
      </c>
      <c r="L128" s="20" t="s">
        <v>7233</v>
      </c>
    </row>
    <row r="129">
      <c r="A129" s="20" t="s">
        <v>7237</v>
      </c>
      <c r="B129" s="21">
        <v>46034.417708333334</v>
      </c>
      <c r="C129" s="20" t="s">
        <v>7041</v>
      </c>
      <c r="D129" s="22" t="s">
        <v>6582</v>
      </c>
      <c r="E129" s="20" t="s">
        <v>6822</v>
      </c>
      <c r="F129" s="22" t="s">
        <v>6811</v>
      </c>
      <c r="G129" s="20" t="s">
        <v>7238</v>
      </c>
      <c r="H129" s="20" t="s">
        <v>7230</v>
      </c>
      <c r="I129" s="20" t="s">
        <v>7231</v>
      </c>
      <c r="J129" s="20" t="s">
        <v>7239</v>
      </c>
      <c r="K129" s="20" t="s">
        <v>5827</v>
      </c>
      <c r="L129" s="20" t="s">
        <v>7233</v>
      </c>
    </row>
    <row r="130">
      <c r="A130" s="20" t="s">
        <v>7240</v>
      </c>
      <c r="B130" s="21">
        <v>45994.680625</v>
      </c>
      <c r="C130" s="20" t="s">
        <v>6908</v>
      </c>
      <c r="D130" s="22" t="s">
        <v>6811</v>
      </c>
      <c r="E130" s="20" t="s">
        <v>7033</v>
      </c>
      <c r="F130" s="22" t="s">
        <v>7034</v>
      </c>
      <c r="G130" s="20" t="s">
        <v>6995</v>
      </c>
      <c r="H130" s="22" t="s">
        <v>6811</v>
      </c>
      <c r="I130" s="20" t="s">
        <v>7241</v>
      </c>
      <c r="J130" s="20" t="s">
        <v>7242</v>
      </c>
      <c r="K130" s="20" t="s">
        <v>2712</v>
      </c>
      <c r="L130" s="20" t="s">
        <v>7243</v>
      </c>
    </row>
    <row r="131">
      <c r="A131" s="20" t="s">
        <v>7244</v>
      </c>
      <c r="B131" s="21">
        <v>45986.10122685185</v>
      </c>
      <c r="C131" s="20" t="s">
        <v>6897</v>
      </c>
      <c r="D131" s="22" t="s">
        <v>6811</v>
      </c>
      <c r="E131" s="20" t="s">
        <v>7245</v>
      </c>
      <c r="F131" s="20" t="s">
        <v>7051</v>
      </c>
      <c r="G131" s="20"/>
      <c r="H131" s="20"/>
      <c r="I131" s="20" t="s">
        <v>7246</v>
      </c>
      <c r="J131" s="20" t="s">
        <v>7247</v>
      </c>
      <c r="K131" s="20" t="s">
        <v>1725</v>
      </c>
      <c r="L131" s="20" t="s">
        <v>7244</v>
      </c>
    </row>
    <row r="132">
      <c r="A132" s="20" t="s">
        <v>7248</v>
      </c>
      <c r="B132" s="21">
        <v>45986.32724537037</v>
      </c>
      <c r="C132" s="20" t="s">
        <v>7145</v>
      </c>
      <c r="D132" s="22" t="s">
        <v>6584</v>
      </c>
      <c r="E132" s="20" t="s">
        <v>6897</v>
      </c>
      <c r="F132" s="22" t="s">
        <v>6811</v>
      </c>
      <c r="G132" s="20" t="s">
        <v>7249</v>
      </c>
      <c r="H132" s="20" t="s">
        <v>7199</v>
      </c>
      <c r="I132" s="20" t="s">
        <v>7250</v>
      </c>
      <c r="J132" s="20" t="s">
        <v>7251</v>
      </c>
      <c r="K132" s="20" t="s">
        <v>1725</v>
      </c>
      <c r="L132" s="20" t="s">
        <v>7244</v>
      </c>
    </row>
    <row r="133">
      <c r="A133" s="20" t="s">
        <v>7252</v>
      </c>
      <c r="B133" s="21">
        <v>45986.441157407404</v>
      </c>
      <c r="C133" s="20" t="s">
        <v>6818</v>
      </c>
      <c r="D133" s="22" t="s">
        <v>6811</v>
      </c>
      <c r="E133" s="20" t="s">
        <v>7145</v>
      </c>
      <c r="F133" s="22" t="s">
        <v>6584</v>
      </c>
      <c r="G133" s="20" t="s">
        <v>7253</v>
      </c>
      <c r="H133" s="20" t="s">
        <v>7199</v>
      </c>
      <c r="I133" s="20" t="s">
        <v>7250</v>
      </c>
      <c r="J133" s="20" t="s">
        <v>7254</v>
      </c>
      <c r="K133" s="20" t="s">
        <v>1725</v>
      </c>
      <c r="L133" s="20" t="s">
        <v>7244</v>
      </c>
    </row>
    <row r="134">
      <c r="A134" s="20" t="s">
        <v>7255</v>
      </c>
      <c r="B134" s="21">
        <v>46002.58787037037</v>
      </c>
      <c r="C134" s="20" t="s">
        <v>6818</v>
      </c>
      <c r="D134" s="22" t="s">
        <v>6811</v>
      </c>
      <c r="E134" s="20" t="s">
        <v>7145</v>
      </c>
      <c r="F134" s="22" t="s">
        <v>6584</v>
      </c>
      <c r="G134" s="20" t="s">
        <v>7253</v>
      </c>
      <c r="H134" s="20" t="s">
        <v>7199</v>
      </c>
      <c r="I134" s="20" t="s">
        <v>7250</v>
      </c>
      <c r="J134" s="20" t="s">
        <v>7256</v>
      </c>
      <c r="K134" s="20" t="s">
        <v>1725</v>
      </c>
      <c r="L134" s="20" t="s">
        <v>7244</v>
      </c>
    </row>
    <row r="135">
      <c r="A135" s="20" t="s">
        <v>7257</v>
      </c>
      <c r="B135" s="21">
        <v>45986.09903935185</v>
      </c>
      <c r="C135" s="20" t="s">
        <v>6897</v>
      </c>
      <c r="D135" s="22" t="s">
        <v>6811</v>
      </c>
      <c r="E135" s="20" t="s">
        <v>7258</v>
      </c>
      <c r="F135" s="20" t="s">
        <v>7199</v>
      </c>
      <c r="G135" s="20"/>
      <c r="H135" s="20"/>
      <c r="I135" s="20" t="s">
        <v>7259</v>
      </c>
      <c r="J135" s="20" t="s">
        <v>7260</v>
      </c>
      <c r="K135" s="20" t="s">
        <v>1725</v>
      </c>
      <c r="L135" s="20" t="s">
        <v>7257</v>
      </c>
    </row>
    <row r="136">
      <c r="A136" s="20" t="s">
        <v>7261</v>
      </c>
      <c r="B136" s="21">
        <v>45986.07958333333</v>
      </c>
      <c r="C136" s="20" t="s">
        <v>6897</v>
      </c>
      <c r="D136" s="22" t="s">
        <v>6811</v>
      </c>
      <c r="E136" s="20" t="s">
        <v>7206</v>
      </c>
      <c r="F136" s="20" t="s">
        <v>7183</v>
      </c>
      <c r="G136" s="20"/>
      <c r="H136" s="20"/>
      <c r="I136" s="20" t="s">
        <v>7262</v>
      </c>
      <c r="J136" s="20" t="s">
        <v>7263</v>
      </c>
      <c r="K136" s="20" t="s">
        <v>5721</v>
      </c>
      <c r="L136" s="20" t="s">
        <v>7261</v>
      </c>
    </row>
    <row r="137">
      <c r="A137" s="20" t="s">
        <v>7264</v>
      </c>
      <c r="B137" s="21">
        <v>45986.076886574076</v>
      </c>
      <c r="C137" s="20" t="s">
        <v>6897</v>
      </c>
      <c r="D137" s="22" t="s">
        <v>6811</v>
      </c>
      <c r="E137" s="20" t="s">
        <v>7225</v>
      </c>
      <c r="F137" s="20" t="s">
        <v>7164</v>
      </c>
      <c r="G137" s="20"/>
      <c r="H137" s="20"/>
      <c r="I137" s="20" t="s">
        <v>7265</v>
      </c>
      <c r="J137" s="20" t="s">
        <v>7266</v>
      </c>
      <c r="K137" s="20" t="s">
        <v>3644</v>
      </c>
      <c r="L137" s="20" t="s">
        <v>7264</v>
      </c>
    </row>
    <row r="138">
      <c r="A138" s="20" t="s">
        <v>7267</v>
      </c>
      <c r="B138" s="21">
        <v>45986.07638888889</v>
      </c>
      <c r="C138" s="20" t="s">
        <v>6897</v>
      </c>
      <c r="D138" s="22" t="s">
        <v>6811</v>
      </c>
      <c r="E138" s="20" t="s">
        <v>7268</v>
      </c>
      <c r="F138" s="20" t="s">
        <v>7174</v>
      </c>
      <c r="G138" s="20"/>
      <c r="H138" s="20"/>
      <c r="I138" s="20" t="s">
        <v>7269</v>
      </c>
      <c r="J138" s="20" t="s">
        <v>7270</v>
      </c>
      <c r="K138" s="20" t="s">
        <v>2712</v>
      </c>
      <c r="L138" s="20" t="s">
        <v>7267</v>
      </c>
    </row>
    <row r="139">
      <c r="A139" s="20" t="s">
        <v>7271</v>
      </c>
      <c r="B139" s="21">
        <v>46031.59649305556</v>
      </c>
      <c r="C139" s="20" t="s">
        <v>7272</v>
      </c>
      <c r="D139" s="22" t="s">
        <v>6586</v>
      </c>
      <c r="E139" s="20" t="s">
        <v>6818</v>
      </c>
      <c r="F139" s="22" t="s">
        <v>6811</v>
      </c>
      <c r="G139" s="20"/>
      <c r="H139" s="20"/>
      <c r="I139" s="20" t="s">
        <v>7273</v>
      </c>
      <c r="J139" s="20" t="s">
        <v>7274</v>
      </c>
      <c r="K139" s="20" t="s">
        <v>5396</v>
      </c>
      <c r="L139" s="20" t="s">
        <v>7271</v>
      </c>
    </row>
    <row r="140">
      <c r="A140" s="20" t="s">
        <v>7275</v>
      </c>
      <c r="B140" s="21">
        <v>46034.58503472222</v>
      </c>
      <c r="C140" s="20" t="s">
        <v>7276</v>
      </c>
      <c r="D140" s="22" t="s">
        <v>6811</v>
      </c>
      <c r="E140" s="20" t="s">
        <v>7277</v>
      </c>
      <c r="F140" s="20" t="s">
        <v>7278</v>
      </c>
      <c r="G140" s="20"/>
      <c r="H140" s="20"/>
      <c r="I140" s="20" t="s">
        <v>7279</v>
      </c>
      <c r="J140" s="20" t="s">
        <v>7280</v>
      </c>
      <c r="K140" s="20" t="s">
        <v>5396</v>
      </c>
      <c r="L140" s="20" t="s">
        <v>7271</v>
      </c>
    </row>
    <row r="141">
      <c r="A141" s="20" t="s">
        <v>7281</v>
      </c>
      <c r="B141" s="21">
        <v>46031.579317129625</v>
      </c>
      <c r="C141" s="20" t="s">
        <v>7272</v>
      </c>
      <c r="D141" s="22" t="s">
        <v>6586</v>
      </c>
      <c r="E141" s="20" t="s">
        <v>7282</v>
      </c>
      <c r="F141" s="20" t="s">
        <v>7278</v>
      </c>
      <c r="G141" s="20"/>
      <c r="H141" s="20"/>
      <c r="I141" s="20" t="s">
        <v>7283</v>
      </c>
      <c r="J141" s="20" t="s">
        <v>7284</v>
      </c>
      <c r="K141" s="20" t="s">
        <v>5396</v>
      </c>
      <c r="L141" s="20" t="s">
        <v>7281</v>
      </c>
    </row>
    <row r="142">
      <c r="A142" s="20" t="s">
        <v>7285</v>
      </c>
      <c r="B142" s="21">
        <v>46031.59799768518</v>
      </c>
      <c r="C142" s="20" t="s">
        <v>6818</v>
      </c>
      <c r="D142" s="22" t="s">
        <v>6811</v>
      </c>
      <c r="E142" s="20" t="s">
        <v>7272</v>
      </c>
      <c r="F142" s="22" t="s">
        <v>6586</v>
      </c>
      <c r="G142" s="20" t="s">
        <v>7286</v>
      </c>
      <c r="H142" s="22" t="s">
        <v>6586</v>
      </c>
      <c r="I142" s="20" t="s">
        <v>7287</v>
      </c>
      <c r="J142" s="20" t="s">
        <v>7288</v>
      </c>
      <c r="K142" s="20" t="s">
        <v>5396</v>
      </c>
      <c r="L142" s="20" t="s">
        <v>7281</v>
      </c>
    </row>
    <row r="143">
      <c r="A143" s="20" t="s">
        <v>7289</v>
      </c>
      <c r="B143" s="21">
        <v>46034.45824074074</v>
      </c>
      <c r="C143" s="20" t="s">
        <v>7286</v>
      </c>
      <c r="D143" s="22" t="s">
        <v>6586</v>
      </c>
      <c r="E143" s="20" t="s">
        <v>6818</v>
      </c>
      <c r="F143" s="22" t="s">
        <v>6811</v>
      </c>
      <c r="G143" s="20" t="s">
        <v>7272</v>
      </c>
      <c r="H143" s="22" t="s">
        <v>6586</v>
      </c>
      <c r="I143" s="20" t="s">
        <v>7287</v>
      </c>
      <c r="J143" s="20" t="s">
        <v>7290</v>
      </c>
      <c r="K143" s="20" t="s">
        <v>5396</v>
      </c>
      <c r="L143" s="20" t="s">
        <v>7281</v>
      </c>
    </row>
    <row r="144">
      <c r="A144" s="20" t="s">
        <v>7291</v>
      </c>
      <c r="B144" s="21">
        <v>46031.35815972222</v>
      </c>
      <c r="C144" s="20" t="s">
        <v>7292</v>
      </c>
      <c r="D144" s="22" t="s">
        <v>6587</v>
      </c>
      <c r="E144" s="20" t="s">
        <v>6818</v>
      </c>
      <c r="F144" s="22" t="s">
        <v>6811</v>
      </c>
      <c r="G144" s="20"/>
      <c r="H144" s="20"/>
      <c r="I144" s="20" t="s">
        <v>7293</v>
      </c>
      <c r="J144" s="20" t="s">
        <v>7294</v>
      </c>
      <c r="K144" s="20" t="s">
        <v>5815</v>
      </c>
      <c r="L144" s="20" t="s">
        <v>7291</v>
      </c>
    </row>
    <row r="145">
      <c r="A145" s="20" t="s">
        <v>7295</v>
      </c>
      <c r="B145" s="21">
        <v>46030.62760416667</v>
      </c>
      <c r="C145" s="20" t="s">
        <v>6818</v>
      </c>
      <c r="D145" s="22" t="s">
        <v>6811</v>
      </c>
      <c r="E145" s="20" t="s">
        <v>7296</v>
      </c>
      <c r="F145" s="20" t="s">
        <v>7297</v>
      </c>
      <c r="G145" s="20" t="s">
        <v>6897</v>
      </c>
      <c r="H145" s="22" t="s">
        <v>6811</v>
      </c>
      <c r="I145" s="20" t="s">
        <v>7298</v>
      </c>
      <c r="J145" s="20" t="s">
        <v>7299</v>
      </c>
      <c r="K145" s="20" t="s">
        <v>5681</v>
      </c>
      <c r="L145" s="20" t="s">
        <v>7300</v>
      </c>
    </row>
    <row r="146">
      <c r="A146" s="20" t="s">
        <v>7301</v>
      </c>
      <c r="B146" s="21">
        <v>46030.44388888888</v>
      </c>
      <c r="C146" s="20" t="s">
        <v>7272</v>
      </c>
      <c r="D146" s="22" t="s">
        <v>6586</v>
      </c>
      <c r="E146" s="20" t="s">
        <v>7302</v>
      </c>
      <c r="F146" s="20" t="s">
        <v>7278</v>
      </c>
      <c r="G146" s="20"/>
      <c r="H146" s="20"/>
      <c r="I146" s="20" t="s">
        <v>7303</v>
      </c>
      <c r="J146" s="20" t="s">
        <v>7304</v>
      </c>
      <c r="K146" s="20" t="s">
        <v>5396</v>
      </c>
      <c r="L146" s="20" t="s">
        <v>7301</v>
      </c>
    </row>
    <row r="147">
      <c r="A147" s="20" t="s">
        <v>7305</v>
      </c>
      <c r="B147" s="21">
        <v>46030.34924768518</v>
      </c>
      <c r="C147" s="20" t="s">
        <v>7292</v>
      </c>
      <c r="D147" s="22" t="s">
        <v>6587</v>
      </c>
      <c r="E147" s="20" t="s">
        <v>6818</v>
      </c>
      <c r="F147" s="22" t="s">
        <v>6811</v>
      </c>
      <c r="G147" s="20"/>
      <c r="H147" s="20"/>
      <c r="I147" s="20" t="s">
        <v>7306</v>
      </c>
      <c r="J147" s="20" t="s">
        <v>7042</v>
      </c>
      <c r="K147" s="20" t="s">
        <v>5815</v>
      </c>
      <c r="L147" s="20" t="s">
        <v>7305</v>
      </c>
    </row>
    <row r="148">
      <c r="A148" s="20" t="s">
        <v>7307</v>
      </c>
      <c r="B148" s="21">
        <v>46030.34846064815</v>
      </c>
      <c r="C148" s="20" t="s">
        <v>7292</v>
      </c>
      <c r="D148" s="22" t="s">
        <v>6587</v>
      </c>
      <c r="E148" s="20" t="s">
        <v>7308</v>
      </c>
      <c r="F148" s="20" t="s">
        <v>7309</v>
      </c>
      <c r="G148" s="20"/>
      <c r="H148" s="20"/>
      <c r="I148" s="20" t="s">
        <v>7310</v>
      </c>
      <c r="J148" s="20" t="s">
        <v>7311</v>
      </c>
      <c r="K148" s="20" t="s">
        <v>5815</v>
      </c>
      <c r="L148" s="20" t="s">
        <v>7307</v>
      </c>
    </row>
    <row r="149">
      <c r="A149" s="20" t="s">
        <v>7312</v>
      </c>
      <c r="B149" s="21">
        <v>46029.64555555556</v>
      </c>
      <c r="C149" s="20" t="s">
        <v>7292</v>
      </c>
      <c r="D149" s="22" t="s">
        <v>6587</v>
      </c>
      <c r="E149" s="20" t="s">
        <v>6818</v>
      </c>
      <c r="F149" s="22" t="s">
        <v>6811</v>
      </c>
      <c r="G149" s="20" t="s">
        <v>7313</v>
      </c>
      <c r="H149" s="20" t="s">
        <v>7309</v>
      </c>
      <c r="I149" s="20" t="s">
        <v>7314</v>
      </c>
      <c r="J149" s="20" t="s">
        <v>7315</v>
      </c>
      <c r="K149" s="20" t="s">
        <v>5815</v>
      </c>
      <c r="L149" s="20" t="s">
        <v>7312</v>
      </c>
    </row>
    <row r="150">
      <c r="A150" s="20" t="s">
        <v>7316</v>
      </c>
      <c r="B150" s="21">
        <v>46029.83185185185</v>
      </c>
      <c r="C150" s="20" t="s">
        <v>6818</v>
      </c>
      <c r="D150" s="22" t="s">
        <v>6811</v>
      </c>
      <c r="E150" s="20" t="s">
        <v>7292</v>
      </c>
      <c r="F150" s="22" t="s">
        <v>6587</v>
      </c>
      <c r="G150" s="20" t="s">
        <v>7313</v>
      </c>
      <c r="H150" s="20" t="s">
        <v>7309</v>
      </c>
      <c r="I150" s="20" t="s">
        <v>7317</v>
      </c>
      <c r="J150" s="20" t="s">
        <v>7318</v>
      </c>
      <c r="K150" s="20" t="s">
        <v>5815</v>
      </c>
      <c r="L150" s="20" t="s">
        <v>7312</v>
      </c>
    </row>
    <row r="151">
      <c r="A151" s="20" t="s">
        <v>7319</v>
      </c>
      <c r="B151" s="21">
        <v>46030.34894675926</v>
      </c>
      <c r="C151" s="20" t="s">
        <v>7292</v>
      </c>
      <c r="D151" s="22" t="s">
        <v>6587</v>
      </c>
      <c r="E151" s="20" t="s">
        <v>6818</v>
      </c>
      <c r="F151" s="22" t="s">
        <v>6811</v>
      </c>
      <c r="G151" s="20" t="s">
        <v>7313</v>
      </c>
      <c r="H151" s="20" t="s">
        <v>7309</v>
      </c>
      <c r="I151" s="20" t="s">
        <v>7320</v>
      </c>
      <c r="J151" s="20" t="s">
        <v>7321</v>
      </c>
      <c r="K151" s="20" t="s">
        <v>5815</v>
      </c>
      <c r="L151" s="20" t="s">
        <v>7312</v>
      </c>
    </row>
    <row r="152">
      <c r="A152" s="20" t="s">
        <v>7322</v>
      </c>
      <c r="B152" s="21">
        <v>46028.56296296296</v>
      </c>
      <c r="C152" s="20" t="s">
        <v>6818</v>
      </c>
      <c r="D152" s="22" t="s">
        <v>6811</v>
      </c>
      <c r="E152" s="20" t="s">
        <v>7323</v>
      </c>
      <c r="F152" s="22" t="s">
        <v>6587</v>
      </c>
      <c r="G152" s="20" t="s">
        <v>6853</v>
      </c>
      <c r="H152" s="22" t="s">
        <v>6811</v>
      </c>
      <c r="I152" s="20" t="s">
        <v>6854</v>
      </c>
      <c r="J152" s="20" t="s">
        <v>7324</v>
      </c>
      <c r="K152" s="20" t="s">
        <v>5815</v>
      </c>
      <c r="L152" s="20" t="s">
        <v>7322</v>
      </c>
    </row>
    <row r="153">
      <c r="A153" s="20" t="s">
        <v>7325</v>
      </c>
      <c r="B153" s="21">
        <v>46028.56296296296</v>
      </c>
      <c r="C153" s="20" t="s">
        <v>6818</v>
      </c>
      <c r="D153" s="22" t="s">
        <v>6811</v>
      </c>
      <c r="E153" s="20" t="s">
        <v>7326</v>
      </c>
      <c r="F153" s="22" t="s">
        <v>6586</v>
      </c>
      <c r="G153" s="20" t="s">
        <v>6853</v>
      </c>
      <c r="H153" s="22" t="s">
        <v>6811</v>
      </c>
      <c r="I153" s="20" t="s">
        <v>6854</v>
      </c>
      <c r="J153" s="20" t="s">
        <v>7327</v>
      </c>
      <c r="K153" s="20" t="s">
        <v>5396</v>
      </c>
      <c r="L153" s="20" t="s">
        <v>7325</v>
      </c>
    </row>
    <row r="154">
      <c r="A154" s="20" t="s">
        <v>7328</v>
      </c>
      <c r="B154" s="21">
        <v>46028.562939814816</v>
      </c>
      <c r="C154" s="20" t="s">
        <v>6818</v>
      </c>
      <c r="D154" s="22" t="s">
        <v>6811</v>
      </c>
      <c r="E154" s="20" t="s">
        <v>7329</v>
      </c>
      <c r="F154" s="22" t="s">
        <v>6588</v>
      </c>
      <c r="G154" s="20" t="s">
        <v>6853</v>
      </c>
      <c r="H154" s="22" t="s">
        <v>6811</v>
      </c>
      <c r="I154" s="20" t="s">
        <v>6854</v>
      </c>
      <c r="J154" s="20" t="s">
        <v>7330</v>
      </c>
      <c r="K154" s="20" t="s">
        <v>2672</v>
      </c>
      <c r="L154" s="20" t="s">
        <v>7328</v>
      </c>
    </row>
    <row r="155">
      <c r="A155" s="20" t="s">
        <v>7331</v>
      </c>
      <c r="B155" s="21">
        <v>46028.56292824074</v>
      </c>
      <c r="C155" s="20" t="s">
        <v>6818</v>
      </c>
      <c r="D155" s="22" t="s">
        <v>6811</v>
      </c>
      <c r="E155" s="20" t="s">
        <v>7332</v>
      </c>
      <c r="F155" s="22" t="s">
        <v>6588</v>
      </c>
      <c r="G155" s="20" t="s">
        <v>6853</v>
      </c>
      <c r="H155" s="22" t="s">
        <v>6811</v>
      </c>
      <c r="I155" s="20" t="s">
        <v>6854</v>
      </c>
      <c r="J155" s="20" t="s">
        <v>7333</v>
      </c>
      <c r="K155" s="20" t="s">
        <v>2672</v>
      </c>
      <c r="L155" s="20" t="s">
        <v>7331</v>
      </c>
    </row>
    <row r="156">
      <c r="A156" s="20" t="s">
        <v>7334</v>
      </c>
      <c r="B156" s="21">
        <v>46028.56292824074</v>
      </c>
      <c r="C156" s="20" t="s">
        <v>6818</v>
      </c>
      <c r="D156" s="22" t="s">
        <v>6811</v>
      </c>
      <c r="E156" s="20" t="s">
        <v>7335</v>
      </c>
      <c r="F156" s="22" t="s">
        <v>6588</v>
      </c>
      <c r="G156" s="20" t="s">
        <v>6853</v>
      </c>
      <c r="H156" s="22" t="s">
        <v>6811</v>
      </c>
      <c r="I156" s="20" t="s">
        <v>6854</v>
      </c>
      <c r="J156" s="20" t="s">
        <v>7336</v>
      </c>
      <c r="K156" s="20" t="s">
        <v>2672</v>
      </c>
      <c r="L156" s="20" t="s">
        <v>7334</v>
      </c>
    </row>
    <row r="157">
      <c r="A157" s="20" t="s">
        <v>7337</v>
      </c>
      <c r="B157" s="21">
        <v>46028.56291666666</v>
      </c>
      <c r="C157" s="20" t="s">
        <v>6818</v>
      </c>
      <c r="D157" s="22" t="s">
        <v>6811</v>
      </c>
      <c r="E157" s="20" t="s">
        <v>7338</v>
      </c>
      <c r="F157" s="22" t="s">
        <v>6586</v>
      </c>
      <c r="G157" s="20" t="s">
        <v>6853</v>
      </c>
      <c r="H157" s="22" t="s">
        <v>6811</v>
      </c>
      <c r="I157" s="20" t="s">
        <v>6854</v>
      </c>
      <c r="J157" s="20" t="s">
        <v>7339</v>
      </c>
      <c r="K157" s="20" t="s">
        <v>5396</v>
      </c>
      <c r="L157" s="20" t="s">
        <v>7337</v>
      </c>
    </row>
    <row r="158">
      <c r="A158" s="20" t="s">
        <v>7340</v>
      </c>
      <c r="B158" s="21">
        <v>46028.56291666666</v>
      </c>
      <c r="C158" s="20" t="s">
        <v>6818</v>
      </c>
      <c r="D158" s="22" t="s">
        <v>6811</v>
      </c>
      <c r="E158" s="20" t="s">
        <v>7341</v>
      </c>
      <c r="F158" s="22" t="s">
        <v>7342</v>
      </c>
      <c r="G158" s="20" t="s">
        <v>6853</v>
      </c>
      <c r="H158" s="22" t="s">
        <v>6811</v>
      </c>
      <c r="I158" s="20" t="s">
        <v>6854</v>
      </c>
      <c r="J158" s="20" t="s">
        <v>7343</v>
      </c>
      <c r="K158" s="20" t="s">
        <v>5681</v>
      </c>
      <c r="L158" s="20" t="s">
        <v>7340</v>
      </c>
    </row>
    <row r="159">
      <c r="A159" s="20" t="s">
        <v>7344</v>
      </c>
      <c r="B159" s="21">
        <v>46028.56291666666</v>
      </c>
      <c r="C159" s="20" t="s">
        <v>6818</v>
      </c>
      <c r="D159" s="22" t="s">
        <v>6811</v>
      </c>
      <c r="E159" s="20" t="s">
        <v>7345</v>
      </c>
      <c r="F159" s="22" t="s">
        <v>7346</v>
      </c>
      <c r="G159" s="20" t="s">
        <v>6853</v>
      </c>
      <c r="H159" s="22" t="s">
        <v>6811</v>
      </c>
      <c r="I159" s="20" t="s">
        <v>6854</v>
      </c>
      <c r="J159" s="20" t="s">
        <v>7347</v>
      </c>
      <c r="K159" s="20" t="s">
        <v>5681</v>
      </c>
      <c r="L159" s="20" t="s">
        <v>7344</v>
      </c>
    </row>
    <row r="160">
      <c r="A160" s="20" t="s">
        <v>7348</v>
      </c>
      <c r="B160" s="21">
        <v>46028.56290509259</v>
      </c>
      <c r="C160" s="20" t="s">
        <v>6818</v>
      </c>
      <c r="D160" s="22" t="s">
        <v>6811</v>
      </c>
      <c r="E160" s="20" t="s">
        <v>7349</v>
      </c>
      <c r="F160" s="22" t="s">
        <v>6588</v>
      </c>
      <c r="G160" s="20" t="s">
        <v>6853</v>
      </c>
      <c r="H160" s="22" t="s">
        <v>6811</v>
      </c>
      <c r="I160" s="20" t="s">
        <v>6854</v>
      </c>
      <c r="J160" s="20" t="s">
        <v>7350</v>
      </c>
      <c r="K160" s="20" t="s">
        <v>2672</v>
      </c>
      <c r="L160" s="20" t="s">
        <v>7348</v>
      </c>
    </row>
    <row r="161">
      <c r="A161" s="20" t="s">
        <v>7351</v>
      </c>
      <c r="B161" s="21">
        <v>46028.56290509259</v>
      </c>
      <c r="C161" s="20" t="s">
        <v>6818</v>
      </c>
      <c r="D161" s="22" t="s">
        <v>6811</v>
      </c>
      <c r="E161" s="20" t="s">
        <v>7352</v>
      </c>
      <c r="F161" s="22" t="s">
        <v>6587</v>
      </c>
      <c r="G161" s="20" t="s">
        <v>6853</v>
      </c>
      <c r="H161" s="22" t="s">
        <v>6811</v>
      </c>
      <c r="I161" s="20" t="s">
        <v>6854</v>
      </c>
      <c r="J161" s="20" t="s">
        <v>7353</v>
      </c>
      <c r="K161" s="20" t="s">
        <v>5815</v>
      </c>
      <c r="L161" s="20" t="s">
        <v>7351</v>
      </c>
    </row>
    <row r="162">
      <c r="A162" s="20" t="s">
        <v>7354</v>
      </c>
      <c r="B162" s="21">
        <v>46028.56289351852</v>
      </c>
      <c r="C162" s="20" t="s">
        <v>6818</v>
      </c>
      <c r="D162" s="22" t="s">
        <v>6811</v>
      </c>
      <c r="E162" s="20" t="s">
        <v>7355</v>
      </c>
      <c r="F162" s="22" t="s">
        <v>6587</v>
      </c>
      <c r="G162" s="20" t="s">
        <v>6853</v>
      </c>
      <c r="H162" s="22" t="s">
        <v>6811</v>
      </c>
      <c r="I162" s="20" t="s">
        <v>6854</v>
      </c>
      <c r="J162" s="20" t="s">
        <v>7356</v>
      </c>
      <c r="K162" s="20" t="s">
        <v>5815</v>
      </c>
      <c r="L162" s="20" t="s">
        <v>7354</v>
      </c>
    </row>
    <row r="163">
      <c r="A163" s="20" t="s">
        <v>7357</v>
      </c>
      <c r="B163" s="21">
        <v>46022.38552083333</v>
      </c>
      <c r="C163" s="20" t="s">
        <v>6810</v>
      </c>
      <c r="D163" s="22" t="s">
        <v>6811</v>
      </c>
      <c r="E163" s="20" t="s">
        <v>7358</v>
      </c>
      <c r="F163" s="20" t="s">
        <v>7359</v>
      </c>
      <c r="G163" s="20"/>
      <c r="H163" s="20"/>
      <c r="I163" s="20" t="s">
        <v>7360</v>
      </c>
      <c r="J163" s="20" t="s">
        <v>7361</v>
      </c>
      <c r="K163" s="20" t="s">
        <v>5815</v>
      </c>
      <c r="L163" s="20" t="s">
        <v>7357</v>
      </c>
    </row>
    <row r="164">
      <c r="A164" s="20" t="s">
        <v>7362</v>
      </c>
      <c r="B164" s="21">
        <v>46027.375289351854</v>
      </c>
      <c r="C164" s="20" t="s">
        <v>7292</v>
      </c>
      <c r="D164" s="22" t="s">
        <v>6587</v>
      </c>
      <c r="E164" s="20" t="s">
        <v>6810</v>
      </c>
      <c r="F164" s="22" t="s">
        <v>6811</v>
      </c>
      <c r="G164" s="20" t="s">
        <v>7363</v>
      </c>
      <c r="H164" s="22" t="s">
        <v>6811</v>
      </c>
      <c r="I164" s="20" t="s">
        <v>7364</v>
      </c>
      <c r="J164" s="20" t="s">
        <v>7365</v>
      </c>
      <c r="K164" s="20" t="s">
        <v>5815</v>
      </c>
      <c r="L164" s="20" t="s">
        <v>7357</v>
      </c>
    </row>
    <row r="165">
      <c r="A165" s="20" t="s">
        <v>7366</v>
      </c>
      <c r="B165" s="21">
        <v>46027.40315972222</v>
      </c>
      <c r="C165" s="20" t="s">
        <v>7367</v>
      </c>
      <c r="D165" s="22" t="s">
        <v>6811</v>
      </c>
      <c r="E165" s="20" t="s">
        <v>7292</v>
      </c>
      <c r="F165" s="22" t="s">
        <v>6587</v>
      </c>
      <c r="G165" s="20" t="s">
        <v>7368</v>
      </c>
      <c r="H165" s="22" t="s">
        <v>6811</v>
      </c>
      <c r="I165" s="20" t="s">
        <v>7369</v>
      </c>
      <c r="J165" s="20" t="s">
        <v>7370</v>
      </c>
      <c r="K165" s="20" t="s">
        <v>5815</v>
      </c>
      <c r="L165" s="20" t="s">
        <v>7357</v>
      </c>
    </row>
    <row r="166">
      <c r="A166" s="20" t="s">
        <v>7371</v>
      </c>
      <c r="B166" s="21">
        <v>46022.38552083333</v>
      </c>
      <c r="C166" s="20" t="s">
        <v>6810</v>
      </c>
      <c r="D166" s="22" t="s">
        <v>6811</v>
      </c>
      <c r="E166" s="20" t="s">
        <v>7372</v>
      </c>
      <c r="F166" s="20" t="s">
        <v>7278</v>
      </c>
      <c r="G166" s="20"/>
      <c r="H166" s="20"/>
      <c r="I166" s="20" t="s">
        <v>7373</v>
      </c>
      <c r="J166" s="20" t="s">
        <v>7374</v>
      </c>
      <c r="K166" s="20" t="s">
        <v>5396</v>
      </c>
      <c r="L166" s="20" t="s">
        <v>7371</v>
      </c>
    </row>
    <row r="167">
      <c r="A167" s="20" t="s">
        <v>7375</v>
      </c>
      <c r="B167" s="21">
        <v>46034.56349537037</v>
      </c>
      <c r="C167" s="20" t="s">
        <v>7376</v>
      </c>
      <c r="D167" s="22" t="s">
        <v>6586</v>
      </c>
      <c r="E167" s="20" t="s">
        <v>7377</v>
      </c>
      <c r="F167" s="20" t="s">
        <v>7278</v>
      </c>
      <c r="G167" s="20" t="s">
        <v>7378</v>
      </c>
      <c r="H167" s="22" t="s">
        <v>6811</v>
      </c>
      <c r="I167" s="20" t="s">
        <v>7379</v>
      </c>
      <c r="J167" s="20" t="s">
        <v>7380</v>
      </c>
      <c r="K167" s="20" t="s">
        <v>5396</v>
      </c>
      <c r="L167" s="20" t="s">
        <v>7371</v>
      </c>
    </row>
    <row r="168">
      <c r="A168" s="20" t="s">
        <v>7381</v>
      </c>
      <c r="B168" s="21">
        <v>46008.727361111116</v>
      </c>
      <c r="C168" s="20" t="s">
        <v>6897</v>
      </c>
      <c r="D168" s="22" t="s">
        <v>6811</v>
      </c>
      <c r="E168" s="20" t="s">
        <v>7382</v>
      </c>
      <c r="F168" s="20" t="s">
        <v>7383</v>
      </c>
      <c r="G168" s="20"/>
      <c r="H168" s="20"/>
      <c r="I168" s="20" t="s">
        <v>7384</v>
      </c>
      <c r="J168" s="20" t="s">
        <v>7385</v>
      </c>
      <c r="K168" s="20" t="s">
        <v>2672</v>
      </c>
      <c r="L168" s="20" t="s">
        <v>7381</v>
      </c>
    </row>
    <row r="169">
      <c r="A169" s="20" t="s">
        <v>7386</v>
      </c>
      <c r="B169" s="21">
        <v>46008.88674768519</v>
      </c>
      <c r="C169" s="20" t="s">
        <v>6818</v>
      </c>
      <c r="D169" s="22" t="s">
        <v>6811</v>
      </c>
      <c r="E169" s="20" t="s">
        <v>6897</v>
      </c>
      <c r="F169" s="22" t="s">
        <v>6811</v>
      </c>
      <c r="G169" s="20" t="s">
        <v>7387</v>
      </c>
      <c r="H169" s="22" t="s">
        <v>6588</v>
      </c>
      <c r="I169" s="20" t="s">
        <v>7388</v>
      </c>
      <c r="J169" s="20" t="s">
        <v>7389</v>
      </c>
      <c r="K169" s="20" t="s">
        <v>2672</v>
      </c>
      <c r="L169" s="20" t="s">
        <v>7381</v>
      </c>
    </row>
    <row r="170">
      <c r="A170" s="20" t="s">
        <v>7390</v>
      </c>
      <c r="B170" s="21">
        <v>46010.46703703704</v>
      </c>
      <c r="C170" s="20" t="s">
        <v>7391</v>
      </c>
      <c r="D170" s="22" t="s">
        <v>6588</v>
      </c>
      <c r="E170" s="20" t="s">
        <v>6822</v>
      </c>
      <c r="F170" s="22" t="s">
        <v>6811</v>
      </c>
      <c r="G170" s="20" t="s">
        <v>7392</v>
      </c>
      <c r="H170" s="22" t="s">
        <v>6588</v>
      </c>
      <c r="I170" s="20" t="s">
        <v>7393</v>
      </c>
      <c r="J170" s="20" t="s">
        <v>7394</v>
      </c>
      <c r="K170" s="20" t="s">
        <v>2672</v>
      </c>
      <c r="L170" s="20" t="s">
        <v>7381</v>
      </c>
    </row>
    <row r="171">
      <c r="A171" s="20" t="s">
        <v>7395</v>
      </c>
      <c r="B171" s="21">
        <v>46024.41284722222</v>
      </c>
      <c r="C171" s="20" t="s">
        <v>6818</v>
      </c>
      <c r="D171" s="22" t="s">
        <v>6811</v>
      </c>
      <c r="E171" s="20" t="s">
        <v>7391</v>
      </c>
      <c r="F171" s="22" t="s">
        <v>6588</v>
      </c>
      <c r="G171" s="20" t="s">
        <v>7396</v>
      </c>
      <c r="H171" s="20" t="s">
        <v>7397</v>
      </c>
      <c r="I171" s="20" t="s">
        <v>7393</v>
      </c>
      <c r="J171" s="20" t="s">
        <v>7398</v>
      </c>
      <c r="K171" s="20" t="s">
        <v>2672</v>
      </c>
      <c r="L171" s="20" t="s">
        <v>7381</v>
      </c>
    </row>
    <row r="172">
      <c r="A172" s="20" t="s">
        <v>7399</v>
      </c>
      <c r="B172" s="21">
        <v>46024.41521990741</v>
      </c>
      <c r="C172" s="20" t="s">
        <v>7391</v>
      </c>
      <c r="D172" s="22" t="s">
        <v>6588</v>
      </c>
      <c r="E172" s="20" t="s">
        <v>6818</v>
      </c>
      <c r="F172" s="22" t="s">
        <v>6811</v>
      </c>
      <c r="G172" s="20" t="s">
        <v>7396</v>
      </c>
      <c r="H172" s="20" t="s">
        <v>7397</v>
      </c>
      <c r="I172" s="20" t="s">
        <v>7393</v>
      </c>
      <c r="J172" s="20" t="s">
        <v>7400</v>
      </c>
      <c r="K172" s="20" t="s">
        <v>2672</v>
      </c>
      <c r="L172" s="20" t="s">
        <v>7381</v>
      </c>
    </row>
    <row r="173">
      <c r="A173" s="20" t="s">
        <v>7401</v>
      </c>
      <c r="B173" s="21">
        <v>46007.63570601852</v>
      </c>
      <c r="C173" s="20" t="s">
        <v>7402</v>
      </c>
      <c r="D173" s="22" t="s">
        <v>6587</v>
      </c>
      <c r="E173" s="20" t="s">
        <v>6818</v>
      </c>
      <c r="F173" s="22" t="s">
        <v>6811</v>
      </c>
      <c r="G173" s="20"/>
      <c r="H173" s="20"/>
      <c r="I173" s="20" t="s">
        <v>7306</v>
      </c>
      <c r="J173" s="20"/>
      <c r="K173" s="20" t="s">
        <v>5815</v>
      </c>
      <c r="L173" s="20" t="s">
        <v>7401</v>
      </c>
    </row>
    <row r="174">
      <c r="A174" s="20" t="s">
        <v>7403</v>
      </c>
      <c r="B174" s="21">
        <v>46007.635046296295</v>
      </c>
      <c r="C174" s="20" t="s">
        <v>7292</v>
      </c>
      <c r="D174" s="22" t="s">
        <v>6587</v>
      </c>
      <c r="E174" s="20" t="s">
        <v>6818</v>
      </c>
      <c r="F174" s="22" t="s">
        <v>6811</v>
      </c>
      <c r="G174" s="20"/>
      <c r="H174" s="20"/>
      <c r="I174" s="20" t="s">
        <v>7306</v>
      </c>
      <c r="J174" s="20" t="s">
        <v>7042</v>
      </c>
      <c r="K174" s="20" t="s">
        <v>5815</v>
      </c>
      <c r="L174" s="20" t="s">
        <v>7403</v>
      </c>
    </row>
    <row r="175">
      <c r="A175" s="20" t="s">
        <v>7404</v>
      </c>
      <c r="B175" s="21">
        <v>46006.64121527778</v>
      </c>
      <c r="C175" s="20" t="s">
        <v>7402</v>
      </c>
      <c r="D175" s="22" t="s">
        <v>6587</v>
      </c>
      <c r="E175" s="20" t="s">
        <v>6818</v>
      </c>
      <c r="F175" s="22" t="s">
        <v>6811</v>
      </c>
      <c r="G175" s="20"/>
      <c r="H175" s="20"/>
      <c r="I175" s="20" t="s">
        <v>7405</v>
      </c>
      <c r="J175" s="20"/>
      <c r="K175" s="20" t="s">
        <v>5815</v>
      </c>
      <c r="L175" s="20" t="s">
        <v>7404</v>
      </c>
    </row>
    <row r="176">
      <c r="A176" s="20" t="s">
        <v>7406</v>
      </c>
      <c r="B176" s="21">
        <v>46006.620717592596</v>
      </c>
      <c r="C176" s="20" t="s">
        <v>7292</v>
      </c>
      <c r="D176" s="22" t="s">
        <v>6587</v>
      </c>
      <c r="E176" s="20" t="s">
        <v>6818</v>
      </c>
      <c r="F176" s="22" t="s">
        <v>6811</v>
      </c>
      <c r="G176" s="20"/>
      <c r="H176" s="20"/>
      <c r="I176" s="20" t="s">
        <v>7407</v>
      </c>
      <c r="J176" s="20" t="s">
        <v>7042</v>
      </c>
      <c r="K176" s="20" t="s">
        <v>5815</v>
      </c>
      <c r="L176" s="20" t="s">
        <v>7406</v>
      </c>
    </row>
    <row r="177">
      <c r="A177" s="20" t="s">
        <v>7408</v>
      </c>
      <c r="B177" s="21">
        <v>46006.6069675926</v>
      </c>
      <c r="C177" s="20" t="s">
        <v>6818</v>
      </c>
      <c r="D177" s="22" t="s">
        <v>6811</v>
      </c>
      <c r="E177" s="20" t="s">
        <v>7409</v>
      </c>
      <c r="F177" s="20" t="s">
        <v>7359</v>
      </c>
      <c r="G177" s="20"/>
      <c r="H177" s="20"/>
      <c r="I177" s="20" t="s">
        <v>7410</v>
      </c>
      <c r="J177" s="20" t="s">
        <v>7411</v>
      </c>
      <c r="K177" s="20" t="s">
        <v>5815</v>
      </c>
      <c r="L177" s="20" t="s">
        <v>7412</v>
      </c>
    </row>
    <row r="178">
      <c r="A178" s="20" t="s">
        <v>7413</v>
      </c>
      <c r="B178" s="21">
        <v>46006.619201388894</v>
      </c>
      <c r="C178" s="20" t="s">
        <v>7292</v>
      </c>
      <c r="D178" s="22" t="s">
        <v>6587</v>
      </c>
      <c r="E178" s="20" t="s">
        <v>6818</v>
      </c>
      <c r="F178" s="22" t="s">
        <v>6811</v>
      </c>
      <c r="G178" s="20" t="s">
        <v>7414</v>
      </c>
      <c r="H178" s="20" t="s">
        <v>7359</v>
      </c>
      <c r="I178" s="20" t="s">
        <v>7415</v>
      </c>
      <c r="J178" s="20" t="s">
        <v>7416</v>
      </c>
      <c r="K178" s="20" t="s">
        <v>5815</v>
      </c>
      <c r="L178" s="20" t="s">
        <v>7412</v>
      </c>
    </row>
    <row r="179">
      <c r="A179" s="20" t="s">
        <v>7417</v>
      </c>
      <c r="B179" s="21">
        <v>46007.62886574074</v>
      </c>
      <c r="C179" s="20" t="s">
        <v>6818</v>
      </c>
      <c r="D179" s="22" t="s">
        <v>6811</v>
      </c>
      <c r="E179" s="20" t="s">
        <v>7292</v>
      </c>
      <c r="F179" s="22" t="s">
        <v>6587</v>
      </c>
      <c r="G179" s="20" t="s">
        <v>7414</v>
      </c>
      <c r="H179" s="20" t="s">
        <v>7359</v>
      </c>
      <c r="I179" s="20" t="s">
        <v>7418</v>
      </c>
      <c r="J179" s="20" t="s">
        <v>7419</v>
      </c>
      <c r="K179" s="20" t="s">
        <v>5815</v>
      </c>
      <c r="L179" s="20" t="s">
        <v>7412</v>
      </c>
    </row>
    <row r="180">
      <c r="A180" s="20" t="s">
        <v>7420</v>
      </c>
      <c r="B180" s="21">
        <v>46003.293495370366</v>
      </c>
      <c r="C180" s="20" t="s">
        <v>6818</v>
      </c>
      <c r="D180" s="22" t="s">
        <v>6811</v>
      </c>
      <c r="E180" s="20" t="s">
        <v>7326</v>
      </c>
      <c r="F180" s="22" t="s">
        <v>6586</v>
      </c>
      <c r="G180" s="20"/>
      <c r="H180" s="20"/>
      <c r="I180" s="20" t="s">
        <v>7421</v>
      </c>
      <c r="J180" s="20" t="s">
        <v>7422</v>
      </c>
      <c r="K180" s="20" t="s">
        <v>5396</v>
      </c>
      <c r="L180" s="20" t="s">
        <v>7420</v>
      </c>
    </row>
    <row r="181">
      <c r="A181" s="20" t="s">
        <v>7423</v>
      </c>
      <c r="B181" s="21">
        <v>46002.67386574074</v>
      </c>
      <c r="C181" s="20" t="s">
        <v>6897</v>
      </c>
      <c r="D181" s="22" t="s">
        <v>6811</v>
      </c>
      <c r="E181" s="20" t="s">
        <v>7424</v>
      </c>
      <c r="F181" s="20" t="s">
        <v>7359</v>
      </c>
      <c r="G181" s="20"/>
      <c r="H181" s="20"/>
      <c r="I181" s="20" t="s">
        <v>7425</v>
      </c>
      <c r="J181" s="20" t="s">
        <v>7426</v>
      </c>
      <c r="K181" s="20" t="s">
        <v>5815</v>
      </c>
      <c r="L181" s="20" t="s">
        <v>7423</v>
      </c>
    </row>
    <row r="182">
      <c r="A182" s="20" t="s">
        <v>7427</v>
      </c>
      <c r="B182" s="21">
        <v>46002.58962962963</v>
      </c>
      <c r="C182" s="20" t="s">
        <v>7272</v>
      </c>
      <c r="D182" s="22" t="s">
        <v>6586</v>
      </c>
      <c r="E182" s="20" t="s">
        <v>6995</v>
      </c>
      <c r="F182" s="22" t="s">
        <v>6811</v>
      </c>
      <c r="G182" s="20"/>
      <c r="H182" s="20"/>
      <c r="I182" s="20" t="s">
        <v>7428</v>
      </c>
      <c r="J182" s="20" t="s">
        <v>7429</v>
      </c>
      <c r="K182" s="20" t="s">
        <v>5396</v>
      </c>
      <c r="L182" s="20" t="s">
        <v>7427</v>
      </c>
    </row>
    <row r="183">
      <c r="A183" s="20" t="s">
        <v>7430</v>
      </c>
      <c r="B183" s="21">
        <v>46002.58273148148</v>
      </c>
      <c r="C183" s="20" t="s">
        <v>7272</v>
      </c>
      <c r="D183" s="22" t="s">
        <v>6586</v>
      </c>
      <c r="E183" s="20" t="s">
        <v>7431</v>
      </c>
      <c r="F183" s="20" t="s">
        <v>7278</v>
      </c>
      <c r="G183" s="20"/>
      <c r="H183" s="20"/>
      <c r="I183" s="20" t="s">
        <v>7432</v>
      </c>
      <c r="J183" s="20" t="s">
        <v>7433</v>
      </c>
      <c r="K183" s="20" t="s">
        <v>5396</v>
      </c>
      <c r="L183" s="20" t="s">
        <v>7430</v>
      </c>
    </row>
    <row r="184">
      <c r="A184" s="20" t="s">
        <v>7434</v>
      </c>
      <c r="B184" s="21">
        <v>46002.62435185185</v>
      </c>
      <c r="C184" s="20" t="s">
        <v>6818</v>
      </c>
      <c r="D184" s="22" t="s">
        <v>6811</v>
      </c>
      <c r="E184" s="20" t="s">
        <v>7272</v>
      </c>
      <c r="F184" s="22" t="s">
        <v>6586</v>
      </c>
      <c r="G184" s="20" t="s">
        <v>6897</v>
      </c>
      <c r="H184" s="22" t="s">
        <v>6811</v>
      </c>
      <c r="I184" s="20" t="s">
        <v>7435</v>
      </c>
      <c r="J184" s="20" t="s">
        <v>7436</v>
      </c>
      <c r="K184" s="20" t="s">
        <v>5396</v>
      </c>
      <c r="L184" s="20" t="s">
        <v>7430</v>
      </c>
    </row>
    <row r="185">
      <c r="A185" s="20" t="s">
        <v>7437</v>
      </c>
      <c r="B185" s="21">
        <v>46003.293171296296</v>
      </c>
      <c r="C185" s="20" t="s">
        <v>7272</v>
      </c>
      <c r="D185" s="22" t="s">
        <v>6586</v>
      </c>
      <c r="E185" s="20" t="s">
        <v>6818</v>
      </c>
      <c r="F185" s="22" t="s">
        <v>6811</v>
      </c>
      <c r="G185" s="20" t="s">
        <v>6897</v>
      </c>
      <c r="H185" s="22" t="s">
        <v>6811</v>
      </c>
      <c r="I185" s="20" t="s">
        <v>7435</v>
      </c>
      <c r="J185" s="20" t="s">
        <v>7438</v>
      </c>
      <c r="K185" s="20" t="s">
        <v>5396</v>
      </c>
      <c r="L185" s="20" t="s">
        <v>7430</v>
      </c>
    </row>
    <row r="186">
      <c r="A186" s="20" t="s">
        <v>7439</v>
      </c>
      <c r="B186" s="21">
        <v>46006.42563657407</v>
      </c>
      <c r="C186" s="20" t="s">
        <v>6818</v>
      </c>
      <c r="D186" s="22" t="s">
        <v>6811</v>
      </c>
      <c r="E186" s="20" t="s">
        <v>7272</v>
      </c>
      <c r="F186" s="22" t="s">
        <v>6586</v>
      </c>
      <c r="G186" s="20" t="s">
        <v>6897</v>
      </c>
      <c r="H186" s="22" t="s">
        <v>6811</v>
      </c>
      <c r="I186" s="20" t="s">
        <v>7435</v>
      </c>
      <c r="J186" s="20" t="s">
        <v>7440</v>
      </c>
      <c r="K186" s="20" t="s">
        <v>5396</v>
      </c>
      <c r="L186" s="20" t="s">
        <v>7430</v>
      </c>
    </row>
    <row r="187">
      <c r="A187" s="20" t="s">
        <v>7441</v>
      </c>
      <c r="B187" s="21">
        <v>46009.28775462963</v>
      </c>
      <c r="C187" s="20" t="s">
        <v>7272</v>
      </c>
      <c r="D187" s="22" t="s">
        <v>6586</v>
      </c>
      <c r="E187" s="20" t="s">
        <v>6818</v>
      </c>
      <c r="F187" s="22" t="s">
        <v>6811</v>
      </c>
      <c r="G187" s="20" t="s">
        <v>6897</v>
      </c>
      <c r="H187" s="22" t="s">
        <v>6811</v>
      </c>
      <c r="I187" s="20" t="s">
        <v>7435</v>
      </c>
      <c r="J187" s="20" t="s">
        <v>7442</v>
      </c>
      <c r="K187" s="20" t="s">
        <v>5396</v>
      </c>
      <c r="L187" s="20" t="s">
        <v>7430</v>
      </c>
    </row>
    <row r="188">
      <c r="A188" s="20" t="s">
        <v>7443</v>
      </c>
      <c r="B188" s="21">
        <v>46010.48898148148</v>
      </c>
      <c r="C188" s="20" t="s">
        <v>6818</v>
      </c>
      <c r="D188" s="22" t="s">
        <v>6811</v>
      </c>
      <c r="E188" s="20" t="s">
        <v>7272</v>
      </c>
      <c r="F188" s="22" t="s">
        <v>6586</v>
      </c>
      <c r="G188" s="20" t="s">
        <v>6897</v>
      </c>
      <c r="H188" s="22" t="s">
        <v>6811</v>
      </c>
      <c r="I188" s="20" t="s">
        <v>7435</v>
      </c>
      <c r="J188" s="20" t="s">
        <v>7444</v>
      </c>
      <c r="K188" s="20" t="s">
        <v>5396</v>
      </c>
      <c r="L188" s="20" t="s">
        <v>7430</v>
      </c>
    </row>
    <row r="189">
      <c r="A189" s="20" t="s">
        <v>7445</v>
      </c>
      <c r="B189" s="21">
        <v>46010.520104166666</v>
      </c>
      <c r="C189" s="20" t="s">
        <v>7272</v>
      </c>
      <c r="D189" s="22" t="s">
        <v>6586</v>
      </c>
      <c r="E189" s="20" t="s">
        <v>6818</v>
      </c>
      <c r="F189" s="22" t="s">
        <v>6811</v>
      </c>
      <c r="G189" s="20" t="s">
        <v>6897</v>
      </c>
      <c r="H189" s="22" t="s">
        <v>6811</v>
      </c>
      <c r="I189" s="20" t="s">
        <v>7435</v>
      </c>
      <c r="J189" s="20" t="s">
        <v>7446</v>
      </c>
      <c r="K189" s="20" t="s">
        <v>5396</v>
      </c>
      <c r="L189" s="20" t="s">
        <v>7430</v>
      </c>
    </row>
    <row r="190">
      <c r="A190" s="20" t="s">
        <v>7447</v>
      </c>
      <c r="B190" s="21">
        <v>46010.55403935185</v>
      </c>
      <c r="C190" s="20" t="s">
        <v>6818</v>
      </c>
      <c r="D190" s="22" t="s">
        <v>6811</v>
      </c>
      <c r="E190" s="20" t="s">
        <v>7272</v>
      </c>
      <c r="F190" s="22" t="s">
        <v>6586</v>
      </c>
      <c r="G190" s="20" t="s">
        <v>6897</v>
      </c>
      <c r="H190" s="22" t="s">
        <v>6811</v>
      </c>
      <c r="I190" s="20" t="s">
        <v>7435</v>
      </c>
      <c r="J190" s="20" t="s">
        <v>7448</v>
      </c>
      <c r="K190" s="20" t="s">
        <v>5396</v>
      </c>
      <c r="L190" s="20" t="s">
        <v>7430</v>
      </c>
    </row>
    <row r="191">
      <c r="A191" s="20" t="s">
        <v>7449</v>
      </c>
      <c r="B191" s="21">
        <v>46010.59298611111</v>
      </c>
      <c r="C191" s="20" t="s">
        <v>7272</v>
      </c>
      <c r="D191" s="22" t="s">
        <v>6586</v>
      </c>
      <c r="E191" s="20" t="s">
        <v>6818</v>
      </c>
      <c r="F191" s="22" t="s">
        <v>6811</v>
      </c>
      <c r="G191" s="20"/>
      <c r="H191" s="20"/>
      <c r="I191" s="20" t="s">
        <v>7435</v>
      </c>
      <c r="J191" s="20" t="s">
        <v>7450</v>
      </c>
      <c r="K191" s="20" t="s">
        <v>5396</v>
      </c>
      <c r="L191" s="20" t="s">
        <v>7430</v>
      </c>
    </row>
    <row r="192">
      <c r="A192" s="20" t="s">
        <v>7451</v>
      </c>
      <c r="B192" s="21">
        <v>46010.59532407408</v>
      </c>
      <c r="C192" s="20" t="s">
        <v>6818</v>
      </c>
      <c r="D192" s="22" t="s">
        <v>6811</v>
      </c>
      <c r="E192" s="20" t="s">
        <v>7272</v>
      </c>
      <c r="F192" s="22" t="s">
        <v>6586</v>
      </c>
      <c r="G192" s="20"/>
      <c r="H192" s="20"/>
      <c r="I192" s="20" t="s">
        <v>7435</v>
      </c>
      <c r="J192" s="20" t="s">
        <v>7452</v>
      </c>
      <c r="K192" s="20" t="s">
        <v>5396</v>
      </c>
      <c r="L192" s="20" t="s">
        <v>7430</v>
      </c>
    </row>
    <row r="193">
      <c r="A193" s="20" t="s">
        <v>7453</v>
      </c>
      <c r="B193" s="21">
        <v>46013.30403935185</v>
      </c>
      <c r="C193" s="20" t="s">
        <v>7272</v>
      </c>
      <c r="D193" s="22" t="s">
        <v>6586</v>
      </c>
      <c r="E193" s="20" t="s">
        <v>6818</v>
      </c>
      <c r="F193" s="22" t="s">
        <v>6811</v>
      </c>
      <c r="G193" s="20"/>
      <c r="H193" s="20"/>
      <c r="I193" s="20" t="s">
        <v>7435</v>
      </c>
      <c r="J193" s="20" t="s">
        <v>7454</v>
      </c>
      <c r="K193" s="20" t="s">
        <v>5396</v>
      </c>
      <c r="L193" s="20" t="s">
        <v>7430</v>
      </c>
    </row>
    <row r="194">
      <c r="A194" s="20" t="s">
        <v>7455</v>
      </c>
      <c r="B194" s="21">
        <v>46013.42847222222</v>
      </c>
      <c r="C194" s="20" t="s">
        <v>6818</v>
      </c>
      <c r="D194" s="22" t="s">
        <v>6811</v>
      </c>
      <c r="E194" s="20" t="s">
        <v>7456</v>
      </c>
      <c r="F194" s="20" t="s">
        <v>7457</v>
      </c>
      <c r="G194" s="20"/>
      <c r="H194" s="20"/>
      <c r="I194" s="20" t="s">
        <v>7435</v>
      </c>
      <c r="J194" s="20" t="s">
        <v>7458</v>
      </c>
      <c r="K194" s="20" t="s">
        <v>5396</v>
      </c>
      <c r="L194" s="20" t="s">
        <v>7430</v>
      </c>
    </row>
    <row r="195">
      <c r="A195" s="20" t="s">
        <v>7459</v>
      </c>
      <c r="B195" s="21">
        <v>46013.510879629626</v>
      </c>
      <c r="C195" s="20" t="s">
        <v>7272</v>
      </c>
      <c r="D195" s="22" t="s">
        <v>6586</v>
      </c>
      <c r="E195" s="20" t="s">
        <v>6818</v>
      </c>
      <c r="F195" s="22" t="s">
        <v>6811</v>
      </c>
      <c r="G195" s="20" t="s">
        <v>6897</v>
      </c>
      <c r="H195" s="22" t="s">
        <v>6811</v>
      </c>
      <c r="I195" s="20" t="s">
        <v>7435</v>
      </c>
      <c r="J195" s="20" t="s">
        <v>7460</v>
      </c>
      <c r="K195" s="20" t="s">
        <v>5396</v>
      </c>
      <c r="L195" s="20" t="s">
        <v>7430</v>
      </c>
    </row>
    <row r="196">
      <c r="A196" s="20" t="s">
        <v>7461</v>
      </c>
      <c r="B196" s="21">
        <v>46014.29232638889</v>
      </c>
      <c r="C196" s="20" t="s">
        <v>7272</v>
      </c>
      <c r="D196" s="22" t="s">
        <v>6586</v>
      </c>
      <c r="E196" s="20" t="s">
        <v>6818</v>
      </c>
      <c r="F196" s="22" t="s">
        <v>6811</v>
      </c>
      <c r="G196" s="20" t="s">
        <v>6897</v>
      </c>
      <c r="H196" s="22" t="s">
        <v>6811</v>
      </c>
      <c r="I196" s="20" t="s">
        <v>7435</v>
      </c>
      <c r="J196" s="20" t="s">
        <v>7462</v>
      </c>
      <c r="K196" s="20" t="s">
        <v>5396</v>
      </c>
      <c r="L196" s="20" t="s">
        <v>7430</v>
      </c>
    </row>
    <row r="197">
      <c r="A197" s="20" t="s">
        <v>7463</v>
      </c>
      <c r="B197" s="21">
        <v>46028.509305555555</v>
      </c>
      <c r="C197" s="20" t="s">
        <v>7272</v>
      </c>
      <c r="D197" s="22" t="s">
        <v>6586</v>
      </c>
      <c r="E197" s="20" t="s">
        <v>6818</v>
      </c>
      <c r="F197" s="22" t="s">
        <v>6811</v>
      </c>
      <c r="G197" s="20" t="s">
        <v>6897</v>
      </c>
      <c r="H197" s="22" t="s">
        <v>6811</v>
      </c>
      <c r="I197" s="20" t="s">
        <v>7435</v>
      </c>
      <c r="J197" s="20" t="s">
        <v>7464</v>
      </c>
      <c r="K197" s="20" t="s">
        <v>5396</v>
      </c>
      <c r="L197" s="20" t="s">
        <v>7430</v>
      </c>
    </row>
    <row r="198">
      <c r="A198" s="20" t="s">
        <v>7465</v>
      </c>
      <c r="B198" s="21">
        <v>46028.610625</v>
      </c>
      <c r="C198" s="20" t="s">
        <v>6818</v>
      </c>
      <c r="D198" s="22" t="s">
        <v>6811</v>
      </c>
      <c r="E198" s="20" t="s">
        <v>7272</v>
      </c>
      <c r="F198" s="22" t="s">
        <v>6586</v>
      </c>
      <c r="G198" s="20" t="s">
        <v>6897</v>
      </c>
      <c r="H198" s="22" t="s">
        <v>6811</v>
      </c>
      <c r="I198" s="20" t="s">
        <v>7435</v>
      </c>
      <c r="J198" s="20" t="s">
        <v>7466</v>
      </c>
      <c r="K198" s="20" t="s">
        <v>5396</v>
      </c>
      <c r="L198" s="20" t="s">
        <v>7430</v>
      </c>
    </row>
    <row r="199">
      <c r="A199" s="20" t="s">
        <v>7467</v>
      </c>
      <c r="B199" s="21">
        <v>46029.292604166665</v>
      </c>
      <c r="C199" s="20" t="s">
        <v>7272</v>
      </c>
      <c r="D199" s="22" t="s">
        <v>6586</v>
      </c>
      <c r="E199" s="20" t="s">
        <v>6818</v>
      </c>
      <c r="F199" s="22" t="s">
        <v>6811</v>
      </c>
      <c r="G199" s="20" t="s">
        <v>6897</v>
      </c>
      <c r="H199" s="22" t="s">
        <v>6811</v>
      </c>
      <c r="I199" s="20" t="s">
        <v>7435</v>
      </c>
      <c r="J199" s="20" t="s">
        <v>7468</v>
      </c>
      <c r="K199" s="20" t="s">
        <v>5396</v>
      </c>
      <c r="L199" s="20" t="s">
        <v>7430</v>
      </c>
    </row>
    <row r="200">
      <c r="A200" s="20" t="s">
        <v>7469</v>
      </c>
      <c r="B200" s="21">
        <v>46002.38266203704</v>
      </c>
      <c r="C200" s="20" t="s">
        <v>6897</v>
      </c>
      <c r="D200" s="22" t="s">
        <v>6811</v>
      </c>
      <c r="E200" s="20" t="s">
        <v>7470</v>
      </c>
      <c r="F200" s="20" t="s">
        <v>7457</v>
      </c>
      <c r="G200" s="20"/>
      <c r="H200" s="20"/>
      <c r="I200" s="20" t="s">
        <v>7471</v>
      </c>
      <c r="J200" s="20" t="s">
        <v>7472</v>
      </c>
      <c r="K200" s="20" t="s">
        <v>5396</v>
      </c>
      <c r="L200" s="20" t="s">
        <v>7469</v>
      </c>
    </row>
    <row r="201">
      <c r="A201" s="20" t="s">
        <v>7473</v>
      </c>
      <c r="B201" s="21">
        <v>46002.39587962963</v>
      </c>
      <c r="C201" s="20" t="s">
        <v>7272</v>
      </c>
      <c r="D201" s="22" t="s">
        <v>6586</v>
      </c>
      <c r="E201" s="20" t="s">
        <v>6897</v>
      </c>
      <c r="F201" s="22" t="s">
        <v>6811</v>
      </c>
      <c r="G201" s="20" t="s">
        <v>6818</v>
      </c>
      <c r="H201" s="22" t="s">
        <v>6811</v>
      </c>
      <c r="I201" s="20" t="s">
        <v>7474</v>
      </c>
      <c r="J201" s="20" t="s">
        <v>7475</v>
      </c>
      <c r="K201" s="20" t="s">
        <v>5396</v>
      </c>
      <c r="L201" s="20" t="s">
        <v>7469</v>
      </c>
    </row>
    <row r="202">
      <c r="A202" s="20" t="s">
        <v>7476</v>
      </c>
      <c r="B202" s="21">
        <v>46002.33528935185</v>
      </c>
      <c r="C202" s="20" t="s">
        <v>6897</v>
      </c>
      <c r="D202" s="22" t="s">
        <v>6811</v>
      </c>
      <c r="E202" s="20" t="s">
        <v>7477</v>
      </c>
      <c r="F202" s="20" t="s">
        <v>7478</v>
      </c>
      <c r="G202" s="20"/>
      <c r="H202" s="20"/>
      <c r="I202" s="20" t="s">
        <v>7479</v>
      </c>
      <c r="J202" s="20" t="s">
        <v>7480</v>
      </c>
      <c r="K202" s="20" t="s">
        <v>5681</v>
      </c>
      <c r="L202" s="20" t="s">
        <v>7476</v>
      </c>
    </row>
    <row r="203">
      <c r="A203" s="20" t="s">
        <v>7481</v>
      </c>
      <c r="B203" s="21">
        <v>46002.331238425926</v>
      </c>
      <c r="C203" s="20" t="s">
        <v>6897</v>
      </c>
      <c r="D203" s="22" t="s">
        <v>6811</v>
      </c>
      <c r="E203" s="20" t="s">
        <v>7482</v>
      </c>
      <c r="F203" s="20" t="s">
        <v>7483</v>
      </c>
      <c r="G203" s="20"/>
      <c r="H203" s="20"/>
      <c r="I203" s="20" t="s">
        <v>7484</v>
      </c>
      <c r="J203" s="20" t="s">
        <v>7485</v>
      </c>
      <c r="K203" s="20" t="s">
        <v>5681</v>
      </c>
      <c r="L203" s="20" t="s">
        <v>7481</v>
      </c>
    </row>
    <row r="204">
      <c r="A204" s="20" t="s">
        <v>7486</v>
      </c>
      <c r="B204" s="21">
        <v>45986.120046296295</v>
      </c>
      <c r="C204" s="20" t="s">
        <v>6897</v>
      </c>
      <c r="D204" s="22" t="s">
        <v>6811</v>
      </c>
      <c r="E204" s="20" t="s">
        <v>7487</v>
      </c>
      <c r="F204" s="20" t="s">
        <v>7359</v>
      </c>
      <c r="G204" s="20"/>
      <c r="H204" s="20"/>
      <c r="I204" s="20" t="s">
        <v>7488</v>
      </c>
      <c r="J204" s="20" t="s">
        <v>7489</v>
      </c>
      <c r="K204" s="20" t="s">
        <v>5815</v>
      </c>
      <c r="L204" s="20" t="s">
        <v>7486</v>
      </c>
    </row>
    <row r="205">
      <c r="A205" s="20" t="s">
        <v>7490</v>
      </c>
      <c r="B205" s="21">
        <v>45986.079143518524</v>
      </c>
      <c r="C205" s="20" t="s">
        <v>6897</v>
      </c>
      <c r="D205" s="22" t="s">
        <v>6811</v>
      </c>
      <c r="E205" s="20" t="s">
        <v>7491</v>
      </c>
      <c r="F205" s="20" t="s">
        <v>7397</v>
      </c>
      <c r="G205" s="20"/>
      <c r="H205" s="20"/>
      <c r="I205" s="20" t="s">
        <v>7492</v>
      </c>
      <c r="J205" s="20" t="s">
        <v>7493</v>
      </c>
      <c r="K205" s="20" t="s">
        <v>2672</v>
      </c>
      <c r="L205" s="20" t="s">
        <v>7490</v>
      </c>
    </row>
    <row r="206">
      <c r="A206" s="20" t="s">
        <v>7494</v>
      </c>
      <c r="B206" s="21">
        <v>45986.07623842593</v>
      </c>
      <c r="C206" s="20" t="s">
        <v>6897</v>
      </c>
      <c r="D206" s="22" t="s">
        <v>6811</v>
      </c>
      <c r="E206" s="20" t="s">
        <v>7495</v>
      </c>
      <c r="F206" s="20" t="s">
        <v>7278</v>
      </c>
      <c r="G206" s="20"/>
      <c r="H206" s="20"/>
      <c r="I206" s="20" t="s">
        <v>7496</v>
      </c>
      <c r="J206" s="20" t="s">
        <v>7497</v>
      </c>
      <c r="K206" s="20" t="s">
        <v>5396</v>
      </c>
      <c r="L206" s="20" t="s">
        <v>7494</v>
      </c>
    </row>
    <row r="207">
      <c r="A207" s="20" t="s">
        <v>7498</v>
      </c>
      <c r="B207" s="21">
        <v>45986.07591435185</v>
      </c>
      <c r="C207" s="20" t="s">
        <v>6897</v>
      </c>
      <c r="D207" s="22" t="s">
        <v>6811</v>
      </c>
      <c r="E207" s="20" t="s">
        <v>7477</v>
      </c>
      <c r="F207" s="20" t="s">
        <v>7478</v>
      </c>
      <c r="G207" s="20"/>
      <c r="H207" s="20"/>
      <c r="I207" s="20" t="s">
        <v>7499</v>
      </c>
      <c r="J207" s="20" t="s">
        <v>7500</v>
      </c>
      <c r="K207" s="20" t="s">
        <v>5681</v>
      </c>
      <c r="L207" s="20" t="s">
        <v>7498</v>
      </c>
    </row>
    <row r="208">
      <c r="A208" s="20" t="s">
        <v>7501</v>
      </c>
      <c r="B208" s="21">
        <v>46028.56296296296</v>
      </c>
      <c r="C208" s="20" t="s">
        <v>6818</v>
      </c>
      <c r="D208" s="22" t="s">
        <v>6811</v>
      </c>
      <c r="E208" s="20" t="s">
        <v>7502</v>
      </c>
      <c r="F208" s="22" t="s">
        <v>6594</v>
      </c>
      <c r="G208" s="20" t="s">
        <v>6853</v>
      </c>
      <c r="H208" s="22" t="s">
        <v>6811</v>
      </c>
      <c r="I208" s="20" t="s">
        <v>6854</v>
      </c>
      <c r="J208" s="20" t="s">
        <v>7503</v>
      </c>
      <c r="K208" s="20" t="s">
        <v>5285</v>
      </c>
      <c r="L208" s="20" t="s">
        <v>7501</v>
      </c>
    </row>
    <row r="209">
      <c r="A209" s="20" t="s">
        <v>7504</v>
      </c>
      <c r="B209" s="21">
        <v>46028.56296296296</v>
      </c>
      <c r="C209" s="20" t="s">
        <v>6818</v>
      </c>
      <c r="D209" s="22" t="s">
        <v>6811</v>
      </c>
      <c r="E209" s="20" t="s">
        <v>7505</v>
      </c>
      <c r="F209" s="22" t="s">
        <v>6594</v>
      </c>
      <c r="G209" s="20" t="s">
        <v>6853</v>
      </c>
      <c r="H209" s="22" t="s">
        <v>6811</v>
      </c>
      <c r="I209" s="20" t="s">
        <v>6854</v>
      </c>
      <c r="J209" s="20" t="s">
        <v>7506</v>
      </c>
      <c r="K209" s="20" t="s">
        <v>5285</v>
      </c>
      <c r="L209" s="20" t="s">
        <v>7504</v>
      </c>
    </row>
    <row r="210">
      <c r="A210" s="20" t="s">
        <v>7507</v>
      </c>
      <c r="B210" s="21">
        <v>46028.56296296296</v>
      </c>
      <c r="C210" s="20" t="s">
        <v>6818</v>
      </c>
      <c r="D210" s="22" t="s">
        <v>6811</v>
      </c>
      <c r="E210" s="20" t="s">
        <v>7508</v>
      </c>
      <c r="F210" s="22" t="s">
        <v>6594</v>
      </c>
      <c r="G210" s="20" t="s">
        <v>6853</v>
      </c>
      <c r="H210" s="22" t="s">
        <v>6811</v>
      </c>
      <c r="I210" s="20" t="s">
        <v>6854</v>
      </c>
      <c r="J210" s="20" t="s">
        <v>7509</v>
      </c>
      <c r="K210" s="20" t="s">
        <v>5285</v>
      </c>
      <c r="L210" s="20" t="s">
        <v>7507</v>
      </c>
    </row>
    <row r="211">
      <c r="A211" s="20" t="s">
        <v>7510</v>
      </c>
      <c r="B211" s="21">
        <v>46028.56296296296</v>
      </c>
      <c r="C211" s="20" t="s">
        <v>6818</v>
      </c>
      <c r="D211" s="22" t="s">
        <v>6811</v>
      </c>
      <c r="E211" s="20" t="s">
        <v>7511</v>
      </c>
      <c r="F211" s="22" t="s">
        <v>6594</v>
      </c>
      <c r="G211" s="20" t="s">
        <v>6853</v>
      </c>
      <c r="H211" s="22" t="s">
        <v>6811</v>
      </c>
      <c r="I211" s="20" t="s">
        <v>6854</v>
      </c>
      <c r="J211" s="20" t="s">
        <v>7512</v>
      </c>
      <c r="K211" s="20" t="s">
        <v>5285</v>
      </c>
      <c r="L211" s="20" t="s">
        <v>7510</v>
      </c>
    </row>
    <row r="212">
      <c r="A212" s="20" t="s">
        <v>7513</v>
      </c>
      <c r="B212" s="21">
        <v>46028.562951388885</v>
      </c>
      <c r="C212" s="20" t="s">
        <v>6818</v>
      </c>
      <c r="D212" s="22" t="s">
        <v>6811</v>
      </c>
      <c r="E212" s="20" t="s">
        <v>7514</v>
      </c>
      <c r="F212" s="22" t="s">
        <v>6594</v>
      </c>
      <c r="G212" s="20" t="s">
        <v>6853</v>
      </c>
      <c r="H212" s="22" t="s">
        <v>6811</v>
      </c>
      <c r="I212" s="20" t="s">
        <v>6854</v>
      </c>
      <c r="J212" s="20" t="s">
        <v>7515</v>
      </c>
      <c r="K212" s="20" t="s">
        <v>5285</v>
      </c>
      <c r="L212" s="20" t="s">
        <v>7513</v>
      </c>
    </row>
    <row r="213">
      <c r="A213" s="20" t="s">
        <v>7516</v>
      </c>
      <c r="B213" s="21">
        <v>46028.562939814816</v>
      </c>
      <c r="C213" s="20" t="s">
        <v>6818</v>
      </c>
      <c r="D213" s="22" t="s">
        <v>6811</v>
      </c>
      <c r="E213" s="20" t="s">
        <v>7517</v>
      </c>
      <c r="F213" s="22" t="s">
        <v>6594</v>
      </c>
      <c r="G213" s="20" t="s">
        <v>6853</v>
      </c>
      <c r="H213" s="22" t="s">
        <v>6811</v>
      </c>
      <c r="I213" s="20" t="s">
        <v>6854</v>
      </c>
      <c r="J213" s="20" t="s">
        <v>7518</v>
      </c>
      <c r="K213" s="20" t="s">
        <v>5285</v>
      </c>
      <c r="L213" s="20" t="s">
        <v>7516</v>
      </c>
    </row>
    <row r="214">
      <c r="A214" s="20" t="s">
        <v>7519</v>
      </c>
      <c r="B214" s="21">
        <v>46028.56292824074</v>
      </c>
      <c r="C214" s="20" t="s">
        <v>6818</v>
      </c>
      <c r="D214" s="22" t="s">
        <v>6811</v>
      </c>
      <c r="E214" s="20" t="s">
        <v>7520</v>
      </c>
      <c r="F214" s="22" t="s">
        <v>6593</v>
      </c>
      <c r="G214" s="20" t="s">
        <v>6853</v>
      </c>
      <c r="H214" s="22" t="s">
        <v>6811</v>
      </c>
      <c r="I214" s="20" t="s">
        <v>6854</v>
      </c>
      <c r="J214" s="20" t="s">
        <v>7521</v>
      </c>
      <c r="K214" s="20" t="s">
        <v>5637</v>
      </c>
      <c r="L214" s="20" t="s">
        <v>7519</v>
      </c>
    </row>
    <row r="215">
      <c r="A215" s="20" t="s">
        <v>7522</v>
      </c>
      <c r="B215" s="21">
        <v>46028.56292824074</v>
      </c>
      <c r="C215" s="20" t="s">
        <v>6818</v>
      </c>
      <c r="D215" s="22" t="s">
        <v>6811</v>
      </c>
      <c r="E215" s="20" t="s">
        <v>7523</v>
      </c>
      <c r="F215" s="22" t="s">
        <v>6591</v>
      </c>
      <c r="G215" s="20" t="s">
        <v>6853</v>
      </c>
      <c r="H215" s="22" t="s">
        <v>6811</v>
      </c>
      <c r="I215" s="20" t="s">
        <v>6854</v>
      </c>
      <c r="J215" s="20" t="s">
        <v>7524</v>
      </c>
      <c r="K215" s="20" t="s">
        <v>2594</v>
      </c>
      <c r="L215" s="20" t="s">
        <v>7522</v>
      </c>
    </row>
    <row r="216">
      <c r="A216" s="20" t="s">
        <v>7525</v>
      </c>
      <c r="B216" s="21">
        <v>46028.563043981485</v>
      </c>
      <c r="C216" s="20" t="s">
        <v>7526</v>
      </c>
      <c r="D216" s="22" t="s">
        <v>6591</v>
      </c>
      <c r="E216" s="20" t="s">
        <v>6818</v>
      </c>
      <c r="F216" s="22" t="s">
        <v>6811</v>
      </c>
      <c r="G216" s="20"/>
      <c r="H216" s="20"/>
      <c r="I216" s="20" t="s">
        <v>7527</v>
      </c>
      <c r="J216" s="20" t="s">
        <v>7528</v>
      </c>
      <c r="K216" s="20" t="s">
        <v>2594</v>
      </c>
      <c r="L216" s="20" t="s">
        <v>7525</v>
      </c>
    </row>
    <row r="217">
      <c r="A217" s="20" t="s">
        <v>7529</v>
      </c>
      <c r="B217" s="21">
        <v>46028.56292824074</v>
      </c>
      <c r="C217" s="20" t="s">
        <v>6818</v>
      </c>
      <c r="D217" s="22" t="s">
        <v>6811</v>
      </c>
      <c r="E217" s="20" t="s">
        <v>7530</v>
      </c>
      <c r="F217" s="22" t="s">
        <v>6591</v>
      </c>
      <c r="G217" s="20" t="s">
        <v>6853</v>
      </c>
      <c r="H217" s="22" t="s">
        <v>6811</v>
      </c>
      <c r="I217" s="20" t="s">
        <v>6854</v>
      </c>
      <c r="J217" s="20" t="s">
        <v>7531</v>
      </c>
      <c r="K217" s="20" t="s">
        <v>2594</v>
      </c>
      <c r="L217" s="20" t="s">
        <v>7529</v>
      </c>
    </row>
    <row r="218">
      <c r="A218" s="20" t="s">
        <v>7532</v>
      </c>
      <c r="B218" s="21">
        <v>46028.56290509259</v>
      </c>
      <c r="C218" s="20" t="s">
        <v>6818</v>
      </c>
      <c r="D218" s="22" t="s">
        <v>6811</v>
      </c>
      <c r="E218" s="20" t="s">
        <v>7533</v>
      </c>
      <c r="F218" s="22" t="s">
        <v>6590</v>
      </c>
      <c r="G218" s="20" t="s">
        <v>6853</v>
      </c>
      <c r="H218" s="22" t="s">
        <v>6811</v>
      </c>
      <c r="I218" s="20" t="s">
        <v>6854</v>
      </c>
      <c r="J218" s="20" t="s">
        <v>7534</v>
      </c>
      <c r="K218" s="20" t="s">
        <v>5667</v>
      </c>
      <c r="L218" s="20" t="s">
        <v>7532</v>
      </c>
    </row>
    <row r="219">
      <c r="A219" s="20" t="s">
        <v>7535</v>
      </c>
      <c r="B219" s="21">
        <v>46028.56291666666</v>
      </c>
      <c r="C219" s="20" t="s">
        <v>6818</v>
      </c>
      <c r="D219" s="22" t="s">
        <v>6811</v>
      </c>
      <c r="E219" s="20" t="s">
        <v>7536</v>
      </c>
      <c r="F219" s="22" t="s">
        <v>6590</v>
      </c>
      <c r="G219" s="20" t="s">
        <v>6853</v>
      </c>
      <c r="H219" s="22" t="s">
        <v>6811</v>
      </c>
      <c r="I219" s="20" t="s">
        <v>6854</v>
      </c>
      <c r="J219" s="20" t="s">
        <v>7534</v>
      </c>
      <c r="K219" s="20" t="s">
        <v>5667</v>
      </c>
      <c r="L219" s="20" t="s">
        <v>7535</v>
      </c>
    </row>
    <row r="220">
      <c r="A220" s="20" t="s">
        <v>7537</v>
      </c>
      <c r="B220" s="21">
        <v>46028.56291666666</v>
      </c>
      <c r="C220" s="20" t="s">
        <v>6818</v>
      </c>
      <c r="D220" s="22" t="s">
        <v>6811</v>
      </c>
      <c r="E220" s="20" t="s">
        <v>7538</v>
      </c>
      <c r="F220" s="22" t="s">
        <v>6590</v>
      </c>
      <c r="G220" s="20" t="s">
        <v>6853</v>
      </c>
      <c r="H220" s="22" t="s">
        <v>6811</v>
      </c>
      <c r="I220" s="20" t="s">
        <v>6854</v>
      </c>
      <c r="J220" s="20" t="s">
        <v>7534</v>
      </c>
      <c r="K220" s="20" t="s">
        <v>5667</v>
      </c>
      <c r="L220" s="20" t="s">
        <v>7537</v>
      </c>
    </row>
    <row r="221">
      <c r="A221" s="20" t="s">
        <v>7539</v>
      </c>
      <c r="B221" s="21">
        <v>46028.56291666666</v>
      </c>
      <c r="C221" s="20" t="s">
        <v>6818</v>
      </c>
      <c r="D221" s="22" t="s">
        <v>6811</v>
      </c>
      <c r="E221" s="20" t="s">
        <v>7540</v>
      </c>
      <c r="F221" s="22" t="s">
        <v>6592</v>
      </c>
      <c r="G221" s="20" t="s">
        <v>6853</v>
      </c>
      <c r="H221" s="22" t="s">
        <v>6811</v>
      </c>
      <c r="I221" s="20" t="s">
        <v>6854</v>
      </c>
      <c r="J221" s="20" t="s">
        <v>7541</v>
      </c>
      <c r="K221" s="20" t="s">
        <v>5520</v>
      </c>
      <c r="L221" s="20" t="s">
        <v>7539</v>
      </c>
    </row>
    <row r="222">
      <c r="A222" s="20" t="s">
        <v>7542</v>
      </c>
      <c r="B222" s="21">
        <v>46028.56291666666</v>
      </c>
      <c r="C222" s="20" t="s">
        <v>6818</v>
      </c>
      <c r="D222" s="22" t="s">
        <v>6811</v>
      </c>
      <c r="E222" s="20" t="s">
        <v>7543</v>
      </c>
      <c r="F222" s="22" t="s">
        <v>6590</v>
      </c>
      <c r="G222" s="20" t="s">
        <v>6853</v>
      </c>
      <c r="H222" s="22" t="s">
        <v>6811</v>
      </c>
      <c r="I222" s="20" t="s">
        <v>6854</v>
      </c>
      <c r="J222" s="20" t="s">
        <v>7534</v>
      </c>
      <c r="K222" s="20" t="s">
        <v>5667</v>
      </c>
      <c r="L222" s="20" t="s">
        <v>7542</v>
      </c>
    </row>
    <row r="223">
      <c r="A223" s="20" t="s">
        <v>7544</v>
      </c>
      <c r="B223" s="21">
        <v>46028.56291666666</v>
      </c>
      <c r="C223" s="20" t="s">
        <v>6818</v>
      </c>
      <c r="D223" s="22" t="s">
        <v>6811</v>
      </c>
      <c r="E223" s="20" t="s">
        <v>7545</v>
      </c>
      <c r="F223" s="22" t="s">
        <v>6590</v>
      </c>
      <c r="G223" s="20" t="s">
        <v>6853</v>
      </c>
      <c r="H223" s="22" t="s">
        <v>6811</v>
      </c>
      <c r="I223" s="20" t="s">
        <v>6854</v>
      </c>
      <c r="J223" s="20" t="s">
        <v>7534</v>
      </c>
      <c r="K223" s="20" t="s">
        <v>5667</v>
      </c>
      <c r="L223" s="20" t="s">
        <v>7544</v>
      </c>
    </row>
    <row r="224">
      <c r="A224" s="20" t="s">
        <v>7546</v>
      </c>
      <c r="B224" s="21">
        <v>46028.56291666666</v>
      </c>
      <c r="C224" s="20" t="s">
        <v>6818</v>
      </c>
      <c r="D224" s="22" t="s">
        <v>6811</v>
      </c>
      <c r="E224" s="20" t="s">
        <v>7547</v>
      </c>
      <c r="F224" s="22" t="s">
        <v>6590</v>
      </c>
      <c r="G224" s="20" t="s">
        <v>6853</v>
      </c>
      <c r="H224" s="22" t="s">
        <v>6811</v>
      </c>
      <c r="I224" s="20" t="s">
        <v>6854</v>
      </c>
      <c r="J224" s="20" t="s">
        <v>7534</v>
      </c>
      <c r="K224" s="20" t="s">
        <v>5667</v>
      </c>
      <c r="L224" s="20" t="s">
        <v>7546</v>
      </c>
    </row>
    <row r="225">
      <c r="A225" s="20" t="s">
        <v>7548</v>
      </c>
      <c r="B225" s="21">
        <v>46028.56290509259</v>
      </c>
      <c r="C225" s="20" t="s">
        <v>6818</v>
      </c>
      <c r="D225" s="22" t="s">
        <v>6811</v>
      </c>
      <c r="E225" s="20" t="s">
        <v>7549</v>
      </c>
      <c r="F225" s="22" t="s">
        <v>6594</v>
      </c>
      <c r="G225" s="20" t="s">
        <v>6853</v>
      </c>
      <c r="H225" s="22" t="s">
        <v>6811</v>
      </c>
      <c r="I225" s="20" t="s">
        <v>6854</v>
      </c>
      <c r="J225" s="20" t="s">
        <v>7550</v>
      </c>
      <c r="K225" s="20" t="s">
        <v>5285</v>
      </c>
      <c r="L225" s="20" t="s">
        <v>7548</v>
      </c>
    </row>
    <row r="226">
      <c r="A226" s="20" t="s">
        <v>7551</v>
      </c>
      <c r="B226" s="21">
        <v>46028.56290509259</v>
      </c>
      <c r="C226" s="20" t="s">
        <v>6818</v>
      </c>
      <c r="D226" s="22" t="s">
        <v>6811</v>
      </c>
      <c r="E226" s="20" t="s">
        <v>7552</v>
      </c>
      <c r="F226" s="22" t="s">
        <v>6591</v>
      </c>
      <c r="G226" s="20" t="s">
        <v>6853</v>
      </c>
      <c r="H226" s="22" t="s">
        <v>6811</v>
      </c>
      <c r="I226" s="20" t="s">
        <v>6854</v>
      </c>
      <c r="J226" s="20" t="s">
        <v>7553</v>
      </c>
      <c r="K226" s="20" t="s">
        <v>2594</v>
      </c>
      <c r="L226" s="20" t="s">
        <v>7551</v>
      </c>
    </row>
    <row r="227">
      <c r="A227" s="20" t="s">
        <v>7554</v>
      </c>
      <c r="B227" s="21">
        <v>46028.56289351852</v>
      </c>
      <c r="C227" s="20" t="s">
        <v>6818</v>
      </c>
      <c r="D227" s="22" t="s">
        <v>6811</v>
      </c>
      <c r="E227" s="20" t="s">
        <v>7555</v>
      </c>
      <c r="F227" s="22" t="s">
        <v>6592</v>
      </c>
      <c r="G227" s="20" t="s">
        <v>6853</v>
      </c>
      <c r="H227" s="22" t="s">
        <v>6811</v>
      </c>
      <c r="I227" s="20" t="s">
        <v>6854</v>
      </c>
      <c r="J227" s="20" t="s">
        <v>7541</v>
      </c>
      <c r="K227" s="20" t="s">
        <v>5520</v>
      </c>
      <c r="L227" s="20" t="s">
        <v>7554</v>
      </c>
    </row>
    <row r="228">
      <c r="A228" s="20" t="s">
        <v>7556</v>
      </c>
      <c r="B228" s="21">
        <v>46028.56289351852</v>
      </c>
      <c r="C228" s="20" t="s">
        <v>6818</v>
      </c>
      <c r="D228" s="22" t="s">
        <v>6811</v>
      </c>
      <c r="E228" s="20" t="s">
        <v>7557</v>
      </c>
      <c r="F228" s="22" t="s">
        <v>6592</v>
      </c>
      <c r="G228" s="20" t="s">
        <v>6853</v>
      </c>
      <c r="H228" s="22" t="s">
        <v>6811</v>
      </c>
      <c r="I228" s="20" t="s">
        <v>6854</v>
      </c>
      <c r="J228" s="20" t="s">
        <v>7541</v>
      </c>
      <c r="K228" s="20" t="s">
        <v>5520</v>
      </c>
      <c r="L228" s="20" t="s">
        <v>7556</v>
      </c>
    </row>
    <row r="229">
      <c r="A229" s="20" t="s">
        <v>7558</v>
      </c>
      <c r="B229" s="21">
        <v>46028.56289351852</v>
      </c>
      <c r="C229" s="20" t="s">
        <v>6818</v>
      </c>
      <c r="D229" s="22" t="s">
        <v>6811</v>
      </c>
      <c r="E229" s="20" t="s">
        <v>7559</v>
      </c>
      <c r="F229" s="22" t="s">
        <v>6591</v>
      </c>
      <c r="G229" s="20" t="s">
        <v>6853</v>
      </c>
      <c r="H229" s="22" t="s">
        <v>6811</v>
      </c>
      <c r="I229" s="20" t="s">
        <v>6854</v>
      </c>
      <c r="J229" s="20" t="s">
        <v>7560</v>
      </c>
      <c r="K229" s="20" t="s">
        <v>2594</v>
      </c>
      <c r="L229" s="20" t="s">
        <v>7558</v>
      </c>
    </row>
    <row r="230">
      <c r="A230" s="20" t="s">
        <v>7561</v>
      </c>
      <c r="B230" s="21">
        <v>46028.56289351852</v>
      </c>
      <c r="C230" s="20" t="s">
        <v>6818</v>
      </c>
      <c r="D230" s="22" t="s">
        <v>6811</v>
      </c>
      <c r="E230" s="20" t="s">
        <v>7562</v>
      </c>
      <c r="F230" s="22" t="s">
        <v>6591</v>
      </c>
      <c r="G230" s="20" t="s">
        <v>6853</v>
      </c>
      <c r="H230" s="22" t="s">
        <v>6811</v>
      </c>
      <c r="I230" s="20" t="s">
        <v>6854</v>
      </c>
      <c r="J230" s="20" t="s">
        <v>7563</v>
      </c>
      <c r="K230" s="20" t="s">
        <v>2594</v>
      </c>
      <c r="L230" s="20" t="s">
        <v>7561</v>
      </c>
    </row>
    <row r="231">
      <c r="A231" s="20" t="s">
        <v>7564</v>
      </c>
      <c r="B231" s="21">
        <v>46013.44002314815</v>
      </c>
      <c r="C231" s="20" t="s">
        <v>6897</v>
      </c>
      <c r="D231" s="22" t="s">
        <v>6811</v>
      </c>
      <c r="E231" s="20" t="s">
        <v>7565</v>
      </c>
      <c r="F231" s="20" t="s">
        <v>7566</v>
      </c>
      <c r="G231" s="20"/>
      <c r="H231" s="20"/>
      <c r="I231" s="20" t="s">
        <v>7567</v>
      </c>
      <c r="J231" s="20" t="s">
        <v>7568</v>
      </c>
      <c r="K231" s="20" t="s">
        <v>2594</v>
      </c>
      <c r="L231" s="20" t="s">
        <v>7564</v>
      </c>
    </row>
    <row r="232">
      <c r="A232" s="20" t="s">
        <v>7569</v>
      </c>
      <c r="B232" s="21">
        <v>46010.63396990741</v>
      </c>
      <c r="C232" s="20" t="s">
        <v>6897</v>
      </c>
      <c r="D232" s="22" t="s">
        <v>6811</v>
      </c>
      <c r="E232" s="20" t="s">
        <v>7565</v>
      </c>
      <c r="F232" s="20" t="s">
        <v>7566</v>
      </c>
      <c r="G232" s="20"/>
      <c r="H232" s="20"/>
      <c r="I232" s="20" t="s">
        <v>7570</v>
      </c>
      <c r="J232" s="20" t="s">
        <v>7571</v>
      </c>
      <c r="K232" s="20" t="s">
        <v>2594</v>
      </c>
      <c r="L232" s="20" t="s">
        <v>7569</v>
      </c>
    </row>
    <row r="233">
      <c r="A233" s="20" t="s">
        <v>7572</v>
      </c>
      <c r="B233" s="21">
        <v>46009.84645833333</v>
      </c>
      <c r="C233" s="20" t="s">
        <v>7573</v>
      </c>
      <c r="D233" s="22" t="s">
        <v>6811</v>
      </c>
      <c r="E233" s="20" t="s">
        <v>7574</v>
      </c>
      <c r="F233" s="20" t="s">
        <v>7575</v>
      </c>
      <c r="G233" s="20"/>
      <c r="H233" s="20"/>
      <c r="I233" s="20" t="s">
        <v>7576</v>
      </c>
      <c r="J233" s="20" t="s">
        <v>7577</v>
      </c>
      <c r="K233" s="20" t="s">
        <v>5520</v>
      </c>
      <c r="L233" s="20" t="s">
        <v>7572</v>
      </c>
    </row>
    <row r="234">
      <c r="A234" s="20" t="s">
        <v>7578</v>
      </c>
      <c r="B234" s="21">
        <v>46029.582824074074</v>
      </c>
      <c r="C234" s="20" t="s">
        <v>7579</v>
      </c>
      <c r="D234" s="22" t="s">
        <v>6592</v>
      </c>
      <c r="E234" s="20" t="s">
        <v>7580</v>
      </c>
      <c r="F234" s="22" t="s">
        <v>6811</v>
      </c>
      <c r="G234" s="20"/>
      <c r="H234" s="20"/>
      <c r="I234" s="20" t="s">
        <v>7581</v>
      </c>
      <c r="J234" s="20" t="s">
        <v>7582</v>
      </c>
      <c r="K234" s="20" t="s">
        <v>5520</v>
      </c>
      <c r="L234" s="20" t="s">
        <v>7572</v>
      </c>
    </row>
    <row r="235">
      <c r="A235" s="20" t="s">
        <v>7583</v>
      </c>
      <c r="B235" s="21">
        <v>46029.585439814815</v>
      </c>
      <c r="C235" s="20" t="s">
        <v>6818</v>
      </c>
      <c r="D235" s="22" t="s">
        <v>6811</v>
      </c>
      <c r="E235" s="20" t="s">
        <v>7579</v>
      </c>
      <c r="F235" s="22" t="s">
        <v>6592</v>
      </c>
      <c r="G235" s="20" t="s">
        <v>7573</v>
      </c>
      <c r="H235" s="22" t="s">
        <v>6811</v>
      </c>
      <c r="I235" s="20" t="s">
        <v>7584</v>
      </c>
      <c r="J235" s="20" t="s">
        <v>7585</v>
      </c>
      <c r="K235" s="20" t="s">
        <v>5520</v>
      </c>
      <c r="L235" s="20" t="s">
        <v>7572</v>
      </c>
    </row>
    <row r="236">
      <c r="A236" s="20" t="s">
        <v>7586</v>
      </c>
      <c r="B236" s="21">
        <v>46029.61006944445</v>
      </c>
      <c r="C236" s="20" t="s">
        <v>7573</v>
      </c>
      <c r="D236" s="22" t="s">
        <v>6811</v>
      </c>
      <c r="E236" s="20" t="s">
        <v>7579</v>
      </c>
      <c r="F236" s="22" t="s">
        <v>6592</v>
      </c>
      <c r="G236" s="20" t="s">
        <v>6818</v>
      </c>
      <c r="H236" s="22" t="s">
        <v>6811</v>
      </c>
      <c r="I236" s="20" t="s">
        <v>7584</v>
      </c>
      <c r="J236" s="20" t="s">
        <v>7587</v>
      </c>
      <c r="K236" s="20" t="s">
        <v>5520</v>
      </c>
      <c r="L236" s="20" t="s">
        <v>7572</v>
      </c>
    </row>
    <row r="237">
      <c r="A237" s="20" t="s">
        <v>7588</v>
      </c>
      <c r="B237" s="21">
        <v>46007.64334490741</v>
      </c>
      <c r="C237" s="20" t="s">
        <v>6818</v>
      </c>
      <c r="D237" s="22" t="s">
        <v>6811</v>
      </c>
      <c r="E237" s="20" t="s">
        <v>7589</v>
      </c>
      <c r="F237" s="20" t="s">
        <v>7590</v>
      </c>
      <c r="G237" s="20"/>
      <c r="H237" s="20"/>
      <c r="I237" s="20" t="s">
        <v>7591</v>
      </c>
      <c r="J237" s="20" t="s">
        <v>7592</v>
      </c>
      <c r="K237" s="20" t="s">
        <v>5637</v>
      </c>
      <c r="L237" s="20" t="s">
        <v>7593</v>
      </c>
    </row>
    <row r="238">
      <c r="A238" s="20" t="s">
        <v>7594</v>
      </c>
      <c r="B238" s="21">
        <v>46007.63827546296</v>
      </c>
      <c r="C238" s="20" t="s">
        <v>7595</v>
      </c>
      <c r="D238" s="22" t="s">
        <v>6590</v>
      </c>
      <c r="E238" s="20" t="s">
        <v>6853</v>
      </c>
      <c r="F238" s="22" t="s">
        <v>6811</v>
      </c>
      <c r="G238" s="20"/>
      <c r="H238" s="20"/>
      <c r="I238" s="20" t="s">
        <v>7596</v>
      </c>
      <c r="J238" s="20" t="s">
        <v>7597</v>
      </c>
      <c r="K238" s="20" t="s">
        <v>5667</v>
      </c>
      <c r="L238" s="20" t="s">
        <v>7594</v>
      </c>
    </row>
    <row r="239">
      <c r="A239" s="20" t="s">
        <v>7598</v>
      </c>
      <c r="B239" s="21">
        <v>46001.52394675926</v>
      </c>
      <c r="C239" s="20" t="s">
        <v>7599</v>
      </c>
      <c r="D239" s="22" t="s">
        <v>6590</v>
      </c>
      <c r="E239" s="20" t="s">
        <v>7600</v>
      </c>
      <c r="F239" s="20" t="s">
        <v>7601</v>
      </c>
      <c r="G239" s="20"/>
      <c r="H239" s="20"/>
      <c r="I239" s="20" t="s">
        <v>7602</v>
      </c>
      <c r="J239" s="20" t="s">
        <v>7603</v>
      </c>
      <c r="K239" s="20" t="s">
        <v>5667</v>
      </c>
      <c r="L239" s="20" t="s">
        <v>7598</v>
      </c>
    </row>
    <row r="240">
      <c r="A240" s="20" t="s">
        <v>7604</v>
      </c>
      <c r="B240" s="21">
        <v>45994.27019675926</v>
      </c>
      <c r="C240" s="20" t="s">
        <v>7605</v>
      </c>
      <c r="D240" s="22" t="s">
        <v>6593</v>
      </c>
      <c r="E240" s="20" t="s">
        <v>6853</v>
      </c>
      <c r="F240" s="22" t="s">
        <v>6811</v>
      </c>
      <c r="G240" s="20"/>
      <c r="H240" s="20"/>
      <c r="I240" s="20" t="s">
        <v>7606</v>
      </c>
      <c r="J240" s="20" t="s">
        <v>7607</v>
      </c>
      <c r="K240" s="20" t="s">
        <v>5637</v>
      </c>
      <c r="L240" s="20" t="s">
        <v>7604</v>
      </c>
    </row>
    <row r="241">
      <c r="A241" s="20" t="s">
        <v>7608</v>
      </c>
      <c r="B241" s="21">
        <v>45993.6734837963</v>
      </c>
      <c r="C241" s="20" t="s">
        <v>7609</v>
      </c>
      <c r="D241" s="22" t="s">
        <v>6593</v>
      </c>
      <c r="E241" s="20" t="s">
        <v>6818</v>
      </c>
      <c r="F241" s="22" t="s">
        <v>6811</v>
      </c>
      <c r="G241" s="20"/>
      <c r="H241" s="20"/>
      <c r="I241" s="20" t="s">
        <v>7610</v>
      </c>
      <c r="J241" s="20" t="s">
        <v>7042</v>
      </c>
      <c r="K241" s="20" t="s">
        <v>5637</v>
      </c>
      <c r="L241" s="20" t="s">
        <v>7608</v>
      </c>
    </row>
    <row r="242">
      <c r="A242" s="20" t="s">
        <v>7611</v>
      </c>
      <c r="B242" s="21">
        <v>45993.66763888889</v>
      </c>
      <c r="C242" s="20" t="s">
        <v>7612</v>
      </c>
      <c r="D242" s="22" t="s">
        <v>6593</v>
      </c>
      <c r="E242" s="20" t="s">
        <v>6818</v>
      </c>
      <c r="F242" s="22" t="s">
        <v>6811</v>
      </c>
      <c r="G242" s="20"/>
      <c r="H242" s="20"/>
      <c r="I242" s="20" t="s">
        <v>7613</v>
      </c>
      <c r="J242" s="20" t="s">
        <v>7042</v>
      </c>
      <c r="K242" s="20" t="s">
        <v>5637</v>
      </c>
      <c r="L242" s="20" t="s">
        <v>7611</v>
      </c>
    </row>
    <row r="243">
      <c r="A243" s="20" t="s">
        <v>7614</v>
      </c>
      <c r="B243" s="21">
        <v>45987.37423611111</v>
      </c>
      <c r="C243" s="20" t="s">
        <v>6818</v>
      </c>
      <c r="D243" s="22" t="s">
        <v>6811</v>
      </c>
      <c r="E243" s="20" t="s">
        <v>7615</v>
      </c>
      <c r="F243" s="22" t="s">
        <v>6593</v>
      </c>
      <c r="G243" s="20"/>
      <c r="H243" s="20"/>
      <c r="I243" s="20" t="s">
        <v>7616</v>
      </c>
      <c r="J243" s="20" t="s">
        <v>7617</v>
      </c>
      <c r="K243" s="20" t="s">
        <v>5637</v>
      </c>
      <c r="L243" s="20" t="s">
        <v>7614</v>
      </c>
    </row>
    <row r="244">
      <c r="A244" s="20" t="s">
        <v>7618</v>
      </c>
      <c r="B244" s="21">
        <v>45986.1193287037</v>
      </c>
      <c r="C244" s="20" t="s">
        <v>6897</v>
      </c>
      <c r="D244" s="22" t="s">
        <v>6811</v>
      </c>
      <c r="E244" s="20" t="s">
        <v>7573</v>
      </c>
      <c r="F244" s="22" t="s">
        <v>6811</v>
      </c>
      <c r="G244" s="20" t="s">
        <v>7619</v>
      </c>
      <c r="H244" s="20" t="s">
        <v>7590</v>
      </c>
      <c r="I244" s="20" t="s">
        <v>7620</v>
      </c>
      <c r="J244" s="20" t="s">
        <v>7621</v>
      </c>
      <c r="K244" s="20" t="s">
        <v>5637</v>
      </c>
      <c r="L244" s="20" t="s">
        <v>7618</v>
      </c>
    </row>
    <row r="245">
      <c r="A245" s="20" t="s">
        <v>7622</v>
      </c>
      <c r="B245" s="21">
        <v>45986.39618055556</v>
      </c>
      <c r="C245" s="20" t="s">
        <v>7612</v>
      </c>
      <c r="D245" s="22" t="s">
        <v>6593</v>
      </c>
      <c r="E245" s="20" t="s">
        <v>7623</v>
      </c>
      <c r="F245" s="22" t="s">
        <v>6811</v>
      </c>
      <c r="G245" s="20" t="s">
        <v>7624</v>
      </c>
      <c r="H245" s="20" t="s">
        <v>7590</v>
      </c>
      <c r="I245" s="20" t="s">
        <v>7620</v>
      </c>
      <c r="J245" s="20" t="s">
        <v>7625</v>
      </c>
      <c r="K245" s="20" t="s">
        <v>5637</v>
      </c>
      <c r="L245" s="20" t="s">
        <v>7618</v>
      </c>
    </row>
    <row r="246">
      <c r="A246" s="20" t="s">
        <v>7626</v>
      </c>
      <c r="B246" s="21">
        <v>45986.41983796297</v>
      </c>
      <c r="C246" s="20" t="s">
        <v>7573</v>
      </c>
      <c r="D246" s="22" t="s">
        <v>6811</v>
      </c>
      <c r="E246" s="20" t="s">
        <v>7612</v>
      </c>
      <c r="F246" s="22" t="s">
        <v>6593</v>
      </c>
      <c r="G246" s="20" t="s">
        <v>7627</v>
      </c>
      <c r="H246" s="20" t="s">
        <v>7628</v>
      </c>
      <c r="I246" s="20" t="s">
        <v>7620</v>
      </c>
      <c r="J246" s="20" t="s">
        <v>7629</v>
      </c>
      <c r="K246" s="20" t="s">
        <v>5637</v>
      </c>
      <c r="L246" s="20" t="s">
        <v>7618</v>
      </c>
    </row>
    <row r="247">
      <c r="A247" s="20" t="s">
        <v>7630</v>
      </c>
      <c r="B247" s="21">
        <v>45987.37123842593</v>
      </c>
      <c r="C247" s="20" t="s">
        <v>7573</v>
      </c>
      <c r="D247" s="22" t="s">
        <v>6811</v>
      </c>
      <c r="E247" s="20" t="s">
        <v>7612</v>
      </c>
      <c r="F247" s="22" t="s">
        <v>6593</v>
      </c>
      <c r="G247" s="20" t="s">
        <v>7627</v>
      </c>
      <c r="H247" s="20" t="s">
        <v>7628</v>
      </c>
      <c r="I247" s="20" t="s">
        <v>7620</v>
      </c>
      <c r="J247" s="20" t="s">
        <v>7631</v>
      </c>
      <c r="K247" s="20" t="s">
        <v>5637</v>
      </c>
      <c r="L247" s="20" t="s">
        <v>7618</v>
      </c>
    </row>
    <row r="248">
      <c r="A248" s="20" t="s">
        <v>7632</v>
      </c>
      <c r="B248" s="21">
        <v>45987.374085648145</v>
      </c>
      <c r="C248" s="20" t="s">
        <v>7612</v>
      </c>
      <c r="D248" s="22" t="s">
        <v>6593</v>
      </c>
      <c r="E248" s="20" t="s">
        <v>7573</v>
      </c>
      <c r="F248" s="22" t="s">
        <v>6811</v>
      </c>
      <c r="G248" s="20" t="s">
        <v>7627</v>
      </c>
      <c r="H248" s="20" t="s">
        <v>7628</v>
      </c>
      <c r="I248" s="20" t="s">
        <v>7620</v>
      </c>
      <c r="J248" s="20" t="s">
        <v>7633</v>
      </c>
      <c r="K248" s="20" t="s">
        <v>5637</v>
      </c>
      <c r="L248" s="20" t="s">
        <v>7618</v>
      </c>
    </row>
    <row r="249">
      <c r="A249" s="20" t="s">
        <v>7634</v>
      </c>
      <c r="B249" s="21">
        <v>45987.42145833334</v>
      </c>
      <c r="C249" s="20" t="s">
        <v>7573</v>
      </c>
      <c r="D249" s="22" t="s">
        <v>6811</v>
      </c>
      <c r="E249" s="20" t="s">
        <v>7612</v>
      </c>
      <c r="F249" s="22" t="s">
        <v>6593</v>
      </c>
      <c r="G249" s="20" t="s">
        <v>7627</v>
      </c>
      <c r="H249" s="20" t="s">
        <v>7628</v>
      </c>
      <c r="I249" s="20" t="s">
        <v>7620</v>
      </c>
      <c r="J249" s="20" t="s">
        <v>7635</v>
      </c>
      <c r="K249" s="20" t="s">
        <v>5637</v>
      </c>
      <c r="L249" s="20" t="s">
        <v>7618</v>
      </c>
    </row>
    <row r="250">
      <c r="A250" s="20" t="s">
        <v>7636</v>
      </c>
      <c r="B250" s="21">
        <v>45987.55143518519</v>
      </c>
      <c r="C250" s="20" t="s">
        <v>6897</v>
      </c>
      <c r="D250" s="22" t="s">
        <v>6811</v>
      </c>
      <c r="E250" s="20" t="s">
        <v>7573</v>
      </c>
      <c r="F250" s="22" t="s">
        <v>6811</v>
      </c>
      <c r="G250" s="20" t="s">
        <v>7637</v>
      </c>
      <c r="H250" s="20" t="s">
        <v>7590</v>
      </c>
      <c r="I250" s="20" t="s">
        <v>7620</v>
      </c>
      <c r="J250" s="20" t="s">
        <v>7638</v>
      </c>
      <c r="K250" s="20" t="s">
        <v>5637</v>
      </c>
      <c r="L250" s="20" t="s">
        <v>7618</v>
      </c>
    </row>
    <row r="251">
      <c r="A251" s="20" t="s">
        <v>7639</v>
      </c>
      <c r="B251" s="21">
        <v>45987.636342592596</v>
      </c>
      <c r="C251" s="20" t="s">
        <v>7612</v>
      </c>
      <c r="D251" s="22" t="s">
        <v>6593</v>
      </c>
      <c r="E251" s="20" t="s">
        <v>7623</v>
      </c>
      <c r="F251" s="22" t="s">
        <v>6811</v>
      </c>
      <c r="G251" s="20" t="s">
        <v>7640</v>
      </c>
      <c r="H251" s="20" t="s">
        <v>7590</v>
      </c>
      <c r="I251" s="20" t="s">
        <v>7620</v>
      </c>
      <c r="J251" s="20" t="s">
        <v>7641</v>
      </c>
      <c r="K251" s="20" t="s">
        <v>5637</v>
      </c>
      <c r="L251" s="20" t="s">
        <v>7618</v>
      </c>
    </row>
    <row r="252">
      <c r="A252" s="20" t="s">
        <v>7642</v>
      </c>
      <c r="B252" s="21">
        <v>45987.64239583333</v>
      </c>
      <c r="C252" s="20" t="s">
        <v>6897</v>
      </c>
      <c r="D252" s="22" t="s">
        <v>6811</v>
      </c>
      <c r="E252" s="20" t="s">
        <v>7643</v>
      </c>
      <c r="F252" s="22" t="s">
        <v>6593</v>
      </c>
      <c r="G252" s="20" t="s">
        <v>7644</v>
      </c>
      <c r="H252" s="20" t="s">
        <v>7628</v>
      </c>
      <c r="I252" s="20" t="s">
        <v>7620</v>
      </c>
      <c r="J252" s="20" t="s">
        <v>7645</v>
      </c>
      <c r="K252" s="20" t="s">
        <v>5637</v>
      </c>
      <c r="L252" s="20" t="s">
        <v>7618</v>
      </c>
    </row>
    <row r="253">
      <c r="A253" s="20" t="s">
        <v>7646</v>
      </c>
      <c r="B253" s="21">
        <v>45993.577303240745</v>
      </c>
      <c r="C253" s="20" t="s">
        <v>6818</v>
      </c>
      <c r="D253" s="22" t="s">
        <v>6811</v>
      </c>
      <c r="E253" s="20" t="s">
        <v>6897</v>
      </c>
      <c r="F253" s="22" t="s">
        <v>6811</v>
      </c>
      <c r="G253" s="20" t="s">
        <v>7647</v>
      </c>
      <c r="H253" s="20" t="s">
        <v>7590</v>
      </c>
      <c r="I253" s="20" t="s">
        <v>7620</v>
      </c>
      <c r="J253" s="20" t="s">
        <v>7648</v>
      </c>
      <c r="K253" s="20" t="s">
        <v>5637</v>
      </c>
      <c r="L253" s="20" t="s">
        <v>7618</v>
      </c>
    </row>
    <row r="254">
      <c r="A254" s="20" t="s">
        <v>7649</v>
      </c>
      <c r="B254" s="21">
        <v>45993.65503472222</v>
      </c>
      <c r="C254" s="20" t="s">
        <v>6818</v>
      </c>
      <c r="D254" s="22" t="s">
        <v>6811</v>
      </c>
      <c r="E254" s="20" t="s">
        <v>6897</v>
      </c>
      <c r="F254" s="22" t="s">
        <v>6811</v>
      </c>
      <c r="G254" s="20" t="s">
        <v>7647</v>
      </c>
      <c r="H254" s="20" t="s">
        <v>7590</v>
      </c>
      <c r="I254" s="20" t="s">
        <v>7620</v>
      </c>
      <c r="J254" s="20" t="s">
        <v>7650</v>
      </c>
      <c r="K254" s="20" t="s">
        <v>5637</v>
      </c>
      <c r="L254" s="20" t="s">
        <v>7618</v>
      </c>
    </row>
    <row r="255">
      <c r="A255" s="20" t="s">
        <v>7651</v>
      </c>
      <c r="B255" s="21">
        <v>45986.118055555555</v>
      </c>
      <c r="C255" s="20" t="s">
        <v>6897</v>
      </c>
      <c r="D255" s="22" t="s">
        <v>6811</v>
      </c>
      <c r="E255" s="20" t="s">
        <v>7652</v>
      </c>
      <c r="F255" s="20" t="s">
        <v>7628</v>
      </c>
      <c r="G255" s="20"/>
      <c r="H255" s="20"/>
      <c r="I255" s="20" t="s">
        <v>7653</v>
      </c>
      <c r="J255" s="20" t="s">
        <v>7654</v>
      </c>
      <c r="K255" s="20" t="s">
        <v>5637</v>
      </c>
      <c r="L255" s="20" t="s">
        <v>7651</v>
      </c>
    </row>
    <row r="256">
      <c r="A256" s="20" t="s">
        <v>7655</v>
      </c>
      <c r="B256" s="21">
        <v>45986.11130787037</v>
      </c>
      <c r="C256" s="20" t="s">
        <v>6897</v>
      </c>
      <c r="D256" s="22" t="s">
        <v>6811</v>
      </c>
      <c r="E256" s="20" t="s">
        <v>7656</v>
      </c>
      <c r="F256" s="20" t="s">
        <v>7657</v>
      </c>
      <c r="G256" s="20"/>
      <c r="H256" s="20"/>
      <c r="I256" s="20" t="s">
        <v>7658</v>
      </c>
      <c r="J256" s="20" t="s">
        <v>7659</v>
      </c>
      <c r="K256" s="20" t="s">
        <v>5667</v>
      </c>
      <c r="L256" s="20" t="s">
        <v>7655</v>
      </c>
    </row>
    <row r="257">
      <c r="A257" s="20" t="s">
        <v>7660</v>
      </c>
      <c r="B257" s="21">
        <v>45986.43251157408</v>
      </c>
      <c r="C257" s="20" t="s">
        <v>6818</v>
      </c>
      <c r="D257" s="22" t="s">
        <v>6811</v>
      </c>
      <c r="E257" s="20" t="s">
        <v>6897</v>
      </c>
      <c r="F257" s="22" t="s">
        <v>6811</v>
      </c>
      <c r="G257" s="20" t="s">
        <v>7545</v>
      </c>
      <c r="H257" s="22" t="s">
        <v>6590</v>
      </c>
      <c r="I257" s="20" t="s">
        <v>7658</v>
      </c>
      <c r="J257" s="20" t="s">
        <v>7661</v>
      </c>
      <c r="K257" s="20" t="s">
        <v>5667</v>
      </c>
      <c r="L257" s="20" t="s">
        <v>7655</v>
      </c>
    </row>
    <row r="258">
      <c r="A258" s="20" t="s">
        <v>7662</v>
      </c>
      <c r="B258" s="21">
        <v>45986.85927083333</v>
      </c>
      <c r="C258" s="20" t="s">
        <v>7599</v>
      </c>
      <c r="D258" s="22" t="s">
        <v>6590</v>
      </c>
      <c r="E258" s="20" t="s">
        <v>6818</v>
      </c>
      <c r="F258" s="22" t="s">
        <v>6811</v>
      </c>
      <c r="G258" s="20" t="s">
        <v>6897</v>
      </c>
      <c r="H258" s="22" t="s">
        <v>6811</v>
      </c>
      <c r="I258" s="20" t="s">
        <v>7658</v>
      </c>
      <c r="J258" s="20" t="s">
        <v>7663</v>
      </c>
      <c r="K258" s="20" t="s">
        <v>5667</v>
      </c>
      <c r="L258" s="20" t="s">
        <v>7655</v>
      </c>
    </row>
    <row r="259">
      <c r="A259" s="20" t="s">
        <v>7664</v>
      </c>
      <c r="B259" s="21">
        <v>45993.57491898148</v>
      </c>
      <c r="C259" s="20" t="s">
        <v>6818</v>
      </c>
      <c r="D259" s="22" t="s">
        <v>6811</v>
      </c>
      <c r="E259" s="20" t="s">
        <v>7545</v>
      </c>
      <c r="F259" s="22" t="s">
        <v>6590</v>
      </c>
      <c r="G259" s="20" t="s">
        <v>6897</v>
      </c>
      <c r="H259" s="22" t="s">
        <v>6811</v>
      </c>
      <c r="I259" s="20" t="s">
        <v>7658</v>
      </c>
      <c r="J259" s="20" t="s">
        <v>7665</v>
      </c>
      <c r="K259" s="20" t="s">
        <v>5667</v>
      </c>
      <c r="L259" s="20" t="s">
        <v>7655</v>
      </c>
    </row>
    <row r="260">
      <c r="A260" s="20" t="s">
        <v>7666</v>
      </c>
      <c r="B260" s="21">
        <v>46001.479479166665</v>
      </c>
      <c r="C260" s="20" t="s">
        <v>6818</v>
      </c>
      <c r="D260" s="22" t="s">
        <v>6811</v>
      </c>
      <c r="E260" s="20" t="s">
        <v>7545</v>
      </c>
      <c r="F260" s="22" t="s">
        <v>6590</v>
      </c>
      <c r="G260" s="20" t="s">
        <v>6897</v>
      </c>
      <c r="H260" s="22" t="s">
        <v>6811</v>
      </c>
      <c r="I260" s="20" t="s">
        <v>7658</v>
      </c>
      <c r="J260" s="20" t="s">
        <v>7667</v>
      </c>
      <c r="K260" s="20" t="s">
        <v>5667</v>
      </c>
      <c r="L260" s="20" t="s">
        <v>7655</v>
      </c>
    </row>
    <row r="261">
      <c r="A261" s="20" t="s">
        <v>7668</v>
      </c>
      <c r="B261" s="21">
        <v>46001.486030092594</v>
      </c>
      <c r="C261" s="20" t="s">
        <v>7599</v>
      </c>
      <c r="D261" s="22" t="s">
        <v>6590</v>
      </c>
      <c r="E261" s="20" t="s">
        <v>6818</v>
      </c>
      <c r="F261" s="22" t="s">
        <v>6811</v>
      </c>
      <c r="G261" s="20" t="s">
        <v>7669</v>
      </c>
      <c r="H261" s="20" t="s">
        <v>7601</v>
      </c>
      <c r="I261" s="20" t="s">
        <v>7658</v>
      </c>
      <c r="J261" s="20" t="s">
        <v>7670</v>
      </c>
      <c r="K261" s="20" t="s">
        <v>5667</v>
      </c>
      <c r="L261" s="20" t="s">
        <v>7655</v>
      </c>
    </row>
    <row r="262">
      <c r="A262" s="20" t="s">
        <v>7671</v>
      </c>
      <c r="B262" s="21">
        <v>46001.52190972222</v>
      </c>
      <c r="C262" s="20" t="s">
        <v>7595</v>
      </c>
      <c r="D262" s="22" t="s">
        <v>6590</v>
      </c>
      <c r="E262" s="20" t="s">
        <v>7545</v>
      </c>
      <c r="F262" s="22" t="s">
        <v>6590</v>
      </c>
      <c r="G262" s="20" t="s">
        <v>6995</v>
      </c>
      <c r="H262" s="22" t="s">
        <v>6811</v>
      </c>
      <c r="I262" s="20" t="s">
        <v>7658</v>
      </c>
      <c r="J262" s="20" t="s">
        <v>7672</v>
      </c>
      <c r="K262" s="20" t="s">
        <v>5667</v>
      </c>
      <c r="L262" s="20" t="s">
        <v>7655</v>
      </c>
    </row>
    <row r="263">
      <c r="A263" s="20" t="s">
        <v>7673</v>
      </c>
      <c r="B263" s="21">
        <v>46001.52383101852</v>
      </c>
      <c r="C263" s="20" t="s">
        <v>7599</v>
      </c>
      <c r="D263" s="22" t="s">
        <v>6590</v>
      </c>
      <c r="E263" s="20" t="s">
        <v>7595</v>
      </c>
      <c r="F263" s="22" t="s">
        <v>6590</v>
      </c>
      <c r="G263" s="20" t="s">
        <v>6995</v>
      </c>
      <c r="H263" s="22" t="s">
        <v>6811</v>
      </c>
      <c r="I263" s="20" t="s">
        <v>7658</v>
      </c>
      <c r="J263" s="20" t="s">
        <v>7674</v>
      </c>
      <c r="K263" s="20" t="s">
        <v>5667</v>
      </c>
      <c r="L263" s="20" t="s">
        <v>7655</v>
      </c>
    </row>
    <row r="264">
      <c r="A264" s="20" t="s">
        <v>7675</v>
      </c>
      <c r="B264" s="21">
        <v>46001.54550925926</v>
      </c>
      <c r="C264" s="20" t="s">
        <v>6818</v>
      </c>
      <c r="D264" s="22" t="s">
        <v>6811</v>
      </c>
      <c r="E264" s="20" t="s">
        <v>7545</v>
      </c>
      <c r="F264" s="22" t="s">
        <v>6590</v>
      </c>
      <c r="G264" s="20" t="s">
        <v>7676</v>
      </c>
      <c r="H264" s="20" t="s">
        <v>7657</v>
      </c>
      <c r="I264" s="20" t="s">
        <v>7658</v>
      </c>
      <c r="J264" s="20" t="s">
        <v>7677</v>
      </c>
      <c r="K264" s="20" t="s">
        <v>5667</v>
      </c>
      <c r="L264" s="20" t="s">
        <v>7655</v>
      </c>
    </row>
    <row r="265">
      <c r="A265" s="20" t="s">
        <v>7678</v>
      </c>
      <c r="B265" s="21">
        <v>46007.56910879629</v>
      </c>
      <c r="C265" s="20" t="s">
        <v>6818</v>
      </c>
      <c r="D265" s="22" t="s">
        <v>6811</v>
      </c>
      <c r="E265" s="20" t="s">
        <v>7545</v>
      </c>
      <c r="F265" s="22" t="s">
        <v>6590</v>
      </c>
      <c r="G265" s="20" t="s">
        <v>7676</v>
      </c>
      <c r="H265" s="20" t="s">
        <v>7657</v>
      </c>
      <c r="I265" s="20" t="s">
        <v>7658</v>
      </c>
      <c r="J265" s="20" t="s">
        <v>7679</v>
      </c>
      <c r="K265" s="20" t="s">
        <v>5667</v>
      </c>
      <c r="L265" s="20" t="s">
        <v>7655</v>
      </c>
    </row>
    <row r="266">
      <c r="A266" s="20" t="s">
        <v>7680</v>
      </c>
      <c r="B266" s="21">
        <v>46007.56905092593</v>
      </c>
      <c r="C266" s="20" t="s">
        <v>7599</v>
      </c>
      <c r="D266" s="22" t="s">
        <v>6590</v>
      </c>
      <c r="E266" s="20" t="s">
        <v>6818</v>
      </c>
      <c r="F266" s="22" t="s">
        <v>6811</v>
      </c>
      <c r="G266" s="20" t="s">
        <v>7676</v>
      </c>
      <c r="H266" s="20" t="s">
        <v>7657</v>
      </c>
      <c r="I266" s="20" t="s">
        <v>7658</v>
      </c>
      <c r="J266" s="20" t="s">
        <v>7681</v>
      </c>
      <c r="K266" s="20" t="s">
        <v>5667</v>
      </c>
      <c r="L266" s="20" t="s">
        <v>7655</v>
      </c>
    </row>
    <row r="267">
      <c r="A267" s="20" t="s">
        <v>7682</v>
      </c>
      <c r="B267" s="21">
        <v>46007.57033564815</v>
      </c>
      <c r="C267" s="20" t="s">
        <v>7599</v>
      </c>
      <c r="D267" s="22" t="s">
        <v>6590</v>
      </c>
      <c r="E267" s="20" t="s">
        <v>6818</v>
      </c>
      <c r="F267" s="22" t="s">
        <v>6811</v>
      </c>
      <c r="G267" s="20" t="s">
        <v>7676</v>
      </c>
      <c r="H267" s="20" t="s">
        <v>7657</v>
      </c>
      <c r="I267" s="20" t="s">
        <v>7658</v>
      </c>
      <c r="J267" s="20" t="s">
        <v>7683</v>
      </c>
      <c r="K267" s="20" t="s">
        <v>5667</v>
      </c>
      <c r="L267" s="20" t="s">
        <v>7655</v>
      </c>
    </row>
    <row r="268">
      <c r="A268" s="20" t="s">
        <v>7684</v>
      </c>
      <c r="B268" s="21">
        <v>46007.62028935185</v>
      </c>
      <c r="C268" s="20" t="s">
        <v>6818</v>
      </c>
      <c r="D268" s="22" t="s">
        <v>6811</v>
      </c>
      <c r="E268" s="20" t="s">
        <v>7545</v>
      </c>
      <c r="F268" s="22" t="s">
        <v>6590</v>
      </c>
      <c r="G268" s="20" t="s">
        <v>7676</v>
      </c>
      <c r="H268" s="20" t="s">
        <v>7657</v>
      </c>
      <c r="I268" s="20" t="s">
        <v>7658</v>
      </c>
      <c r="J268" s="20" t="s">
        <v>7685</v>
      </c>
      <c r="K268" s="20" t="s">
        <v>5667</v>
      </c>
      <c r="L268" s="20" t="s">
        <v>7655</v>
      </c>
    </row>
    <row r="269">
      <c r="A269" s="20" t="s">
        <v>7686</v>
      </c>
      <c r="B269" s="21">
        <v>46007.63390046296</v>
      </c>
      <c r="C269" s="20" t="s">
        <v>7599</v>
      </c>
      <c r="D269" s="22" t="s">
        <v>6590</v>
      </c>
      <c r="E269" s="20" t="s">
        <v>6818</v>
      </c>
      <c r="F269" s="22" t="s">
        <v>6811</v>
      </c>
      <c r="G269" s="20" t="s">
        <v>7676</v>
      </c>
      <c r="H269" s="20" t="s">
        <v>7657</v>
      </c>
      <c r="I269" s="20" t="s">
        <v>7658</v>
      </c>
      <c r="J269" s="20" t="s">
        <v>7687</v>
      </c>
      <c r="K269" s="20" t="s">
        <v>5667</v>
      </c>
      <c r="L269" s="20" t="s">
        <v>7655</v>
      </c>
    </row>
    <row r="270">
      <c r="A270" s="20" t="s">
        <v>7688</v>
      </c>
      <c r="B270" s="21">
        <v>46007.63685185185</v>
      </c>
      <c r="C270" s="20" t="s">
        <v>6818</v>
      </c>
      <c r="D270" s="22" t="s">
        <v>6811</v>
      </c>
      <c r="E270" s="20" t="s">
        <v>7545</v>
      </c>
      <c r="F270" s="22" t="s">
        <v>6590</v>
      </c>
      <c r="G270" s="20" t="s">
        <v>7676</v>
      </c>
      <c r="H270" s="20" t="s">
        <v>7657</v>
      </c>
      <c r="I270" s="20" t="s">
        <v>7658</v>
      </c>
      <c r="J270" s="20" t="s">
        <v>7689</v>
      </c>
      <c r="K270" s="20" t="s">
        <v>5667</v>
      </c>
      <c r="L270" s="20" t="s">
        <v>7655</v>
      </c>
    </row>
    <row r="271">
      <c r="A271" s="20" t="s">
        <v>7690</v>
      </c>
      <c r="B271" s="21">
        <v>45986.07938657407</v>
      </c>
      <c r="C271" s="20" t="s">
        <v>6897</v>
      </c>
      <c r="D271" s="22" t="s">
        <v>6811</v>
      </c>
      <c r="E271" s="20" t="s">
        <v>7691</v>
      </c>
      <c r="F271" s="20" t="s">
        <v>7692</v>
      </c>
      <c r="G271" s="20"/>
      <c r="H271" s="20"/>
      <c r="I271" s="20" t="s">
        <v>7693</v>
      </c>
      <c r="J271" s="20" t="s">
        <v>7694</v>
      </c>
      <c r="K271" s="20" t="s">
        <v>5285</v>
      </c>
      <c r="L271" s="20" t="s">
        <v>7690</v>
      </c>
    </row>
    <row r="272">
      <c r="A272" s="20" t="s">
        <v>7695</v>
      </c>
      <c r="B272" s="21">
        <v>45986.073333333334</v>
      </c>
      <c r="C272" s="20" t="s">
        <v>6897</v>
      </c>
      <c r="D272" s="22" t="s">
        <v>6811</v>
      </c>
      <c r="E272" s="20" t="s">
        <v>7565</v>
      </c>
      <c r="F272" s="20" t="s">
        <v>7566</v>
      </c>
      <c r="G272" s="20"/>
      <c r="H272" s="20"/>
      <c r="I272" s="20" t="s">
        <v>7696</v>
      </c>
      <c r="J272" s="20" t="s">
        <v>7697</v>
      </c>
      <c r="K272" s="20" t="s">
        <v>2594</v>
      </c>
      <c r="L272" s="20" t="s">
        <v>7695</v>
      </c>
    </row>
    <row r="273">
      <c r="A273" s="20" t="s">
        <v>7698</v>
      </c>
      <c r="B273" s="21">
        <v>46030.50439814814</v>
      </c>
      <c r="C273" s="20" t="s">
        <v>7699</v>
      </c>
      <c r="D273" s="22" t="s">
        <v>6595</v>
      </c>
      <c r="E273" s="20" t="s">
        <v>6818</v>
      </c>
      <c r="F273" s="22" t="s">
        <v>6811</v>
      </c>
      <c r="G273" s="20"/>
      <c r="H273" s="20"/>
      <c r="I273" s="20" t="s">
        <v>7700</v>
      </c>
      <c r="J273" s="20" t="s">
        <v>7042</v>
      </c>
      <c r="K273" s="20" t="s">
        <v>1195</v>
      </c>
      <c r="L273" s="20" t="s">
        <v>7698</v>
      </c>
    </row>
    <row r="274">
      <c r="A274" s="20" t="s">
        <v>7701</v>
      </c>
      <c r="B274" s="21">
        <v>46028.656180555554</v>
      </c>
      <c r="C274" s="20" t="s">
        <v>7702</v>
      </c>
      <c r="D274" s="22" t="s">
        <v>6597</v>
      </c>
      <c r="E274" s="20" t="s">
        <v>6818</v>
      </c>
      <c r="F274" s="22" t="s">
        <v>6811</v>
      </c>
      <c r="G274" s="20"/>
      <c r="H274" s="20"/>
      <c r="I274" s="20" t="s">
        <v>7703</v>
      </c>
      <c r="J274" s="20" t="s">
        <v>7704</v>
      </c>
      <c r="K274" s="20" t="s">
        <v>961</v>
      </c>
      <c r="L274" s="20" t="s">
        <v>7701</v>
      </c>
    </row>
    <row r="275">
      <c r="A275" s="20" t="s">
        <v>7705</v>
      </c>
      <c r="B275" s="21">
        <v>46028.56296296296</v>
      </c>
      <c r="C275" s="20" t="s">
        <v>6818</v>
      </c>
      <c r="D275" s="22" t="s">
        <v>6811</v>
      </c>
      <c r="E275" s="20" t="s">
        <v>7706</v>
      </c>
      <c r="F275" s="22" t="s">
        <v>6597</v>
      </c>
      <c r="G275" s="20" t="s">
        <v>6853</v>
      </c>
      <c r="H275" s="22" t="s">
        <v>6811</v>
      </c>
      <c r="I275" s="20" t="s">
        <v>6854</v>
      </c>
      <c r="J275" s="20" t="s">
        <v>7707</v>
      </c>
      <c r="K275" s="20" t="s">
        <v>961</v>
      </c>
      <c r="L275" s="20" t="s">
        <v>7705</v>
      </c>
    </row>
    <row r="276">
      <c r="A276" s="20" t="s">
        <v>7708</v>
      </c>
      <c r="B276" s="21">
        <v>46028.56296296296</v>
      </c>
      <c r="C276" s="20" t="s">
        <v>6818</v>
      </c>
      <c r="D276" s="22" t="s">
        <v>6811</v>
      </c>
      <c r="E276" s="20" t="s">
        <v>7709</v>
      </c>
      <c r="F276" s="22" t="s">
        <v>6597</v>
      </c>
      <c r="G276" s="20" t="s">
        <v>6853</v>
      </c>
      <c r="H276" s="22" t="s">
        <v>6811</v>
      </c>
      <c r="I276" s="20" t="s">
        <v>6854</v>
      </c>
      <c r="J276" s="20" t="s">
        <v>7710</v>
      </c>
      <c r="K276" s="20" t="s">
        <v>961</v>
      </c>
      <c r="L276" s="20" t="s">
        <v>7708</v>
      </c>
    </row>
    <row r="277">
      <c r="A277" s="20" t="s">
        <v>7711</v>
      </c>
      <c r="B277" s="21">
        <v>46028.56291666666</v>
      </c>
      <c r="C277" s="20" t="s">
        <v>6818</v>
      </c>
      <c r="D277" s="22" t="s">
        <v>6811</v>
      </c>
      <c r="E277" s="20" t="s">
        <v>7712</v>
      </c>
      <c r="F277" s="22" t="s">
        <v>6597</v>
      </c>
      <c r="G277" s="20" t="s">
        <v>6853</v>
      </c>
      <c r="H277" s="22" t="s">
        <v>6811</v>
      </c>
      <c r="I277" s="20" t="s">
        <v>6854</v>
      </c>
      <c r="J277" s="20" t="s">
        <v>7713</v>
      </c>
      <c r="K277" s="20" t="s">
        <v>961</v>
      </c>
      <c r="L277" s="20" t="s">
        <v>7711</v>
      </c>
    </row>
    <row r="278">
      <c r="A278" s="20" t="s">
        <v>7714</v>
      </c>
      <c r="B278" s="21">
        <v>46028.56292824074</v>
      </c>
      <c r="C278" s="20" t="s">
        <v>6818</v>
      </c>
      <c r="D278" s="22" t="s">
        <v>6811</v>
      </c>
      <c r="E278" s="20" t="s">
        <v>7715</v>
      </c>
      <c r="F278" s="22" t="s">
        <v>6597</v>
      </c>
      <c r="G278" s="20" t="s">
        <v>6853</v>
      </c>
      <c r="H278" s="22" t="s">
        <v>6811</v>
      </c>
      <c r="I278" s="20" t="s">
        <v>6854</v>
      </c>
      <c r="J278" s="20" t="s">
        <v>7716</v>
      </c>
      <c r="K278" s="20" t="s">
        <v>961</v>
      </c>
      <c r="L278" s="20" t="s">
        <v>7714</v>
      </c>
    </row>
    <row r="279">
      <c r="A279" s="20" t="s">
        <v>7717</v>
      </c>
      <c r="B279" s="21">
        <v>46028.56292824074</v>
      </c>
      <c r="C279" s="20" t="s">
        <v>6818</v>
      </c>
      <c r="D279" s="22" t="s">
        <v>6811</v>
      </c>
      <c r="E279" s="20" t="s">
        <v>7718</v>
      </c>
      <c r="F279" s="22" t="s">
        <v>6599</v>
      </c>
      <c r="G279" s="20" t="s">
        <v>6853</v>
      </c>
      <c r="H279" s="22" t="s">
        <v>6811</v>
      </c>
      <c r="I279" s="20" t="s">
        <v>6854</v>
      </c>
      <c r="J279" s="20" t="s">
        <v>7719</v>
      </c>
      <c r="K279" s="20" t="s">
        <v>861</v>
      </c>
      <c r="L279" s="20" t="s">
        <v>7717</v>
      </c>
    </row>
    <row r="280">
      <c r="A280" s="20" t="s">
        <v>7720</v>
      </c>
      <c r="B280" s="21">
        <v>46028.56292824074</v>
      </c>
      <c r="C280" s="20" t="s">
        <v>6818</v>
      </c>
      <c r="D280" s="22" t="s">
        <v>6811</v>
      </c>
      <c r="E280" s="20" t="s">
        <v>7721</v>
      </c>
      <c r="F280" s="22" t="s">
        <v>6596</v>
      </c>
      <c r="G280" s="20" t="s">
        <v>6853</v>
      </c>
      <c r="H280" s="22" t="s">
        <v>6811</v>
      </c>
      <c r="I280" s="20" t="s">
        <v>6854</v>
      </c>
      <c r="J280" s="20" t="s">
        <v>7722</v>
      </c>
      <c r="K280" s="20" t="s">
        <v>3616</v>
      </c>
      <c r="L280" s="20" t="s">
        <v>7720</v>
      </c>
    </row>
    <row r="281">
      <c r="A281" s="20" t="s">
        <v>7723</v>
      </c>
      <c r="B281" s="21">
        <v>46028.56291666666</v>
      </c>
      <c r="C281" s="20" t="s">
        <v>6818</v>
      </c>
      <c r="D281" s="22" t="s">
        <v>6811</v>
      </c>
      <c r="E281" s="20" t="s">
        <v>7724</v>
      </c>
      <c r="F281" s="22" t="s">
        <v>6597</v>
      </c>
      <c r="G281" s="20" t="s">
        <v>6853</v>
      </c>
      <c r="H281" s="22" t="s">
        <v>6811</v>
      </c>
      <c r="I281" s="20" t="s">
        <v>6854</v>
      </c>
      <c r="J281" s="20" t="s">
        <v>7725</v>
      </c>
      <c r="K281" s="20" t="s">
        <v>961</v>
      </c>
      <c r="L281" s="20" t="s">
        <v>7723</v>
      </c>
    </row>
    <row r="282">
      <c r="A282" s="20" t="s">
        <v>7726</v>
      </c>
      <c r="B282" s="21">
        <v>46028.56290509259</v>
      </c>
      <c r="C282" s="20" t="s">
        <v>6818</v>
      </c>
      <c r="D282" s="22" t="s">
        <v>6811</v>
      </c>
      <c r="E282" s="20" t="s">
        <v>7727</v>
      </c>
      <c r="F282" s="22" t="s">
        <v>6595</v>
      </c>
      <c r="G282" s="20" t="s">
        <v>6853</v>
      </c>
      <c r="H282" s="22" t="s">
        <v>6811</v>
      </c>
      <c r="I282" s="20" t="s">
        <v>6854</v>
      </c>
      <c r="J282" s="20" t="s">
        <v>7728</v>
      </c>
      <c r="K282" s="20" t="s">
        <v>1195</v>
      </c>
      <c r="L282" s="20" t="s">
        <v>7726</v>
      </c>
    </row>
    <row r="283">
      <c r="A283" s="20" t="s">
        <v>7729</v>
      </c>
      <c r="B283" s="21">
        <v>46028.56290509259</v>
      </c>
      <c r="C283" s="20" t="s">
        <v>6818</v>
      </c>
      <c r="D283" s="22" t="s">
        <v>6811</v>
      </c>
      <c r="E283" s="20" t="s">
        <v>7730</v>
      </c>
      <c r="F283" s="22" t="s">
        <v>6599</v>
      </c>
      <c r="G283" s="20" t="s">
        <v>6853</v>
      </c>
      <c r="H283" s="22" t="s">
        <v>6811</v>
      </c>
      <c r="I283" s="20" t="s">
        <v>6854</v>
      </c>
      <c r="J283" s="20" t="s">
        <v>7731</v>
      </c>
      <c r="K283" s="20" t="s">
        <v>861</v>
      </c>
      <c r="L283" s="20" t="s">
        <v>7729</v>
      </c>
    </row>
    <row r="284">
      <c r="A284" s="20" t="s">
        <v>7732</v>
      </c>
      <c r="B284" s="21">
        <v>46028.56290509259</v>
      </c>
      <c r="C284" s="20" t="s">
        <v>6818</v>
      </c>
      <c r="D284" s="22" t="s">
        <v>6811</v>
      </c>
      <c r="E284" s="20" t="s">
        <v>7733</v>
      </c>
      <c r="F284" s="22" t="s">
        <v>6597</v>
      </c>
      <c r="G284" s="20" t="s">
        <v>6853</v>
      </c>
      <c r="H284" s="22" t="s">
        <v>6811</v>
      </c>
      <c r="I284" s="20" t="s">
        <v>6854</v>
      </c>
      <c r="J284" s="20" t="s">
        <v>7734</v>
      </c>
      <c r="K284" s="20" t="s">
        <v>961</v>
      </c>
      <c r="L284" s="20" t="s">
        <v>7732</v>
      </c>
    </row>
    <row r="285">
      <c r="A285" s="20" t="s">
        <v>7735</v>
      </c>
      <c r="B285" s="21">
        <v>46028.56291666666</v>
      </c>
      <c r="C285" s="20" t="s">
        <v>6818</v>
      </c>
      <c r="D285" s="22" t="s">
        <v>6811</v>
      </c>
      <c r="E285" s="20" t="s">
        <v>7736</v>
      </c>
      <c r="F285" s="22" t="s">
        <v>6598</v>
      </c>
      <c r="G285" s="20" t="s">
        <v>6853</v>
      </c>
      <c r="H285" s="22" t="s">
        <v>6811</v>
      </c>
      <c r="I285" s="20" t="s">
        <v>6854</v>
      </c>
      <c r="J285" s="20" t="s">
        <v>7737</v>
      </c>
      <c r="K285" s="20" t="s">
        <v>705</v>
      </c>
      <c r="L285" s="20" t="s">
        <v>7735</v>
      </c>
    </row>
    <row r="286">
      <c r="A286" s="20" t="s">
        <v>7738</v>
      </c>
      <c r="B286" s="21">
        <v>46028.56291666666</v>
      </c>
      <c r="C286" s="20" t="s">
        <v>6818</v>
      </c>
      <c r="D286" s="22" t="s">
        <v>6811</v>
      </c>
      <c r="E286" s="20" t="s">
        <v>7739</v>
      </c>
      <c r="F286" s="22" t="s">
        <v>6595</v>
      </c>
      <c r="G286" s="20" t="s">
        <v>6853</v>
      </c>
      <c r="H286" s="22" t="s">
        <v>6811</v>
      </c>
      <c r="I286" s="20" t="s">
        <v>6854</v>
      </c>
      <c r="J286" s="20" t="s">
        <v>7740</v>
      </c>
      <c r="K286" s="20" t="s">
        <v>1195</v>
      </c>
      <c r="L286" s="20" t="s">
        <v>7738</v>
      </c>
    </row>
    <row r="287">
      <c r="A287" s="20" t="s">
        <v>7741</v>
      </c>
      <c r="B287" s="21">
        <v>46028.56290509259</v>
      </c>
      <c r="C287" s="20" t="s">
        <v>6818</v>
      </c>
      <c r="D287" s="22" t="s">
        <v>6811</v>
      </c>
      <c r="E287" s="20" t="s">
        <v>7742</v>
      </c>
      <c r="F287" s="22" t="s">
        <v>6597</v>
      </c>
      <c r="G287" s="20" t="s">
        <v>6853</v>
      </c>
      <c r="H287" s="22" t="s">
        <v>6811</v>
      </c>
      <c r="I287" s="20" t="s">
        <v>6854</v>
      </c>
      <c r="J287" s="20" t="s">
        <v>7743</v>
      </c>
      <c r="K287" s="20" t="s">
        <v>961</v>
      </c>
      <c r="L287" s="20" t="s">
        <v>7741</v>
      </c>
    </row>
    <row r="288">
      <c r="A288" s="20" t="s">
        <v>7744</v>
      </c>
      <c r="B288" s="21">
        <v>46028.56290509259</v>
      </c>
      <c r="C288" s="20" t="s">
        <v>6818</v>
      </c>
      <c r="D288" s="22" t="s">
        <v>6811</v>
      </c>
      <c r="E288" s="20" t="s">
        <v>7745</v>
      </c>
      <c r="F288" s="22" t="s">
        <v>6599</v>
      </c>
      <c r="G288" s="20" t="s">
        <v>6853</v>
      </c>
      <c r="H288" s="22" t="s">
        <v>6811</v>
      </c>
      <c r="I288" s="20" t="s">
        <v>6854</v>
      </c>
      <c r="J288" s="20" t="s">
        <v>7746</v>
      </c>
      <c r="K288" s="20" t="s">
        <v>861</v>
      </c>
      <c r="L288" s="20" t="s">
        <v>7744</v>
      </c>
    </row>
    <row r="289">
      <c r="A289" s="20" t="s">
        <v>7747</v>
      </c>
      <c r="B289" s="21">
        <v>46028.56289351852</v>
      </c>
      <c r="C289" s="20" t="s">
        <v>6818</v>
      </c>
      <c r="D289" s="22" t="s">
        <v>6811</v>
      </c>
      <c r="E289" s="20" t="s">
        <v>7748</v>
      </c>
      <c r="F289" s="22" t="s">
        <v>6598</v>
      </c>
      <c r="G289" s="20" t="s">
        <v>6853</v>
      </c>
      <c r="H289" s="22" t="s">
        <v>6811</v>
      </c>
      <c r="I289" s="20" t="s">
        <v>6854</v>
      </c>
      <c r="J289" s="20" t="s">
        <v>7737</v>
      </c>
      <c r="K289" s="20" t="s">
        <v>705</v>
      </c>
      <c r="L289" s="20" t="s">
        <v>7747</v>
      </c>
    </row>
    <row r="290">
      <c r="A290" s="20" t="s">
        <v>7749</v>
      </c>
      <c r="B290" s="21">
        <v>46028.56289351852</v>
      </c>
      <c r="C290" s="20" t="s">
        <v>6818</v>
      </c>
      <c r="D290" s="22" t="s">
        <v>6811</v>
      </c>
      <c r="E290" s="20" t="s">
        <v>7750</v>
      </c>
      <c r="F290" s="22" t="s">
        <v>6597</v>
      </c>
      <c r="G290" s="20" t="s">
        <v>6853</v>
      </c>
      <c r="H290" s="22" t="s">
        <v>6811</v>
      </c>
      <c r="I290" s="20" t="s">
        <v>6854</v>
      </c>
      <c r="J290" s="20" t="s">
        <v>7751</v>
      </c>
      <c r="K290" s="20" t="s">
        <v>961</v>
      </c>
      <c r="L290" s="20" t="s">
        <v>7749</v>
      </c>
    </row>
    <row r="291">
      <c r="A291" s="20" t="s">
        <v>7752</v>
      </c>
      <c r="B291" s="21">
        <v>46028.56289351852</v>
      </c>
      <c r="C291" s="20" t="s">
        <v>6818</v>
      </c>
      <c r="D291" s="22" t="s">
        <v>6811</v>
      </c>
      <c r="E291" s="20" t="s">
        <v>7753</v>
      </c>
      <c r="F291" s="22" t="s">
        <v>6596</v>
      </c>
      <c r="G291" s="20" t="s">
        <v>6853</v>
      </c>
      <c r="H291" s="22" t="s">
        <v>6811</v>
      </c>
      <c r="I291" s="20" t="s">
        <v>6854</v>
      </c>
      <c r="J291" s="20" t="s">
        <v>7754</v>
      </c>
      <c r="K291" s="20" t="s">
        <v>3616</v>
      </c>
      <c r="L291" s="20" t="s">
        <v>7752</v>
      </c>
    </row>
    <row r="292">
      <c r="A292" s="20" t="s">
        <v>7755</v>
      </c>
      <c r="B292" s="21">
        <v>46028.56289351852</v>
      </c>
      <c r="C292" s="20" t="s">
        <v>6818</v>
      </c>
      <c r="D292" s="22" t="s">
        <v>6811</v>
      </c>
      <c r="E292" s="20" t="s">
        <v>7756</v>
      </c>
      <c r="F292" s="22" t="s">
        <v>6596</v>
      </c>
      <c r="G292" s="20" t="s">
        <v>6853</v>
      </c>
      <c r="H292" s="22" t="s">
        <v>6811</v>
      </c>
      <c r="I292" s="20" t="s">
        <v>6854</v>
      </c>
      <c r="J292" s="20" t="s">
        <v>7757</v>
      </c>
      <c r="K292" s="20" t="s">
        <v>3616</v>
      </c>
      <c r="L292" s="20" t="s">
        <v>7755</v>
      </c>
    </row>
    <row r="293">
      <c r="A293" s="20" t="s">
        <v>7758</v>
      </c>
      <c r="B293" s="21">
        <v>46027.44952546296</v>
      </c>
      <c r="C293" s="20" t="s">
        <v>7759</v>
      </c>
      <c r="D293" s="22" t="s">
        <v>6597</v>
      </c>
      <c r="E293" s="20" t="s">
        <v>6818</v>
      </c>
      <c r="F293" s="22" t="s">
        <v>6811</v>
      </c>
      <c r="G293" s="20"/>
      <c r="H293" s="20"/>
      <c r="I293" s="20" t="s">
        <v>7760</v>
      </c>
      <c r="J293" s="20" t="s">
        <v>7761</v>
      </c>
      <c r="K293" s="20" t="s">
        <v>961</v>
      </c>
      <c r="L293" s="20" t="s">
        <v>7758</v>
      </c>
    </row>
    <row r="294">
      <c r="A294" s="20" t="s">
        <v>7762</v>
      </c>
      <c r="B294" s="21">
        <v>46007.540127314816</v>
      </c>
      <c r="C294" s="20" t="s">
        <v>6897</v>
      </c>
      <c r="D294" s="22" t="s">
        <v>6811</v>
      </c>
      <c r="E294" s="20" t="s">
        <v>7763</v>
      </c>
      <c r="F294" s="20" t="s">
        <v>7764</v>
      </c>
      <c r="G294" s="20"/>
      <c r="H294" s="20"/>
      <c r="I294" s="20" t="s">
        <v>7765</v>
      </c>
      <c r="J294" s="20" t="s">
        <v>7766</v>
      </c>
      <c r="K294" s="20" t="s">
        <v>861</v>
      </c>
      <c r="L294" s="20" t="s">
        <v>7762</v>
      </c>
    </row>
    <row r="295">
      <c r="A295" s="20" t="s">
        <v>7767</v>
      </c>
      <c r="B295" s="21">
        <v>46001.85606481481</v>
      </c>
      <c r="C295" s="20" t="s">
        <v>7768</v>
      </c>
      <c r="D295" s="22" t="s">
        <v>6597</v>
      </c>
      <c r="E295" s="20" t="s">
        <v>6818</v>
      </c>
      <c r="F295" s="22" t="s">
        <v>6811</v>
      </c>
      <c r="G295" s="20"/>
      <c r="H295" s="20"/>
      <c r="I295" s="20" t="s">
        <v>7769</v>
      </c>
      <c r="J295" s="20" t="s">
        <v>7704</v>
      </c>
      <c r="K295" s="20" t="s">
        <v>961</v>
      </c>
      <c r="L295" s="20" t="s">
        <v>7767</v>
      </c>
    </row>
    <row r="296">
      <c r="A296" s="20" t="s">
        <v>7770</v>
      </c>
      <c r="B296" s="21">
        <v>46001.771319444444</v>
      </c>
      <c r="C296" s="20" t="s">
        <v>7759</v>
      </c>
      <c r="D296" s="22" t="s">
        <v>6597</v>
      </c>
      <c r="E296" s="20" t="s">
        <v>6818</v>
      </c>
      <c r="F296" s="22" t="s">
        <v>6811</v>
      </c>
      <c r="G296" s="20"/>
      <c r="H296" s="20"/>
      <c r="I296" s="20" t="s">
        <v>7769</v>
      </c>
      <c r="J296" s="20" t="s">
        <v>7771</v>
      </c>
      <c r="K296" s="20" t="s">
        <v>961</v>
      </c>
      <c r="L296" s="20" t="s">
        <v>7770</v>
      </c>
    </row>
    <row r="297">
      <c r="A297" s="20" t="s">
        <v>7772</v>
      </c>
      <c r="B297" s="21">
        <v>46001.76866898148</v>
      </c>
      <c r="C297" s="20" t="s">
        <v>7773</v>
      </c>
      <c r="D297" s="22" t="s">
        <v>6597</v>
      </c>
      <c r="E297" s="20" t="s">
        <v>6818</v>
      </c>
      <c r="F297" s="22" t="s">
        <v>6811</v>
      </c>
      <c r="G297" s="20"/>
      <c r="H297" s="20"/>
      <c r="I297" s="20" t="s">
        <v>7405</v>
      </c>
      <c r="J297" s="20" t="s">
        <v>7704</v>
      </c>
      <c r="K297" s="20" t="s">
        <v>961</v>
      </c>
      <c r="L297" s="20" t="s">
        <v>7772</v>
      </c>
    </row>
    <row r="298">
      <c r="A298" s="20" t="s">
        <v>7774</v>
      </c>
      <c r="B298" s="21">
        <v>46001.630578703705</v>
      </c>
      <c r="C298" s="20" t="s">
        <v>6818</v>
      </c>
      <c r="D298" s="22" t="s">
        <v>6811</v>
      </c>
      <c r="E298" s="20" t="s">
        <v>7775</v>
      </c>
      <c r="F298" s="20" t="s">
        <v>7776</v>
      </c>
      <c r="G298" s="20"/>
      <c r="H298" s="20"/>
      <c r="I298" s="20" t="s">
        <v>7777</v>
      </c>
      <c r="J298" s="20" t="s">
        <v>7778</v>
      </c>
      <c r="K298" s="20" t="s">
        <v>961</v>
      </c>
      <c r="L298" s="20" t="s">
        <v>7779</v>
      </c>
    </row>
    <row r="299">
      <c r="A299" s="20" t="s">
        <v>7780</v>
      </c>
      <c r="B299" s="21">
        <v>46001.6053125</v>
      </c>
      <c r="C299" s="20" t="s">
        <v>6897</v>
      </c>
      <c r="D299" s="22" t="s">
        <v>6811</v>
      </c>
      <c r="E299" s="20" t="s">
        <v>7781</v>
      </c>
      <c r="F299" s="20" t="s">
        <v>7782</v>
      </c>
      <c r="G299" s="20"/>
      <c r="H299" s="20"/>
      <c r="I299" s="20" t="s">
        <v>7783</v>
      </c>
      <c r="J299" s="20" t="s">
        <v>7784</v>
      </c>
      <c r="K299" s="20" t="s">
        <v>961</v>
      </c>
      <c r="L299" s="20" t="s">
        <v>7780</v>
      </c>
    </row>
    <row r="300">
      <c r="A300" s="20" t="s">
        <v>7785</v>
      </c>
      <c r="B300" s="21">
        <v>46001.56252314815</v>
      </c>
      <c r="C300" s="20" t="s">
        <v>7154</v>
      </c>
      <c r="D300" s="22" t="s">
        <v>7155</v>
      </c>
      <c r="E300" s="20" t="s">
        <v>7709</v>
      </c>
      <c r="F300" s="22" t="s">
        <v>6597</v>
      </c>
      <c r="G300" s="20" t="s">
        <v>7786</v>
      </c>
      <c r="H300" s="22" t="s">
        <v>6811</v>
      </c>
      <c r="I300" s="20" t="s">
        <v>7157</v>
      </c>
      <c r="J300" s="20" t="s">
        <v>7158</v>
      </c>
      <c r="K300" s="20" t="s">
        <v>961</v>
      </c>
      <c r="L300" s="20" t="s">
        <v>7785</v>
      </c>
    </row>
    <row r="301">
      <c r="A301" s="20" t="s">
        <v>7787</v>
      </c>
      <c r="B301" s="21">
        <v>46000.5958912037</v>
      </c>
      <c r="C301" s="20" t="s">
        <v>6897</v>
      </c>
      <c r="D301" s="22" t="s">
        <v>6811</v>
      </c>
      <c r="E301" s="20" t="s">
        <v>7788</v>
      </c>
      <c r="F301" s="20" t="s">
        <v>7789</v>
      </c>
      <c r="G301" s="20"/>
      <c r="H301" s="20"/>
      <c r="I301" s="20" t="s">
        <v>7790</v>
      </c>
      <c r="J301" s="20" t="s">
        <v>7791</v>
      </c>
      <c r="K301" s="20" t="s">
        <v>1195</v>
      </c>
      <c r="L301" s="20" t="s">
        <v>7787</v>
      </c>
    </row>
    <row r="302">
      <c r="A302" s="20" t="s">
        <v>7792</v>
      </c>
      <c r="B302" s="21">
        <v>45999.84626157407</v>
      </c>
      <c r="C302" s="20" t="s">
        <v>6897</v>
      </c>
      <c r="D302" s="22" t="s">
        <v>6811</v>
      </c>
      <c r="E302" s="20" t="s">
        <v>7763</v>
      </c>
      <c r="F302" s="20" t="s">
        <v>7764</v>
      </c>
      <c r="G302" s="20"/>
      <c r="H302" s="20"/>
      <c r="I302" s="20" t="s">
        <v>7793</v>
      </c>
      <c r="J302" s="20" t="s">
        <v>7794</v>
      </c>
      <c r="K302" s="20" t="s">
        <v>861</v>
      </c>
      <c r="L302" s="20" t="s">
        <v>7792</v>
      </c>
    </row>
    <row r="303">
      <c r="A303" s="20" t="s">
        <v>7795</v>
      </c>
      <c r="B303" s="21">
        <v>45987.12195601852</v>
      </c>
      <c r="C303" s="20" t="s">
        <v>6897</v>
      </c>
      <c r="D303" s="22" t="s">
        <v>6811</v>
      </c>
      <c r="E303" s="20" t="s">
        <v>7781</v>
      </c>
      <c r="F303" s="20" t="s">
        <v>7782</v>
      </c>
      <c r="G303" s="20"/>
      <c r="H303" s="20"/>
      <c r="I303" s="20" t="s">
        <v>7796</v>
      </c>
      <c r="J303" s="20" t="s">
        <v>7797</v>
      </c>
      <c r="K303" s="20" t="s">
        <v>961</v>
      </c>
      <c r="L303" s="20" t="s">
        <v>7795</v>
      </c>
    </row>
    <row r="304">
      <c r="A304" s="20" t="s">
        <v>7798</v>
      </c>
      <c r="B304" s="21">
        <v>45987.12168981481</v>
      </c>
      <c r="C304" s="20" t="s">
        <v>6897</v>
      </c>
      <c r="D304" s="22" t="s">
        <v>6811</v>
      </c>
      <c r="E304" s="20" t="s">
        <v>7781</v>
      </c>
      <c r="F304" s="20" t="s">
        <v>7782</v>
      </c>
      <c r="G304" s="20"/>
      <c r="H304" s="20"/>
      <c r="I304" s="20" t="s">
        <v>7799</v>
      </c>
      <c r="J304" s="20" t="s">
        <v>7800</v>
      </c>
      <c r="K304" s="20" t="s">
        <v>961</v>
      </c>
      <c r="L304" s="20" t="s">
        <v>7798</v>
      </c>
    </row>
    <row r="305">
      <c r="A305" s="20" t="s">
        <v>7801</v>
      </c>
      <c r="B305" s="21">
        <v>45986.43712962963</v>
      </c>
      <c r="C305" s="20" t="s">
        <v>6897</v>
      </c>
      <c r="D305" s="22" t="s">
        <v>6811</v>
      </c>
      <c r="E305" s="20" t="s">
        <v>7781</v>
      </c>
      <c r="F305" s="20" t="s">
        <v>7782</v>
      </c>
      <c r="G305" s="20"/>
      <c r="H305" s="20"/>
      <c r="I305" s="20" t="s">
        <v>7802</v>
      </c>
      <c r="J305" s="20" t="s">
        <v>7803</v>
      </c>
      <c r="K305" s="20" t="s">
        <v>961</v>
      </c>
      <c r="L305" s="20" t="s">
        <v>7801</v>
      </c>
    </row>
    <row r="306">
      <c r="A306" s="20" t="s">
        <v>7804</v>
      </c>
      <c r="B306" s="21">
        <v>45986.13108796296</v>
      </c>
      <c r="C306" s="20" t="s">
        <v>6897</v>
      </c>
      <c r="D306" s="22" t="s">
        <v>6811</v>
      </c>
      <c r="E306" s="20" t="s">
        <v>7805</v>
      </c>
      <c r="F306" s="20" t="s">
        <v>7776</v>
      </c>
      <c r="G306" s="20"/>
      <c r="H306" s="20"/>
      <c r="I306" s="20" t="s">
        <v>7806</v>
      </c>
      <c r="J306" s="20" t="s">
        <v>7807</v>
      </c>
      <c r="K306" s="20" t="s">
        <v>961</v>
      </c>
      <c r="L306" s="20" t="s">
        <v>7804</v>
      </c>
    </row>
    <row r="307">
      <c r="A307" s="20" t="s">
        <v>7808</v>
      </c>
      <c r="B307" s="21">
        <v>45986.436377314814</v>
      </c>
      <c r="C307" s="20" t="s">
        <v>6818</v>
      </c>
      <c r="D307" s="22" t="s">
        <v>6811</v>
      </c>
      <c r="E307" s="20" t="s">
        <v>6897</v>
      </c>
      <c r="F307" s="22" t="s">
        <v>6811</v>
      </c>
      <c r="G307" s="20" t="s">
        <v>7809</v>
      </c>
      <c r="H307" s="22" t="s">
        <v>6597</v>
      </c>
      <c r="I307" s="20" t="s">
        <v>7810</v>
      </c>
      <c r="J307" s="20" t="s">
        <v>7811</v>
      </c>
      <c r="K307" s="20" t="s">
        <v>961</v>
      </c>
      <c r="L307" s="20" t="s">
        <v>7804</v>
      </c>
    </row>
    <row r="308">
      <c r="A308" s="20" t="s">
        <v>7812</v>
      </c>
      <c r="B308" s="21">
        <v>46001.76788194444</v>
      </c>
      <c r="C308" s="20" t="s">
        <v>7773</v>
      </c>
      <c r="D308" s="22" t="s">
        <v>6597</v>
      </c>
      <c r="E308" s="20" t="s">
        <v>7813</v>
      </c>
      <c r="F308" s="20" t="s">
        <v>7782</v>
      </c>
      <c r="G308" s="20" t="s">
        <v>7768</v>
      </c>
      <c r="H308" s="22" t="s">
        <v>6597</v>
      </c>
      <c r="I308" s="20" t="s">
        <v>7810</v>
      </c>
      <c r="J308" s="20" t="s">
        <v>7814</v>
      </c>
      <c r="K308" s="20" t="s">
        <v>961</v>
      </c>
      <c r="L308" s="20" t="s">
        <v>7804</v>
      </c>
    </row>
    <row r="309">
      <c r="A309" s="20" t="s">
        <v>7815</v>
      </c>
      <c r="B309" s="21">
        <v>46027.4455787037</v>
      </c>
      <c r="C309" s="20" t="s">
        <v>6818</v>
      </c>
      <c r="D309" s="22" t="s">
        <v>6811</v>
      </c>
      <c r="E309" s="20" t="s">
        <v>7773</v>
      </c>
      <c r="F309" s="22" t="s">
        <v>6597</v>
      </c>
      <c r="G309" s="20" t="s">
        <v>7816</v>
      </c>
      <c r="H309" s="20" t="s">
        <v>7782</v>
      </c>
      <c r="I309" s="20" t="s">
        <v>7810</v>
      </c>
      <c r="J309" s="20" t="s">
        <v>7817</v>
      </c>
      <c r="K309" s="20" t="s">
        <v>961</v>
      </c>
      <c r="L309" s="20" t="s">
        <v>7804</v>
      </c>
    </row>
    <row r="310">
      <c r="A310" s="20" t="s">
        <v>7818</v>
      </c>
      <c r="B310" s="21">
        <v>46027.784432870365</v>
      </c>
      <c r="C310" s="20" t="s">
        <v>7773</v>
      </c>
      <c r="D310" s="22" t="s">
        <v>6597</v>
      </c>
      <c r="E310" s="20" t="s">
        <v>6818</v>
      </c>
      <c r="F310" s="22" t="s">
        <v>6811</v>
      </c>
      <c r="G310" s="20" t="s">
        <v>7819</v>
      </c>
      <c r="H310" s="20" t="s">
        <v>7782</v>
      </c>
      <c r="I310" s="20" t="s">
        <v>7810</v>
      </c>
      <c r="J310" s="20" t="s">
        <v>7820</v>
      </c>
      <c r="K310" s="20" t="s">
        <v>961</v>
      </c>
      <c r="L310" s="20" t="s">
        <v>7804</v>
      </c>
    </row>
    <row r="311">
      <c r="A311" s="20" t="s">
        <v>7821</v>
      </c>
      <c r="B311" s="21">
        <v>46028.37810185185</v>
      </c>
      <c r="C311" s="20" t="s">
        <v>6818</v>
      </c>
      <c r="D311" s="22" t="s">
        <v>6811</v>
      </c>
      <c r="E311" s="20" t="s">
        <v>7773</v>
      </c>
      <c r="F311" s="22" t="s">
        <v>6597</v>
      </c>
      <c r="G311" s="20" t="s">
        <v>7819</v>
      </c>
      <c r="H311" s="20" t="s">
        <v>7782</v>
      </c>
      <c r="I311" s="20" t="s">
        <v>7810</v>
      </c>
      <c r="J311" s="20" t="s">
        <v>7822</v>
      </c>
      <c r="K311" s="20" t="s">
        <v>961</v>
      </c>
      <c r="L311" s="20" t="s">
        <v>7804</v>
      </c>
    </row>
    <row r="312">
      <c r="A312" s="20" t="s">
        <v>7823</v>
      </c>
      <c r="B312" s="21">
        <v>45986.07665509259</v>
      </c>
      <c r="C312" s="20" t="s">
        <v>6897</v>
      </c>
      <c r="D312" s="22" t="s">
        <v>6811</v>
      </c>
      <c r="E312" s="20" t="s">
        <v>7788</v>
      </c>
      <c r="F312" s="20" t="s">
        <v>7789</v>
      </c>
      <c r="G312" s="20"/>
      <c r="H312" s="20"/>
      <c r="I312" s="20" t="s">
        <v>7824</v>
      </c>
      <c r="J312" s="20" t="s">
        <v>7825</v>
      </c>
      <c r="K312" s="20" t="s">
        <v>1195</v>
      </c>
      <c r="L312" s="20" t="s">
        <v>7823</v>
      </c>
    </row>
    <row r="313">
      <c r="A313" s="20" t="s">
        <v>7826</v>
      </c>
      <c r="B313" s="21">
        <v>45986.07561342593</v>
      </c>
      <c r="C313" s="20" t="s">
        <v>6897</v>
      </c>
      <c r="D313" s="22" t="s">
        <v>6811</v>
      </c>
      <c r="E313" s="20" t="s">
        <v>7827</v>
      </c>
      <c r="F313" s="20" t="s">
        <v>7828</v>
      </c>
      <c r="G313" s="20"/>
      <c r="H313" s="20"/>
      <c r="I313" s="20" t="s">
        <v>7829</v>
      </c>
      <c r="J313" s="20" t="s">
        <v>7830</v>
      </c>
      <c r="K313" s="20" t="s">
        <v>705</v>
      </c>
      <c r="L313" s="20" t="s">
        <v>7826</v>
      </c>
    </row>
    <row r="314">
      <c r="A314" s="20" t="s">
        <v>7831</v>
      </c>
      <c r="B314" s="21">
        <v>45986.07434027777</v>
      </c>
      <c r="C314" s="20" t="s">
        <v>6897</v>
      </c>
      <c r="D314" s="22" t="s">
        <v>6811</v>
      </c>
      <c r="E314" s="20" t="s">
        <v>7763</v>
      </c>
      <c r="F314" s="20" t="s">
        <v>7764</v>
      </c>
      <c r="G314" s="20"/>
      <c r="H314" s="20"/>
      <c r="I314" s="20" t="s">
        <v>7832</v>
      </c>
      <c r="J314" s="20" t="s">
        <v>7833</v>
      </c>
      <c r="K314" s="20" t="s">
        <v>861</v>
      </c>
      <c r="L314" s="20" t="s">
        <v>7831</v>
      </c>
    </row>
    <row r="315">
      <c r="A315" s="20" t="s">
        <v>7834</v>
      </c>
      <c r="B315" s="21">
        <v>46034.56748842592</v>
      </c>
      <c r="C315" s="20" t="s">
        <v>7835</v>
      </c>
      <c r="D315" s="22" t="s">
        <v>6604</v>
      </c>
      <c r="E315" s="20" t="s">
        <v>6818</v>
      </c>
      <c r="F315" s="22" t="s">
        <v>6811</v>
      </c>
      <c r="G315" s="20"/>
      <c r="H315" s="20"/>
      <c r="I315" s="20" t="s">
        <v>7836</v>
      </c>
      <c r="J315" s="20"/>
      <c r="K315" s="20" t="s">
        <v>5544</v>
      </c>
      <c r="L315" s="20" t="s">
        <v>7834</v>
      </c>
    </row>
    <row r="316">
      <c r="A316" s="20" t="s">
        <v>7837</v>
      </c>
      <c r="B316" s="21">
        <v>46034.56706018519</v>
      </c>
      <c r="C316" s="20" t="s">
        <v>7835</v>
      </c>
      <c r="D316" s="22" t="s">
        <v>6604</v>
      </c>
      <c r="E316" s="20" t="s">
        <v>7838</v>
      </c>
      <c r="F316" s="20" t="s">
        <v>7839</v>
      </c>
      <c r="G316" s="20"/>
      <c r="H316" s="20"/>
      <c r="I316" s="20" t="s">
        <v>7840</v>
      </c>
      <c r="J316" s="20" t="s">
        <v>7841</v>
      </c>
      <c r="K316" s="20" t="s">
        <v>5544</v>
      </c>
      <c r="L316" s="20" t="s">
        <v>7837</v>
      </c>
    </row>
    <row r="317">
      <c r="A317" s="20" t="s">
        <v>7842</v>
      </c>
      <c r="B317" s="21">
        <v>46034.577002314814</v>
      </c>
      <c r="C317" s="20" t="s">
        <v>6818</v>
      </c>
      <c r="D317" s="22" t="s">
        <v>6811</v>
      </c>
      <c r="E317" s="20" t="s">
        <v>7835</v>
      </c>
      <c r="F317" s="22" t="s">
        <v>6604</v>
      </c>
      <c r="G317" s="20" t="s">
        <v>7843</v>
      </c>
      <c r="H317" s="20" t="s">
        <v>7839</v>
      </c>
      <c r="I317" s="20" t="s">
        <v>7844</v>
      </c>
      <c r="J317" s="20" t="s">
        <v>7845</v>
      </c>
      <c r="K317" s="20" t="s">
        <v>5544</v>
      </c>
      <c r="L317" s="20" t="s">
        <v>7837</v>
      </c>
    </row>
    <row r="318">
      <c r="A318" s="20" t="s">
        <v>7846</v>
      </c>
      <c r="B318" s="21">
        <v>46030.60597222223</v>
      </c>
      <c r="C318" s="20" t="s">
        <v>6897</v>
      </c>
      <c r="D318" s="22" t="s">
        <v>6811</v>
      </c>
      <c r="E318" s="20" t="s">
        <v>7847</v>
      </c>
      <c r="F318" s="20" t="s">
        <v>7848</v>
      </c>
      <c r="G318" s="20"/>
      <c r="H318" s="20"/>
      <c r="I318" s="20" t="s">
        <v>7849</v>
      </c>
      <c r="J318" s="20" t="s">
        <v>7850</v>
      </c>
      <c r="K318" s="20" t="s">
        <v>2946</v>
      </c>
      <c r="L318" s="20" t="s">
        <v>7846</v>
      </c>
    </row>
    <row r="319">
      <c r="A319" s="20" t="s">
        <v>7851</v>
      </c>
      <c r="B319" s="21">
        <v>46030.605416666665</v>
      </c>
      <c r="C319" s="20" t="s">
        <v>7852</v>
      </c>
      <c r="D319" s="22" t="s">
        <v>6600</v>
      </c>
      <c r="E319" s="20" t="s">
        <v>7853</v>
      </c>
      <c r="F319" s="20" t="s">
        <v>7848</v>
      </c>
      <c r="G319" s="20"/>
      <c r="H319" s="20"/>
      <c r="I319" s="20" t="s">
        <v>7854</v>
      </c>
      <c r="J319" s="20" t="s">
        <v>7855</v>
      </c>
      <c r="K319" s="20" t="s">
        <v>2946</v>
      </c>
      <c r="L319" s="20" t="s">
        <v>7851</v>
      </c>
    </row>
    <row r="320">
      <c r="A320" s="20" t="s">
        <v>7856</v>
      </c>
      <c r="B320" s="21">
        <v>46030.61515046297</v>
      </c>
      <c r="C320" s="20" t="s">
        <v>6818</v>
      </c>
      <c r="D320" s="22" t="s">
        <v>6811</v>
      </c>
      <c r="E320" s="20" t="s">
        <v>7852</v>
      </c>
      <c r="F320" s="22" t="s">
        <v>6600</v>
      </c>
      <c r="G320" s="20" t="s">
        <v>7857</v>
      </c>
      <c r="H320" s="20" t="s">
        <v>7848</v>
      </c>
      <c r="I320" s="20" t="s">
        <v>7858</v>
      </c>
      <c r="J320" s="20" t="s">
        <v>7859</v>
      </c>
      <c r="K320" s="20" t="s">
        <v>2946</v>
      </c>
      <c r="L320" s="20" t="s">
        <v>7851</v>
      </c>
    </row>
    <row r="321">
      <c r="A321" s="20" t="s">
        <v>7860</v>
      </c>
      <c r="B321" s="21">
        <v>46030.535995370374</v>
      </c>
      <c r="C321" s="20" t="s">
        <v>6897</v>
      </c>
      <c r="D321" s="22" t="s">
        <v>6811</v>
      </c>
      <c r="E321" s="20" t="s">
        <v>7861</v>
      </c>
      <c r="F321" s="20" t="s">
        <v>7862</v>
      </c>
      <c r="G321" s="20"/>
      <c r="H321" s="20"/>
      <c r="I321" s="20" t="s">
        <v>7863</v>
      </c>
      <c r="J321" s="20" t="s">
        <v>7864</v>
      </c>
      <c r="K321" s="20" t="s">
        <v>2946</v>
      </c>
      <c r="L321" s="20" t="s">
        <v>7860</v>
      </c>
    </row>
    <row r="322">
      <c r="A322" s="20" t="s">
        <v>7865</v>
      </c>
      <c r="B322" s="21">
        <v>46028.56296296296</v>
      </c>
      <c r="C322" s="20" t="s">
        <v>6818</v>
      </c>
      <c r="D322" s="22" t="s">
        <v>6811</v>
      </c>
      <c r="E322" s="20" t="s">
        <v>7866</v>
      </c>
      <c r="F322" s="22" t="s">
        <v>6604</v>
      </c>
      <c r="G322" s="20" t="s">
        <v>6853</v>
      </c>
      <c r="H322" s="22" t="s">
        <v>6811</v>
      </c>
      <c r="I322" s="20" t="s">
        <v>6854</v>
      </c>
      <c r="J322" s="20" t="s">
        <v>7867</v>
      </c>
      <c r="K322" s="20" t="s">
        <v>5544</v>
      </c>
      <c r="L322" s="20" t="s">
        <v>7865</v>
      </c>
    </row>
    <row r="323">
      <c r="A323" s="20" t="s">
        <v>7868</v>
      </c>
      <c r="B323" s="21">
        <v>46028.56296296296</v>
      </c>
      <c r="C323" s="20" t="s">
        <v>6818</v>
      </c>
      <c r="D323" s="22" t="s">
        <v>6811</v>
      </c>
      <c r="E323" s="20" t="s">
        <v>7869</v>
      </c>
      <c r="F323" s="22" t="s">
        <v>6603</v>
      </c>
      <c r="G323" s="20" t="s">
        <v>6853</v>
      </c>
      <c r="H323" s="22" t="s">
        <v>6811</v>
      </c>
      <c r="I323" s="20" t="s">
        <v>6854</v>
      </c>
      <c r="J323" s="20" t="s">
        <v>7870</v>
      </c>
      <c r="K323" s="20" t="s">
        <v>1975</v>
      </c>
      <c r="L323" s="20" t="s">
        <v>7868</v>
      </c>
    </row>
    <row r="324">
      <c r="A324" s="20" t="s">
        <v>7871</v>
      </c>
      <c r="B324" s="21">
        <v>46028.56296296296</v>
      </c>
      <c r="C324" s="20" t="s">
        <v>6818</v>
      </c>
      <c r="D324" s="22" t="s">
        <v>6811</v>
      </c>
      <c r="E324" s="20" t="s">
        <v>7872</v>
      </c>
      <c r="F324" s="22" t="s">
        <v>6603</v>
      </c>
      <c r="G324" s="20" t="s">
        <v>6853</v>
      </c>
      <c r="H324" s="22" t="s">
        <v>6811</v>
      </c>
      <c r="I324" s="20" t="s">
        <v>6854</v>
      </c>
      <c r="J324" s="20" t="s">
        <v>7873</v>
      </c>
      <c r="K324" s="20" t="s">
        <v>1975</v>
      </c>
      <c r="L324" s="20" t="s">
        <v>7871</v>
      </c>
    </row>
    <row r="325">
      <c r="A325" s="20" t="s">
        <v>7874</v>
      </c>
      <c r="B325" s="21">
        <v>46028.562939814816</v>
      </c>
      <c r="C325" s="20" t="s">
        <v>6818</v>
      </c>
      <c r="D325" s="22" t="s">
        <v>6811</v>
      </c>
      <c r="E325" s="20" t="s">
        <v>7875</v>
      </c>
      <c r="F325" s="22" t="s">
        <v>6601</v>
      </c>
      <c r="G325" s="20" t="s">
        <v>6853</v>
      </c>
      <c r="H325" s="22" t="s">
        <v>6811</v>
      </c>
      <c r="I325" s="20" t="s">
        <v>6854</v>
      </c>
      <c r="J325" s="20" t="s">
        <v>7876</v>
      </c>
      <c r="K325" s="20" t="s">
        <v>5602</v>
      </c>
      <c r="L325" s="20" t="s">
        <v>7874</v>
      </c>
    </row>
    <row r="326">
      <c r="A326" s="20" t="s">
        <v>7877</v>
      </c>
      <c r="B326" s="21">
        <v>46028.56291666666</v>
      </c>
      <c r="C326" s="20" t="s">
        <v>6818</v>
      </c>
      <c r="D326" s="22" t="s">
        <v>6811</v>
      </c>
      <c r="E326" s="20" t="s">
        <v>7878</v>
      </c>
      <c r="F326" s="22" t="s">
        <v>6600</v>
      </c>
      <c r="G326" s="20" t="s">
        <v>6853</v>
      </c>
      <c r="H326" s="22" t="s">
        <v>6811</v>
      </c>
      <c r="I326" s="20" t="s">
        <v>6854</v>
      </c>
      <c r="J326" s="20" t="s">
        <v>7879</v>
      </c>
      <c r="K326" s="20" t="s">
        <v>2946</v>
      </c>
      <c r="L326" s="20" t="s">
        <v>7877</v>
      </c>
    </row>
    <row r="327">
      <c r="A327" s="20" t="s">
        <v>7880</v>
      </c>
      <c r="B327" s="21">
        <v>46028.56291666666</v>
      </c>
      <c r="C327" s="20" t="s">
        <v>6818</v>
      </c>
      <c r="D327" s="22" t="s">
        <v>6811</v>
      </c>
      <c r="E327" s="20" t="s">
        <v>7881</v>
      </c>
      <c r="F327" s="22" t="s">
        <v>6600</v>
      </c>
      <c r="G327" s="20" t="s">
        <v>6853</v>
      </c>
      <c r="H327" s="22" t="s">
        <v>6811</v>
      </c>
      <c r="I327" s="20" t="s">
        <v>6854</v>
      </c>
      <c r="J327" s="20" t="s">
        <v>7882</v>
      </c>
      <c r="K327" s="20" t="s">
        <v>2946</v>
      </c>
      <c r="L327" s="20" t="s">
        <v>7880</v>
      </c>
    </row>
    <row r="328">
      <c r="A328" s="20" t="s">
        <v>7883</v>
      </c>
      <c r="B328" s="21">
        <v>46028.56291666666</v>
      </c>
      <c r="C328" s="20" t="s">
        <v>6818</v>
      </c>
      <c r="D328" s="22" t="s">
        <v>6811</v>
      </c>
      <c r="E328" s="20" t="s">
        <v>7884</v>
      </c>
      <c r="F328" s="22" t="s">
        <v>6600</v>
      </c>
      <c r="G328" s="20" t="s">
        <v>6853</v>
      </c>
      <c r="H328" s="22" t="s">
        <v>6811</v>
      </c>
      <c r="I328" s="20" t="s">
        <v>6854</v>
      </c>
      <c r="J328" s="20" t="s">
        <v>7885</v>
      </c>
      <c r="K328" s="20" t="s">
        <v>2946</v>
      </c>
      <c r="L328" s="20" t="s">
        <v>7883</v>
      </c>
    </row>
    <row r="329">
      <c r="A329" s="20" t="s">
        <v>7886</v>
      </c>
      <c r="B329" s="21">
        <v>46028.56291666666</v>
      </c>
      <c r="C329" s="20" t="s">
        <v>6818</v>
      </c>
      <c r="D329" s="22" t="s">
        <v>6811</v>
      </c>
      <c r="E329" s="20" t="s">
        <v>7887</v>
      </c>
      <c r="F329" s="22" t="s">
        <v>6603</v>
      </c>
      <c r="G329" s="20" t="s">
        <v>6853</v>
      </c>
      <c r="H329" s="22" t="s">
        <v>6811</v>
      </c>
      <c r="I329" s="20" t="s">
        <v>6854</v>
      </c>
      <c r="J329" s="20" t="s">
        <v>7888</v>
      </c>
      <c r="K329" s="20" t="s">
        <v>1975</v>
      </c>
      <c r="L329" s="20" t="s">
        <v>7886</v>
      </c>
    </row>
    <row r="330">
      <c r="A330" s="20" t="s">
        <v>7889</v>
      </c>
      <c r="B330" s="21">
        <v>46028.56291666666</v>
      </c>
      <c r="C330" s="20" t="s">
        <v>6818</v>
      </c>
      <c r="D330" s="22" t="s">
        <v>6811</v>
      </c>
      <c r="E330" s="20" t="s">
        <v>7890</v>
      </c>
      <c r="F330" s="22" t="s">
        <v>6603</v>
      </c>
      <c r="G330" s="20" t="s">
        <v>6853</v>
      </c>
      <c r="H330" s="22" t="s">
        <v>6811</v>
      </c>
      <c r="I330" s="20" t="s">
        <v>6854</v>
      </c>
      <c r="J330" s="20" t="s">
        <v>7891</v>
      </c>
      <c r="K330" s="20" t="s">
        <v>1975</v>
      </c>
      <c r="L330" s="20" t="s">
        <v>7889</v>
      </c>
    </row>
    <row r="331">
      <c r="A331" s="20" t="s">
        <v>7892</v>
      </c>
      <c r="B331" s="21">
        <v>46028.56291666666</v>
      </c>
      <c r="C331" s="20" t="s">
        <v>6818</v>
      </c>
      <c r="D331" s="22" t="s">
        <v>6811</v>
      </c>
      <c r="E331" s="20" t="s">
        <v>7893</v>
      </c>
      <c r="F331" s="22" t="s">
        <v>6602</v>
      </c>
      <c r="G331" s="20" t="s">
        <v>6853</v>
      </c>
      <c r="H331" s="22" t="s">
        <v>6811</v>
      </c>
      <c r="I331" s="20" t="s">
        <v>6854</v>
      </c>
      <c r="J331" s="20" t="s">
        <v>7894</v>
      </c>
      <c r="K331" s="20" t="s">
        <v>2922</v>
      </c>
      <c r="L331" s="20" t="s">
        <v>7892</v>
      </c>
    </row>
    <row r="332">
      <c r="A332" s="20" t="s">
        <v>7895</v>
      </c>
      <c r="B332" s="21">
        <v>46028.56291666666</v>
      </c>
      <c r="C332" s="20" t="s">
        <v>6818</v>
      </c>
      <c r="D332" s="22" t="s">
        <v>6811</v>
      </c>
      <c r="E332" s="20" t="s">
        <v>7896</v>
      </c>
      <c r="F332" s="22" t="s">
        <v>6601</v>
      </c>
      <c r="G332" s="20" t="s">
        <v>6853</v>
      </c>
      <c r="H332" s="22" t="s">
        <v>6811</v>
      </c>
      <c r="I332" s="20" t="s">
        <v>6854</v>
      </c>
      <c r="J332" s="20" t="s">
        <v>7897</v>
      </c>
      <c r="K332" s="20" t="s">
        <v>5602</v>
      </c>
      <c r="L332" s="20" t="s">
        <v>7895</v>
      </c>
    </row>
    <row r="333">
      <c r="A333" s="20" t="s">
        <v>7898</v>
      </c>
      <c r="B333" s="21">
        <v>46028.56289351852</v>
      </c>
      <c r="C333" s="20" t="s">
        <v>6818</v>
      </c>
      <c r="D333" s="22" t="s">
        <v>6811</v>
      </c>
      <c r="E333" s="20" t="s">
        <v>7899</v>
      </c>
      <c r="F333" s="22" t="s">
        <v>6603</v>
      </c>
      <c r="G333" s="20" t="s">
        <v>6853</v>
      </c>
      <c r="H333" s="22" t="s">
        <v>6811</v>
      </c>
      <c r="I333" s="20" t="s">
        <v>6854</v>
      </c>
      <c r="J333" s="20" t="s">
        <v>7900</v>
      </c>
      <c r="K333" s="20" t="s">
        <v>1975</v>
      </c>
      <c r="L333" s="20" t="s">
        <v>7898</v>
      </c>
    </row>
    <row r="334">
      <c r="A334" s="20" t="s">
        <v>7901</v>
      </c>
      <c r="B334" s="21">
        <v>46013.45835648148</v>
      </c>
      <c r="C334" s="20" t="s">
        <v>7154</v>
      </c>
      <c r="D334" s="22" t="s">
        <v>7155</v>
      </c>
      <c r="E334" s="20" t="s">
        <v>7875</v>
      </c>
      <c r="F334" s="22" t="s">
        <v>6601</v>
      </c>
      <c r="G334" s="20" t="s">
        <v>7902</v>
      </c>
      <c r="H334" s="20" t="s">
        <v>7903</v>
      </c>
      <c r="I334" s="20" t="s">
        <v>7157</v>
      </c>
      <c r="J334" s="20" t="s">
        <v>7158</v>
      </c>
      <c r="K334" s="20" t="s">
        <v>5602</v>
      </c>
      <c r="L334" s="20" t="s">
        <v>7901</v>
      </c>
    </row>
    <row r="335">
      <c r="A335" s="20" t="s">
        <v>7904</v>
      </c>
      <c r="B335" s="21">
        <v>46009.66747685186</v>
      </c>
      <c r="C335" s="20" t="s">
        <v>7905</v>
      </c>
      <c r="D335" s="22" t="s">
        <v>6811</v>
      </c>
      <c r="E335" s="20" t="s">
        <v>7906</v>
      </c>
      <c r="F335" s="20" t="s">
        <v>7907</v>
      </c>
      <c r="G335" s="20"/>
      <c r="H335" s="20"/>
      <c r="I335" s="20" t="s">
        <v>7908</v>
      </c>
      <c r="J335" s="20" t="s">
        <v>7909</v>
      </c>
      <c r="K335" s="20" t="s">
        <v>5602</v>
      </c>
      <c r="L335" s="20" t="s">
        <v>7904</v>
      </c>
    </row>
    <row r="336">
      <c r="A336" s="20" t="s">
        <v>7910</v>
      </c>
      <c r="B336" s="21">
        <v>46009.43094907407</v>
      </c>
      <c r="C336" s="20" t="s">
        <v>7905</v>
      </c>
      <c r="D336" s="22" t="s">
        <v>6811</v>
      </c>
      <c r="E336" s="20" t="s">
        <v>7911</v>
      </c>
      <c r="F336" s="22" t="s">
        <v>6601</v>
      </c>
      <c r="G336" s="20" t="s">
        <v>6818</v>
      </c>
      <c r="H336" s="22" t="s">
        <v>6811</v>
      </c>
      <c r="I336" s="20" t="s">
        <v>7912</v>
      </c>
      <c r="J336" s="20" t="s">
        <v>7913</v>
      </c>
      <c r="K336" s="20" t="s">
        <v>5602</v>
      </c>
      <c r="L336" s="20" t="s">
        <v>7910</v>
      </c>
    </row>
    <row r="337">
      <c r="A337" s="20" t="s">
        <v>7914</v>
      </c>
      <c r="B337" s="21">
        <v>46009.66846064814</v>
      </c>
      <c r="C337" s="20" t="s">
        <v>7915</v>
      </c>
      <c r="D337" s="22" t="s">
        <v>6601</v>
      </c>
      <c r="E337" s="20" t="s">
        <v>7916</v>
      </c>
      <c r="F337" s="20" t="s">
        <v>7907</v>
      </c>
      <c r="G337" s="20" t="s">
        <v>7917</v>
      </c>
      <c r="H337" s="20" t="s">
        <v>7907</v>
      </c>
      <c r="I337" s="20" t="s">
        <v>7918</v>
      </c>
      <c r="J337" s="20" t="s">
        <v>7919</v>
      </c>
      <c r="K337" s="20" t="s">
        <v>5602</v>
      </c>
      <c r="L337" s="20" t="s">
        <v>7910</v>
      </c>
    </row>
    <row r="338">
      <c r="A338" s="20" t="s">
        <v>7920</v>
      </c>
      <c r="B338" s="21">
        <v>46013.528807870374</v>
      </c>
      <c r="C338" s="20" t="s">
        <v>6818</v>
      </c>
      <c r="D338" s="22" t="s">
        <v>6811</v>
      </c>
      <c r="E338" s="20" t="s">
        <v>7915</v>
      </c>
      <c r="F338" s="22" t="s">
        <v>6601</v>
      </c>
      <c r="G338" s="20" t="s">
        <v>7921</v>
      </c>
      <c r="H338" s="20" t="s">
        <v>7907</v>
      </c>
      <c r="I338" s="20" t="s">
        <v>7922</v>
      </c>
      <c r="J338" s="20" t="s">
        <v>7923</v>
      </c>
      <c r="K338" s="20" t="s">
        <v>5602</v>
      </c>
      <c r="L338" s="20" t="s">
        <v>7910</v>
      </c>
    </row>
    <row r="339">
      <c r="A339" s="20" t="s">
        <v>7924</v>
      </c>
      <c r="B339" s="21">
        <v>46014.35671296297</v>
      </c>
      <c r="C339" s="20" t="s">
        <v>7915</v>
      </c>
      <c r="D339" s="22" t="s">
        <v>6601</v>
      </c>
      <c r="E339" s="20" t="s">
        <v>6818</v>
      </c>
      <c r="F339" s="22" t="s">
        <v>6811</v>
      </c>
      <c r="G339" s="20" t="s">
        <v>7921</v>
      </c>
      <c r="H339" s="20" t="s">
        <v>7907</v>
      </c>
      <c r="I339" s="20" t="s">
        <v>7918</v>
      </c>
      <c r="J339" s="20" t="s">
        <v>7925</v>
      </c>
      <c r="K339" s="20" t="s">
        <v>5602</v>
      </c>
      <c r="L339" s="20" t="s">
        <v>7910</v>
      </c>
    </row>
    <row r="340">
      <c r="A340" s="20" t="s">
        <v>7926</v>
      </c>
      <c r="B340" s="21">
        <v>46014.36122685185</v>
      </c>
      <c r="C340" s="20" t="s">
        <v>7915</v>
      </c>
      <c r="D340" s="22" t="s">
        <v>6601</v>
      </c>
      <c r="E340" s="20" t="s">
        <v>6818</v>
      </c>
      <c r="F340" s="22" t="s">
        <v>6811</v>
      </c>
      <c r="G340" s="20"/>
      <c r="H340" s="20"/>
      <c r="I340" s="20" t="s">
        <v>7927</v>
      </c>
      <c r="J340" s="20" t="s">
        <v>7928</v>
      </c>
      <c r="K340" s="20" t="s">
        <v>5602</v>
      </c>
      <c r="L340" s="20" t="s">
        <v>7910</v>
      </c>
    </row>
    <row r="341">
      <c r="A341" s="20" t="s">
        <v>7929</v>
      </c>
      <c r="B341" s="21">
        <v>46001.65403935185</v>
      </c>
      <c r="C341" s="20" t="s">
        <v>7930</v>
      </c>
      <c r="D341" s="22" t="s">
        <v>6604</v>
      </c>
      <c r="E341" s="20" t="s">
        <v>6818</v>
      </c>
      <c r="F341" s="22" t="s">
        <v>6811</v>
      </c>
      <c r="G341" s="20"/>
      <c r="H341" s="20"/>
      <c r="I341" s="20" t="s">
        <v>7931</v>
      </c>
      <c r="J341" s="20" t="s">
        <v>7932</v>
      </c>
      <c r="K341" s="20" t="s">
        <v>5544</v>
      </c>
      <c r="L341" s="20" t="s">
        <v>7929</v>
      </c>
    </row>
    <row r="342">
      <c r="A342" s="20" t="s">
        <v>7933</v>
      </c>
      <c r="B342" s="21">
        <v>46001.56582175926</v>
      </c>
      <c r="C342" s="20" t="s">
        <v>7934</v>
      </c>
      <c r="D342" s="22" t="s">
        <v>6604</v>
      </c>
      <c r="E342" s="20" t="s">
        <v>6818</v>
      </c>
      <c r="F342" s="22" t="s">
        <v>6811</v>
      </c>
      <c r="G342" s="20"/>
      <c r="H342" s="20"/>
      <c r="I342" s="20" t="s">
        <v>7935</v>
      </c>
      <c r="J342" s="20" t="s">
        <v>7936</v>
      </c>
      <c r="K342" s="20" t="s">
        <v>5544</v>
      </c>
      <c r="L342" s="20" t="s">
        <v>7933</v>
      </c>
    </row>
    <row r="343">
      <c r="A343" s="20" t="s">
        <v>7937</v>
      </c>
      <c r="B343" s="21">
        <v>46000.55079861111</v>
      </c>
      <c r="C343" s="20" t="s">
        <v>7835</v>
      </c>
      <c r="D343" s="22" t="s">
        <v>6604</v>
      </c>
      <c r="E343" s="20" t="s">
        <v>6818</v>
      </c>
      <c r="F343" s="22" t="s">
        <v>6811</v>
      </c>
      <c r="G343" s="20"/>
      <c r="H343" s="20"/>
      <c r="I343" s="20" t="s">
        <v>7935</v>
      </c>
      <c r="J343" s="20" t="s">
        <v>7936</v>
      </c>
      <c r="K343" s="20" t="s">
        <v>5544</v>
      </c>
      <c r="L343" s="20" t="s">
        <v>7937</v>
      </c>
    </row>
    <row r="344">
      <c r="A344" s="20" t="s">
        <v>7938</v>
      </c>
      <c r="B344" s="21">
        <v>45993.951944444445</v>
      </c>
      <c r="C344" s="20" t="s">
        <v>7930</v>
      </c>
      <c r="D344" s="22" t="s">
        <v>6604</v>
      </c>
      <c r="E344" s="20" t="s">
        <v>6818</v>
      </c>
      <c r="F344" s="22" t="s">
        <v>6811</v>
      </c>
      <c r="G344" s="20"/>
      <c r="H344" s="20"/>
      <c r="I344" s="20" t="s">
        <v>7935</v>
      </c>
      <c r="J344" s="20" t="s">
        <v>7932</v>
      </c>
      <c r="K344" s="20" t="s">
        <v>5544</v>
      </c>
      <c r="L344" s="20" t="s">
        <v>7938</v>
      </c>
    </row>
    <row r="345">
      <c r="A345" s="20" t="s">
        <v>7939</v>
      </c>
      <c r="B345" s="21">
        <v>45987.11875</v>
      </c>
      <c r="C345" s="20" t="s">
        <v>6897</v>
      </c>
      <c r="D345" s="22" t="s">
        <v>6811</v>
      </c>
      <c r="E345" s="20" t="s">
        <v>7940</v>
      </c>
      <c r="F345" s="20" t="s">
        <v>7941</v>
      </c>
      <c r="G345" s="20"/>
      <c r="H345" s="20"/>
      <c r="I345" s="20" t="s">
        <v>7942</v>
      </c>
      <c r="J345" s="20" t="s">
        <v>7943</v>
      </c>
      <c r="K345" s="20" t="s">
        <v>5544</v>
      </c>
      <c r="L345" s="20" t="s">
        <v>7939</v>
      </c>
    </row>
    <row r="346">
      <c r="A346" s="20" t="s">
        <v>7944</v>
      </c>
      <c r="B346" s="21">
        <v>45986.43777777778</v>
      </c>
      <c r="C346" s="20" t="s">
        <v>6897</v>
      </c>
      <c r="D346" s="22" t="s">
        <v>6811</v>
      </c>
      <c r="E346" s="20" t="s">
        <v>7940</v>
      </c>
      <c r="F346" s="20" t="s">
        <v>7941</v>
      </c>
      <c r="G346" s="20"/>
      <c r="H346" s="20"/>
      <c r="I346" s="20" t="s">
        <v>7945</v>
      </c>
      <c r="J346" s="20" t="s">
        <v>7946</v>
      </c>
      <c r="K346" s="20" t="s">
        <v>5544</v>
      </c>
      <c r="L346" s="20" t="s">
        <v>7944</v>
      </c>
    </row>
    <row r="347">
      <c r="A347" s="20" t="s">
        <v>7947</v>
      </c>
      <c r="B347" s="21">
        <v>45986.141805555555</v>
      </c>
      <c r="C347" s="20" t="s">
        <v>6897</v>
      </c>
      <c r="D347" s="22" t="s">
        <v>6811</v>
      </c>
      <c r="E347" s="20" t="s">
        <v>7948</v>
      </c>
      <c r="F347" s="20" t="s">
        <v>7839</v>
      </c>
      <c r="G347" s="20"/>
      <c r="H347" s="20"/>
      <c r="I347" s="20" t="s">
        <v>7949</v>
      </c>
      <c r="J347" s="20" t="s">
        <v>7950</v>
      </c>
      <c r="K347" s="20" t="s">
        <v>5544</v>
      </c>
      <c r="L347" s="20" t="s">
        <v>7947</v>
      </c>
    </row>
    <row r="348">
      <c r="A348" s="20" t="s">
        <v>7951</v>
      </c>
      <c r="B348" s="21">
        <v>45986.43717592592</v>
      </c>
      <c r="C348" s="20" t="s">
        <v>6818</v>
      </c>
      <c r="D348" s="22" t="s">
        <v>6811</v>
      </c>
      <c r="E348" s="20" t="s">
        <v>6897</v>
      </c>
      <c r="F348" s="22" t="s">
        <v>6811</v>
      </c>
      <c r="G348" s="20" t="s">
        <v>7952</v>
      </c>
      <c r="H348" s="22" t="s">
        <v>6604</v>
      </c>
      <c r="I348" s="20" t="s">
        <v>7953</v>
      </c>
      <c r="J348" s="20" t="s">
        <v>7954</v>
      </c>
      <c r="K348" s="20" t="s">
        <v>5544</v>
      </c>
      <c r="L348" s="20" t="s">
        <v>7947</v>
      </c>
    </row>
    <row r="349">
      <c r="A349" s="20" t="s">
        <v>7955</v>
      </c>
      <c r="B349" s="21">
        <v>45986.5555787037</v>
      </c>
      <c r="C349" s="20" t="s">
        <v>7930</v>
      </c>
      <c r="D349" s="22" t="s">
        <v>6604</v>
      </c>
      <c r="E349" s="20" t="s">
        <v>6822</v>
      </c>
      <c r="F349" s="22" t="s">
        <v>6811</v>
      </c>
      <c r="G349" s="20" t="s">
        <v>7956</v>
      </c>
      <c r="H349" s="22" t="s">
        <v>6604</v>
      </c>
      <c r="I349" s="20" t="s">
        <v>7953</v>
      </c>
      <c r="J349" s="20" t="s">
        <v>7957</v>
      </c>
      <c r="K349" s="20" t="s">
        <v>5544</v>
      </c>
      <c r="L349" s="20" t="s">
        <v>7947</v>
      </c>
    </row>
    <row r="350">
      <c r="A350" s="20" t="s">
        <v>7958</v>
      </c>
      <c r="B350" s="21">
        <v>45986.59373842593</v>
      </c>
      <c r="C350" s="20" t="s">
        <v>7835</v>
      </c>
      <c r="D350" s="22" t="s">
        <v>6604</v>
      </c>
      <c r="E350" s="20" t="s">
        <v>7959</v>
      </c>
      <c r="F350" s="20" t="s">
        <v>7839</v>
      </c>
      <c r="G350" s="20" t="s">
        <v>7960</v>
      </c>
      <c r="H350" s="22" t="s">
        <v>6604</v>
      </c>
      <c r="I350" s="20" t="s">
        <v>7953</v>
      </c>
      <c r="J350" s="20" t="s">
        <v>7961</v>
      </c>
      <c r="K350" s="20" t="s">
        <v>5544</v>
      </c>
      <c r="L350" s="20" t="s">
        <v>7947</v>
      </c>
    </row>
    <row r="351">
      <c r="A351" s="20" t="s">
        <v>7962</v>
      </c>
      <c r="B351" s="21">
        <v>45986.66763888889</v>
      </c>
      <c r="C351" s="20" t="s">
        <v>7930</v>
      </c>
      <c r="D351" s="22" t="s">
        <v>6604</v>
      </c>
      <c r="E351" s="20" t="s">
        <v>7963</v>
      </c>
      <c r="F351" s="20" t="s">
        <v>7839</v>
      </c>
      <c r="G351" s="20" t="s">
        <v>7960</v>
      </c>
      <c r="H351" s="22" t="s">
        <v>6604</v>
      </c>
      <c r="I351" s="20" t="s">
        <v>7953</v>
      </c>
      <c r="J351" s="20" t="s">
        <v>7964</v>
      </c>
      <c r="K351" s="20" t="s">
        <v>5544</v>
      </c>
      <c r="L351" s="20" t="s">
        <v>7947</v>
      </c>
    </row>
    <row r="352">
      <c r="A352" s="20" t="s">
        <v>7965</v>
      </c>
      <c r="B352" s="21">
        <v>45986.68025462963</v>
      </c>
      <c r="C352" s="20" t="s">
        <v>6853</v>
      </c>
      <c r="D352" s="22" t="s">
        <v>6811</v>
      </c>
      <c r="E352" s="20" t="s">
        <v>7930</v>
      </c>
      <c r="F352" s="22" t="s">
        <v>6604</v>
      </c>
      <c r="G352" s="20" t="s">
        <v>7966</v>
      </c>
      <c r="H352" s="20" t="s">
        <v>7839</v>
      </c>
      <c r="I352" s="20" t="s">
        <v>7953</v>
      </c>
      <c r="J352" s="20" t="s">
        <v>7967</v>
      </c>
      <c r="K352" s="20" t="s">
        <v>5544</v>
      </c>
      <c r="L352" s="20" t="s">
        <v>7947</v>
      </c>
    </row>
    <row r="353">
      <c r="A353" s="20" t="s">
        <v>7968</v>
      </c>
      <c r="B353" s="21">
        <v>45986.68335648148</v>
      </c>
      <c r="C353" s="20" t="s">
        <v>6818</v>
      </c>
      <c r="D353" s="22" t="s">
        <v>6811</v>
      </c>
      <c r="E353" s="20" t="s">
        <v>7930</v>
      </c>
      <c r="F353" s="22" t="s">
        <v>6604</v>
      </c>
      <c r="G353" s="20" t="s">
        <v>7966</v>
      </c>
      <c r="H353" s="20" t="s">
        <v>7839</v>
      </c>
      <c r="I353" s="20" t="s">
        <v>7953</v>
      </c>
      <c r="J353" s="20" t="s">
        <v>7969</v>
      </c>
      <c r="K353" s="20" t="s">
        <v>5544</v>
      </c>
      <c r="L353" s="20" t="s">
        <v>7947</v>
      </c>
    </row>
    <row r="354">
      <c r="A354" s="20" t="s">
        <v>7970</v>
      </c>
      <c r="B354" s="21">
        <v>45986.68954861111</v>
      </c>
      <c r="C354" s="20" t="s">
        <v>6818</v>
      </c>
      <c r="D354" s="22" t="s">
        <v>6811</v>
      </c>
      <c r="E354" s="20" t="s">
        <v>7930</v>
      </c>
      <c r="F354" s="22" t="s">
        <v>6604</v>
      </c>
      <c r="G354" s="20" t="s">
        <v>7966</v>
      </c>
      <c r="H354" s="20" t="s">
        <v>7839</v>
      </c>
      <c r="I354" s="20" t="s">
        <v>7953</v>
      </c>
      <c r="J354" s="20" t="s">
        <v>7971</v>
      </c>
      <c r="K354" s="20" t="s">
        <v>5544</v>
      </c>
      <c r="L354" s="20" t="s">
        <v>7947</v>
      </c>
    </row>
    <row r="355">
      <c r="A355" s="20" t="s">
        <v>7972</v>
      </c>
      <c r="B355" s="21">
        <v>45993.659791666665</v>
      </c>
      <c r="C355" s="20" t="s">
        <v>6818</v>
      </c>
      <c r="D355" s="22" t="s">
        <v>6811</v>
      </c>
      <c r="E355" s="20" t="s">
        <v>7930</v>
      </c>
      <c r="F355" s="22" t="s">
        <v>6604</v>
      </c>
      <c r="G355" s="20" t="s">
        <v>7966</v>
      </c>
      <c r="H355" s="20" t="s">
        <v>7839</v>
      </c>
      <c r="I355" s="20" t="s">
        <v>7953</v>
      </c>
      <c r="J355" s="20" t="s">
        <v>7973</v>
      </c>
      <c r="K355" s="20" t="s">
        <v>5544</v>
      </c>
      <c r="L355" s="20" t="s">
        <v>7947</v>
      </c>
    </row>
    <row r="356">
      <c r="A356" s="20" t="s">
        <v>7974</v>
      </c>
      <c r="B356" s="21">
        <v>45986.079409722224</v>
      </c>
      <c r="C356" s="20" t="s">
        <v>6897</v>
      </c>
      <c r="D356" s="22" t="s">
        <v>6811</v>
      </c>
      <c r="E356" s="20" t="s">
        <v>7975</v>
      </c>
      <c r="F356" s="20" t="s">
        <v>7976</v>
      </c>
      <c r="G356" s="20" t="s">
        <v>6908</v>
      </c>
      <c r="H356" s="22" t="s">
        <v>6811</v>
      </c>
      <c r="I356" s="20" t="s">
        <v>7977</v>
      </c>
      <c r="J356" s="20" t="s">
        <v>7978</v>
      </c>
      <c r="K356" s="20" t="s">
        <v>2922</v>
      </c>
      <c r="L356" s="20" t="s">
        <v>7974</v>
      </c>
    </row>
    <row r="357">
      <c r="A357" s="20" t="s">
        <v>7979</v>
      </c>
      <c r="B357" s="21">
        <v>45986.07797453704</v>
      </c>
      <c r="C357" s="20" t="s">
        <v>6897</v>
      </c>
      <c r="D357" s="22" t="s">
        <v>6811</v>
      </c>
      <c r="E357" s="20" t="s">
        <v>7980</v>
      </c>
      <c r="F357" s="20" t="s">
        <v>7981</v>
      </c>
      <c r="G357" s="20"/>
      <c r="H357" s="20"/>
      <c r="I357" s="20" t="s">
        <v>7982</v>
      </c>
      <c r="J357" s="20" t="s">
        <v>7983</v>
      </c>
      <c r="K357" s="20" t="s">
        <v>1975</v>
      </c>
      <c r="L357" s="20" t="s">
        <v>7979</v>
      </c>
    </row>
    <row r="358">
      <c r="A358" s="20" t="s">
        <v>7984</v>
      </c>
      <c r="B358" s="21">
        <v>46028.58731481481</v>
      </c>
      <c r="C358" s="20" t="s">
        <v>6818</v>
      </c>
      <c r="D358" s="22" t="s">
        <v>6811</v>
      </c>
      <c r="E358" s="20" t="s">
        <v>7985</v>
      </c>
      <c r="F358" s="22" t="s">
        <v>6607</v>
      </c>
      <c r="G358" s="20"/>
      <c r="H358" s="20"/>
      <c r="I358" s="20" t="s">
        <v>7986</v>
      </c>
      <c r="J358" s="20" t="s">
        <v>7987</v>
      </c>
      <c r="K358" s="20" t="s">
        <v>2109</v>
      </c>
      <c r="L358" s="20" t="s">
        <v>7988</v>
      </c>
    </row>
    <row r="359">
      <c r="A359" s="20" t="s">
        <v>7989</v>
      </c>
      <c r="B359" s="21">
        <v>46029.27248842592</v>
      </c>
      <c r="C359" s="20" t="s">
        <v>7990</v>
      </c>
      <c r="D359" s="22" t="s">
        <v>6607</v>
      </c>
      <c r="E359" s="20" t="s">
        <v>6818</v>
      </c>
      <c r="F359" s="22" t="s">
        <v>6811</v>
      </c>
      <c r="G359" s="20"/>
      <c r="H359" s="20"/>
      <c r="I359" s="20" t="s">
        <v>7991</v>
      </c>
      <c r="J359" s="20" t="s">
        <v>7992</v>
      </c>
      <c r="K359" s="20" t="s">
        <v>2109</v>
      </c>
      <c r="L359" s="20" t="s">
        <v>7988</v>
      </c>
    </row>
    <row r="360">
      <c r="A360" s="20" t="s">
        <v>7993</v>
      </c>
      <c r="B360" s="21">
        <v>46029.62523148148</v>
      </c>
      <c r="C360" s="20" t="s">
        <v>6818</v>
      </c>
      <c r="D360" s="22" t="s">
        <v>6811</v>
      </c>
      <c r="E360" s="20" t="s">
        <v>7990</v>
      </c>
      <c r="F360" s="22" t="s">
        <v>6607</v>
      </c>
      <c r="G360" s="20"/>
      <c r="H360" s="20"/>
      <c r="I360" s="20" t="s">
        <v>7991</v>
      </c>
      <c r="J360" s="20" t="s">
        <v>7994</v>
      </c>
      <c r="K360" s="20" t="s">
        <v>2109</v>
      </c>
      <c r="L360" s="20" t="s">
        <v>7988</v>
      </c>
    </row>
    <row r="361">
      <c r="A361" s="20" t="s">
        <v>7995</v>
      </c>
      <c r="B361" s="21">
        <v>46030.29960648148</v>
      </c>
      <c r="C361" s="20" t="s">
        <v>7990</v>
      </c>
      <c r="D361" s="22" t="s">
        <v>6607</v>
      </c>
      <c r="E361" s="20" t="s">
        <v>6818</v>
      </c>
      <c r="F361" s="22" t="s">
        <v>6811</v>
      </c>
      <c r="G361" s="20"/>
      <c r="H361" s="20"/>
      <c r="I361" s="20" t="s">
        <v>7991</v>
      </c>
      <c r="J361" s="20" t="s">
        <v>7996</v>
      </c>
      <c r="K361" s="20" t="s">
        <v>2109</v>
      </c>
      <c r="L361" s="20" t="s">
        <v>7988</v>
      </c>
    </row>
    <row r="362">
      <c r="A362" s="20" t="s">
        <v>7997</v>
      </c>
      <c r="B362" s="21">
        <v>46028.562939814816</v>
      </c>
      <c r="C362" s="20" t="s">
        <v>6818</v>
      </c>
      <c r="D362" s="22" t="s">
        <v>6811</v>
      </c>
      <c r="E362" s="20" t="s">
        <v>7998</v>
      </c>
      <c r="F362" s="22" t="s">
        <v>6610</v>
      </c>
      <c r="G362" s="20" t="s">
        <v>6853</v>
      </c>
      <c r="H362" s="22" t="s">
        <v>6811</v>
      </c>
      <c r="I362" s="20" t="s">
        <v>6854</v>
      </c>
      <c r="J362" s="20" t="s">
        <v>7999</v>
      </c>
      <c r="K362" s="20" t="s">
        <v>453</v>
      </c>
      <c r="L362" s="20" t="s">
        <v>7997</v>
      </c>
    </row>
    <row r="363">
      <c r="A363" s="20" t="s">
        <v>8000</v>
      </c>
      <c r="B363" s="21">
        <v>46028.562951388885</v>
      </c>
      <c r="C363" s="20" t="s">
        <v>6818</v>
      </c>
      <c r="D363" s="22" t="s">
        <v>6811</v>
      </c>
      <c r="E363" s="20" t="s">
        <v>8001</v>
      </c>
      <c r="F363" s="22" t="s">
        <v>6607</v>
      </c>
      <c r="G363" s="20" t="s">
        <v>6853</v>
      </c>
      <c r="H363" s="22" t="s">
        <v>6811</v>
      </c>
      <c r="I363" s="20" t="s">
        <v>6854</v>
      </c>
      <c r="J363" s="20" t="s">
        <v>8002</v>
      </c>
      <c r="K363" s="20" t="s">
        <v>2109</v>
      </c>
      <c r="L363" s="20" t="s">
        <v>8000</v>
      </c>
    </row>
    <row r="364">
      <c r="A364" s="20" t="s">
        <v>8003</v>
      </c>
      <c r="B364" s="21">
        <v>46028.562939814816</v>
      </c>
      <c r="C364" s="20" t="s">
        <v>6818</v>
      </c>
      <c r="D364" s="22" t="s">
        <v>6811</v>
      </c>
      <c r="E364" s="20" t="s">
        <v>7985</v>
      </c>
      <c r="F364" s="22" t="s">
        <v>6607</v>
      </c>
      <c r="G364" s="20" t="s">
        <v>6853</v>
      </c>
      <c r="H364" s="22" t="s">
        <v>6811</v>
      </c>
      <c r="I364" s="20" t="s">
        <v>6854</v>
      </c>
      <c r="J364" s="20" t="s">
        <v>8004</v>
      </c>
      <c r="K364" s="20" t="s">
        <v>2109</v>
      </c>
      <c r="L364" s="20" t="s">
        <v>8003</v>
      </c>
    </row>
    <row r="365">
      <c r="A365" s="20" t="s">
        <v>8005</v>
      </c>
      <c r="B365" s="21">
        <v>46028.562939814816</v>
      </c>
      <c r="C365" s="20" t="s">
        <v>6818</v>
      </c>
      <c r="D365" s="22" t="s">
        <v>6811</v>
      </c>
      <c r="E365" s="20" t="s">
        <v>8006</v>
      </c>
      <c r="F365" s="22" t="s">
        <v>6605</v>
      </c>
      <c r="G365" s="20" t="s">
        <v>6853</v>
      </c>
      <c r="H365" s="22" t="s">
        <v>6811</v>
      </c>
      <c r="I365" s="20" t="s">
        <v>6854</v>
      </c>
      <c r="J365" s="20" t="s">
        <v>8007</v>
      </c>
      <c r="K365" s="20" t="s">
        <v>3028</v>
      </c>
      <c r="L365" s="20" t="s">
        <v>8005</v>
      </c>
    </row>
    <row r="366">
      <c r="A366" s="20" t="s">
        <v>8008</v>
      </c>
      <c r="B366" s="21">
        <v>46028.562939814816</v>
      </c>
      <c r="C366" s="20" t="s">
        <v>6818</v>
      </c>
      <c r="D366" s="22" t="s">
        <v>6811</v>
      </c>
      <c r="E366" s="20" t="s">
        <v>8009</v>
      </c>
      <c r="F366" s="22" t="s">
        <v>6607</v>
      </c>
      <c r="G366" s="20" t="s">
        <v>6853</v>
      </c>
      <c r="H366" s="22" t="s">
        <v>6811</v>
      </c>
      <c r="I366" s="20" t="s">
        <v>6854</v>
      </c>
      <c r="J366" s="20" t="s">
        <v>8010</v>
      </c>
      <c r="K366" s="20" t="s">
        <v>2109</v>
      </c>
      <c r="L366" s="20" t="s">
        <v>8008</v>
      </c>
    </row>
    <row r="367">
      <c r="A367" s="20" t="s">
        <v>8011</v>
      </c>
      <c r="B367" s="21">
        <v>46028.56292824074</v>
      </c>
      <c r="C367" s="20" t="s">
        <v>6818</v>
      </c>
      <c r="D367" s="22" t="s">
        <v>6811</v>
      </c>
      <c r="E367" s="20" t="s">
        <v>8012</v>
      </c>
      <c r="F367" s="22" t="s">
        <v>6607</v>
      </c>
      <c r="G367" s="20" t="s">
        <v>6853</v>
      </c>
      <c r="H367" s="22" t="s">
        <v>6811</v>
      </c>
      <c r="I367" s="20" t="s">
        <v>6854</v>
      </c>
      <c r="J367" s="20" t="s">
        <v>8013</v>
      </c>
      <c r="K367" s="20" t="s">
        <v>2109</v>
      </c>
      <c r="L367" s="20" t="s">
        <v>8011</v>
      </c>
    </row>
    <row r="368">
      <c r="A368" s="20" t="s">
        <v>8014</v>
      </c>
      <c r="B368" s="21">
        <v>46028.56291666666</v>
      </c>
      <c r="C368" s="20" t="s">
        <v>6818</v>
      </c>
      <c r="D368" s="22" t="s">
        <v>6811</v>
      </c>
      <c r="E368" s="20" t="s">
        <v>8015</v>
      </c>
      <c r="F368" s="22" t="s">
        <v>6607</v>
      </c>
      <c r="G368" s="20" t="s">
        <v>6853</v>
      </c>
      <c r="H368" s="22" t="s">
        <v>6811</v>
      </c>
      <c r="I368" s="20" t="s">
        <v>6854</v>
      </c>
      <c r="J368" s="20" t="s">
        <v>8016</v>
      </c>
      <c r="K368" s="20" t="s">
        <v>2109</v>
      </c>
      <c r="L368" s="20" t="s">
        <v>8014</v>
      </c>
    </row>
    <row r="369">
      <c r="A369" s="20" t="s">
        <v>8017</v>
      </c>
      <c r="B369" s="21">
        <v>46028.56291666666</v>
      </c>
      <c r="C369" s="20" t="s">
        <v>6818</v>
      </c>
      <c r="D369" s="22" t="s">
        <v>6811</v>
      </c>
      <c r="E369" s="20" t="s">
        <v>8018</v>
      </c>
      <c r="F369" s="22" t="s">
        <v>6610</v>
      </c>
      <c r="G369" s="20" t="s">
        <v>6853</v>
      </c>
      <c r="H369" s="22" t="s">
        <v>6811</v>
      </c>
      <c r="I369" s="20" t="s">
        <v>6854</v>
      </c>
      <c r="J369" s="20" t="s">
        <v>8019</v>
      </c>
      <c r="K369" s="20" t="s">
        <v>453</v>
      </c>
      <c r="L369" s="20" t="s">
        <v>8017</v>
      </c>
    </row>
    <row r="370">
      <c r="A370" s="20" t="s">
        <v>8020</v>
      </c>
      <c r="B370" s="21">
        <v>46028.56290509259</v>
      </c>
      <c r="C370" s="20" t="s">
        <v>6818</v>
      </c>
      <c r="D370" s="22" t="s">
        <v>6811</v>
      </c>
      <c r="E370" s="20" t="s">
        <v>8021</v>
      </c>
      <c r="F370" s="22" t="s">
        <v>6610</v>
      </c>
      <c r="G370" s="20" t="s">
        <v>6853</v>
      </c>
      <c r="H370" s="22" t="s">
        <v>6811</v>
      </c>
      <c r="I370" s="20" t="s">
        <v>6854</v>
      </c>
      <c r="J370" s="20" t="s">
        <v>8022</v>
      </c>
      <c r="K370" s="20" t="s">
        <v>453</v>
      </c>
      <c r="L370" s="20" t="s">
        <v>8020</v>
      </c>
    </row>
    <row r="371">
      <c r="A371" s="20" t="s">
        <v>8023</v>
      </c>
      <c r="B371" s="21">
        <v>46028.56291666666</v>
      </c>
      <c r="C371" s="20" t="s">
        <v>6818</v>
      </c>
      <c r="D371" s="22" t="s">
        <v>6811</v>
      </c>
      <c r="E371" s="20" t="s">
        <v>8024</v>
      </c>
      <c r="F371" s="22" t="s">
        <v>6606</v>
      </c>
      <c r="G371" s="20" t="s">
        <v>6853</v>
      </c>
      <c r="H371" s="22" t="s">
        <v>6811</v>
      </c>
      <c r="I371" s="20" t="s">
        <v>6854</v>
      </c>
      <c r="J371" s="20" t="s">
        <v>8025</v>
      </c>
      <c r="K371" s="20" t="s">
        <v>1969</v>
      </c>
      <c r="L371" s="20" t="s">
        <v>8023</v>
      </c>
    </row>
    <row r="372">
      <c r="A372" s="20" t="s">
        <v>8026</v>
      </c>
      <c r="B372" s="21">
        <v>46028.56290509259</v>
      </c>
      <c r="C372" s="20" t="s">
        <v>6818</v>
      </c>
      <c r="D372" s="22" t="s">
        <v>6811</v>
      </c>
      <c r="E372" s="20" t="s">
        <v>8027</v>
      </c>
      <c r="F372" s="22" t="s">
        <v>6605</v>
      </c>
      <c r="G372" s="20" t="s">
        <v>6853</v>
      </c>
      <c r="H372" s="22" t="s">
        <v>6811</v>
      </c>
      <c r="I372" s="20" t="s">
        <v>6854</v>
      </c>
      <c r="J372" s="20" t="s">
        <v>8028</v>
      </c>
      <c r="K372" s="20" t="s">
        <v>3028</v>
      </c>
      <c r="L372" s="20" t="s">
        <v>8026</v>
      </c>
    </row>
    <row r="373">
      <c r="A373" s="20" t="s">
        <v>8029</v>
      </c>
      <c r="B373" s="21">
        <v>46028.56290509259</v>
      </c>
      <c r="C373" s="20" t="s">
        <v>6818</v>
      </c>
      <c r="D373" s="22" t="s">
        <v>6811</v>
      </c>
      <c r="E373" s="20" t="s">
        <v>8030</v>
      </c>
      <c r="F373" s="22" t="s">
        <v>6608</v>
      </c>
      <c r="G373" s="20" t="s">
        <v>6853</v>
      </c>
      <c r="H373" s="22" t="s">
        <v>6811</v>
      </c>
      <c r="I373" s="20" t="s">
        <v>6854</v>
      </c>
      <c r="J373" s="20" t="s">
        <v>8031</v>
      </c>
      <c r="K373" s="20" t="s">
        <v>4466</v>
      </c>
      <c r="L373" s="20" t="s">
        <v>8029</v>
      </c>
    </row>
    <row r="374">
      <c r="A374" s="20" t="s">
        <v>8032</v>
      </c>
      <c r="B374" s="21">
        <v>46028.56289351852</v>
      </c>
      <c r="C374" s="20" t="s">
        <v>6818</v>
      </c>
      <c r="D374" s="22" t="s">
        <v>6811</v>
      </c>
      <c r="E374" s="20" t="s">
        <v>8033</v>
      </c>
      <c r="F374" s="22" t="s">
        <v>6606</v>
      </c>
      <c r="G374" s="20" t="s">
        <v>6853</v>
      </c>
      <c r="H374" s="22" t="s">
        <v>6811</v>
      </c>
      <c r="I374" s="20" t="s">
        <v>6854</v>
      </c>
      <c r="J374" s="20" t="s">
        <v>8025</v>
      </c>
      <c r="K374" s="20" t="s">
        <v>1969</v>
      </c>
      <c r="L374" s="20" t="s">
        <v>8032</v>
      </c>
    </row>
    <row r="375">
      <c r="A375" s="20" t="s">
        <v>8034</v>
      </c>
      <c r="B375" s="21">
        <v>46028.56290509259</v>
      </c>
      <c r="C375" s="20" t="s">
        <v>6818</v>
      </c>
      <c r="D375" s="22" t="s">
        <v>6811</v>
      </c>
      <c r="E375" s="20" t="s">
        <v>8035</v>
      </c>
      <c r="F375" s="22" t="s">
        <v>6605</v>
      </c>
      <c r="G375" s="20" t="s">
        <v>6853</v>
      </c>
      <c r="H375" s="22" t="s">
        <v>6811</v>
      </c>
      <c r="I375" s="20" t="s">
        <v>6854</v>
      </c>
      <c r="J375" s="20" t="s">
        <v>8036</v>
      </c>
      <c r="K375" s="20" t="s">
        <v>3028</v>
      </c>
      <c r="L375" s="20" t="s">
        <v>8034</v>
      </c>
    </row>
    <row r="376">
      <c r="A376" s="20" t="s">
        <v>8037</v>
      </c>
      <c r="B376" s="21">
        <v>46028.56290509259</v>
      </c>
      <c r="C376" s="20" t="s">
        <v>6818</v>
      </c>
      <c r="D376" s="22" t="s">
        <v>6811</v>
      </c>
      <c r="E376" s="20" t="s">
        <v>8038</v>
      </c>
      <c r="F376" s="22" t="s">
        <v>6606</v>
      </c>
      <c r="G376" s="20" t="s">
        <v>6853</v>
      </c>
      <c r="H376" s="22" t="s">
        <v>6811</v>
      </c>
      <c r="I376" s="20" t="s">
        <v>6854</v>
      </c>
      <c r="J376" s="20" t="s">
        <v>8025</v>
      </c>
      <c r="K376" s="20" t="s">
        <v>1969</v>
      </c>
      <c r="L376" s="20" t="s">
        <v>8037</v>
      </c>
    </row>
    <row r="377">
      <c r="A377" s="20" t="s">
        <v>8039</v>
      </c>
      <c r="B377" s="21">
        <v>46028.56289351852</v>
      </c>
      <c r="C377" s="20" t="s">
        <v>6818</v>
      </c>
      <c r="D377" s="22" t="s">
        <v>6811</v>
      </c>
      <c r="E377" s="20" t="s">
        <v>8040</v>
      </c>
      <c r="F377" s="22" t="s">
        <v>6608</v>
      </c>
      <c r="G377" s="20" t="s">
        <v>6853</v>
      </c>
      <c r="H377" s="22" t="s">
        <v>6811</v>
      </c>
      <c r="I377" s="20" t="s">
        <v>6854</v>
      </c>
      <c r="J377" s="20" t="s">
        <v>8031</v>
      </c>
      <c r="K377" s="20" t="s">
        <v>4466</v>
      </c>
      <c r="L377" s="20" t="s">
        <v>8039</v>
      </c>
    </row>
    <row r="378">
      <c r="A378" s="20" t="s">
        <v>8041</v>
      </c>
      <c r="B378" s="21">
        <v>46028.56289351852</v>
      </c>
      <c r="C378" s="20" t="s">
        <v>6818</v>
      </c>
      <c r="D378" s="22" t="s">
        <v>6811</v>
      </c>
      <c r="E378" s="20" t="s">
        <v>8042</v>
      </c>
      <c r="F378" s="22" t="s">
        <v>6610</v>
      </c>
      <c r="G378" s="20" t="s">
        <v>6853</v>
      </c>
      <c r="H378" s="22" t="s">
        <v>6811</v>
      </c>
      <c r="I378" s="20" t="s">
        <v>6854</v>
      </c>
      <c r="J378" s="20" t="s">
        <v>8043</v>
      </c>
      <c r="K378" s="20" t="s">
        <v>453</v>
      </c>
      <c r="L378" s="20" t="s">
        <v>8041</v>
      </c>
    </row>
    <row r="379">
      <c r="A379" s="20" t="s">
        <v>8044</v>
      </c>
      <c r="B379" s="21">
        <v>46027.59442129629</v>
      </c>
      <c r="C379" s="20" t="s">
        <v>6897</v>
      </c>
      <c r="D379" s="22" t="s">
        <v>6811</v>
      </c>
      <c r="E379" s="20" t="s">
        <v>8045</v>
      </c>
      <c r="F379" s="20" t="s">
        <v>8046</v>
      </c>
      <c r="G379" s="20"/>
      <c r="H379" s="20"/>
      <c r="I379" s="20" t="s">
        <v>8047</v>
      </c>
      <c r="J379" s="20" t="s">
        <v>8048</v>
      </c>
      <c r="K379" s="20" t="s">
        <v>2109</v>
      </c>
      <c r="L379" s="20" t="s">
        <v>8044</v>
      </c>
    </row>
    <row r="380">
      <c r="A380" s="20" t="s">
        <v>8049</v>
      </c>
      <c r="B380" s="21">
        <v>46027.56476851852</v>
      </c>
      <c r="C380" s="20" t="s">
        <v>6818</v>
      </c>
      <c r="D380" s="22" t="s">
        <v>6811</v>
      </c>
      <c r="E380" s="20" t="s">
        <v>7985</v>
      </c>
      <c r="F380" s="22" t="s">
        <v>6607</v>
      </c>
      <c r="G380" s="20" t="s">
        <v>6897</v>
      </c>
      <c r="H380" s="22" t="s">
        <v>6811</v>
      </c>
      <c r="I380" s="20" t="s">
        <v>8050</v>
      </c>
      <c r="J380" s="20" t="s">
        <v>8051</v>
      </c>
      <c r="K380" s="20" t="s">
        <v>2109</v>
      </c>
      <c r="L380" s="20" t="s">
        <v>8052</v>
      </c>
    </row>
    <row r="381">
      <c r="A381" s="20" t="s">
        <v>8053</v>
      </c>
      <c r="B381" s="21">
        <v>46030.30259259259</v>
      </c>
      <c r="C381" s="20" t="s">
        <v>7990</v>
      </c>
      <c r="D381" s="22" t="s">
        <v>6607</v>
      </c>
      <c r="E381" s="20" t="s">
        <v>6818</v>
      </c>
      <c r="F381" s="22" t="s">
        <v>6811</v>
      </c>
      <c r="G381" s="20" t="s">
        <v>6897</v>
      </c>
      <c r="H381" s="22" t="s">
        <v>6811</v>
      </c>
      <c r="I381" s="20" t="s">
        <v>8054</v>
      </c>
      <c r="J381" s="20" t="s">
        <v>8055</v>
      </c>
      <c r="K381" s="20" t="s">
        <v>2109</v>
      </c>
      <c r="L381" s="20" t="s">
        <v>8052</v>
      </c>
    </row>
    <row r="382">
      <c r="A382" s="20" t="s">
        <v>8056</v>
      </c>
      <c r="B382" s="21">
        <v>46030.41234953704</v>
      </c>
      <c r="C382" s="20" t="s">
        <v>6897</v>
      </c>
      <c r="D382" s="22" t="s">
        <v>6811</v>
      </c>
      <c r="E382" s="20" t="s">
        <v>7990</v>
      </c>
      <c r="F382" s="22" t="s">
        <v>6607</v>
      </c>
      <c r="G382" s="20" t="s">
        <v>6818</v>
      </c>
      <c r="H382" s="22" t="s">
        <v>6811</v>
      </c>
      <c r="I382" s="20" t="s">
        <v>8054</v>
      </c>
      <c r="J382" s="20" t="s">
        <v>8057</v>
      </c>
      <c r="K382" s="20" t="s">
        <v>2109</v>
      </c>
      <c r="L382" s="20" t="s">
        <v>8052</v>
      </c>
    </row>
    <row r="383">
      <c r="A383" s="20" t="s">
        <v>8058</v>
      </c>
      <c r="B383" s="21">
        <v>46031.32525462963</v>
      </c>
      <c r="C383" s="20" t="s">
        <v>7990</v>
      </c>
      <c r="D383" s="22" t="s">
        <v>6607</v>
      </c>
      <c r="E383" s="20" t="s">
        <v>6897</v>
      </c>
      <c r="F383" s="22" t="s">
        <v>6811</v>
      </c>
      <c r="G383" s="20" t="s">
        <v>6818</v>
      </c>
      <c r="H383" s="22" t="s">
        <v>6811</v>
      </c>
      <c r="I383" s="20" t="s">
        <v>8054</v>
      </c>
      <c r="J383" s="20" t="s">
        <v>8059</v>
      </c>
      <c r="K383" s="20" t="s">
        <v>2109</v>
      </c>
      <c r="L383" s="20" t="s">
        <v>8052</v>
      </c>
    </row>
    <row r="384">
      <c r="A384" s="20" t="s">
        <v>8060</v>
      </c>
      <c r="B384" s="21">
        <v>46031.33583333333</v>
      </c>
      <c r="C384" s="20" t="s">
        <v>6818</v>
      </c>
      <c r="D384" s="22" t="s">
        <v>6811</v>
      </c>
      <c r="E384" s="20" t="s">
        <v>7990</v>
      </c>
      <c r="F384" s="22" t="s">
        <v>6607</v>
      </c>
      <c r="G384" s="20" t="s">
        <v>6897</v>
      </c>
      <c r="H384" s="22" t="s">
        <v>6811</v>
      </c>
      <c r="I384" s="20" t="s">
        <v>8054</v>
      </c>
      <c r="J384" s="20" t="s">
        <v>8061</v>
      </c>
      <c r="K384" s="20" t="s">
        <v>2109</v>
      </c>
      <c r="L384" s="20" t="s">
        <v>8052</v>
      </c>
    </row>
    <row r="385">
      <c r="A385" s="20" t="s">
        <v>8062</v>
      </c>
      <c r="B385" s="21">
        <v>46031.50282407408</v>
      </c>
      <c r="C385" s="20" t="s">
        <v>7990</v>
      </c>
      <c r="D385" s="22" t="s">
        <v>6607</v>
      </c>
      <c r="E385" s="20" t="s">
        <v>6818</v>
      </c>
      <c r="F385" s="22" t="s">
        <v>6811</v>
      </c>
      <c r="G385" s="20" t="s">
        <v>6897</v>
      </c>
      <c r="H385" s="22" t="s">
        <v>6811</v>
      </c>
      <c r="I385" s="20" t="s">
        <v>8054</v>
      </c>
      <c r="J385" s="20" t="s">
        <v>8063</v>
      </c>
      <c r="K385" s="20" t="s">
        <v>2109</v>
      </c>
      <c r="L385" s="20" t="s">
        <v>8052</v>
      </c>
    </row>
    <row r="386">
      <c r="A386" s="20" t="s">
        <v>8064</v>
      </c>
      <c r="B386" s="21">
        <v>46031.62712962963</v>
      </c>
      <c r="C386" s="20" t="s">
        <v>6818</v>
      </c>
      <c r="D386" s="22" t="s">
        <v>6811</v>
      </c>
      <c r="E386" s="20" t="s">
        <v>7990</v>
      </c>
      <c r="F386" s="22" t="s">
        <v>6607</v>
      </c>
      <c r="G386" s="20" t="s">
        <v>6897</v>
      </c>
      <c r="H386" s="22" t="s">
        <v>6811</v>
      </c>
      <c r="I386" s="20" t="s">
        <v>8054</v>
      </c>
      <c r="J386" s="20" t="s">
        <v>8065</v>
      </c>
      <c r="K386" s="20" t="s">
        <v>2109</v>
      </c>
      <c r="L386" s="20" t="s">
        <v>8052</v>
      </c>
    </row>
    <row r="387">
      <c r="A387" s="20" t="s">
        <v>8066</v>
      </c>
      <c r="B387" s="21">
        <v>46034.531909722224</v>
      </c>
      <c r="C387" s="20" t="s">
        <v>7990</v>
      </c>
      <c r="D387" s="22" t="s">
        <v>6607</v>
      </c>
      <c r="E387" s="20" t="s">
        <v>6818</v>
      </c>
      <c r="F387" s="22" t="s">
        <v>6811</v>
      </c>
      <c r="G387" s="20" t="s">
        <v>6897</v>
      </c>
      <c r="H387" s="22" t="s">
        <v>6811</v>
      </c>
      <c r="I387" s="20" t="s">
        <v>8054</v>
      </c>
      <c r="J387" s="20" t="s">
        <v>8067</v>
      </c>
      <c r="K387" s="20" t="s">
        <v>2109</v>
      </c>
      <c r="L387" s="20" t="s">
        <v>8052</v>
      </c>
    </row>
    <row r="388">
      <c r="A388" s="20" t="s">
        <v>8068</v>
      </c>
      <c r="B388" s="21">
        <v>46034.60146990741</v>
      </c>
      <c r="C388" s="20" t="s">
        <v>7990</v>
      </c>
      <c r="D388" s="22" t="s">
        <v>6607</v>
      </c>
      <c r="E388" s="20" t="s">
        <v>6818</v>
      </c>
      <c r="F388" s="22" t="s">
        <v>6811</v>
      </c>
      <c r="G388" s="20" t="s">
        <v>6897</v>
      </c>
      <c r="H388" s="22" t="s">
        <v>6811</v>
      </c>
      <c r="I388" s="20" t="s">
        <v>8054</v>
      </c>
      <c r="J388" s="20" t="s">
        <v>8069</v>
      </c>
      <c r="K388" s="20" t="s">
        <v>2109</v>
      </c>
      <c r="L388" s="20" t="s">
        <v>8052</v>
      </c>
    </row>
    <row r="389">
      <c r="A389" s="20" t="s">
        <v>8070</v>
      </c>
      <c r="B389" s="21">
        <v>46034.626539351855</v>
      </c>
      <c r="C389" s="20" t="s">
        <v>6818</v>
      </c>
      <c r="D389" s="22" t="s">
        <v>6811</v>
      </c>
      <c r="E389" s="20" t="s">
        <v>7990</v>
      </c>
      <c r="F389" s="22" t="s">
        <v>6607</v>
      </c>
      <c r="G389" s="20" t="s">
        <v>6897</v>
      </c>
      <c r="H389" s="22" t="s">
        <v>6811</v>
      </c>
      <c r="I389" s="20" t="s">
        <v>8054</v>
      </c>
      <c r="J389" s="20" t="s">
        <v>8071</v>
      </c>
      <c r="K389" s="20" t="s">
        <v>2109</v>
      </c>
      <c r="L389" s="20" t="s">
        <v>8052</v>
      </c>
    </row>
    <row r="390">
      <c r="A390" s="20" t="s">
        <v>8072</v>
      </c>
      <c r="B390" s="21">
        <v>46007.33158564815</v>
      </c>
      <c r="C390" s="20" t="s">
        <v>8073</v>
      </c>
      <c r="D390" s="22" t="s">
        <v>6608</v>
      </c>
      <c r="E390" s="20" t="s">
        <v>8074</v>
      </c>
      <c r="F390" s="22" t="s">
        <v>6811</v>
      </c>
      <c r="G390" s="20"/>
      <c r="H390" s="20"/>
      <c r="I390" s="20" t="s">
        <v>8075</v>
      </c>
      <c r="J390" s="20" t="s">
        <v>8076</v>
      </c>
      <c r="K390" s="20" t="s">
        <v>4466</v>
      </c>
      <c r="L390" s="20" t="s">
        <v>8072</v>
      </c>
    </row>
    <row r="391">
      <c r="A391" s="20" t="s">
        <v>8077</v>
      </c>
      <c r="B391" s="21">
        <v>46006.445138888885</v>
      </c>
      <c r="C391" s="20" t="s">
        <v>6818</v>
      </c>
      <c r="D391" s="22" t="s">
        <v>6811</v>
      </c>
      <c r="E391" s="20" t="s">
        <v>8078</v>
      </c>
      <c r="F391" s="20" t="s">
        <v>8079</v>
      </c>
      <c r="G391" s="20"/>
      <c r="H391" s="20"/>
      <c r="I391" s="20" t="s">
        <v>8080</v>
      </c>
      <c r="J391" s="20" t="s">
        <v>8081</v>
      </c>
      <c r="K391" s="20" t="s">
        <v>3028</v>
      </c>
      <c r="L391" s="20" t="s">
        <v>8077</v>
      </c>
    </row>
    <row r="392">
      <c r="A392" s="20" t="s">
        <v>8082</v>
      </c>
      <c r="B392" s="21">
        <v>46006.442777777775</v>
      </c>
      <c r="C392" s="20" t="s">
        <v>6818</v>
      </c>
      <c r="D392" s="22" t="s">
        <v>6811</v>
      </c>
      <c r="E392" s="20" t="s">
        <v>8083</v>
      </c>
      <c r="F392" s="20" t="s">
        <v>8084</v>
      </c>
      <c r="G392" s="20"/>
      <c r="H392" s="20"/>
      <c r="I392" s="20" t="s">
        <v>8085</v>
      </c>
      <c r="J392" s="20" t="s">
        <v>8086</v>
      </c>
      <c r="K392" s="20" t="s">
        <v>453</v>
      </c>
      <c r="L392" s="20" t="s">
        <v>8082</v>
      </c>
    </row>
    <row r="393">
      <c r="A393" s="20" t="s">
        <v>8087</v>
      </c>
      <c r="B393" s="21">
        <v>46002.334016203706</v>
      </c>
      <c r="C393" s="20" t="s">
        <v>6897</v>
      </c>
      <c r="D393" s="22" t="s">
        <v>6811</v>
      </c>
      <c r="E393" s="20" t="s">
        <v>8088</v>
      </c>
      <c r="F393" s="20" t="s">
        <v>8089</v>
      </c>
      <c r="G393" s="20" t="s">
        <v>8090</v>
      </c>
      <c r="H393" s="22" t="s">
        <v>6605</v>
      </c>
      <c r="I393" s="20" t="s">
        <v>8091</v>
      </c>
      <c r="J393" s="20" t="s">
        <v>8092</v>
      </c>
      <c r="K393" s="20" t="s">
        <v>3028</v>
      </c>
      <c r="L393" s="20" t="s">
        <v>8087</v>
      </c>
    </row>
    <row r="394">
      <c r="A394" s="20" t="s">
        <v>8093</v>
      </c>
      <c r="B394" s="21">
        <v>46002.37556712963</v>
      </c>
      <c r="C394" s="20" t="s">
        <v>8094</v>
      </c>
      <c r="D394" s="22" t="s">
        <v>6605</v>
      </c>
      <c r="E394" s="20" t="s">
        <v>6995</v>
      </c>
      <c r="F394" s="22" t="s">
        <v>6811</v>
      </c>
      <c r="G394" s="20" t="s">
        <v>8090</v>
      </c>
      <c r="H394" s="22" t="s">
        <v>6605</v>
      </c>
      <c r="I394" s="20" t="s">
        <v>8091</v>
      </c>
      <c r="J394" s="20" t="s">
        <v>8095</v>
      </c>
      <c r="K394" s="20" t="s">
        <v>3028</v>
      </c>
      <c r="L394" s="20" t="s">
        <v>8087</v>
      </c>
    </row>
    <row r="395">
      <c r="A395" s="20" t="s">
        <v>8096</v>
      </c>
      <c r="B395" s="21">
        <v>45986.07778935185</v>
      </c>
      <c r="C395" s="20" t="s">
        <v>6897</v>
      </c>
      <c r="D395" s="22" t="s">
        <v>6811</v>
      </c>
      <c r="E395" s="20" t="s">
        <v>8097</v>
      </c>
      <c r="F395" s="20" t="s">
        <v>8098</v>
      </c>
      <c r="G395" s="20"/>
      <c r="H395" s="20"/>
      <c r="I395" s="20" t="s">
        <v>8099</v>
      </c>
      <c r="J395" s="20" t="s">
        <v>8100</v>
      </c>
      <c r="K395" s="20" t="s">
        <v>4466</v>
      </c>
      <c r="L395" s="20" t="s">
        <v>8096</v>
      </c>
    </row>
    <row r="396">
      <c r="A396" s="20" t="s">
        <v>8101</v>
      </c>
      <c r="B396" s="21">
        <v>45986.077418981484</v>
      </c>
      <c r="C396" s="20" t="s">
        <v>6897</v>
      </c>
      <c r="D396" s="22" t="s">
        <v>6811</v>
      </c>
      <c r="E396" s="20" t="s">
        <v>8102</v>
      </c>
      <c r="F396" s="20" t="s">
        <v>8084</v>
      </c>
      <c r="G396" s="20"/>
      <c r="H396" s="20"/>
      <c r="I396" s="20" t="s">
        <v>8103</v>
      </c>
      <c r="J396" s="20" t="s">
        <v>8104</v>
      </c>
      <c r="K396" s="20" t="s">
        <v>453</v>
      </c>
      <c r="L396" s="20" t="s">
        <v>8101</v>
      </c>
    </row>
    <row r="397">
      <c r="A397" s="20" t="s">
        <v>8105</v>
      </c>
      <c r="B397" s="21">
        <v>45986.076828703706</v>
      </c>
      <c r="C397" s="20" t="s">
        <v>6897</v>
      </c>
      <c r="D397" s="22" t="s">
        <v>6811</v>
      </c>
      <c r="E397" s="20" t="s">
        <v>8106</v>
      </c>
      <c r="F397" s="20" t="s">
        <v>8107</v>
      </c>
      <c r="G397" s="20"/>
      <c r="H397" s="20"/>
      <c r="I397" s="20" t="s">
        <v>8108</v>
      </c>
      <c r="J397" s="20" t="s">
        <v>8109</v>
      </c>
      <c r="K397" s="20" t="s">
        <v>1969</v>
      </c>
      <c r="L397" s="20" t="s">
        <v>8105</v>
      </c>
    </row>
    <row r="398">
      <c r="A398" s="20" t="s">
        <v>8110</v>
      </c>
      <c r="B398" s="21">
        <v>45986.07616898148</v>
      </c>
      <c r="C398" s="20" t="s">
        <v>6897</v>
      </c>
      <c r="D398" s="22" t="s">
        <v>6811</v>
      </c>
      <c r="E398" s="20" t="s">
        <v>8111</v>
      </c>
      <c r="F398" s="20" t="s">
        <v>8079</v>
      </c>
      <c r="G398" s="20"/>
      <c r="H398" s="20"/>
      <c r="I398" s="20" t="s">
        <v>8112</v>
      </c>
      <c r="J398" s="20" t="s">
        <v>8113</v>
      </c>
      <c r="K398" s="20" t="s">
        <v>3028</v>
      </c>
      <c r="L398" s="20" t="s">
        <v>8110</v>
      </c>
    </row>
    <row r="399">
      <c r="A399" s="20" t="s">
        <v>8114</v>
      </c>
      <c r="B399" s="21">
        <v>45986.07445601852</v>
      </c>
      <c r="C399" s="20" t="s">
        <v>6897</v>
      </c>
      <c r="D399" s="22" t="s">
        <v>6811</v>
      </c>
      <c r="E399" s="20" t="s">
        <v>8115</v>
      </c>
      <c r="F399" s="20" t="s">
        <v>8046</v>
      </c>
      <c r="G399" s="20"/>
      <c r="H399" s="20"/>
      <c r="I399" s="20" t="s">
        <v>8116</v>
      </c>
      <c r="J399" s="20" t="s">
        <v>8117</v>
      </c>
      <c r="K399" s="20" t="s">
        <v>2109</v>
      </c>
      <c r="L399" s="20" t="s">
        <v>8114</v>
      </c>
    </row>
    <row r="400">
      <c r="A400" s="20" t="s">
        <v>8118</v>
      </c>
      <c r="B400" s="21">
        <v>45986.07415509259</v>
      </c>
      <c r="C400" s="20" t="s">
        <v>6897</v>
      </c>
      <c r="D400" s="22" t="s">
        <v>6811</v>
      </c>
      <c r="E400" s="20" t="s">
        <v>8097</v>
      </c>
      <c r="F400" s="20" t="s">
        <v>8098</v>
      </c>
      <c r="G400" s="20"/>
      <c r="H400" s="20"/>
      <c r="I400" s="20" t="s">
        <v>8119</v>
      </c>
      <c r="J400" s="20" t="s">
        <v>8120</v>
      </c>
      <c r="K400" s="20" t="s">
        <v>4466</v>
      </c>
      <c r="L400" s="20" t="s">
        <v>8118</v>
      </c>
    </row>
    <row r="401">
      <c r="A401" s="20" t="s">
        <v>8121</v>
      </c>
      <c r="B401" s="21">
        <v>46030.582083333335</v>
      </c>
      <c r="C401" s="20" t="s">
        <v>8122</v>
      </c>
      <c r="D401" s="22" t="s">
        <v>6612</v>
      </c>
      <c r="E401" s="20" t="s">
        <v>6818</v>
      </c>
      <c r="F401" s="22" t="s">
        <v>6811</v>
      </c>
      <c r="G401" s="20"/>
      <c r="H401" s="20"/>
      <c r="I401" s="20" t="s">
        <v>8123</v>
      </c>
      <c r="J401" s="20" t="s">
        <v>8124</v>
      </c>
      <c r="K401" s="20" t="s">
        <v>5498</v>
      </c>
      <c r="L401" s="20" t="s">
        <v>8121</v>
      </c>
    </row>
    <row r="402">
      <c r="A402" s="20" t="s">
        <v>8125</v>
      </c>
      <c r="B402" s="21">
        <v>46030.57984953704</v>
      </c>
      <c r="C402" s="20" t="s">
        <v>6818</v>
      </c>
      <c r="D402" s="22" t="s">
        <v>6811</v>
      </c>
      <c r="E402" s="20" t="s">
        <v>8126</v>
      </c>
      <c r="F402" s="22" t="s">
        <v>6612</v>
      </c>
      <c r="G402" s="20" t="s">
        <v>8127</v>
      </c>
      <c r="H402" s="22" t="s">
        <v>6811</v>
      </c>
      <c r="I402" s="20" t="s">
        <v>8128</v>
      </c>
      <c r="J402" s="20" t="s">
        <v>8129</v>
      </c>
      <c r="K402" s="20" t="s">
        <v>5498</v>
      </c>
      <c r="L402" s="20" t="s">
        <v>8130</v>
      </c>
    </row>
    <row r="403">
      <c r="A403" s="20" t="s">
        <v>8131</v>
      </c>
      <c r="B403" s="21">
        <v>46028.63452546296</v>
      </c>
      <c r="C403" s="20" t="s">
        <v>6818</v>
      </c>
      <c r="D403" s="22" t="s">
        <v>6811</v>
      </c>
      <c r="E403" s="20" t="s">
        <v>8132</v>
      </c>
      <c r="F403" s="20" t="s">
        <v>8133</v>
      </c>
      <c r="G403" s="20" t="s">
        <v>6983</v>
      </c>
      <c r="H403" s="22" t="s">
        <v>6811</v>
      </c>
      <c r="I403" s="20" t="s">
        <v>8134</v>
      </c>
      <c r="J403" s="20" t="s">
        <v>8135</v>
      </c>
      <c r="K403" s="20" t="s">
        <v>163</v>
      </c>
      <c r="L403" s="20" t="s">
        <v>8136</v>
      </c>
    </row>
    <row r="404">
      <c r="A404" s="20" t="s">
        <v>8137</v>
      </c>
      <c r="B404" s="21">
        <v>46028.581238425926</v>
      </c>
      <c r="C404" s="20" t="s">
        <v>8138</v>
      </c>
      <c r="D404" s="22" t="s">
        <v>8139</v>
      </c>
      <c r="E404" s="20" t="s">
        <v>8140</v>
      </c>
      <c r="F404" s="20" t="s">
        <v>8141</v>
      </c>
      <c r="G404" s="20" t="s">
        <v>8142</v>
      </c>
      <c r="H404" s="22" t="s">
        <v>8139</v>
      </c>
      <c r="I404" s="20" t="s">
        <v>8143</v>
      </c>
      <c r="J404" s="23" t="s">
        <v>8144</v>
      </c>
      <c r="K404" s="20" t="s">
        <v>2868</v>
      </c>
      <c r="L404" s="20" t="s">
        <v>8137</v>
      </c>
    </row>
    <row r="405">
      <c r="A405" s="20" t="s">
        <v>8145</v>
      </c>
      <c r="B405" s="21">
        <v>46028.582824074074</v>
      </c>
      <c r="C405" s="20" t="s">
        <v>7276</v>
      </c>
      <c r="D405" s="22" t="s">
        <v>6811</v>
      </c>
      <c r="E405" s="20" t="s">
        <v>8138</v>
      </c>
      <c r="F405" s="22" t="s">
        <v>8139</v>
      </c>
      <c r="G405" s="20" t="s">
        <v>8146</v>
      </c>
      <c r="H405" s="20" t="s">
        <v>8141</v>
      </c>
      <c r="I405" s="20" t="s">
        <v>8147</v>
      </c>
      <c r="J405" s="20" t="s">
        <v>8148</v>
      </c>
      <c r="K405" s="20" t="s">
        <v>2868</v>
      </c>
      <c r="L405" s="20" t="s">
        <v>8137</v>
      </c>
    </row>
    <row r="406">
      <c r="A406" s="20" t="s">
        <v>8149</v>
      </c>
      <c r="B406" s="21">
        <v>46028.63741898148</v>
      </c>
      <c r="C406" s="20" t="s">
        <v>8138</v>
      </c>
      <c r="D406" s="22" t="s">
        <v>8139</v>
      </c>
      <c r="E406" s="20" t="s">
        <v>8150</v>
      </c>
      <c r="F406" s="20" t="s">
        <v>8151</v>
      </c>
      <c r="G406" s="20" t="s">
        <v>8146</v>
      </c>
      <c r="H406" s="20" t="s">
        <v>8141</v>
      </c>
      <c r="I406" s="20" t="s">
        <v>8143</v>
      </c>
      <c r="J406" s="20" t="s">
        <v>8152</v>
      </c>
      <c r="K406" s="20" t="s">
        <v>2868</v>
      </c>
      <c r="L406" s="20" t="s">
        <v>8137</v>
      </c>
    </row>
    <row r="407">
      <c r="A407" s="20" t="s">
        <v>8153</v>
      </c>
      <c r="B407" s="21">
        <v>46029.32947916667</v>
      </c>
      <c r="C407" s="20" t="s">
        <v>8154</v>
      </c>
      <c r="D407" s="22" t="s">
        <v>8139</v>
      </c>
      <c r="E407" s="20" t="s">
        <v>8155</v>
      </c>
      <c r="F407" s="20" t="s">
        <v>8141</v>
      </c>
      <c r="G407" s="20" t="s">
        <v>8156</v>
      </c>
      <c r="H407" s="20" t="s">
        <v>8151</v>
      </c>
      <c r="I407" s="20" t="s">
        <v>8143</v>
      </c>
      <c r="J407" s="20" t="s">
        <v>8157</v>
      </c>
      <c r="K407" s="20" t="s">
        <v>2868</v>
      </c>
      <c r="L407" s="20" t="s">
        <v>8137</v>
      </c>
    </row>
    <row r="408">
      <c r="A408" s="20" t="s">
        <v>8158</v>
      </c>
      <c r="B408" s="21">
        <v>46029.33106481482</v>
      </c>
      <c r="C408" s="20" t="s">
        <v>7276</v>
      </c>
      <c r="D408" s="22" t="s">
        <v>6811</v>
      </c>
      <c r="E408" s="20" t="s">
        <v>8154</v>
      </c>
      <c r="F408" s="22" t="s">
        <v>8139</v>
      </c>
      <c r="G408" s="20" t="s">
        <v>8159</v>
      </c>
      <c r="H408" s="20" t="s">
        <v>8141</v>
      </c>
      <c r="I408" s="20" t="s">
        <v>8147</v>
      </c>
      <c r="J408" s="20" t="s">
        <v>8160</v>
      </c>
      <c r="K408" s="20" t="s">
        <v>2868</v>
      </c>
      <c r="L408" s="20" t="s">
        <v>8137</v>
      </c>
    </row>
    <row r="409">
      <c r="A409" s="20" t="s">
        <v>8161</v>
      </c>
      <c r="B409" s="21">
        <v>46030.43834490741</v>
      </c>
      <c r="C409" s="20" t="s">
        <v>8162</v>
      </c>
      <c r="D409" s="22" t="s">
        <v>6811</v>
      </c>
      <c r="E409" s="20" t="s">
        <v>8163</v>
      </c>
      <c r="F409" s="22" t="s">
        <v>8139</v>
      </c>
      <c r="G409" s="20" t="s">
        <v>8164</v>
      </c>
      <c r="H409" s="20" t="s">
        <v>8141</v>
      </c>
      <c r="I409" s="20" t="s">
        <v>8147</v>
      </c>
      <c r="J409" s="20" t="s">
        <v>8165</v>
      </c>
      <c r="K409" s="20" t="s">
        <v>2868</v>
      </c>
      <c r="L409" s="20" t="s">
        <v>8137</v>
      </c>
    </row>
    <row r="410">
      <c r="A410" s="20" t="s">
        <v>8166</v>
      </c>
      <c r="B410" s="21">
        <v>46028.56296296296</v>
      </c>
      <c r="C410" s="20" t="s">
        <v>6818</v>
      </c>
      <c r="D410" s="22" t="s">
        <v>6811</v>
      </c>
      <c r="E410" s="20" t="s">
        <v>8167</v>
      </c>
      <c r="F410" s="22" t="s">
        <v>6615</v>
      </c>
      <c r="G410" s="20" t="s">
        <v>6853</v>
      </c>
      <c r="H410" s="22" t="s">
        <v>6811</v>
      </c>
      <c r="I410" s="20" t="s">
        <v>6854</v>
      </c>
      <c r="J410" s="20" t="s">
        <v>8168</v>
      </c>
      <c r="K410" s="20" t="s">
        <v>5478</v>
      </c>
      <c r="L410" s="20" t="s">
        <v>8166</v>
      </c>
    </row>
    <row r="411">
      <c r="A411" s="20" t="s">
        <v>8169</v>
      </c>
      <c r="B411" s="21">
        <v>46028.56296296296</v>
      </c>
      <c r="C411" s="20" t="s">
        <v>6818</v>
      </c>
      <c r="D411" s="22" t="s">
        <v>6811</v>
      </c>
      <c r="E411" s="20" t="s">
        <v>8170</v>
      </c>
      <c r="F411" s="22" t="s">
        <v>6612</v>
      </c>
      <c r="G411" s="20" t="s">
        <v>6853</v>
      </c>
      <c r="H411" s="22" t="s">
        <v>6811</v>
      </c>
      <c r="I411" s="20" t="s">
        <v>6854</v>
      </c>
      <c r="J411" s="20" t="s">
        <v>8171</v>
      </c>
      <c r="K411" s="20" t="s">
        <v>5498</v>
      </c>
      <c r="L411" s="20" t="s">
        <v>8169</v>
      </c>
    </row>
    <row r="412">
      <c r="A412" s="20" t="s">
        <v>8172</v>
      </c>
      <c r="B412" s="21">
        <v>46028.56296296296</v>
      </c>
      <c r="C412" s="20" t="s">
        <v>6818</v>
      </c>
      <c r="D412" s="22" t="s">
        <v>6811</v>
      </c>
      <c r="E412" s="20" t="s">
        <v>8173</v>
      </c>
      <c r="F412" s="22" t="s">
        <v>6612</v>
      </c>
      <c r="G412" s="20" t="s">
        <v>6853</v>
      </c>
      <c r="H412" s="22" t="s">
        <v>6811</v>
      </c>
      <c r="I412" s="20" t="s">
        <v>6854</v>
      </c>
      <c r="J412" s="20" t="s">
        <v>8174</v>
      </c>
      <c r="K412" s="20" t="s">
        <v>5498</v>
      </c>
      <c r="L412" s="20" t="s">
        <v>8172</v>
      </c>
    </row>
    <row r="413">
      <c r="A413" s="20" t="s">
        <v>8175</v>
      </c>
      <c r="B413" s="21">
        <v>46028.56296296296</v>
      </c>
      <c r="C413" s="20" t="s">
        <v>6818</v>
      </c>
      <c r="D413" s="22" t="s">
        <v>6811</v>
      </c>
      <c r="E413" s="20" t="s">
        <v>8176</v>
      </c>
      <c r="F413" s="22" t="s">
        <v>6612</v>
      </c>
      <c r="G413" s="20" t="s">
        <v>6853</v>
      </c>
      <c r="H413" s="22" t="s">
        <v>6811</v>
      </c>
      <c r="I413" s="20" t="s">
        <v>6854</v>
      </c>
      <c r="J413" s="20" t="s">
        <v>8177</v>
      </c>
      <c r="K413" s="20" t="s">
        <v>5498</v>
      </c>
      <c r="L413" s="20" t="s">
        <v>8175</v>
      </c>
    </row>
    <row r="414">
      <c r="A414" s="20" t="s">
        <v>8178</v>
      </c>
      <c r="B414" s="21">
        <v>46028.562939814816</v>
      </c>
      <c r="C414" s="20" t="s">
        <v>6818</v>
      </c>
      <c r="D414" s="22" t="s">
        <v>6811</v>
      </c>
      <c r="E414" s="20" t="s">
        <v>8179</v>
      </c>
      <c r="F414" s="22" t="s">
        <v>6612</v>
      </c>
      <c r="G414" s="20" t="s">
        <v>6853</v>
      </c>
      <c r="H414" s="22" t="s">
        <v>6811</v>
      </c>
      <c r="I414" s="20" t="s">
        <v>6854</v>
      </c>
      <c r="J414" s="20" t="s">
        <v>8180</v>
      </c>
      <c r="K414" s="20" t="s">
        <v>5498</v>
      </c>
      <c r="L414" s="20" t="s">
        <v>8178</v>
      </c>
    </row>
    <row r="415">
      <c r="A415" s="20" t="s">
        <v>8181</v>
      </c>
      <c r="B415" s="21">
        <v>46028.56292824074</v>
      </c>
      <c r="C415" s="20" t="s">
        <v>6818</v>
      </c>
      <c r="D415" s="22" t="s">
        <v>6811</v>
      </c>
      <c r="E415" s="20" t="s">
        <v>8182</v>
      </c>
      <c r="F415" s="22" t="s">
        <v>6615</v>
      </c>
      <c r="G415" s="20" t="s">
        <v>6853</v>
      </c>
      <c r="H415" s="22" t="s">
        <v>6811</v>
      </c>
      <c r="I415" s="20" t="s">
        <v>6854</v>
      </c>
      <c r="J415" s="20" t="s">
        <v>8183</v>
      </c>
      <c r="K415" s="20" t="s">
        <v>5478</v>
      </c>
      <c r="L415" s="20" t="s">
        <v>8181</v>
      </c>
    </row>
    <row r="416">
      <c r="A416" s="20" t="s">
        <v>8184</v>
      </c>
      <c r="B416" s="21">
        <v>46028.56292824074</v>
      </c>
      <c r="C416" s="20" t="s">
        <v>6818</v>
      </c>
      <c r="D416" s="22" t="s">
        <v>6811</v>
      </c>
      <c r="E416" s="20" t="s">
        <v>8185</v>
      </c>
      <c r="F416" s="22" t="s">
        <v>8139</v>
      </c>
      <c r="G416" s="20" t="s">
        <v>6853</v>
      </c>
      <c r="H416" s="22" t="s">
        <v>6811</v>
      </c>
      <c r="I416" s="20" t="s">
        <v>6854</v>
      </c>
      <c r="J416" s="20" t="s">
        <v>8186</v>
      </c>
      <c r="K416" s="20" t="s">
        <v>2868</v>
      </c>
      <c r="L416" s="20" t="s">
        <v>8184</v>
      </c>
    </row>
    <row r="417">
      <c r="A417" s="20" t="s">
        <v>8187</v>
      </c>
      <c r="B417" s="21">
        <v>46028.56292824074</v>
      </c>
      <c r="C417" s="20" t="s">
        <v>6818</v>
      </c>
      <c r="D417" s="22" t="s">
        <v>6811</v>
      </c>
      <c r="E417" s="20" t="s">
        <v>8188</v>
      </c>
      <c r="F417" s="22" t="s">
        <v>6612</v>
      </c>
      <c r="G417" s="20" t="s">
        <v>6853</v>
      </c>
      <c r="H417" s="22" t="s">
        <v>6811</v>
      </c>
      <c r="I417" s="20" t="s">
        <v>6854</v>
      </c>
      <c r="J417" s="20" t="s">
        <v>8189</v>
      </c>
      <c r="K417" s="20" t="s">
        <v>5498</v>
      </c>
      <c r="L417" s="20" t="s">
        <v>8187</v>
      </c>
    </row>
    <row r="418">
      <c r="A418" s="20" t="s">
        <v>8190</v>
      </c>
      <c r="B418" s="21">
        <v>46028.56292824074</v>
      </c>
      <c r="C418" s="20" t="s">
        <v>6818</v>
      </c>
      <c r="D418" s="22" t="s">
        <v>6811</v>
      </c>
      <c r="E418" s="20" t="s">
        <v>8191</v>
      </c>
      <c r="F418" s="22" t="s">
        <v>6614</v>
      </c>
      <c r="G418" s="20" t="s">
        <v>6853</v>
      </c>
      <c r="H418" s="22" t="s">
        <v>6811</v>
      </c>
      <c r="I418" s="20" t="s">
        <v>6854</v>
      </c>
      <c r="J418" s="20" t="s">
        <v>8192</v>
      </c>
      <c r="K418" s="20" t="s">
        <v>4514</v>
      </c>
      <c r="L418" s="20" t="s">
        <v>8190</v>
      </c>
    </row>
    <row r="419">
      <c r="A419" s="20" t="s">
        <v>8193</v>
      </c>
      <c r="B419" s="21">
        <v>46028.56292824074</v>
      </c>
      <c r="C419" s="20" t="s">
        <v>6818</v>
      </c>
      <c r="D419" s="22" t="s">
        <v>6811</v>
      </c>
      <c r="E419" s="20" t="s">
        <v>8194</v>
      </c>
      <c r="F419" s="22" t="s">
        <v>8139</v>
      </c>
      <c r="G419" s="20" t="s">
        <v>6853</v>
      </c>
      <c r="H419" s="22" t="s">
        <v>6811</v>
      </c>
      <c r="I419" s="20" t="s">
        <v>6854</v>
      </c>
      <c r="J419" s="20" t="s">
        <v>8186</v>
      </c>
      <c r="K419" s="20" t="s">
        <v>2868</v>
      </c>
      <c r="L419" s="20" t="s">
        <v>8193</v>
      </c>
    </row>
    <row r="420">
      <c r="A420" s="20" t="s">
        <v>8195</v>
      </c>
      <c r="B420" s="21">
        <v>46028.56291666666</v>
      </c>
      <c r="C420" s="20" t="s">
        <v>6818</v>
      </c>
      <c r="D420" s="22" t="s">
        <v>6811</v>
      </c>
      <c r="E420" s="20" t="s">
        <v>8196</v>
      </c>
      <c r="F420" s="22" t="s">
        <v>6612</v>
      </c>
      <c r="G420" s="20" t="s">
        <v>6853</v>
      </c>
      <c r="H420" s="22" t="s">
        <v>6811</v>
      </c>
      <c r="I420" s="20" t="s">
        <v>6854</v>
      </c>
      <c r="J420" s="20" t="s">
        <v>8197</v>
      </c>
      <c r="K420" s="20" t="s">
        <v>5498</v>
      </c>
      <c r="L420" s="20" t="s">
        <v>8195</v>
      </c>
    </row>
    <row r="421">
      <c r="A421" s="20" t="s">
        <v>8198</v>
      </c>
      <c r="B421" s="21">
        <v>46028.56291666666</v>
      </c>
      <c r="C421" s="20" t="s">
        <v>6818</v>
      </c>
      <c r="D421" s="22" t="s">
        <v>6811</v>
      </c>
      <c r="E421" s="20" t="s">
        <v>8199</v>
      </c>
      <c r="F421" s="22" t="s">
        <v>6612</v>
      </c>
      <c r="G421" s="20" t="s">
        <v>6853</v>
      </c>
      <c r="H421" s="22" t="s">
        <v>6811</v>
      </c>
      <c r="I421" s="20" t="s">
        <v>6854</v>
      </c>
      <c r="J421" s="20" t="s">
        <v>8200</v>
      </c>
      <c r="K421" s="20" t="s">
        <v>5498</v>
      </c>
      <c r="L421" s="20" t="s">
        <v>8198</v>
      </c>
    </row>
    <row r="422">
      <c r="A422" s="20" t="s">
        <v>8201</v>
      </c>
      <c r="B422" s="21">
        <v>46028.56290509259</v>
      </c>
      <c r="C422" s="20" t="s">
        <v>6818</v>
      </c>
      <c r="D422" s="22" t="s">
        <v>6811</v>
      </c>
      <c r="E422" s="20" t="s">
        <v>8202</v>
      </c>
      <c r="F422" s="22" t="s">
        <v>6612</v>
      </c>
      <c r="G422" s="20" t="s">
        <v>6853</v>
      </c>
      <c r="H422" s="22" t="s">
        <v>6811</v>
      </c>
      <c r="I422" s="20" t="s">
        <v>6854</v>
      </c>
      <c r="J422" s="20" t="s">
        <v>8203</v>
      </c>
      <c r="K422" s="20" t="s">
        <v>5498</v>
      </c>
      <c r="L422" s="20" t="s">
        <v>8201</v>
      </c>
    </row>
    <row r="423">
      <c r="A423" s="20" t="s">
        <v>8204</v>
      </c>
      <c r="B423" s="21">
        <v>46028.56290509259</v>
      </c>
      <c r="C423" s="20" t="s">
        <v>6818</v>
      </c>
      <c r="D423" s="22" t="s">
        <v>6811</v>
      </c>
      <c r="E423" s="20" t="s">
        <v>8205</v>
      </c>
      <c r="F423" s="22" t="s">
        <v>6612</v>
      </c>
      <c r="G423" s="20" t="s">
        <v>6853</v>
      </c>
      <c r="H423" s="22" t="s">
        <v>6811</v>
      </c>
      <c r="I423" s="20" t="s">
        <v>6854</v>
      </c>
      <c r="J423" s="20" t="s">
        <v>8206</v>
      </c>
      <c r="K423" s="20" t="s">
        <v>5498</v>
      </c>
      <c r="L423" s="20" t="s">
        <v>8204</v>
      </c>
    </row>
    <row r="424">
      <c r="A424" s="20" t="s">
        <v>8207</v>
      </c>
      <c r="B424" s="21">
        <v>46028.56290509259</v>
      </c>
      <c r="C424" s="20" t="s">
        <v>6818</v>
      </c>
      <c r="D424" s="22" t="s">
        <v>6811</v>
      </c>
      <c r="E424" s="20" t="s">
        <v>8208</v>
      </c>
      <c r="F424" s="22" t="s">
        <v>6612</v>
      </c>
      <c r="G424" s="20" t="s">
        <v>6853</v>
      </c>
      <c r="H424" s="22" t="s">
        <v>6811</v>
      </c>
      <c r="I424" s="20" t="s">
        <v>6854</v>
      </c>
      <c r="J424" s="20" t="s">
        <v>8209</v>
      </c>
      <c r="K424" s="20" t="s">
        <v>5498</v>
      </c>
      <c r="L424" s="20" t="s">
        <v>8207</v>
      </c>
    </row>
    <row r="425">
      <c r="A425" s="20" t="s">
        <v>8210</v>
      </c>
      <c r="B425" s="21">
        <v>46028.56289351852</v>
      </c>
      <c r="C425" s="20" t="s">
        <v>6818</v>
      </c>
      <c r="D425" s="22" t="s">
        <v>6811</v>
      </c>
      <c r="E425" s="20" t="s">
        <v>8211</v>
      </c>
      <c r="F425" s="22" t="s">
        <v>6612</v>
      </c>
      <c r="G425" s="20" t="s">
        <v>6853</v>
      </c>
      <c r="H425" s="22" t="s">
        <v>6811</v>
      </c>
      <c r="I425" s="20" t="s">
        <v>6854</v>
      </c>
      <c r="J425" s="20" t="s">
        <v>8212</v>
      </c>
      <c r="K425" s="20" t="s">
        <v>5498</v>
      </c>
      <c r="L425" s="20" t="s">
        <v>8210</v>
      </c>
    </row>
    <row r="426">
      <c r="A426" s="20" t="s">
        <v>8213</v>
      </c>
      <c r="B426" s="21">
        <v>46028.56289351852</v>
      </c>
      <c r="C426" s="20" t="s">
        <v>6818</v>
      </c>
      <c r="D426" s="22" t="s">
        <v>6811</v>
      </c>
      <c r="E426" s="20" t="s">
        <v>8214</v>
      </c>
      <c r="F426" s="22" t="s">
        <v>6612</v>
      </c>
      <c r="G426" s="20" t="s">
        <v>6853</v>
      </c>
      <c r="H426" s="22" t="s">
        <v>6811</v>
      </c>
      <c r="I426" s="20" t="s">
        <v>6854</v>
      </c>
      <c r="J426" s="20" t="s">
        <v>8215</v>
      </c>
      <c r="K426" s="20" t="s">
        <v>5498</v>
      </c>
      <c r="L426" s="20" t="s">
        <v>8213</v>
      </c>
    </row>
    <row r="427">
      <c r="A427" s="20" t="s">
        <v>8216</v>
      </c>
      <c r="B427" s="21">
        <v>46028.56289351852</v>
      </c>
      <c r="C427" s="20" t="s">
        <v>6818</v>
      </c>
      <c r="D427" s="22" t="s">
        <v>6811</v>
      </c>
      <c r="E427" s="20" t="s">
        <v>8217</v>
      </c>
      <c r="F427" s="22" t="s">
        <v>6613</v>
      </c>
      <c r="G427" s="20" t="s">
        <v>6853</v>
      </c>
      <c r="H427" s="22" t="s">
        <v>6811</v>
      </c>
      <c r="I427" s="20" t="s">
        <v>6854</v>
      </c>
      <c r="J427" s="20" t="s">
        <v>8218</v>
      </c>
      <c r="K427" s="20" t="s">
        <v>693</v>
      </c>
      <c r="L427" s="20" t="s">
        <v>8216</v>
      </c>
    </row>
    <row r="428">
      <c r="A428" s="20" t="s">
        <v>8219</v>
      </c>
      <c r="B428" s="21">
        <v>46028.56289351852</v>
      </c>
      <c r="C428" s="20" t="s">
        <v>6818</v>
      </c>
      <c r="D428" s="22" t="s">
        <v>6811</v>
      </c>
      <c r="E428" s="20" t="s">
        <v>8220</v>
      </c>
      <c r="F428" s="22" t="s">
        <v>6612</v>
      </c>
      <c r="G428" s="20" t="s">
        <v>6853</v>
      </c>
      <c r="H428" s="22" t="s">
        <v>6811</v>
      </c>
      <c r="I428" s="20" t="s">
        <v>6854</v>
      </c>
      <c r="J428" s="20" t="s">
        <v>8221</v>
      </c>
      <c r="K428" s="20" t="s">
        <v>5498</v>
      </c>
      <c r="L428" s="20" t="s">
        <v>8219</v>
      </c>
    </row>
    <row r="429">
      <c r="A429" s="20" t="s">
        <v>8222</v>
      </c>
      <c r="B429" s="21">
        <v>46027.33403935185</v>
      </c>
      <c r="C429" s="20" t="s">
        <v>8138</v>
      </c>
      <c r="D429" s="22" t="s">
        <v>8139</v>
      </c>
      <c r="E429" s="20" t="s">
        <v>8223</v>
      </c>
      <c r="F429" s="22" t="s">
        <v>6811</v>
      </c>
      <c r="G429" s="20" t="s">
        <v>8224</v>
      </c>
      <c r="H429" s="20" t="s">
        <v>8151</v>
      </c>
      <c r="I429" s="20" t="s">
        <v>8225</v>
      </c>
      <c r="J429" s="20" t="s">
        <v>8226</v>
      </c>
      <c r="K429" s="20" t="s">
        <v>2868</v>
      </c>
      <c r="L429" s="20" t="s">
        <v>8222</v>
      </c>
    </row>
    <row r="430">
      <c r="A430" s="20" t="s">
        <v>8227</v>
      </c>
      <c r="B430" s="21">
        <v>46027.426157407404</v>
      </c>
      <c r="C430" s="20" t="s">
        <v>6818</v>
      </c>
      <c r="D430" s="22" t="s">
        <v>6811</v>
      </c>
      <c r="E430" s="20" t="s">
        <v>8138</v>
      </c>
      <c r="F430" s="22" t="s">
        <v>8139</v>
      </c>
      <c r="G430" s="20" t="s">
        <v>8228</v>
      </c>
      <c r="H430" s="20" t="s">
        <v>8151</v>
      </c>
      <c r="I430" s="20" t="s">
        <v>8229</v>
      </c>
      <c r="J430" s="20" t="s">
        <v>8230</v>
      </c>
      <c r="K430" s="20" t="s">
        <v>2868</v>
      </c>
      <c r="L430" s="20" t="s">
        <v>8222</v>
      </c>
    </row>
    <row r="431">
      <c r="A431" s="20" t="s">
        <v>8231</v>
      </c>
      <c r="B431" s="21">
        <v>46029.6937962963</v>
      </c>
      <c r="C431" s="20" t="s">
        <v>8138</v>
      </c>
      <c r="D431" s="22" t="s">
        <v>8139</v>
      </c>
      <c r="E431" s="20" t="s">
        <v>6818</v>
      </c>
      <c r="F431" s="22" t="s">
        <v>6811</v>
      </c>
      <c r="G431" s="20" t="s">
        <v>8228</v>
      </c>
      <c r="H431" s="20" t="s">
        <v>8151</v>
      </c>
      <c r="I431" s="20" t="s">
        <v>8232</v>
      </c>
      <c r="J431" s="20" t="s">
        <v>8233</v>
      </c>
      <c r="K431" s="20" t="s">
        <v>2868</v>
      </c>
      <c r="L431" s="20" t="s">
        <v>8222</v>
      </c>
    </row>
    <row r="432">
      <c r="A432" s="20" t="s">
        <v>8234</v>
      </c>
      <c r="B432" s="21">
        <v>46029.82927083333</v>
      </c>
      <c r="C432" s="20" t="s">
        <v>6818</v>
      </c>
      <c r="D432" s="22" t="s">
        <v>6811</v>
      </c>
      <c r="E432" s="20" t="s">
        <v>8138</v>
      </c>
      <c r="F432" s="22" t="s">
        <v>8139</v>
      </c>
      <c r="G432" s="20" t="s">
        <v>8228</v>
      </c>
      <c r="H432" s="20" t="s">
        <v>8151</v>
      </c>
      <c r="I432" s="20" t="s">
        <v>8229</v>
      </c>
      <c r="J432" s="20" t="s">
        <v>8235</v>
      </c>
      <c r="K432" s="20" t="s">
        <v>2868</v>
      </c>
      <c r="L432" s="20" t="s">
        <v>8222</v>
      </c>
    </row>
    <row r="433">
      <c r="A433" s="20" t="s">
        <v>8236</v>
      </c>
      <c r="B433" s="21">
        <v>46034.35836805556</v>
      </c>
      <c r="C433" s="20" t="s">
        <v>8138</v>
      </c>
      <c r="D433" s="22" t="s">
        <v>8139</v>
      </c>
      <c r="E433" s="20" t="s">
        <v>6818</v>
      </c>
      <c r="F433" s="22" t="s">
        <v>6811</v>
      </c>
      <c r="G433" s="20" t="s">
        <v>8237</v>
      </c>
      <c r="H433" s="22" t="s">
        <v>6811</v>
      </c>
      <c r="I433" s="20" t="s">
        <v>8232</v>
      </c>
      <c r="J433" s="20" t="s">
        <v>8238</v>
      </c>
      <c r="K433" s="20" t="s">
        <v>2868</v>
      </c>
      <c r="L433" s="20" t="s">
        <v>8222</v>
      </c>
    </row>
    <row r="434">
      <c r="A434" s="20" t="s">
        <v>8239</v>
      </c>
      <c r="B434" s="21">
        <v>46034.358715277776</v>
      </c>
      <c r="C434" s="20" t="s">
        <v>6934</v>
      </c>
      <c r="D434" s="22" t="s">
        <v>6811</v>
      </c>
      <c r="E434" s="20" t="s">
        <v>8185</v>
      </c>
      <c r="F434" s="22" t="s">
        <v>8139</v>
      </c>
      <c r="G434" s="20" t="s">
        <v>8240</v>
      </c>
      <c r="H434" s="22" t="s">
        <v>6811</v>
      </c>
      <c r="I434" s="20" t="s">
        <v>8241</v>
      </c>
      <c r="J434" s="20" t="s">
        <v>8242</v>
      </c>
      <c r="K434" s="20" t="s">
        <v>2868</v>
      </c>
      <c r="L434" s="20" t="s">
        <v>8222</v>
      </c>
    </row>
    <row r="435">
      <c r="A435" s="20" t="s">
        <v>8243</v>
      </c>
      <c r="B435" s="21">
        <v>46034.41841435185</v>
      </c>
      <c r="C435" s="20" t="s">
        <v>6818</v>
      </c>
      <c r="D435" s="22" t="s">
        <v>6811</v>
      </c>
      <c r="E435" s="20" t="s">
        <v>6934</v>
      </c>
      <c r="F435" s="22" t="s">
        <v>6811</v>
      </c>
      <c r="G435" s="20" t="s">
        <v>8244</v>
      </c>
      <c r="H435" s="20" t="s">
        <v>8141</v>
      </c>
      <c r="I435" s="20" t="s">
        <v>8241</v>
      </c>
      <c r="J435" s="20" t="s">
        <v>8245</v>
      </c>
      <c r="K435" s="20" t="s">
        <v>2868</v>
      </c>
      <c r="L435" s="20" t="s">
        <v>8222</v>
      </c>
    </row>
    <row r="436">
      <c r="A436" s="20" t="s">
        <v>8246</v>
      </c>
      <c r="B436" s="21">
        <v>46027.25</v>
      </c>
      <c r="C436" s="20" t="s">
        <v>6818</v>
      </c>
      <c r="D436" s="22" t="s">
        <v>6811</v>
      </c>
      <c r="E436" s="20" t="s">
        <v>8138</v>
      </c>
      <c r="F436" s="22" t="s">
        <v>8139</v>
      </c>
      <c r="G436" s="20"/>
      <c r="H436" s="20"/>
      <c r="I436" s="20" t="s">
        <v>8247</v>
      </c>
      <c r="J436" s="20" t="s">
        <v>8248</v>
      </c>
      <c r="K436" s="20" t="s">
        <v>2868</v>
      </c>
      <c r="L436" s="20" t="s">
        <v>8249</v>
      </c>
    </row>
    <row r="437">
      <c r="A437" s="20" t="s">
        <v>8250</v>
      </c>
      <c r="B437" s="21">
        <v>46024.290127314816</v>
      </c>
      <c r="C437" s="20" t="s">
        <v>8251</v>
      </c>
      <c r="D437" s="22" t="s">
        <v>8139</v>
      </c>
      <c r="E437" s="20" t="s">
        <v>8252</v>
      </c>
      <c r="F437" s="20" t="s">
        <v>8141</v>
      </c>
      <c r="G437" s="20" t="s">
        <v>8253</v>
      </c>
      <c r="H437" s="22" t="s">
        <v>8139</v>
      </c>
      <c r="I437" s="20" t="s">
        <v>8254</v>
      </c>
      <c r="J437" s="20" t="s">
        <v>8255</v>
      </c>
      <c r="K437" s="20" t="s">
        <v>2868</v>
      </c>
      <c r="L437" s="20" t="s">
        <v>8250</v>
      </c>
    </row>
    <row r="438">
      <c r="A438" s="20" t="s">
        <v>8256</v>
      </c>
      <c r="B438" s="21">
        <v>46024.29047453703</v>
      </c>
      <c r="C438" s="20" t="s">
        <v>6934</v>
      </c>
      <c r="D438" s="22" t="s">
        <v>6811</v>
      </c>
      <c r="E438" s="20" t="s">
        <v>8194</v>
      </c>
      <c r="F438" s="22" t="s">
        <v>8139</v>
      </c>
      <c r="G438" s="20" t="s">
        <v>8257</v>
      </c>
      <c r="H438" s="20" t="s">
        <v>8141</v>
      </c>
      <c r="I438" s="20" t="s">
        <v>8258</v>
      </c>
      <c r="J438" s="20" t="s">
        <v>8259</v>
      </c>
      <c r="K438" s="20" t="s">
        <v>2868</v>
      </c>
      <c r="L438" s="20" t="s">
        <v>8250</v>
      </c>
    </row>
    <row r="439">
      <c r="A439" s="20" t="s">
        <v>8260</v>
      </c>
      <c r="B439" s="21">
        <v>46023.385462962964</v>
      </c>
      <c r="C439" s="20" t="s">
        <v>6810</v>
      </c>
      <c r="D439" s="22" t="s">
        <v>6811</v>
      </c>
      <c r="E439" s="20" t="s">
        <v>8261</v>
      </c>
      <c r="F439" s="20" t="s">
        <v>8262</v>
      </c>
      <c r="G439" s="20"/>
      <c r="H439" s="20"/>
      <c r="I439" s="20" t="s">
        <v>8263</v>
      </c>
      <c r="J439" s="20" t="s">
        <v>8264</v>
      </c>
      <c r="K439" s="20" t="s">
        <v>693</v>
      </c>
      <c r="L439" s="20" t="s">
        <v>8260</v>
      </c>
    </row>
    <row r="440">
      <c r="A440" s="20" t="s">
        <v>8265</v>
      </c>
      <c r="B440" s="21">
        <v>46023.385462962964</v>
      </c>
      <c r="C440" s="20" t="s">
        <v>6810</v>
      </c>
      <c r="D440" s="22" t="s">
        <v>6811</v>
      </c>
      <c r="E440" s="20" t="s">
        <v>8266</v>
      </c>
      <c r="F440" s="20" t="s">
        <v>8267</v>
      </c>
      <c r="G440" s="20"/>
      <c r="H440" s="20"/>
      <c r="I440" s="20" t="s">
        <v>8268</v>
      </c>
      <c r="J440" s="20" t="s">
        <v>8269</v>
      </c>
      <c r="K440" s="20" t="s">
        <v>4514</v>
      </c>
      <c r="L440" s="20" t="s">
        <v>8265</v>
      </c>
    </row>
    <row r="441">
      <c r="A441" s="20" t="s">
        <v>8270</v>
      </c>
      <c r="B441" s="21">
        <v>46022.40584490741</v>
      </c>
      <c r="C441" s="20" t="s">
        <v>8251</v>
      </c>
      <c r="D441" s="22" t="s">
        <v>8139</v>
      </c>
      <c r="E441" s="20" t="s">
        <v>8252</v>
      </c>
      <c r="F441" s="20" t="s">
        <v>8141</v>
      </c>
      <c r="G441" s="20" t="s">
        <v>8253</v>
      </c>
      <c r="H441" s="22" t="s">
        <v>8139</v>
      </c>
      <c r="I441" s="20" t="s">
        <v>8271</v>
      </c>
      <c r="J441" s="20" t="s">
        <v>8272</v>
      </c>
      <c r="K441" s="20" t="s">
        <v>2868</v>
      </c>
      <c r="L441" s="20" t="s">
        <v>8270</v>
      </c>
    </row>
    <row r="442">
      <c r="A442" s="20" t="s">
        <v>8273</v>
      </c>
      <c r="B442" s="21">
        <v>46022.40628472222</v>
      </c>
      <c r="C442" s="20" t="s">
        <v>6934</v>
      </c>
      <c r="D442" s="22" t="s">
        <v>6811</v>
      </c>
      <c r="E442" s="20" t="s">
        <v>8194</v>
      </c>
      <c r="F442" s="22" t="s">
        <v>8139</v>
      </c>
      <c r="G442" s="20" t="s">
        <v>8257</v>
      </c>
      <c r="H442" s="20" t="s">
        <v>8141</v>
      </c>
      <c r="I442" s="20" t="s">
        <v>8274</v>
      </c>
      <c r="J442" s="20" t="s">
        <v>8275</v>
      </c>
      <c r="K442" s="20" t="s">
        <v>2868</v>
      </c>
      <c r="L442" s="20" t="s">
        <v>8270</v>
      </c>
    </row>
    <row r="443">
      <c r="A443" s="20" t="s">
        <v>8276</v>
      </c>
      <c r="B443" s="21">
        <v>46027.124872685185</v>
      </c>
      <c r="C443" s="20" t="s">
        <v>8277</v>
      </c>
      <c r="D443" s="22" t="s">
        <v>6811</v>
      </c>
      <c r="E443" s="20" t="s">
        <v>8194</v>
      </c>
      <c r="F443" s="22" t="s">
        <v>8139</v>
      </c>
      <c r="G443" s="20" t="s">
        <v>8257</v>
      </c>
      <c r="H443" s="20" t="s">
        <v>8141</v>
      </c>
      <c r="I443" s="20" t="s">
        <v>8274</v>
      </c>
      <c r="J443" s="20" t="s">
        <v>8278</v>
      </c>
      <c r="K443" s="20" t="s">
        <v>2868</v>
      </c>
      <c r="L443" s="20" t="s">
        <v>8270</v>
      </c>
    </row>
    <row r="444">
      <c r="A444" s="20" t="s">
        <v>8279</v>
      </c>
      <c r="B444" s="21">
        <v>46021.59248842593</v>
      </c>
      <c r="C444" s="20" t="s">
        <v>6897</v>
      </c>
      <c r="D444" s="22" t="s">
        <v>6811</v>
      </c>
      <c r="E444" s="20" t="s">
        <v>8280</v>
      </c>
      <c r="F444" s="20" t="s">
        <v>8281</v>
      </c>
      <c r="G444" s="20"/>
      <c r="H444" s="20"/>
      <c r="I444" s="20" t="s">
        <v>8282</v>
      </c>
      <c r="J444" s="20" t="s">
        <v>8283</v>
      </c>
      <c r="K444" s="20" t="s">
        <v>693</v>
      </c>
      <c r="L444" s="20" t="s">
        <v>8279</v>
      </c>
    </row>
    <row r="445">
      <c r="A445" s="20" t="s">
        <v>8284</v>
      </c>
      <c r="B445" s="21">
        <v>46015.54104166667</v>
      </c>
      <c r="C445" s="20" t="s">
        <v>8251</v>
      </c>
      <c r="D445" s="22" t="s">
        <v>8139</v>
      </c>
      <c r="E445" s="20" t="s">
        <v>8285</v>
      </c>
      <c r="F445" s="20" t="s">
        <v>8141</v>
      </c>
      <c r="G445" s="20" t="s">
        <v>8286</v>
      </c>
      <c r="H445" s="22" t="s">
        <v>6811</v>
      </c>
      <c r="I445" s="20" t="s">
        <v>8287</v>
      </c>
      <c r="J445" s="20" t="s">
        <v>8288</v>
      </c>
      <c r="K445" s="20" t="s">
        <v>2868</v>
      </c>
      <c r="L445" s="20" t="s">
        <v>8284</v>
      </c>
    </row>
    <row r="446">
      <c r="A446" s="20" t="s">
        <v>8289</v>
      </c>
      <c r="B446" s="21">
        <v>46015.542349537034</v>
      </c>
      <c r="C446" s="20" t="s">
        <v>8251</v>
      </c>
      <c r="D446" s="22" t="s">
        <v>8139</v>
      </c>
      <c r="E446" s="20" t="s">
        <v>8290</v>
      </c>
      <c r="F446" s="20" t="s">
        <v>8141</v>
      </c>
      <c r="G446" s="20" t="s">
        <v>8286</v>
      </c>
      <c r="H446" s="22" t="s">
        <v>6811</v>
      </c>
      <c r="I446" s="20" t="s">
        <v>8287</v>
      </c>
      <c r="J446" s="20" t="s">
        <v>8291</v>
      </c>
      <c r="K446" s="20" t="s">
        <v>2868</v>
      </c>
      <c r="L446" s="20" t="s">
        <v>8284</v>
      </c>
    </row>
    <row r="447">
      <c r="A447" s="20" t="s">
        <v>8292</v>
      </c>
      <c r="B447" s="21">
        <v>46015.65502314815</v>
      </c>
      <c r="C447" s="20" t="s">
        <v>8138</v>
      </c>
      <c r="D447" s="22" t="s">
        <v>8139</v>
      </c>
      <c r="E447" s="20" t="s">
        <v>8293</v>
      </c>
      <c r="F447" s="20" t="s">
        <v>8141</v>
      </c>
      <c r="G447" s="20" t="s">
        <v>8286</v>
      </c>
      <c r="H447" s="22" t="s">
        <v>6811</v>
      </c>
      <c r="I447" s="20" t="s">
        <v>8294</v>
      </c>
      <c r="J447" s="20" t="s">
        <v>8295</v>
      </c>
      <c r="K447" s="20" t="s">
        <v>2868</v>
      </c>
      <c r="L447" s="20" t="s">
        <v>8284</v>
      </c>
    </row>
    <row r="448">
      <c r="A448" s="20" t="s">
        <v>8296</v>
      </c>
      <c r="B448" s="21">
        <v>46017.33861111111</v>
      </c>
      <c r="C448" s="20" t="s">
        <v>8297</v>
      </c>
      <c r="D448" s="22" t="s">
        <v>6811</v>
      </c>
      <c r="E448" s="20" t="s">
        <v>8138</v>
      </c>
      <c r="F448" s="22" t="s">
        <v>8139</v>
      </c>
      <c r="G448" s="20" t="s">
        <v>8298</v>
      </c>
      <c r="H448" s="20" t="s">
        <v>8141</v>
      </c>
      <c r="I448" s="20" t="s">
        <v>8294</v>
      </c>
      <c r="J448" s="20" t="s">
        <v>8299</v>
      </c>
      <c r="K448" s="20" t="s">
        <v>2868</v>
      </c>
      <c r="L448" s="20" t="s">
        <v>8284</v>
      </c>
    </row>
    <row r="449">
      <c r="A449" s="20" t="s">
        <v>8300</v>
      </c>
      <c r="B449" s="21">
        <v>46017.71116898148</v>
      </c>
      <c r="C449" s="20" t="s">
        <v>8297</v>
      </c>
      <c r="D449" s="22" t="s">
        <v>6811</v>
      </c>
      <c r="E449" s="20" t="s">
        <v>8138</v>
      </c>
      <c r="F449" s="22" t="s">
        <v>8139</v>
      </c>
      <c r="G449" s="20" t="s">
        <v>8298</v>
      </c>
      <c r="H449" s="20" t="s">
        <v>8141</v>
      </c>
      <c r="I449" s="20" t="s">
        <v>8294</v>
      </c>
      <c r="J449" s="20" t="s">
        <v>8301</v>
      </c>
      <c r="K449" s="20" t="s">
        <v>2868</v>
      </c>
      <c r="L449" s="20" t="s">
        <v>8284</v>
      </c>
    </row>
    <row r="450">
      <c r="A450" s="20" t="s">
        <v>8302</v>
      </c>
      <c r="B450" s="21">
        <v>46020.296319444446</v>
      </c>
      <c r="C450" s="20" t="s">
        <v>8251</v>
      </c>
      <c r="D450" s="22" t="s">
        <v>8139</v>
      </c>
      <c r="E450" s="20" t="s">
        <v>8303</v>
      </c>
      <c r="F450" s="20" t="s">
        <v>8151</v>
      </c>
      <c r="G450" s="20" t="s">
        <v>8304</v>
      </c>
      <c r="H450" s="20" t="s">
        <v>8141</v>
      </c>
      <c r="I450" s="20" t="s">
        <v>8287</v>
      </c>
      <c r="J450" s="20" t="s">
        <v>8305</v>
      </c>
      <c r="K450" s="20" t="s">
        <v>2868</v>
      </c>
      <c r="L450" s="20" t="s">
        <v>8284</v>
      </c>
    </row>
    <row r="451">
      <c r="A451" s="20" t="s">
        <v>8306</v>
      </c>
      <c r="B451" s="21">
        <v>46020.47150462963</v>
      </c>
      <c r="C451" s="20" t="s">
        <v>8138</v>
      </c>
      <c r="D451" s="22" t="s">
        <v>8139</v>
      </c>
      <c r="E451" s="20" t="s">
        <v>8307</v>
      </c>
      <c r="F451" s="20" t="s">
        <v>8141</v>
      </c>
      <c r="G451" s="20" t="s">
        <v>8304</v>
      </c>
      <c r="H451" s="20" t="s">
        <v>8141</v>
      </c>
      <c r="I451" s="20" t="s">
        <v>8287</v>
      </c>
      <c r="J451" s="20" t="s">
        <v>8308</v>
      </c>
      <c r="K451" s="20" t="s">
        <v>2868</v>
      </c>
      <c r="L451" s="20" t="s">
        <v>8284</v>
      </c>
    </row>
    <row r="452">
      <c r="A452" s="20" t="s">
        <v>8309</v>
      </c>
      <c r="B452" s="21">
        <v>46021.63528935185</v>
      </c>
      <c r="C452" s="20" t="s">
        <v>8297</v>
      </c>
      <c r="D452" s="22" t="s">
        <v>6811</v>
      </c>
      <c r="E452" s="20" t="s">
        <v>8138</v>
      </c>
      <c r="F452" s="22" t="s">
        <v>8139</v>
      </c>
      <c r="G452" s="20" t="s">
        <v>8298</v>
      </c>
      <c r="H452" s="20" t="s">
        <v>8141</v>
      </c>
      <c r="I452" s="20" t="s">
        <v>8294</v>
      </c>
      <c r="J452" s="20" t="s">
        <v>8310</v>
      </c>
      <c r="K452" s="20" t="s">
        <v>2868</v>
      </c>
      <c r="L452" s="20" t="s">
        <v>8284</v>
      </c>
    </row>
    <row r="453">
      <c r="A453" s="20" t="s">
        <v>8311</v>
      </c>
      <c r="B453" s="21">
        <v>46021.687581018516</v>
      </c>
      <c r="C453" s="20" t="s">
        <v>6897</v>
      </c>
      <c r="D453" s="22" t="s">
        <v>6811</v>
      </c>
      <c r="E453" s="20" t="s">
        <v>8312</v>
      </c>
      <c r="F453" s="22" t="s">
        <v>6811</v>
      </c>
      <c r="G453" s="20" t="s">
        <v>8313</v>
      </c>
      <c r="H453" s="20" t="s">
        <v>8141</v>
      </c>
      <c r="I453" s="20" t="s">
        <v>8294</v>
      </c>
      <c r="J453" s="20" t="s">
        <v>8314</v>
      </c>
      <c r="K453" s="20" t="s">
        <v>2868</v>
      </c>
      <c r="L453" s="20" t="s">
        <v>8284</v>
      </c>
    </row>
    <row r="454">
      <c r="A454" s="20" t="s">
        <v>8315</v>
      </c>
      <c r="B454" s="21">
        <v>46022.40405092592</v>
      </c>
      <c r="C454" s="20" t="s">
        <v>8297</v>
      </c>
      <c r="D454" s="22" t="s">
        <v>6811</v>
      </c>
      <c r="E454" s="20" t="s">
        <v>6897</v>
      </c>
      <c r="F454" s="22" t="s">
        <v>6811</v>
      </c>
      <c r="G454" s="20" t="s">
        <v>8313</v>
      </c>
      <c r="H454" s="20" t="s">
        <v>8141</v>
      </c>
      <c r="I454" s="20" t="s">
        <v>8294</v>
      </c>
      <c r="J454" s="20" t="s">
        <v>8316</v>
      </c>
      <c r="K454" s="20" t="s">
        <v>2868</v>
      </c>
      <c r="L454" s="20" t="s">
        <v>8284</v>
      </c>
    </row>
    <row r="455">
      <c r="A455" s="20" t="s">
        <v>8317</v>
      </c>
      <c r="B455" s="21">
        <v>46022.406875</v>
      </c>
      <c r="C455" s="20" t="s">
        <v>8251</v>
      </c>
      <c r="D455" s="22" t="s">
        <v>8139</v>
      </c>
      <c r="E455" s="20" t="s">
        <v>8318</v>
      </c>
      <c r="F455" s="22" t="s">
        <v>6811</v>
      </c>
      <c r="G455" s="20" t="s">
        <v>8319</v>
      </c>
      <c r="H455" s="20" t="s">
        <v>8141</v>
      </c>
      <c r="I455" s="20" t="s">
        <v>8287</v>
      </c>
      <c r="J455" s="20" t="s">
        <v>8320</v>
      </c>
      <c r="K455" s="20" t="s">
        <v>2868</v>
      </c>
      <c r="L455" s="20" t="s">
        <v>8284</v>
      </c>
    </row>
    <row r="456">
      <c r="A456" s="20" t="s">
        <v>8321</v>
      </c>
      <c r="B456" s="21">
        <v>46022.47032407408</v>
      </c>
      <c r="C456" s="20" t="s">
        <v>8297</v>
      </c>
      <c r="D456" s="22" t="s">
        <v>6811</v>
      </c>
      <c r="E456" s="20" t="s">
        <v>8251</v>
      </c>
      <c r="F456" s="22" t="s">
        <v>8139</v>
      </c>
      <c r="G456" s="20" t="s">
        <v>8322</v>
      </c>
      <c r="H456" s="20" t="s">
        <v>8151</v>
      </c>
      <c r="I456" s="20" t="s">
        <v>8294</v>
      </c>
      <c r="J456" s="20" t="s">
        <v>8323</v>
      </c>
      <c r="K456" s="20" t="s">
        <v>2868</v>
      </c>
      <c r="L456" s="20" t="s">
        <v>8284</v>
      </c>
    </row>
    <row r="457">
      <c r="A457" s="20" t="s">
        <v>8324</v>
      </c>
      <c r="B457" s="21">
        <v>46022.47552083334</v>
      </c>
      <c r="C457" s="20" t="s">
        <v>8138</v>
      </c>
      <c r="D457" s="22" t="s">
        <v>8139</v>
      </c>
      <c r="E457" s="20" t="s">
        <v>8325</v>
      </c>
      <c r="F457" s="20" t="s">
        <v>8141</v>
      </c>
      <c r="G457" s="20" t="s">
        <v>8326</v>
      </c>
      <c r="H457" s="20" t="s">
        <v>8141</v>
      </c>
      <c r="I457" s="20" t="s">
        <v>8294</v>
      </c>
      <c r="J457" s="20" t="s">
        <v>8327</v>
      </c>
      <c r="K457" s="20" t="s">
        <v>2868</v>
      </c>
      <c r="L457" s="20" t="s">
        <v>8284</v>
      </c>
    </row>
    <row r="458">
      <c r="A458" s="20" t="s">
        <v>8328</v>
      </c>
      <c r="B458" s="21">
        <v>46022.47829861111</v>
      </c>
      <c r="C458" s="20" t="s">
        <v>8297</v>
      </c>
      <c r="D458" s="22" t="s">
        <v>6811</v>
      </c>
      <c r="E458" s="20" t="s">
        <v>8138</v>
      </c>
      <c r="F458" s="22" t="s">
        <v>8139</v>
      </c>
      <c r="G458" s="20" t="s">
        <v>8329</v>
      </c>
      <c r="H458" s="20" t="s">
        <v>8141</v>
      </c>
      <c r="I458" s="20" t="s">
        <v>8294</v>
      </c>
      <c r="J458" s="20" t="s">
        <v>8330</v>
      </c>
      <c r="K458" s="20" t="s">
        <v>2868</v>
      </c>
      <c r="L458" s="20" t="s">
        <v>8284</v>
      </c>
    </row>
    <row r="459">
      <c r="A459" s="20" t="s">
        <v>8331</v>
      </c>
      <c r="B459" s="21">
        <v>46022.48211805556</v>
      </c>
      <c r="C459" s="20" t="s">
        <v>8251</v>
      </c>
      <c r="D459" s="22" t="s">
        <v>8139</v>
      </c>
      <c r="E459" s="20" t="s">
        <v>8332</v>
      </c>
      <c r="F459" s="20" t="s">
        <v>8151</v>
      </c>
      <c r="G459" s="20" t="s">
        <v>8333</v>
      </c>
      <c r="H459" s="20" t="s">
        <v>8151</v>
      </c>
      <c r="I459" s="20" t="s">
        <v>8287</v>
      </c>
      <c r="J459" s="20" t="s">
        <v>8334</v>
      </c>
      <c r="K459" s="20" t="s">
        <v>2868</v>
      </c>
      <c r="L459" s="20" t="s">
        <v>8284</v>
      </c>
    </row>
    <row r="460">
      <c r="A460" s="20" t="s">
        <v>8335</v>
      </c>
      <c r="B460" s="21">
        <v>46023.816041666665</v>
      </c>
      <c r="C460" s="20" t="s">
        <v>8297</v>
      </c>
      <c r="D460" s="22" t="s">
        <v>6811</v>
      </c>
      <c r="E460" s="20" t="s">
        <v>8251</v>
      </c>
      <c r="F460" s="22" t="s">
        <v>8139</v>
      </c>
      <c r="G460" s="20" t="s">
        <v>8336</v>
      </c>
      <c r="H460" s="20" t="s">
        <v>8141</v>
      </c>
      <c r="I460" s="20" t="s">
        <v>8294</v>
      </c>
      <c r="J460" s="20" t="s">
        <v>8337</v>
      </c>
      <c r="K460" s="20" t="s">
        <v>2868</v>
      </c>
      <c r="L460" s="20" t="s">
        <v>8284</v>
      </c>
    </row>
    <row r="461">
      <c r="A461" s="20" t="s">
        <v>8338</v>
      </c>
      <c r="B461" s="21">
        <v>46024.3343287037</v>
      </c>
      <c r="C461" s="20" t="s">
        <v>8339</v>
      </c>
      <c r="D461" s="22" t="s">
        <v>8139</v>
      </c>
      <c r="E461" s="20" t="s">
        <v>8340</v>
      </c>
      <c r="F461" s="20" t="s">
        <v>8141</v>
      </c>
      <c r="G461" s="20" t="s">
        <v>8333</v>
      </c>
      <c r="H461" s="20" t="s">
        <v>8151</v>
      </c>
      <c r="I461" s="20" t="s">
        <v>8287</v>
      </c>
      <c r="J461" s="20" t="s">
        <v>8341</v>
      </c>
      <c r="K461" s="20" t="s">
        <v>2868</v>
      </c>
      <c r="L461" s="20" t="s">
        <v>8284</v>
      </c>
    </row>
    <row r="462">
      <c r="A462" s="20" t="s">
        <v>8342</v>
      </c>
      <c r="B462" s="21">
        <v>46024.3575925926</v>
      </c>
      <c r="C462" s="20" t="s">
        <v>8297</v>
      </c>
      <c r="D462" s="22" t="s">
        <v>6811</v>
      </c>
      <c r="E462" s="20" t="s">
        <v>8339</v>
      </c>
      <c r="F462" s="22" t="s">
        <v>8139</v>
      </c>
      <c r="G462" s="20" t="s">
        <v>8343</v>
      </c>
      <c r="H462" s="20" t="s">
        <v>8141</v>
      </c>
      <c r="I462" s="20" t="s">
        <v>8294</v>
      </c>
      <c r="J462" s="20" t="s">
        <v>8344</v>
      </c>
      <c r="K462" s="20" t="s">
        <v>2868</v>
      </c>
      <c r="L462" s="20" t="s">
        <v>8284</v>
      </c>
    </row>
    <row r="463">
      <c r="A463" s="20" t="s">
        <v>8345</v>
      </c>
      <c r="B463" s="21">
        <v>46027.31452546296</v>
      </c>
      <c r="C463" s="20" t="s">
        <v>8138</v>
      </c>
      <c r="D463" s="22" t="s">
        <v>8139</v>
      </c>
      <c r="E463" s="20" t="s">
        <v>8346</v>
      </c>
      <c r="F463" s="20" t="s">
        <v>8151</v>
      </c>
      <c r="G463" s="20" t="s">
        <v>8329</v>
      </c>
      <c r="H463" s="20" t="s">
        <v>8141</v>
      </c>
      <c r="I463" s="20" t="s">
        <v>8287</v>
      </c>
      <c r="J463" s="20" t="s">
        <v>8347</v>
      </c>
      <c r="K463" s="20" t="s">
        <v>2868</v>
      </c>
      <c r="L463" s="20" t="s">
        <v>8284</v>
      </c>
    </row>
    <row r="464">
      <c r="A464" s="20" t="s">
        <v>8348</v>
      </c>
      <c r="B464" s="21">
        <v>46027.331932870366</v>
      </c>
      <c r="C464" s="20" t="s">
        <v>8138</v>
      </c>
      <c r="D464" s="22" t="s">
        <v>8139</v>
      </c>
      <c r="E464" s="20" t="s">
        <v>8223</v>
      </c>
      <c r="F464" s="22" t="s">
        <v>6811</v>
      </c>
      <c r="G464" s="20" t="s">
        <v>8349</v>
      </c>
      <c r="H464" s="20" t="s">
        <v>8141</v>
      </c>
      <c r="I464" s="20" t="s">
        <v>8287</v>
      </c>
      <c r="J464" s="20" t="s">
        <v>8350</v>
      </c>
      <c r="K464" s="20" t="s">
        <v>2868</v>
      </c>
      <c r="L464" s="20" t="s">
        <v>8284</v>
      </c>
    </row>
    <row r="465">
      <c r="A465" s="20" t="s">
        <v>8351</v>
      </c>
      <c r="B465" s="21">
        <v>46027.35356481481</v>
      </c>
      <c r="C465" s="20" t="s">
        <v>8297</v>
      </c>
      <c r="D465" s="22" t="s">
        <v>6811</v>
      </c>
      <c r="E465" s="20" t="s">
        <v>8138</v>
      </c>
      <c r="F465" s="22" t="s">
        <v>8139</v>
      </c>
      <c r="G465" s="20" t="s">
        <v>8352</v>
      </c>
      <c r="H465" s="20" t="s">
        <v>8151</v>
      </c>
      <c r="I465" s="20" t="s">
        <v>8294</v>
      </c>
      <c r="J465" s="20" t="s">
        <v>8353</v>
      </c>
      <c r="K465" s="20" t="s">
        <v>2868</v>
      </c>
      <c r="L465" s="20" t="s">
        <v>8284</v>
      </c>
    </row>
    <row r="466">
      <c r="A466" s="20" t="s">
        <v>8354</v>
      </c>
      <c r="B466" s="21">
        <v>46027.41998842593</v>
      </c>
      <c r="C466" s="20" t="s">
        <v>8297</v>
      </c>
      <c r="D466" s="22" t="s">
        <v>6811</v>
      </c>
      <c r="E466" s="20" t="s">
        <v>8138</v>
      </c>
      <c r="F466" s="22" t="s">
        <v>8139</v>
      </c>
      <c r="G466" s="20" t="s">
        <v>8352</v>
      </c>
      <c r="H466" s="20" t="s">
        <v>8151</v>
      </c>
      <c r="I466" s="20" t="s">
        <v>8294</v>
      </c>
      <c r="J466" s="20" t="s">
        <v>8355</v>
      </c>
      <c r="K466" s="20" t="s">
        <v>2868</v>
      </c>
      <c r="L466" s="20" t="s">
        <v>8284</v>
      </c>
    </row>
    <row r="467">
      <c r="A467" s="20" t="s">
        <v>8356</v>
      </c>
      <c r="B467" s="21">
        <v>46028.606203703705</v>
      </c>
      <c r="C467" s="20" t="s">
        <v>8251</v>
      </c>
      <c r="D467" s="22" t="s">
        <v>8139</v>
      </c>
      <c r="E467" s="20" t="s">
        <v>8303</v>
      </c>
      <c r="F467" s="20" t="s">
        <v>8151</v>
      </c>
      <c r="G467" s="20" t="s">
        <v>8357</v>
      </c>
      <c r="H467" s="20" t="s">
        <v>8151</v>
      </c>
      <c r="I467" s="20" t="s">
        <v>8287</v>
      </c>
      <c r="J467" s="20" t="s">
        <v>8358</v>
      </c>
      <c r="K467" s="20" t="s">
        <v>2868</v>
      </c>
      <c r="L467" s="20" t="s">
        <v>8284</v>
      </c>
    </row>
    <row r="468">
      <c r="A468" s="20" t="s">
        <v>8359</v>
      </c>
      <c r="B468" s="21">
        <v>46028.61033564815</v>
      </c>
      <c r="C468" s="20" t="s">
        <v>8138</v>
      </c>
      <c r="D468" s="22" t="s">
        <v>8139</v>
      </c>
      <c r="E468" s="20" t="s">
        <v>8307</v>
      </c>
      <c r="F468" s="20" t="s">
        <v>8141</v>
      </c>
      <c r="G468" s="20" t="s">
        <v>8357</v>
      </c>
      <c r="H468" s="20" t="s">
        <v>8151</v>
      </c>
      <c r="I468" s="20" t="s">
        <v>8287</v>
      </c>
      <c r="J468" s="20" t="s">
        <v>8360</v>
      </c>
      <c r="K468" s="20" t="s">
        <v>2868</v>
      </c>
      <c r="L468" s="20" t="s">
        <v>8284</v>
      </c>
    </row>
    <row r="469">
      <c r="A469" s="20" t="s">
        <v>8361</v>
      </c>
      <c r="B469" s="21">
        <v>46028.622928240744</v>
      </c>
      <c r="C469" s="20" t="s">
        <v>8297</v>
      </c>
      <c r="D469" s="22" t="s">
        <v>6811</v>
      </c>
      <c r="E469" s="20" t="s">
        <v>8138</v>
      </c>
      <c r="F469" s="22" t="s">
        <v>8139</v>
      </c>
      <c r="G469" s="20" t="s">
        <v>8362</v>
      </c>
      <c r="H469" s="20" t="s">
        <v>8141</v>
      </c>
      <c r="I469" s="20" t="s">
        <v>8294</v>
      </c>
      <c r="J469" s="20" t="s">
        <v>8363</v>
      </c>
      <c r="K469" s="20" t="s">
        <v>2868</v>
      </c>
      <c r="L469" s="20" t="s">
        <v>8284</v>
      </c>
    </row>
    <row r="470">
      <c r="A470" s="20" t="s">
        <v>8364</v>
      </c>
      <c r="B470" s="21">
        <v>46015.374085648145</v>
      </c>
      <c r="C470" s="20" t="s">
        <v>8138</v>
      </c>
      <c r="D470" s="22" t="s">
        <v>8139</v>
      </c>
      <c r="E470" s="20" t="s">
        <v>8365</v>
      </c>
      <c r="F470" s="22" t="s">
        <v>6811</v>
      </c>
      <c r="G470" s="20"/>
      <c r="H470" s="20"/>
      <c r="I470" s="20" t="s">
        <v>8366</v>
      </c>
      <c r="J470" s="20" t="s">
        <v>8367</v>
      </c>
      <c r="K470" s="20" t="s">
        <v>2868</v>
      </c>
      <c r="L470" s="20" t="s">
        <v>8364</v>
      </c>
    </row>
    <row r="471">
      <c r="A471" s="20" t="s">
        <v>8368</v>
      </c>
      <c r="B471" s="21">
        <v>46015.37443287037</v>
      </c>
      <c r="C471" s="20" t="s">
        <v>6934</v>
      </c>
      <c r="D471" s="22" t="s">
        <v>6811</v>
      </c>
      <c r="E471" s="20" t="s">
        <v>8185</v>
      </c>
      <c r="F471" s="22" t="s">
        <v>8139</v>
      </c>
      <c r="G471" s="20" t="s">
        <v>8240</v>
      </c>
      <c r="H471" s="22" t="s">
        <v>6811</v>
      </c>
      <c r="I471" s="20" t="s">
        <v>8369</v>
      </c>
      <c r="J471" s="20" t="s">
        <v>8370</v>
      </c>
      <c r="K471" s="20" t="s">
        <v>2868</v>
      </c>
      <c r="L471" s="20" t="s">
        <v>8364</v>
      </c>
    </row>
    <row r="472">
      <c r="A472" s="20" t="s">
        <v>8371</v>
      </c>
      <c r="B472" s="21">
        <v>46015.38375</v>
      </c>
      <c r="C472" s="20" t="s">
        <v>8297</v>
      </c>
      <c r="D472" s="22" t="s">
        <v>6811</v>
      </c>
      <c r="E472" s="20" t="s">
        <v>6934</v>
      </c>
      <c r="F472" s="22" t="s">
        <v>6811</v>
      </c>
      <c r="G472" s="20" t="s">
        <v>8372</v>
      </c>
      <c r="H472" s="20" t="s">
        <v>8141</v>
      </c>
      <c r="I472" s="20" t="s">
        <v>8369</v>
      </c>
      <c r="J472" s="20" t="s">
        <v>8373</v>
      </c>
      <c r="K472" s="20" t="s">
        <v>2868</v>
      </c>
      <c r="L472" s="20" t="s">
        <v>8364</v>
      </c>
    </row>
    <row r="473">
      <c r="A473" s="20" t="s">
        <v>8374</v>
      </c>
      <c r="B473" s="21">
        <v>46015.39037037037</v>
      </c>
      <c r="C473" s="20" t="s">
        <v>6818</v>
      </c>
      <c r="D473" s="22" t="s">
        <v>6811</v>
      </c>
      <c r="E473" s="20" t="s">
        <v>8297</v>
      </c>
      <c r="F473" s="22" t="s">
        <v>6811</v>
      </c>
      <c r="G473" s="20" t="s">
        <v>8375</v>
      </c>
      <c r="H473" s="20" t="s">
        <v>8151</v>
      </c>
      <c r="I473" s="20" t="s">
        <v>8369</v>
      </c>
      <c r="J473" s="20" t="s">
        <v>8376</v>
      </c>
      <c r="K473" s="20" t="s">
        <v>2868</v>
      </c>
      <c r="L473" s="20" t="s">
        <v>8364</v>
      </c>
    </row>
    <row r="474">
      <c r="A474" s="20" t="s">
        <v>8377</v>
      </c>
      <c r="B474" s="21">
        <v>46015.39127314815</v>
      </c>
      <c r="C474" s="20" t="s">
        <v>8138</v>
      </c>
      <c r="D474" s="22" t="s">
        <v>8139</v>
      </c>
      <c r="E474" s="20" t="s">
        <v>8378</v>
      </c>
      <c r="F474" s="22" t="s">
        <v>6811</v>
      </c>
      <c r="G474" s="20" t="s">
        <v>8379</v>
      </c>
      <c r="H474" s="22" t="s">
        <v>6811</v>
      </c>
      <c r="I474" s="20" t="s">
        <v>8380</v>
      </c>
      <c r="J474" s="20" t="s">
        <v>8381</v>
      </c>
      <c r="K474" s="20" t="s">
        <v>2868</v>
      </c>
      <c r="L474" s="20" t="s">
        <v>8364</v>
      </c>
    </row>
    <row r="475">
      <c r="A475" s="20" t="s">
        <v>8382</v>
      </c>
      <c r="B475" s="21">
        <v>46015.393275462964</v>
      </c>
      <c r="C475" s="20" t="s">
        <v>8138</v>
      </c>
      <c r="D475" s="22" t="s">
        <v>8139</v>
      </c>
      <c r="E475" s="20" t="s">
        <v>8383</v>
      </c>
      <c r="F475" s="22" t="s">
        <v>6811</v>
      </c>
      <c r="G475" s="20" t="s">
        <v>8384</v>
      </c>
      <c r="H475" s="22" t="s">
        <v>6811</v>
      </c>
      <c r="I475" s="20" t="s">
        <v>8380</v>
      </c>
      <c r="J475" s="20" t="s">
        <v>8385</v>
      </c>
      <c r="K475" s="20" t="s">
        <v>2868</v>
      </c>
      <c r="L475" s="20" t="s">
        <v>8364</v>
      </c>
    </row>
    <row r="476">
      <c r="A476" s="20" t="s">
        <v>8386</v>
      </c>
      <c r="B476" s="21">
        <v>46015.928518518514</v>
      </c>
      <c r="C476" s="20" t="s">
        <v>6897</v>
      </c>
      <c r="D476" s="22" t="s">
        <v>6811</v>
      </c>
      <c r="E476" s="20" t="s">
        <v>8138</v>
      </c>
      <c r="F476" s="22" t="s">
        <v>8139</v>
      </c>
      <c r="G476" s="20" t="s">
        <v>8387</v>
      </c>
      <c r="H476" s="22" t="s">
        <v>6811</v>
      </c>
      <c r="I476" s="20" t="s">
        <v>8369</v>
      </c>
      <c r="J476" s="20" t="s">
        <v>8388</v>
      </c>
      <c r="K476" s="20" t="s">
        <v>2868</v>
      </c>
      <c r="L476" s="20" t="s">
        <v>8364</v>
      </c>
    </row>
    <row r="477">
      <c r="A477" s="20" t="s">
        <v>8389</v>
      </c>
      <c r="B477" s="21">
        <v>46017.353379629625</v>
      </c>
      <c r="C477" s="20" t="s">
        <v>8138</v>
      </c>
      <c r="D477" s="22" t="s">
        <v>8139</v>
      </c>
      <c r="E477" s="20" t="s">
        <v>6897</v>
      </c>
      <c r="F477" s="22" t="s">
        <v>6811</v>
      </c>
      <c r="G477" s="20" t="s">
        <v>8387</v>
      </c>
      <c r="H477" s="22" t="s">
        <v>6811</v>
      </c>
      <c r="I477" s="20" t="s">
        <v>8380</v>
      </c>
      <c r="J477" s="20" t="s">
        <v>8390</v>
      </c>
      <c r="K477" s="20" t="s">
        <v>2868</v>
      </c>
      <c r="L477" s="20" t="s">
        <v>8364</v>
      </c>
    </row>
    <row r="478">
      <c r="A478" s="20" t="s">
        <v>8391</v>
      </c>
      <c r="B478" s="21">
        <v>46017.408125</v>
      </c>
      <c r="C478" s="20" t="s">
        <v>8297</v>
      </c>
      <c r="D478" s="22" t="s">
        <v>6811</v>
      </c>
      <c r="E478" s="20" t="s">
        <v>8138</v>
      </c>
      <c r="F478" s="22" t="s">
        <v>8139</v>
      </c>
      <c r="G478" s="20" t="s">
        <v>8392</v>
      </c>
      <c r="H478" s="22" t="s">
        <v>6811</v>
      </c>
      <c r="I478" s="20" t="s">
        <v>8369</v>
      </c>
      <c r="J478" s="20" t="s">
        <v>8393</v>
      </c>
      <c r="K478" s="20" t="s">
        <v>2868</v>
      </c>
      <c r="L478" s="20" t="s">
        <v>8364</v>
      </c>
    </row>
    <row r="479">
      <c r="A479" s="20" t="s">
        <v>8394</v>
      </c>
      <c r="B479" s="21">
        <v>46017.44054398148</v>
      </c>
      <c r="C479" s="20" t="s">
        <v>8138</v>
      </c>
      <c r="D479" s="22" t="s">
        <v>8139</v>
      </c>
      <c r="E479" s="20" t="s">
        <v>8395</v>
      </c>
      <c r="F479" s="22" t="s">
        <v>6811</v>
      </c>
      <c r="G479" s="20" t="s">
        <v>8392</v>
      </c>
      <c r="H479" s="22" t="s">
        <v>6811</v>
      </c>
      <c r="I479" s="20" t="s">
        <v>8369</v>
      </c>
      <c r="J479" s="20" t="s">
        <v>8396</v>
      </c>
      <c r="K479" s="20" t="s">
        <v>2868</v>
      </c>
      <c r="L479" s="20" t="s">
        <v>8364</v>
      </c>
    </row>
    <row r="480">
      <c r="A480" s="20" t="s">
        <v>8397</v>
      </c>
      <c r="B480" s="21">
        <v>46017.47039351852</v>
      </c>
      <c r="C480" s="20" t="s">
        <v>6897</v>
      </c>
      <c r="D480" s="22" t="s">
        <v>6811</v>
      </c>
      <c r="E480" s="20" t="s">
        <v>8138</v>
      </c>
      <c r="F480" s="22" t="s">
        <v>8139</v>
      </c>
      <c r="G480" s="20" t="s">
        <v>8398</v>
      </c>
      <c r="H480" s="22" t="s">
        <v>6811</v>
      </c>
      <c r="I480" s="20" t="s">
        <v>8369</v>
      </c>
      <c r="J480" s="20" t="s">
        <v>8399</v>
      </c>
      <c r="K480" s="20" t="s">
        <v>2868</v>
      </c>
      <c r="L480" s="20" t="s">
        <v>8364</v>
      </c>
    </row>
    <row r="481">
      <c r="A481" s="20" t="s">
        <v>8400</v>
      </c>
      <c r="B481" s="21">
        <v>46017.470625</v>
      </c>
      <c r="C481" s="20" t="s">
        <v>6897</v>
      </c>
      <c r="D481" s="22" t="s">
        <v>6811</v>
      </c>
      <c r="E481" s="20" t="s">
        <v>8138</v>
      </c>
      <c r="F481" s="22" t="s">
        <v>8139</v>
      </c>
      <c r="G481" s="20" t="s">
        <v>8398</v>
      </c>
      <c r="H481" s="22" t="s">
        <v>6811</v>
      </c>
      <c r="I481" s="20" t="s">
        <v>8369</v>
      </c>
      <c r="J481" s="20" t="s">
        <v>8401</v>
      </c>
      <c r="K481" s="20" t="s">
        <v>2868</v>
      </c>
      <c r="L481" s="20" t="s">
        <v>8364</v>
      </c>
    </row>
    <row r="482">
      <c r="A482" s="20" t="s">
        <v>8402</v>
      </c>
      <c r="B482" s="21">
        <v>46020.60849537037</v>
      </c>
      <c r="C482" s="20" t="s">
        <v>8138</v>
      </c>
      <c r="D482" s="22" t="s">
        <v>8139</v>
      </c>
      <c r="E482" s="20" t="s">
        <v>6897</v>
      </c>
      <c r="F482" s="22" t="s">
        <v>6811</v>
      </c>
      <c r="G482" s="20" t="s">
        <v>8398</v>
      </c>
      <c r="H482" s="22" t="s">
        <v>6811</v>
      </c>
      <c r="I482" s="20" t="s">
        <v>8380</v>
      </c>
      <c r="J482" s="20" t="s">
        <v>8403</v>
      </c>
      <c r="K482" s="20" t="s">
        <v>2868</v>
      </c>
      <c r="L482" s="20" t="s">
        <v>8364</v>
      </c>
    </row>
    <row r="483">
      <c r="A483" s="20" t="s">
        <v>8404</v>
      </c>
      <c r="B483" s="21">
        <v>46021.608715277776</v>
      </c>
      <c r="C483" s="20" t="s">
        <v>8277</v>
      </c>
      <c r="D483" s="22" t="s">
        <v>6811</v>
      </c>
      <c r="E483" s="20" t="s">
        <v>8185</v>
      </c>
      <c r="F483" s="22" t="s">
        <v>8139</v>
      </c>
      <c r="G483" s="20" t="s">
        <v>8405</v>
      </c>
      <c r="H483" s="20" t="s">
        <v>8151</v>
      </c>
      <c r="I483" s="20" t="s">
        <v>8369</v>
      </c>
      <c r="J483" s="20" t="s">
        <v>8406</v>
      </c>
      <c r="K483" s="20" t="s">
        <v>2868</v>
      </c>
      <c r="L483" s="20" t="s">
        <v>8364</v>
      </c>
    </row>
    <row r="484">
      <c r="A484" s="20" t="s">
        <v>8407</v>
      </c>
      <c r="B484" s="21">
        <v>46021.60885416667</v>
      </c>
      <c r="C484" s="20" t="s">
        <v>8277</v>
      </c>
      <c r="D484" s="22" t="s">
        <v>6811</v>
      </c>
      <c r="E484" s="20" t="s">
        <v>8185</v>
      </c>
      <c r="F484" s="22" t="s">
        <v>8139</v>
      </c>
      <c r="G484" s="20" t="s">
        <v>8408</v>
      </c>
      <c r="H484" s="20" t="s">
        <v>8151</v>
      </c>
      <c r="I484" s="20" t="s">
        <v>8369</v>
      </c>
      <c r="J484" s="20" t="s">
        <v>8409</v>
      </c>
      <c r="K484" s="20" t="s">
        <v>2868</v>
      </c>
      <c r="L484" s="20" t="s">
        <v>8364</v>
      </c>
    </row>
    <row r="485">
      <c r="A485" s="20" t="s">
        <v>8410</v>
      </c>
      <c r="B485" s="21">
        <v>46029.28648148148</v>
      </c>
      <c r="C485" s="20" t="s">
        <v>8277</v>
      </c>
      <c r="D485" s="22" t="s">
        <v>6811</v>
      </c>
      <c r="E485" s="20" t="s">
        <v>8185</v>
      </c>
      <c r="F485" s="22" t="s">
        <v>8139</v>
      </c>
      <c r="G485" s="20" t="s">
        <v>8411</v>
      </c>
      <c r="H485" s="20" t="s">
        <v>8151</v>
      </c>
      <c r="I485" s="20" t="s">
        <v>8369</v>
      </c>
      <c r="J485" s="20" t="s">
        <v>8412</v>
      </c>
      <c r="K485" s="20" t="s">
        <v>2868</v>
      </c>
      <c r="L485" s="20" t="s">
        <v>8364</v>
      </c>
    </row>
    <row r="486">
      <c r="A486" s="20" t="s">
        <v>8413</v>
      </c>
      <c r="B486" s="21">
        <v>46013.59313657407</v>
      </c>
      <c r="C486" s="20" t="s">
        <v>8122</v>
      </c>
      <c r="D486" s="22" t="s">
        <v>6612</v>
      </c>
      <c r="E486" s="20" t="s">
        <v>6818</v>
      </c>
      <c r="F486" s="22" t="s">
        <v>6811</v>
      </c>
      <c r="G486" s="20"/>
      <c r="H486" s="20"/>
      <c r="I486" s="20" t="s">
        <v>8414</v>
      </c>
      <c r="J486" s="20" t="s">
        <v>8415</v>
      </c>
      <c r="K486" s="20" t="s">
        <v>5498</v>
      </c>
      <c r="L486" s="20" t="s">
        <v>8413</v>
      </c>
    </row>
    <row r="487">
      <c r="A487" s="20" t="s">
        <v>8416</v>
      </c>
      <c r="B487" s="21">
        <v>46013.56171296297</v>
      </c>
      <c r="C487" s="20" t="s">
        <v>6818</v>
      </c>
      <c r="D487" s="22" t="s">
        <v>6811</v>
      </c>
      <c r="E487" s="20" t="s">
        <v>8417</v>
      </c>
      <c r="F487" s="20" t="s">
        <v>8141</v>
      </c>
      <c r="G487" s="20"/>
      <c r="H487" s="20"/>
      <c r="I487" s="20" t="s">
        <v>8418</v>
      </c>
      <c r="J487" s="20" t="s">
        <v>8419</v>
      </c>
      <c r="K487" s="20" t="s">
        <v>2868</v>
      </c>
      <c r="L487" s="20" t="s">
        <v>8420</v>
      </c>
    </row>
    <row r="488">
      <c r="A488" s="20" t="s">
        <v>8421</v>
      </c>
      <c r="B488" s="21">
        <v>46013.42034722222</v>
      </c>
      <c r="C488" s="20" t="s">
        <v>8422</v>
      </c>
      <c r="D488" s="22" t="s">
        <v>6612</v>
      </c>
      <c r="E488" s="20" t="s">
        <v>8423</v>
      </c>
      <c r="F488" s="20" t="s">
        <v>8424</v>
      </c>
      <c r="G488" s="20" t="s">
        <v>8422</v>
      </c>
      <c r="H488" s="22" t="s">
        <v>6612</v>
      </c>
      <c r="I488" s="20" t="s">
        <v>8425</v>
      </c>
      <c r="J488" s="20" t="s">
        <v>8426</v>
      </c>
      <c r="K488" s="20" t="s">
        <v>5498</v>
      </c>
      <c r="L488" s="20" t="s">
        <v>8421</v>
      </c>
    </row>
    <row r="489">
      <c r="A489" s="20" t="s">
        <v>8427</v>
      </c>
      <c r="B489" s="21">
        <v>46013.53399305556</v>
      </c>
      <c r="C489" s="20" t="s">
        <v>6818</v>
      </c>
      <c r="D489" s="22" t="s">
        <v>6811</v>
      </c>
      <c r="E489" s="20" t="s">
        <v>8126</v>
      </c>
      <c r="F489" s="22" t="s">
        <v>6612</v>
      </c>
      <c r="G489" s="20" t="s">
        <v>6897</v>
      </c>
      <c r="H489" s="22" t="s">
        <v>6811</v>
      </c>
      <c r="I489" s="20" t="s">
        <v>8428</v>
      </c>
      <c r="J489" s="20" t="s">
        <v>8429</v>
      </c>
      <c r="K489" s="20" t="s">
        <v>5498</v>
      </c>
      <c r="L489" s="20" t="s">
        <v>8421</v>
      </c>
    </row>
    <row r="490">
      <c r="A490" s="20" t="s">
        <v>8430</v>
      </c>
      <c r="B490" s="21">
        <v>46013.5607175926</v>
      </c>
      <c r="C490" s="20" t="s">
        <v>8122</v>
      </c>
      <c r="D490" s="22" t="s">
        <v>6612</v>
      </c>
      <c r="E490" s="20" t="s">
        <v>8431</v>
      </c>
      <c r="F490" s="20" t="s">
        <v>8432</v>
      </c>
      <c r="G490" s="20" t="s">
        <v>6897</v>
      </c>
      <c r="H490" s="22" t="s">
        <v>6811</v>
      </c>
      <c r="I490" s="20" t="s">
        <v>8428</v>
      </c>
      <c r="J490" s="20" t="s">
        <v>8433</v>
      </c>
      <c r="K490" s="20" t="s">
        <v>5498</v>
      </c>
      <c r="L490" s="20" t="s">
        <v>8421</v>
      </c>
    </row>
    <row r="491">
      <c r="A491" s="20" t="s">
        <v>8434</v>
      </c>
      <c r="B491" s="21">
        <v>46013.566412037035</v>
      </c>
      <c r="C491" s="20" t="s">
        <v>6818</v>
      </c>
      <c r="D491" s="22" t="s">
        <v>6811</v>
      </c>
      <c r="E491" s="20" t="s">
        <v>8122</v>
      </c>
      <c r="F491" s="22" t="s">
        <v>6612</v>
      </c>
      <c r="G491" s="20" t="s">
        <v>8435</v>
      </c>
      <c r="H491" s="20" t="s">
        <v>8424</v>
      </c>
      <c r="I491" s="20" t="s">
        <v>8428</v>
      </c>
      <c r="J491" s="20" t="s">
        <v>8436</v>
      </c>
      <c r="K491" s="20" t="s">
        <v>5498</v>
      </c>
      <c r="L491" s="20" t="s">
        <v>8421</v>
      </c>
    </row>
    <row r="492">
      <c r="A492" s="20" t="s">
        <v>8437</v>
      </c>
      <c r="B492" s="21">
        <v>46013.59052083333</v>
      </c>
      <c r="C492" s="20" t="s">
        <v>8122</v>
      </c>
      <c r="D492" s="22" t="s">
        <v>6612</v>
      </c>
      <c r="E492" s="20" t="s">
        <v>6818</v>
      </c>
      <c r="F492" s="22" t="s">
        <v>6811</v>
      </c>
      <c r="G492" s="20" t="s">
        <v>8435</v>
      </c>
      <c r="H492" s="20" t="s">
        <v>8424</v>
      </c>
      <c r="I492" s="20" t="s">
        <v>8428</v>
      </c>
      <c r="J492" s="20" t="s">
        <v>8438</v>
      </c>
      <c r="K492" s="20" t="s">
        <v>5498</v>
      </c>
      <c r="L492" s="20" t="s">
        <v>8421</v>
      </c>
    </row>
    <row r="493">
      <c r="A493" s="20" t="s">
        <v>8439</v>
      </c>
      <c r="B493" s="21">
        <v>46010.425520833334</v>
      </c>
      <c r="C493" s="20" t="s">
        <v>8440</v>
      </c>
      <c r="D493" s="22" t="s">
        <v>6613</v>
      </c>
      <c r="E493" s="20" t="s">
        <v>8441</v>
      </c>
      <c r="F493" s="20" t="s">
        <v>8262</v>
      </c>
      <c r="G493" s="20"/>
      <c r="H493" s="20"/>
      <c r="I493" s="20" t="s">
        <v>8442</v>
      </c>
      <c r="J493" s="20" t="s">
        <v>8443</v>
      </c>
      <c r="K493" s="20" t="s">
        <v>693</v>
      </c>
      <c r="L493" s="20" t="s">
        <v>8439</v>
      </c>
    </row>
    <row r="494">
      <c r="A494" s="20" t="s">
        <v>8444</v>
      </c>
      <c r="B494" s="21">
        <v>46007.52421296296</v>
      </c>
      <c r="C494" s="20" t="s">
        <v>8422</v>
      </c>
      <c r="D494" s="22" t="s">
        <v>6612</v>
      </c>
      <c r="E494" s="20" t="s">
        <v>6818</v>
      </c>
      <c r="F494" s="22" t="s">
        <v>6811</v>
      </c>
      <c r="G494" s="20"/>
      <c r="H494" s="20"/>
      <c r="I494" s="20" t="s">
        <v>8445</v>
      </c>
      <c r="J494" s="20" t="s">
        <v>8415</v>
      </c>
      <c r="K494" s="20" t="s">
        <v>5498</v>
      </c>
      <c r="L494" s="20" t="s">
        <v>8444</v>
      </c>
    </row>
    <row r="495">
      <c r="A495" s="20" t="s">
        <v>8446</v>
      </c>
      <c r="B495" s="21">
        <v>46007.52431712963</v>
      </c>
      <c r="C495" s="20" t="s">
        <v>8422</v>
      </c>
      <c r="D495" s="22" t="s">
        <v>6612</v>
      </c>
      <c r="E495" s="20" t="s">
        <v>6818</v>
      </c>
      <c r="F495" s="22" t="s">
        <v>6811</v>
      </c>
      <c r="G495" s="20"/>
      <c r="H495" s="20"/>
      <c r="I495" s="20" t="s">
        <v>8445</v>
      </c>
      <c r="J495" s="20" t="s">
        <v>8415</v>
      </c>
      <c r="K495" s="20" t="s">
        <v>5498</v>
      </c>
      <c r="L495" s="20" t="s">
        <v>8444</v>
      </c>
    </row>
    <row r="496">
      <c r="A496" s="20" t="s">
        <v>8447</v>
      </c>
      <c r="B496" s="21">
        <v>46007.524513888886</v>
      </c>
      <c r="C496" s="20" t="s">
        <v>8422</v>
      </c>
      <c r="D496" s="22" t="s">
        <v>6612</v>
      </c>
      <c r="E496" s="20" t="s">
        <v>6818</v>
      </c>
      <c r="F496" s="22" t="s">
        <v>6811</v>
      </c>
      <c r="G496" s="20"/>
      <c r="H496" s="20"/>
      <c r="I496" s="20" t="s">
        <v>8445</v>
      </c>
      <c r="J496" s="20" t="s">
        <v>8415</v>
      </c>
      <c r="K496" s="20" t="s">
        <v>5498</v>
      </c>
      <c r="L496" s="20" t="s">
        <v>8444</v>
      </c>
    </row>
    <row r="497">
      <c r="A497" s="20" t="s">
        <v>8448</v>
      </c>
      <c r="B497" s="21">
        <v>46007.490949074076</v>
      </c>
      <c r="C497" s="20" t="s">
        <v>8122</v>
      </c>
      <c r="D497" s="22" t="s">
        <v>6612</v>
      </c>
      <c r="E497" s="20" t="s">
        <v>6818</v>
      </c>
      <c r="F497" s="22" t="s">
        <v>6811</v>
      </c>
      <c r="G497" s="20"/>
      <c r="H497" s="20"/>
      <c r="I497" s="20" t="s">
        <v>8445</v>
      </c>
      <c r="J497" s="20" t="s">
        <v>8415</v>
      </c>
      <c r="K497" s="20" t="s">
        <v>5498</v>
      </c>
      <c r="L497" s="20" t="s">
        <v>8448</v>
      </c>
    </row>
    <row r="498">
      <c r="A498" s="20" t="s">
        <v>8449</v>
      </c>
      <c r="B498" s="21">
        <v>46007.49098379629</v>
      </c>
      <c r="C498" s="20" t="s">
        <v>8122</v>
      </c>
      <c r="D498" s="22" t="s">
        <v>6612</v>
      </c>
      <c r="E498" s="20" t="s">
        <v>6818</v>
      </c>
      <c r="F498" s="22" t="s">
        <v>6811</v>
      </c>
      <c r="G498" s="20"/>
      <c r="H498" s="20"/>
      <c r="I498" s="20" t="s">
        <v>8445</v>
      </c>
      <c r="J498" s="20" t="s">
        <v>8415</v>
      </c>
      <c r="K498" s="20" t="s">
        <v>5498</v>
      </c>
      <c r="L498" s="20" t="s">
        <v>8448</v>
      </c>
    </row>
    <row r="499">
      <c r="A499" s="20" t="s">
        <v>8450</v>
      </c>
      <c r="B499" s="21">
        <v>46007.58928240741</v>
      </c>
      <c r="C499" s="20" t="s">
        <v>8122</v>
      </c>
      <c r="D499" s="22" t="s">
        <v>6612</v>
      </c>
      <c r="E499" s="20" t="s">
        <v>6818</v>
      </c>
      <c r="F499" s="22" t="s">
        <v>6811</v>
      </c>
      <c r="G499" s="20"/>
      <c r="H499" s="20"/>
      <c r="I499" s="20" t="s">
        <v>8445</v>
      </c>
      <c r="J499" s="20" t="s">
        <v>8415</v>
      </c>
      <c r="K499" s="20" t="s">
        <v>5498</v>
      </c>
      <c r="L499" s="20" t="s">
        <v>8448</v>
      </c>
    </row>
    <row r="500">
      <c r="A500" s="20" t="s">
        <v>8451</v>
      </c>
      <c r="B500" s="21">
        <v>46007.58953703704</v>
      </c>
      <c r="C500" s="20" t="s">
        <v>8122</v>
      </c>
      <c r="D500" s="22" t="s">
        <v>6612</v>
      </c>
      <c r="E500" s="20" t="s">
        <v>6818</v>
      </c>
      <c r="F500" s="22" t="s">
        <v>6811</v>
      </c>
      <c r="G500" s="20"/>
      <c r="H500" s="20"/>
      <c r="I500" s="20" t="s">
        <v>8445</v>
      </c>
      <c r="J500" s="20" t="s">
        <v>8415</v>
      </c>
      <c r="K500" s="20" t="s">
        <v>5498</v>
      </c>
      <c r="L500" s="20" t="s">
        <v>8448</v>
      </c>
    </row>
    <row r="501">
      <c r="A501" s="20" t="s">
        <v>8452</v>
      </c>
      <c r="B501" s="21">
        <v>46007.47184027778</v>
      </c>
      <c r="C501" s="20" t="s">
        <v>8453</v>
      </c>
      <c r="D501" s="22" t="s">
        <v>6612</v>
      </c>
      <c r="E501" s="20" t="s">
        <v>6818</v>
      </c>
      <c r="F501" s="22" t="s">
        <v>6811</v>
      </c>
      <c r="G501" s="20"/>
      <c r="H501" s="20"/>
      <c r="I501" s="20" t="s">
        <v>8454</v>
      </c>
      <c r="J501" s="20" t="s">
        <v>8455</v>
      </c>
      <c r="K501" s="20" t="s">
        <v>5498</v>
      </c>
      <c r="L501" s="20" t="s">
        <v>8452</v>
      </c>
    </row>
    <row r="502">
      <c r="A502" s="20" t="s">
        <v>8456</v>
      </c>
      <c r="B502" s="21">
        <v>46007.471562499995</v>
      </c>
      <c r="C502" s="20" t="s">
        <v>8457</v>
      </c>
      <c r="D502" s="22" t="s">
        <v>6612</v>
      </c>
      <c r="E502" s="20" t="s">
        <v>6818</v>
      </c>
      <c r="F502" s="22" t="s">
        <v>6811</v>
      </c>
      <c r="G502" s="20"/>
      <c r="H502" s="20"/>
      <c r="I502" s="20" t="s">
        <v>8458</v>
      </c>
      <c r="J502" s="20" t="s">
        <v>8459</v>
      </c>
      <c r="K502" s="20" t="s">
        <v>5498</v>
      </c>
      <c r="L502" s="20" t="s">
        <v>8456</v>
      </c>
    </row>
    <row r="503">
      <c r="A503" s="20" t="s">
        <v>8460</v>
      </c>
      <c r="B503" s="21">
        <v>46006.76629629629</v>
      </c>
      <c r="C503" s="20" t="s">
        <v>8138</v>
      </c>
      <c r="D503" s="22" t="s">
        <v>8139</v>
      </c>
      <c r="E503" s="20" t="s">
        <v>6818</v>
      </c>
      <c r="F503" s="22" t="s">
        <v>6811</v>
      </c>
      <c r="G503" s="20"/>
      <c r="H503" s="20"/>
      <c r="I503" s="20" t="s">
        <v>8461</v>
      </c>
      <c r="J503" s="20" t="s">
        <v>7042</v>
      </c>
      <c r="K503" s="20" t="s">
        <v>2868</v>
      </c>
      <c r="L503" s="20" t="s">
        <v>8460</v>
      </c>
    </row>
    <row r="504">
      <c r="A504" s="20" t="s">
        <v>8462</v>
      </c>
      <c r="B504" s="21">
        <v>46006.76600694444</v>
      </c>
      <c r="C504" s="20" t="s">
        <v>8138</v>
      </c>
      <c r="D504" s="22" t="s">
        <v>8139</v>
      </c>
      <c r="E504" s="20" t="s">
        <v>8463</v>
      </c>
      <c r="F504" s="20" t="s">
        <v>8141</v>
      </c>
      <c r="G504" s="20"/>
      <c r="H504" s="20"/>
      <c r="I504" s="20" t="s">
        <v>8464</v>
      </c>
      <c r="J504" s="20" t="s">
        <v>8465</v>
      </c>
      <c r="K504" s="20" t="s">
        <v>2868</v>
      </c>
      <c r="L504" s="20" t="s">
        <v>8462</v>
      </c>
    </row>
    <row r="505">
      <c r="A505" s="20" t="s">
        <v>8466</v>
      </c>
      <c r="B505" s="21">
        <v>46006.716469907406</v>
      </c>
      <c r="C505" s="20" t="s">
        <v>8138</v>
      </c>
      <c r="D505" s="22" t="s">
        <v>8139</v>
      </c>
      <c r="E505" s="20" t="s">
        <v>8467</v>
      </c>
      <c r="F505" s="22" t="s">
        <v>6811</v>
      </c>
      <c r="G505" s="20"/>
      <c r="H505" s="20"/>
      <c r="I505" s="20" t="s">
        <v>8468</v>
      </c>
      <c r="J505" s="20" t="s">
        <v>8469</v>
      </c>
      <c r="K505" s="20" t="s">
        <v>2868</v>
      </c>
      <c r="L505" s="20" t="s">
        <v>8466</v>
      </c>
    </row>
    <row r="506">
      <c r="A506" s="20" t="s">
        <v>8470</v>
      </c>
      <c r="B506" s="21">
        <v>46006.71980324074</v>
      </c>
      <c r="C506" s="20" t="s">
        <v>8138</v>
      </c>
      <c r="D506" s="22" t="s">
        <v>8139</v>
      </c>
      <c r="E506" s="20" t="s">
        <v>8467</v>
      </c>
      <c r="F506" s="22" t="s">
        <v>6811</v>
      </c>
      <c r="G506" s="20"/>
      <c r="H506" s="20"/>
      <c r="I506" s="20" t="s">
        <v>8471</v>
      </c>
      <c r="J506" s="20" t="s">
        <v>8472</v>
      </c>
      <c r="K506" s="20" t="s">
        <v>2868</v>
      </c>
      <c r="L506" s="20" t="s">
        <v>8466</v>
      </c>
    </row>
    <row r="507">
      <c r="A507" s="20" t="s">
        <v>8473</v>
      </c>
      <c r="B507" s="21">
        <v>46006.73630787037</v>
      </c>
      <c r="C507" s="20" t="s">
        <v>6818</v>
      </c>
      <c r="D507" s="22" t="s">
        <v>6811</v>
      </c>
      <c r="E507" s="20" t="s">
        <v>8138</v>
      </c>
      <c r="F507" s="22" t="s">
        <v>8139</v>
      </c>
      <c r="G507" s="20" t="s">
        <v>8474</v>
      </c>
      <c r="H507" s="22" t="s">
        <v>6811</v>
      </c>
      <c r="I507" s="20" t="s">
        <v>8475</v>
      </c>
      <c r="J507" s="20" t="s">
        <v>8476</v>
      </c>
      <c r="K507" s="20" t="s">
        <v>2868</v>
      </c>
      <c r="L507" s="20" t="s">
        <v>8466</v>
      </c>
    </row>
    <row r="508">
      <c r="A508" s="20" t="s">
        <v>8477</v>
      </c>
      <c r="B508" s="21">
        <v>46006.74104166667</v>
      </c>
      <c r="C508" s="20" t="s">
        <v>8138</v>
      </c>
      <c r="D508" s="22" t="s">
        <v>8139</v>
      </c>
      <c r="E508" s="20" t="s">
        <v>6818</v>
      </c>
      <c r="F508" s="22" t="s">
        <v>6811</v>
      </c>
      <c r="G508" s="20" t="s">
        <v>8474</v>
      </c>
      <c r="H508" s="22" t="s">
        <v>6811</v>
      </c>
      <c r="I508" s="20" t="s">
        <v>8471</v>
      </c>
      <c r="J508" s="20" t="s">
        <v>8478</v>
      </c>
      <c r="K508" s="20" t="s">
        <v>2868</v>
      </c>
      <c r="L508" s="20" t="s">
        <v>8466</v>
      </c>
    </row>
    <row r="509">
      <c r="A509" s="20" t="s">
        <v>8479</v>
      </c>
      <c r="B509" s="21">
        <v>46006.75042824074</v>
      </c>
      <c r="C509" s="20" t="s">
        <v>6818</v>
      </c>
      <c r="D509" s="22" t="s">
        <v>6811</v>
      </c>
      <c r="E509" s="20" t="s">
        <v>8138</v>
      </c>
      <c r="F509" s="22" t="s">
        <v>8139</v>
      </c>
      <c r="G509" s="20" t="s">
        <v>8474</v>
      </c>
      <c r="H509" s="22" t="s">
        <v>6811</v>
      </c>
      <c r="I509" s="20" t="s">
        <v>8475</v>
      </c>
      <c r="J509" s="20" t="s">
        <v>8480</v>
      </c>
      <c r="K509" s="20" t="s">
        <v>2868</v>
      </c>
      <c r="L509" s="20" t="s">
        <v>8466</v>
      </c>
    </row>
    <row r="510">
      <c r="A510" s="20" t="s">
        <v>8481</v>
      </c>
      <c r="B510" s="21">
        <v>46006.76663194444</v>
      </c>
      <c r="C510" s="20" t="s">
        <v>8138</v>
      </c>
      <c r="D510" s="22" t="s">
        <v>8139</v>
      </c>
      <c r="E510" s="20" t="s">
        <v>6818</v>
      </c>
      <c r="F510" s="22" t="s">
        <v>6811</v>
      </c>
      <c r="G510" s="20" t="s">
        <v>8474</v>
      </c>
      <c r="H510" s="22" t="s">
        <v>6811</v>
      </c>
      <c r="I510" s="20" t="s">
        <v>8471</v>
      </c>
      <c r="J510" s="20" t="s">
        <v>8482</v>
      </c>
      <c r="K510" s="20" t="s">
        <v>2868</v>
      </c>
      <c r="L510" s="20" t="s">
        <v>8466</v>
      </c>
    </row>
    <row r="511">
      <c r="A511" s="20" t="s">
        <v>8483</v>
      </c>
      <c r="B511" s="21">
        <v>46006.63579861111</v>
      </c>
      <c r="C511" s="20" t="s">
        <v>8138</v>
      </c>
      <c r="D511" s="22" t="s">
        <v>8139</v>
      </c>
      <c r="E511" s="20" t="s">
        <v>8484</v>
      </c>
      <c r="F511" s="20" t="s">
        <v>8141</v>
      </c>
      <c r="G511" s="20" t="s">
        <v>8485</v>
      </c>
      <c r="H511" s="22" t="s">
        <v>8139</v>
      </c>
      <c r="I511" s="20" t="s">
        <v>8486</v>
      </c>
      <c r="J511" s="20" t="s">
        <v>8487</v>
      </c>
      <c r="K511" s="20" t="s">
        <v>2868</v>
      </c>
      <c r="L511" s="20" t="s">
        <v>8483</v>
      </c>
    </row>
    <row r="512">
      <c r="A512" s="20" t="s">
        <v>8488</v>
      </c>
      <c r="B512" s="21">
        <v>46006.772268518514</v>
      </c>
      <c r="C512" s="20" t="s">
        <v>7276</v>
      </c>
      <c r="D512" s="22" t="s">
        <v>6811</v>
      </c>
      <c r="E512" s="20" t="s">
        <v>8138</v>
      </c>
      <c r="F512" s="22" t="s">
        <v>8139</v>
      </c>
      <c r="G512" s="20" t="s">
        <v>8489</v>
      </c>
      <c r="H512" s="20" t="s">
        <v>8141</v>
      </c>
      <c r="I512" s="20" t="s">
        <v>8490</v>
      </c>
      <c r="J512" s="20" t="s">
        <v>8491</v>
      </c>
      <c r="K512" s="20" t="s">
        <v>2868</v>
      </c>
      <c r="L512" s="20" t="s">
        <v>8483</v>
      </c>
    </row>
    <row r="513">
      <c r="A513" s="20" t="s">
        <v>8492</v>
      </c>
      <c r="B513" s="21">
        <v>46007.25546296296</v>
      </c>
      <c r="C513" s="20" t="s">
        <v>8154</v>
      </c>
      <c r="D513" s="22" t="s">
        <v>8139</v>
      </c>
      <c r="E513" s="20" t="s">
        <v>7276</v>
      </c>
      <c r="F513" s="22" t="s">
        <v>6811</v>
      </c>
      <c r="G513" s="20" t="s">
        <v>8493</v>
      </c>
      <c r="H513" s="20" t="s">
        <v>8141</v>
      </c>
      <c r="I513" s="20" t="s">
        <v>8494</v>
      </c>
      <c r="J513" s="20" t="s">
        <v>8495</v>
      </c>
      <c r="K513" s="20" t="s">
        <v>2868</v>
      </c>
      <c r="L513" s="20" t="s">
        <v>8483</v>
      </c>
    </row>
    <row r="514">
      <c r="A514" s="20" t="s">
        <v>8496</v>
      </c>
      <c r="B514" s="21">
        <v>46006.60949074074</v>
      </c>
      <c r="C514" s="20" t="s">
        <v>8138</v>
      </c>
      <c r="D514" s="22" t="s">
        <v>8139</v>
      </c>
      <c r="E514" s="20" t="s">
        <v>6822</v>
      </c>
      <c r="F514" s="22" t="s">
        <v>6811</v>
      </c>
      <c r="G514" s="20"/>
      <c r="H514" s="20"/>
      <c r="I514" s="20" t="s">
        <v>8497</v>
      </c>
      <c r="J514" s="20" t="s">
        <v>8498</v>
      </c>
      <c r="K514" s="20" t="s">
        <v>2868</v>
      </c>
      <c r="L514" s="20" t="s">
        <v>8496</v>
      </c>
    </row>
    <row r="515">
      <c r="A515" s="20" t="s">
        <v>8499</v>
      </c>
      <c r="B515" s="21">
        <v>46006.670590277776</v>
      </c>
      <c r="C515" s="20" t="s">
        <v>6818</v>
      </c>
      <c r="D515" s="22" t="s">
        <v>6811</v>
      </c>
      <c r="E515" s="20" t="s">
        <v>8138</v>
      </c>
      <c r="F515" s="22" t="s">
        <v>8139</v>
      </c>
      <c r="G515" s="20" t="s">
        <v>6897</v>
      </c>
      <c r="H515" s="22" t="s">
        <v>6811</v>
      </c>
      <c r="I515" s="20" t="s">
        <v>8500</v>
      </c>
      <c r="J515" s="20" t="s">
        <v>8501</v>
      </c>
      <c r="K515" s="20" t="s">
        <v>2868</v>
      </c>
      <c r="L515" s="20" t="s">
        <v>8496</v>
      </c>
    </row>
    <row r="516">
      <c r="A516" s="20" t="s">
        <v>8502</v>
      </c>
      <c r="B516" s="21">
        <v>46006.56252314815</v>
      </c>
      <c r="C516" s="20" t="s">
        <v>7154</v>
      </c>
      <c r="D516" s="22" t="s">
        <v>7155</v>
      </c>
      <c r="E516" s="20" t="s">
        <v>8185</v>
      </c>
      <c r="F516" s="22" t="s">
        <v>8139</v>
      </c>
      <c r="G516" s="20" t="s">
        <v>8503</v>
      </c>
      <c r="H516" s="22" t="s">
        <v>6811</v>
      </c>
      <c r="I516" s="20" t="s">
        <v>7157</v>
      </c>
      <c r="J516" s="20" t="s">
        <v>7158</v>
      </c>
      <c r="K516" s="20" t="s">
        <v>2868</v>
      </c>
      <c r="L516" s="20" t="s">
        <v>8502</v>
      </c>
    </row>
    <row r="517">
      <c r="A517" s="20" t="s">
        <v>8504</v>
      </c>
      <c r="B517" s="21">
        <v>46003.62430555555</v>
      </c>
      <c r="C517" s="20" t="s">
        <v>6818</v>
      </c>
      <c r="D517" s="22" t="s">
        <v>6811</v>
      </c>
      <c r="E517" s="20" t="s">
        <v>8505</v>
      </c>
      <c r="F517" s="22" t="s">
        <v>8139</v>
      </c>
      <c r="G517" s="20"/>
      <c r="H517" s="20"/>
      <c r="I517" s="20" t="s">
        <v>8506</v>
      </c>
      <c r="J517" s="20" t="s">
        <v>7422</v>
      </c>
      <c r="K517" s="20" t="s">
        <v>2868</v>
      </c>
      <c r="L517" s="20" t="s">
        <v>8504</v>
      </c>
    </row>
    <row r="518">
      <c r="A518" s="20" t="s">
        <v>8507</v>
      </c>
      <c r="B518" s="21">
        <v>46003.62423611111</v>
      </c>
      <c r="C518" s="20" t="s">
        <v>8138</v>
      </c>
      <c r="D518" s="22" t="s">
        <v>8139</v>
      </c>
      <c r="E518" s="20" t="s">
        <v>6818</v>
      </c>
      <c r="F518" s="22" t="s">
        <v>6811</v>
      </c>
      <c r="G518" s="20"/>
      <c r="H518" s="20"/>
      <c r="I518" s="20" t="s">
        <v>7405</v>
      </c>
      <c r="J518" s="20" t="s">
        <v>7042</v>
      </c>
      <c r="K518" s="20" t="s">
        <v>2868</v>
      </c>
      <c r="L518" s="20" t="s">
        <v>8507</v>
      </c>
    </row>
    <row r="519">
      <c r="A519" s="20" t="s">
        <v>8508</v>
      </c>
      <c r="B519" s="21">
        <v>46000.60969907408</v>
      </c>
      <c r="C519" s="20" t="s">
        <v>8297</v>
      </c>
      <c r="D519" s="22" t="s">
        <v>6811</v>
      </c>
      <c r="E519" s="20" t="s">
        <v>8509</v>
      </c>
      <c r="F519" s="22" t="s">
        <v>8139</v>
      </c>
      <c r="G519" s="20" t="s">
        <v>8510</v>
      </c>
      <c r="H519" s="22" t="s">
        <v>6811</v>
      </c>
      <c r="I519" s="20" t="s">
        <v>8511</v>
      </c>
      <c r="J519" s="20" t="s">
        <v>8512</v>
      </c>
      <c r="K519" s="20" t="s">
        <v>2868</v>
      </c>
      <c r="L519" s="20" t="s">
        <v>8508</v>
      </c>
    </row>
    <row r="520">
      <c r="A520" s="20" t="s">
        <v>8513</v>
      </c>
      <c r="B520" s="21">
        <v>46001.32162037037</v>
      </c>
      <c r="C520" s="20" t="s">
        <v>8138</v>
      </c>
      <c r="D520" s="22" t="s">
        <v>8139</v>
      </c>
      <c r="E520" s="20" t="s">
        <v>8514</v>
      </c>
      <c r="F520" s="20" t="s">
        <v>8151</v>
      </c>
      <c r="G520" s="20" t="s">
        <v>8510</v>
      </c>
      <c r="H520" s="22" t="s">
        <v>6811</v>
      </c>
      <c r="I520" s="20" t="s">
        <v>8515</v>
      </c>
      <c r="J520" s="20" t="s">
        <v>8516</v>
      </c>
      <c r="K520" s="20" t="s">
        <v>2868</v>
      </c>
      <c r="L520" s="20" t="s">
        <v>8508</v>
      </c>
    </row>
    <row r="521">
      <c r="A521" s="20" t="s">
        <v>8517</v>
      </c>
      <c r="B521" s="21">
        <v>46001.354571759264</v>
      </c>
      <c r="C521" s="20" t="s">
        <v>8297</v>
      </c>
      <c r="D521" s="22" t="s">
        <v>6811</v>
      </c>
      <c r="E521" s="20" t="s">
        <v>8138</v>
      </c>
      <c r="F521" s="22" t="s">
        <v>8139</v>
      </c>
      <c r="G521" s="20" t="s">
        <v>8518</v>
      </c>
      <c r="H521" s="20" t="s">
        <v>8141</v>
      </c>
      <c r="I521" s="20" t="s">
        <v>8519</v>
      </c>
      <c r="J521" s="20" t="s">
        <v>8520</v>
      </c>
      <c r="K521" s="20" t="s">
        <v>2868</v>
      </c>
      <c r="L521" s="20" t="s">
        <v>8508</v>
      </c>
    </row>
    <row r="522">
      <c r="A522" s="20" t="s">
        <v>8521</v>
      </c>
      <c r="B522" s="21">
        <v>45996.52290509259</v>
      </c>
      <c r="C522" s="20" t="s">
        <v>8138</v>
      </c>
      <c r="D522" s="22" t="s">
        <v>8139</v>
      </c>
      <c r="E522" s="20" t="s">
        <v>8522</v>
      </c>
      <c r="F522" s="20" t="s">
        <v>8141</v>
      </c>
      <c r="G522" s="20"/>
      <c r="H522" s="20"/>
      <c r="I522" s="20" t="s">
        <v>8523</v>
      </c>
      <c r="J522" s="20" t="s">
        <v>8524</v>
      </c>
      <c r="K522" s="20" t="s">
        <v>2868</v>
      </c>
      <c r="L522" s="20" t="s">
        <v>8521</v>
      </c>
    </row>
    <row r="523">
      <c r="A523" s="20" t="s">
        <v>8525</v>
      </c>
      <c r="B523" s="21">
        <v>45996.30621527778</v>
      </c>
      <c r="C523" s="20" t="s">
        <v>8138</v>
      </c>
      <c r="D523" s="22" t="s">
        <v>8139</v>
      </c>
      <c r="E523" s="20" t="s">
        <v>8526</v>
      </c>
      <c r="F523" s="20" t="s">
        <v>8141</v>
      </c>
      <c r="G523" s="20"/>
      <c r="H523" s="20"/>
      <c r="I523" s="20" t="s">
        <v>8527</v>
      </c>
      <c r="J523" s="20" t="s">
        <v>8528</v>
      </c>
      <c r="K523" s="20" t="s">
        <v>2868</v>
      </c>
      <c r="L523" s="20" t="s">
        <v>8525</v>
      </c>
    </row>
    <row r="524">
      <c r="A524" s="20" t="s">
        <v>8529</v>
      </c>
      <c r="B524" s="21">
        <v>45995.74431712963</v>
      </c>
      <c r="C524" s="20" t="s">
        <v>8138</v>
      </c>
      <c r="D524" s="22" t="s">
        <v>8139</v>
      </c>
      <c r="E524" s="20" t="s">
        <v>8530</v>
      </c>
      <c r="F524" s="22" t="s">
        <v>6811</v>
      </c>
      <c r="G524" s="20"/>
      <c r="H524" s="20"/>
      <c r="I524" s="20" t="s">
        <v>8531</v>
      </c>
      <c r="J524" s="20" t="s">
        <v>8532</v>
      </c>
      <c r="K524" s="20" t="s">
        <v>2868</v>
      </c>
      <c r="L524" s="20" t="s">
        <v>8529</v>
      </c>
    </row>
    <row r="525">
      <c r="A525" s="20" t="s">
        <v>8533</v>
      </c>
      <c r="B525" s="21">
        <v>45995.61724537037</v>
      </c>
      <c r="C525" s="20" t="s">
        <v>8138</v>
      </c>
      <c r="D525" s="22" t="s">
        <v>8139</v>
      </c>
      <c r="E525" s="20" t="s">
        <v>8534</v>
      </c>
      <c r="F525" s="20" t="s">
        <v>8141</v>
      </c>
      <c r="G525" s="20"/>
      <c r="H525" s="20"/>
      <c r="I525" s="20" t="s">
        <v>8535</v>
      </c>
      <c r="J525" s="20" t="s">
        <v>8536</v>
      </c>
      <c r="K525" s="20" t="s">
        <v>2868</v>
      </c>
      <c r="L525" s="20" t="s">
        <v>8533</v>
      </c>
    </row>
    <row r="526">
      <c r="A526" s="20" t="s">
        <v>8537</v>
      </c>
      <c r="B526" s="21">
        <v>45995.51576388889</v>
      </c>
      <c r="C526" s="20" t="s">
        <v>8138</v>
      </c>
      <c r="D526" s="22" t="s">
        <v>8139</v>
      </c>
      <c r="E526" s="20" t="s">
        <v>8538</v>
      </c>
      <c r="F526" s="22" t="s">
        <v>6811</v>
      </c>
      <c r="G526" s="20"/>
      <c r="H526" s="20"/>
      <c r="I526" s="20" t="s">
        <v>8539</v>
      </c>
      <c r="J526" s="20" t="s">
        <v>8540</v>
      </c>
      <c r="K526" s="20" t="s">
        <v>2868</v>
      </c>
      <c r="L526" s="20" t="s">
        <v>8537</v>
      </c>
    </row>
    <row r="527">
      <c r="A527" s="20" t="s">
        <v>8541</v>
      </c>
      <c r="B527" s="21">
        <v>45995.516180555554</v>
      </c>
      <c r="C527" s="20" t="s">
        <v>6934</v>
      </c>
      <c r="D527" s="22" t="s">
        <v>6811</v>
      </c>
      <c r="E527" s="20" t="s">
        <v>8185</v>
      </c>
      <c r="F527" s="22" t="s">
        <v>8139</v>
      </c>
      <c r="G527" s="20" t="s">
        <v>8542</v>
      </c>
      <c r="H527" s="22" t="s">
        <v>6811</v>
      </c>
      <c r="I527" s="20" t="s">
        <v>8543</v>
      </c>
      <c r="J527" s="20" t="s">
        <v>8544</v>
      </c>
      <c r="K527" s="20" t="s">
        <v>2868</v>
      </c>
      <c r="L527" s="20" t="s">
        <v>8537</v>
      </c>
    </row>
    <row r="528">
      <c r="A528" s="20" t="s">
        <v>8545</v>
      </c>
      <c r="B528" s="21">
        <v>45995.52722222223</v>
      </c>
      <c r="C528" s="20" t="s">
        <v>6818</v>
      </c>
      <c r="D528" s="22" t="s">
        <v>6811</v>
      </c>
      <c r="E528" s="20" t="s">
        <v>6934</v>
      </c>
      <c r="F528" s="22" t="s">
        <v>6811</v>
      </c>
      <c r="G528" s="20" t="s">
        <v>8546</v>
      </c>
      <c r="H528" s="20" t="s">
        <v>8141</v>
      </c>
      <c r="I528" s="20" t="s">
        <v>8543</v>
      </c>
      <c r="J528" s="20" t="s">
        <v>8547</v>
      </c>
      <c r="K528" s="20" t="s">
        <v>2868</v>
      </c>
      <c r="L528" s="20" t="s">
        <v>8537</v>
      </c>
    </row>
    <row r="529">
      <c r="A529" s="20" t="s">
        <v>8548</v>
      </c>
      <c r="B529" s="21">
        <v>45999.26988425926</v>
      </c>
      <c r="C529" s="20" t="s">
        <v>8138</v>
      </c>
      <c r="D529" s="22" t="s">
        <v>8139</v>
      </c>
      <c r="E529" s="20" t="s">
        <v>8538</v>
      </c>
      <c r="F529" s="22" t="s">
        <v>6811</v>
      </c>
      <c r="G529" s="20"/>
      <c r="H529" s="20"/>
      <c r="I529" s="20" t="s">
        <v>8549</v>
      </c>
      <c r="J529" s="20" t="s">
        <v>8550</v>
      </c>
      <c r="K529" s="20" t="s">
        <v>2868</v>
      </c>
      <c r="L529" s="20" t="s">
        <v>8537</v>
      </c>
    </row>
    <row r="530">
      <c r="A530" s="20" t="s">
        <v>8551</v>
      </c>
      <c r="B530" s="21">
        <v>45995.50001157407</v>
      </c>
      <c r="C530" s="20" t="s">
        <v>7154</v>
      </c>
      <c r="D530" s="22" t="s">
        <v>7155</v>
      </c>
      <c r="E530" s="20" t="s">
        <v>8185</v>
      </c>
      <c r="F530" s="22" t="s">
        <v>8139</v>
      </c>
      <c r="G530" s="20" t="s">
        <v>8552</v>
      </c>
      <c r="H530" s="22" t="s">
        <v>6811</v>
      </c>
      <c r="I530" s="20" t="s">
        <v>8553</v>
      </c>
      <c r="J530" s="20" t="s">
        <v>8554</v>
      </c>
      <c r="K530" s="20" t="s">
        <v>2868</v>
      </c>
      <c r="L530" s="20" t="s">
        <v>8551</v>
      </c>
    </row>
    <row r="531">
      <c r="A531" s="20" t="s">
        <v>8555</v>
      </c>
      <c r="B531" s="21">
        <v>45995.32200231482</v>
      </c>
      <c r="C531" s="20" t="s">
        <v>8138</v>
      </c>
      <c r="D531" s="22" t="s">
        <v>8139</v>
      </c>
      <c r="E531" s="20" t="s">
        <v>8556</v>
      </c>
      <c r="F531" s="22" t="s">
        <v>6811</v>
      </c>
      <c r="G531" s="20"/>
      <c r="H531" s="20"/>
      <c r="I531" s="20" t="s">
        <v>8557</v>
      </c>
      <c r="J531" s="20" t="s">
        <v>8558</v>
      </c>
      <c r="K531" s="20" t="s">
        <v>2868</v>
      </c>
      <c r="L531" s="20" t="s">
        <v>8555</v>
      </c>
    </row>
    <row r="532">
      <c r="A532" s="20" t="s">
        <v>8559</v>
      </c>
      <c r="B532" s="21">
        <v>45995.32482638889</v>
      </c>
      <c r="C532" s="20" t="s">
        <v>7276</v>
      </c>
      <c r="D532" s="22" t="s">
        <v>6811</v>
      </c>
      <c r="E532" s="20" t="s">
        <v>8138</v>
      </c>
      <c r="F532" s="22" t="s">
        <v>8139</v>
      </c>
      <c r="G532" s="20" t="s">
        <v>8560</v>
      </c>
      <c r="H532" s="22" t="s">
        <v>6811</v>
      </c>
      <c r="I532" s="20" t="s">
        <v>8561</v>
      </c>
      <c r="J532" s="20" t="s">
        <v>8562</v>
      </c>
      <c r="K532" s="20" t="s">
        <v>2868</v>
      </c>
      <c r="L532" s="20" t="s">
        <v>8555</v>
      </c>
    </row>
    <row r="533">
      <c r="A533" s="20" t="s">
        <v>8563</v>
      </c>
      <c r="B533" s="21">
        <v>45995.25577546297</v>
      </c>
      <c r="C533" s="20" t="s">
        <v>8138</v>
      </c>
      <c r="D533" s="22" t="s">
        <v>8139</v>
      </c>
      <c r="E533" s="20" t="s">
        <v>8564</v>
      </c>
      <c r="F533" s="22" t="s">
        <v>6811</v>
      </c>
      <c r="G533" s="20"/>
      <c r="H533" s="20"/>
      <c r="I533" s="20" t="s">
        <v>8565</v>
      </c>
      <c r="J533" s="20" t="s">
        <v>8566</v>
      </c>
      <c r="K533" s="20" t="s">
        <v>2868</v>
      </c>
      <c r="L533" s="20" t="s">
        <v>8563</v>
      </c>
    </row>
    <row r="534">
      <c r="A534" s="20" t="s">
        <v>8567</v>
      </c>
      <c r="B534" s="21">
        <v>45994.66021990741</v>
      </c>
      <c r="C534" s="20" t="s">
        <v>7276</v>
      </c>
      <c r="D534" s="22" t="s">
        <v>6811</v>
      </c>
      <c r="E534" s="20" t="s">
        <v>8568</v>
      </c>
      <c r="F534" s="20" t="s">
        <v>8151</v>
      </c>
      <c r="G534" s="20"/>
      <c r="H534" s="20"/>
      <c r="I534" s="20" t="s">
        <v>8569</v>
      </c>
      <c r="J534" s="20" t="s">
        <v>8570</v>
      </c>
      <c r="K534" s="20" t="s">
        <v>2868</v>
      </c>
      <c r="L534" s="20" t="s">
        <v>8567</v>
      </c>
    </row>
    <row r="535">
      <c r="A535" s="20" t="s">
        <v>8571</v>
      </c>
      <c r="B535" s="21">
        <v>45994.608576388884</v>
      </c>
      <c r="C535" s="20" t="s">
        <v>8138</v>
      </c>
      <c r="D535" s="22" t="s">
        <v>8139</v>
      </c>
      <c r="E535" s="20" t="s">
        <v>8572</v>
      </c>
      <c r="F535" s="22" t="s">
        <v>6811</v>
      </c>
      <c r="G535" s="20"/>
      <c r="H535" s="20"/>
      <c r="I535" s="20" t="s">
        <v>8471</v>
      </c>
      <c r="J535" s="20" t="s">
        <v>8573</v>
      </c>
      <c r="K535" s="20" t="s">
        <v>2868</v>
      </c>
      <c r="L535" s="20" t="s">
        <v>8571</v>
      </c>
    </row>
    <row r="536">
      <c r="A536" s="20" t="s">
        <v>8574</v>
      </c>
      <c r="B536" s="21">
        <v>45994.60936342593</v>
      </c>
      <c r="C536" s="20" t="s">
        <v>6934</v>
      </c>
      <c r="D536" s="22" t="s">
        <v>6811</v>
      </c>
      <c r="E536" s="20" t="s">
        <v>8185</v>
      </c>
      <c r="F536" s="22" t="s">
        <v>8139</v>
      </c>
      <c r="G536" s="20" t="s">
        <v>8575</v>
      </c>
      <c r="H536" s="22" t="s">
        <v>6811</v>
      </c>
      <c r="I536" s="20" t="s">
        <v>8576</v>
      </c>
      <c r="J536" s="20" t="s">
        <v>8577</v>
      </c>
      <c r="K536" s="20" t="s">
        <v>2868</v>
      </c>
      <c r="L536" s="20" t="s">
        <v>8571</v>
      </c>
    </row>
    <row r="537">
      <c r="A537" s="20" t="s">
        <v>8578</v>
      </c>
      <c r="B537" s="21">
        <v>45994.61796296296</v>
      </c>
      <c r="C537" s="20" t="s">
        <v>8138</v>
      </c>
      <c r="D537" s="22" t="s">
        <v>8139</v>
      </c>
      <c r="E537" s="20" t="s">
        <v>8579</v>
      </c>
      <c r="F537" s="22" t="s">
        <v>6811</v>
      </c>
      <c r="G537" s="20"/>
      <c r="H537" s="20"/>
      <c r="I537" s="20" t="s">
        <v>8471</v>
      </c>
      <c r="J537" s="20" t="s">
        <v>8580</v>
      </c>
      <c r="K537" s="20" t="s">
        <v>2868</v>
      </c>
      <c r="L537" s="20" t="s">
        <v>8571</v>
      </c>
    </row>
    <row r="538">
      <c r="A538" s="20" t="s">
        <v>8581</v>
      </c>
      <c r="B538" s="21">
        <v>45994.64650462963</v>
      </c>
      <c r="C538" s="20" t="s">
        <v>7276</v>
      </c>
      <c r="D538" s="22" t="s">
        <v>6811</v>
      </c>
      <c r="E538" s="20" t="s">
        <v>8138</v>
      </c>
      <c r="F538" s="22" t="s">
        <v>8139</v>
      </c>
      <c r="G538" s="20" t="s">
        <v>6818</v>
      </c>
      <c r="H538" s="22" t="s">
        <v>6811</v>
      </c>
      <c r="I538" s="20" t="s">
        <v>8475</v>
      </c>
      <c r="J538" s="20" t="s">
        <v>8582</v>
      </c>
      <c r="K538" s="20" t="s">
        <v>2868</v>
      </c>
      <c r="L538" s="20" t="s">
        <v>8571</v>
      </c>
    </row>
    <row r="539">
      <c r="A539" s="20" t="s">
        <v>8583</v>
      </c>
      <c r="B539" s="21">
        <v>45994.65091435185</v>
      </c>
      <c r="C539" s="20" t="s">
        <v>8138</v>
      </c>
      <c r="D539" s="22" t="s">
        <v>8139</v>
      </c>
      <c r="E539" s="20" t="s">
        <v>7276</v>
      </c>
      <c r="F539" s="22" t="s">
        <v>6811</v>
      </c>
      <c r="G539" s="20" t="s">
        <v>6818</v>
      </c>
      <c r="H539" s="22" t="s">
        <v>6811</v>
      </c>
      <c r="I539" s="20" t="s">
        <v>8471</v>
      </c>
      <c r="J539" s="20" t="s">
        <v>8584</v>
      </c>
      <c r="K539" s="20" t="s">
        <v>2868</v>
      </c>
      <c r="L539" s="20" t="s">
        <v>8571</v>
      </c>
    </row>
    <row r="540">
      <c r="A540" s="20" t="s">
        <v>8585</v>
      </c>
      <c r="B540" s="21">
        <v>45994.65363425926</v>
      </c>
      <c r="C540" s="20" t="s">
        <v>7276</v>
      </c>
      <c r="D540" s="22" t="s">
        <v>6811</v>
      </c>
      <c r="E540" s="20" t="s">
        <v>8138</v>
      </c>
      <c r="F540" s="22" t="s">
        <v>8139</v>
      </c>
      <c r="G540" s="20" t="s">
        <v>6818</v>
      </c>
      <c r="H540" s="22" t="s">
        <v>6811</v>
      </c>
      <c r="I540" s="20" t="s">
        <v>8475</v>
      </c>
      <c r="J540" s="20" t="s">
        <v>8586</v>
      </c>
      <c r="K540" s="20" t="s">
        <v>2868</v>
      </c>
      <c r="L540" s="20" t="s">
        <v>8571</v>
      </c>
    </row>
    <row r="541">
      <c r="A541" s="20" t="s">
        <v>8587</v>
      </c>
      <c r="B541" s="21">
        <v>45994.65771990741</v>
      </c>
      <c r="C541" s="20" t="s">
        <v>8138</v>
      </c>
      <c r="D541" s="22" t="s">
        <v>8139</v>
      </c>
      <c r="E541" s="20" t="s">
        <v>7276</v>
      </c>
      <c r="F541" s="22" t="s">
        <v>6811</v>
      </c>
      <c r="G541" s="20" t="s">
        <v>6818</v>
      </c>
      <c r="H541" s="22" t="s">
        <v>6811</v>
      </c>
      <c r="I541" s="20" t="s">
        <v>8475</v>
      </c>
      <c r="J541" s="20" t="s">
        <v>8588</v>
      </c>
      <c r="K541" s="20" t="s">
        <v>2868</v>
      </c>
      <c r="L541" s="20" t="s">
        <v>8571</v>
      </c>
    </row>
    <row r="542">
      <c r="A542" s="20" t="s">
        <v>8589</v>
      </c>
      <c r="B542" s="21">
        <v>45995.35008101852</v>
      </c>
      <c r="C542" s="20" t="s">
        <v>8590</v>
      </c>
      <c r="D542" s="22" t="s">
        <v>6811</v>
      </c>
      <c r="E542" s="20" t="s">
        <v>8138</v>
      </c>
      <c r="F542" s="22" t="s">
        <v>8139</v>
      </c>
      <c r="G542" s="20" t="s">
        <v>8591</v>
      </c>
      <c r="H542" s="22" t="s">
        <v>6811</v>
      </c>
      <c r="I542" s="20" t="s">
        <v>8475</v>
      </c>
      <c r="J542" s="20" t="s">
        <v>8592</v>
      </c>
      <c r="K542" s="20" t="s">
        <v>2868</v>
      </c>
      <c r="L542" s="20" t="s">
        <v>8571</v>
      </c>
    </row>
    <row r="543">
      <c r="A543" s="20" t="s">
        <v>8593</v>
      </c>
      <c r="B543" s="21">
        <v>45995.69158564815</v>
      </c>
      <c r="C543" s="20" t="s">
        <v>6818</v>
      </c>
      <c r="D543" s="22" t="s">
        <v>6811</v>
      </c>
      <c r="E543" s="20" t="s">
        <v>8590</v>
      </c>
      <c r="F543" s="22" t="s">
        <v>6811</v>
      </c>
      <c r="G543" s="20" t="s">
        <v>8594</v>
      </c>
      <c r="H543" s="20" t="s">
        <v>8141</v>
      </c>
      <c r="I543" s="20" t="s">
        <v>8475</v>
      </c>
      <c r="J543" s="20" t="s">
        <v>8595</v>
      </c>
      <c r="K543" s="20" t="s">
        <v>2868</v>
      </c>
      <c r="L543" s="20" t="s">
        <v>8571</v>
      </c>
    </row>
    <row r="544">
      <c r="A544" s="20" t="s">
        <v>8596</v>
      </c>
      <c r="B544" s="21">
        <v>45995.743055555555</v>
      </c>
      <c r="C544" s="20" t="s">
        <v>8138</v>
      </c>
      <c r="D544" s="22" t="s">
        <v>8139</v>
      </c>
      <c r="E544" s="20" t="s">
        <v>8530</v>
      </c>
      <c r="F544" s="22" t="s">
        <v>6811</v>
      </c>
      <c r="G544" s="20" t="s">
        <v>8597</v>
      </c>
      <c r="H544" s="20" t="s">
        <v>8151</v>
      </c>
      <c r="I544" s="20" t="s">
        <v>8475</v>
      </c>
      <c r="J544" s="20" t="s">
        <v>8598</v>
      </c>
      <c r="K544" s="20" t="s">
        <v>2868</v>
      </c>
      <c r="L544" s="20" t="s">
        <v>8571</v>
      </c>
    </row>
    <row r="545">
      <c r="A545" s="20" t="s">
        <v>8599</v>
      </c>
      <c r="B545" s="21">
        <v>45995.75703703704</v>
      </c>
      <c r="C545" s="20" t="s">
        <v>6818</v>
      </c>
      <c r="D545" s="22" t="s">
        <v>6811</v>
      </c>
      <c r="E545" s="20" t="s">
        <v>8138</v>
      </c>
      <c r="F545" s="22" t="s">
        <v>8139</v>
      </c>
      <c r="G545" s="20" t="s">
        <v>8600</v>
      </c>
      <c r="H545" s="20" t="s">
        <v>8151</v>
      </c>
      <c r="I545" s="20" t="s">
        <v>8475</v>
      </c>
      <c r="J545" s="20" t="s">
        <v>8601</v>
      </c>
      <c r="K545" s="20" t="s">
        <v>2868</v>
      </c>
      <c r="L545" s="20" t="s">
        <v>8571</v>
      </c>
    </row>
    <row r="546">
      <c r="A546" s="20" t="s">
        <v>8602</v>
      </c>
      <c r="B546" s="21">
        <v>45996.2899537037</v>
      </c>
      <c r="C546" s="20" t="s">
        <v>8603</v>
      </c>
      <c r="D546" s="22" t="s">
        <v>8139</v>
      </c>
      <c r="E546" s="20" t="s">
        <v>8604</v>
      </c>
      <c r="F546" s="20" t="s">
        <v>8151</v>
      </c>
      <c r="G546" s="20" t="s">
        <v>8605</v>
      </c>
      <c r="H546" s="20" t="s">
        <v>8151</v>
      </c>
      <c r="I546" s="20" t="s">
        <v>8471</v>
      </c>
      <c r="J546" s="20" t="s">
        <v>8606</v>
      </c>
      <c r="K546" s="20" t="s">
        <v>2868</v>
      </c>
      <c r="L546" s="20" t="s">
        <v>8571</v>
      </c>
    </row>
    <row r="547">
      <c r="A547" s="20" t="s">
        <v>8607</v>
      </c>
      <c r="B547" s="21">
        <v>45996.302141203705</v>
      </c>
      <c r="C547" s="20" t="s">
        <v>8138</v>
      </c>
      <c r="D547" s="22" t="s">
        <v>8139</v>
      </c>
      <c r="E547" s="20" t="s">
        <v>8608</v>
      </c>
      <c r="F547" s="20" t="s">
        <v>8141</v>
      </c>
      <c r="G547" s="20" t="s">
        <v>8609</v>
      </c>
      <c r="H547" s="20" t="s">
        <v>8151</v>
      </c>
      <c r="I547" s="20" t="s">
        <v>8471</v>
      </c>
      <c r="J547" s="20" t="s">
        <v>8610</v>
      </c>
      <c r="K547" s="20" t="s">
        <v>2868</v>
      </c>
      <c r="L547" s="20" t="s">
        <v>8571</v>
      </c>
    </row>
    <row r="548">
      <c r="A548" s="20" t="s">
        <v>8611</v>
      </c>
      <c r="B548" s="21">
        <v>45996.30850694445</v>
      </c>
      <c r="C548" s="20" t="s">
        <v>6818</v>
      </c>
      <c r="D548" s="22" t="s">
        <v>6811</v>
      </c>
      <c r="E548" s="20" t="s">
        <v>8138</v>
      </c>
      <c r="F548" s="22" t="s">
        <v>8139</v>
      </c>
      <c r="G548" s="20" t="s">
        <v>8612</v>
      </c>
      <c r="H548" s="20" t="s">
        <v>8141</v>
      </c>
      <c r="I548" s="20" t="s">
        <v>8475</v>
      </c>
      <c r="J548" s="20" t="s">
        <v>8613</v>
      </c>
      <c r="K548" s="20" t="s">
        <v>2868</v>
      </c>
      <c r="L548" s="20" t="s">
        <v>8571</v>
      </c>
    </row>
    <row r="549">
      <c r="A549" s="20" t="s">
        <v>8614</v>
      </c>
      <c r="B549" s="21">
        <v>45996.31116898148</v>
      </c>
      <c r="C549" s="20" t="s">
        <v>8138</v>
      </c>
      <c r="D549" s="22" t="s">
        <v>8139</v>
      </c>
      <c r="E549" s="20" t="s">
        <v>6818</v>
      </c>
      <c r="F549" s="22" t="s">
        <v>6811</v>
      </c>
      <c r="G549" s="20" t="s">
        <v>8612</v>
      </c>
      <c r="H549" s="20" t="s">
        <v>8141</v>
      </c>
      <c r="I549" s="20" t="s">
        <v>8471</v>
      </c>
      <c r="J549" s="20" t="s">
        <v>8615</v>
      </c>
      <c r="K549" s="20" t="s">
        <v>2868</v>
      </c>
      <c r="L549" s="20" t="s">
        <v>8571</v>
      </c>
    </row>
    <row r="550">
      <c r="A550" s="20" t="s">
        <v>8616</v>
      </c>
      <c r="B550" s="21">
        <v>45996.34929398148</v>
      </c>
      <c r="C550" s="20" t="s">
        <v>8617</v>
      </c>
      <c r="D550" s="22" t="s">
        <v>6811</v>
      </c>
      <c r="E550" s="20" t="s">
        <v>8138</v>
      </c>
      <c r="F550" s="22" t="s">
        <v>8139</v>
      </c>
      <c r="G550" s="20" t="s">
        <v>8618</v>
      </c>
      <c r="H550" s="20" t="s">
        <v>8151</v>
      </c>
      <c r="I550" s="20" t="s">
        <v>8475</v>
      </c>
      <c r="J550" s="20" t="s">
        <v>8619</v>
      </c>
      <c r="K550" s="20" t="s">
        <v>2868</v>
      </c>
      <c r="L550" s="20" t="s">
        <v>8571</v>
      </c>
    </row>
    <row r="551">
      <c r="A551" s="20" t="s">
        <v>8620</v>
      </c>
      <c r="B551" s="21">
        <v>45996.35600694444</v>
      </c>
      <c r="C551" s="20" t="s">
        <v>6818</v>
      </c>
      <c r="D551" s="22" t="s">
        <v>6811</v>
      </c>
      <c r="E551" s="20" t="s">
        <v>8617</v>
      </c>
      <c r="F551" s="22" t="s">
        <v>6811</v>
      </c>
      <c r="G551" s="20" t="s">
        <v>8621</v>
      </c>
      <c r="H551" s="20" t="s">
        <v>8141</v>
      </c>
      <c r="I551" s="20" t="s">
        <v>8475</v>
      </c>
      <c r="J551" s="20" t="s">
        <v>8622</v>
      </c>
      <c r="K551" s="20" t="s">
        <v>2868</v>
      </c>
      <c r="L551" s="20" t="s">
        <v>8571</v>
      </c>
    </row>
    <row r="552">
      <c r="A552" s="20" t="s">
        <v>8623</v>
      </c>
      <c r="B552" s="21">
        <v>45996.43783564815</v>
      </c>
      <c r="C552" s="20" t="s">
        <v>8138</v>
      </c>
      <c r="D552" s="22" t="s">
        <v>8139</v>
      </c>
      <c r="E552" s="20" t="s">
        <v>8624</v>
      </c>
      <c r="F552" s="22" t="s">
        <v>6811</v>
      </c>
      <c r="G552" s="20" t="s">
        <v>8625</v>
      </c>
      <c r="H552" s="20" t="s">
        <v>8141</v>
      </c>
      <c r="I552" s="20" t="s">
        <v>8471</v>
      </c>
      <c r="J552" s="20" t="s">
        <v>8626</v>
      </c>
      <c r="K552" s="20" t="s">
        <v>2868</v>
      </c>
      <c r="L552" s="20" t="s">
        <v>8571</v>
      </c>
    </row>
    <row r="553">
      <c r="A553" s="20" t="s">
        <v>8627</v>
      </c>
      <c r="B553" s="21">
        <v>45996.51751157407</v>
      </c>
      <c r="C553" s="20" t="s">
        <v>8138</v>
      </c>
      <c r="D553" s="22" t="s">
        <v>8139</v>
      </c>
      <c r="E553" s="20" t="s">
        <v>8624</v>
      </c>
      <c r="F553" s="22" t="s">
        <v>6811</v>
      </c>
      <c r="G553" s="20" t="s">
        <v>8625</v>
      </c>
      <c r="H553" s="20" t="s">
        <v>8141</v>
      </c>
      <c r="I553" s="20" t="s">
        <v>8471</v>
      </c>
      <c r="J553" s="20" t="s">
        <v>8628</v>
      </c>
      <c r="K553" s="20" t="s">
        <v>2868</v>
      </c>
      <c r="L553" s="20" t="s">
        <v>8571</v>
      </c>
    </row>
    <row r="554">
      <c r="A554" s="20" t="s">
        <v>8629</v>
      </c>
      <c r="B554" s="21">
        <v>45996.52767361111</v>
      </c>
      <c r="C554" s="20" t="s">
        <v>8138</v>
      </c>
      <c r="D554" s="22" t="s">
        <v>8139</v>
      </c>
      <c r="E554" s="20" t="s">
        <v>8624</v>
      </c>
      <c r="F554" s="22" t="s">
        <v>6811</v>
      </c>
      <c r="G554" s="20" t="s">
        <v>8630</v>
      </c>
      <c r="H554" s="22" t="s">
        <v>6811</v>
      </c>
      <c r="I554" s="20" t="s">
        <v>8471</v>
      </c>
      <c r="J554" s="20" t="s">
        <v>8631</v>
      </c>
      <c r="K554" s="20" t="s">
        <v>2868</v>
      </c>
      <c r="L554" s="20" t="s">
        <v>8571</v>
      </c>
    </row>
    <row r="555">
      <c r="A555" s="20" t="s">
        <v>8632</v>
      </c>
      <c r="B555" s="21">
        <v>45999.320868055554</v>
      </c>
      <c r="C555" s="20" t="s">
        <v>8277</v>
      </c>
      <c r="D555" s="22" t="s">
        <v>6811</v>
      </c>
      <c r="E555" s="20" t="s">
        <v>8185</v>
      </c>
      <c r="F555" s="22" t="s">
        <v>8139</v>
      </c>
      <c r="G555" s="20" t="s">
        <v>8633</v>
      </c>
      <c r="H555" s="20" t="s">
        <v>8151</v>
      </c>
      <c r="I555" s="20" t="s">
        <v>8576</v>
      </c>
      <c r="J555" s="20" t="s">
        <v>8634</v>
      </c>
      <c r="K555" s="20" t="s">
        <v>2868</v>
      </c>
      <c r="L555" s="20" t="s">
        <v>8571</v>
      </c>
    </row>
    <row r="556">
      <c r="A556" s="20" t="s">
        <v>8635</v>
      </c>
      <c r="B556" s="21">
        <v>46001.487291666665</v>
      </c>
      <c r="C556" s="20" t="s">
        <v>8138</v>
      </c>
      <c r="D556" s="22" t="s">
        <v>8139</v>
      </c>
      <c r="E556" s="20" t="s">
        <v>6818</v>
      </c>
      <c r="F556" s="22" t="s">
        <v>6811</v>
      </c>
      <c r="G556" s="20"/>
      <c r="H556" s="20"/>
      <c r="I556" s="20" t="s">
        <v>8471</v>
      </c>
      <c r="J556" s="20" t="s">
        <v>8636</v>
      </c>
      <c r="K556" s="20" t="s">
        <v>2868</v>
      </c>
      <c r="L556" s="20" t="s">
        <v>8571</v>
      </c>
    </row>
    <row r="557">
      <c r="A557" s="20" t="s">
        <v>8637</v>
      </c>
      <c r="B557" s="21">
        <v>46002.42685185185</v>
      </c>
      <c r="C557" s="20" t="s">
        <v>6818</v>
      </c>
      <c r="D557" s="22" t="s">
        <v>6811</v>
      </c>
      <c r="E557" s="20" t="s">
        <v>8138</v>
      </c>
      <c r="F557" s="22" t="s">
        <v>8139</v>
      </c>
      <c r="G557" s="20"/>
      <c r="H557" s="20"/>
      <c r="I557" s="20" t="s">
        <v>8475</v>
      </c>
      <c r="J557" s="20" t="s">
        <v>8638</v>
      </c>
      <c r="K557" s="20" t="s">
        <v>2868</v>
      </c>
      <c r="L557" s="20" t="s">
        <v>8571</v>
      </c>
    </row>
    <row r="558">
      <c r="A558" s="20" t="s">
        <v>8639</v>
      </c>
      <c r="B558" s="21">
        <v>45994.27947916667</v>
      </c>
      <c r="C558" s="20" t="s">
        <v>8138</v>
      </c>
      <c r="D558" s="22" t="s">
        <v>8139</v>
      </c>
      <c r="E558" s="20" t="s">
        <v>8530</v>
      </c>
      <c r="F558" s="22" t="s">
        <v>6811</v>
      </c>
      <c r="G558" s="20"/>
      <c r="H558" s="20"/>
      <c r="I558" s="20" t="s">
        <v>8640</v>
      </c>
      <c r="J558" s="20" t="s">
        <v>8641</v>
      </c>
      <c r="K558" s="20" t="s">
        <v>2868</v>
      </c>
      <c r="L558" s="20" t="s">
        <v>8639</v>
      </c>
    </row>
    <row r="559">
      <c r="A559" s="20" t="s">
        <v>8642</v>
      </c>
      <c r="B559" s="21">
        <v>45994.435324074075</v>
      </c>
      <c r="C559" s="20" t="s">
        <v>8590</v>
      </c>
      <c r="D559" s="22" t="s">
        <v>6811</v>
      </c>
      <c r="E559" s="20" t="s">
        <v>8138</v>
      </c>
      <c r="F559" s="22" t="s">
        <v>8139</v>
      </c>
      <c r="G559" s="20" t="s">
        <v>6818</v>
      </c>
      <c r="H559" s="22" t="s">
        <v>6811</v>
      </c>
      <c r="I559" s="20" t="s">
        <v>8643</v>
      </c>
      <c r="J559" s="20" t="s">
        <v>8644</v>
      </c>
      <c r="K559" s="20" t="s">
        <v>2868</v>
      </c>
      <c r="L559" s="20" t="s">
        <v>8639</v>
      </c>
    </row>
    <row r="560">
      <c r="A560" s="20" t="s">
        <v>8645</v>
      </c>
      <c r="B560" s="21">
        <v>45986.36584490741</v>
      </c>
      <c r="C560" s="20" t="s">
        <v>8590</v>
      </c>
      <c r="D560" s="22" t="s">
        <v>6811</v>
      </c>
      <c r="E560" s="20" t="s">
        <v>8646</v>
      </c>
      <c r="F560" s="20" t="s">
        <v>8151</v>
      </c>
      <c r="G560" s="20"/>
      <c r="H560" s="20"/>
      <c r="I560" s="20" t="s">
        <v>8647</v>
      </c>
      <c r="J560" s="20" t="s">
        <v>8648</v>
      </c>
      <c r="K560" s="20" t="s">
        <v>2868</v>
      </c>
      <c r="L560" s="20" t="s">
        <v>8645</v>
      </c>
    </row>
    <row r="561">
      <c r="A561" s="20" t="s">
        <v>8649</v>
      </c>
      <c r="B561" s="21">
        <v>45986.12688657407</v>
      </c>
      <c r="C561" s="20" t="s">
        <v>6897</v>
      </c>
      <c r="D561" s="22" t="s">
        <v>6811</v>
      </c>
      <c r="E561" s="20" t="s">
        <v>8650</v>
      </c>
      <c r="F561" s="20" t="s">
        <v>8651</v>
      </c>
      <c r="G561" s="20"/>
      <c r="H561" s="20"/>
      <c r="I561" s="20" t="s">
        <v>7949</v>
      </c>
      <c r="J561" s="20" t="s">
        <v>8652</v>
      </c>
      <c r="K561" s="20" t="s">
        <v>5478</v>
      </c>
      <c r="L561" s="20" t="s">
        <v>8649</v>
      </c>
    </row>
    <row r="562">
      <c r="A562" s="20" t="s">
        <v>8653</v>
      </c>
      <c r="B562" s="21">
        <v>45986.435428240744</v>
      </c>
      <c r="C562" s="20" t="s">
        <v>6818</v>
      </c>
      <c r="D562" s="22" t="s">
        <v>6811</v>
      </c>
      <c r="E562" s="20" t="s">
        <v>6897</v>
      </c>
      <c r="F562" s="22" t="s">
        <v>6811</v>
      </c>
      <c r="G562" s="20" t="s">
        <v>8654</v>
      </c>
      <c r="H562" s="22" t="s">
        <v>6615</v>
      </c>
      <c r="I562" s="20" t="s">
        <v>7953</v>
      </c>
      <c r="J562" s="20" t="s">
        <v>8655</v>
      </c>
      <c r="K562" s="20" t="s">
        <v>5478</v>
      </c>
      <c r="L562" s="20" t="s">
        <v>8649</v>
      </c>
    </row>
    <row r="563">
      <c r="A563" s="20" t="s">
        <v>8656</v>
      </c>
      <c r="B563" s="21">
        <v>45993.23373842593</v>
      </c>
      <c r="C563" s="20" t="s">
        <v>8654</v>
      </c>
      <c r="D563" s="22" t="s">
        <v>6615</v>
      </c>
      <c r="E563" s="20" t="s">
        <v>6822</v>
      </c>
      <c r="F563" s="22" t="s">
        <v>6811</v>
      </c>
      <c r="G563" s="20"/>
      <c r="H563" s="20"/>
      <c r="I563" s="20" t="s">
        <v>8657</v>
      </c>
      <c r="J563" s="20" t="s">
        <v>8658</v>
      </c>
      <c r="K563" s="20" t="s">
        <v>5478</v>
      </c>
      <c r="L563" s="20" t="s">
        <v>8649</v>
      </c>
    </row>
    <row r="564">
      <c r="A564" s="20" t="s">
        <v>8659</v>
      </c>
      <c r="B564" s="21">
        <v>46000.474814814814</v>
      </c>
      <c r="C564" s="20" t="s">
        <v>6818</v>
      </c>
      <c r="D564" s="22" t="s">
        <v>6811</v>
      </c>
      <c r="E564" s="20" t="s">
        <v>8654</v>
      </c>
      <c r="F564" s="22" t="s">
        <v>6615</v>
      </c>
      <c r="G564" s="20" t="s">
        <v>6897</v>
      </c>
      <c r="H564" s="22" t="s">
        <v>6811</v>
      </c>
      <c r="I564" s="20" t="s">
        <v>8657</v>
      </c>
      <c r="J564" s="20" t="s">
        <v>8660</v>
      </c>
      <c r="K564" s="20" t="s">
        <v>5478</v>
      </c>
      <c r="L564" s="20" t="s">
        <v>8649</v>
      </c>
    </row>
    <row r="565">
      <c r="A565" s="20" t="s">
        <v>8661</v>
      </c>
      <c r="B565" s="21">
        <v>46028.51039351852</v>
      </c>
      <c r="C565" s="20" t="s">
        <v>6818</v>
      </c>
      <c r="D565" s="22" t="s">
        <v>6811</v>
      </c>
      <c r="E565" s="20" t="s">
        <v>8654</v>
      </c>
      <c r="F565" s="22" t="s">
        <v>6615</v>
      </c>
      <c r="G565" s="20" t="s">
        <v>6897</v>
      </c>
      <c r="H565" s="22" t="s">
        <v>6811</v>
      </c>
      <c r="I565" s="20" t="s">
        <v>8657</v>
      </c>
      <c r="J565" s="20" t="s">
        <v>8662</v>
      </c>
      <c r="K565" s="20" t="s">
        <v>5478</v>
      </c>
      <c r="L565" s="20" t="s">
        <v>8649</v>
      </c>
    </row>
    <row r="566">
      <c r="A566" s="20" t="s">
        <v>8663</v>
      </c>
      <c r="B566" s="21">
        <v>45986.08015046296</v>
      </c>
      <c r="C566" s="20" t="s">
        <v>6897</v>
      </c>
      <c r="D566" s="22" t="s">
        <v>6811</v>
      </c>
      <c r="E566" s="20" t="s">
        <v>8664</v>
      </c>
      <c r="F566" s="20" t="s">
        <v>8262</v>
      </c>
      <c r="G566" s="20"/>
      <c r="H566" s="20"/>
      <c r="I566" s="20" t="s">
        <v>8665</v>
      </c>
      <c r="J566" s="20" t="s">
        <v>8666</v>
      </c>
      <c r="K566" s="20" t="s">
        <v>693</v>
      </c>
      <c r="L566" s="20" t="s">
        <v>8663</v>
      </c>
    </row>
    <row r="567">
      <c r="A567" s="20" t="s">
        <v>8667</v>
      </c>
      <c r="B567" s="21">
        <v>45986.07759259259</v>
      </c>
      <c r="C567" s="20" t="s">
        <v>6897</v>
      </c>
      <c r="D567" s="22" t="s">
        <v>6811</v>
      </c>
      <c r="E567" s="20" t="s">
        <v>8668</v>
      </c>
      <c r="F567" s="20" t="s">
        <v>8432</v>
      </c>
      <c r="G567" s="20"/>
      <c r="H567" s="20"/>
      <c r="I567" s="20" t="s">
        <v>8669</v>
      </c>
      <c r="J567" s="20" t="s">
        <v>8670</v>
      </c>
      <c r="K567" s="20" t="s">
        <v>5498</v>
      </c>
      <c r="L567" s="20" t="s">
        <v>8667</v>
      </c>
    </row>
    <row r="568">
      <c r="A568" s="20" t="s">
        <v>8671</v>
      </c>
      <c r="B568" s="21">
        <v>45986.077199074076</v>
      </c>
      <c r="C568" s="20" t="s">
        <v>6897</v>
      </c>
      <c r="D568" s="22" t="s">
        <v>6811</v>
      </c>
      <c r="E568" s="20" t="s">
        <v>8672</v>
      </c>
      <c r="F568" s="20" t="s">
        <v>8151</v>
      </c>
      <c r="G568" s="20"/>
      <c r="H568" s="20"/>
      <c r="I568" s="20" t="s">
        <v>8673</v>
      </c>
      <c r="J568" s="20" t="s">
        <v>8674</v>
      </c>
      <c r="K568" s="20" t="s">
        <v>2868</v>
      </c>
      <c r="L568" s="20" t="s">
        <v>8671</v>
      </c>
    </row>
    <row r="569">
      <c r="A569" s="20" t="s">
        <v>8675</v>
      </c>
      <c r="B569" s="21">
        <v>45980.48767361111</v>
      </c>
      <c r="C569" s="20" t="s">
        <v>8138</v>
      </c>
      <c r="D569" s="22" t="s">
        <v>8139</v>
      </c>
      <c r="E569" s="20" t="s">
        <v>8534</v>
      </c>
      <c r="F569" s="20" t="s">
        <v>8141</v>
      </c>
      <c r="G569" s="20"/>
      <c r="H569" s="20"/>
      <c r="I569" s="20" t="s">
        <v>8676</v>
      </c>
      <c r="J569" s="20" t="s">
        <v>8677</v>
      </c>
      <c r="K569" s="20" t="s">
        <v>2868</v>
      </c>
      <c r="L569" s="20" t="s">
        <v>8675</v>
      </c>
    </row>
    <row r="570">
      <c r="A570" s="20" t="s">
        <v>8678</v>
      </c>
      <c r="B570" s="21">
        <v>45985.42344907408</v>
      </c>
      <c r="C570" s="20" t="s">
        <v>8590</v>
      </c>
      <c r="D570" s="22" t="s">
        <v>6811</v>
      </c>
      <c r="E570" s="20" t="s">
        <v>8138</v>
      </c>
      <c r="F570" s="22" t="s">
        <v>8139</v>
      </c>
      <c r="G570" s="20" t="s">
        <v>8679</v>
      </c>
      <c r="H570" s="20" t="s">
        <v>8141</v>
      </c>
      <c r="I570" s="20" t="s">
        <v>8680</v>
      </c>
      <c r="J570" s="20" t="s">
        <v>8681</v>
      </c>
      <c r="K570" s="20" t="s">
        <v>2868</v>
      </c>
      <c r="L570" s="20" t="s">
        <v>8675</v>
      </c>
    </row>
    <row r="571">
      <c r="A571" s="20" t="s">
        <v>8682</v>
      </c>
      <c r="B571" s="21">
        <v>45980.4143287037</v>
      </c>
      <c r="C571" s="20" t="s">
        <v>6897</v>
      </c>
      <c r="D571" s="22" t="s">
        <v>6811</v>
      </c>
      <c r="E571" s="20" t="s">
        <v>8683</v>
      </c>
      <c r="F571" s="20" t="s">
        <v>8141</v>
      </c>
      <c r="G571" s="20"/>
      <c r="H571" s="20"/>
      <c r="I571" s="20" t="s">
        <v>8684</v>
      </c>
      <c r="J571" s="20" t="s">
        <v>8685</v>
      </c>
      <c r="K571" s="20" t="s">
        <v>2868</v>
      </c>
      <c r="L571" s="20" t="s">
        <v>8682</v>
      </c>
    </row>
    <row r="572">
      <c r="A572" s="20" t="s">
        <v>8686</v>
      </c>
      <c r="B572" s="21">
        <v>45980.419074074074</v>
      </c>
      <c r="C572" s="20" t="s">
        <v>8590</v>
      </c>
      <c r="D572" s="22" t="s">
        <v>6811</v>
      </c>
      <c r="E572" s="20" t="s">
        <v>6897</v>
      </c>
      <c r="F572" s="22" t="s">
        <v>6811</v>
      </c>
      <c r="G572" s="20" t="s">
        <v>8687</v>
      </c>
      <c r="H572" s="20" t="s">
        <v>8141</v>
      </c>
      <c r="I572" s="20" t="s">
        <v>8684</v>
      </c>
      <c r="J572" s="20" t="s">
        <v>8688</v>
      </c>
      <c r="K572" s="20" t="s">
        <v>2868</v>
      </c>
      <c r="L572" s="20" t="s">
        <v>8682</v>
      </c>
    </row>
    <row r="573">
      <c r="A573" s="20" t="s">
        <v>8689</v>
      </c>
      <c r="B573" s="21">
        <v>46034.492627314816</v>
      </c>
      <c r="C573" s="20" t="s">
        <v>8690</v>
      </c>
      <c r="D573" s="22" t="s">
        <v>6619</v>
      </c>
      <c r="E573" s="20" t="s">
        <v>6818</v>
      </c>
      <c r="F573" s="22" t="s">
        <v>6811</v>
      </c>
      <c r="G573" s="20"/>
      <c r="H573" s="20"/>
      <c r="I573" s="20" t="s">
        <v>8691</v>
      </c>
      <c r="J573" s="20" t="s">
        <v>8692</v>
      </c>
      <c r="K573" s="20" t="s">
        <v>2576</v>
      </c>
      <c r="L573" s="20" t="s">
        <v>8689</v>
      </c>
    </row>
    <row r="574">
      <c r="A574" s="20" t="s">
        <v>8693</v>
      </c>
      <c r="B574" s="21">
        <v>46034.457395833335</v>
      </c>
      <c r="C574" s="20" t="s">
        <v>6897</v>
      </c>
      <c r="D574" s="22" t="s">
        <v>6811</v>
      </c>
      <c r="E574" s="20" t="s">
        <v>8694</v>
      </c>
      <c r="F574" s="20" t="s">
        <v>8695</v>
      </c>
      <c r="G574" s="20"/>
      <c r="H574" s="20"/>
      <c r="I574" s="20" t="s">
        <v>8696</v>
      </c>
      <c r="J574" s="20" t="s">
        <v>8697</v>
      </c>
      <c r="K574" s="20" t="s">
        <v>2576</v>
      </c>
      <c r="L574" s="20" t="s">
        <v>8693</v>
      </c>
    </row>
    <row r="575">
      <c r="A575" s="20" t="s">
        <v>8698</v>
      </c>
      <c r="B575" s="21">
        <v>46034.40872685185</v>
      </c>
      <c r="C575" s="20" t="s">
        <v>6897</v>
      </c>
      <c r="D575" s="22" t="s">
        <v>6811</v>
      </c>
      <c r="E575" s="20" t="s">
        <v>8694</v>
      </c>
      <c r="F575" s="20" t="s">
        <v>8695</v>
      </c>
      <c r="G575" s="20"/>
      <c r="H575" s="20"/>
      <c r="I575" s="20" t="s">
        <v>8699</v>
      </c>
      <c r="J575" s="20" t="s">
        <v>8700</v>
      </c>
      <c r="K575" s="20" t="s">
        <v>2576</v>
      </c>
      <c r="L575" s="20" t="s">
        <v>8698</v>
      </c>
    </row>
    <row r="576">
      <c r="A576" s="20" t="s">
        <v>8701</v>
      </c>
      <c r="B576" s="21">
        <v>46029.51006944444</v>
      </c>
      <c r="C576" s="20" t="s">
        <v>6897</v>
      </c>
      <c r="D576" s="22" t="s">
        <v>6811</v>
      </c>
      <c r="E576" s="20" t="s">
        <v>8702</v>
      </c>
      <c r="F576" s="20" t="s">
        <v>8703</v>
      </c>
      <c r="G576" s="20"/>
      <c r="H576" s="20"/>
      <c r="I576" s="20" t="s">
        <v>8704</v>
      </c>
      <c r="J576" s="20" t="s">
        <v>8705</v>
      </c>
      <c r="K576" s="20" t="s">
        <v>2576</v>
      </c>
      <c r="L576" s="20" t="s">
        <v>8701</v>
      </c>
    </row>
    <row r="577">
      <c r="A577" s="20" t="s">
        <v>8706</v>
      </c>
      <c r="B577" s="21">
        <v>46034.40938657407</v>
      </c>
      <c r="C577" s="20" t="s">
        <v>8690</v>
      </c>
      <c r="D577" s="22" t="s">
        <v>6619</v>
      </c>
      <c r="E577" s="20" t="s">
        <v>6995</v>
      </c>
      <c r="F577" s="22" t="s">
        <v>6811</v>
      </c>
      <c r="G577" s="20"/>
      <c r="H577" s="20"/>
      <c r="I577" s="20" t="s">
        <v>8707</v>
      </c>
      <c r="J577" s="20" t="s">
        <v>8708</v>
      </c>
      <c r="K577" s="20" t="s">
        <v>2576</v>
      </c>
      <c r="L577" s="20" t="s">
        <v>8701</v>
      </c>
    </row>
    <row r="578">
      <c r="A578" s="20" t="s">
        <v>8709</v>
      </c>
      <c r="B578" s="21">
        <v>46028.562939814816</v>
      </c>
      <c r="C578" s="20" t="s">
        <v>6818</v>
      </c>
      <c r="D578" s="22" t="s">
        <v>6811</v>
      </c>
      <c r="E578" s="20" t="s">
        <v>8710</v>
      </c>
      <c r="F578" s="22" t="s">
        <v>6616</v>
      </c>
      <c r="G578" s="20" t="s">
        <v>6853</v>
      </c>
      <c r="H578" s="22" t="s">
        <v>6811</v>
      </c>
      <c r="I578" s="20" t="s">
        <v>6854</v>
      </c>
      <c r="J578" s="20" t="s">
        <v>8711</v>
      </c>
      <c r="K578" s="20" t="s">
        <v>163</v>
      </c>
      <c r="L578" s="20" t="s">
        <v>8709</v>
      </c>
    </row>
    <row r="579">
      <c r="A579" s="20" t="s">
        <v>8712</v>
      </c>
      <c r="B579" s="21">
        <v>46028.562939814816</v>
      </c>
      <c r="C579" s="20" t="s">
        <v>6818</v>
      </c>
      <c r="D579" s="22" t="s">
        <v>6811</v>
      </c>
      <c r="E579" s="20" t="s">
        <v>8713</v>
      </c>
      <c r="F579" s="22" t="s">
        <v>6616</v>
      </c>
      <c r="G579" s="20" t="s">
        <v>6853</v>
      </c>
      <c r="H579" s="22" t="s">
        <v>6811</v>
      </c>
      <c r="I579" s="20" t="s">
        <v>6854</v>
      </c>
      <c r="J579" s="20" t="s">
        <v>8714</v>
      </c>
      <c r="K579" s="20" t="s">
        <v>163</v>
      </c>
      <c r="L579" s="20" t="s">
        <v>8712</v>
      </c>
    </row>
    <row r="580">
      <c r="A580" s="20" t="s">
        <v>8715</v>
      </c>
      <c r="B580" s="21">
        <v>46028.56292824074</v>
      </c>
      <c r="C580" s="20" t="s">
        <v>6818</v>
      </c>
      <c r="D580" s="22" t="s">
        <v>6811</v>
      </c>
      <c r="E580" s="20" t="s">
        <v>8716</v>
      </c>
      <c r="F580" s="22" t="s">
        <v>6619</v>
      </c>
      <c r="G580" s="20" t="s">
        <v>6853</v>
      </c>
      <c r="H580" s="22" t="s">
        <v>6811</v>
      </c>
      <c r="I580" s="20" t="s">
        <v>6854</v>
      </c>
      <c r="J580" s="20" t="s">
        <v>8717</v>
      </c>
      <c r="K580" s="20" t="s">
        <v>2576</v>
      </c>
      <c r="L580" s="20" t="s">
        <v>8715</v>
      </c>
    </row>
    <row r="581">
      <c r="A581" s="20" t="s">
        <v>8718</v>
      </c>
      <c r="B581" s="21">
        <v>46028.56291666666</v>
      </c>
      <c r="C581" s="20" t="s">
        <v>6818</v>
      </c>
      <c r="D581" s="22" t="s">
        <v>6811</v>
      </c>
      <c r="E581" s="20" t="s">
        <v>8719</v>
      </c>
      <c r="F581" s="22" t="s">
        <v>6616</v>
      </c>
      <c r="G581" s="20" t="s">
        <v>6853</v>
      </c>
      <c r="H581" s="22" t="s">
        <v>6811</v>
      </c>
      <c r="I581" s="20" t="s">
        <v>6854</v>
      </c>
      <c r="J581" s="20" t="s">
        <v>8720</v>
      </c>
      <c r="K581" s="20" t="s">
        <v>163</v>
      </c>
      <c r="L581" s="20" t="s">
        <v>8718</v>
      </c>
    </row>
    <row r="582">
      <c r="A582" s="20" t="s">
        <v>8721</v>
      </c>
      <c r="B582" s="21">
        <v>46028.56292824074</v>
      </c>
      <c r="C582" s="20" t="s">
        <v>6818</v>
      </c>
      <c r="D582" s="22" t="s">
        <v>6811</v>
      </c>
      <c r="E582" s="20" t="s">
        <v>8722</v>
      </c>
      <c r="F582" s="22" t="s">
        <v>6616</v>
      </c>
      <c r="G582" s="20" t="s">
        <v>6853</v>
      </c>
      <c r="H582" s="22" t="s">
        <v>6811</v>
      </c>
      <c r="I582" s="20" t="s">
        <v>6854</v>
      </c>
      <c r="J582" s="20" t="s">
        <v>8723</v>
      </c>
      <c r="K582" s="20" t="s">
        <v>163</v>
      </c>
      <c r="L582" s="20" t="s">
        <v>8721</v>
      </c>
    </row>
    <row r="583">
      <c r="A583" s="20" t="s">
        <v>8724</v>
      </c>
      <c r="B583" s="21">
        <v>46028.56292824074</v>
      </c>
      <c r="C583" s="20" t="s">
        <v>6818</v>
      </c>
      <c r="D583" s="22" t="s">
        <v>6811</v>
      </c>
      <c r="E583" s="20" t="s">
        <v>8725</v>
      </c>
      <c r="F583" s="22" t="s">
        <v>6617</v>
      </c>
      <c r="G583" s="20" t="s">
        <v>6853</v>
      </c>
      <c r="H583" s="22" t="s">
        <v>6811</v>
      </c>
      <c r="I583" s="20" t="s">
        <v>6854</v>
      </c>
      <c r="J583" s="20" t="s">
        <v>8726</v>
      </c>
      <c r="K583" s="20" t="s">
        <v>5745</v>
      </c>
      <c r="L583" s="20" t="s">
        <v>8724</v>
      </c>
    </row>
    <row r="584">
      <c r="A584" s="20" t="s">
        <v>8727</v>
      </c>
      <c r="B584" s="21">
        <v>46028.56291666666</v>
      </c>
      <c r="C584" s="20" t="s">
        <v>6818</v>
      </c>
      <c r="D584" s="22" t="s">
        <v>6811</v>
      </c>
      <c r="E584" s="20" t="s">
        <v>8728</v>
      </c>
      <c r="F584" s="22" t="s">
        <v>6617</v>
      </c>
      <c r="G584" s="20" t="s">
        <v>6853</v>
      </c>
      <c r="H584" s="22" t="s">
        <v>6811</v>
      </c>
      <c r="I584" s="20" t="s">
        <v>6854</v>
      </c>
      <c r="J584" s="20" t="s">
        <v>8729</v>
      </c>
      <c r="K584" s="20" t="s">
        <v>5745</v>
      </c>
      <c r="L584" s="20" t="s">
        <v>8727</v>
      </c>
    </row>
    <row r="585">
      <c r="A585" s="20" t="s">
        <v>8730</v>
      </c>
      <c r="B585" s="21">
        <v>46028.56291666666</v>
      </c>
      <c r="C585" s="20" t="s">
        <v>6818</v>
      </c>
      <c r="D585" s="22" t="s">
        <v>6811</v>
      </c>
      <c r="E585" s="20" t="s">
        <v>8731</v>
      </c>
      <c r="F585" s="22" t="s">
        <v>6617</v>
      </c>
      <c r="G585" s="20" t="s">
        <v>6853</v>
      </c>
      <c r="H585" s="22" t="s">
        <v>6811</v>
      </c>
      <c r="I585" s="20" t="s">
        <v>6854</v>
      </c>
      <c r="J585" s="20" t="s">
        <v>8732</v>
      </c>
      <c r="K585" s="20" t="s">
        <v>5745</v>
      </c>
      <c r="L585" s="20" t="s">
        <v>8730</v>
      </c>
    </row>
    <row r="586">
      <c r="A586" s="20" t="s">
        <v>8733</v>
      </c>
      <c r="B586" s="21">
        <v>46028.56291666666</v>
      </c>
      <c r="C586" s="20" t="s">
        <v>6818</v>
      </c>
      <c r="D586" s="22" t="s">
        <v>6811</v>
      </c>
      <c r="E586" s="20" t="s">
        <v>8734</v>
      </c>
      <c r="F586" s="22" t="s">
        <v>6617</v>
      </c>
      <c r="G586" s="20" t="s">
        <v>6853</v>
      </c>
      <c r="H586" s="22" t="s">
        <v>6811</v>
      </c>
      <c r="I586" s="20" t="s">
        <v>6854</v>
      </c>
      <c r="J586" s="20" t="s">
        <v>8735</v>
      </c>
      <c r="K586" s="20" t="s">
        <v>5745</v>
      </c>
      <c r="L586" s="20" t="s">
        <v>8733</v>
      </c>
    </row>
    <row r="587">
      <c r="A587" s="20" t="s">
        <v>8736</v>
      </c>
      <c r="B587" s="21">
        <v>46028.56291666666</v>
      </c>
      <c r="C587" s="20" t="s">
        <v>6818</v>
      </c>
      <c r="D587" s="22" t="s">
        <v>6811</v>
      </c>
      <c r="E587" s="20" t="s">
        <v>8737</v>
      </c>
      <c r="F587" s="22" t="s">
        <v>6617</v>
      </c>
      <c r="G587" s="20" t="s">
        <v>6853</v>
      </c>
      <c r="H587" s="22" t="s">
        <v>6811</v>
      </c>
      <c r="I587" s="20" t="s">
        <v>6854</v>
      </c>
      <c r="J587" s="20" t="s">
        <v>8738</v>
      </c>
      <c r="K587" s="20" t="s">
        <v>5745</v>
      </c>
      <c r="L587" s="20" t="s">
        <v>8736</v>
      </c>
    </row>
    <row r="588">
      <c r="A588" s="20" t="s">
        <v>8739</v>
      </c>
      <c r="B588" s="21">
        <v>46028.56289351852</v>
      </c>
      <c r="C588" s="20" t="s">
        <v>6818</v>
      </c>
      <c r="D588" s="22" t="s">
        <v>6811</v>
      </c>
      <c r="E588" s="20" t="s">
        <v>8740</v>
      </c>
      <c r="F588" s="22" t="s">
        <v>6618</v>
      </c>
      <c r="G588" s="20" t="s">
        <v>6853</v>
      </c>
      <c r="H588" s="22" t="s">
        <v>6811</v>
      </c>
      <c r="I588" s="20" t="s">
        <v>6854</v>
      </c>
      <c r="J588" s="20" t="s">
        <v>8741</v>
      </c>
      <c r="K588" s="20" t="s">
        <v>5246</v>
      </c>
      <c r="L588" s="20" t="s">
        <v>8739</v>
      </c>
    </row>
    <row r="589">
      <c r="A589" s="20" t="s">
        <v>8742</v>
      </c>
      <c r="B589" s="21">
        <v>46012.43870370371</v>
      </c>
      <c r="C589" s="20" t="s">
        <v>8743</v>
      </c>
      <c r="D589" s="22" t="s">
        <v>6616</v>
      </c>
      <c r="E589" s="20" t="s">
        <v>6818</v>
      </c>
      <c r="F589" s="22" t="s">
        <v>6811</v>
      </c>
      <c r="G589" s="20"/>
      <c r="H589" s="20"/>
      <c r="I589" s="20" t="s">
        <v>8744</v>
      </c>
      <c r="J589" s="20" t="s">
        <v>8745</v>
      </c>
      <c r="K589" s="20" t="s">
        <v>163</v>
      </c>
      <c r="L589" s="20" t="s">
        <v>8742</v>
      </c>
    </row>
    <row r="590">
      <c r="A590" s="20" t="s">
        <v>8746</v>
      </c>
      <c r="B590" s="21">
        <v>46010.54465277778</v>
      </c>
      <c r="C590" s="20" t="s">
        <v>8747</v>
      </c>
      <c r="D590" s="22" t="s">
        <v>6616</v>
      </c>
      <c r="E590" s="20" t="s">
        <v>6818</v>
      </c>
      <c r="F590" s="22" t="s">
        <v>6811</v>
      </c>
      <c r="G590" s="20"/>
      <c r="H590" s="20"/>
      <c r="I590" s="20" t="s">
        <v>8748</v>
      </c>
      <c r="J590" s="20" t="s">
        <v>8749</v>
      </c>
      <c r="K590" s="20" t="s">
        <v>163</v>
      </c>
      <c r="L590" s="20" t="s">
        <v>8746</v>
      </c>
    </row>
    <row r="591">
      <c r="A591" s="20" t="s">
        <v>8750</v>
      </c>
      <c r="B591" s="21">
        <v>46006.50005787037</v>
      </c>
      <c r="C591" s="20" t="s">
        <v>7154</v>
      </c>
      <c r="D591" s="22" t="s">
        <v>7155</v>
      </c>
      <c r="E591" s="20" t="s">
        <v>8713</v>
      </c>
      <c r="F591" s="22" t="s">
        <v>6616</v>
      </c>
      <c r="G591" s="20" t="s">
        <v>8751</v>
      </c>
      <c r="H591" s="20" t="s">
        <v>8752</v>
      </c>
      <c r="I591" s="20" t="s">
        <v>7157</v>
      </c>
      <c r="J591" s="20" t="s">
        <v>7158</v>
      </c>
      <c r="K591" s="20" t="s">
        <v>163</v>
      </c>
      <c r="L591" s="20" t="s">
        <v>8750</v>
      </c>
    </row>
    <row r="592">
      <c r="A592" s="20" t="s">
        <v>8753</v>
      </c>
      <c r="B592" s="21">
        <v>46006.50052083333</v>
      </c>
      <c r="C592" s="20" t="s">
        <v>6934</v>
      </c>
      <c r="D592" s="22" t="s">
        <v>6811</v>
      </c>
      <c r="E592" s="20" t="s">
        <v>6950</v>
      </c>
      <c r="F592" s="22" t="s">
        <v>6811</v>
      </c>
      <c r="G592" s="20" t="s">
        <v>8754</v>
      </c>
      <c r="H592" s="20" t="s">
        <v>8752</v>
      </c>
      <c r="I592" s="20" t="s">
        <v>8755</v>
      </c>
      <c r="J592" s="20" t="s">
        <v>8756</v>
      </c>
      <c r="K592" s="20" t="s">
        <v>163</v>
      </c>
      <c r="L592" s="20" t="s">
        <v>8750</v>
      </c>
    </row>
    <row r="593">
      <c r="A593" s="20" t="s">
        <v>8757</v>
      </c>
      <c r="B593" s="21">
        <v>46002.389340277776</v>
      </c>
      <c r="C593" s="20" t="s">
        <v>6934</v>
      </c>
      <c r="D593" s="22" t="s">
        <v>6811</v>
      </c>
      <c r="E593" s="20" t="s">
        <v>6950</v>
      </c>
      <c r="F593" s="22" t="s">
        <v>6811</v>
      </c>
      <c r="G593" s="20" t="s">
        <v>8758</v>
      </c>
      <c r="H593" s="20" t="s">
        <v>8759</v>
      </c>
      <c r="I593" s="20" t="s">
        <v>8760</v>
      </c>
      <c r="J593" s="20" t="s">
        <v>8761</v>
      </c>
      <c r="K593" s="20" t="s">
        <v>163</v>
      </c>
      <c r="L593" s="20" t="s">
        <v>8757</v>
      </c>
    </row>
    <row r="594">
      <c r="A594" s="20" t="s">
        <v>8762</v>
      </c>
      <c r="B594" s="21">
        <v>46002.38905092592</v>
      </c>
      <c r="C594" s="20" t="s">
        <v>6897</v>
      </c>
      <c r="D594" s="22" t="s">
        <v>6811</v>
      </c>
      <c r="E594" s="20" t="s">
        <v>8763</v>
      </c>
      <c r="F594" s="20" t="s">
        <v>8759</v>
      </c>
      <c r="G594" s="20"/>
      <c r="H594" s="20"/>
      <c r="I594" s="20" t="s">
        <v>8764</v>
      </c>
      <c r="J594" s="20" t="s">
        <v>8765</v>
      </c>
      <c r="K594" s="20" t="s">
        <v>163</v>
      </c>
      <c r="L594" s="20" t="s">
        <v>8762</v>
      </c>
    </row>
    <row r="595">
      <c r="A595" s="20" t="s">
        <v>8766</v>
      </c>
      <c r="B595" s="21">
        <v>46002.387615740736</v>
      </c>
      <c r="C595" s="20" t="s">
        <v>6934</v>
      </c>
      <c r="D595" s="22" t="s">
        <v>6811</v>
      </c>
      <c r="E595" s="20" t="s">
        <v>6950</v>
      </c>
      <c r="F595" s="22" t="s">
        <v>6811</v>
      </c>
      <c r="G595" s="20" t="s">
        <v>8758</v>
      </c>
      <c r="H595" s="20" t="s">
        <v>8759</v>
      </c>
      <c r="I595" s="20" t="s">
        <v>8767</v>
      </c>
      <c r="J595" s="20" t="s">
        <v>8768</v>
      </c>
      <c r="K595" s="20" t="s">
        <v>163</v>
      </c>
      <c r="L595" s="20" t="s">
        <v>8766</v>
      </c>
    </row>
    <row r="596">
      <c r="A596" s="20" t="s">
        <v>8769</v>
      </c>
      <c r="B596" s="21">
        <v>46002.38581018518</v>
      </c>
      <c r="C596" s="20" t="s">
        <v>6897</v>
      </c>
      <c r="D596" s="22" t="s">
        <v>6811</v>
      </c>
      <c r="E596" s="20" t="s">
        <v>8763</v>
      </c>
      <c r="F596" s="20" t="s">
        <v>8759</v>
      </c>
      <c r="G596" s="20"/>
      <c r="H596" s="20"/>
      <c r="I596" s="20" t="s">
        <v>7945</v>
      </c>
      <c r="J596" s="20" t="s">
        <v>8770</v>
      </c>
      <c r="K596" s="20" t="s">
        <v>163</v>
      </c>
      <c r="L596" s="20" t="s">
        <v>8769</v>
      </c>
    </row>
    <row r="597">
      <c r="A597" s="20" t="s">
        <v>8771</v>
      </c>
      <c r="B597" s="21">
        <v>46002.32722222222</v>
      </c>
      <c r="C597" s="20" t="s">
        <v>6897</v>
      </c>
      <c r="D597" s="22" t="s">
        <v>6811</v>
      </c>
      <c r="E597" s="20" t="s">
        <v>8772</v>
      </c>
      <c r="F597" s="20" t="s">
        <v>8752</v>
      </c>
      <c r="G597" s="20" t="s">
        <v>8773</v>
      </c>
      <c r="H597" s="20" t="s">
        <v>8759</v>
      </c>
      <c r="I597" s="20" t="s">
        <v>8774</v>
      </c>
      <c r="J597" s="20" t="s">
        <v>8775</v>
      </c>
      <c r="K597" s="20" t="s">
        <v>163</v>
      </c>
      <c r="L597" s="20" t="s">
        <v>8771</v>
      </c>
    </row>
    <row r="598">
      <c r="A598" s="20" t="s">
        <v>8776</v>
      </c>
      <c r="B598" s="21">
        <v>46006.58015046296</v>
      </c>
      <c r="C598" s="20" t="s">
        <v>8743</v>
      </c>
      <c r="D598" s="22" t="s">
        <v>6616</v>
      </c>
      <c r="E598" s="20" t="s">
        <v>8777</v>
      </c>
      <c r="F598" s="22" t="s">
        <v>6811</v>
      </c>
      <c r="G598" s="20" t="s">
        <v>8747</v>
      </c>
      <c r="H598" s="22" t="s">
        <v>6616</v>
      </c>
      <c r="I598" s="20" t="s">
        <v>8778</v>
      </c>
      <c r="J598" s="20" t="s">
        <v>8779</v>
      </c>
      <c r="K598" s="20" t="s">
        <v>163</v>
      </c>
      <c r="L598" s="20" t="s">
        <v>8771</v>
      </c>
    </row>
    <row r="599">
      <c r="A599" s="20" t="s">
        <v>8780</v>
      </c>
      <c r="B599" s="21">
        <v>46009.33333333333</v>
      </c>
      <c r="C599" s="20" t="s">
        <v>6818</v>
      </c>
      <c r="D599" s="22" t="s">
        <v>6811</v>
      </c>
      <c r="E599" s="20" t="s">
        <v>8743</v>
      </c>
      <c r="F599" s="22" t="s">
        <v>6616</v>
      </c>
      <c r="G599" s="20" t="s">
        <v>8781</v>
      </c>
      <c r="H599" s="20" t="s">
        <v>8759</v>
      </c>
      <c r="I599" s="20" t="s">
        <v>8774</v>
      </c>
      <c r="J599" s="20" t="s">
        <v>8782</v>
      </c>
      <c r="K599" s="20" t="s">
        <v>163</v>
      </c>
      <c r="L599" s="20" t="s">
        <v>8771</v>
      </c>
    </row>
    <row r="600">
      <c r="A600" s="20" t="s">
        <v>8783</v>
      </c>
      <c r="B600" s="21">
        <v>46009.35005787037</v>
      </c>
      <c r="C600" s="20" t="s">
        <v>8743</v>
      </c>
      <c r="D600" s="22" t="s">
        <v>6616</v>
      </c>
      <c r="E600" s="20" t="s">
        <v>6818</v>
      </c>
      <c r="F600" s="22" t="s">
        <v>6811</v>
      </c>
      <c r="G600" s="20" t="s">
        <v>8781</v>
      </c>
      <c r="H600" s="20" t="s">
        <v>8759</v>
      </c>
      <c r="I600" s="20" t="s">
        <v>8784</v>
      </c>
      <c r="J600" s="20" t="s">
        <v>8785</v>
      </c>
      <c r="K600" s="20" t="s">
        <v>163</v>
      </c>
      <c r="L600" s="20" t="s">
        <v>8771</v>
      </c>
    </row>
    <row r="601">
      <c r="A601" s="20" t="s">
        <v>8786</v>
      </c>
      <c r="B601" s="21">
        <v>46009.35800925926</v>
      </c>
      <c r="C601" s="20" t="s">
        <v>6818</v>
      </c>
      <c r="D601" s="22" t="s">
        <v>6811</v>
      </c>
      <c r="E601" s="20" t="s">
        <v>8743</v>
      </c>
      <c r="F601" s="22" t="s">
        <v>6616</v>
      </c>
      <c r="G601" s="20" t="s">
        <v>8781</v>
      </c>
      <c r="H601" s="20" t="s">
        <v>8759</v>
      </c>
      <c r="I601" s="20" t="s">
        <v>8787</v>
      </c>
      <c r="J601" s="20" t="s">
        <v>8788</v>
      </c>
      <c r="K601" s="20" t="s">
        <v>163</v>
      </c>
      <c r="L601" s="20" t="s">
        <v>8771</v>
      </c>
    </row>
    <row r="602">
      <c r="A602" s="20" t="s">
        <v>8789</v>
      </c>
      <c r="B602" s="21">
        <v>46009.39645833333</v>
      </c>
      <c r="C602" s="20" t="s">
        <v>8743</v>
      </c>
      <c r="D602" s="22" t="s">
        <v>6616</v>
      </c>
      <c r="E602" s="20" t="s">
        <v>6818</v>
      </c>
      <c r="F602" s="22" t="s">
        <v>6811</v>
      </c>
      <c r="G602" s="20" t="s">
        <v>8781</v>
      </c>
      <c r="H602" s="20" t="s">
        <v>8759</v>
      </c>
      <c r="I602" s="20" t="s">
        <v>8784</v>
      </c>
      <c r="J602" s="20" t="s">
        <v>8790</v>
      </c>
      <c r="K602" s="20" t="s">
        <v>163</v>
      </c>
      <c r="L602" s="20" t="s">
        <v>8771</v>
      </c>
    </row>
    <row r="603">
      <c r="A603" s="20" t="s">
        <v>8791</v>
      </c>
      <c r="B603" s="21">
        <v>45992.454780092594</v>
      </c>
      <c r="C603" s="20" t="s">
        <v>7905</v>
      </c>
      <c r="D603" s="22" t="s">
        <v>6811</v>
      </c>
      <c r="E603" s="20" t="s">
        <v>8792</v>
      </c>
      <c r="F603" s="20" t="s">
        <v>8793</v>
      </c>
      <c r="G603" s="20"/>
      <c r="H603" s="20"/>
      <c r="I603" s="20" t="s">
        <v>7912</v>
      </c>
      <c r="J603" s="20" t="s">
        <v>8794</v>
      </c>
      <c r="K603" s="20" t="s">
        <v>5745</v>
      </c>
      <c r="L603" s="20" t="s">
        <v>8791</v>
      </c>
    </row>
    <row r="604">
      <c r="A604" s="20" t="s">
        <v>8795</v>
      </c>
      <c r="B604" s="21">
        <v>45993.670439814814</v>
      </c>
      <c r="C604" s="20" t="s">
        <v>6818</v>
      </c>
      <c r="D604" s="22" t="s">
        <v>6811</v>
      </c>
      <c r="E604" s="20" t="s">
        <v>7905</v>
      </c>
      <c r="F604" s="22" t="s">
        <v>6811</v>
      </c>
      <c r="G604" s="20" t="s">
        <v>8796</v>
      </c>
      <c r="H604" s="22" t="s">
        <v>6617</v>
      </c>
      <c r="I604" s="20" t="s">
        <v>8797</v>
      </c>
      <c r="J604" s="20" t="s">
        <v>8798</v>
      </c>
      <c r="K604" s="20" t="s">
        <v>5745</v>
      </c>
      <c r="L604" s="20" t="s">
        <v>8791</v>
      </c>
    </row>
    <row r="605">
      <c r="A605" s="20" t="s">
        <v>8799</v>
      </c>
      <c r="B605" s="21">
        <v>45986.37178240741</v>
      </c>
      <c r="C605" s="20" t="s">
        <v>7905</v>
      </c>
      <c r="D605" s="22" t="s">
        <v>6811</v>
      </c>
      <c r="E605" s="20" t="s">
        <v>8800</v>
      </c>
      <c r="F605" s="20" t="s">
        <v>8793</v>
      </c>
      <c r="G605" s="20"/>
      <c r="H605" s="20"/>
      <c r="I605" s="20" t="s">
        <v>8801</v>
      </c>
      <c r="J605" s="20" t="s">
        <v>8802</v>
      </c>
      <c r="K605" s="20" t="s">
        <v>5745</v>
      </c>
      <c r="L605" s="20" t="s">
        <v>8799</v>
      </c>
    </row>
    <row r="606">
      <c r="A606" s="20" t="s">
        <v>8803</v>
      </c>
      <c r="B606" s="21">
        <v>46034.63700231482</v>
      </c>
      <c r="C606" s="20" t="s">
        <v>6818</v>
      </c>
      <c r="D606" s="22" t="s">
        <v>6811</v>
      </c>
      <c r="E606" s="20" t="s">
        <v>7286</v>
      </c>
      <c r="F606" s="22" t="s">
        <v>6586</v>
      </c>
      <c r="G606" s="20" t="s">
        <v>7272</v>
      </c>
      <c r="H606" s="22" t="s">
        <v>6586</v>
      </c>
      <c r="I606" s="20" t="s">
        <v>7287</v>
      </c>
      <c r="J606" s="20" t="s">
        <v>8804</v>
      </c>
      <c r="K606" s="20" t="s">
        <v>5396</v>
      </c>
      <c r="L606" s="20" t="s">
        <v>7281</v>
      </c>
    </row>
    <row r="607">
      <c r="A607" s="20" t="s">
        <v>8805</v>
      </c>
      <c r="B607" s="21">
        <v>46034.67354166666</v>
      </c>
      <c r="C607" s="20" t="s">
        <v>7041</v>
      </c>
      <c r="D607" s="22" t="s">
        <v>6582</v>
      </c>
      <c r="E607" s="20" t="s">
        <v>6818</v>
      </c>
      <c r="F607" s="22" t="s">
        <v>6811</v>
      </c>
      <c r="G607" s="20" t="s">
        <v>8806</v>
      </c>
      <c r="H607" s="20" t="s">
        <v>7169</v>
      </c>
      <c r="I607" s="20" t="s">
        <v>8807</v>
      </c>
      <c r="J607" s="20" t="s">
        <v>8808</v>
      </c>
      <c r="K607" s="20" t="s">
        <v>5827</v>
      </c>
      <c r="L607" s="20" t="s">
        <v>8805</v>
      </c>
    </row>
    <row r="608">
      <c r="A608" s="20" t="s">
        <v>8809</v>
      </c>
      <c r="B608" s="21">
        <v>46034.58850694445</v>
      </c>
      <c r="C608" s="20" t="s">
        <v>8617</v>
      </c>
      <c r="D608" s="22" t="s">
        <v>6811</v>
      </c>
      <c r="E608" s="20" t="s">
        <v>8810</v>
      </c>
      <c r="F608" s="22" t="s">
        <v>6609</v>
      </c>
      <c r="G608" s="20" t="s">
        <v>6818</v>
      </c>
      <c r="H608" s="22" t="s">
        <v>6811</v>
      </c>
      <c r="I608" s="20" t="s">
        <v>8811</v>
      </c>
      <c r="J608" s="20" t="s">
        <v>8812</v>
      </c>
      <c r="K608" s="20" t="s">
        <v>5518</v>
      </c>
      <c r="L608" s="20" t="s">
        <v>8809</v>
      </c>
    </row>
    <row r="609">
      <c r="A609" s="20" t="s">
        <v>8813</v>
      </c>
      <c r="B609" s="21">
        <v>46034.627488425926</v>
      </c>
      <c r="C609" s="20" t="s">
        <v>6818</v>
      </c>
      <c r="D609" s="22" t="s">
        <v>6811</v>
      </c>
      <c r="E609" s="20" t="s">
        <v>8617</v>
      </c>
      <c r="F609" s="22" t="s">
        <v>6811</v>
      </c>
      <c r="G609" s="20" t="s">
        <v>8810</v>
      </c>
      <c r="H609" s="22" t="s">
        <v>6609</v>
      </c>
      <c r="I609" s="20" t="s">
        <v>8814</v>
      </c>
      <c r="J609" s="20" t="s">
        <v>8815</v>
      </c>
      <c r="K609" s="20" t="s">
        <v>5518</v>
      </c>
      <c r="L609" s="20" t="s">
        <v>8809</v>
      </c>
    </row>
    <row r="610">
      <c r="A610" s="20" t="s">
        <v>8816</v>
      </c>
      <c r="B610" s="21">
        <v>46035.35128472222</v>
      </c>
      <c r="C610" s="20" t="s">
        <v>8277</v>
      </c>
      <c r="D610" s="22" t="s">
        <v>6811</v>
      </c>
      <c r="E610" s="20" t="s">
        <v>8185</v>
      </c>
      <c r="F610" s="22" t="s">
        <v>8139</v>
      </c>
      <c r="G610" s="20" t="s">
        <v>8240</v>
      </c>
      <c r="H610" s="22" t="s">
        <v>6811</v>
      </c>
      <c r="I610" s="20" t="s">
        <v>8241</v>
      </c>
      <c r="J610" s="20" t="s">
        <v>8817</v>
      </c>
      <c r="K610" s="20" t="s">
        <v>2868</v>
      </c>
      <c r="L610" s="20" t="s">
        <v>8222</v>
      </c>
    </row>
    <row r="611">
      <c r="A611" s="20" t="s">
        <v>8818</v>
      </c>
      <c r="B611" s="21">
        <v>46035.364537037036</v>
      </c>
      <c r="C611" s="20" t="s">
        <v>8819</v>
      </c>
      <c r="D611" s="22" t="s">
        <v>7034</v>
      </c>
      <c r="E611" s="20" t="s">
        <v>6818</v>
      </c>
      <c r="F611" s="22" t="s">
        <v>6811</v>
      </c>
      <c r="G611" s="20"/>
      <c r="H611" s="20"/>
      <c r="I611" s="20" t="s">
        <v>7035</v>
      </c>
      <c r="J611" s="20" t="s">
        <v>7036</v>
      </c>
      <c r="K611" s="20" t="s">
        <v>2712</v>
      </c>
      <c r="L611" s="20" t="s">
        <v>8818</v>
      </c>
    </row>
    <row r="612">
      <c r="A612" s="20" t="s">
        <v>8820</v>
      </c>
      <c r="B612" s="21">
        <v>46035.35949074074</v>
      </c>
      <c r="C612" s="20" t="s">
        <v>7272</v>
      </c>
      <c r="D612" s="22" t="s">
        <v>6586</v>
      </c>
      <c r="E612" s="20" t="s">
        <v>7276</v>
      </c>
      <c r="F612" s="22" t="s">
        <v>6811</v>
      </c>
      <c r="G612" s="20" t="s">
        <v>8821</v>
      </c>
      <c r="H612" s="20" t="s">
        <v>7278</v>
      </c>
      <c r="I612" s="20" t="s">
        <v>7279</v>
      </c>
      <c r="J612" s="20" t="s">
        <v>8822</v>
      </c>
      <c r="K612" s="20" t="s">
        <v>5396</v>
      </c>
      <c r="L612" s="20" t="s">
        <v>7271</v>
      </c>
    </row>
    <row r="613">
      <c r="A613" s="20" t="s">
        <v>8823</v>
      </c>
      <c r="B613" s="21">
        <v>46035.35815972222</v>
      </c>
      <c r="C613" s="20" t="s">
        <v>7272</v>
      </c>
      <c r="D613" s="22" t="s">
        <v>6586</v>
      </c>
      <c r="E613" s="20" t="s">
        <v>6853</v>
      </c>
      <c r="F613" s="22" t="s">
        <v>6811</v>
      </c>
      <c r="G613" s="20"/>
      <c r="H613" s="20"/>
      <c r="I613" s="20" t="s">
        <v>8824</v>
      </c>
      <c r="J613" s="20" t="s">
        <v>8825</v>
      </c>
      <c r="K613" s="20" t="s">
        <v>5396</v>
      </c>
      <c r="L613" s="20" t="s">
        <v>8823</v>
      </c>
    </row>
    <row r="614">
      <c r="A614" s="20" t="s">
        <v>8826</v>
      </c>
      <c r="B614" s="21">
        <v>46035.35834490741</v>
      </c>
      <c r="C614" s="20" t="s">
        <v>8827</v>
      </c>
      <c r="D614" s="22" t="s">
        <v>6591</v>
      </c>
      <c r="E614" s="20" t="s">
        <v>6818</v>
      </c>
      <c r="F614" s="22" t="s">
        <v>6811</v>
      </c>
      <c r="G614" s="20" t="s">
        <v>6897</v>
      </c>
      <c r="H614" s="22" t="s">
        <v>6811</v>
      </c>
      <c r="I614" s="20" t="s">
        <v>8828</v>
      </c>
      <c r="J614" s="20" t="s">
        <v>8829</v>
      </c>
      <c r="K614" s="20" t="s">
        <v>2594</v>
      </c>
      <c r="L614" s="20" t="s">
        <v>8826</v>
      </c>
    </row>
    <row r="615">
      <c r="A615" s="20" t="s">
        <v>8830</v>
      </c>
      <c r="B615" s="21">
        <v>46035.43984953704</v>
      </c>
      <c r="C615" s="20" t="s">
        <v>8831</v>
      </c>
      <c r="D615" s="22" t="s">
        <v>6586</v>
      </c>
      <c r="E615" s="20" t="s">
        <v>6853</v>
      </c>
      <c r="F615" s="22" t="s">
        <v>6811</v>
      </c>
      <c r="G615" s="20"/>
      <c r="H615" s="20"/>
      <c r="I615" s="20" t="s">
        <v>8832</v>
      </c>
      <c r="J615" s="20" t="s">
        <v>8833</v>
      </c>
      <c r="K615" s="20" t="s">
        <v>5396</v>
      </c>
      <c r="L615" s="20" t="s">
        <v>8830</v>
      </c>
    </row>
    <row r="616">
      <c r="A616" s="20" t="s">
        <v>8834</v>
      </c>
      <c r="B616" s="21">
        <v>46035.45979166667</v>
      </c>
      <c r="C616" s="20" t="s">
        <v>7276</v>
      </c>
      <c r="D616" s="22" t="s">
        <v>6811</v>
      </c>
      <c r="E616" s="20" t="s">
        <v>7272</v>
      </c>
      <c r="F616" s="22" t="s">
        <v>6586</v>
      </c>
      <c r="G616" s="20" t="s">
        <v>8821</v>
      </c>
      <c r="H616" s="20" t="s">
        <v>7278</v>
      </c>
      <c r="I616" s="20" t="s">
        <v>7279</v>
      </c>
      <c r="J616" s="20" t="s">
        <v>8835</v>
      </c>
      <c r="K616" s="20" t="s">
        <v>5396</v>
      </c>
      <c r="L616" s="20" t="s">
        <v>7271</v>
      </c>
    </row>
    <row r="617">
      <c r="A617" s="20" t="s">
        <v>8836</v>
      </c>
      <c r="B617" s="21">
        <v>46035.510775462964</v>
      </c>
      <c r="C617" s="20" t="s">
        <v>7292</v>
      </c>
      <c r="D617" s="22" t="s">
        <v>6587</v>
      </c>
      <c r="E617" s="20" t="s">
        <v>8837</v>
      </c>
      <c r="F617" s="22" t="s">
        <v>6811</v>
      </c>
      <c r="G617" s="20" t="s">
        <v>7402</v>
      </c>
      <c r="H617" s="22" t="s">
        <v>6587</v>
      </c>
      <c r="I617" s="20" t="s">
        <v>8838</v>
      </c>
      <c r="J617" s="20" t="s">
        <v>8839</v>
      </c>
      <c r="K617" s="20" t="s">
        <v>5815</v>
      </c>
      <c r="L617" s="20" t="s">
        <v>8836</v>
      </c>
    </row>
    <row r="618">
      <c r="A618" s="20" t="s">
        <v>8840</v>
      </c>
      <c r="B618" s="21">
        <v>46035.52039351852</v>
      </c>
      <c r="C618" s="20" t="s">
        <v>7272</v>
      </c>
      <c r="D618" s="22" t="s">
        <v>6586</v>
      </c>
      <c r="E618" s="20" t="s">
        <v>7276</v>
      </c>
      <c r="F618" s="22" t="s">
        <v>6811</v>
      </c>
      <c r="G618" s="20" t="s">
        <v>8821</v>
      </c>
      <c r="H618" s="20" t="s">
        <v>7278</v>
      </c>
      <c r="I618" s="20" t="s">
        <v>7279</v>
      </c>
      <c r="J618" s="20" t="s">
        <v>8841</v>
      </c>
      <c r="K618" s="20" t="s">
        <v>5396</v>
      </c>
      <c r="L618" s="20" t="s">
        <v>7271</v>
      </c>
    </row>
    <row r="619">
      <c r="A619" s="20" t="s">
        <v>8842</v>
      </c>
      <c r="B619" s="21">
        <v>46035.52150462963</v>
      </c>
      <c r="C619" s="20" t="s">
        <v>8138</v>
      </c>
      <c r="D619" s="22" t="s">
        <v>8139</v>
      </c>
      <c r="E619" s="20" t="s">
        <v>8843</v>
      </c>
      <c r="F619" s="22" t="s">
        <v>6811</v>
      </c>
      <c r="G619" s="20" t="s">
        <v>8844</v>
      </c>
      <c r="H619" s="22" t="s">
        <v>6811</v>
      </c>
      <c r="I619" s="20" t="s">
        <v>8845</v>
      </c>
      <c r="J619" s="20" t="s">
        <v>8846</v>
      </c>
      <c r="K619" s="20" t="s">
        <v>2868</v>
      </c>
      <c r="L619" s="20" t="s">
        <v>8222</v>
      </c>
    </row>
    <row r="620">
      <c r="A620" s="20" t="s">
        <v>8847</v>
      </c>
      <c r="B620" s="21">
        <v>46035.527245370366</v>
      </c>
      <c r="C620" s="20" t="s">
        <v>8138</v>
      </c>
      <c r="D620" s="22" t="s">
        <v>8139</v>
      </c>
      <c r="E620" s="20" t="s">
        <v>8843</v>
      </c>
      <c r="F620" s="22" t="s">
        <v>6811</v>
      </c>
      <c r="G620" s="20" t="s">
        <v>8844</v>
      </c>
      <c r="H620" s="22" t="s">
        <v>6811</v>
      </c>
      <c r="I620" s="20" t="s">
        <v>8848</v>
      </c>
      <c r="J620" s="20" t="s">
        <v>8849</v>
      </c>
      <c r="K620" s="20" t="s">
        <v>2868</v>
      </c>
      <c r="L620" s="20" t="s">
        <v>8847</v>
      </c>
    </row>
    <row r="621">
      <c r="A621" s="20" t="s">
        <v>8850</v>
      </c>
      <c r="B621" s="21">
        <v>46035.536828703705</v>
      </c>
      <c r="C621" s="20" t="s">
        <v>6818</v>
      </c>
      <c r="D621" s="22" t="s">
        <v>6811</v>
      </c>
      <c r="E621" s="20" t="s">
        <v>8138</v>
      </c>
      <c r="F621" s="22" t="s">
        <v>8139</v>
      </c>
      <c r="G621" s="20" t="s">
        <v>8844</v>
      </c>
      <c r="H621" s="22" t="s">
        <v>6811</v>
      </c>
      <c r="I621" s="20" t="s">
        <v>8851</v>
      </c>
      <c r="J621" s="20" t="s">
        <v>8852</v>
      </c>
      <c r="K621" s="20" t="s">
        <v>2868</v>
      </c>
      <c r="L621" s="20" t="s">
        <v>8847</v>
      </c>
    </row>
    <row r="622">
      <c r="A622" s="20" t="s">
        <v>8853</v>
      </c>
      <c r="B622" s="21">
        <v>46035.556180555555</v>
      </c>
      <c r="C622" s="20" t="s">
        <v>6818</v>
      </c>
      <c r="D622" s="22" t="s">
        <v>6811</v>
      </c>
      <c r="E622" s="20" t="s">
        <v>8040</v>
      </c>
      <c r="F622" s="22" t="s">
        <v>6608</v>
      </c>
      <c r="G622" s="20" t="s">
        <v>6897</v>
      </c>
      <c r="H622" s="22" t="s">
        <v>6811</v>
      </c>
      <c r="I622" s="20" t="s">
        <v>8854</v>
      </c>
      <c r="J622" s="20" t="s">
        <v>8855</v>
      </c>
      <c r="K622" s="20" t="s">
        <v>4466</v>
      </c>
      <c r="L622" s="20" t="s">
        <v>8856</v>
      </c>
    </row>
    <row r="623">
      <c r="A623" s="20" t="s">
        <v>8857</v>
      </c>
      <c r="B623" s="21">
        <v>46035.5811574074</v>
      </c>
      <c r="C623" s="20" t="s">
        <v>7376</v>
      </c>
      <c r="D623" s="22" t="s">
        <v>6586</v>
      </c>
      <c r="E623" s="20" t="s">
        <v>7272</v>
      </c>
      <c r="F623" s="22" t="s">
        <v>6586</v>
      </c>
      <c r="G623" s="20" t="s">
        <v>8858</v>
      </c>
      <c r="H623" s="22" t="s">
        <v>6811</v>
      </c>
      <c r="I623" s="20" t="s">
        <v>7279</v>
      </c>
      <c r="J623" s="20" t="s">
        <v>8859</v>
      </c>
      <c r="K623" s="20" t="s">
        <v>5396</v>
      </c>
      <c r="L623" s="20" t="s">
        <v>7271</v>
      </c>
    </row>
    <row r="624">
      <c r="A624" s="20" t="s">
        <v>8860</v>
      </c>
      <c r="B624" s="21">
        <v>46035.58215277777</v>
      </c>
      <c r="C624" s="20" t="s">
        <v>7276</v>
      </c>
      <c r="D624" s="22" t="s">
        <v>6811</v>
      </c>
      <c r="E624" s="20" t="s">
        <v>7376</v>
      </c>
      <c r="F624" s="22" t="s">
        <v>6586</v>
      </c>
      <c r="G624" s="20" t="s">
        <v>7470</v>
      </c>
      <c r="H624" s="20" t="s">
        <v>7457</v>
      </c>
      <c r="I624" s="20" t="s">
        <v>7279</v>
      </c>
      <c r="J624" s="20" t="s">
        <v>8861</v>
      </c>
      <c r="K624" s="20" t="s">
        <v>5396</v>
      </c>
      <c r="L624" s="20" t="s">
        <v>7271</v>
      </c>
    </row>
    <row r="625">
      <c r="A625" s="20" t="s">
        <v>8862</v>
      </c>
      <c r="B625" s="21">
        <v>46035.619374999995</v>
      </c>
      <c r="C625" s="20" t="s">
        <v>7367</v>
      </c>
      <c r="D625" s="22" t="s">
        <v>6811</v>
      </c>
      <c r="E625" s="20" t="s">
        <v>7292</v>
      </c>
      <c r="F625" s="22" t="s">
        <v>6587</v>
      </c>
      <c r="G625" s="20" t="s">
        <v>8863</v>
      </c>
      <c r="H625" s="20" t="s">
        <v>7359</v>
      </c>
      <c r="I625" s="20" t="s">
        <v>8864</v>
      </c>
      <c r="J625" s="20" t="s">
        <v>8865</v>
      </c>
      <c r="K625" s="20" t="s">
        <v>5815</v>
      </c>
      <c r="L625" s="20" t="s">
        <v>8836</v>
      </c>
    </row>
    <row r="626">
      <c r="A626" s="20" t="s">
        <v>8866</v>
      </c>
      <c r="B626" s="21">
        <v>46035.62421296297</v>
      </c>
      <c r="C626" s="20" t="s">
        <v>7292</v>
      </c>
      <c r="D626" s="22" t="s">
        <v>6587</v>
      </c>
      <c r="E626" s="20" t="s">
        <v>7367</v>
      </c>
      <c r="F626" s="22" t="s">
        <v>6811</v>
      </c>
      <c r="G626" s="20" t="s">
        <v>8863</v>
      </c>
      <c r="H626" s="20" t="s">
        <v>7359</v>
      </c>
      <c r="I626" s="20" t="s">
        <v>8838</v>
      </c>
      <c r="J626" s="20" t="s">
        <v>8867</v>
      </c>
      <c r="K626" s="20" t="s">
        <v>5815</v>
      </c>
      <c r="L626" s="20" t="s">
        <v>8836</v>
      </c>
    </row>
    <row r="627">
      <c r="A627" s="20" t="s">
        <v>8868</v>
      </c>
      <c r="B627" s="21">
        <v>46035.640868055554</v>
      </c>
      <c r="C627" s="20" t="s">
        <v>7367</v>
      </c>
      <c r="D627" s="22" t="s">
        <v>6811</v>
      </c>
      <c r="E627" s="20" t="s">
        <v>7292</v>
      </c>
      <c r="F627" s="22" t="s">
        <v>6587</v>
      </c>
      <c r="G627" s="20" t="s">
        <v>8863</v>
      </c>
      <c r="H627" s="20" t="s">
        <v>7359</v>
      </c>
      <c r="I627" s="20" t="s">
        <v>8864</v>
      </c>
      <c r="J627" s="20" t="s">
        <v>8869</v>
      </c>
      <c r="K627" s="20" t="s">
        <v>5815</v>
      </c>
      <c r="L627" s="20" t="s">
        <v>8836</v>
      </c>
    </row>
    <row r="628">
      <c r="A628" s="20" t="s">
        <v>8870</v>
      </c>
      <c r="B628" s="21">
        <v>46035.646620370375</v>
      </c>
      <c r="C628" s="20" t="s">
        <v>7292</v>
      </c>
      <c r="D628" s="22" t="s">
        <v>6587</v>
      </c>
      <c r="E628" s="20" t="s">
        <v>7367</v>
      </c>
      <c r="F628" s="22" t="s">
        <v>6811</v>
      </c>
      <c r="G628" s="20" t="s">
        <v>8863</v>
      </c>
      <c r="H628" s="20" t="s">
        <v>7359</v>
      </c>
      <c r="I628" s="20" t="s">
        <v>8838</v>
      </c>
      <c r="J628" s="20" t="s">
        <v>8871</v>
      </c>
      <c r="K628" s="20" t="s">
        <v>5815</v>
      </c>
      <c r="L628" s="20" t="s">
        <v>8836</v>
      </c>
    </row>
    <row r="629">
      <c r="A629" s="20" t="s">
        <v>8872</v>
      </c>
      <c r="B629" s="21">
        <v>46035.65590277778</v>
      </c>
      <c r="C629" s="20" t="s">
        <v>7367</v>
      </c>
      <c r="D629" s="22" t="s">
        <v>6811</v>
      </c>
      <c r="E629" s="20" t="s">
        <v>7292</v>
      </c>
      <c r="F629" s="22" t="s">
        <v>6587</v>
      </c>
      <c r="G629" s="20" t="s">
        <v>8863</v>
      </c>
      <c r="H629" s="20" t="s">
        <v>7359</v>
      </c>
      <c r="I629" s="20" t="s">
        <v>8864</v>
      </c>
      <c r="J629" s="20" t="s">
        <v>8873</v>
      </c>
      <c r="K629" s="20" t="s">
        <v>5815</v>
      </c>
      <c r="L629" s="20" t="s">
        <v>8836</v>
      </c>
    </row>
    <row r="630">
      <c r="A630" s="20" t="s">
        <v>8874</v>
      </c>
      <c r="B630" s="21">
        <v>46035.66805555555</v>
      </c>
      <c r="C630" s="20" t="s">
        <v>6818</v>
      </c>
      <c r="D630" s="22" t="s">
        <v>6811</v>
      </c>
      <c r="E630" s="20" t="s">
        <v>8126</v>
      </c>
      <c r="F630" s="22" t="s">
        <v>6612</v>
      </c>
      <c r="G630" s="20" t="s">
        <v>8127</v>
      </c>
      <c r="H630" s="22" t="s">
        <v>6811</v>
      </c>
      <c r="I630" s="20" t="s">
        <v>8875</v>
      </c>
      <c r="J630" s="20" t="s">
        <v>8876</v>
      </c>
      <c r="K630" s="20" t="s">
        <v>5498</v>
      </c>
      <c r="L630" s="20" t="s">
        <v>8130</v>
      </c>
    </row>
    <row r="631">
      <c r="A631" s="20" t="s">
        <v>8877</v>
      </c>
      <c r="B631" s="21">
        <v>46035.753020833334</v>
      </c>
      <c r="C631" s="20" t="s">
        <v>8073</v>
      </c>
      <c r="D631" s="22" t="s">
        <v>6608</v>
      </c>
      <c r="E631" s="20" t="s">
        <v>6818</v>
      </c>
      <c r="F631" s="22" t="s">
        <v>6811</v>
      </c>
      <c r="G631" s="20" t="s">
        <v>6897</v>
      </c>
      <c r="H631" s="22" t="s">
        <v>6811</v>
      </c>
      <c r="I631" s="20" t="s">
        <v>8878</v>
      </c>
      <c r="J631" s="20" t="s">
        <v>8879</v>
      </c>
      <c r="K631" s="20" t="s">
        <v>4466</v>
      </c>
      <c r="L631" s="20" t="s">
        <v>8856</v>
      </c>
    </row>
    <row r="632">
      <c r="A632" s="20" t="s">
        <v>8880</v>
      </c>
      <c r="B632" s="21">
        <v>46036.33196759259</v>
      </c>
      <c r="C632" s="20" t="s">
        <v>8138</v>
      </c>
      <c r="D632" s="22" t="s">
        <v>8139</v>
      </c>
      <c r="E632" s="20" t="s">
        <v>8307</v>
      </c>
      <c r="F632" s="20" t="s">
        <v>8141</v>
      </c>
      <c r="G632" s="20" t="s">
        <v>8357</v>
      </c>
      <c r="H632" s="20" t="s">
        <v>8151</v>
      </c>
      <c r="I632" s="20" t="s">
        <v>8287</v>
      </c>
      <c r="J632" s="20" t="s">
        <v>8881</v>
      </c>
      <c r="K632" s="20" t="s">
        <v>2868</v>
      </c>
      <c r="L632" s="20" t="s">
        <v>8284</v>
      </c>
    </row>
    <row r="633">
      <c r="A633" s="20" t="s">
        <v>8882</v>
      </c>
      <c r="B633" s="21">
        <v>46036.33237268518</v>
      </c>
      <c r="C633" s="20" t="s">
        <v>6934</v>
      </c>
      <c r="D633" s="22" t="s">
        <v>6811</v>
      </c>
      <c r="E633" s="20" t="s">
        <v>8185</v>
      </c>
      <c r="F633" s="22" t="s">
        <v>8139</v>
      </c>
      <c r="G633" s="20" t="s">
        <v>8883</v>
      </c>
      <c r="H633" s="20" t="s">
        <v>8141</v>
      </c>
      <c r="I633" s="20" t="s">
        <v>8884</v>
      </c>
      <c r="J633" s="20" t="s">
        <v>8885</v>
      </c>
      <c r="K633" s="20" t="s">
        <v>2868</v>
      </c>
      <c r="L633" s="20" t="s">
        <v>8284</v>
      </c>
    </row>
    <row r="634">
      <c r="A634" s="20" t="s">
        <v>8886</v>
      </c>
      <c r="B634" s="21">
        <v>46036.328125</v>
      </c>
      <c r="C634" s="20" t="s">
        <v>8743</v>
      </c>
      <c r="D634" s="22" t="s">
        <v>6616</v>
      </c>
      <c r="E634" s="20" t="s">
        <v>6818</v>
      </c>
      <c r="F634" s="22" t="s">
        <v>6811</v>
      </c>
      <c r="G634" s="20"/>
      <c r="H634" s="20"/>
      <c r="I634" s="20" t="s">
        <v>8748</v>
      </c>
      <c r="J634" s="20" t="s">
        <v>8749</v>
      </c>
      <c r="K634" s="20" t="s">
        <v>163</v>
      </c>
      <c r="L634" s="20" t="s">
        <v>8886</v>
      </c>
    </row>
    <row r="635">
      <c r="A635" s="20" t="s">
        <v>8887</v>
      </c>
      <c r="B635" s="21">
        <v>46036.33861111111</v>
      </c>
      <c r="C635" s="20" t="s">
        <v>8251</v>
      </c>
      <c r="D635" s="22" t="s">
        <v>8139</v>
      </c>
      <c r="E635" s="20" t="s">
        <v>8888</v>
      </c>
      <c r="F635" s="20" t="s">
        <v>8141</v>
      </c>
      <c r="G635" s="20" t="s">
        <v>8357</v>
      </c>
      <c r="H635" s="20" t="s">
        <v>8151</v>
      </c>
      <c r="I635" s="20" t="s">
        <v>8287</v>
      </c>
      <c r="J635" s="20" t="s">
        <v>8889</v>
      </c>
      <c r="K635" s="20" t="s">
        <v>2868</v>
      </c>
      <c r="L635" s="20" t="s">
        <v>8284</v>
      </c>
    </row>
    <row r="636">
      <c r="A636" s="20" t="s">
        <v>8890</v>
      </c>
      <c r="B636" s="21">
        <v>46036.34162037037</v>
      </c>
      <c r="C636" s="20" t="s">
        <v>8138</v>
      </c>
      <c r="D636" s="22" t="s">
        <v>8139</v>
      </c>
      <c r="E636" s="20" t="s">
        <v>8891</v>
      </c>
      <c r="F636" s="20" t="s">
        <v>8141</v>
      </c>
      <c r="G636" s="20" t="s">
        <v>8357</v>
      </c>
      <c r="H636" s="20" t="s">
        <v>8151</v>
      </c>
      <c r="I636" s="20" t="s">
        <v>8287</v>
      </c>
      <c r="J636" s="20" t="s">
        <v>8892</v>
      </c>
      <c r="K636" s="20" t="s">
        <v>2868</v>
      </c>
      <c r="L636" s="20" t="s">
        <v>8284</v>
      </c>
    </row>
    <row r="637">
      <c r="A637" s="20" t="s">
        <v>8893</v>
      </c>
      <c r="B637" s="21">
        <v>46036.3597337963</v>
      </c>
      <c r="C637" s="20" t="s">
        <v>6897</v>
      </c>
      <c r="D637" s="22" t="s">
        <v>6811</v>
      </c>
      <c r="E637" s="20" t="s">
        <v>8894</v>
      </c>
      <c r="F637" s="20" t="s">
        <v>8895</v>
      </c>
      <c r="G637" s="20"/>
      <c r="H637" s="20"/>
      <c r="I637" s="20" t="s">
        <v>8896</v>
      </c>
      <c r="J637" s="20" t="s">
        <v>8897</v>
      </c>
      <c r="K637" s="20" t="s">
        <v>3616</v>
      </c>
      <c r="L637" s="20" t="s">
        <v>8893</v>
      </c>
    </row>
    <row r="638">
      <c r="A638" s="20" t="s">
        <v>8898</v>
      </c>
      <c r="B638" s="21">
        <v>46036.36960648149</v>
      </c>
      <c r="C638" s="20" t="s">
        <v>6897</v>
      </c>
      <c r="D638" s="22" t="s">
        <v>6811</v>
      </c>
      <c r="E638" s="20" t="s">
        <v>8899</v>
      </c>
      <c r="F638" s="22" t="s">
        <v>6598</v>
      </c>
      <c r="G638" s="20" t="s">
        <v>6818</v>
      </c>
      <c r="H638" s="22" t="s">
        <v>6811</v>
      </c>
      <c r="I638" s="20" t="s">
        <v>8900</v>
      </c>
      <c r="J638" s="20" t="s">
        <v>8901</v>
      </c>
      <c r="K638" s="20" t="s">
        <v>705</v>
      </c>
      <c r="L638" s="20" t="s">
        <v>8898</v>
      </c>
    </row>
    <row r="639">
      <c r="A639" s="20" t="s">
        <v>8902</v>
      </c>
      <c r="B639" s="21">
        <v>46036.38550925926</v>
      </c>
      <c r="C639" s="20" t="s">
        <v>6810</v>
      </c>
      <c r="D639" s="22" t="s">
        <v>6811</v>
      </c>
      <c r="E639" s="20" t="s">
        <v>7203</v>
      </c>
      <c r="F639" s="20" t="s">
        <v>7199</v>
      </c>
      <c r="G639" s="20"/>
      <c r="H639" s="20"/>
      <c r="I639" s="20" t="s">
        <v>7200</v>
      </c>
      <c r="J639" s="20" t="s">
        <v>8903</v>
      </c>
      <c r="K639" s="20" t="s">
        <v>1725</v>
      </c>
      <c r="L639" s="20" t="s">
        <v>8902</v>
      </c>
    </row>
    <row r="640">
      <c r="A640" s="20" t="s">
        <v>8904</v>
      </c>
      <c r="B640" s="21">
        <v>46036.38550925926</v>
      </c>
      <c r="C640" s="20" t="s">
        <v>6810</v>
      </c>
      <c r="D640" s="22" t="s">
        <v>6811</v>
      </c>
      <c r="E640" s="20" t="s">
        <v>7198</v>
      </c>
      <c r="F640" s="20" t="s">
        <v>7199</v>
      </c>
      <c r="G640" s="20"/>
      <c r="H640" s="20"/>
      <c r="I640" s="20" t="s">
        <v>7200</v>
      </c>
      <c r="J640" s="20" t="s">
        <v>8905</v>
      </c>
      <c r="K640" s="20" t="s">
        <v>1725</v>
      </c>
      <c r="L640" s="20" t="s">
        <v>8902</v>
      </c>
    </row>
    <row r="641">
      <c r="A641" s="20" t="s">
        <v>8906</v>
      </c>
      <c r="B641" s="21">
        <v>46036.48105324074</v>
      </c>
      <c r="C641" s="20" t="s">
        <v>8073</v>
      </c>
      <c r="D641" s="22" t="s">
        <v>6608</v>
      </c>
      <c r="E641" s="20" t="s">
        <v>6818</v>
      </c>
      <c r="F641" s="22" t="s">
        <v>6811</v>
      </c>
      <c r="G641" s="20"/>
      <c r="H641" s="20"/>
      <c r="I641" s="20" t="s">
        <v>8878</v>
      </c>
      <c r="J641" s="20" t="s">
        <v>8907</v>
      </c>
      <c r="K641" s="20" t="s">
        <v>4466</v>
      </c>
      <c r="L641" s="20" t="s">
        <v>8856</v>
      </c>
    </row>
    <row r="642">
      <c r="A642" s="20" t="s">
        <v>8908</v>
      </c>
      <c r="B642" s="21">
        <v>46036.593206018515</v>
      </c>
      <c r="C642" s="20" t="s">
        <v>6818</v>
      </c>
      <c r="D642" s="22" t="s">
        <v>6811</v>
      </c>
      <c r="E642" s="20" t="s">
        <v>8073</v>
      </c>
      <c r="F642" s="22" t="s">
        <v>6608</v>
      </c>
      <c r="G642" s="20"/>
      <c r="H642" s="20"/>
      <c r="I642" s="20" t="s">
        <v>8909</v>
      </c>
      <c r="J642" s="20" t="s">
        <v>8910</v>
      </c>
      <c r="K642" s="20" t="s">
        <v>4466</v>
      </c>
      <c r="L642" s="20" t="s">
        <v>8856</v>
      </c>
    </row>
    <row r="643">
      <c r="A643" s="20" t="s">
        <v>8911</v>
      </c>
      <c r="B643" s="21">
        <v>46036.61158564815</v>
      </c>
      <c r="C643" s="20" t="s">
        <v>6818</v>
      </c>
      <c r="D643" s="22" t="s">
        <v>6811</v>
      </c>
      <c r="E643" s="20" t="s">
        <v>8912</v>
      </c>
      <c r="F643" s="22" t="s">
        <v>6595</v>
      </c>
      <c r="G643" s="20" t="s">
        <v>6897</v>
      </c>
      <c r="H643" s="22" t="s">
        <v>6811</v>
      </c>
      <c r="I643" s="20" t="s">
        <v>8913</v>
      </c>
      <c r="J643" s="20" t="s">
        <v>8914</v>
      </c>
      <c r="K643" s="20" t="s">
        <v>1195</v>
      </c>
      <c r="L643" s="20" t="s">
        <v>8915</v>
      </c>
    </row>
    <row r="644">
      <c r="A644" s="20" t="s">
        <v>8916</v>
      </c>
      <c r="B644" s="21">
        <v>46036.61857638889</v>
      </c>
      <c r="C644" s="20" t="s">
        <v>7049</v>
      </c>
      <c r="D644" s="22" t="s">
        <v>6584</v>
      </c>
      <c r="E644" s="20" t="s">
        <v>7062</v>
      </c>
      <c r="F644" s="22" t="s">
        <v>6811</v>
      </c>
      <c r="G644" s="20" t="s">
        <v>8917</v>
      </c>
      <c r="H644" s="20" t="s">
        <v>7199</v>
      </c>
      <c r="I644" s="20" t="s">
        <v>7059</v>
      </c>
      <c r="J644" s="20" t="s">
        <v>8918</v>
      </c>
      <c r="K644" s="20" t="s">
        <v>1725</v>
      </c>
      <c r="L644" s="20" t="s">
        <v>7047</v>
      </c>
    </row>
    <row r="645">
      <c r="A645" s="20" t="s">
        <v>8919</v>
      </c>
      <c r="B645" s="21">
        <v>46036.619988425926</v>
      </c>
      <c r="C645" s="20" t="s">
        <v>8073</v>
      </c>
      <c r="D645" s="22" t="s">
        <v>6608</v>
      </c>
      <c r="E645" s="20" t="s">
        <v>6818</v>
      </c>
      <c r="F645" s="22" t="s">
        <v>6811</v>
      </c>
      <c r="G645" s="20"/>
      <c r="H645" s="20"/>
      <c r="I645" s="20" t="s">
        <v>8878</v>
      </c>
      <c r="J645" s="20" t="s">
        <v>8920</v>
      </c>
      <c r="K645" s="20" t="s">
        <v>4466</v>
      </c>
      <c r="L645" s="20" t="s">
        <v>8856</v>
      </c>
    </row>
    <row r="646">
      <c r="A646" s="20" t="s">
        <v>8921</v>
      </c>
      <c r="B646" s="21">
        <v>46036.63711805556</v>
      </c>
      <c r="C646" s="20" t="s">
        <v>6818</v>
      </c>
      <c r="D646" s="22" t="s">
        <v>6811</v>
      </c>
      <c r="E646" s="20" t="s">
        <v>8073</v>
      </c>
      <c r="F646" s="22" t="s">
        <v>6608</v>
      </c>
      <c r="G646" s="20"/>
      <c r="H646" s="20"/>
      <c r="I646" s="20" t="s">
        <v>8909</v>
      </c>
      <c r="J646" s="20" t="s">
        <v>8922</v>
      </c>
      <c r="K646" s="20" t="s">
        <v>4466</v>
      </c>
      <c r="L646" s="20" t="s">
        <v>8856</v>
      </c>
    </row>
    <row r="647">
      <c r="A647" s="20" t="s">
        <v>8923</v>
      </c>
      <c r="B647" s="21">
        <v>46036.63912037037</v>
      </c>
      <c r="C647" s="20" t="s">
        <v>6818</v>
      </c>
      <c r="D647" s="22" t="s">
        <v>6811</v>
      </c>
      <c r="E647" s="20" t="s">
        <v>8073</v>
      </c>
      <c r="F647" s="22" t="s">
        <v>6608</v>
      </c>
      <c r="G647" s="20"/>
      <c r="H647" s="20"/>
      <c r="I647" s="20" t="s">
        <v>8909</v>
      </c>
      <c r="J647" s="20" t="s">
        <v>8924</v>
      </c>
      <c r="K647" s="20" t="s">
        <v>4466</v>
      </c>
      <c r="L647" s="20" t="s">
        <v>8856</v>
      </c>
    </row>
    <row r="648">
      <c r="A648" s="20" t="s">
        <v>8925</v>
      </c>
      <c r="B648" s="21">
        <v>46036.90456018518</v>
      </c>
      <c r="C648" s="20" t="s">
        <v>6897</v>
      </c>
      <c r="D648" s="22" t="s">
        <v>6811</v>
      </c>
      <c r="E648" s="20" t="s">
        <v>8926</v>
      </c>
      <c r="F648" s="20" t="s">
        <v>7164</v>
      </c>
      <c r="G648" s="20" t="s">
        <v>8927</v>
      </c>
      <c r="H648" s="22" t="s">
        <v>6811</v>
      </c>
      <c r="I648" s="20" t="s">
        <v>8928</v>
      </c>
      <c r="J648" s="20" t="s">
        <v>8929</v>
      </c>
      <c r="K648" s="20" t="s">
        <v>3644</v>
      </c>
      <c r="L648" s="20" t="s">
        <v>8925</v>
      </c>
    </row>
    <row r="649">
      <c r="A649" s="20" t="s">
        <v>8930</v>
      </c>
      <c r="B649" s="21">
        <v>46037.349745370375</v>
      </c>
      <c r="C649" s="20" t="s">
        <v>6897</v>
      </c>
      <c r="D649" s="22" t="s">
        <v>6811</v>
      </c>
      <c r="E649" s="20" t="s">
        <v>7847</v>
      </c>
      <c r="F649" s="20" t="s">
        <v>7848</v>
      </c>
      <c r="G649" s="20"/>
      <c r="H649" s="20"/>
      <c r="I649" s="20" t="s">
        <v>8931</v>
      </c>
      <c r="J649" s="20" t="s">
        <v>8932</v>
      </c>
      <c r="K649" s="20" t="s">
        <v>2946</v>
      </c>
      <c r="L649" s="20" t="s">
        <v>8930</v>
      </c>
    </row>
    <row r="650">
      <c r="A650" s="20" t="s">
        <v>8933</v>
      </c>
      <c r="B650" s="21">
        <v>46037.37100694445</v>
      </c>
      <c r="C650" s="20" t="s">
        <v>6818</v>
      </c>
      <c r="D650" s="22" t="s">
        <v>6811</v>
      </c>
      <c r="E650" s="20" t="s">
        <v>8073</v>
      </c>
      <c r="F650" s="22" t="s">
        <v>6608</v>
      </c>
      <c r="G650" s="20"/>
      <c r="H650" s="20"/>
      <c r="I650" s="20" t="s">
        <v>8909</v>
      </c>
      <c r="J650" s="20" t="s">
        <v>8934</v>
      </c>
      <c r="K650" s="20" t="s">
        <v>4466</v>
      </c>
      <c r="L650" s="20" t="s">
        <v>8856</v>
      </c>
    </row>
    <row r="651">
      <c r="A651" s="20" t="s">
        <v>8935</v>
      </c>
      <c r="B651" s="21">
        <v>46037.38104166667</v>
      </c>
      <c r="C651" s="20" t="s">
        <v>7049</v>
      </c>
      <c r="D651" s="22" t="s">
        <v>6584</v>
      </c>
      <c r="E651" s="20" t="s">
        <v>6853</v>
      </c>
      <c r="F651" s="22" t="s">
        <v>6811</v>
      </c>
      <c r="G651" s="20"/>
      <c r="H651" s="20"/>
      <c r="I651" s="20" t="s">
        <v>8936</v>
      </c>
      <c r="J651" s="20" t="s">
        <v>8937</v>
      </c>
      <c r="K651" s="20" t="s">
        <v>1725</v>
      </c>
      <c r="L651" s="20" t="s">
        <v>8935</v>
      </c>
    </row>
    <row r="652">
      <c r="A652" s="20" t="s">
        <v>8938</v>
      </c>
      <c r="B652" s="21">
        <v>46037.41668981481</v>
      </c>
      <c r="C652" s="20" t="s">
        <v>7154</v>
      </c>
      <c r="D652" s="22" t="s">
        <v>7155</v>
      </c>
      <c r="E652" s="20" t="s">
        <v>8716</v>
      </c>
      <c r="F652" s="22" t="s">
        <v>6619</v>
      </c>
      <c r="G652" s="20" t="s">
        <v>7786</v>
      </c>
      <c r="H652" s="22" t="s">
        <v>6811</v>
      </c>
      <c r="I652" s="20" t="s">
        <v>7157</v>
      </c>
      <c r="J652" s="20" t="s">
        <v>7158</v>
      </c>
      <c r="K652" s="20" t="s">
        <v>2576</v>
      </c>
      <c r="L652" s="20" t="s">
        <v>8938</v>
      </c>
    </row>
    <row r="653">
      <c r="A653" s="20" t="s">
        <v>8939</v>
      </c>
      <c r="B653" s="21">
        <v>46037.44226851852</v>
      </c>
      <c r="C653" s="20" t="s">
        <v>7391</v>
      </c>
      <c r="D653" s="22" t="s">
        <v>6588</v>
      </c>
      <c r="E653" s="20" t="s">
        <v>8940</v>
      </c>
      <c r="F653" s="20" t="s">
        <v>7383</v>
      </c>
      <c r="G653" s="20"/>
      <c r="H653" s="20"/>
      <c r="I653" s="20" t="s">
        <v>8941</v>
      </c>
      <c r="J653" s="20" t="s">
        <v>8942</v>
      </c>
      <c r="K653" s="20" t="s">
        <v>2672</v>
      </c>
      <c r="L653" s="20" t="s">
        <v>8939</v>
      </c>
    </row>
    <row r="654">
      <c r="A654" s="20" t="s">
        <v>8943</v>
      </c>
      <c r="B654" s="21">
        <v>46037.45836805555</v>
      </c>
      <c r="C654" s="20" t="s">
        <v>7154</v>
      </c>
      <c r="D654" s="22" t="s">
        <v>7155</v>
      </c>
      <c r="E654" s="20" t="s">
        <v>8944</v>
      </c>
      <c r="F654" s="22" t="s">
        <v>6605</v>
      </c>
      <c r="G654" s="20" t="s">
        <v>8503</v>
      </c>
      <c r="H654" s="22" t="s">
        <v>6811</v>
      </c>
      <c r="I654" s="20" t="s">
        <v>7157</v>
      </c>
      <c r="J654" s="20" t="s">
        <v>7158</v>
      </c>
      <c r="K654" s="20" t="s">
        <v>3028</v>
      </c>
      <c r="L654" s="20" t="s">
        <v>8938</v>
      </c>
    </row>
    <row r="655">
      <c r="A655" s="20" t="s">
        <v>8945</v>
      </c>
      <c r="B655" s="21">
        <v>46037.50952546296</v>
      </c>
      <c r="C655" s="20" t="s">
        <v>6897</v>
      </c>
      <c r="D655" s="22" t="s">
        <v>6811</v>
      </c>
      <c r="E655" s="20" t="s">
        <v>7847</v>
      </c>
      <c r="F655" s="20" t="s">
        <v>7848</v>
      </c>
      <c r="G655" s="20"/>
      <c r="H655" s="20"/>
      <c r="I655" s="20" t="s">
        <v>8946</v>
      </c>
      <c r="J655" s="20" t="s">
        <v>8947</v>
      </c>
      <c r="K655" s="20" t="s">
        <v>2946</v>
      </c>
      <c r="L655" s="20" t="s">
        <v>8945</v>
      </c>
    </row>
    <row r="656">
      <c r="A656" s="20" t="s">
        <v>8948</v>
      </c>
      <c r="B656" s="21">
        <v>46037.52084490741</v>
      </c>
      <c r="C656" s="20" t="s">
        <v>7154</v>
      </c>
      <c r="D656" s="22" t="s">
        <v>7155</v>
      </c>
      <c r="E656" s="20" t="s">
        <v>7881</v>
      </c>
      <c r="F656" s="22" t="s">
        <v>6600</v>
      </c>
      <c r="G656" s="20" t="s">
        <v>8949</v>
      </c>
      <c r="H656" s="20" t="s">
        <v>7848</v>
      </c>
      <c r="I656" s="20" t="s">
        <v>7157</v>
      </c>
      <c r="J656" s="20" t="s">
        <v>7158</v>
      </c>
      <c r="K656" s="20" t="s">
        <v>2946</v>
      </c>
      <c r="L656" s="20" t="s">
        <v>8938</v>
      </c>
    </row>
  </sheetData>
  <hyperlinks>
    <hyperlink r:id="rId1" ref="D2"/>
    <hyperlink r:id="rId2" ref="D3"/>
    <hyperlink r:id="rId3" ref="F3"/>
    <hyperlink r:id="rId4" ref="D4"/>
    <hyperlink r:id="rId5" ref="F4"/>
    <hyperlink r:id="rId6" ref="D5"/>
    <hyperlink r:id="rId7" ref="F5"/>
    <hyperlink r:id="rId8" ref="D6"/>
    <hyperlink r:id="rId9" ref="F6"/>
    <hyperlink r:id="rId10" ref="D7"/>
    <hyperlink r:id="rId11" ref="F7"/>
    <hyperlink r:id="rId12" ref="H7"/>
    <hyperlink r:id="rId13" ref="D8"/>
    <hyperlink r:id="rId14" ref="F8"/>
    <hyperlink r:id="rId15" ref="H8"/>
    <hyperlink r:id="rId16" ref="D9"/>
    <hyperlink r:id="rId17" ref="F9"/>
    <hyperlink r:id="rId18" ref="H9"/>
    <hyperlink r:id="rId19" ref="D10"/>
    <hyperlink r:id="rId20" ref="D11"/>
    <hyperlink r:id="rId21" ref="F11"/>
    <hyperlink r:id="rId22" ref="D12"/>
    <hyperlink r:id="rId23" ref="F12"/>
    <hyperlink r:id="rId24" ref="D13"/>
    <hyperlink r:id="rId25" ref="F13"/>
    <hyperlink r:id="rId26" ref="H13"/>
    <hyperlink r:id="rId27" ref="D14"/>
    <hyperlink r:id="rId28" ref="F14"/>
    <hyperlink r:id="rId29" ref="H14"/>
    <hyperlink r:id="rId30" ref="D15"/>
    <hyperlink r:id="rId31" ref="F15"/>
    <hyperlink r:id="rId32" ref="H15"/>
    <hyperlink r:id="rId33" ref="D16"/>
    <hyperlink r:id="rId34" ref="F16"/>
    <hyperlink r:id="rId35" ref="H16"/>
    <hyperlink r:id="rId36" ref="D17"/>
    <hyperlink r:id="rId37" ref="F17"/>
    <hyperlink r:id="rId38" ref="H17"/>
    <hyperlink r:id="rId39" ref="D18"/>
    <hyperlink r:id="rId40" ref="F18"/>
    <hyperlink r:id="rId41" ref="H18"/>
    <hyperlink r:id="rId42" ref="D19"/>
    <hyperlink r:id="rId43" ref="F19"/>
    <hyperlink r:id="rId44" ref="H19"/>
    <hyperlink r:id="rId45" ref="D20"/>
    <hyperlink r:id="rId46" ref="F20"/>
    <hyperlink r:id="rId47" ref="H20"/>
    <hyperlink r:id="rId48" ref="D21"/>
    <hyperlink r:id="rId49" ref="F21"/>
    <hyperlink r:id="rId50" ref="H21"/>
    <hyperlink r:id="rId51" ref="D22"/>
    <hyperlink r:id="rId52" ref="D23"/>
    <hyperlink r:id="rId53" ref="D24"/>
    <hyperlink r:id="rId54" ref="D25"/>
    <hyperlink r:id="rId55" ref="F25"/>
    <hyperlink r:id="rId56" ref="D26"/>
    <hyperlink r:id="rId57" ref="H26"/>
    <hyperlink r:id="rId58" ref="D27"/>
    <hyperlink r:id="rId59" ref="D28"/>
    <hyperlink r:id="rId60" ref="F28"/>
    <hyperlink r:id="rId61" ref="H28"/>
    <hyperlink r:id="rId62" ref="D29"/>
    <hyperlink r:id="rId63" ref="F29"/>
    <hyperlink r:id="rId64" ref="H29"/>
    <hyperlink r:id="rId65" ref="D30"/>
    <hyperlink r:id="rId66" ref="F30"/>
    <hyperlink r:id="rId67" ref="H30"/>
    <hyperlink r:id="rId68" ref="D31"/>
    <hyperlink r:id="rId69" ref="F31"/>
    <hyperlink r:id="rId70" ref="H31"/>
    <hyperlink r:id="rId71" ref="D32"/>
    <hyperlink r:id="rId72" ref="F32"/>
    <hyperlink r:id="rId73" ref="H32"/>
    <hyperlink r:id="rId74" ref="D33"/>
    <hyperlink r:id="rId75" ref="F33"/>
    <hyperlink r:id="rId76" ref="H33"/>
    <hyperlink r:id="rId77" ref="D34"/>
    <hyperlink r:id="rId78" ref="F34"/>
    <hyperlink r:id="rId79" ref="H34"/>
    <hyperlink r:id="rId80" ref="D35"/>
    <hyperlink r:id="rId81" ref="F35"/>
    <hyperlink r:id="rId82" ref="D36"/>
    <hyperlink r:id="rId83" ref="F36"/>
    <hyperlink r:id="rId84" ref="D37"/>
    <hyperlink r:id="rId85" ref="F37"/>
    <hyperlink r:id="rId86" ref="D38"/>
    <hyperlink r:id="rId87" ref="F38"/>
    <hyperlink r:id="rId88" ref="D39"/>
    <hyperlink r:id="rId89" ref="F39"/>
    <hyperlink r:id="rId90" ref="D40"/>
    <hyperlink r:id="rId91" ref="F40"/>
    <hyperlink r:id="rId92" ref="D41"/>
    <hyperlink r:id="rId93" ref="F41"/>
    <hyperlink r:id="rId94" ref="D42"/>
    <hyperlink r:id="rId95" ref="F42"/>
    <hyperlink r:id="rId96" ref="D43"/>
    <hyperlink r:id="rId97" ref="F43"/>
    <hyperlink r:id="rId98" ref="D44"/>
    <hyperlink r:id="rId99" ref="F44"/>
    <hyperlink r:id="rId100" ref="D45"/>
    <hyperlink r:id="rId101" ref="F45"/>
    <hyperlink r:id="rId102" ref="D46"/>
    <hyperlink r:id="rId103" ref="F46"/>
    <hyperlink r:id="rId104" ref="D47"/>
    <hyperlink r:id="rId105" ref="F47"/>
    <hyperlink r:id="rId106" ref="D48"/>
    <hyperlink r:id="rId107" ref="F48"/>
    <hyperlink r:id="rId108" ref="D49"/>
    <hyperlink r:id="rId109" ref="F49"/>
    <hyperlink r:id="rId110" ref="D50"/>
    <hyperlink r:id="rId111" ref="F50"/>
    <hyperlink r:id="rId112" ref="D51"/>
    <hyperlink r:id="rId113" ref="F51"/>
    <hyperlink r:id="rId114" ref="D52"/>
    <hyperlink r:id="rId115" ref="F52"/>
    <hyperlink r:id="rId116" ref="D53"/>
    <hyperlink r:id="rId117" ref="F53"/>
    <hyperlink r:id="rId118" ref="H53"/>
    <hyperlink r:id="rId119" ref="D54"/>
    <hyperlink r:id="rId120" ref="F54"/>
    <hyperlink r:id="rId121" ref="H54"/>
    <hyperlink r:id="rId122" ref="D55"/>
    <hyperlink r:id="rId123" ref="F55"/>
    <hyperlink r:id="rId124" ref="H55"/>
    <hyperlink r:id="rId125" ref="D56"/>
    <hyperlink r:id="rId126" ref="F56"/>
    <hyperlink r:id="rId127" ref="D57"/>
    <hyperlink r:id="rId128" ref="F57"/>
    <hyperlink r:id="rId129" ref="H57"/>
    <hyperlink r:id="rId130" ref="D58"/>
    <hyperlink r:id="rId131" ref="F58"/>
    <hyperlink r:id="rId132" ref="H58"/>
    <hyperlink r:id="rId133" ref="D59"/>
    <hyperlink r:id="rId134" ref="F59"/>
    <hyperlink r:id="rId135" ref="H59"/>
    <hyperlink r:id="rId136" ref="D60"/>
    <hyperlink r:id="rId137" ref="F60"/>
    <hyperlink r:id="rId138" ref="D61"/>
    <hyperlink r:id="rId139" ref="F61"/>
    <hyperlink r:id="rId140" ref="D62"/>
    <hyperlink r:id="rId141" ref="F62"/>
    <hyperlink r:id="rId142" ref="H62"/>
    <hyperlink r:id="rId143" ref="D63"/>
    <hyperlink r:id="rId144" ref="F63"/>
    <hyperlink r:id="rId145" ref="D64"/>
    <hyperlink r:id="rId146" ref="F64"/>
    <hyperlink r:id="rId147" ref="H64"/>
    <hyperlink r:id="rId148" ref="D65"/>
    <hyperlink r:id="rId149" ref="F65"/>
    <hyperlink r:id="rId150" ref="H65"/>
    <hyperlink r:id="rId151" ref="D66"/>
    <hyperlink r:id="rId152" ref="D67"/>
    <hyperlink r:id="rId153" ref="D68"/>
    <hyperlink r:id="rId154" ref="F68"/>
    <hyperlink r:id="rId155" ref="D69"/>
    <hyperlink r:id="rId156" ref="F69"/>
    <hyperlink r:id="rId157" ref="D70"/>
    <hyperlink r:id="rId158" ref="F70"/>
    <hyperlink r:id="rId159" ref="D71"/>
    <hyperlink r:id="rId160" ref="F71"/>
    <hyperlink r:id="rId161" ref="H71"/>
    <hyperlink r:id="rId162" ref="D72"/>
    <hyperlink r:id="rId163" ref="F72"/>
    <hyperlink r:id="rId164" ref="D73"/>
    <hyperlink r:id="rId165" ref="D74"/>
    <hyperlink r:id="rId166" ref="F74"/>
    <hyperlink r:id="rId167" ref="D75"/>
    <hyperlink r:id="rId168" ref="F75"/>
    <hyperlink r:id="rId169" ref="D76"/>
    <hyperlink r:id="rId170" ref="F76"/>
    <hyperlink r:id="rId171" ref="D77"/>
    <hyperlink r:id="rId172" ref="F77"/>
    <hyperlink r:id="rId173" ref="D78"/>
    <hyperlink r:id="rId174" ref="F78"/>
    <hyperlink r:id="rId175" ref="D79"/>
    <hyperlink r:id="rId176" ref="F79"/>
    <hyperlink r:id="rId177" ref="H79"/>
    <hyperlink r:id="rId178" ref="D80"/>
    <hyperlink r:id="rId179" ref="F80"/>
    <hyperlink r:id="rId180" ref="H80"/>
    <hyperlink r:id="rId181" ref="D81"/>
    <hyperlink r:id="rId182" ref="F81"/>
    <hyperlink r:id="rId183" ref="H81"/>
    <hyperlink r:id="rId184" ref="D82"/>
    <hyperlink r:id="rId185" ref="F82"/>
    <hyperlink r:id="rId186" ref="H82"/>
    <hyperlink r:id="rId187" ref="D83"/>
    <hyperlink r:id="rId188" ref="F83"/>
    <hyperlink r:id="rId189" ref="H83"/>
    <hyperlink r:id="rId190" ref="D84"/>
    <hyperlink r:id="rId191" ref="F84"/>
    <hyperlink r:id="rId192" ref="H84"/>
    <hyperlink r:id="rId193" ref="D85"/>
    <hyperlink r:id="rId194" ref="F85"/>
    <hyperlink r:id="rId195" ref="H85"/>
    <hyperlink r:id="rId196" ref="D86"/>
    <hyperlink r:id="rId197" ref="F86"/>
    <hyperlink r:id="rId198" ref="H86"/>
    <hyperlink r:id="rId199" ref="D87"/>
    <hyperlink r:id="rId200" ref="F87"/>
    <hyperlink r:id="rId201" ref="H87"/>
    <hyperlink r:id="rId202" ref="D88"/>
    <hyperlink r:id="rId203" ref="F88"/>
    <hyperlink r:id="rId204" ref="H88"/>
    <hyperlink r:id="rId205" ref="D89"/>
    <hyperlink r:id="rId206" ref="F89"/>
    <hyperlink r:id="rId207" ref="H89"/>
    <hyperlink r:id="rId208" ref="D90"/>
    <hyperlink r:id="rId209" ref="F90"/>
    <hyperlink r:id="rId210" ref="H90"/>
    <hyperlink r:id="rId211" ref="D91"/>
    <hyperlink r:id="rId212" ref="F91"/>
    <hyperlink r:id="rId213" ref="H91"/>
    <hyperlink r:id="rId214" ref="D92"/>
    <hyperlink r:id="rId215" ref="F92"/>
    <hyperlink r:id="rId216" ref="H92"/>
    <hyperlink r:id="rId217" ref="D93"/>
    <hyperlink r:id="rId218" ref="F93"/>
    <hyperlink r:id="rId219" ref="H93"/>
    <hyperlink r:id="rId220" ref="D94"/>
    <hyperlink r:id="rId221" ref="F94"/>
    <hyperlink r:id="rId222" ref="H94"/>
    <hyperlink r:id="rId223" ref="D95"/>
    <hyperlink r:id="rId224" ref="F95"/>
    <hyperlink r:id="rId225" ref="H95"/>
    <hyperlink r:id="rId226" ref="D96"/>
    <hyperlink r:id="rId227" ref="F96"/>
    <hyperlink r:id="rId228" ref="H96"/>
    <hyperlink r:id="rId229" ref="D97"/>
    <hyperlink r:id="rId230" ref="F97"/>
    <hyperlink r:id="rId231" ref="H97"/>
    <hyperlink r:id="rId232" ref="D98"/>
    <hyperlink r:id="rId233" ref="F98"/>
    <hyperlink r:id="rId234" ref="H98"/>
    <hyperlink r:id="rId235" ref="D99"/>
    <hyperlink r:id="rId236" ref="F99"/>
    <hyperlink r:id="rId237" ref="H99"/>
    <hyperlink r:id="rId238" ref="D100"/>
    <hyperlink r:id="rId239" ref="F100"/>
    <hyperlink r:id="rId240" ref="H100"/>
    <hyperlink r:id="rId241" ref="D101"/>
    <hyperlink r:id="rId242" ref="F101"/>
    <hyperlink r:id="rId243" ref="H101"/>
    <hyperlink r:id="rId244" ref="D102"/>
    <hyperlink r:id="rId245" ref="F102"/>
    <hyperlink r:id="rId246" ref="H102"/>
    <hyperlink r:id="rId247" ref="D103"/>
    <hyperlink r:id="rId248" ref="D104"/>
    <hyperlink r:id="rId249" ref="F104"/>
    <hyperlink r:id="rId250" ref="D105"/>
    <hyperlink r:id="rId251" ref="F105"/>
    <hyperlink r:id="rId252" ref="D106"/>
    <hyperlink r:id="rId253" ref="F106"/>
    <hyperlink r:id="rId254" ref="D107"/>
    <hyperlink r:id="rId255" ref="D108"/>
    <hyperlink r:id="rId256" ref="D109"/>
    <hyperlink r:id="rId257" ref="D110"/>
    <hyperlink r:id="rId258" ref="F110"/>
    <hyperlink r:id="rId259" ref="D111"/>
    <hyperlink r:id="rId260" ref="D112"/>
    <hyperlink r:id="rId261" ref="F112"/>
    <hyperlink r:id="rId262" ref="D113"/>
    <hyperlink r:id="rId263" ref="F113"/>
    <hyperlink r:id="rId264" ref="D114"/>
    <hyperlink r:id="rId265" ref="F114"/>
    <hyperlink r:id="rId266" ref="D115"/>
    <hyperlink r:id="rId267" ref="F115"/>
    <hyperlink r:id="rId268" ref="D116"/>
    <hyperlink r:id="rId269" ref="F116"/>
    <hyperlink r:id="rId270" ref="D117"/>
    <hyperlink r:id="rId271" ref="F117"/>
    <hyperlink r:id="rId272" ref="D118"/>
    <hyperlink r:id="rId273" ref="D119"/>
    <hyperlink r:id="rId274" ref="D120"/>
    <hyperlink r:id="rId275" ref="D121"/>
    <hyperlink r:id="rId276" ref="D122"/>
    <hyperlink r:id="rId277" ref="F122"/>
    <hyperlink r:id="rId278" ref="D123"/>
    <hyperlink r:id="rId279" ref="F123"/>
    <hyperlink r:id="rId280" ref="D124"/>
    <hyperlink r:id="rId281" ref="F124"/>
    <hyperlink r:id="rId282" ref="D125"/>
    <hyperlink r:id="rId283" ref="D126"/>
    <hyperlink r:id="rId284" ref="D127"/>
    <hyperlink r:id="rId285" ref="F127"/>
    <hyperlink r:id="rId286" ref="D128"/>
    <hyperlink r:id="rId287" ref="F128"/>
    <hyperlink r:id="rId288" ref="D129"/>
    <hyperlink r:id="rId289" ref="F129"/>
    <hyperlink r:id="rId290" ref="D130"/>
    <hyperlink r:id="rId291" ref="F130"/>
    <hyperlink r:id="rId292" ref="H130"/>
    <hyperlink r:id="rId293" ref="D131"/>
    <hyperlink r:id="rId294" ref="D132"/>
    <hyperlink r:id="rId295" ref="F132"/>
    <hyperlink r:id="rId296" ref="D133"/>
    <hyperlink r:id="rId297" ref="F133"/>
    <hyperlink r:id="rId298" ref="D134"/>
    <hyperlink r:id="rId299" ref="F134"/>
    <hyperlink r:id="rId300" ref="D135"/>
    <hyperlink r:id="rId301" ref="D136"/>
    <hyperlink r:id="rId302" ref="D137"/>
    <hyperlink r:id="rId303" ref="D138"/>
    <hyperlink r:id="rId304" ref="D139"/>
    <hyperlink r:id="rId305" ref="F139"/>
    <hyperlink r:id="rId306" ref="D140"/>
    <hyperlink r:id="rId307" ref="D141"/>
    <hyperlink r:id="rId308" ref="D142"/>
    <hyperlink r:id="rId309" ref="F142"/>
    <hyperlink r:id="rId310" ref="H142"/>
    <hyperlink r:id="rId311" ref="D143"/>
    <hyperlink r:id="rId312" ref="F143"/>
    <hyperlink r:id="rId313" ref="H143"/>
    <hyperlink r:id="rId314" ref="D144"/>
    <hyperlink r:id="rId315" ref="F144"/>
    <hyperlink r:id="rId316" ref="D145"/>
    <hyperlink r:id="rId317" ref="H145"/>
    <hyperlink r:id="rId318" ref="D146"/>
    <hyperlink r:id="rId319" ref="D147"/>
    <hyperlink r:id="rId320" ref="F147"/>
    <hyperlink r:id="rId321" ref="D148"/>
    <hyperlink r:id="rId322" ref="D149"/>
    <hyperlink r:id="rId323" ref="F149"/>
    <hyperlink r:id="rId324" ref="D150"/>
    <hyperlink r:id="rId325" ref="F150"/>
    <hyperlink r:id="rId326" ref="D151"/>
    <hyperlink r:id="rId327" ref="F151"/>
    <hyperlink r:id="rId328" ref="D152"/>
    <hyperlink r:id="rId329" ref="F152"/>
    <hyperlink r:id="rId330" ref="H152"/>
    <hyperlink r:id="rId331" ref="D153"/>
    <hyperlink r:id="rId332" ref="F153"/>
    <hyperlink r:id="rId333" ref="H153"/>
    <hyperlink r:id="rId334" ref="D154"/>
    <hyperlink r:id="rId335" ref="F154"/>
    <hyperlink r:id="rId336" ref="H154"/>
    <hyperlink r:id="rId337" ref="D155"/>
    <hyperlink r:id="rId338" ref="F155"/>
    <hyperlink r:id="rId339" ref="H155"/>
    <hyperlink r:id="rId340" ref="D156"/>
    <hyperlink r:id="rId341" ref="F156"/>
    <hyperlink r:id="rId342" ref="H156"/>
    <hyperlink r:id="rId343" ref="D157"/>
    <hyperlink r:id="rId344" ref="F157"/>
    <hyperlink r:id="rId345" ref="H157"/>
    <hyperlink r:id="rId346" ref="D158"/>
    <hyperlink r:id="rId347" ref="F158"/>
    <hyperlink r:id="rId348" ref="H158"/>
    <hyperlink r:id="rId349" ref="D159"/>
    <hyperlink r:id="rId350" ref="F159"/>
    <hyperlink r:id="rId351" ref="H159"/>
    <hyperlink r:id="rId352" ref="D160"/>
    <hyperlink r:id="rId353" ref="F160"/>
    <hyperlink r:id="rId354" ref="H160"/>
    <hyperlink r:id="rId355" ref="D161"/>
    <hyperlink r:id="rId356" ref="F161"/>
    <hyperlink r:id="rId357" ref="H161"/>
    <hyperlink r:id="rId358" ref="D162"/>
    <hyperlink r:id="rId359" ref="F162"/>
    <hyperlink r:id="rId360" ref="H162"/>
    <hyperlink r:id="rId361" ref="D163"/>
    <hyperlink r:id="rId362" ref="D164"/>
    <hyperlink r:id="rId363" ref="F164"/>
    <hyperlink r:id="rId364" ref="H164"/>
    <hyperlink r:id="rId365" ref="D165"/>
    <hyperlink r:id="rId366" ref="F165"/>
    <hyperlink r:id="rId367" ref="H165"/>
    <hyperlink r:id="rId368" ref="D166"/>
    <hyperlink r:id="rId369" ref="D167"/>
    <hyperlink r:id="rId370" ref="H167"/>
    <hyperlink r:id="rId371" ref="D168"/>
    <hyperlink r:id="rId372" ref="D169"/>
    <hyperlink r:id="rId373" ref="F169"/>
    <hyperlink r:id="rId374" ref="H169"/>
    <hyperlink r:id="rId375" ref="D170"/>
    <hyperlink r:id="rId376" ref="F170"/>
    <hyperlink r:id="rId377" ref="H170"/>
    <hyperlink r:id="rId378" ref="D171"/>
    <hyperlink r:id="rId379" ref="F171"/>
    <hyperlink r:id="rId380" ref="D172"/>
    <hyperlink r:id="rId381" ref="F172"/>
    <hyperlink r:id="rId382" ref="D173"/>
    <hyperlink r:id="rId383" ref="F173"/>
    <hyperlink r:id="rId384" ref="D174"/>
    <hyperlink r:id="rId385" ref="F174"/>
    <hyperlink r:id="rId386" ref="D175"/>
    <hyperlink r:id="rId387" ref="F175"/>
    <hyperlink r:id="rId388" ref="D176"/>
    <hyperlink r:id="rId389" ref="F176"/>
    <hyperlink r:id="rId390" ref="D177"/>
    <hyperlink r:id="rId391" ref="D178"/>
    <hyperlink r:id="rId392" ref="F178"/>
    <hyperlink r:id="rId393" ref="D179"/>
    <hyperlink r:id="rId394" ref="F179"/>
    <hyperlink r:id="rId395" ref="D180"/>
    <hyperlink r:id="rId396" ref="F180"/>
    <hyperlink r:id="rId397" ref="D181"/>
    <hyperlink r:id="rId398" ref="D182"/>
    <hyperlink r:id="rId399" ref="F182"/>
    <hyperlink r:id="rId400" ref="D183"/>
    <hyperlink r:id="rId401" ref="D184"/>
    <hyperlink r:id="rId402" ref="F184"/>
    <hyperlink r:id="rId403" ref="H184"/>
    <hyperlink r:id="rId404" ref="D185"/>
    <hyperlink r:id="rId405" ref="F185"/>
    <hyperlink r:id="rId406" ref="H185"/>
    <hyperlink r:id="rId407" ref="D186"/>
    <hyperlink r:id="rId408" ref="F186"/>
    <hyperlink r:id="rId409" ref="H186"/>
    <hyperlink r:id="rId410" ref="D187"/>
    <hyperlink r:id="rId411" ref="F187"/>
    <hyperlink r:id="rId412" ref="H187"/>
    <hyperlink r:id="rId413" ref="D188"/>
    <hyperlink r:id="rId414" ref="F188"/>
    <hyperlink r:id="rId415" ref="H188"/>
    <hyperlink r:id="rId416" ref="D189"/>
    <hyperlink r:id="rId417" ref="F189"/>
    <hyperlink r:id="rId418" ref="H189"/>
    <hyperlink r:id="rId419" ref="D190"/>
    <hyperlink r:id="rId420" ref="F190"/>
    <hyperlink r:id="rId421" ref="H190"/>
    <hyperlink r:id="rId422" ref="D191"/>
    <hyperlink r:id="rId423" ref="F191"/>
    <hyperlink r:id="rId424" ref="D192"/>
    <hyperlink r:id="rId425" ref="F192"/>
    <hyperlink r:id="rId426" ref="D193"/>
    <hyperlink r:id="rId427" ref="F193"/>
    <hyperlink r:id="rId428" ref="D194"/>
    <hyperlink r:id="rId429" ref="D195"/>
    <hyperlink r:id="rId430" ref="F195"/>
    <hyperlink r:id="rId431" ref="H195"/>
    <hyperlink r:id="rId432" ref="D196"/>
    <hyperlink r:id="rId433" ref="F196"/>
    <hyperlink r:id="rId434" ref="H196"/>
    <hyperlink r:id="rId435" ref="D197"/>
    <hyperlink r:id="rId436" ref="F197"/>
    <hyperlink r:id="rId437" ref="H197"/>
    <hyperlink r:id="rId438" ref="D198"/>
    <hyperlink r:id="rId439" ref="F198"/>
    <hyperlink r:id="rId440" ref="H198"/>
    <hyperlink r:id="rId441" ref="D199"/>
    <hyperlink r:id="rId442" ref="F199"/>
    <hyperlink r:id="rId443" ref="H199"/>
    <hyperlink r:id="rId444" ref="D200"/>
    <hyperlink r:id="rId445" ref="D201"/>
    <hyperlink r:id="rId446" ref="F201"/>
    <hyperlink r:id="rId447" ref="H201"/>
    <hyperlink r:id="rId448" ref="D202"/>
    <hyperlink r:id="rId449" ref="D203"/>
    <hyperlink r:id="rId450" ref="D204"/>
    <hyperlink r:id="rId451" ref="D205"/>
    <hyperlink r:id="rId452" ref="D206"/>
    <hyperlink r:id="rId453" ref="D207"/>
    <hyperlink r:id="rId454" ref="D208"/>
    <hyperlink r:id="rId455" ref="F208"/>
    <hyperlink r:id="rId456" ref="H208"/>
    <hyperlink r:id="rId457" ref="D209"/>
    <hyperlink r:id="rId458" ref="F209"/>
    <hyperlink r:id="rId459" ref="H209"/>
    <hyperlink r:id="rId460" ref="D210"/>
    <hyperlink r:id="rId461" ref="F210"/>
    <hyperlink r:id="rId462" ref="H210"/>
    <hyperlink r:id="rId463" ref="D211"/>
    <hyperlink r:id="rId464" ref="F211"/>
    <hyperlink r:id="rId465" ref="H211"/>
    <hyperlink r:id="rId466" ref="D212"/>
    <hyperlink r:id="rId467" ref="F212"/>
    <hyperlink r:id="rId468" ref="H212"/>
    <hyperlink r:id="rId469" ref="D213"/>
    <hyperlink r:id="rId470" ref="F213"/>
    <hyperlink r:id="rId471" ref="H213"/>
    <hyperlink r:id="rId472" ref="D214"/>
    <hyperlink r:id="rId473" ref="F214"/>
    <hyperlink r:id="rId474" ref="H214"/>
    <hyperlink r:id="rId475" ref="D215"/>
    <hyperlink r:id="rId476" ref="F215"/>
    <hyperlink r:id="rId477" ref="H215"/>
    <hyperlink r:id="rId478" ref="D216"/>
    <hyperlink r:id="rId479" ref="F216"/>
    <hyperlink r:id="rId480" ref="D217"/>
    <hyperlink r:id="rId481" ref="F217"/>
    <hyperlink r:id="rId482" ref="H217"/>
    <hyperlink r:id="rId483" ref="D218"/>
    <hyperlink r:id="rId484" ref="F218"/>
    <hyperlink r:id="rId485" ref="H218"/>
    <hyperlink r:id="rId486" ref="D219"/>
    <hyperlink r:id="rId487" ref="F219"/>
    <hyperlink r:id="rId488" ref="H219"/>
    <hyperlink r:id="rId489" ref="D220"/>
    <hyperlink r:id="rId490" ref="F220"/>
    <hyperlink r:id="rId491" ref="H220"/>
    <hyperlink r:id="rId492" ref="D221"/>
    <hyperlink r:id="rId493" ref="F221"/>
    <hyperlink r:id="rId494" ref="H221"/>
    <hyperlink r:id="rId495" ref="D222"/>
    <hyperlink r:id="rId496" ref="F222"/>
    <hyperlink r:id="rId497" ref="H222"/>
    <hyperlink r:id="rId498" ref="D223"/>
    <hyperlink r:id="rId499" ref="F223"/>
    <hyperlink r:id="rId500" ref="H223"/>
    <hyperlink r:id="rId501" ref="D224"/>
    <hyperlink r:id="rId502" ref="F224"/>
    <hyperlink r:id="rId503" ref="H224"/>
    <hyperlink r:id="rId504" ref="D225"/>
    <hyperlink r:id="rId505" ref="F225"/>
    <hyperlink r:id="rId506" ref="H225"/>
    <hyperlink r:id="rId507" ref="D226"/>
    <hyperlink r:id="rId508" ref="F226"/>
    <hyperlink r:id="rId509" ref="H226"/>
    <hyperlink r:id="rId510" ref="D227"/>
    <hyperlink r:id="rId511" ref="F227"/>
    <hyperlink r:id="rId512" ref="H227"/>
    <hyperlink r:id="rId513" ref="D228"/>
    <hyperlink r:id="rId514" ref="F228"/>
    <hyperlink r:id="rId515" ref="H228"/>
    <hyperlink r:id="rId516" ref="D229"/>
    <hyperlink r:id="rId517" ref="F229"/>
    <hyperlink r:id="rId518" ref="H229"/>
    <hyperlink r:id="rId519" ref="D230"/>
    <hyperlink r:id="rId520" ref="F230"/>
    <hyperlink r:id="rId521" ref="H230"/>
    <hyperlink r:id="rId522" ref="D231"/>
    <hyperlink r:id="rId523" ref="D232"/>
    <hyperlink r:id="rId524" ref="D233"/>
    <hyperlink r:id="rId525" ref="D234"/>
    <hyperlink r:id="rId526" ref="F234"/>
    <hyperlink r:id="rId527" ref="D235"/>
    <hyperlink r:id="rId528" ref="F235"/>
    <hyperlink r:id="rId529" ref="H235"/>
    <hyperlink r:id="rId530" ref="D236"/>
    <hyperlink r:id="rId531" ref="F236"/>
    <hyperlink r:id="rId532" ref="H236"/>
    <hyperlink r:id="rId533" ref="D237"/>
    <hyperlink r:id="rId534" ref="D238"/>
    <hyperlink r:id="rId535" ref="F238"/>
    <hyperlink r:id="rId536" ref="D239"/>
    <hyperlink r:id="rId537" ref="D240"/>
    <hyperlink r:id="rId538" ref="F240"/>
    <hyperlink r:id="rId539" ref="D241"/>
    <hyperlink r:id="rId540" ref="F241"/>
    <hyperlink r:id="rId541" ref="D242"/>
    <hyperlink r:id="rId542" ref="F242"/>
    <hyperlink r:id="rId543" ref="D243"/>
    <hyperlink r:id="rId544" ref="F243"/>
    <hyperlink r:id="rId545" ref="D244"/>
    <hyperlink r:id="rId546" ref="F244"/>
    <hyperlink r:id="rId547" ref="D245"/>
    <hyperlink r:id="rId548" ref="F245"/>
    <hyperlink r:id="rId549" ref="D246"/>
    <hyperlink r:id="rId550" ref="F246"/>
    <hyperlink r:id="rId551" ref="D247"/>
    <hyperlink r:id="rId552" ref="F247"/>
    <hyperlink r:id="rId553" ref="D248"/>
    <hyperlink r:id="rId554" ref="F248"/>
    <hyperlink r:id="rId555" ref="D249"/>
    <hyperlink r:id="rId556" ref="F249"/>
    <hyperlink r:id="rId557" ref="D250"/>
    <hyperlink r:id="rId558" ref="F250"/>
    <hyperlink r:id="rId559" ref="D251"/>
    <hyperlink r:id="rId560" ref="F251"/>
    <hyperlink r:id="rId561" ref="D252"/>
    <hyperlink r:id="rId562" ref="F252"/>
    <hyperlink r:id="rId563" ref="D253"/>
    <hyperlink r:id="rId564" ref="F253"/>
    <hyperlink r:id="rId565" ref="D254"/>
    <hyperlink r:id="rId566" ref="F254"/>
    <hyperlink r:id="rId567" ref="D255"/>
    <hyperlink r:id="rId568" ref="D256"/>
    <hyperlink r:id="rId569" ref="D257"/>
    <hyperlink r:id="rId570" ref="F257"/>
    <hyperlink r:id="rId571" ref="H257"/>
    <hyperlink r:id="rId572" ref="D258"/>
    <hyperlink r:id="rId573" ref="F258"/>
    <hyperlink r:id="rId574" ref="H258"/>
    <hyperlink r:id="rId575" ref="D259"/>
    <hyperlink r:id="rId576" ref="F259"/>
    <hyperlink r:id="rId577" ref="H259"/>
    <hyperlink r:id="rId578" ref="D260"/>
    <hyperlink r:id="rId579" ref="F260"/>
    <hyperlink r:id="rId580" ref="H260"/>
    <hyperlink r:id="rId581" ref="D261"/>
    <hyperlink r:id="rId582" ref="F261"/>
    <hyperlink r:id="rId583" ref="D262"/>
    <hyperlink r:id="rId584" ref="F262"/>
    <hyperlink r:id="rId585" ref="H262"/>
    <hyperlink r:id="rId586" ref="D263"/>
    <hyperlink r:id="rId587" ref="F263"/>
    <hyperlink r:id="rId588" ref="H263"/>
    <hyperlink r:id="rId589" ref="D264"/>
    <hyperlink r:id="rId590" ref="F264"/>
    <hyperlink r:id="rId591" ref="D265"/>
    <hyperlink r:id="rId592" ref="F265"/>
    <hyperlink r:id="rId593" ref="D266"/>
    <hyperlink r:id="rId594" ref="F266"/>
    <hyperlink r:id="rId595" ref="D267"/>
    <hyperlink r:id="rId596" ref="F267"/>
    <hyperlink r:id="rId597" ref="D268"/>
    <hyperlink r:id="rId598" ref="F268"/>
    <hyperlink r:id="rId599" ref="D269"/>
    <hyperlink r:id="rId600" ref="F269"/>
    <hyperlink r:id="rId601" ref="D270"/>
    <hyperlink r:id="rId602" ref="F270"/>
    <hyperlink r:id="rId603" ref="D271"/>
    <hyperlink r:id="rId604" ref="D272"/>
    <hyperlink r:id="rId605" ref="D273"/>
    <hyperlink r:id="rId606" ref="F273"/>
    <hyperlink r:id="rId607" ref="D274"/>
    <hyperlink r:id="rId608" ref="F274"/>
    <hyperlink r:id="rId609" ref="D275"/>
    <hyperlink r:id="rId610" ref="F275"/>
    <hyperlink r:id="rId611" ref="H275"/>
    <hyperlink r:id="rId612" ref="D276"/>
    <hyperlink r:id="rId613" ref="F276"/>
    <hyperlink r:id="rId614" ref="H276"/>
    <hyperlink r:id="rId615" ref="D277"/>
    <hyperlink r:id="rId616" ref="F277"/>
    <hyperlink r:id="rId617" ref="H277"/>
    <hyperlink r:id="rId618" ref="D278"/>
    <hyperlink r:id="rId619" ref="F278"/>
    <hyperlink r:id="rId620" ref="H278"/>
    <hyperlink r:id="rId621" ref="D279"/>
    <hyperlink r:id="rId622" ref="F279"/>
    <hyperlink r:id="rId623" ref="H279"/>
    <hyperlink r:id="rId624" ref="D280"/>
    <hyperlink r:id="rId625" ref="F280"/>
    <hyperlink r:id="rId626" ref="H280"/>
    <hyperlink r:id="rId627" ref="D281"/>
    <hyperlink r:id="rId628" ref="F281"/>
    <hyperlink r:id="rId629" ref="H281"/>
    <hyperlink r:id="rId630" ref="D282"/>
    <hyperlink r:id="rId631" ref="F282"/>
    <hyperlink r:id="rId632" ref="H282"/>
    <hyperlink r:id="rId633" ref="D283"/>
    <hyperlink r:id="rId634" ref="F283"/>
    <hyperlink r:id="rId635" ref="H283"/>
    <hyperlink r:id="rId636" ref="D284"/>
    <hyperlink r:id="rId637" ref="F284"/>
    <hyperlink r:id="rId638" ref="H284"/>
    <hyperlink r:id="rId639" ref="D285"/>
    <hyperlink r:id="rId640" ref="F285"/>
    <hyperlink r:id="rId641" ref="H285"/>
    <hyperlink r:id="rId642" ref="D286"/>
    <hyperlink r:id="rId643" ref="F286"/>
    <hyperlink r:id="rId644" ref="H286"/>
    <hyperlink r:id="rId645" ref="D287"/>
    <hyperlink r:id="rId646" ref="F287"/>
    <hyperlink r:id="rId647" ref="H287"/>
    <hyperlink r:id="rId648" ref="D288"/>
    <hyperlink r:id="rId649" ref="F288"/>
    <hyperlink r:id="rId650" ref="H288"/>
    <hyperlink r:id="rId651" ref="D289"/>
    <hyperlink r:id="rId652" ref="F289"/>
    <hyperlink r:id="rId653" ref="H289"/>
    <hyperlink r:id="rId654" ref="D290"/>
    <hyperlink r:id="rId655" ref="F290"/>
    <hyperlink r:id="rId656" ref="H290"/>
    <hyperlink r:id="rId657" ref="D291"/>
    <hyperlink r:id="rId658" ref="F291"/>
    <hyperlink r:id="rId659" ref="H291"/>
    <hyperlink r:id="rId660" ref="D292"/>
    <hyperlink r:id="rId661" ref="F292"/>
    <hyperlink r:id="rId662" ref="H292"/>
    <hyperlink r:id="rId663" ref="D293"/>
    <hyperlink r:id="rId664" ref="F293"/>
    <hyperlink r:id="rId665" ref="D294"/>
    <hyperlink r:id="rId666" ref="D295"/>
    <hyperlink r:id="rId667" ref="F295"/>
    <hyperlink r:id="rId668" ref="D296"/>
    <hyperlink r:id="rId669" ref="F296"/>
    <hyperlink r:id="rId670" ref="D297"/>
    <hyperlink r:id="rId671" ref="F297"/>
    <hyperlink r:id="rId672" ref="D298"/>
    <hyperlink r:id="rId673" ref="D299"/>
    <hyperlink r:id="rId674" ref="D300"/>
    <hyperlink r:id="rId675" ref="F300"/>
    <hyperlink r:id="rId676" ref="H300"/>
    <hyperlink r:id="rId677" ref="D301"/>
    <hyperlink r:id="rId678" ref="D302"/>
    <hyperlink r:id="rId679" ref="D303"/>
    <hyperlink r:id="rId680" ref="D304"/>
    <hyperlink r:id="rId681" ref="D305"/>
    <hyperlink r:id="rId682" ref="D306"/>
    <hyperlink r:id="rId683" ref="D307"/>
    <hyperlink r:id="rId684" ref="F307"/>
    <hyperlink r:id="rId685" ref="H307"/>
    <hyperlink r:id="rId686" ref="D308"/>
    <hyperlink r:id="rId687" ref="H308"/>
    <hyperlink r:id="rId688" ref="D309"/>
    <hyperlink r:id="rId689" ref="F309"/>
    <hyperlink r:id="rId690" ref="D310"/>
    <hyperlink r:id="rId691" ref="F310"/>
    <hyperlink r:id="rId692" ref="D311"/>
    <hyperlink r:id="rId693" ref="F311"/>
    <hyperlink r:id="rId694" ref="D312"/>
    <hyperlink r:id="rId695" ref="D313"/>
    <hyperlink r:id="rId696" ref="D314"/>
    <hyperlink r:id="rId697" ref="D315"/>
    <hyperlink r:id="rId698" ref="F315"/>
    <hyperlink r:id="rId699" ref="D316"/>
    <hyperlink r:id="rId700" ref="D317"/>
    <hyperlink r:id="rId701" ref="F317"/>
    <hyperlink r:id="rId702" ref="D318"/>
    <hyperlink r:id="rId703" ref="D319"/>
    <hyperlink r:id="rId704" ref="D320"/>
    <hyperlink r:id="rId705" ref="F320"/>
    <hyperlink r:id="rId706" ref="D321"/>
    <hyperlink r:id="rId707" ref="D322"/>
    <hyperlink r:id="rId708" ref="F322"/>
    <hyperlink r:id="rId709" ref="H322"/>
    <hyperlink r:id="rId710" ref="D323"/>
    <hyperlink r:id="rId711" ref="F323"/>
    <hyperlink r:id="rId712" ref="H323"/>
    <hyperlink r:id="rId713" ref="D324"/>
    <hyperlink r:id="rId714" ref="F324"/>
    <hyperlink r:id="rId715" ref="H324"/>
    <hyperlink r:id="rId716" ref="D325"/>
    <hyperlink r:id="rId717" ref="F325"/>
    <hyperlink r:id="rId718" ref="H325"/>
    <hyperlink r:id="rId719" ref="D326"/>
    <hyperlink r:id="rId720" ref="F326"/>
    <hyperlink r:id="rId721" ref="H326"/>
    <hyperlink r:id="rId722" ref="D327"/>
    <hyperlink r:id="rId723" ref="F327"/>
    <hyperlink r:id="rId724" ref="H327"/>
    <hyperlink r:id="rId725" ref="D328"/>
    <hyperlink r:id="rId726" ref="F328"/>
    <hyperlink r:id="rId727" ref="H328"/>
    <hyperlink r:id="rId728" ref="D329"/>
    <hyperlink r:id="rId729" ref="F329"/>
    <hyperlink r:id="rId730" ref="H329"/>
    <hyperlink r:id="rId731" ref="D330"/>
    <hyperlink r:id="rId732" ref="F330"/>
    <hyperlink r:id="rId733" ref="H330"/>
    <hyperlink r:id="rId734" ref="D331"/>
    <hyperlink r:id="rId735" ref="F331"/>
    <hyperlink r:id="rId736" ref="H331"/>
    <hyperlink r:id="rId737" ref="D332"/>
    <hyperlink r:id="rId738" ref="F332"/>
    <hyperlink r:id="rId739" ref="H332"/>
    <hyperlink r:id="rId740" ref="D333"/>
    <hyperlink r:id="rId741" ref="F333"/>
    <hyperlink r:id="rId742" ref="H333"/>
    <hyperlink r:id="rId743" ref="D334"/>
    <hyperlink r:id="rId744" ref="F334"/>
    <hyperlink r:id="rId745" ref="D335"/>
    <hyperlink r:id="rId746" ref="D336"/>
    <hyperlink r:id="rId747" ref="F336"/>
    <hyperlink r:id="rId748" ref="H336"/>
    <hyperlink r:id="rId749" ref="D337"/>
    <hyperlink r:id="rId750" ref="D338"/>
    <hyperlink r:id="rId751" ref="F338"/>
    <hyperlink r:id="rId752" ref="D339"/>
    <hyperlink r:id="rId753" ref="F339"/>
    <hyperlink r:id="rId754" ref="D340"/>
    <hyperlink r:id="rId755" ref="F340"/>
    <hyperlink r:id="rId756" ref="D341"/>
    <hyperlink r:id="rId757" ref="F341"/>
    <hyperlink r:id="rId758" ref="D342"/>
    <hyperlink r:id="rId759" ref="F342"/>
    <hyperlink r:id="rId760" ref="D343"/>
    <hyperlink r:id="rId761" ref="F343"/>
    <hyperlink r:id="rId762" ref="D344"/>
    <hyperlink r:id="rId763" ref="F344"/>
    <hyperlink r:id="rId764" ref="D345"/>
    <hyperlink r:id="rId765" ref="D346"/>
    <hyperlink r:id="rId766" ref="D347"/>
    <hyperlink r:id="rId767" ref="D348"/>
    <hyperlink r:id="rId768" ref="F348"/>
    <hyperlink r:id="rId769" ref="H348"/>
    <hyperlink r:id="rId770" ref="D349"/>
    <hyperlink r:id="rId771" ref="F349"/>
    <hyperlink r:id="rId772" ref="H349"/>
    <hyperlink r:id="rId773" ref="D350"/>
    <hyperlink r:id="rId774" ref="H350"/>
    <hyperlink r:id="rId775" ref="D351"/>
    <hyperlink r:id="rId776" ref="H351"/>
    <hyperlink r:id="rId777" ref="D352"/>
    <hyperlink r:id="rId778" ref="F352"/>
    <hyperlink r:id="rId779" ref="D353"/>
    <hyperlink r:id="rId780" ref="F353"/>
    <hyperlink r:id="rId781" ref="D354"/>
    <hyperlink r:id="rId782" ref="F354"/>
    <hyperlink r:id="rId783" ref="D355"/>
    <hyperlink r:id="rId784" ref="F355"/>
    <hyperlink r:id="rId785" ref="D356"/>
    <hyperlink r:id="rId786" ref="H356"/>
    <hyperlink r:id="rId787" ref="D357"/>
    <hyperlink r:id="rId788" ref="D358"/>
    <hyperlink r:id="rId789" ref="F358"/>
    <hyperlink r:id="rId790" ref="D359"/>
    <hyperlink r:id="rId791" ref="F359"/>
    <hyperlink r:id="rId792" ref="D360"/>
    <hyperlink r:id="rId793" ref="F360"/>
    <hyperlink r:id="rId794" ref="D361"/>
    <hyperlink r:id="rId795" ref="F361"/>
    <hyperlink r:id="rId796" ref="D362"/>
    <hyperlink r:id="rId797" ref="F362"/>
    <hyperlink r:id="rId798" ref="H362"/>
    <hyperlink r:id="rId799" ref="D363"/>
    <hyperlink r:id="rId800" ref="F363"/>
    <hyperlink r:id="rId801" ref="H363"/>
    <hyperlink r:id="rId802" ref="D364"/>
    <hyperlink r:id="rId803" ref="F364"/>
    <hyperlink r:id="rId804" ref="H364"/>
    <hyperlink r:id="rId805" ref="D365"/>
    <hyperlink r:id="rId806" ref="F365"/>
    <hyperlink r:id="rId807" ref="H365"/>
    <hyperlink r:id="rId808" ref="D366"/>
    <hyperlink r:id="rId809" ref="F366"/>
    <hyperlink r:id="rId810" ref="H366"/>
    <hyperlink r:id="rId811" ref="D367"/>
    <hyperlink r:id="rId812" ref="F367"/>
    <hyperlink r:id="rId813" ref="H367"/>
    <hyperlink r:id="rId814" ref="D368"/>
    <hyperlink r:id="rId815" ref="F368"/>
    <hyperlink r:id="rId816" ref="H368"/>
    <hyperlink r:id="rId817" ref="D369"/>
    <hyperlink r:id="rId818" ref="F369"/>
    <hyperlink r:id="rId819" ref="H369"/>
    <hyperlink r:id="rId820" ref="D370"/>
    <hyperlink r:id="rId821" ref="F370"/>
    <hyperlink r:id="rId822" ref="H370"/>
    <hyperlink r:id="rId823" ref="D371"/>
    <hyperlink r:id="rId824" ref="F371"/>
    <hyperlink r:id="rId825" ref="H371"/>
    <hyperlink r:id="rId826" ref="D372"/>
    <hyperlink r:id="rId827" ref="F372"/>
    <hyperlink r:id="rId828" ref="H372"/>
    <hyperlink r:id="rId829" ref="D373"/>
    <hyperlink r:id="rId830" ref="F373"/>
    <hyperlink r:id="rId831" ref="H373"/>
    <hyperlink r:id="rId832" ref="D374"/>
    <hyperlink r:id="rId833" ref="F374"/>
    <hyperlink r:id="rId834" ref="H374"/>
    <hyperlink r:id="rId835" ref="D375"/>
    <hyperlink r:id="rId836" ref="F375"/>
    <hyperlink r:id="rId837" ref="H375"/>
    <hyperlink r:id="rId838" ref="D376"/>
    <hyperlink r:id="rId839" ref="F376"/>
    <hyperlink r:id="rId840" ref="H376"/>
    <hyperlink r:id="rId841" ref="D377"/>
    <hyperlink r:id="rId842" ref="F377"/>
    <hyperlink r:id="rId843" ref="H377"/>
    <hyperlink r:id="rId844" ref="D378"/>
    <hyperlink r:id="rId845" ref="F378"/>
    <hyperlink r:id="rId846" ref="H378"/>
    <hyperlink r:id="rId847" ref="D379"/>
    <hyperlink r:id="rId848" ref="D380"/>
    <hyperlink r:id="rId849" ref="F380"/>
    <hyperlink r:id="rId850" ref="H380"/>
    <hyperlink r:id="rId851" ref="D381"/>
    <hyperlink r:id="rId852" ref="F381"/>
    <hyperlink r:id="rId853" ref="H381"/>
    <hyperlink r:id="rId854" ref="D382"/>
    <hyperlink r:id="rId855" ref="F382"/>
    <hyperlink r:id="rId856" ref="H382"/>
    <hyperlink r:id="rId857" ref="D383"/>
    <hyperlink r:id="rId858" ref="F383"/>
    <hyperlink r:id="rId859" ref="H383"/>
    <hyperlink r:id="rId860" ref="D384"/>
    <hyperlink r:id="rId861" ref="F384"/>
    <hyperlink r:id="rId862" ref="H384"/>
    <hyperlink r:id="rId863" ref="D385"/>
    <hyperlink r:id="rId864" ref="F385"/>
    <hyperlink r:id="rId865" ref="H385"/>
    <hyperlink r:id="rId866" ref="D386"/>
    <hyperlink r:id="rId867" ref="F386"/>
    <hyperlink r:id="rId868" ref="H386"/>
    <hyperlink r:id="rId869" ref="D387"/>
    <hyperlink r:id="rId870" ref="F387"/>
    <hyperlink r:id="rId871" ref="H387"/>
    <hyperlink r:id="rId872" ref="D388"/>
    <hyperlink r:id="rId873" ref="F388"/>
    <hyperlink r:id="rId874" ref="H388"/>
    <hyperlink r:id="rId875" ref="D389"/>
    <hyperlink r:id="rId876" ref="F389"/>
    <hyperlink r:id="rId877" ref="H389"/>
    <hyperlink r:id="rId878" ref="D390"/>
    <hyperlink r:id="rId879" ref="F390"/>
    <hyperlink r:id="rId880" ref="D391"/>
    <hyperlink r:id="rId881" ref="D392"/>
    <hyperlink r:id="rId882" ref="D393"/>
    <hyperlink r:id="rId883" ref="H393"/>
    <hyperlink r:id="rId884" ref="D394"/>
    <hyperlink r:id="rId885" ref="F394"/>
    <hyperlink r:id="rId886" ref="H394"/>
    <hyperlink r:id="rId887" ref="D395"/>
    <hyperlink r:id="rId888" ref="D396"/>
    <hyperlink r:id="rId889" ref="D397"/>
    <hyperlink r:id="rId890" ref="D398"/>
    <hyperlink r:id="rId891" ref="D399"/>
    <hyperlink r:id="rId892" ref="D400"/>
    <hyperlink r:id="rId893" ref="D401"/>
    <hyperlink r:id="rId894" ref="F401"/>
    <hyperlink r:id="rId895" ref="D402"/>
    <hyperlink r:id="rId896" ref="F402"/>
    <hyperlink r:id="rId897" ref="H402"/>
    <hyperlink r:id="rId898" ref="D403"/>
    <hyperlink r:id="rId899" ref="H403"/>
    <hyperlink r:id="rId900" ref="D404"/>
    <hyperlink r:id="rId901" ref="H404"/>
    <hyperlink r:id="rId902" ref="D405"/>
    <hyperlink r:id="rId903" ref="F405"/>
    <hyperlink r:id="rId904" ref="D406"/>
    <hyperlink r:id="rId905" ref="D407"/>
    <hyperlink r:id="rId906" ref="D408"/>
    <hyperlink r:id="rId907" ref="F408"/>
    <hyperlink r:id="rId908" ref="D409"/>
    <hyperlink r:id="rId909" ref="F409"/>
    <hyperlink r:id="rId910" ref="D410"/>
    <hyperlink r:id="rId911" ref="F410"/>
    <hyperlink r:id="rId912" ref="H410"/>
    <hyperlink r:id="rId913" ref="D411"/>
    <hyperlink r:id="rId914" ref="F411"/>
    <hyperlink r:id="rId915" ref="H411"/>
    <hyperlink r:id="rId916" ref="D412"/>
    <hyperlink r:id="rId917" ref="F412"/>
    <hyperlink r:id="rId918" ref="H412"/>
    <hyperlink r:id="rId919" ref="D413"/>
    <hyperlink r:id="rId920" ref="F413"/>
    <hyperlink r:id="rId921" ref="H413"/>
    <hyperlink r:id="rId922" ref="D414"/>
    <hyperlink r:id="rId923" ref="F414"/>
    <hyperlink r:id="rId924" ref="H414"/>
    <hyperlink r:id="rId925" ref="D415"/>
    <hyperlink r:id="rId926" ref="F415"/>
    <hyperlink r:id="rId927" ref="H415"/>
    <hyperlink r:id="rId928" ref="D416"/>
    <hyperlink r:id="rId929" ref="F416"/>
    <hyperlink r:id="rId930" ref="H416"/>
    <hyperlink r:id="rId931" ref="D417"/>
    <hyperlink r:id="rId932" ref="F417"/>
    <hyperlink r:id="rId933" ref="H417"/>
    <hyperlink r:id="rId934" ref="D418"/>
    <hyperlink r:id="rId935" ref="F418"/>
    <hyperlink r:id="rId936" ref="H418"/>
    <hyperlink r:id="rId937" ref="D419"/>
    <hyperlink r:id="rId938" ref="F419"/>
    <hyperlink r:id="rId939" ref="H419"/>
    <hyperlink r:id="rId940" ref="D420"/>
    <hyperlink r:id="rId941" ref="F420"/>
    <hyperlink r:id="rId942" ref="H420"/>
    <hyperlink r:id="rId943" ref="D421"/>
    <hyperlink r:id="rId944" ref="F421"/>
    <hyperlink r:id="rId945" ref="H421"/>
    <hyperlink r:id="rId946" ref="D422"/>
    <hyperlink r:id="rId947" ref="F422"/>
    <hyperlink r:id="rId948" ref="H422"/>
    <hyperlink r:id="rId949" ref="D423"/>
    <hyperlink r:id="rId950" ref="F423"/>
    <hyperlink r:id="rId951" ref="H423"/>
    <hyperlink r:id="rId952" ref="D424"/>
    <hyperlink r:id="rId953" ref="F424"/>
    <hyperlink r:id="rId954" ref="H424"/>
    <hyperlink r:id="rId955" ref="D425"/>
    <hyperlink r:id="rId956" ref="F425"/>
    <hyperlink r:id="rId957" ref="H425"/>
    <hyperlink r:id="rId958" ref="D426"/>
    <hyperlink r:id="rId959" ref="F426"/>
    <hyperlink r:id="rId960" ref="H426"/>
    <hyperlink r:id="rId961" ref="D427"/>
    <hyperlink r:id="rId962" ref="F427"/>
    <hyperlink r:id="rId963" ref="H427"/>
    <hyperlink r:id="rId964" ref="D428"/>
    <hyperlink r:id="rId965" ref="F428"/>
    <hyperlink r:id="rId966" ref="H428"/>
    <hyperlink r:id="rId967" ref="D429"/>
    <hyperlink r:id="rId968" ref="F429"/>
    <hyperlink r:id="rId969" ref="D430"/>
    <hyperlink r:id="rId970" ref="F430"/>
    <hyperlink r:id="rId971" ref="D431"/>
    <hyperlink r:id="rId972" ref="F431"/>
    <hyperlink r:id="rId973" ref="D432"/>
    <hyperlink r:id="rId974" ref="F432"/>
    <hyperlink r:id="rId975" ref="D433"/>
    <hyperlink r:id="rId976" ref="F433"/>
    <hyperlink r:id="rId977" ref="H433"/>
    <hyperlink r:id="rId978" ref="D434"/>
    <hyperlink r:id="rId979" ref="F434"/>
    <hyperlink r:id="rId980" ref="H434"/>
    <hyperlink r:id="rId981" ref="D435"/>
    <hyperlink r:id="rId982" ref="F435"/>
    <hyperlink r:id="rId983" ref="D436"/>
    <hyperlink r:id="rId984" ref="F436"/>
    <hyperlink r:id="rId985" ref="D437"/>
    <hyperlink r:id="rId986" ref="H437"/>
    <hyperlink r:id="rId987" ref="D438"/>
    <hyperlink r:id="rId988" ref="F438"/>
    <hyperlink r:id="rId989" ref="D439"/>
    <hyperlink r:id="rId990" ref="D440"/>
    <hyperlink r:id="rId991" ref="D441"/>
    <hyperlink r:id="rId992" ref="H441"/>
    <hyperlink r:id="rId993" ref="D442"/>
    <hyperlink r:id="rId994" ref="F442"/>
    <hyperlink r:id="rId995" ref="D443"/>
    <hyperlink r:id="rId996" ref="F443"/>
    <hyperlink r:id="rId997" ref="D444"/>
    <hyperlink r:id="rId998" ref="D445"/>
    <hyperlink r:id="rId999" ref="H445"/>
    <hyperlink r:id="rId1000" ref="D446"/>
    <hyperlink r:id="rId1001" ref="H446"/>
    <hyperlink r:id="rId1002" ref="D447"/>
    <hyperlink r:id="rId1003" ref="H447"/>
    <hyperlink r:id="rId1004" ref="D448"/>
    <hyperlink r:id="rId1005" ref="F448"/>
    <hyperlink r:id="rId1006" ref="D449"/>
    <hyperlink r:id="rId1007" ref="F449"/>
    <hyperlink r:id="rId1008" ref="D450"/>
    <hyperlink r:id="rId1009" ref="D451"/>
    <hyperlink r:id="rId1010" ref="D452"/>
    <hyperlink r:id="rId1011" ref="F452"/>
    <hyperlink r:id="rId1012" ref="D453"/>
    <hyperlink r:id="rId1013" ref="F453"/>
    <hyperlink r:id="rId1014" ref="D454"/>
    <hyperlink r:id="rId1015" ref="F454"/>
    <hyperlink r:id="rId1016" ref="D455"/>
    <hyperlink r:id="rId1017" ref="F455"/>
    <hyperlink r:id="rId1018" ref="D456"/>
    <hyperlink r:id="rId1019" ref="F456"/>
    <hyperlink r:id="rId1020" ref="D457"/>
    <hyperlink r:id="rId1021" ref="D458"/>
    <hyperlink r:id="rId1022" ref="F458"/>
    <hyperlink r:id="rId1023" ref="D459"/>
    <hyperlink r:id="rId1024" ref="D460"/>
    <hyperlink r:id="rId1025" ref="F460"/>
    <hyperlink r:id="rId1026" ref="D461"/>
    <hyperlink r:id="rId1027" ref="D462"/>
    <hyperlink r:id="rId1028" ref="F462"/>
    <hyperlink r:id="rId1029" ref="D463"/>
    <hyperlink r:id="rId1030" ref="D464"/>
    <hyperlink r:id="rId1031" ref="F464"/>
    <hyperlink r:id="rId1032" ref="D465"/>
    <hyperlink r:id="rId1033" ref="F465"/>
    <hyperlink r:id="rId1034" ref="D466"/>
    <hyperlink r:id="rId1035" ref="F466"/>
    <hyperlink r:id="rId1036" ref="D467"/>
    <hyperlink r:id="rId1037" ref="D468"/>
    <hyperlink r:id="rId1038" ref="D469"/>
    <hyperlink r:id="rId1039" ref="F469"/>
    <hyperlink r:id="rId1040" ref="D470"/>
    <hyperlink r:id="rId1041" ref="F470"/>
    <hyperlink r:id="rId1042" ref="D471"/>
    <hyperlink r:id="rId1043" ref="F471"/>
    <hyperlink r:id="rId1044" ref="H471"/>
    <hyperlink r:id="rId1045" ref="D472"/>
    <hyperlink r:id="rId1046" ref="F472"/>
    <hyperlink r:id="rId1047" ref="D473"/>
    <hyperlink r:id="rId1048" ref="F473"/>
    <hyperlink r:id="rId1049" ref="D474"/>
    <hyperlink r:id="rId1050" ref="F474"/>
    <hyperlink r:id="rId1051" ref="H474"/>
    <hyperlink r:id="rId1052" ref="D475"/>
    <hyperlink r:id="rId1053" ref="F475"/>
    <hyperlink r:id="rId1054" ref="H475"/>
    <hyperlink r:id="rId1055" ref="D476"/>
    <hyperlink r:id="rId1056" ref="F476"/>
    <hyperlink r:id="rId1057" ref="H476"/>
    <hyperlink r:id="rId1058" ref="D477"/>
    <hyperlink r:id="rId1059" ref="F477"/>
    <hyperlink r:id="rId1060" ref="H477"/>
    <hyperlink r:id="rId1061" ref="D478"/>
    <hyperlink r:id="rId1062" ref="F478"/>
    <hyperlink r:id="rId1063" ref="H478"/>
    <hyperlink r:id="rId1064" ref="D479"/>
    <hyperlink r:id="rId1065" ref="F479"/>
    <hyperlink r:id="rId1066" ref="H479"/>
    <hyperlink r:id="rId1067" ref="D480"/>
    <hyperlink r:id="rId1068" ref="F480"/>
    <hyperlink r:id="rId1069" ref="H480"/>
    <hyperlink r:id="rId1070" ref="D481"/>
    <hyperlink r:id="rId1071" ref="F481"/>
    <hyperlink r:id="rId1072" ref="H481"/>
    <hyperlink r:id="rId1073" ref="D482"/>
    <hyperlink r:id="rId1074" ref="F482"/>
    <hyperlink r:id="rId1075" ref="H482"/>
    <hyperlink r:id="rId1076" ref="D483"/>
    <hyperlink r:id="rId1077" ref="F483"/>
    <hyperlink r:id="rId1078" ref="D484"/>
    <hyperlink r:id="rId1079" ref="F484"/>
    <hyperlink r:id="rId1080" ref="D485"/>
    <hyperlink r:id="rId1081" ref="F485"/>
    <hyperlink r:id="rId1082" ref="D486"/>
    <hyperlink r:id="rId1083" ref="F486"/>
    <hyperlink r:id="rId1084" ref="D487"/>
    <hyperlink r:id="rId1085" ref="D488"/>
    <hyperlink r:id="rId1086" ref="H488"/>
    <hyperlink r:id="rId1087" ref="D489"/>
    <hyperlink r:id="rId1088" ref="F489"/>
    <hyperlink r:id="rId1089" ref="H489"/>
    <hyperlink r:id="rId1090" ref="D490"/>
    <hyperlink r:id="rId1091" ref="H490"/>
    <hyperlink r:id="rId1092" ref="D491"/>
    <hyperlink r:id="rId1093" ref="F491"/>
    <hyperlink r:id="rId1094" ref="D492"/>
    <hyperlink r:id="rId1095" ref="F492"/>
    <hyperlink r:id="rId1096" ref="D493"/>
    <hyperlink r:id="rId1097" ref="D494"/>
    <hyperlink r:id="rId1098" ref="F494"/>
    <hyperlink r:id="rId1099" ref="D495"/>
    <hyperlink r:id="rId1100" ref="F495"/>
    <hyperlink r:id="rId1101" ref="D496"/>
    <hyperlink r:id="rId1102" ref="F496"/>
    <hyperlink r:id="rId1103" ref="D497"/>
    <hyperlink r:id="rId1104" ref="F497"/>
    <hyperlink r:id="rId1105" ref="D498"/>
    <hyperlink r:id="rId1106" ref="F498"/>
    <hyperlink r:id="rId1107" ref="D499"/>
    <hyperlink r:id="rId1108" ref="F499"/>
    <hyperlink r:id="rId1109" ref="D500"/>
    <hyperlink r:id="rId1110" ref="F500"/>
    <hyperlink r:id="rId1111" ref="D501"/>
    <hyperlink r:id="rId1112" ref="F501"/>
    <hyperlink r:id="rId1113" ref="D502"/>
    <hyperlink r:id="rId1114" ref="F502"/>
    <hyperlink r:id="rId1115" ref="D503"/>
    <hyperlink r:id="rId1116" ref="F503"/>
    <hyperlink r:id="rId1117" ref="D504"/>
    <hyperlink r:id="rId1118" ref="D505"/>
    <hyperlink r:id="rId1119" ref="F505"/>
    <hyperlink r:id="rId1120" ref="D506"/>
    <hyperlink r:id="rId1121" ref="F506"/>
    <hyperlink r:id="rId1122" ref="D507"/>
    <hyperlink r:id="rId1123" ref="F507"/>
    <hyperlink r:id="rId1124" ref="H507"/>
    <hyperlink r:id="rId1125" ref="D508"/>
    <hyperlink r:id="rId1126" ref="F508"/>
    <hyperlink r:id="rId1127" ref="H508"/>
    <hyperlink r:id="rId1128" ref="D509"/>
    <hyperlink r:id="rId1129" ref="F509"/>
    <hyperlink r:id="rId1130" ref="H509"/>
    <hyperlink r:id="rId1131" ref="D510"/>
    <hyperlink r:id="rId1132" ref="F510"/>
    <hyperlink r:id="rId1133" ref="H510"/>
    <hyperlink r:id="rId1134" ref="D511"/>
    <hyperlink r:id="rId1135" ref="H511"/>
    <hyperlink r:id="rId1136" ref="D512"/>
    <hyperlink r:id="rId1137" ref="F512"/>
    <hyperlink r:id="rId1138" ref="D513"/>
    <hyperlink r:id="rId1139" ref="F513"/>
    <hyperlink r:id="rId1140" ref="D514"/>
    <hyperlink r:id="rId1141" ref="F514"/>
    <hyperlink r:id="rId1142" ref="D515"/>
    <hyperlink r:id="rId1143" ref="F515"/>
    <hyperlink r:id="rId1144" ref="H515"/>
    <hyperlink r:id="rId1145" ref="D516"/>
    <hyperlink r:id="rId1146" ref="F516"/>
    <hyperlink r:id="rId1147" ref="H516"/>
    <hyperlink r:id="rId1148" ref="D517"/>
    <hyperlink r:id="rId1149" ref="F517"/>
    <hyperlink r:id="rId1150" ref="D518"/>
    <hyperlink r:id="rId1151" ref="F518"/>
    <hyperlink r:id="rId1152" ref="D519"/>
    <hyperlink r:id="rId1153" ref="F519"/>
    <hyperlink r:id="rId1154" ref="H519"/>
    <hyperlink r:id="rId1155" ref="D520"/>
    <hyperlink r:id="rId1156" ref="H520"/>
    <hyperlink r:id="rId1157" ref="D521"/>
    <hyperlink r:id="rId1158" ref="F521"/>
    <hyperlink r:id="rId1159" ref="D522"/>
    <hyperlink r:id="rId1160" ref="D523"/>
    <hyperlink r:id="rId1161" ref="D524"/>
    <hyperlink r:id="rId1162" ref="F524"/>
    <hyperlink r:id="rId1163" ref="D525"/>
    <hyperlink r:id="rId1164" ref="D526"/>
    <hyperlink r:id="rId1165" ref="F526"/>
    <hyperlink r:id="rId1166" ref="D527"/>
    <hyperlink r:id="rId1167" ref="F527"/>
    <hyperlink r:id="rId1168" ref="H527"/>
    <hyperlink r:id="rId1169" ref="D528"/>
    <hyperlink r:id="rId1170" ref="F528"/>
    <hyperlink r:id="rId1171" ref="D529"/>
    <hyperlink r:id="rId1172" ref="F529"/>
    <hyperlink r:id="rId1173" ref="D530"/>
    <hyperlink r:id="rId1174" ref="F530"/>
    <hyperlink r:id="rId1175" ref="H530"/>
    <hyperlink r:id="rId1176" ref="D531"/>
    <hyperlink r:id="rId1177" ref="F531"/>
    <hyperlink r:id="rId1178" ref="D532"/>
    <hyperlink r:id="rId1179" ref="F532"/>
    <hyperlink r:id="rId1180" ref="H532"/>
    <hyperlink r:id="rId1181" ref="D533"/>
    <hyperlink r:id="rId1182" ref="F533"/>
    <hyperlink r:id="rId1183" ref="D534"/>
    <hyperlink r:id="rId1184" ref="D535"/>
    <hyperlink r:id="rId1185" ref="F535"/>
    <hyperlink r:id="rId1186" ref="D536"/>
    <hyperlink r:id="rId1187" ref="F536"/>
    <hyperlink r:id="rId1188" ref="H536"/>
    <hyperlink r:id="rId1189" ref="D537"/>
    <hyperlink r:id="rId1190" ref="F537"/>
    <hyperlink r:id="rId1191" ref="D538"/>
    <hyperlink r:id="rId1192" ref="F538"/>
    <hyperlink r:id="rId1193" ref="H538"/>
    <hyperlink r:id="rId1194" ref="D539"/>
    <hyperlink r:id="rId1195" ref="F539"/>
    <hyperlink r:id="rId1196" ref="H539"/>
    <hyperlink r:id="rId1197" ref="D540"/>
    <hyperlink r:id="rId1198" ref="F540"/>
    <hyperlink r:id="rId1199" ref="H540"/>
    <hyperlink r:id="rId1200" ref="D541"/>
    <hyperlink r:id="rId1201" ref="F541"/>
    <hyperlink r:id="rId1202" ref="H541"/>
    <hyperlink r:id="rId1203" ref="D542"/>
    <hyperlink r:id="rId1204" ref="F542"/>
    <hyperlink r:id="rId1205" ref="H542"/>
    <hyperlink r:id="rId1206" ref="D543"/>
    <hyperlink r:id="rId1207" ref="F543"/>
    <hyperlink r:id="rId1208" ref="D544"/>
    <hyperlink r:id="rId1209" ref="F544"/>
    <hyperlink r:id="rId1210" ref="D545"/>
    <hyperlink r:id="rId1211" ref="F545"/>
    <hyperlink r:id="rId1212" ref="D546"/>
    <hyperlink r:id="rId1213" ref="D547"/>
    <hyperlink r:id="rId1214" ref="D548"/>
    <hyperlink r:id="rId1215" ref="F548"/>
    <hyperlink r:id="rId1216" ref="D549"/>
    <hyperlink r:id="rId1217" ref="F549"/>
    <hyperlink r:id="rId1218" ref="D550"/>
    <hyperlink r:id="rId1219" ref="F550"/>
    <hyperlink r:id="rId1220" ref="D551"/>
    <hyperlink r:id="rId1221" ref="F551"/>
    <hyperlink r:id="rId1222" ref="D552"/>
    <hyperlink r:id="rId1223" ref="F552"/>
    <hyperlink r:id="rId1224" ref="D553"/>
    <hyperlink r:id="rId1225" ref="F553"/>
    <hyperlink r:id="rId1226" ref="D554"/>
    <hyperlink r:id="rId1227" ref="F554"/>
    <hyperlink r:id="rId1228" ref="H554"/>
    <hyperlink r:id="rId1229" ref="D555"/>
    <hyperlink r:id="rId1230" ref="F555"/>
    <hyperlink r:id="rId1231" ref="D556"/>
    <hyperlink r:id="rId1232" ref="F556"/>
    <hyperlink r:id="rId1233" ref="D557"/>
    <hyperlink r:id="rId1234" ref="F557"/>
    <hyperlink r:id="rId1235" ref="D558"/>
    <hyperlink r:id="rId1236" ref="F558"/>
    <hyperlink r:id="rId1237" ref="D559"/>
    <hyperlink r:id="rId1238" ref="F559"/>
    <hyperlink r:id="rId1239" ref="H559"/>
    <hyperlink r:id="rId1240" ref="D560"/>
    <hyperlink r:id="rId1241" ref="D561"/>
    <hyperlink r:id="rId1242" ref="D562"/>
    <hyperlink r:id="rId1243" ref="F562"/>
    <hyperlink r:id="rId1244" ref="H562"/>
    <hyperlink r:id="rId1245" ref="D563"/>
    <hyperlink r:id="rId1246" ref="F563"/>
    <hyperlink r:id="rId1247" ref="D564"/>
    <hyperlink r:id="rId1248" ref="F564"/>
    <hyperlink r:id="rId1249" ref="H564"/>
    <hyperlink r:id="rId1250" ref="D565"/>
    <hyperlink r:id="rId1251" ref="F565"/>
    <hyperlink r:id="rId1252" ref="H565"/>
    <hyperlink r:id="rId1253" ref="D566"/>
    <hyperlink r:id="rId1254" ref="D567"/>
    <hyperlink r:id="rId1255" ref="D568"/>
    <hyperlink r:id="rId1256" ref="D569"/>
    <hyperlink r:id="rId1257" ref="D570"/>
    <hyperlink r:id="rId1258" ref="F570"/>
    <hyperlink r:id="rId1259" ref="D571"/>
    <hyperlink r:id="rId1260" ref="D572"/>
    <hyperlink r:id="rId1261" ref="F572"/>
    <hyperlink r:id="rId1262" ref="D573"/>
    <hyperlink r:id="rId1263" ref="F573"/>
    <hyperlink r:id="rId1264" ref="D574"/>
    <hyperlink r:id="rId1265" ref="D575"/>
    <hyperlink r:id="rId1266" ref="D576"/>
    <hyperlink r:id="rId1267" ref="D577"/>
    <hyperlink r:id="rId1268" ref="F577"/>
    <hyperlink r:id="rId1269" ref="D578"/>
    <hyperlink r:id="rId1270" ref="F578"/>
    <hyperlink r:id="rId1271" ref="H578"/>
    <hyperlink r:id="rId1272" ref="D579"/>
    <hyperlink r:id="rId1273" ref="F579"/>
    <hyperlink r:id="rId1274" ref="H579"/>
    <hyperlink r:id="rId1275" ref="D580"/>
    <hyperlink r:id="rId1276" ref="F580"/>
    <hyperlink r:id="rId1277" ref="H580"/>
    <hyperlink r:id="rId1278" ref="D581"/>
    <hyperlink r:id="rId1279" ref="F581"/>
    <hyperlink r:id="rId1280" ref="H581"/>
    <hyperlink r:id="rId1281" ref="D582"/>
    <hyperlink r:id="rId1282" ref="F582"/>
    <hyperlink r:id="rId1283" ref="H582"/>
    <hyperlink r:id="rId1284" ref="D583"/>
    <hyperlink r:id="rId1285" ref="F583"/>
    <hyperlink r:id="rId1286" ref="H583"/>
    <hyperlink r:id="rId1287" ref="D584"/>
    <hyperlink r:id="rId1288" ref="F584"/>
    <hyperlink r:id="rId1289" ref="H584"/>
    <hyperlink r:id="rId1290" ref="D585"/>
    <hyperlink r:id="rId1291" ref="F585"/>
    <hyperlink r:id="rId1292" ref="H585"/>
    <hyperlink r:id="rId1293" ref="D586"/>
    <hyperlink r:id="rId1294" ref="F586"/>
    <hyperlink r:id="rId1295" ref="H586"/>
    <hyperlink r:id="rId1296" ref="D587"/>
    <hyperlink r:id="rId1297" ref="F587"/>
    <hyperlink r:id="rId1298" ref="H587"/>
    <hyperlink r:id="rId1299" ref="D588"/>
    <hyperlink r:id="rId1300" ref="F588"/>
    <hyperlink r:id="rId1301" ref="H588"/>
    <hyperlink r:id="rId1302" ref="D589"/>
    <hyperlink r:id="rId1303" ref="F589"/>
    <hyperlink r:id="rId1304" ref="D590"/>
    <hyperlink r:id="rId1305" ref="F590"/>
    <hyperlink r:id="rId1306" ref="D591"/>
    <hyperlink r:id="rId1307" ref="F591"/>
    <hyperlink r:id="rId1308" ref="D592"/>
    <hyperlink r:id="rId1309" ref="F592"/>
    <hyperlink r:id="rId1310" ref="D593"/>
    <hyperlink r:id="rId1311" ref="F593"/>
    <hyperlink r:id="rId1312" ref="D594"/>
    <hyperlink r:id="rId1313" ref="D595"/>
    <hyperlink r:id="rId1314" ref="F595"/>
    <hyperlink r:id="rId1315" ref="D596"/>
    <hyperlink r:id="rId1316" ref="D597"/>
    <hyperlink r:id="rId1317" ref="D598"/>
    <hyperlink r:id="rId1318" ref="F598"/>
    <hyperlink r:id="rId1319" ref="H598"/>
    <hyperlink r:id="rId1320" ref="D599"/>
    <hyperlink r:id="rId1321" ref="F599"/>
    <hyperlink r:id="rId1322" ref="D600"/>
    <hyperlink r:id="rId1323" ref="F600"/>
    <hyperlink r:id="rId1324" ref="D601"/>
    <hyperlink r:id="rId1325" ref="F601"/>
    <hyperlink r:id="rId1326" ref="D602"/>
    <hyperlink r:id="rId1327" ref="F602"/>
    <hyperlink r:id="rId1328" ref="D603"/>
    <hyperlink r:id="rId1329" ref="D604"/>
    <hyperlink r:id="rId1330" ref="F604"/>
    <hyperlink r:id="rId1331" ref="H604"/>
    <hyperlink r:id="rId1332" ref="D605"/>
    <hyperlink r:id="rId1333" ref="D606"/>
    <hyperlink r:id="rId1334" ref="F606"/>
    <hyperlink r:id="rId1335" ref="H606"/>
    <hyperlink r:id="rId1336" ref="D607"/>
    <hyperlink r:id="rId1337" ref="F607"/>
    <hyperlink r:id="rId1338" ref="D608"/>
    <hyperlink r:id="rId1339" ref="F608"/>
    <hyperlink r:id="rId1340" ref="H608"/>
    <hyperlink r:id="rId1341" ref="D609"/>
    <hyperlink r:id="rId1342" ref="F609"/>
    <hyperlink r:id="rId1343" ref="H609"/>
    <hyperlink r:id="rId1344" ref="D610"/>
    <hyperlink r:id="rId1345" ref="F610"/>
    <hyperlink r:id="rId1346" ref="H610"/>
    <hyperlink r:id="rId1347" ref="D611"/>
    <hyperlink r:id="rId1348" ref="F611"/>
    <hyperlink r:id="rId1349" ref="D612"/>
    <hyperlink r:id="rId1350" ref="F612"/>
    <hyperlink r:id="rId1351" ref="D613"/>
    <hyperlink r:id="rId1352" ref="F613"/>
    <hyperlink r:id="rId1353" ref="D614"/>
    <hyperlink r:id="rId1354" ref="F614"/>
    <hyperlink r:id="rId1355" ref="H614"/>
    <hyperlink r:id="rId1356" ref="D615"/>
    <hyperlink r:id="rId1357" ref="F615"/>
    <hyperlink r:id="rId1358" ref="D616"/>
    <hyperlink r:id="rId1359" ref="F616"/>
    <hyperlink r:id="rId1360" ref="D617"/>
    <hyperlink r:id="rId1361" ref="F617"/>
    <hyperlink r:id="rId1362" ref="H617"/>
    <hyperlink r:id="rId1363" ref="D618"/>
    <hyperlink r:id="rId1364" ref="F618"/>
    <hyperlink r:id="rId1365" ref="D619"/>
    <hyperlink r:id="rId1366" ref="F619"/>
    <hyperlink r:id="rId1367" ref="H619"/>
    <hyperlink r:id="rId1368" ref="D620"/>
    <hyperlink r:id="rId1369" ref="F620"/>
    <hyperlink r:id="rId1370" ref="H620"/>
    <hyperlink r:id="rId1371" ref="D621"/>
    <hyperlink r:id="rId1372" ref="F621"/>
    <hyperlink r:id="rId1373" ref="H621"/>
    <hyperlink r:id="rId1374" ref="D622"/>
    <hyperlink r:id="rId1375" ref="F622"/>
    <hyperlink r:id="rId1376" ref="H622"/>
    <hyperlink r:id="rId1377" ref="D623"/>
    <hyperlink r:id="rId1378" ref="F623"/>
    <hyperlink r:id="rId1379" ref="H623"/>
    <hyperlink r:id="rId1380" ref="D624"/>
    <hyperlink r:id="rId1381" ref="F624"/>
    <hyperlink r:id="rId1382" ref="D625"/>
    <hyperlink r:id="rId1383" ref="F625"/>
    <hyperlink r:id="rId1384" ref="D626"/>
    <hyperlink r:id="rId1385" ref="F626"/>
    <hyperlink r:id="rId1386" ref="D627"/>
    <hyperlink r:id="rId1387" ref="F627"/>
    <hyperlink r:id="rId1388" ref="D628"/>
    <hyperlink r:id="rId1389" ref="F628"/>
    <hyperlink r:id="rId1390" ref="D629"/>
    <hyperlink r:id="rId1391" ref="F629"/>
    <hyperlink r:id="rId1392" ref="D630"/>
    <hyperlink r:id="rId1393" ref="F630"/>
    <hyperlink r:id="rId1394" ref="H630"/>
    <hyperlink r:id="rId1395" ref="D631"/>
    <hyperlink r:id="rId1396" ref="F631"/>
    <hyperlink r:id="rId1397" ref="H631"/>
    <hyperlink r:id="rId1398" ref="D632"/>
    <hyperlink r:id="rId1399" ref="D633"/>
    <hyperlink r:id="rId1400" ref="F633"/>
    <hyperlink r:id="rId1401" ref="D634"/>
    <hyperlink r:id="rId1402" ref="F634"/>
    <hyperlink r:id="rId1403" ref="D635"/>
    <hyperlink r:id="rId1404" ref="D636"/>
    <hyperlink r:id="rId1405" ref="D637"/>
    <hyperlink r:id="rId1406" ref="D638"/>
    <hyperlink r:id="rId1407" ref="F638"/>
    <hyperlink r:id="rId1408" ref="H638"/>
    <hyperlink r:id="rId1409" ref="D639"/>
    <hyperlink r:id="rId1410" ref="D640"/>
    <hyperlink r:id="rId1411" ref="D641"/>
    <hyperlink r:id="rId1412" ref="F641"/>
    <hyperlink r:id="rId1413" ref="D642"/>
    <hyperlink r:id="rId1414" ref="F642"/>
    <hyperlink r:id="rId1415" ref="D643"/>
    <hyperlink r:id="rId1416" ref="F643"/>
    <hyperlink r:id="rId1417" ref="H643"/>
    <hyperlink r:id="rId1418" ref="D644"/>
    <hyperlink r:id="rId1419" ref="F644"/>
    <hyperlink r:id="rId1420" ref="D645"/>
    <hyperlink r:id="rId1421" ref="F645"/>
    <hyperlink r:id="rId1422" ref="D646"/>
    <hyperlink r:id="rId1423" ref="F646"/>
    <hyperlink r:id="rId1424" ref="D647"/>
    <hyperlink r:id="rId1425" ref="F647"/>
    <hyperlink r:id="rId1426" ref="D648"/>
    <hyperlink r:id="rId1427" ref="H648"/>
    <hyperlink r:id="rId1428" ref="D649"/>
    <hyperlink r:id="rId1429" ref="D650"/>
    <hyperlink r:id="rId1430" ref="F650"/>
    <hyperlink r:id="rId1431" ref="D651"/>
    <hyperlink r:id="rId1432" ref="F651"/>
    <hyperlink r:id="rId1433" ref="D652"/>
    <hyperlink r:id="rId1434" ref="F652"/>
    <hyperlink r:id="rId1435" ref="H652"/>
    <hyperlink r:id="rId1436" ref="D653"/>
    <hyperlink r:id="rId1437" ref="D654"/>
    <hyperlink r:id="rId1438" ref="F654"/>
    <hyperlink r:id="rId1439" ref="H654"/>
    <hyperlink r:id="rId1440" ref="D655"/>
    <hyperlink r:id="rId1441" ref="D656"/>
    <hyperlink r:id="rId1442" ref="F656"/>
  </hyperlinks>
  <drawing r:id="rId144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05.5"/>
    <col customWidth="1" min="2" max="2" width="48.0"/>
    <col customWidth="1" min="3" max="4" width="13.63"/>
    <col customWidth="1" min="5" max="5" width="12.88"/>
    <col customWidth="1" min="6" max="6" width="330.5"/>
    <col customWidth="1" min="7" max="7" width="545.13"/>
    <col customWidth="1" min="8" max="8" width="7.75"/>
    <col customWidth="1" min="9" max="9" width="9.0"/>
    <col customWidth="1" min="10" max="10" width="27.63"/>
    <col customWidth="1" min="11" max="11" width="9.75"/>
    <col customWidth="1" min="12" max="12" width="12.38"/>
    <col customWidth="1" min="13" max="13" width="760.38"/>
    <col customWidth="1" min="14" max="14" width="718.63"/>
    <col customWidth="1" min="15" max="15" width="130.25"/>
    <col customWidth="1" min="16" max="16" width="12.63"/>
    <col customWidth="1" min="17" max="17" width="12.0"/>
    <col customWidth="1" min="18" max="18" width="12.5"/>
    <col customWidth="1" min="19" max="19" width="15.38"/>
    <col customWidth="1" min="20" max="20" width="34.88"/>
  </cols>
  <sheetData>
    <row r="1">
      <c r="A1" s="24" t="s">
        <v>8950</v>
      </c>
      <c r="B1" s="24" t="s">
        <v>6623</v>
      </c>
      <c r="C1" s="24" t="s">
        <v>8951</v>
      </c>
      <c r="D1" s="24" t="s">
        <v>8952</v>
      </c>
      <c r="E1" s="24" t="s">
        <v>8953</v>
      </c>
      <c r="F1" s="24" t="s">
        <v>8954</v>
      </c>
      <c r="G1" s="24" t="s">
        <v>8955</v>
      </c>
      <c r="H1" s="24" t="s">
        <v>8956</v>
      </c>
      <c r="I1" s="24" t="s">
        <v>8957</v>
      </c>
      <c r="J1" s="24" t="s">
        <v>8958</v>
      </c>
      <c r="K1" s="24" t="s">
        <v>8959</v>
      </c>
      <c r="L1" s="24" t="s">
        <v>8960</v>
      </c>
      <c r="M1" s="24" t="s">
        <v>8961</v>
      </c>
      <c r="N1" s="24" t="s">
        <v>8962</v>
      </c>
      <c r="O1" s="24" t="s">
        <v>8963</v>
      </c>
      <c r="P1" s="24" t="s">
        <v>8964</v>
      </c>
      <c r="Q1" s="24" t="s">
        <v>8965</v>
      </c>
      <c r="R1" s="24" t="s">
        <v>8966</v>
      </c>
      <c r="S1" s="24" t="s">
        <v>8967</v>
      </c>
      <c r="T1" s="24" t="s">
        <v>6807</v>
      </c>
      <c r="U1" s="2"/>
      <c r="V1" s="3" t="s">
        <v>21</v>
      </c>
      <c r="W1" s="4">
        <v>46037.527982060186</v>
      </c>
    </row>
    <row r="2">
      <c r="A2" s="3" t="s">
        <v>8968</v>
      </c>
      <c r="B2" s="3" t="s">
        <v>8969</v>
      </c>
      <c r="C2" s="17">
        <v>45685.45833333333</v>
      </c>
      <c r="D2" s="17">
        <v>45685.47916666667</v>
      </c>
      <c r="E2" s="25">
        <v>0.5</v>
      </c>
      <c r="G2" s="3" t="s">
        <v>8970</v>
      </c>
      <c r="H2" s="3" t="s">
        <v>8971</v>
      </c>
      <c r="I2" s="3" t="s">
        <v>8972</v>
      </c>
      <c r="J2" s="3" t="s">
        <v>6950</v>
      </c>
      <c r="K2" s="3" t="s">
        <v>8973</v>
      </c>
      <c r="L2" s="16">
        <v>5.0</v>
      </c>
      <c r="M2" s="3" t="s">
        <v>8974</v>
      </c>
      <c r="N2" s="3" t="s">
        <v>8974</v>
      </c>
      <c r="O2" s="3" t="s">
        <v>8975</v>
      </c>
      <c r="P2" s="16">
        <v>3.0</v>
      </c>
      <c r="Q2" s="16">
        <v>0.0</v>
      </c>
      <c r="R2" s="16">
        <v>1.0</v>
      </c>
      <c r="S2" s="16">
        <v>1.0</v>
      </c>
      <c r="T2" s="3" t="s">
        <v>5498</v>
      </c>
    </row>
    <row r="3">
      <c r="A3" s="3" t="s">
        <v>8976</v>
      </c>
      <c r="B3" s="3" t="s">
        <v>8977</v>
      </c>
      <c r="C3" s="17">
        <v>45691.5625</v>
      </c>
      <c r="D3" s="17">
        <v>45691.58333333333</v>
      </c>
      <c r="E3" s="25">
        <v>0.5</v>
      </c>
      <c r="F3" s="2"/>
      <c r="G3" s="2"/>
      <c r="H3" s="3" t="s">
        <v>8971</v>
      </c>
      <c r="I3" s="3" t="s">
        <v>8972</v>
      </c>
      <c r="J3" s="3" t="s">
        <v>6950</v>
      </c>
      <c r="K3" s="3" t="s">
        <v>8973</v>
      </c>
      <c r="L3" s="16">
        <v>7.0</v>
      </c>
      <c r="M3" s="3" t="s">
        <v>8978</v>
      </c>
      <c r="N3" s="3" t="s">
        <v>8978</v>
      </c>
      <c r="O3" s="3" t="s">
        <v>8979</v>
      </c>
      <c r="P3" s="16">
        <v>5.0</v>
      </c>
      <c r="Q3" s="16">
        <v>0.0</v>
      </c>
      <c r="R3" s="16">
        <v>0.0</v>
      </c>
      <c r="S3" s="16">
        <v>2.0</v>
      </c>
      <c r="T3" s="3" t="s">
        <v>2576</v>
      </c>
    </row>
    <row r="4">
      <c r="A4" s="3" t="s">
        <v>8980</v>
      </c>
      <c r="B4" s="3" t="s">
        <v>8981</v>
      </c>
      <c r="C4" s="17">
        <v>45692.58333333333</v>
      </c>
      <c r="D4" s="17">
        <v>45692.60416666667</v>
      </c>
      <c r="E4" s="25">
        <v>0.5</v>
      </c>
      <c r="H4" s="3" t="s">
        <v>8971</v>
      </c>
      <c r="I4" s="3" t="s">
        <v>8972</v>
      </c>
      <c r="J4" s="3" t="s">
        <v>6950</v>
      </c>
      <c r="K4" s="3" t="s">
        <v>8973</v>
      </c>
      <c r="L4" s="16">
        <v>9.0</v>
      </c>
      <c r="M4" s="3" t="s">
        <v>8982</v>
      </c>
      <c r="N4" s="3" t="s">
        <v>8983</v>
      </c>
      <c r="O4" s="3" t="s">
        <v>8984</v>
      </c>
      <c r="P4" s="16">
        <v>2.0</v>
      </c>
      <c r="Q4" s="16">
        <v>2.0</v>
      </c>
      <c r="R4" s="16">
        <v>0.0</v>
      </c>
      <c r="S4" s="16">
        <v>5.0</v>
      </c>
      <c r="T4" s="3" t="s">
        <v>2109</v>
      </c>
    </row>
    <row r="5">
      <c r="A5" s="3" t="s">
        <v>8968</v>
      </c>
      <c r="B5" s="3" t="s">
        <v>8969</v>
      </c>
      <c r="C5" s="17">
        <v>45699.45833333333</v>
      </c>
      <c r="D5" s="17">
        <v>45699.47916666667</v>
      </c>
      <c r="E5" s="25">
        <v>0.5</v>
      </c>
      <c r="G5" s="3" t="s">
        <v>8970</v>
      </c>
      <c r="H5" s="3" t="s">
        <v>8971</v>
      </c>
      <c r="I5" s="3" t="s">
        <v>8972</v>
      </c>
      <c r="J5" s="3" t="s">
        <v>6950</v>
      </c>
      <c r="K5" s="3" t="s">
        <v>8973</v>
      </c>
      <c r="L5" s="16">
        <v>5.0</v>
      </c>
      <c r="M5" s="3" t="s">
        <v>8974</v>
      </c>
      <c r="N5" s="3" t="s">
        <v>8974</v>
      </c>
      <c r="O5" s="3" t="s">
        <v>8975</v>
      </c>
      <c r="P5" s="16">
        <v>3.0</v>
      </c>
      <c r="Q5" s="16">
        <v>0.0</v>
      </c>
      <c r="R5" s="16">
        <v>1.0</v>
      </c>
      <c r="S5" s="16">
        <v>1.0</v>
      </c>
      <c r="T5" s="3" t="s">
        <v>5498</v>
      </c>
    </row>
    <row r="6">
      <c r="A6" s="3" t="s">
        <v>8968</v>
      </c>
      <c r="B6" s="3" t="s">
        <v>8969</v>
      </c>
      <c r="C6" s="17">
        <v>45713.45833333333</v>
      </c>
      <c r="D6" s="17">
        <v>45713.47916666667</v>
      </c>
      <c r="E6" s="25">
        <v>0.5</v>
      </c>
      <c r="G6" s="3" t="s">
        <v>8970</v>
      </c>
      <c r="H6" s="3" t="s">
        <v>8971</v>
      </c>
      <c r="I6" s="3" t="s">
        <v>8972</v>
      </c>
      <c r="J6" s="3" t="s">
        <v>6950</v>
      </c>
      <c r="K6" s="3" t="s">
        <v>8973</v>
      </c>
      <c r="L6" s="16">
        <v>5.0</v>
      </c>
      <c r="M6" s="3" t="s">
        <v>8974</v>
      </c>
      <c r="N6" s="3" t="s">
        <v>8974</v>
      </c>
      <c r="O6" s="3" t="s">
        <v>8975</v>
      </c>
      <c r="P6" s="16">
        <v>3.0</v>
      </c>
      <c r="Q6" s="16">
        <v>0.0</v>
      </c>
      <c r="R6" s="16">
        <v>1.0</v>
      </c>
      <c r="S6" s="16">
        <v>1.0</v>
      </c>
      <c r="T6" s="3" t="s">
        <v>5498</v>
      </c>
    </row>
    <row r="7">
      <c r="A7" s="3" t="s">
        <v>8980</v>
      </c>
      <c r="B7" s="3" t="s">
        <v>8981</v>
      </c>
      <c r="C7" s="17">
        <v>45720.58333333333</v>
      </c>
      <c r="D7" s="17">
        <v>45720.60416666667</v>
      </c>
      <c r="E7" s="25">
        <v>0.5</v>
      </c>
      <c r="F7" s="2"/>
      <c r="G7" s="2"/>
      <c r="H7" s="3" t="s">
        <v>8971</v>
      </c>
      <c r="I7" s="3" t="s">
        <v>8972</v>
      </c>
      <c r="J7" s="3" t="s">
        <v>6950</v>
      </c>
      <c r="K7" s="3" t="s">
        <v>8973</v>
      </c>
      <c r="L7" s="16">
        <v>9.0</v>
      </c>
      <c r="M7" s="3" t="s">
        <v>8982</v>
      </c>
      <c r="N7" s="3" t="s">
        <v>8983</v>
      </c>
      <c r="O7" s="3" t="s">
        <v>8985</v>
      </c>
      <c r="P7" s="16">
        <v>2.0</v>
      </c>
      <c r="Q7" s="16">
        <v>1.0</v>
      </c>
      <c r="R7" s="16">
        <v>0.0</v>
      </c>
      <c r="S7" s="16">
        <v>6.0</v>
      </c>
      <c r="T7" s="3" t="s">
        <v>2109</v>
      </c>
    </row>
    <row r="8">
      <c r="A8" s="3" t="s">
        <v>8968</v>
      </c>
      <c r="B8" s="3" t="s">
        <v>8969</v>
      </c>
      <c r="C8" s="17">
        <v>45727.45833333333</v>
      </c>
      <c r="D8" s="17">
        <v>45727.47916666667</v>
      </c>
      <c r="E8" s="25">
        <v>0.5</v>
      </c>
      <c r="G8" s="3" t="s">
        <v>8970</v>
      </c>
      <c r="H8" s="3" t="s">
        <v>8971</v>
      </c>
      <c r="I8" s="3" t="s">
        <v>8972</v>
      </c>
      <c r="J8" s="3" t="s">
        <v>6950</v>
      </c>
      <c r="K8" s="3" t="s">
        <v>8973</v>
      </c>
      <c r="L8" s="16">
        <v>5.0</v>
      </c>
      <c r="M8" s="3" t="s">
        <v>8974</v>
      </c>
      <c r="N8" s="3" t="s">
        <v>8974</v>
      </c>
      <c r="O8" s="3" t="s">
        <v>8975</v>
      </c>
      <c r="P8" s="16">
        <v>3.0</v>
      </c>
      <c r="Q8" s="16">
        <v>0.0</v>
      </c>
      <c r="R8" s="16">
        <v>1.0</v>
      </c>
      <c r="S8" s="16">
        <v>1.0</v>
      </c>
      <c r="T8" s="3" t="s">
        <v>5498</v>
      </c>
    </row>
    <row r="9">
      <c r="A9" s="3" t="s">
        <v>8968</v>
      </c>
      <c r="B9" s="3" t="s">
        <v>8969</v>
      </c>
      <c r="C9" s="17">
        <v>45741.45833333333</v>
      </c>
      <c r="D9" s="17">
        <v>45741.47916666667</v>
      </c>
      <c r="E9" s="25">
        <v>0.5</v>
      </c>
      <c r="F9" s="2"/>
      <c r="G9" s="3" t="s">
        <v>8970</v>
      </c>
      <c r="H9" s="3" t="s">
        <v>8971</v>
      </c>
      <c r="I9" s="3" t="s">
        <v>8972</v>
      </c>
      <c r="J9" s="3" t="s">
        <v>6950</v>
      </c>
      <c r="K9" s="3" t="s">
        <v>8973</v>
      </c>
      <c r="L9" s="16">
        <v>6.0</v>
      </c>
      <c r="M9" s="3" t="s">
        <v>8986</v>
      </c>
      <c r="N9" s="3" t="s">
        <v>8986</v>
      </c>
      <c r="O9" s="3" t="s">
        <v>8987</v>
      </c>
      <c r="P9" s="16">
        <v>4.0</v>
      </c>
      <c r="Q9" s="16">
        <v>0.0</v>
      </c>
      <c r="R9" s="16">
        <v>1.0</v>
      </c>
      <c r="S9" s="16">
        <v>1.0</v>
      </c>
      <c r="T9" s="3" t="s">
        <v>5498</v>
      </c>
    </row>
    <row r="10">
      <c r="A10" s="3" t="s">
        <v>8968</v>
      </c>
      <c r="B10" s="3" t="s">
        <v>8969</v>
      </c>
      <c r="C10" s="17">
        <v>45755.45833333333</v>
      </c>
      <c r="D10" s="17">
        <v>45755.47916666667</v>
      </c>
      <c r="E10" s="25">
        <v>0.5</v>
      </c>
      <c r="G10" s="3" t="s">
        <v>8970</v>
      </c>
      <c r="H10" s="3" t="s">
        <v>8971</v>
      </c>
      <c r="I10" s="3" t="s">
        <v>8972</v>
      </c>
      <c r="J10" s="3" t="s">
        <v>6950</v>
      </c>
      <c r="K10" s="3" t="s">
        <v>8973</v>
      </c>
      <c r="L10" s="16">
        <v>5.0</v>
      </c>
      <c r="M10" s="3" t="s">
        <v>8974</v>
      </c>
      <c r="N10" s="3" t="s">
        <v>8974</v>
      </c>
      <c r="O10" s="3" t="s">
        <v>8975</v>
      </c>
      <c r="P10" s="16">
        <v>3.0</v>
      </c>
      <c r="Q10" s="16">
        <v>0.0</v>
      </c>
      <c r="R10" s="16">
        <v>1.0</v>
      </c>
      <c r="S10" s="16">
        <v>1.0</v>
      </c>
      <c r="T10" s="3" t="s">
        <v>5498</v>
      </c>
    </row>
    <row r="11">
      <c r="A11" s="3" t="s">
        <v>8968</v>
      </c>
      <c r="B11" s="3" t="s">
        <v>8969</v>
      </c>
      <c r="C11" s="17">
        <v>45769.45833333333</v>
      </c>
      <c r="D11" s="17">
        <v>45769.47916666667</v>
      </c>
      <c r="E11" s="25">
        <v>0.5</v>
      </c>
      <c r="F11" s="2"/>
      <c r="G11" s="3" t="s">
        <v>8970</v>
      </c>
      <c r="H11" s="3" t="s">
        <v>8971</v>
      </c>
      <c r="I11" s="3" t="s">
        <v>8972</v>
      </c>
      <c r="J11" s="3" t="s">
        <v>6950</v>
      </c>
      <c r="K11" s="3" t="s">
        <v>8973</v>
      </c>
      <c r="L11" s="16">
        <v>5.0</v>
      </c>
      <c r="M11" s="3" t="s">
        <v>8974</v>
      </c>
      <c r="N11" s="3" t="s">
        <v>8974</v>
      </c>
      <c r="O11" s="3" t="s">
        <v>8975</v>
      </c>
      <c r="P11" s="16">
        <v>3.0</v>
      </c>
      <c r="Q11" s="16">
        <v>0.0</v>
      </c>
      <c r="R11" s="16">
        <v>1.0</v>
      </c>
      <c r="S11" s="16">
        <v>1.0</v>
      </c>
      <c r="T11" s="3" t="s">
        <v>5498</v>
      </c>
    </row>
    <row r="12">
      <c r="A12" s="3" t="s">
        <v>8976</v>
      </c>
      <c r="B12" s="3" t="s">
        <v>8977</v>
      </c>
      <c r="C12" s="17">
        <v>45782.5625</v>
      </c>
      <c r="D12" s="17">
        <v>45782.58333333333</v>
      </c>
      <c r="E12" s="25">
        <v>0.5</v>
      </c>
      <c r="G12" s="2"/>
      <c r="H12" s="3" t="s">
        <v>8971</v>
      </c>
      <c r="I12" s="3" t="s">
        <v>8972</v>
      </c>
      <c r="J12" s="3" t="s">
        <v>6950</v>
      </c>
      <c r="K12" s="3" t="s">
        <v>8973</v>
      </c>
      <c r="L12" s="16">
        <v>7.0</v>
      </c>
      <c r="M12" s="3" t="s">
        <v>8978</v>
      </c>
      <c r="N12" s="3" t="s">
        <v>8978</v>
      </c>
      <c r="O12" s="3" t="s">
        <v>8979</v>
      </c>
      <c r="P12" s="16">
        <v>5.0</v>
      </c>
      <c r="Q12" s="16">
        <v>0.0</v>
      </c>
      <c r="R12" s="16">
        <v>0.0</v>
      </c>
      <c r="S12" s="16">
        <v>2.0</v>
      </c>
      <c r="T12" s="3" t="s">
        <v>2576</v>
      </c>
    </row>
    <row r="13">
      <c r="A13" s="3" t="s">
        <v>8968</v>
      </c>
      <c r="B13" s="3" t="s">
        <v>8969</v>
      </c>
      <c r="C13" s="17">
        <v>45783.45833333333</v>
      </c>
      <c r="D13" s="17">
        <v>45783.47916666667</v>
      </c>
      <c r="E13" s="25">
        <v>0.5</v>
      </c>
      <c r="G13" s="3" t="s">
        <v>8970</v>
      </c>
      <c r="H13" s="3" t="s">
        <v>8971</v>
      </c>
      <c r="I13" s="3" t="s">
        <v>8972</v>
      </c>
      <c r="J13" s="3" t="s">
        <v>6950</v>
      </c>
      <c r="K13" s="3" t="s">
        <v>8973</v>
      </c>
      <c r="L13" s="16">
        <v>5.0</v>
      </c>
      <c r="M13" s="3" t="s">
        <v>8974</v>
      </c>
      <c r="N13" s="3" t="s">
        <v>8974</v>
      </c>
      <c r="O13" s="3" t="s">
        <v>8975</v>
      </c>
      <c r="P13" s="16">
        <v>3.0</v>
      </c>
      <c r="Q13" s="16">
        <v>0.0</v>
      </c>
      <c r="R13" s="16">
        <v>1.0</v>
      </c>
      <c r="S13" s="16">
        <v>1.0</v>
      </c>
      <c r="T13" s="3" t="s">
        <v>5498</v>
      </c>
    </row>
    <row r="14">
      <c r="A14" s="3" t="s">
        <v>8980</v>
      </c>
      <c r="B14" s="3" t="s">
        <v>8981</v>
      </c>
      <c r="C14" s="17">
        <v>45783.58333333333</v>
      </c>
      <c r="D14" s="17">
        <v>45783.60416666667</v>
      </c>
      <c r="E14" s="25">
        <v>0.5</v>
      </c>
      <c r="F14" s="2"/>
      <c r="G14" s="2"/>
      <c r="H14" s="3" t="s">
        <v>8971</v>
      </c>
      <c r="I14" s="3" t="s">
        <v>8972</v>
      </c>
      <c r="J14" s="3" t="s">
        <v>6950</v>
      </c>
      <c r="K14" s="3" t="s">
        <v>8973</v>
      </c>
      <c r="L14" s="16">
        <v>9.0</v>
      </c>
      <c r="M14" s="3" t="s">
        <v>8982</v>
      </c>
      <c r="N14" s="3" t="s">
        <v>8983</v>
      </c>
      <c r="O14" s="3" t="s">
        <v>8988</v>
      </c>
      <c r="P14" s="16">
        <v>2.0</v>
      </c>
      <c r="Q14" s="16">
        <v>2.0</v>
      </c>
      <c r="R14" s="16">
        <v>1.0</v>
      </c>
      <c r="S14" s="16">
        <v>4.0</v>
      </c>
      <c r="T14" s="3" t="s">
        <v>2109</v>
      </c>
    </row>
    <row r="15">
      <c r="A15" s="3" t="s">
        <v>8968</v>
      </c>
      <c r="B15" s="3" t="s">
        <v>8969</v>
      </c>
      <c r="C15" s="17">
        <v>45797.45833333333</v>
      </c>
      <c r="D15" s="17">
        <v>45797.47916666667</v>
      </c>
      <c r="E15" s="25">
        <v>0.5</v>
      </c>
      <c r="G15" s="3" t="s">
        <v>8970</v>
      </c>
      <c r="H15" s="3" t="s">
        <v>8971</v>
      </c>
      <c r="I15" s="3" t="s">
        <v>8972</v>
      </c>
      <c r="J15" s="3" t="s">
        <v>6950</v>
      </c>
      <c r="K15" s="3" t="s">
        <v>8973</v>
      </c>
      <c r="L15" s="16">
        <v>5.0</v>
      </c>
      <c r="M15" s="3" t="s">
        <v>8974</v>
      </c>
      <c r="N15" s="3" t="s">
        <v>8974</v>
      </c>
      <c r="O15" s="3" t="s">
        <v>8975</v>
      </c>
      <c r="P15" s="16">
        <v>3.0</v>
      </c>
      <c r="Q15" s="16">
        <v>0.0</v>
      </c>
      <c r="R15" s="16">
        <v>1.0</v>
      </c>
      <c r="S15" s="16">
        <v>1.0</v>
      </c>
      <c r="T15" s="3" t="s">
        <v>5498</v>
      </c>
    </row>
    <row r="16">
      <c r="A16" s="3" t="s">
        <v>8968</v>
      </c>
      <c r="B16" s="3" t="s">
        <v>8969</v>
      </c>
      <c r="C16" s="17">
        <v>45811.45833333333</v>
      </c>
      <c r="D16" s="17">
        <v>45811.47916666667</v>
      </c>
      <c r="E16" s="25">
        <v>0.5</v>
      </c>
      <c r="F16" s="2"/>
      <c r="G16" s="3" t="s">
        <v>8970</v>
      </c>
      <c r="H16" s="3" t="s">
        <v>8971</v>
      </c>
      <c r="I16" s="3" t="s">
        <v>8972</v>
      </c>
      <c r="J16" s="3" t="s">
        <v>6950</v>
      </c>
      <c r="K16" s="3" t="s">
        <v>8973</v>
      </c>
      <c r="L16" s="16">
        <v>5.0</v>
      </c>
      <c r="M16" s="3" t="s">
        <v>8974</v>
      </c>
      <c r="N16" s="3" t="s">
        <v>8974</v>
      </c>
      <c r="O16" s="3" t="s">
        <v>8975</v>
      </c>
      <c r="P16" s="16">
        <v>3.0</v>
      </c>
      <c r="Q16" s="16">
        <v>0.0</v>
      </c>
      <c r="R16" s="16">
        <v>1.0</v>
      </c>
      <c r="S16" s="16">
        <v>1.0</v>
      </c>
      <c r="T16" s="3" t="s">
        <v>5498</v>
      </c>
    </row>
    <row r="17">
      <c r="A17" s="3" t="s">
        <v>8980</v>
      </c>
      <c r="B17" s="3" t="s">
        <v>8981</v>
      </c>
      <c r="C17" s="17">
        <v>45811.58333333333</v>
      </c>
      <c r="D17" s="17">
        <v>45811.60416666667</v>
      </c>
      <c r="E17" s="25">
        <v>0.5</v>
      </c>
      <c r="G17" s="2"/>
      <c r="H17" s="3" t="s">
        <v>8971</v>
      </c>
      <c r="I17" s="3" t="s">
        <v>8972</v>
      </c>
      <c r="J17" s="3" t="s">
        <v>6950</v>
      </c>
      <c r="K17" s="3" t="s">
        <v>8973</v>
      </c>
      <c r="L17" s="16">
        <v>9.0</v>
      </c>
      <c r="M17" s="3" t="s">
        <v>8982</v>
      </c>
      <c r="N17" s="3" t="s">
        <v>8983</v>
      </c>
      <c r="O17" s="3" t="s">
        <v>8989</v>
      </c>
      <c r="P17" s="16">
        <v>2.0</v>
      </c>
      <c r="Q17" s="16">
        <v>3.0</v>
      </c>
      <c r="R17" s="16">
        <v>0.0</v>
      </c>
      <c r="S17" s="16">
        <v>4.0</v>
      </c>
      <c r="T17" s="3" t="s">
        <v>2109</v>
      </c>
    </row>
    <row r="18">
      <c r="A18" s="3" t="s">
        <v>8968</v>
      </c>
      <c r="B18" s="3" t="s">
        <v>8969</v>
      </c>
      <c r="C18" s="17">
        <v>45825.45833333333</v>
      </c>
      <c r="D18" s="17">
        <v>45825.47916666667</v>
      </c>
      <c r="E18" s="25">
        <v>0.5</v>
      </c>
      <c r="G18" s="3" t="s">
        <v>8970</v>
      </c>
      <c r="H18" s="3" t="s">
        <v>8971</v>
      </c>
      <c r="I18" s="3" t="s">
        <v>8972</v>
      </c>
      <c r="J18" s="3" t="s">
        <v>6950</v>
      </c>
      <c r="K18" s="3" t="s">
        <v>8973</v>
      </c>
      <c r="L18" s="16">
        <v>5.0</v>
      </c>
      <c r="M18" s="3" t="s">
        <v>8974</v>
      </c>
      <c r="N18" s="3" t="s">
        <v>8974</v>
      </c>
      <c r="O18" s="3" t="s">
        <v>8975</v>
      </c>
      <c r="P18" s="16">
        <v>3.0</v>
      </c>
      <c r="Q18" s="16">
        <v>0.0</v>
      </c>
      <c r="R18" s="16">
        <v>1.0</v>
      </c>
      <c r="S18" s="16">
        <v>1.0</v>
      </c>
      <c r="T18" s="3" t="s">
        <v>5498</v>
      </c>
    </row>
    <row r="19">
      <c r="A19" s="3" t="s">
        <v>8990</v>
      </c>
      <c r="B19" s="3" t="s">
        <v>8991</v>
      </c>
      <c r="C19" s="17">
        <v>45832.54166666667</v>
      </c>
      <c r="D19" s="17">
        <v>45832.5625</v>
      </c>
      <c r="E19" s="25">
        <v>0.5</v>
      </c>
      <c r="F19" s="2"/>
      <c r="G19" s="3" t="s">
        <v>8992</v>
      </c>
      <c r="H19" s="3" t="s">
        <v>8971</v>
      </c>
      <c r="I19" s="3" t="s">
        <v>8972</v>
      </c>
      <c r="J19" s="3" t="s">
        <v>6950</v>
      </c>
      <c r="K19" s="3" t="s">
        <v>8973</v>
      </c>
      <c r="L19" s="16">
        <v>4.0</v>
      </c>
      <c r="M19" s="3" t="s">
        <v>8993</v>
      </c>
      <c r="N19" s="3" t="s">
        <v>8993</v>
      </c>
      <c r="O19" s="3" t="s">
        <v>8994</v>
      </c>
      <c r="P19" s="16">
        <v>2.0</v>
      </c>
      <c r="Q19" s="16">
        <v>0.0</v>
      </c>
      <c r="R19" s="16">
        <v>0.0</v>
      </c>
      <c r="S19" s="16">
        <v>2.0</v>
      </c>
      <c r="T19" s="3" t="s">
        <v>861</v>
      </c>
    </row>
    <row r="20">
      <c r="A20" s="3" t="s">
        <v>8980</v>
      </c>
      <c r="B20" s="3" t="s">
        <v>8981</v>
      </c>
      <c r="C20" s="17">
        <v>45839.58333333333</v>
      </c>
      <c r="D20" s="17">
        <v>45839.60416666667</v>
      </c>
      <c r="E20" s="25">
        <v>0.5</v>
      </c>
      <c r="G20" s="2"/>
      <c r="H20" s="3" t="s">
        <v>8971</v>
      </c>
      <c r="I20" s="3" t="s">
        <v>8972</v>
      </c>
      <c r="J20" s="3" t="s">
        <v>6950</v>
      </c>
      <c r="K20" s="3" t="s">
        <v>8973</v>
      </c>
      <c r="L20" s="16">
        <v>9.0</v>
      </c>
      <c r="M20" s="3" t="s">
        <v>8982</v>
      </c>
      <c r="N20" s="3" t="s">
        <v>8983</v>
      </c>
      <c r="O20" s="3" t="s">
        <v>8995</v>
      </c>
      <c r="P20" s="16">
        <v>2.0</v>
      </c>
      <c r="Q20" s="16">
        <v>2.0</v>
      </c>
      <c r="R20" s="16">
        <v>0.0</v>
      </c>
      <c r="S20" s="16">
        <v>5.0</v>
      </c>
      <c r="T20" s="3" t="s">
        <v>2109</v>
      </c>
    </row>
    <row r="21">
      <c r="A21" s="3" t="s">
        <v>8990</v>
      </c>
      <c r="B21" s="3" t="s">
        <v>8991</v>
      </c>
      <c r="C21" s="17">
        <v>45860.54166666667</v>
      </c>
      <c r="D21" s="17">
        <v>45860.5625</v>
      </c>
      <c r="E21" s="25">
        <v>0.5</v>
      </c>
      <c r="G21" s="3" t="s">
        <v>8992</v>
      </c>
      <c r="H21" s="3" t="s">
        <v>8971</v>
      </c>
      <c r="I21" s="3" t="s">
        <v>8972</v>
      </c>
      <c r="J21" s="3" t="s">
        <v>6950</v>
      </c>
      <c r="K21" s="3" t="s">
        <v>8973</v>
      </c>
      <c r="L21" s="16">
        <v>4.0</v>
      </c>
      <c r="M21" s="3" t="s">
        <v>8993</v>
      </c>
      <c r="N21" s="3" t="s">
        <v>8993</v>
      </c>
      <c r="O21" s="3" t="s">
        <v>8994</v>
      </c>
      <c r="P21" s="16">
        <v>2.0</v>
      </c>
      <c r="Q21" s="16">
        <v>0.0</v>
      </c>
      <c r="R21" s="16">
        <v>0.0</v>
      </c>
      <c r="S21" s="16">
        <v>2.0</v>
      </c>
      <c r="T21" s="3" t="s">
        <v>861</v>
      </c>
    </row>
    <row r="22">
      <c r="A22" s="3" t="s">
        <v>8968</v>
      </c>
      <c r="B22" s="3" t="s">
        <v>8969</v>
      </c>
      <c r="C22" s="17">
        <v>45867.45833333333</v>
      </c>
      <c r="D22" s="17">
        <v>45867.47916666667</v>
      </c>
      <c r="E22" s="25">
        <v>0.5</v>
      </c>
      <c r="G22" s="3" t="s">
        <v>8970</v>
      </c>
      <c r="H22" s="3" t="s">
        <v>8971</v>
      </c>
      <c r="I22" s="3" t="s">
        <v>8972</v>
      </c>
      <c r="J22" s="3" t="s">
        <v>6950</v>
      </c>
      <c r="K22" s="3" t="s">
        <v>8973</v>
      </c>
      <c r="L22" s="16">
        <v>5.0</v>
      </c>
      <c r="M22" s="3" t="s">
        <v>8974</v>
      </c>
      <c r="N22" s="3" t="s">
        <v>8974</v>
      </c>
      <c r="O22" s="3" t="s">
        <v>8975</v>
      </c>
      <c r="P22" s="16">
        <v>3.0</v>
      </c>
      <c r="Q22" s="16">
        <v>0.0</v>
      </c>
      <c r="R22" s="16">
        <v>1.0</v>
      </c>
      <c r="S22" s="16">
        <v>1.0</v>
      </c>
      <c r="T22" s="3" t="s">
        <v>5498</v>
      </c>
    </row>
    <row r="23">
      <c r="A23" s="3" t="s">
        <v>8976</v>
      </c>
      <c r="B23" s="3" t="s">
        <v>8977</v>
      </c>
      <c r="C23" s="17">
        <v>45873.5625</v>
      </c>
      <c r="D23" s="17">
        <v>45873.58333333333</v>
      </c>
      <c r="E23" s="25">
        <v>0.5</v>
      </c>
      <c r="G23" s="2"/>
      <c r="H23" s="3" t="s">
        <v>8971</v>
      </c>
      <c r="I23" s="3" t="s">
        <v>8972</v>
      </c>
      <c r="J23" s="3" t="s">
        <v>6950</v>
      </c>
      <c r="K23" s="3" t="s">
        <v>8973</v>
      </c>
      <c r="L23" s="16">
        <v>8.0</v>
      </c>
      <c r="M23" s="3" t="s">
        <v>8996</v>
      </c>
      <c r="N23" s="3" t="s">
        <v>8996</v>
      </c>
      <c r="O23" s="3" t="s">
        <v>8997</v>
      </c>
      <c r="P23" s="16">
        <v>5.0</v>
      </c>
      <c r="Q23" s="16">
        <v>0.0</v>
      </c>
      <c r="R23" s="16">
        <v>0.0</v>
      </c>
      <c r="S23" s="16">
        <v>3.0</v>
      </c>
      <c r="T23" s="3" t="s">
        <v>2576</v>
      </c>
    </row>
    <row r="24">
      <c r="A24" s="3" t="s">
        <v>8980</v>
      </c>
      <c r="B24" s="3" t="s">
        <v>8981</v>
      </c>
      <c r="C24" s="17">
        <v>45874.58333333333</v>
      </c>
      <c r="D24" s="17">
        <v>45874.60416666667</v>
      </c>
      <c r="E24" s="25">
        <v>0.5</v>
      </c>
      <c r="F24" s="2"/>
      <c r="G24" s="2"/>
      <c r="H24" s="3" t="s">
        <v>8971</v>
      </c>
      <c r="I24" s="3" t="s">
        <v>8972</v>
      </c>
      <c r="J24" s="3" t="s">
        <v>6950</v>
      </c>
      <c r="K24" s="3" t="s">
        <v>8973</v>
      </c>
      <c r="L24" s="16">
        <v>9.0</v>
      </c>
      <c r="M24" s="3" t="s">
        <v>8982</v>
      </c>
      <c r="N24" s="3" t="s">
        <v>8983</v>
      </c>
      <c r="O24" s="3" t="s">
        <v>8998</v>
      </c>
      <c r="P24" s="16">
        <v>1.0</v>
      </c>
      <c r="Q24" s="16">
        <v>2.0</v>
      </c>
      <c r="R24" s="16">
        <v>1.0</v>
      </c>
      <c r="S24" s="16">
        <v>5.0</v>
      </c>
      <c r="T24" s="3" t="s">
        <v>2109</v>
      </c>
    </row>
    <row r="25">
      <c r="A25" s="3" t="s">
        <v>8968</v>
      </c>
      <c r="B25" s="3" t="s">
        <v>8969</v>
      </c>
      <c r="C25" s="17">
        <v>45881.45833333333</v>
      </c>
      <c r="D25" s="17">
        <v>45881.47916666667</v>
      </c>
      <c r="E25" s="25">
        <v>0.5</v>
      </c>
      <c r="G25" s="3" t="s">
        <v>8970</v>
      </c>
      <c r="H25" s="3" t="s">
        <v>8971</v>
      </c>
      <c r="I25" s="3" t="s">
        <v>8972</v>
      </c>
      <c r="J25" s="3" t="s">
        <v>6950</v>
      </c>
      <c r="K25" s="3" t="s">
        <v>8973</v>
      </c>
      <c r="L25" s="16">
        <v>5.0</v>
      </c>
      <c r="M25" s="3" t="s">
        <v>8974</v>
      </c>
      <c r="N25" s="3" t="s">
        <v>8974</v>
      </c>
      <c r="O25" s="3" t="s">
        <v>8975</v>
      </c>
      <c r="P25" s="16">
        <v>3.0</v>
      </c>
      <c r="Q25" s="16">
        <v>0.0</v>
      </c>
      <c r="R25" s="16">
        <v>1.0</v>
      </c>
      <c r="S25" s="16">
        <v>1.0</v>
      </c>
      <c r="T25" s="3" t="s">
        <v>5498</v>
      </c>
    </row>
    <row r="26">
      <c r="A26" s="3" t="s">
        <v>8999</v>
      </c>
      <c r="B26" s="3" t="s">
        <v>9000</v>
      </c>
      <c r="C26" s="17">
        <v>45887.58333333333</v>
      </c>
      <c r="D26" s="17">
        <v>45887.60416666667</v>
      </c>
      <c r="E26" s="25">
        <v>0.5</v>
      </c>
      <c r="F26" s="2"/>
      <c r="G26" s="2"/>
      <c r="H26" s="3" t="s">
        <v>8971</v>
      </c>
      <c r="I26" s="3" t="s">
        <v>8972</v>
      </c>
      <c r="J26" s="3" t="s">
        <v>6950</v>
      </c>
      <c r="K26" s="3" t="s">
        <v>8973</v>
      </c>
      <c r="L26" s="16">
        <v>4.0</v>
      </c>
      <c r="M26" s="3" t="s">
        <v>9001</v>
      </c>
      <c r="N26" s="3" t="s">
        <v>9001</v>
      </c>
      <c r="O26" s="3" t="s">
        <v>9002</v>
      </c>
      <c r="P26" s="16">
        <v>1.0</v>
      </c>
      <c r="Q26" s="16">
        <v>0.0</v>
      </c>
      <c r="R26" s="16">
        <v>0.0</v>
      </c>
      <c r="S26" s="16">
        <v>3.0</v>
      </c>
      <c r="T26" s="3" t="s">
        <v>2594</v>
      </c>
    </row>
    <row r="27">
      <c r="A27" s="3" t="s">
        <v>8990</v>
      </c>
      <c r="B27" s="3" t="s">
        <v>8991</v>
      </c>
      <c r="C27" s="17">
        <v>45888.54166666667</v>
      </c>
      <c r="D27" s="17">
        <v>45888.5625</v>
      </c>
      <c r="E27" s="25">
        <v>0.5</v>
      </c>
      <c r="G27" s="3" t="s">
        <v>8992</v>
      </c>
      <c r="H27" s="3" t="s">
        <v>8971</v>
      </c>
      <c r="I27" s="3" t="s">
        <v>8972</v>
      </c>
      <c r="J27" s="3" t="s">
        <v>6950</v>
      </c>
      <c r="K27" s="3" t="s">
        <v>8973</v>
      </c>
      <c r="L27" s="16">
        <v>4.0</v>
      </c>
      <c r="M27" s="3" t="s">
        <v>8993</v>
      </c>
      <c r="N27" s="3" t="s">
        <v>8993</v>
      </c>
      <c r="O27" s="3" t="s">
        <v>8994</v>
      </c>
      <c r="P27" s="16">
        <v>2.0</v>
      </c>
      <c r="Q27" s="16">
        <v>0.0</v>
      </c>
      <c r="R27" s="16">
        <v>0.0</v>
      </c>
      <c r="S27" s="16">
        <v>2.0</v>
      </c>
      <c r="T27" s="3" t="s">
        <v>861</v>
      </c>
    </row>
    <row r="28">
      <c r="A28" s="3" t="s">
        <v>9003</v>
      </c>
      <c r="B28" s="3" t="s">
        <v>9004</v>
      </c>
      <c r="C28" s="17">
        <v>45890.3125</v>
      </c>
      <c r="D28" s="17">
        <v>45890.35416666667</v>
      </c>
      <c r="E28" s="25">
        <v>1.0</v>
      </c>
      <c r="F28" s="3" t="s">
        <v>9005</v>
      </c>
      <c r="G28" s="2"/>
      <c r="H28" s="3" t="s">
        <v>8971</v>
      </c>
      <c r="I28" s="3" t="s">
        <v>9006</v>
      </c>
      <c r="J28" s="3" t="s">
        <v>9007</v>
      </c>
      <c r="K28" s="3" t="s">
        <v>8973</v>
      </c>
      <c r="L28" s="16">
        <v>2.0</v>
      </c>
      <c r="M28" s="3" t="s">
        <v>9008</v>
      </c>
      <c r="N28" s="3" t="s">
        <v>9009</v>
      </c>
      <c r="O28" s="3" t="s">
        <v>9010</v>
      </c>
      <c r="P28" s="16">
        <v>0.0</v>
      </c>
      <c r="Q28" s="16">
        <v>0.0</v>
      </c>
      <c r="R28" s="16">
        <v>0.0</v>
      </c>
      <c r="S28" s="16">
        <v>2.0</v>
      </c>
      <c r="T28" s="2"/>
    </row>
    <row r="29">
      <c r="A29" s="3" t="s">
        <v>9011</v>
      </c>
      <c r="B29" s="3" t="s">
        <v>9012</v>
      </c>
      <c r="C29" s="17">
        <v>45890.35416666667</v>
      </c>
      <c r="D29" s="17">
        <v>45890.58333333333</v>
      </c>
      <c r="E29" s="25">
        <v>5.5</v>
      </c>
      <c r="F29" s="2"/>
      <c r="G29" s="3" t="s">
        <v>9013</v>
      </c>
      <c r="H29" s="3" t="s">
        <v>8971</v>
      </c>
      <c r="I29" s="3" t="s">
        <v>9006</v>
      </c>
      <c r="J29" s="3" t="s">
        <v>9007</v>
      </c>
      <c r="K29" s="3" t="s">
        <v>8973</v>
      </c>
      <c r="L29" s="16">
        <v>2.0</v>
      </c>
      <c r="M29" s="3" t="s">
        <v>9008</v>
      </c>
      <c r="N29" s="3" t="s">
        <v>9009</v>
      </c>
      <c r="O29" s="3" t="s">
        <v>9010</v>
      </c>
      <c r="P29" s="16">
        <v>0.0</v>
      </c>
      <c r="Q29" s="16">
        <v>0.0</v>
      </c>
      <c r="R29" s="16">
        <v>0.0</v>
      </c>
      <c r="S29" s="16">
        <v>2.0</v>
      </c>
    </row>
    <row r="30">
      <c r="A30" s="3" t="s">
        <v>8968</v>
      </c>
      <c r="B30" s="3" t="s">
        <v>8969</v>
      </c>
      <c r="C30" s="17">
        <v>45895.45833333333</v>
      </c>
      <c r="D30" s="17">
        <v>45895.47916666667</v>
      </c>
      <c r="E30" s="25">
        <v>0.5</v>
      </c>
      <c r="G30" s="3" t="s">
        <v>8970</v>
      </c>
      <c r="H30" s="3" t="s">
        <v>8971</v>
      </c>
      <c r="I30" s="3" t="s">
        <v>8972</v>
      </c>
      <c r="J30" s="3" t="s">
        <v>6950</v>
      </c>
      <c r="K30" s="3" t="s">
        <v>8973</v>
      </c>
      <c r="L30" s="16">
        <v>5.0</v>
      </c>
      <c r="M30" s="3" t="s">
        <v>8974</v>
      </c>
      <c r="N30" s="3" t="s">
        <v>8974</v>
      </c>
      <c r="O30" s="3" t="s">
        <v>8975</v>
      </c>
      <c r="P30" s="16">
        <v>3.0</v>
      </c>
      <c r="Q30" s="16">
        <v>0.0</v>
      </c>
      <c r="R30" s="16">
        <v>1.0</v>
      </c>
      <c r="S30" s="16">
        <v>1.0</v>
      </c>
      <c r="T30" s="3" t="s">
        <v>5498</v>
      </c>
    </row>
    <row r="31">
      <c r="A31" s="3" t="s">
        <v>9014</v>
      </c>
      <c r="B31" s="3" t="s">
        <v>9015</v>
      </c>
      <c r="C31" s="17">
        <v>45896.54166666667</v>
      </c>
      <c r="D31" s="17">
        <v>45896.5625</v>
      </c>
      <c r="E31" s="25">
        <v>0.5</v>
      </c>
      <c r="F31" s="2"/>
      <c r="G31" s="2"/>
      <c r="H31" s="3" t="s">
        <v>8971</v>
      </c>
      <c r="I31" s="3" t="s">
        <v>8972</v>
      </c>
      <c r="J31" s="3" t="s">
        <v>6950</v>
      </c>
      <c r="K31" s="3" t="s">
        <v>8973</v>
      </c>
      <c r="L31" s="16">
        <v>3.0</v>
      </c>
      <c r="M31" s="3" t="s">
        <v>9016</v>
      </c>
      <c r="N31" s="3" t="s">
        <v>9016</v>
      </c>
      <c r="O31" s="3" t="s">
        <v>9017</v>
      </c>
      <c r="P31" s="16">
        <v>3.0</v>
      </c>
      <c r="Q31" s="16">
        <v>0.0</v>
      </c>
      <c r="R31" s="16">
        <v>0.0</v>
      </c>
      <c r="S31" s="16">
        <v>0.0</v>
      </c>
      <c r="T31" s="3" t="s">
        <v>1975</v>
      </c>
    </row>
    <row r="32">
      <c r="A32" s="3" t="s">
        <v>8999</v>
      </c>
      <c r="B32" s="3" t="s">
        <v>9000</v>
      </c>
      <c r="C32" s="17">
        <v>45901.58333333333</v>
      </c>
      <c r="D32" s="17">
        <v>45901.60416666667</v>
      </c>
      <c r="E32" s="25">
        <v>0.5</v>
      </c>
      <c r="F32" s="2"/>
      <c r="G32" s="2"/>
      <c r="H32" s="3" t="s">
        <v>8971</v>
      </c>
      <c r="I32" s="3" t="s">
        <v>8972</v>
      </c>
      <c r="J32" s="3" t="s">
        <v>6950</v>
      </c>
      <c r="K32" s="3" t="s">
        <v>8973</v>
      </c>
      <c r="L32" s="16">
        <v>4.0</v>
      </c>
      <c r="M32" s="3" t="s">
        <v>9001</v>
      </c>
      <c r="N32" s="3" t="s">
        <v>9001</v>
      </c>
      <c r="O32" s="3" t="s">
        <v>9002</v>
      </c>
      <c r="P32" s="16">
        <v>1.0</v>
      </c>
      <c r="Q32" s="16">
        <v>0.0</v>
      </c>
      <c r="R32" s="16">
        <v>0.0</v>
      </c>
      <c r="S32" s="16">
        <v>3.0</v>
      </c>
      <c r="T32" s="3" t="s">
        <v>2594</v>
      </c>
    </row>
    <row r="33">
      <c r="A33" s="3" t="s">
        <v>8980</v>
      </c>
      <c r="B33" s="3" t="s">
        <v>8981</v>
      </c>
      <c r="C33" s="17">
        <v>45902.58333333333</v>
      </c>
      <c r="D33" s="17">
        <v>45902.60416666667</v>
      </c>
      <c r="E33" s="25">
        <v>0.5</v>
      </c>
      <c r="H33" s="3" t="s">
        <v>8971</v>
      </c>
      <c r="I33" s="3" t="s">
        <v>8972</v>
      </c>
      <c r="J33" s="3" t="s">
        <v>6950</v>
      </c>
      <c r="K33" s="3" t="s">
        <v>8973</v>
      </c>
      <c r="L33" s="16">
        <v>9.0</v>
      </c>
      <c r="M33" s="3" t="s">
        <v>8982</v>
      </c>
      <c r="N33" s="3" t="s">
        <v>8983</v>
      </c>
      <c r="O33" s="3" t="s">
        <v>9018</v>
      </c>
      <c r="P33" s="16">
        <v>3.0</v>
      </c>
      <c r="Q33" s="16">
        <v>1.0</v>
      </c>
      <c r="R33" s="16">
        <v>0.0</v>
      </c>
      <c r="S33" s="16">
        <v>5.0</v>
      </c>
      <c r="T33" s="3" t="s">
        <v>2109</v>
      </c>
    </row>
    <row r="34">
      <c r="A34" s="3" t="s">
        <v>8968</v>
      </c>
      <c r="B34" s="3" t="s">
        <v>8969</v>
      </c>
      <c r="C34" s="17">
        <v>45909.45833333333</v>
      </c>
      <c r="D34" s="17">
        <v>45909.47916666667</v>
      </c>
      <c r="E34" s="25">
        <v>0.5</v>
      </c>
      <c r="G34" s="3" t="s">
        <v>8970</v>
      </c>
      <c r="H34" s="3" t="s">
        <v>8971</v>
      </c>
      <c r="I34" s="3" t="s">
        <v>8972</v>
      </c>
      <c r="J34" s="3" t="s">
        <v>6950</v>
      </c>
      <c r="K34" s="3" t="s">
        <v>8973</v>
      </c>
      <c r="L34" s="16">
        <v>5.0</v>
      </c>
      <c r="M34" s="3" t="s">
        <v>8974</v>
      </c>
      <c r="N34" s="3" t="s">
        <v>8974</v>
      </c>
      <c r="O34" s="3" t="s">
        <v>8975</v>
      </c>
      <c r="P34" s="16">
        <v>3.0</v>
      </c>
      <c r="Q34" s="16">
        <v>0.0</v>
      </c>
      <c r="R34" s="16">
        <v>1.0</v>
      </c>
      <c r="S34" s="16">
        <v>1.0</v>
      </c>
      <c r="T34" s="3" t="s">
        <v>5498</v>
      </c>
    </row>
    <row r="35">
      <c r="A35" s="3" t="s">
        <v>8999</v>
      </c>
      <c r="B35" s="3" t="s">
        <v>9000</v>
      </c>
      <c r="C35" s="17">
        <v>45915.58333333333</v>
      </c>
      <c r="D35" s="17">
        <v>45915.60416666667</v>
      </c>
      <c r="E35" s="25">
        <v>0.5</v>
      </c>
      <c r="F35" s="2"/>
      <c r="G35" s="2"/>
      <c r="H35" s="3" t="s">
        <v>8971</v>
      </c>
      <c r="I35" s="3" t="s">
        <v>8972</v>
      </c>
      <c r="J35" s="3" t="s">
        <v>6950</v>
      </c>
      <c r="K35" s="3" t="s">
        <v>8973</v>
      </c>
      <c r="L35" s="16">
        <v>4.0</v>
      </c>
      <c r="M35" s="3" t="s">
        <v>9001</v>
      </c>
      <c r="N35" s="3" t="s">
        <v>9001</v>
      </c>
      <c r="O35" s="3" t="s">
        <v>9002</v>
      </c>
      <c r="P35" s="16">
        <v>1.0</v>
      </c>
      <c r="Q35" s="16">
        <v>0.0</v>
      </c>
      <c r="R35" s="16">
        <v>0.0</v>
      </c>
      <c r="S35" s="16">
        <v>3.0</v>
      </c>
      <c r="T35" s="3" t="s">
        <v>2594</v>
      </c>
    </row>
    <row r="36">
      <c r="A36" s="3" t="s">
        <v>8999</v>
      </c>
      <c r="B36" s="3" t="s">
        <v>9000</v>
      </c>
      <c r="C36" s="17">
        <v>45929.58333333333</v>
      </c>
      <c r="D36" s="17">
        <v>45929.60416666667</v>
      </c>
      <c r="E36" s="25">
        <v>0.5</v>
      </c>
      <c r="H36" s="3" t="s">
        <v>8971</v>
      </c>
      <c r="I36" s="3" t="s">
        <v>8972</v>
      </c>
      <c r="J36" s="3" t="s">
        <v>6950</v>
      </c>
      <c r="K36" s="3" t="s">
        <v>8973</v>
      </c>
      <c r="L36" s="16">
        <v>4.0</v>
      </c>
      <c r="M36" s="3" t="s">
        <v>9001</v>
      </c>
      <c r="N36" s="3" t="s">
        <v>9001</v>
      </c>
      <c r="O36" s="3" t="s">
        <v>9002</v>
      </c>
      <c r="P36" s="16">
        <v>1.0</v>
      </c>
      <c r="Q36" s="16">
        <v>0.0</v>
      </c>
      <c r="R36" s="16">
        <v>0.0</v>
      </c>
      <c r="S36" s="16">
        <v>3.0</v>
      </c>
      <c r="T36" s="3" t="s">
        <v>2594</v>
      </c>
    </row>
    <row r="37">
      <c r="A37" s="3" t="s">
        <v>8968</v>
      </c>
      <c r="B37" s="3" t="s">
        <v>8969</v>
      </c>
      <c r="C37" s="17">
        <v>45937.45833333333</v>
      </c>
      <c r="D37" s="17">
        <v>45937.47916666667</v>
      </c>
      <c r="E37" s="25">
        <v>0.5</v>
      </c>
      <c r="F37" s="2"/>
      <c r="G37" s="3" t="s">
        <v>8970</v>
      </c>
      <c r="H37" s="3" t="s">
        <v>8971</v>
      </c>
      <c r="I37" s="3" t="s">
        <v>8972</v>
      </c>
      <c r="J37" s="3" t="s">
        <v>6950</v>
      </c>
      <c r="K37" s="3" t="s">
        <v>8973</v>
      </c>
      <c r="L37" s="16">
        <v>5.0</v>
      </c>
      <c r="M37" s="3" t="s">
        <v>8974</v>
      </c>
      <c r="N37" s="3" t="s">
        <v>8974</v>
      </c>
      <c r="O37" s="3" t="s">
        <v>8975</v>
      </c>
      <c r="P37" s="16">
        <v>3.0</v>
      </c>
      <c r="Q37" s="16">
        <v>0.0</v>
      </c>
      <c r="R37" s="16">
        <v>1.0</v>
      </c>
      <c r="S37" s="16">
        <v>1.0</v>
      </c>
      <c r="T37" s="3" t="s">
        <v>5498</v>
      </c>
    </row>
    <row r="38">
      <c r="A38" s="3" t="s">
        <v>8980</v>
      </c>
      <c r="B38" s="3" t="s">
        <v>8981</v>
      </c>
      <c r="C38" s="17">
        <v>45937.58333333333</v>
      </c>
      <c r="D38" s="17">
        <v>45937.60416666667</v>
      </c>
      <c r="E38" s="25">
        <v>0.5</v>
      </c>
      <c r="F38" s="2"/>
      <c r="G38" s="2"/>
      <c r="H38" s="3" t="s">
        <v>8971</v>
      </c>
      <c r="I38" s="3" t="s">
        <v>8972</v>
      </c>
      <c r="J38" s="3" t="s">
        <v>6950</v>
      </c>
      <c r="K38" s="3" t="s">
        <v>8973</v>
      </c>
      <c r="L38" s="16">
        <v>9.0</v>
      </c>
      <c r="M38" s="3" t="s">
        <v>8982</v>
      </c>
      <c r="N38" s="3" t="s">
        <v>8983</v>
      </c>
      <c r="O38" s="3" t="s">
        <v>9019</v>
      </c>
      <c r="P38" s="16">
        <v>2.0</v>
      </c>
      <c r="Q38" s="16">
        <v>2.0</v>
      </c>
      <c r="R38" s="16">
        <v>0.0</v>
      </c>
      <c r="S38" s="16">
        <v>5.0</v>
      </c>
      <c r="T38" s="3" t="s">
        <v>2109</v>
      </c>
    </row>
    <row r="39">
      <c r="A39" s="3" t="s">
        <v>9014</v>
      </c>
      <c r="B39" s="3" t="s">
        <v>9015</v>
      </c>
      <c r="C39" s="17">
        <v>45938.54166666667</v>
      </c>
      <c r="D39" s="17">
        <v>45938.5625</v>
      </c>
      <c r="E39" s="25">
        <v>0.5</v>
      </c>
      <c r="H39" s="3" t="s">
        <v>8971</v>
      </c>
      <c r="I39" s="3" t="s">
        <v>8972</v>
      </c>
      <c r="J39" s="3" t="s">
        <v>6950</v>
      </c>
      <c r="K39" s="3" t="s">
        <v>8973</v>
      </c>
      <c r="L39" s="16">
        <v>3.0</v>
      </c>
      <c r="M39" s="3" t="s">
        <v>9016</v>
      </c>
      <c r="N39" s="3" t="s">
        <v>9016</v>
      </c>
      <c r="O39" s="3" t="s">
        <v>9017</v>
      </c>
      <c r="P39" s="16">
        <v>3.0</v>
      </c>
      <c r="Q39" s="16">
        <v>0.0</v>
      </c>
      <c r="R39" s="16">
        <v>0.0</v>
      </c>
      <c r="S39" s="16">
        <v>0.0</v>
      </c>
      <c r="T39" s="3" t="s">
        <v>1975</v>
      </c>
    </row>
    <row r="40">
      <c r="A40" s="3" t="s">
        <v>8999</v>
      </c>
      <c r="B40" s="3" t="s">
        <v>9000</v>
      </c>
      <c r="C40" s="17">
        <v>45943.58333333333</v>
      </c>
      <c r="D40" s="17">
        <v>45943.60416666667</v>
      </c>
      <c r="E40" s="25">
        <v>0.5</v>
      </c>
      <c r="G40" s="2"/>
      <c r="H40" s="3" t="s">
        <v>8971</v>
      </c>
      <c r="I40" s="3" t="s">
        <v>8972</v>
      </c>
      <c r="J40" s="3" t="s">
        <v>6950</v>
      </c>
      <c r="K40" s="3" t="s">
        <v>8973</v>
      </c>
      <c r="L40" s="16">
        <v>4.0</v>
      </c>
      <c r="M40" s="3" t="s">
        <v>9001</v>
      </c>
      <c r="N40" s="3" t="s">
        <v>9001</v>
      </c>
      <c r="O40" s="3" t="s">
        <v>9002</v>
      </c>
      <c r="P40" s="16">
        <v>1.0</v>
      </c>
      <c r="Q40" s="16">
        <v>0.0</v>
      </c>
      <c r="R40" s="16">
        <v>0.0</v>
      </c>
      <c r="S40" s="16">
        <v>3.0</v>
      </c>
      <c r="T40" s="3" t="s">
        <v>2594</v>
      </c>
    </row>
    <row r="41">
      <c r="A41" s="3" t="s">
        <v>8990</v>
      </c>
      <c r="B41" s="3" t="s">
        <v>8991</v>
      </c>
      <c r="C41" s="17">
        <v>45944.54166666667</v>
      </c>
      <c r="D41" s="17">
        <v>45944.5625</v>
      </c>
      <c r="E41" s="25">
        <v>0.5</v>
      </c>
      <c r="F41" s="2"/>
      <c r="G41" s="3" t="s">
        <v>8992</v>
      </c>
      <c r="H41" s="3" t="s">
        <v>8971</v>
      </c>
      <c r="I41" s="3" t="s">
        <v>8972</v>
      </c>
      <c r="J41" s="3" t="s">
        <v>6950</v>
      </c>
      <c r="K41" s="3" t="s">
        <v>8973</v>
      </c>
      <c r="L41" s="16">
        <v>4.0</v>
      </c>
      <c r="M41" s="3" t="s">
        <v>8993</v>
      </c>
      <c r="N41" s="3" t="s">
        <v>8993</v>
      </c>
      <c r="O41" s="3" t="s">
        <v>9020</v>
      </c>
      <c r="P41" s="16">
        <v>2.0</v>
      </c>
      <c r="Q41" s="16">
        <v>1.0</v>
      </c>
      <c r="R41" s="16">
        <v>1.0</v>
      </c>
      <c r="S41" s="16">
        <v>0.0</v>
      </c>
      <c r="T41" s="3" t="s">
        <v>861</v>
      </c>
    </row>
    <row r="42">
      <c r="A42" s="3" t="s">
        <v>9021</v>
      </c>
      <c r="B42" s="3" t="s">
        <v>9022</v>
      </c>
      <c r="C42" s="17">
        <v>45946.47916666667</v>
      </c>
      <c r="D42" s="17">
        <v>45946.5</v>
      </c>
      <c r="E42" s="25">
        <v>0.5</v>
      </c>
      <c r="G42" s="2"/>
      <c r="H42" s="3" t="s">
        <v>8971</v>
      </c>
      <c r="I42" s="3" t="s">
        <v>8972</v>
      </c>
      <c r="J42" s="3" t="s">
        <v>6950</v>
      </c>
      <c r="K42" s="3" t="s">
        <v>8973</v>
      </c>
      <c r="L42" s="16">
        <v>2.0</v>
      </c>
      <c r="M42" s="3" t="s">
        <v>9023</v>
      </c>
      <c r="N42" s="3" t="s">
        <v>9023</v>
      </c>
      <c r="O42" s="3" t="s">
        <v>9024</v>
      </c>
      <c r="P42" s="16">
        <v>2.0</v>
      </c>
      <c r="Q42" s="16">
        <v>0.0</v>
      </c>
      <c r="R42" s="16">
        <v>0.0</v>
      </c>
      <c r="S42" s="16">
        <v>0.0</v>
      </c>
      <c r="T42" s="3" t="s">
        <v>5396</v>
      </c>
    </row>
    <row r="43">
      <c r="A43" s="3" t="s">
        <v>9025</v>
      </c>
      <c r="B43" s="3" t="s">
        <v>9026</v>
      </c>
      <c r="C43" s="17">
        <v>45953.375</v>
      </c>
      <c r="D43" s="17">
        <v>45953.39583333333</v>
      </c>
      <c r="E43" s="25">
        <v>0.5</v>
      </c>
      <c r="F43" s="2"/>
      <c r="G43" s="2"/>
      <c r="H43" s="3" t="s">
        <v>8971</v>
      </c>
      <c r="I43" s="3" t="s">
        <v>8972</v>
      </c>
      <c r="J43" s="3" t="s">
        <v>6950</v>
      </c>
      <c r="K43" s="3" t="s">
        <v>8973</v>
      </c>
      <c r="L43" s="16">
        <v>4.0</v>
      </c>
      <c r="M43" s="3" t="s">
        <v>9027</v>
      </c>
      <c r="N43" s="3" t="s">
        <v>9027</v>
      </c>
      <c r="O43" s="3" t="s">
        <v>9028</v>
      </c>
      <c r="P43" s="16">
        <v>1.0</v>
      </c>
      <c r="Q43" s="16">
        <v>0.0</v>
      </c>
      <c r="R43" s="16">
        <v>0.0</v>
      </c>
      <c r="S43" s="16">
        <v>3.0</v>
      </c>
      <c r="T43" s="3" t="s">
        <v>5681</v>
      </c>
    </row>
    <row r="44">
      <c r="A44" s="3" t="s">
        <v>8999</v>
      </c>
      <c r="B44" s="3" t="s">
        <v>9000</v>
      </c>
      <c r="C44" s="17">
        <v>45957.58333333333</v>
      </c>
      <c r="D44" s="17">
        <v>45957.60416666667</v>
      </c>
      <c r="E44" s="25">
        <v>0.5</v>
      </c>
      <c r="F44" s="2"/>
      <c r="G44" s="2"/>
      <c r="H44" s="3" t="s">
        <v>8971</v>
      </c>
      <c r="I44" s="3" t="s">
        <v>8972</v>
      </c>
      <c r="J44" s="3" t="s">
        <v>6950</v>
      </c>
      <c r="K44" s="3" t="s">
        <v>8973</v>
      </c>
      <c r="L44" s="16">
        <v>4.0</v>
      </c>
      <c r="M44" s="3" t="s">
        <v>9001</v>
      </c>
      <c r="N44" s="3" t="s">
        <v>9001</v>
      </c>
      <c r="O44" s="3" t="s">
        <v>9029</v>
      </c>
      <c r="P44" s="16">
        <v>1.0</v>
      </c>
      <c r="Q44" s="16">
        <v>1.0</v>
      </c>
      <c r="R44" s="16">
        <v>0.0</v>
      </c>
      <c r="S44" s="16">
        <v>2.0</v>
      </c>
      <c r="T44" s="3" t="s">
        <v>2594</v>
      </c>
    </row>
    <row r="45">
      <c r="A45" s="3" t="s">
        <v>8976</v>
      </c>
      <c r="B45" s="3" t="s">
        <v>8977</v>
      </c>
      <c r="C45" s="17">
        <v>45964.5625</v>
      </c>
      <c r="D45" s="17">
        <v>45964.58333333333</v>
      </c>
      <c r="E45" s="25">
        <v>0.5</v>
      </c>
      <c r="G45" s="2"/>
      <c r="H45" s="3" t="s">
        <v>8971</v>
      </c>
      <c r="I45" s="3" t="s">
        <v>8972</v>
      </c>
      <c r="J45" s="3" t="s">
        <v>6950</v>
      </c>
      <c r="K45" s="3" t="s">
        <v>8973</v>
      </c>
      <c r="L45" s="16">
        <v>7.0</v>
      </c>
      <c r="M45" s="3" t="s">
        <v>8978</v>
      </c>
      <c r="N45" s="3" t="s">
        <v>8978</v>
      </c>
      <c r="O45" s="3" t="s">
        <v>8979</v>
      </c>
      <c r="P45" s="16">
        <v>5.0</v>
      </c>
      <c r="Q45" s="16">
        <v>0.0</v>
      </c>
      <c r="R45" s="16">
        <v>0.0</v>
      </c>
      <c r="S45" s="16">
        <v>2.0</v>
      </c>
      <c r="T45" s="3" t="s">
        <v>2576</v>
      </c>
    </row>
    <row r="46">
      <c r="A46" s="3" t="s">
        <v>8968</v>
      </c>
      <c r="B46" s="3" t="s">
        <v>8969</v>
      </c>
      <c r="C46" s="17">
        <v>45965.45833333333</v>
      </c>
      <c r="D46" s="17">
        <v>45965.47916666667</v>
      </c>
      <c r="E46" s="25">
        <v>0.5</v>
      </c>
      <c r="G46" s="3" t="s">
        <v>8970</v>
      </c>
      <c r="H46" s="3" t="s">
        <v>8971</v>
      </c>
      <c r="I46" s="3" t="s">
        <v>8972</v>
      </c>
      <c r="J46" s="3" t="s">
        <v>6950</v>
      </c>
      <c r="K46" s="3" t="s">
        <v>8973</v>
      </c>
      <c r="L46" s="16">
        <v>5.0</v>
      </c>
      <c r="M46" s="3" t="s">
        <v>8974</v>
      </c>
      <c r="N46" s="3" t="s">
        <v>8974</v>
      </c>
      <c r="O46" s="3" t="s">
        <v>8975</v>
      </c>
      <c r="P46" s="16">
        <v>3.0</v>
      </c>
      <c r="Q46" s="16">
        <v>0.0</v>
      </c>
      <c r="R46" s="16">
        <v>1.0</v>
      </c>
      <c r="S46" s="16">
        <v>1.0</v>
      </c>
      <c r="T46" s="3" t="s">
        <v>5498</v>
      </c>
    </row>
    <row r="47">
      <c r="A47" s="3" t="s">
        <v>8980</v>
      </c>
      <c r="B47" s="3" t="s">
        <v>8981</v>
      </c>
      <c r="C47" s="17">
        <v>45965.58333333333</v>
      </c>
      <c r="D47" s="17">
        <v>45965.60416666667</v>
      </c>
      <c r="E47" s="25">
        <v>0.5</v>
      </c>
      <c r="G47" s="2"/>
      <c r="H47" s="3" t="s">
        <v>8971</v>
      </c>
      <c r="I47" s="3" t="s">
        <v>8972</v>
      </c>
      <c r="J47" s="3" t="s">
        <v>6950</v>
      </c>
      <c r="K47" s="3" t="s">
        <v>8973</v>
      </c>
      <c r="L47" s="16">
        <v>9.0</v>
      </c>
      <c r="M47" s="3" t="s">
        <v>8982</v>
      </c>
      <c r="N47" s="3" t="s">
        <v>8983</v>
      </c>
      <c r="O47" s="3" t="s">
        <v>9018</v>
      </c>
      <c r="P47" s="16">
        <v>3.0</v>
      </c>
      <c r="Q47" s="16">
        <v>1.0</v>
      </c>
      <c r="R47" s="16">
        <v>0.0</v>
      </c>
      <c r="S47" s="16">
        <v>5.0</v>
      </c>
      <c r="T47" s="3" t="s">
        <v>2109</v>
      </c>
    </row>
    <row r="48">
      <c r="A48" s="3" t="s">
        <v>9014</v>
      </c>
      <c r="B48" s="3" t="s">
        <v>9015</v>
      </c>
      <c r="C48" s="17">
        <v>45966.54166666667</v>
      </c>
      <c r="D48" s="17">
        <v>45966.5625</v>
      </c>
      <c r="E48" s="25">
        <v>0.5</v>
      </c>
      <c r="H48" s="3" t="s">
        <v>8971</v>
      </c>
      <c r="I48" s="3" t="s">
        <v>8972</v>
      </c>
      <c r="J48" s="3" t="s">
        <v>6950</v>
      </c>
      <c r="K48" s="3" t="s">
        <v>8973</v>
      </c>
      <c r="L48" s="16">
        <v>3.0</v>
      </c>
      <c r="M48" s="3" t="s">
        <v>9016</v>
      </c>
      <c r="N48" s="3" t="s">
        <v>9016</v>
      </c>
      <c r="O48" s="3" t="s">
        <v>9017</v>
      </c>
      <c r="P48" s="16">
        <v>3.0</v>
      </c>
      <c r="Q48" s="16">
        <v>0.0</v>
      </c>
      <c r="R48" s="16">
        <v>0.0</v>
      </c>
      <c r="S48" s="16">
        <v>0.0</v>
      </c>
      <c r="T48" s="3" t="s">
        <v>1975</v>
      </c>
    </row>
    <row r="49">
      <c r="A49" s="3" t="s">
        <v>9021</v>
      </c>
      <c r="B49" s="3" t="s">
        <v>9022</v>
      </c>
      <c r="C49" s="17">
        <v>45972.41666666667</v>
      </c>
      <c r="D49" s="17">
        <v>45972.4375</v>
      </c>
      <c r="E49" s="25">
        <v>0.5</v>
      </c>
      <c r="F49" s="2"/>
      <c r="G49" s="2"/>
      <c r="H49" s="3" t="s">
        <v>8971</v>
      </c>
      <c r="I49" s="3" t="s">
        <v>8972</v>
      </c>
      <c r="J49" s="3" t="s">
        <v>6950</v>
      </c>
      <c r="K49" s="3" t="s">
        <v>8973</v>
      </c>
      <c r="L49" s="16">
        <v>2.0</v>
      </c>
      <c r="M49" s="3" t="s">
        <v>9023</v>
      </c>
      <c r="N49" s="3" t="s">
        <v>9023</v>
      </c>
      <c r="O49" s="3" t="s">
        <v>9024</v>
      </c>
      <c r="P49" s="16">
        <v>2.0</v>
      </c>
      <c r="Q49" s="16">
        <v>0.0</v>
      </c>
      <c r="R49" s="16">
        <v>0.0</v>
      </c>
      <c r="S49" s="16">
        <v>0.0</v>
      </c>
      <c r="T49" s="3" t="s">
        <v>5396</v>
      </c>
    </row>
    <row r="50">
      <c r="A50" s="3" t="s">
        <v>9030</v>
      </c>
      <c r="B50" s="3" t="s">
        <v>9031</v>
      </c>
      <c r="C50" s="17">
        <v>45978.47916666667</v>
      </c>
      <c r="D50" s="17">
        <v>45978.54166666667</v>
      </c>
      <c r="E50" s="25">
        <v>1.5</v>
      </c>
      <c r="F50" s="2"/>
      <c r="G50" s="2"/>
      <c r="H50" s="3" t="s">
        <v>8971</v>
      </c>
      <c r="I50" s="3" t="s">
        <v>9006</v>
      </c>
      <c r="J50" s="3" t="s">
        <v>9032</v>
      </c>
      <c r="K50" s="3" t="s">
        <v>8971</v>
      </c>
      <c r="L50" s="16">
        <v>6.0</v>
      </c>
      <c r="M50" s="3" t="s">
        <v>9033</v>
      </c>
      <c r="N50" s="3" t="s">
        <v>9033</v>
      </c>
      <c r="O50" s="3" t="s">
        <v>9034</v>
      </c>
      <c r="P50" s="16">
        <v>3.0</v>
      </c>
      <c r="Q50" s="16">
        <v>1.0</v>
      </c>
      <c r="R50" s="16">
        <v>0.0</v>
      </c>
      <c r="S50" s="16">
        <v>2.0</v>
      </c>
      <c r="T50" s="2"/>
    </row>
    <row r="51">
      <c r="A51" s="3" t="s">
        <v>9035</v>
      </c>
      <c r="B51" s="3" t="s">
        <v>9036</v>
      </c>
      <c r="C51" s="17">
        <v>45978.5625</v>
      </c>
      <c r="D51" s="17">
        <v>45978.58333333333</v>
      </c>
      <c r="E51" s="25">
        <v>0.5</v>
      </c>
      <c r="F51" s="2"/>
      <c r="H51" s="3" t="s">
        <v>8971</v>
      </c>
      <c r="I51" s="3" t="s">
        <v>9006</v>
      </c>
      <c r="J51" s="3" t="s">
        <v>9032</v>
      </c>
      <c r="K51" s="3" t="s">
        <v>8973</v>
      </c>
      <c r="L51" s="16">
        <v>10.0</v>
      </c>
      <c r="M51" s="3" t="s">
        <v>9037</v>
      </c>
      <c r="N51" s="3" t="s">
        <v>9037</v>
      </c>
      <c r="O51" s="3" t="s">
        <v>9038</v>
      </c>
      <c r="P51" s="16">
        <v>5.0</v>
      </c>
      <c r="Q51" s="16">
        <v>0.0</v>
      </c>
      <c r="R51" s="16">
        <v>2.0</v>
      </c>
      <c r="S51" s="16">
        <v>3.0</v>
      </c>
    </row>
    <row r="52">
      <c r="A52" s="3" t="s">
        <v>9039</v>
      </c>
      <c r="B52" s="3" t="s">
        <v>9040</v>
      </c>
      <c r="C52" s="17">
        <v>45978.625</v>
      </c>
      <c r="D52" s="17">
        <v>45978.64583333333</v>
      </c>
      <c r="E52" s="25">
        <v>0.5</v>
      </c>
      <c r="G52" s="2"/>
      <c r="H52" s="3" t="s">
        <v>8971</v>
      </c>
      <c r="I52" s="3" t="s">
        <v>9006</v>
      </c>
      <c r="J52" s="3" t="s">
        <v>9041</v>
      </c>
      <c r="K52" s="3" t="s">
        <v>8971</v>
      </c>
      <c r="L52" s="16">
        <v>2.0</v>
      </c>
      <c r="M52" s="3" t="s">
        <v>9042</v>
      </c>
      <c r="N52" s="3" t="s">
        <v>9042</v>
      </c>
      <c r="O52" s="3" t="s">
        <v>9043</v>
      </c>
      <c r="P52" s="16">
        <v>1.0</v>
      </c>
      <c r="Q52" s="16">
        <v>0.0</v>
      </c>
      <c r="R52" s="16">
        <v>0.0</v>
      </c>
      <c r="S52" s="16">
        <v>1.0</v>
      </c>
    </row>
    <row r="53">
      <c r="A53" s="3" t="s">
        <v>9044</v>
      </c>
      <c r="B53" s="3" t="s">
        <v>9045</v>
      </c>
      <c r="C53" s="17">
        <v>45979.39583333333</v>
      </c>
      <c r="D53" s="17">
        <v>45979.41666666667</v>
      </c>
      <c r="E53" s="25">
        <v>0.5</v>
      </c>
      <c r="F53" s="2"/>
      <c r="G53" s="2"/>
      <c r="H53" s="3" t="s">
        <v>8971</v>
      </c>
      <c r="I53" s="3" t="s">
        <v>9006</v>
      </c>
      <c r="J53" s="3" t="s">
        <v>9032</v>
      </c>
      <c r="K53" s="3" t="s">
        <v>8971</v>
      </c>
      <c r="L53" s="16">
        <v>1.0</v>
      </c>
      <c r="M53" s="3" t="s">
        <v>6853</v>
      </c>
      <c r="N53" s="3" t="s">
        <v>6853</v>
      </c>
      <c r="O53" s="3" t="s">
        <v>9006</v>
      </c>
      <c r="P53" s="16">
        <v>0.0</v>
      </c>
      <c r="Q53" s="16">
        <v>0.0</v>
      </c>
      <c r="R53" s="16">
        <v>0.0</v>
      </c>
      <c r="S53" s="16">
        <v>1.0</v>
      </c>
    </row>
    <row r="54">
      <c r="A54" s="3" t="s">
        <v>9046</v>
      </c>
      <c r="B54" s="3" t="s">
        <v>9047</v>
      </c>
      <c r="C54" s="17">
        <v>45979.54166666667</v>
      </c>
      <c r="D54" s="17">
        <v>45979.5625</v>
      </c>
      <c r="E54" s="25">
        <v>0.5</v>
      </c>
      <c r="F54" s="2"/>
      <c r="G54" s="2"/>
      <c r="H54" s="3" t="s">
        <v>8971</v>
      </c>
      <c r="I54" s="3" t="s">
        <v>9006</v>
      </c>
      <c r="J54" s="3" t="s">
        <v>9032</v>
      </c>
      <c r="K54" s="3" t="s">
        <v>8973</v>
      </c>
      <c r="L54" s="16">
        <v>4.0</v>
      </c>
      <c r="M54" s="3" t="s">
        <v>9048</v>
      </c>
      <c r="N54" s="3" t="s">
        <v>9048</v>
      </c>
      <c r="O54" s="3" t="s">
        <v>9002</v>
      </c>
      <c r="P54" s="16">
        <v>1.0</v>
      </c>
      <c r="Q54" s="16">
        <v>0.0</v>
      </c>
      <c r="R54" s="16">
        <v>0.0</v>
      </c>
      <c r="S54" s="16">
        <v>3.0</v>
      </c>
      <c r="T54" s="2"/>
    </row>
    <row r="55">
      <c r="A55" s="3" t="s">
        <v>9049</v>
      </c>
      <c r="B55" s="3" t="s">
        <v>9050</v>
      </c>
      <c r="C55" s="17">
        <v>45979.625</v>
      </c>
      <c r="D55" s="17">
        <v>45979.66666666667</v>
      </c>
      <c r="E55" s="25">
        <v>1.0</v>
      </c>
      <c r="F55" s="2"/>
      <c r="G55" s="2"/>
      <c r="H55" s="3" t="s">
        <v>8971</v>
      </c>
      <c r="I55" s="3" t="s">
        <v>9006</v>
      </c>
      <c r="J55" s="3" t="s">
        <v>9032</v>
      </c>
      <c r="K55" s="3" t="s">
        <v>8971</v>
      </c>
      <c r="L55" s="16">
        <v>1.0</v>
      </c>
      <c r="M55" s="3" t="s">
        <v>6853</v>
      </c>
      <c r="N55" s="3" t="s">
        <v>6853</v>
      </c>
      <c r="O55" s="3" t="s">
        <v>9006</v>
      </c>
      <c r="P55" s="16">
        <v>0.0</v>
      </c>
      <c r="Q55" s="16">
        <v>0.0</v>
      </c>
      <c r="R55" s="16">
        <v>0.0</v>
      </c>
      <c r="S55" s="16">
        <v>1.0</v>
      </c>
    </row>
    <row r="56">
      <c r="A56" s="3" t="s">
        <v>9014</v>
      </c>
      <c r="B56" s="3" t="s">
        <v>9015</v>
      </c>
      <c r="C56" s="17">
        <v>45980.54166666667</v>
      </c>
      <c r="D56" s="17">
        <v>45980.5625</v>
      </c>
      <c r="E56" s="25">
        <v>0.5</v>
      </c>
      <c r="F56" s="2"/>
      <c r="G56" s="2"/>
      <c r="H56" s="3" t="s">
        <v>8971</v>
      </c>
      <c r="I56" s="3" t="s">
        <v>8972</v>
      </c>
      <c r="J56" s="3" t="s">
        <v>6950</v>
      </c>
      <c r="K56" s="3" t="s">
        <v>8973</v>
      </c>
      <c r="L56" s="16">
        <v>3.0</v>
      </c>
      <c r="M56" s="3" t="s">
        <v>9016</v>
      </c>
      <c r="N56" s="3" t="s">
        <v>9016</v>
      </c>
      <c r="O56" s="3" t="s">
        <v>9017</v>
      </c>
      <c r="P56" s="16">
        <v>3.0</v>
      </c>
      <c r="Q56" s="16">
        <v>0.0</v>
      </c>
      <c r="R56" s="16">
        <v>0.0</v>
      </c>
      <c r="S56" s="16">
        <v>0.0</v>
      </c>
      <c r="T56" s="3" t="s">
        <v>1975</v>
      </c>
    </row>
    <row r="57">
      <c r="A57" s="3" t="s">
        <v>8999</v>
      </c>
      <c r="B57" s="3" t="s">
        <v>9000</v>
      </c>
      <c r="C57" s="17">
        <v>45980.64583333333</v>
      </c>
      <c r="D57" s="17">
        <v>45980.66666666667</v>
      </c>
      <c r="E57" s="25">
        <v>0.5</v>
      </c>
      <c r="F57" s="2"/>
      <c r="G57" s="2"/>
      <c r="H57" s="3" t="s">
        <v>8971</v>
      </c>
      <c r="I57" s="3" t="s">
        <v>8972</v>
      </c>
      <c r="J57" s="3" t="s">
        <v>6950</v>
      </c>
      <c r="K57" s="3" t="s">
        <v>8973</v>
      </c>
      <c r="L57" s="16">
        <v>4.0</v>
      </c>
      <c r="M57" s="3" t="s">
        <v>9001</v>
      </c>
      <c r="N57" s="3" t="s">
        <v>9001</v>
      </c>
      <c r="O57" s="3" t="s">
        <v>9002</v>
      </c>
      <c r="P57" s="16">
        <v>1.0</v>
      </c>
      <c r="Q57" s="16">
        <v>0.0</v>
      </c>
      <c r="R57" s="16">
        <v>0.0</v>
      </c>
      <c r="S57" s="16">
        <v>3.0</v>
      </c>
      <c r="T57" s="3" t="s">
        <v>2594</v>
      </c>
    </row>
    <row r="58">
      <c r="A58" s="3" t="s">
        <v>9051</v>
      </c>
      <c r="B58" s="3" t="s">
        <v>9004</v>
      </c>
      <c r="C58" s="17">
        <v>45981.3125</v>
      </c>
      <c r="D58" s="17">
        <v>45981.35416666667</v>
      </c>
      <c r="E58" s="25">
        <v>1.0</v>
      </c>
      <c r="F58" s="3" t="s">
        <v>9005</v>
      </c>
      <c r="G58" s="2"/>
      <c r="H58" s="3" t="s">
        <v>8971</v>
      </c>
      <c r="I58" s="3" t="s">
        <v>9006</v>
      </c>
      <c r="J58" s="3" t="s">
        <v>9007</v>
      </c>
      <c r="K58" s="3" t="s">
        <v>8973</v>
      </c>
      <c r="L58" s="16">
        <v>2.0</v>
      </c>
      <c r="M58" s="3" t="s">
        <v>9008</v>
      </c>
      <c r="N58" s="3" t="s">
        <v>9009</v>
      </c>
      <c r="O58" s="3" t="s">
        <v>9010</v>
      </c>
      <c r="P58" s="16">
        <v>0.0</v>
      </c>
      <c r="Q58" s="16">
        <v>0.0</v>
      </c>
      <c r="R58" s="16">
        <v>0.0</v>
      </c>
      <c r="S58" s="16">
        <v>2.0</v>
      </c>
      <c r="T58" s="2"/>
    </row>
    <row r="59">
      <c r="A59" s="3" t="s">
        <v>9011</v>
      </c>
      <c r="B59" s="3" t="s">
        <v>9012</v>
      </c>
      <c r="C59" s="17">
        <v>45981.35416666667</v>
      </c>
      <c r="D59" s="17">
        <v>45981.58333333333</v>
      </c>
      <c r="E59" s="25">
        <v>5.5</v>
      </c>
      <c r="F59" s="2"/>
      <c r="G59" s="3" t="s">
        <v>9013</v>
      </c>
      <c r="H59" s="3" t="s">
        <v>8971</v>
      </c>
      <c r="I59" s="3" t="s">
        <v>9006</v>
      </c>
      <c r="J59" s="3" t="s">
        <v>9007</v>
      </c>
      <c r="K59" s="3" t="s">
        <v>8973</v>
      </c>
      <c r="L59" s="16">
        <v>2.0</v>
      </c>
      <c r="M59" s="3" t="s">
        <v>9008</v>
      </c>
      <c r="N59" s="3" t="s">
        <v>9009</v>
      </c>
      <c r="O59" s="3" t="s">
        <v>9010</v>
      </c>
      <c r="P59" s="16">
        <v>0.0</v>
      </c>
      <c r="Q59" s="16">
        <v>0.0</v>
      </c>
      <c r="R59" s="16">
        <v>0.0</v>
      </c>
      <c r="S59" s="16">
        <v>2.0</v>
      </c>
    </row>
    <row r="60">
      <c r="A60" s="3" t="s">
        <v>9052</v>
      </c>
      <c r="B60" s="3" t="s">
        <v>9053</v>
      </c>
      <c r="C60" s="17">
        <v>45981.75</v>
      </c>
      <c r="D60" s="17">
        <v>45981.875</v>
      </c>
      <c r="E60" s="25">
        <v>3.0</v>
      </c>
      <c r="F60" s="3" t="s">
        <v>9054</v>
      </c>
      <c r="G60" s="3" t="s">
        <v>9055</v>
      </c>
      <c r="H60" s="3" t="s">
        <v>8971</v>
      </c>
      <c r="I60" s="3" t="s">
        <v>9006</v>
      </c>
      <c r="J60" s="3" t="s">
        <v>9056</v>
      </c>
      <c r="K60" s="3" t="s">
        <v>8971</v>
      </c>
      <c r="L60" s="16">
        <v>9.0</v>
      </c>
      <c r="M60" s="3" t="s">
        <v>9057</v>
      </c>
      <c r="N60" s="3" t="s">
        <v>9058</v>
      </c>
      <c r="O60" s="3" t="s">
        <v>9059</v>
      </c>
      <c r="P60" s="16">
        <v>4.0</v>
      </c>
      <c r="Q60" s="16">
        <v>0.0</v>
      </c>
      <c r="R60" s="16">
        <v>0.0</v>
      </c>
      <c r="S60" s="16">
        <v>5.0</v>
      </c>
      <c r="T60" s="2"/>
    </row>
    <row r="61">
      <c r="A61" s="3" t="s">
        <v>9060</v>
      </c>
      <c r="B61" s="3" t="s">
        <v>9061</v>
      </c>
      <c r="C61" s="17">
        <v>45982.54166666667</v>
      </c>
      <c r="D61" s="17">
        <v>45982.66666666667</v>
      </c>
      <c r="E61" s="25">
        <v>3.0</v>
      </c>
      <c r="F61" s="2"/>
      <c r="G61" s="3" t="s">
        <v>9062</v>
      </c>
      <c r="H61" s="3" t="s">
        <v>8971</v>
      </c>
      <c r="I61" s="3" t="s">
        <v>9006</v>
      </c>
      <c r="J61" s="3" t="s">
        <v>9032</v>
      </c>
      <c r="K61" s="3" t="s">
        <v>8971</v>
      </c>
      <c r="L61" s="16">
        <v>11.0</v>
      </c>
      <c r="M61" s="3" t="s">
        <v>9063</v>
      </c>
      <c r="N61" s="3" t="s">
        <v>9063</v>
      </c>
      <c r="O61" s="3" t="s">
        <v>9064</v>
      </c>
      <c r="P61" s="16">
        <v>5.0</v>
      </c>
      <c r="Q61" s="16">
        <v>1.0</v>
      </c>
      <c r="R61" s="16">
        <v>2.0</v>
      </c>
      <c r="S61" s="16">
        <v>3.0</v>
      </c>
    </row>
    <row r="62">
      <c r="A62" s="3" t="s">
        <v>9065</v>
      </c>
      <c r="B62" s="3" t="s">
        <v>9066</v>
      </c>
      <c r="C62" s="17">
        <v>45985.45833333333</v>
      </c>
      <c r="D62" s="17">
        <v>45985.47916666667</v>
      </c>
      <c r="E62" s="25">
        <v>0.5</v>
      </c>
      <c r="F62" s="2"/>
      <c r="G62" s="2"/>
      <c r="H62" s="3" t="s">
        <v>8971</v>
      </c>
      <c r="I62" s="3" t="s">
        <v>9006</v>
      </c>
      <c r="J62" s="3" t="s">
        <v>9032</v>
      </c>
      <c r="K62" s="3" t="s">
        <v>8971</v>
      </c>
      <c r="L62" s="16">
        <v>1.0</v>
      </c>
      <c r="M62" s="3" t="s">
        <v>6853</v>
      </c>
      <c r="N62" s="3" t="s">
        <v>6853</v>
      </c>
      <c r="O62" s="3" t="s">
        <v>9006</v>
      </c>
      <c r="P62" s="16">
        <v>0.0</v>
      </c>
      <c r="Q62" s="16">
        <v>0.0</v>
      </c>
      <c r="R62" s="16">
        <v>0.0</v>
      </c>
      <c r="S62" s="16">
        <v>1.0</v>
      </c>
      <c r="T62" s="2"/>
    </row>
    <row r="63">
      <c r="A63" s="3" t="s">
        <v>9067</v>
      </c>
      <c r="B63" s="3" t="s">
        <v>9068</v>
      </c>
      <c r="C63" s="17">
        <v>45986.375</v>
      </c>
      <c r="D63" s="17">
        <v>45986.40972222222</v>
      </c>
      <c r="E63" s="25">
        <v>0.8333333333333334</v>
      </c>
      <c r="F63" s="13" t="s">
        <v>9069</v>
      </c>
      <c r="G63" s="3" t="s">
        <v>9070</v>
      </c>
      <c r="H63" s="3" t="s">
        <v>8971</v>
      </c>
      <c r="I63" s="3" t="s">
        <v>9006</v>
      </c>
      <c r="J63" s="3" t="s">
        <v>9071</v>
      </c>
      <c r="K63" s="3" t="s">
        <v>8971</v>
      </c>
      <c r="L63" s="16">
        <v>5.0</v>
      </c>
      <c r="M63" s="3" t="s">
        <v>9072</v>
      </c>
      <c r="N63" s="3" t="s">
        <v>9072</v>
      </c>
      <c r="O63" s="3" t="s">
        <v>9073</v>
      </c>
      <c r="P63" s="16">
        <v>2.0</v>
      </c>
      <c r="Q63" s="16">
        <v>1.0</v>
      </c>
      <c r="R63" s="16">
        <v>0.0</v>
      </c>
      <c r="S63" s="16">
        <v>2.0</v>
      </c>
      <c r="T63" s="3" t="s">
        <v>5745</v>
      </c>
    </row>
    <row r="64">
      <c r="A64" s="3" t="s">
        <v>9074</v>
      </c>
      <c r="B64" s="3" t="s">
        <v>9075</v>
      </c>
      <c r="C64" s="17">
        <v>45986.45833333333</v>
      </c>
      <c r="D64" s="17">
        <v>45986.5</v>
      </c>
      <c r="E64" s="25">
        <v>1.0</v>
      </c>
      <c r="F64" s="2"/>
      <c r="G64" s="3" t="s">
        <v>9076</v>
      </c>
      <c r="H64" s="3" t="s">
        <v>8971</v>
      </c>
      <c r="I64" s="3" t="s">
        <v>9077</v>
      </c>
      <c r="J64" s="3" t="s">
        <v>9078</v>
      </c>
      <c r="K64" s="3" t="s">
        <v>8971</v>
      </c>
      <c r="L64" s="16">
        <v>1.0</v>
      </c>
      <c r="M64" s="3" t="s">
        <v>6853</v>
      </c>
      <c r="N64" s="3" t="s">
        <v>6853</v>
      </c>
      <c r="O64" s="3" t="s">
        <v>9077</v>
      </c>
      <c r="P64" s="16">
        <v>1.0</v>
      </c>
      <c r="Q64" s="16">
        <v>0.0</v>
      </c>
      <c r="R64" s="16">
        <v>0.0</v>
      </c>
      <c r="S64" s="16">
        <v>0.0</v>
      </c>
      <c r="T64" s="2"/>
    </row>
    <row r="65">
      <c r="A65" s="3" t="s">
        <v>9079</v>
      </c>
      <c r="B65" s="3" t="s">
        <v>9080</v>
      </c>
      <c r="C65" s="17">
        <v>45986.52083333333</v>
      </c>
      <c r="D65" s="17">
        <v>45986.54166666667</v>
      </c>
      <c r="E65" s="25">
        <v>0.5</v>
      </c>
      <c r="F65" s="2"/>
      <c r="G65" s="2"/>
      <c r="H65" s="3" t="s">
        <v>8971</v>
      </c>
      <c r="I65" s="3" t="s">
        <v>9006</v>
      </c>
      <c r="J65" s="3" t="s">
        <v>9032</v>
      </c>
      <c r="K65" s="3" t="s">
        <v>8971</v>
      </c>
      <c r="L65" s="16">
        <v>3.0</v>
      </c>
      <c r="M65" s="3" t="s">
        <v>9081</v>
      </c>
      <c r="N65" s="3" t="s">
        <v>9081</v>
      </c>
      <c r="O65" s="3" t="s">
        <v>9082</v>
      </c>
      <c r="P65" s="16">
        <v>1.0</v>
      </c>
      <c r="Q65" s="16">
        <v>0.0</v>
      </c>
      <c r="R65" s="16">
        <v>0.0</v>
      </c>
      <c r="S65" s="16">
        <v>2.0</v>
      </c>
      <c r="T65" s="3" t="s">
        <v>2868</v>
      </c>
    </row>
    <row r="66">
      <c r="A66" s="3" t="s">
        <v>9083</v>
      </c>
      <c r="B66" s="3" t="s">
        <v>9084</v>
      </c>
      <c r="C66" s="17">
        <v>45992.47916666667</v>
      </c>
      <c r="D66" s="17">
        <v>45992.5</v>
      </c>
      <c r="E66" s="25">
        <v>0.5</v>
      </c>
      <c r="F66" s="2"/>
      <c r="G66" s="2"/>
      <c r="H66" s="3" t="s">
        <v>8971</v>
      </c>
      <c r="I66" s="3" t="s">
        <v>9006</v>
      </c>
      <c r="J66" s="3" t="s">
        <v>9032</v>
      </c>
      <c r="K66" s="3" t="s">
        <v>8971</v>
      </c>
      <c r="L66" s="16">
        <v>1.0</v>
      </c>
      <c r="M66" s="3" t="s">
        <v>6853</v>
      </c>
      <c r="N66" s="3" t="s">
        <v>6853</v>
      </c>
      <c r="O66" s="3" t="s">
        <v>9006</v>
      </c>
      <c r="P66" s="16">
        <v>0.0</v>
      </c>
      <c r="Q66" s="16">
        <v>0.0</v>
      </c>
      <c r="R66" s="16">
        <v>0.0</v>
      </c>
      <c r="S66" s="16">
        <v>1.0</v>
      </c>
      <c r="T66" s="2"/>
    </row>
    <row r="67">
      <c r="A67" s="3" t="s">
        <v>9085</v>
      </c>
      <c r="B67" s="3" t="s">
        <v>9086</v>
      </c>
      <c r="C67" s="17">
        <v>45993.41666666667</v>
      </c>
      <c r="D67" s="17">
        <v>45993.45833333333</v>
      </c>
      <c r="E67" s="25">
        <v>1.0</v>
      </c>
      <c r="F67" s="2"/>
      <c r="G67" s="3" t="s">
        <v>9087</v>
      </c>
      <c r="H67" s="3" t="s">
        <v>8971</v>
      </c>
      <c r="I67" s="3" t="s">
        <v>9077</v>
      </c>
      <c r="J67" s="3" t="s">
        <v>9078</v>
      </c>
      <c r="K67" s="3" t="s">
        <v>8971</v>
      </c>
      <c r="L67" s="16">
        <v>1.0</v>
      </c>
      <c r="M67" s="3" t="s">
        <v>6853</v>
      </c>
      <c r="N67" s="3" t="s">
        <v>6853</v>
      </c>
      <c r="O67" s="3" t="s">
        <v>9077</v>
      </c>
      <c r="P67" s="16">
        <v>1.0</v>
      </c>
      <c r="Q67" s="16">
        <v>0.0</v>
      </c>
      <c r="R67" s="16">
        <v>0.0</v>
      </c>
      <c r="S67" s="16">
        <v>0.0</v>
      </c>
    </row>
    <row r="68">
      <c r="A68" s="3" t="s">
        <v>9088</v>
      </c>
      <c r="B68" s="3" t="s">
        <v>9089</v>
      </c>
      <c r="C68" s="17">
        <v>45993.46875</v>
      </c>
      <c r="D68" s="17">
        <v>45993.5</v>
      </c>
      <c r="E68" s="25">
        <v>0.75</v>
      </c>
      <c r="F68" s="2"/>
      <c r="G68" s="3" t="s">
        <v>9090</v>
      </c>
      <c r="H68" s="3" t="s">
        <v>8971</v>
      </c>
      <c r="I68" s="3" t="s">
        <v>9006</v>
      </c>
      <c r="J68" s="3" t="s">
        <v>9032</v>
      </c>
      <c r="K68" s="3" t="s">
        <v>8971</v>
      </c>
      <c r="L68" s="16">
        <v>1.0</v>
      </c>
      <c r="M68" s="3" t="s">
        <v>6853</v>
      </c>
      <c r="N68" s="3" t="s">
        <v>6853</v>
      </c>
      <c r="O68" s="3" t="s">
        <v>9006</v>
      </c>
      <c r="P68" s="16">
        <v>0.0</v>
      </c>
      <c r="Q68" s="16">
        <v>0.0</v>
      </c>
      <c r="R68" s="16">
        <v>0.0</v>
      </c>
      <c r="S68" s="16">
        <v>1.0</v>
      </c>
    </row>
    <row r="69">
      <c r="A69" s="3" t="s">
        <v>9091</v>
      </c>
      <c r="B69" s="3" t="s">
        <v>9092</v>
      </c>
      <c r="C69" s="17">
        <v>45993.58333333333</v>
      </c>
      <c r="D69" s="17">
        <v>45993.625</v>
      </c>
      <c r="E69" s="25">
        <v>1.0</v>
      </c>
      <c r="F69" s="2"/>
      <c r="G69" s="3" t="s">
        <v>9093</v>
      </c>
      <c r="H69" s="3" t="s">
        <v>8971</v>
      </c>
      <c r="I69" s="3" t="s">
        <v>9094</v>
      </c>
      <c r="J69" s="3" t="s">
        <v>6853</v>
      </c>
      <c r="K69" s="3" t="s">
        <v>8971</v>
      </c>
      <c r="L69" s="16">
        <v>0.0</v>
      </c>
      <c r="M69" s="2"/>
      <c r="N69" s="2"/>
      <c r="O69" s="2"/>
      <c r="P69" s="16">
        <v>0.0</v>
      </c>
      <c r="Q69" s="16">
        <v>0.0</v>
      </c>
      <c r="R69" s="16">
        <v>0.0</v>
      </c>
      <c r="S69" s="16">
        <v>0.0</v>
      </c>
    </row>
    <row r="70">
      <c r="A70" s="3" t="s">
        <v>9095</v>
      </c>
      <c r="B70" s="3" t="s">
        <v>9096</v>
      </c>
      <c r="C70" s="17">
        <v>45993.625</v>
      </c>
      <c r="D70" s="17">
        <v>45993.64583333333</v>
      </c>
      <c r="E70" s="25">
        <v>0.5</v>
      </c>
      <c r="F70" s="13" t="s">
        <v>9097</v>
      </c>
      <c r="G70" s="3" t="s">
        <v>9098</v>
      </c>
      <c r="H70" s="3" t="s">
        <v>8971</v>
      </c>
      <c r="I70" s="3" t="s">
        <v>9077</v>
      </c>
      <c r="J70" s="3" t="s">
        <v>9071</v>
      </c>
      <c r="K70" s="3" t="s">
        <v>8971</v>
      </c>
      <c r="L70" s="16">
        <v>1.0</v>
      </c>
      <c r="M70" s="3" t="s">
        <v>6853</v>
      </c>
      <c r="N70" s="3" t="s">
        <v>6853</v>
      </c>
      <c r="O70" s="3" t="s">
        <v>9077</v>
      </c>
      <c r="P70" s="16">
        <v>1.0</v>
      </c>
      <c r="Q70" s="16">
        <v>0.0</v>
      </c>
      <c r="R70" s="16">
        <v>0.0</v>
      </c>
      <c r="S70" s="16">
        <v>0.0</v>
      </c>
      <c r="T70" s="2"/>
    </row>
    <row r="71">
      <c r="A71" s="3" t="s">
        <v>9099</v>
      </c>
      <c r="B71" s="3" t="s">
        <v>9100</v>
      </c>
      <c r="C71" s="17">
        <v>45994.54166666667</v>
      </c>
      <c r="D71" s="17">
        <v>45994.58333333333</v>
      </c>
      <c r="E71" s="25">
        <v>1.0</v>
      </c>
      <c r="F71" s="13" t="s">
        <v>9101</v>
      </c>
      <c r="G71" s="3" t="s">
        <v>9102</v>
      </c>
      <c r="H71" s="3" t="s">
        <v>8971</v>
      </c>
      <c r="I71" s="3" t="s">
        <v>9077</v>
      </c>
      <c r="J71" s="3" t="s">
        <v>9078</v>
      </c>
      <c r="K71" s="3" t="s">
        <v>8973</v>
      </c>
      <c r="L71" s="16">
        <v>3.0</v>
      </c>
      <c r="M71" s="3" t="s">
        <v>9103</v>
      </c>
      <c r="N71" s="3" t="s">
        <v>9103</v>
      </c>
      <c r="O71" s="3" t="s">
        <v>9017</v>
      </c>
      <c r="P71" s="16">
        <v>3.0</v>
      </c>
      <c r="Q71" s="16">
        <v>0.0</v>
      </c>
      <c r="R71" s="16">
        <v>0.0</v>
      </c>
      <c r="S71" s="16">
        <v>0.0</v>
      </c>
    </row>
    <row r="72">
      <c r="A72" s="3" t="s">
        <v>9104</v>
      </c>
      <c r="B72" s="3" t="s">
        <v>9105</v>
      </c>
      <c r="C72" s="17">
        <v>45995.4375</v>
      </c>
      <c r="D72" s="17">
        <v>45995.45833333333</v>
      </c>
      <c r="E72" s="25">
        <v>0.5</v>
      </c>
      <c r="F72" s="2"/>
      <c r="G72" s="2"/>
      <c r="H72" s="3" t="s">
        <v>8971</v>
      </c>
      <c r="I72" s="3" t="s">
        <v>9094</v>
      </c>
      <c r="J72" s="3" t="s">
        <v>6853</v>
      </c>
      <c r="K72" s="3" t="s">
        <v>8971</v>
      </c>
      <c r="L72" s="16">
        <v>1.0</v>
      </c>
      <c r="M72" s="3" t="s">
        <v>9032</v>
      </c>
      <c r="N72" s="3" t="s">
        <v>9032</v>
      </c>
      <c r="O72" s="3" t="s">
        <v>9077</v>
      </c>
      <c r="P72" s="16">
        <v>1.0</v>
      </c>
      <c r="Q72" s="16">
        <v>0.0</v>
      </c>
      <c r="R72" s="16">
        <v>0.0</v>
      </c>
      <c r="S72" s="16">
        <v>0.0</v>
      </c>
      <c r="T72" s="2"/>
    </row>
    <row r="73">
      <c r="A73" s="3" t="s">
        <v>9106</v>
      </c>
      <c r="B73" s="3" t="s">
        <v>8676</v>
      </c>
      <c r="C73" s="17">
        <v>45995.47916666667</v>
      </c>
      <c r="D73" s="17">
        <v>45995.5</v>
      </c>
      <c r="E73" s="25">
        <v>0.5</v>
      </c>
      <c r="F73" s="3" t="s">
        <v>9107</v>
      </c>
      <c r="G73" s="3" t="s">
        <v>9108</v>
      </c>
      <c r="H73" s="3" t="s">
        <v>8971</v>
      </c>
      <c r="I73" s="3" t="s">
        <v>9094</v>
      </c>
      <c r="J73" s="3" t="s">
        <v>6853</v>
      </c>
      <c r="K73" s="3" t="s">
        <v>8971</v>
      </c>
      <c r="L73" s="16">
        <v>20.0</v>
      </c>
      <c r="M73" s="3" t="s">
        <v>9109</v>
      </c>
      <c r="N73" s="3" t="s">
        <v>9110</v>
      </c>
      <c r="O73" s="3" t="s">
        <v>9111</v>
      </c>
      <c r="P73" s="16">
        <v>1.0</v>
      </c>
      <c r="Q73" s="16">
        <v>0.0</v>
      </c>
      <c r="R73" s="16">
        <v>0.0</v>
      </c>
      <c r="S73" s="16">
        <v>19.0</v>
      </c>
      <c r="T73" s="3" t="s">
        <v>2868</v>
      </c>
    </row>
    <row r="74">
      <c r="A74" s="3" t="s">
        <v>9112</v>
      </c>
      <c r="B74" s="3" t="s">
        <v>9113</v>
      </c>
      <c r="C74" s="17">
        <v>45995.5</v>
      </c>
      <c r="D74" s="17">
        <v>45995.54166666667</v>
      </c>
      <c r="E74" s="25">
        <v>1.0</v>
      </c>
      <c r="F74" s="2"/>
      <c r="G74" s="2"/>
      <c r="H74" s="3" t="s">
        <v>8971</v>
      </c>
      <c r="I74" s="3" t="s">
        <v>9094</v>
      </c>
      <c r="J74" s="3" t="s">
        <v>6853</v>
      </c>
      <c r="K74" s="3" t="s">
        <v>8971</v>
      </c>
      <c r="L74" s="16">
        <v>0.0</v>
      </c>
      <c r="M74" s="2"/>
      <c r="N74" s="2"/>
      <c r="O74" s="2"/>
      <c r="P74" s="16">
        <v>0.0</v>
      </c>
      <c r="Q74" s="16">
        <v>0.0</v>
      </c>
      <c r="R74" s="16">
        <v>0.0</v>
      </c>
      <c r="S74" s="16">
        <v>0.0</v>
      </c>
      <c r="T74" s="2"/>
    </row>
    <row r="75">
      <c r="A75" s="3" t="s">
        <v>9114</v>
      </c>
      <c r="B75" s="3" t="s">
        <v>9115</v>
      </c>
      <c r="C75" s="17">
        <v>45995.54166666667</v>
      </c>
      <c r="D75" s="17">
        <v>45995.5625</v>
      </c>
      <c r="E75" s="25">
        <v>0.5</v>
      </c>
      <c r="F75" s="13" t="s">
        <v>9116</v>
      </c>
      <c r="G75" s="3" t="s">
        <v>9117</v>
      </c>
      <c r="H75" s="3" t="s">
        <v>8971</v>
      </c>
      <c r="I75" s="3" t="s">
        <v>9077</v>
      </c>
      <c r="J75" s="3" t="s">
        <v>9118</v>
      </c>
      <c r="K75" s="3" t="s">
        <v>8971</v>
      </c>
      <c r="L75" s="16">
        <v>3.0</v>
      </c>
      <c r="M75" s="3" t="s">
        <v>9119</v>
      </c>
      <c r="N75" s="3" t="s">
        <v>9119</v>
      </c>
      <c r="O75" s="3" t="s">
        <v>9017</v>
      </c>
      <c r="P75" s="16">
        <v>3.0</v>
      </c>
      <c r="Q75" s="16">
        <v>0.0</v>
      </c>
      <c r="R75" s="16">
        <v>0.0</v>
      </c>
      <c r="S75" s="16">
        <v>0.0</v>
      </c>
      <c r="T75" s="3" t="s">
        <v>2868</v>
      </c>
    </row>
    <row r="76">
      <c r="A76" s="3" t="s">
        <v>9120</v>
      </c>
      <c r="B76" s="3" t="s">
        <v>9121</v>
      </c>
      <c r="C76" s="17">
        <v>45995.54166666667</v>
      </c>
      <c r="D76" s="17">
        <v>45995.5625</v>
      </c>
      <c r="E76" s="25">
        <v>0.5</v>
      </c>
      <c r="F76" s="3" t="s">
        <v>9107</v>
      </c>
      <c r="G76" s="3" t="s">
        <v>9122</v>
      </c>
      <c r="H76" s="3" t="s">
        <v>8971</v>
      </c>
      <c r="I76" s="3" t="s">
        <v>9094</v>
      </c>
      <c r="J76" s="3" t="s">
        <v>6853</v>
      </c>
      <c r="K76" s="3" t="s">
        <v>8971</v>
      </c>
      <c r="L76" s="16">
        <v>2.0</v>
      </c>
      <c r="M76" s="3" t="s">
        <v>9123</v>
      </c>
      <c r="N76" s="3" t="s">
        <v>9123</v>
      </c>
      <c r="O76" s="3" t="s">
        <v>9010</v>
      </c>
      <c r="P76" s="16">
        <v>0.0</v>
      </c>
      <c r="Q76" s="16">
        <v>0.0</v>
      </c>
      <c r="R76" s="16">
        <v>0.0</v>
      </c>
      <c r="S76" s="16">
        <v>2.0</v>
      </c>
      <c r="T76" s="2"/>
    </row>
    <row r="77">
      <c r="A77" s="3" t="s">
        <v>9124</v>
      </c>
      <c r="B77" s="3" t="s">
        <v>9125</v>
      </c>
      <c r="C77" s="17">
        <v>45995.625</v>
      </c>
      <c r="D77" s="17">
        <v>45995.66666666667</v>
      </c>
      <c r="E77" s="25">
        <v>1.0</v>
      </c>
      <c r="F77" s="2"/>
      <c r="G77" s="2"/>
      <c r="H77" s="3" t="s">
        <v>8971</v>
      </c>
      <c r="I77" s="3" t="s">
        <v>9077</v>
      </c>
      <c r="J77" s="3" t="s">
        <v>8312</v>
      </c>
      <c r="K77" s="3" t="s">
        <v>8971</v>
      </c>
      <c r="L77" s="16">
        <v>1.0</v>
      </c>
      <c r="M77" s="3" t="s">
        <v>6853</v>
      </c>
      <c r="N77" s="3" t="s">
        <v>6853</v>
      </c>
      <c r="O77" s="3" t="s">
        <v>9077</v>
      </c>
      <c r="P77" s="16">
        <v>1.0</v>
      </c>
      <c r="Q77" s="16">
        <v>0.0</v>
      </c>
      <c r="R77" s="16">
        <v>0.0</v>
      </c>
      <c r="S77" s="16">
        <v>0.0</v>
      </c>
      <c r="T77" s="2"/>
    </row>
    <row r="78">
      <c r="A78" s="3" t="s">
        <v>9126</v>
      </c>
      <c r="B78" s="3" t="s">
        <v>8527</v>
      </c>
      <c r="C78" s="17">
        <v>45996.39583333333</v>
      </c>
      <c r="D78" s="17">
        <v>45996.41666666667</v>
      </c>
      <c r="E78" s="25">
        <v>0.5</v>
      </c>
      <c r="F78" s="3" t="s">
        <v>9107</v>
      </c>
      <c r="G78" s="3" t="s">
        <v>9127</v>
      </c>
      <c r="H78" s="3" t="s">
        <v>8971</v>
      </c>
      <c r="I78" s="3" t="s">
        <v>9094</v>
      </c>
      <c r="J78" s="3" t="s">
        <v>6853</v>
      </c>
      <c r="K78" s="3" t="s">
        <v>8971</v>
      </c>
      <c r="L78" s="16">
        <v>9.0</v>
      </c>
      <c r="M78" s="3" t="s">
        <v>9128</v>
      </c>
      <c r="N78" s="3" t="s">
        <v>9129</v>
      </c>
      <c r="O78" s="3" t="s">
        <v>9130</v>
      </c>
      <c r="P78" s="16">
        <v>0.0</v>
      </c>
      <c r="Q78" s="16">
        <v>0.0</v>
      </c>
      <c r="R78" s="16">
        <v>0.0</v>
      </c>
      <c r="S78" s="16">
        <v>9.0</v>
      </c>
      <c r="T78" s="3" t="s">
        <v>2868</v>
      </c>
    </row>
    <row r="79">
      <c r="A79" s="3" t="s">
        <v>8999</v>
      </c>
      <c r="B79" s="3" t="s">
        <v>9000</v>
      </c>
      <c r="C79" s="17">
        <v>45999.58333333333</v>
      </c>
      <c r="D79" s="17">
        <v>45999.60416666667</v>
      </c>
      <c r="E79" s="25">
        <v>0.5</v>
      </c>
      <c r="F79" s="2"/>
      <c r="G79" s="2"/>
      <c r="H79" s="3" t="s">
        <v>8971</v>
      </c>
      <c r="I79" s="3" t="s">
        <v>8972</v>
      </c>
      <c r="J79" s="3" t="s">
        <v>6950</v>
      </c>
      <c r="K79" s="3" t="s">
        <v>8973</v>
      </c>
      <c r="L79" s="16">
        <v>4.0</v>
      </c>
      <c r="M79" s="3" t="s">
        <v>9001</v>
      </c>
      <c r="N79" s="3" t="s">
        <v>9001</v>
      </c>
      <c r="O79" s="3" t="s">
        <v>9002</v>
      </c>
      <c r="P79" s="16">
        <v>1.0</v>
      </c>
      <c r="Q79" s="16">
        <v>0.0</v>
      </c>
      <c r="R79" s="16">
        <v>0.0</v>
      </c>
      <c r="S79" s="16">
        <v>3.0</v>
      </c>
      <c r="T79" s="3" t="s">
        <v>2594</v>
      </c>
    </row>
    <row r="80">
      <c r="A80" s="3" t="s">
        <v>9131</v>
      </c>
      <c r="B80" s="3" t="s">
        <v>8523</v>
      </c>
      <c r="C80" s="17">
        <v>46000.39583333333</v>
      </c>
      <c r="D80" s="17">
        <v>46000.41666666667</v>
      </c>
      <c r="E80" s="25">
        <v>0.5</v>
      </c>
      <c r="F80" s="3" t="s">
        <v>9107</v>
      </c>
      <c r="G80" s="3" t="s">
        <v>9132</v>
      </c>
      <c r="H80" s="3" t="s">
        <v>8971</v>
      </c>
      <c r="I80" s="3" t="s">
        <v>9094</v>
      </c>
      <c r="J80" s="3" t="s">
        <v>6853</v>
      </c>
      <c r="K80" s="3" t="s">
        <v>8971</v>
      </c>
      <c r="L80" s="16">
        <v>5.0</v>
      </c>
      <c r="M80" s="3" t="s">
        <v>9133</v>
      </c>
      <c r="N80" s="3" t="s">
        <v>9134</v>
      </c>
      <c r="O80" s="3" t="s">
        <v>9135</v>
      </c>
      <c r="P80" s="16">
        <v>1.0</v>
      </c>
      <c r="Q80" s="16">
        <v>0.0</v>
      </c>
      <c r="R80" s="16">
        <v>0.0</v>
      </c>
      <c r="S80" s="16">
        <v>4.0</v>
      </c>
      <c r="T80" s="3" t="s">
        <v>2868</v>
      </c>
    </row>
    <row r="81">
      <c r="A81" s="3" t="s">
        <v>9136</v>
      </c>
      <c r="B81" s="3" t="s">
        <v>9137</v>
      </c>
      <c r="C81" s="17">
        <v>46000.5</v>
      </c>
      <c r="D81" s="17">
        <v>46000.52083333333</v>
      </c>
      <c r="E81" s="25">
        <v>0.5</v>
      </c>
      <c r="F81" s="2"/>
      <c r="G81" s="3" t="s">
        <v>9138</v>
      </c>
      <c r="H81" s="3" t="s">
        <v>8971</v>
      </c>
      <c r="I81" s="3" t="s">
        <v>9139</v>
      </c>
      <c r="J81" s="3" t="s">
        <v>6950</v>
      </c>
      <c r="K81" s="3" t="s">
        <v>8973</v>
      </c>
      <c r="L81" s="16">
        <v>3.0</v>
      </c>
      <c r="M81" s="3" t="s">
        <v>9140</v>
      </c>
      <c r="N81" s="3" t="s">
        <v>9141</v>
      </c>
      <c r="O81" s="3" t="s">
        <v>9142</v>
      </c>
      <c r="P81" s="16">
        <v>1.0</v>
      </c>
      <c r="Q81" s="16">
        <v>1.0</v>
      </c>
      <c r="R81" s="16">
        <v>1.0</v>
      </c>
      <c r="S81" s="16">
        <v>0.0</v>
      </c>
      <c r="T81" s="3" t="s">
        <v>4466</v>
      </c>
    </row>
    <row r="82">
      <c r="A82" s="3" t="s">
        <v>9143</v>
      </c>
      <c r="B82" s="3" t="s">
        <v>9144</v>
      </c>
      <c r="C82" s="17">
        <v>46000.5</v>
      </c>
      <c r="D82" s="17">
        <v>46000.52083333333</v>
      </c>
      <c r="E82" s="25">
        <v>0.5</v>
      </c>
      <c r="G82" s="2"/>
      <c r="H82" s="3" t="s">
        <v>8971</v>
      </c>
      <c r="I82" s="3" t="s">
        <v>9077</v>
      </c>
      <c r="J82" s="3" t="s">
        <v>9145</v>
      </c>
      <c r="K82" s="3" t="s">
        <v>8971</v>
      </c>
      <c r="L82" s="16">
        <v>3.0</v>
      </c>
      <c r="M82" s="3" t="s">
        <v>9146</v>
      </c>
      <c r="N82" s="3" t="s">
        <v>9146</v>
      </c>
      <c r="O82" s="3" t="s">
        <v>9147</v>
      </c>
      <c r="P82" s="16">
        <v>2.0</v>
      </c>
      <c r="Q82" s="16">
        <v>0.0</v>
      </c>
      <c r="R82" s="16">
        <v>0.0</v>
      </c>
      <c r="S82" s="16">
        <v>1.0</v>
      </c>
      <c r="T82" s="3" t="s">
        <v>2309</v>
      </c>
    </row>
    <row r="83">
      <c r="A83" s="3" t="s">
        <v>9148</v>
      </c>
      <c r="B83" s="3" t="s">
        <v>9149</v>
      </c>
      <c r="C83" s="17">
        <v>46000.5625</v>
      </c>
      <c r="D83" s="17">
        <v>46000.58333333333</v>
      </c>
      <c r="E83" s="25">
        <v>0.5</v>
      </c>
      <c r="G83" s="3" t="s">
        <v>9150</v>
      </c>
      <c r="H83" s="3" t="s">
        <v>8971</v>
      </c>
      <c r="I83" s="3" t="s">
        <v>9077</v>
      </c>
      <c r="J83" s="3" t="s">
        <v>6950</v>
      </c>
      <c r="K83" s="3" t="s">
        <v>8971</v>
      </c>
      <c r="L83" s="16">
        <v>1.0</v>
      </c>
      <c r="M83" s="3" t="s">
        <v>6853</v>
      </c>
      <c r="N83" s="3" t="s">
        <v>6853</v>
      </c>
      <c r="O83" s="3" t="s">
        <v>9077</v>
      </c>
      <c r="P83" s="16">
        <v>1.0</v>
      </c>
      <c r="Q83" s="16">
        <v>0.0</v>
      </c>
      <c r="R83" s="16">
        <v>0.0</v>
      </c>
      <c r="S83" s="16">
        <v>0.0</v>
      </c>
      <c r="T83" s="2"/>
    </row>
    <row r="84">
      <c r="A84" s="3" t="s">
        <v>8980</v>
      </c>
      <c r="B84" s="3" t="s">
        <v>8981</v>
      </c>
      <c r="C84" s="17">
        <v>46000.58333333333</v>
      </c>
      <c r="D84" s="17">
        <v>46000.60416666667</v>
      </c>
      <c r="E84" s="25">
        <v>0.5</v>
      </c>
      <c r="F84" s="2"/>
      <c r="G84" s="2"/>
      <c r="H84" s="3" t="s">
        <v>8971</v>
      </c>
      <c r="I84" s="3" t="s">
        <v>9077</v>
      </c>
      <c r="J84" s="3" t="s">
        <v>6950</v>
      </c>
      <c r="K84" s="3" t="s">
        <v>8973</v>
      </c>
      <c r="L84" s="16">
        <v>9.0</v>
      </c>
      <c r="M84" s="3" t="s">
        <v>8982</v>
      </c>
      <c r="N84" s="3" t="s">
        <v>8983</v>
      </c>
      <c r="O84" s="3" t="s">
        <v>9151</v>
      </c>
      <c r="P84" s="16">
        <v>2.0</v>
      </c>
      <c r="Q84" s="16">
        <v>2.0</v>
      </c>
      <c r="R84" s="16">
        <v>2.0</v>
      </c>
      <c r="S84" s="16">
        <v>3.0</v>
      </c>
      <c r="T84" s="3" t="s">
        <v>2109</v>
      </c>
    </row>
    <row r="85">
      <c r="A85" s="3" t="s">
        <v>9152</v>
      </c>
      <c r="B85" s="3" t="s">
        <v>9153</v>
      </c>
      <c r="C85" s="17">
        <v>46000.64583333333</v>
      </c>
      <c r="D85" s="17">
        <v>46000.66666666667</v>
      </c>
      <c r="E85" s="25">
        <v>0.5</v>
      </c>
      <c r="G85" s="3" t="s">
        <v>9154</v>
      </c>
      <c r="H85" s="3" t="s">
        <v>8971</v>
      </c>
      <c r="I85" s="3" t="s">
        <v>9094</v>
      </c>
      <c r="J85" s="3" t="s">
        <v>6853</v>
      </c>
      <c r="K85" s="3" t="s">
        <v>8971</v>
      </c>
      <c r="L85" s="16">
        <v>0.0</v>
      </c>
      <c r="M85" s="2"/>
      <c r="N85" s="2"/>
      <c r="O85" s="2"/>
      <c r="P85" s="16">
        <v>0.0</v>
      </c>
      <c r="Q85" s="16">
        <v>0.0</v>
      </c>
      <c r="R85" s="16">
        <v>0.0</v>
      </c>
      <c r="S85" s="16">
        <v>0.0</v>
      </c>
      <c r="T85" s="2"/>
    </row>
    <row r="86">
      <c r="A86" s="3" t="s">
        <v>9155</v>
      </c>
      <c r="B86" s="3" t="s">
        <v>9156</v>
      </c>
      <c r="C86" s="17">
        <v>46001.41666666667</v>
      </c>
      <c r="D86" s="17">
        <v>46001.4375</v>
      </c>
      <c r="E86" s="25">
        <v>0.5</v>
      </c>
      <c r="F86" s="2"/>
      <c r="G86" s="3" t="s">
        <v>9157</v>
      </c>
      <c r="H86" s="3" t="s">
        <v>8971</v>
      </c>
      <c r="I86" s="3" t="s">
        <v>9094</v>
      </c>
      <c r="J86" s="3" t="s">
        <v>6853</v>
      </c>
      <c r="K86" s="3" t="s">
        <v>8971</v>
      </c>
      <c r="L86" s="16">
        <v>0.0</v>
      </c>
      <c r="M86" s="2"/>
      <c r="N86" s="2"/>
      <c r="O86" s="2"/>
      <c r="P86" s="16">
        <v>0.0</v>
      </c>
      <c r="Q86" s="16">
        <v>0.0</v>
      </c>
      <c r="R86" s="16">
        <v>0.0</v>
      </c>
      <c r="S86" s="16">
        <v>0.0</v>
      </c>
      <c r="T86" s="2"/>
    </row>
    <row r="87">
      <c r="A87" s="3" t="s">
        <v>9158</v>
      </c>
      <c r="B87" s="3" t="s">
        <v>9159</v>
      </c>
      <c r="C87" s="17">
        <v>46001.5625</v>
      </c>
      <c r="D87" s="17">
        <v>46001.58333333333</v>
      </c>
      <c r="E87" s="25">
        <v>0.5</v>
      </c>
      <c r="G87" s="3" t="s">
        <v>9160</v>
      </c>
      <c r="H87" s="3" t="s">
        <v>8971</v>
      </c>
      <c r="I87" s="3" t="s">
        <v>9077</v>
      </c>
      <c r="J87" s="3" t="s">
        <v>6950</v>
      </c>
      <c r="K87" s="3" t="s">
        <v>8973</v>
      </c>
      <c r="L87" s="16">
        <v>10.0</v>
      </c>
      <c r="M87" s="3" t="s">
        <v>9161</v>
      </c>
      <c r="N87" s="3" t="s">
        <v>9162</v>
      </c>
      <c r="O87" s="3" t="s">
        <v>9163</v>
      </c>
      <c r="P87" s="16">
        <v>5.0</v>
      </c>
      <c r="Q87" s="16">
        <v>0.0</v>
      </c>
      <c r="R87" s="16">
        <v>0.0</v>
      </c>
      <c r="S87" s="16">
        <v>5.0</v>
      </c>
      <c r="T87" s="3" t="s">
        <v>2616</v>
      </c>
    </row>
    <row r="88">
      <c r="A88" s="3" t="s">
        <v>9164</v>
      </c>
      <c r="B88" s="3" t="s">
        <v>9165</v>
      </c>
      <c r="C88" s="17">
        <v>46001.58333333333</v>
      </c>
      <c r="D88" s="17">
        <v>46001.60416666667</v>
      </c>
      <c r="E88" s="25">
        <v>0.5</v>
      </c>
      <c r="F88" s="2"/>
      <c r="G88" s="2"/>
      <c r="H88" s="3" t="s">
        <v>8971</v>
      </c>
      <c r="I88" s="3" t="s">
        <v>9094</v>
      </c>
      <c r="J88" s="3" t="s">
        <v>6853</v>
      </c>
      <c r="K88" s="3" t="s">
        <v>8971</v>
      </c>
      <c r="L88" s="16">
        <v>4.0</v>
      </c>
      <c r="M88" s="3" t="s">
        <v>9166</v>
      </c>
      <c r="N88" s="3" t="s">
        <v>9166</v>
      </c>
      <c r="O88" s="3" t="s">
        <v>9167</v>
      </c>
      <c r="P88" s="16">
        <v>4.0</v>
      </c>
      <c r="Q88" s="16">
        <v>0.0</v>
      </c>
      <c r="R88" s="16">
        <v>0.0</v>
      </c>
      <c r="S88" s="16">
        <v>0.0</v>
      </c>
      <c r="T88" s="3" t="s">
        <v>5544</v>
      </c>
    </row>
    <row r="89">
      <c r="A89" s="3" t="s">
        <v>9168</v>
      </c>
      <c r="B89" s="3" t="s">
        <v>9169</v>
      </c>
      <c r="C89" s="17">
        <v>46001.60416666667</v>
      </c>
      <c r="D89" s="17">
        <v>46001.625</v>
      </c>
      <c r="E89" s="25">
        <v>0.5</v>
      </c>
      <c r="F89" s="2"/>
      <c r="G89" s="3" t="s">
        <v>9170</v>
      </c>
      <c r="H89" s="3" t="s">
        <v>8971</v>
      </c>
      <c r="I89" s="3" t="s">
        <v>9077</v>
      </c>
      <c r="J89" s="3" t="s">
        <v>6950</v>
      </c>
      <c r="K89" s="3" t="s">
        <v>8971</v>
      </c>
      <c r="L89" s="16">
        <v>2.0</v>
      </c>
      <c r="M89" s="3" t="s">
        <v>9171</v>
      </c>
      <c r="N89" s="3" t="s">
        <v>9171</v>
      </c>
      <c r="O89" s="3" t="s">
        <v>9024</v>
      </c>
      <c r="P89" s="16">
        <v>2.0</v>
      </c>
      <c r="Q89" s="16">
        <v>0.0</v>
      </c>
      <c r="R89" s="16">
        <v>0.0</v>
      </c>
      <c r="S89" s="16">
        <v>0.0</v>
      </c>
      <c r="T89" s="3" t="s">
        <v>961</v>
      </c>
    </row>
    <row r="90">
      <c r="A90" s="3" t="s">
        <v>9172</v>
      </c>
      <c r="B90" s="3" t="s">
        <v>9173</v>
      </c>
      <c r="C90" s="17">
        <v>46002.35416666667</v>
      </c>
      <c r="D90" s="17">
        <v>46002.375</v>
      </c>
      <c r="E90" s="25">
        <v>0.5</v>
      </c>
      <c r="F90" s="2"/>
      <c r="G90" s="2"/>
      <c r="H90" s="3" t="s">
        <v>8971</v>
      </c>
      <c r="I90" s="3" t="s">
        <v>9077</v>
      </c>
      <c r="J90" s="3" t="s">
        <v>6950</v>
      </c>
      <c r="K90" s="3" t="s">
        <v>8971</v>
      </c>
      <c r="L90" s="16">
        <v>1.0</v>
      </c>
      <c r="M90" s="3" t="s">
        <v>6853</v>
      </c>
      <c r="N90" s="3" t="s">
        <v>6853</v>
      </c>
      <c r="O90" s="3" t="s">
        <v>9077</v>
      </c>
      <c r="P90" s="16">
        <v>1.0</v>
      </c>
      <c r="Q90" s="16">
        <v>0.0</v>
      </c>
      <c r="R90" s="16">
        <v>0.0</v>
      </c>
      <c r="S90" s="16">
        <v>0.0</v>
      </c>
      <c r="T90" s="2"/>
    </row>
    <row r="91">
      <c r="A91" s="3" t="s">
        <v>9174</v>
      </c>
      <c r="B91" s="3" t="s">
        <v>9022</v>
      </c>
      <c r="C91" s="17">
        <v>46002.4375</v>
      </c>
      <c r="D91" s="17">
        <v>46002.45833333333</v>
      </c>
      <c r="E91" s="25">
        <v>0.5</v>
      </c>
      <c r="F91" s="2"/>
      <c r="G91" s="2"/>
      <c r="H91" s="3" t="s">
        <v>8971</v>
      </c>
      <c r="I91" s="3" t="s">
        <v>9077</v>
      </c>
      <c r="J91" s="3" t="s">
        <v>6950</v>
      </c>
      <c r="K91" s="3" t="s">
        <v>8973</v>
      </c>
      <c r="L91" s="16">
        <v>2.0</v>
      </c>
      <c r="M91" s="3" t="s">
        <v>9023</v>
      </c>
      <c r="N91" s="3" t="s">
        <v>9023</v>
      </c>
      <c r="O91" s="3" t="s">
        <v>9024</v>
      </c>
      <c r="P91" s="16">
        <v>2.0</v>
      </c>
      <c r="Q91" s="16">
        <v>0.0</v>
      </c>
      <c r="R91" s="16">
        <v>0.0</v>
      </c>
      <c r="S91" s="16">
        <v>0.0</v>
      </c>
      <c r="T91" s="3" t="s">
        <v>5396</v>
      </c>
    </row>
    <row r="92">
      <c r="A92" s="3" t="s">
        <v>9175</v>
      </c>
      <c r="B92" s="3" t="s">
        <v>9176</v>
      </c>
      <c r="C92" s="17">
        <v>46002.47916666667</v>
      </c>
      <c r="D92" s="17">
        <v>46002.5</v>
      </c>
      <c r="E92" s="25">
        <v>0.5</v>
      </c>
      <c r="F92" s="2"/>
      <c r="G92" s="2"/>
      <c r="H92" s="3" t="s">
        <v>8971</v>
      </c>
      <c r="I92" s="3" t="s">
        <v>9077</v>
      </c>
      <c r="J92" s="3" t="s">
        <v>6950</v>
      </c>
      <c r="K92" s="3" t="s">
        <v>8973</v>
      </c>
      <c r="L92" s="16">
        <v>4.0</v>
      </c>
      <c r="M92" s="3" t="s">
        <v>9177</v>
      </c>
      <c r="N92" s="3" t="s">
        <v>9177</v>
      </c>
      <c r="O92" s="3" t="s">
        <v>9167</v>
      </c>
      <c r="P92" s="16">
        <v>4.0</v>
      </c>
      <c r="Q92" s="16">
        <v>0.0</v>
      </c>
      <c r="R92" s="16">
        <v>0.0</v>
      </c>
      <c r="S92" s="16">
        <v>0.0</v>
      </c>
      <c r="T92" s="2"/>
    </row>
    <row r="93">
      <c r="A93" s="3" t="s">
        <v>9178</v>
      </c>
      <c r="B93" s="3" t="s">
        <v>9179</v>
      </c>
      <c r="C93" s="17">
        <v>46002.52083333333</v>
      </c>
      <c r="D93" s="17">
        <v>46002.5625</v>
      </c>
      <c r="E93" s="25">
        <v>1.0</v>
      </c>
      <c r="F93" s="2"/>
      <c r="G93" s="2"/>
      <c r="H93" s="3" t="s">
        <v>8971</v>
      </c>
      <c r="I93" s="3" t="s">
        <v>9077</v>
      </c>
      <c r="J93" s="3" t="s">
        <v>9078</v>
      </c>
      <c r="K93" s="3" t="s">
        <v>8971</v>
      </c>
      <c r="L93" s="16">
        <v>1.0</v>
      </c>
      <c r="M93" s="3" t="s">
        <v>6853</v>
      </c>
      <c r="N93" s="3" t="s">
        <v>6853</v>
      </c>
      <c r="O93" s="3" t="s">
        <v>9077</v>
      </c>
      <c r="P93" s="16">
        <v>1.0</v>
      </c>
      <c r="Q93" s="16">
        <v>0.0</v>
      </c>
      <c r="R93" s="16">
        <v>0.0</v>
      </c>
      <c r="S93" s="16">
        <v>0.0</v>
      </c>
    </row>
    <row r="94">
      <c r="A94" s="3" t="s">
        <v>9180</v>
      </c>
      <c r="B94" s="3" t="s">
        <v>9181</v>
      </c>
      <c r="C94" s="17">
        <v>46002.5625</v>
      </c>
      <c r="D94" s="17">
        <v>46002.58333333333</v>
      </c>
      <c r="E94" s="25">
        <v>0.5</v>
      </c>
      <c r="F94" s="2"/>
      <c r="G94" s="2"/>
      <c r="H94" s="3" t="s">
        <v>8971</v>
      </c>
      <c r="I94" s="3" t="s">
        <v>9077</v>
      </c>
      <c r="J94" s="3" t="s">
        <v>6950</v>
      </c>
      <c r="K94" s="3" t="s">
        <v>8971</v>
      </c>
      <c r="L94" s="16">
        <v>3.0</v>
      </c>
      <c r="M94" s="3" t="s">
        <v>9182</v>
      </c>
      <c r="N94" s="3" t="s">
        <v>9182</v>
      </c>
      <c r="O94" s="3" t="s">
        <v>9017</v>
      </c>
      <c r="P94" s="16">
        <v>3.0</v>
      </c>
      <c r="Q94" s="16">
        <v>0.0</v>
      </c>
      <c r="R94" s="16">
        <v>0.0</v>
      </c>
      <c r="S94" s="16">
        <v>0.0</v>
      </c>
      <c r="T94" s="3" t="s">
        <v>1725</v>
      </c>
    </row>
    <row r="95">
      <c r="A95" s="3" t="s">
        <v>9183</v>
      </c>
      <c r="B95" s="3" t="s">
        <v>9184</v>
      </c>
      <c r="C95" s="17">
        <v>46002.75</v>
      </c>
      <c r="D95" s="17">
        <v>46002.875</v>
      </c>
      <c r="E95" s="25">
        <v>3.0</v>
      </c>
      <c r="F95" s="3" t="s">
        <v>9185</v>
      </c>
      <c r="G95" s="3" t="s">
        <v>9186</v>
      </c>
      <c r="H95" s="3" t="s">
        <v>8971</v>
      </c>
      <c r="I95" s="3" t="s">
        <v>9006</v>
      </c>
      <c r="J95" s="3" t="s">
        <v>9056</v>
      </c>
      <c r="K95" s="3" t="s">
        <v>8971</v>
      </c>
      <c r="L95" s="16">
        <v>5.0</v>
      </c>
      <c r="M95" s="3" t="s">
        <v>9187</v>
      </c>
      <c r="N95" s="3" t="s">
        <v>9188</v>
      </c>
      <c r="O95" s="3" t="s">
        <v>9189</v>
      </c>
      <c r="P95" s="16">
        <v>3.0</v>
      </c>
      <c r="Q95" s="16">
        <v>0.0</v>
      </c>
      <c r="R95" s="16">
        <v>0.0</v>
      </c>
      <c r="S95" s="16">
        <v>2.0</v>
      </c>
      <c r="T95" s="2"/>
    </row>
    <row r="96">
      <c r="A96" s="3" t="s">
        <v>9190</v>
      </c>
      <c r="B96" s="3" t="s">
        <v>9184</v>
      </c>
      <c r="C96" s="17">
        <v>46002.75</v>
      </c>
      <c r="D96" s="17">
        <v>46002.875</v>
      </c>
      <c r="E96" s="25">
        <v>3.0</v>
      </c>
      <c r="F96" s="3" t="s">
        <v>9185</v>
      </c>
      <c r="G96" s="3" t="s">
        <v>9186</v>
      </c>
      <c r="H96" s="3" t="s">
        <v>8971</v>
      </c>
      <c r="I96" s="3" t="s">
        <v>9006</v>
      </c>
      <c r="J96" s="3" t="s">
        <v>9191</v>
      </c>
      <c r="K96" s="3" t="s">
        <v>8971</v>
      </c>
      <c r="L96" s="16">
        <v>5.0</v>
      </c>
      <c r="M96" s="3" t="s">
        <v>9192</v>
      </c>
      <c r="N96" s="3" t="s">
        <v>9193</v>
      </c>
      <c r="O96" s="3" t="s">
        <v>9194</v>
      </c>
      <c r="P96" s="16">
        <v>0.0</v>
      </c>
      <c r="Q96" s="16">
        <v>1.0</v>
      </c>
      <c r="R96" s="16">
        <v>0.0</v>
      </c>
      <c r="S96" s="16">
        <v>4.0</v>
      </c>
      <c r="T96" s="2"/>
    </row>
    <row r="97">
      <c r="A97" s="3" t="s">
        <v>9195</v>
      </c>
      <c r="B97" s="3" t="s">
        <v>9196</v>
      </c>
      <c r="C97" s="17">
        <v>46003.375</v>
      </c>
      <c r="D97" s="17">
        <v>46003.39583333333</v>
      </c>
      <c r="E97" s="25">
        <v>0.5</v>
      </c>
      <c r="F97" s="2"/>
      <c r="G97" s="3" t="s">
        <v>9197</v>
      </c>
      <c r="H97" s="3" t="s">
        <v>8971</v>
      </c>
      <c r="I97" s="3" t="s">
        <v>9139</v>
      </c>
      <c r="J97" s="3" t="s">
        <v>6950</v>
      </c>
      <c r="K97" s="3" t="s">
        <v>8973</v>
      </c>
      <c r="L97" s="16">
        <v>4.0</v>
      </c>
      <c r="M97" s="3" t="s">
        <v>9198</v>
      </c>
      <c r="N97" s="3" t="s">
        <v>9198</v>
      </c>
      <c r="O97" s="3" t="s">
        <v>9199</v>
      </c>
      <c r="P97" s="16">
        <v>1.0</v>
      </c>
      <c r="Q97" s="16">
        <v>2.0</v>
      </c>
      <c r="R97" s="16">
        <v>0.0</v>
      </c>
      <c r="S97" s="16">
        <v>1.0</v>
      </c>
      <c r="T97" s="3" t="s">
        <v>1969</v>
      </c>
    </row>
    <row r="98">
      <c r="A98" s="3" t="s">
        <v>9200</v>
      </c>
      <c r="B98" s="3" t="s">
        <v>9201</v>
      </c>
      <c r="C98" s="17">
        <v>46003.41666666667</v>
      </c>
      <c r="D98" s="17">
        <v>46003.4375</v>
      </c>
      <c r="E98" s="25">
        <v>0.5</v>
      </c>
      <c r="G98" s="2"/>
      <c r="H98" s="3" t="s">
        <v>8971</v>
      </c>
      <c r="I98" s="3" t="s">
        <v>9139</v>
      </c>
      <c r="J98" s="3" t="s">
        <v>6950</v>
      </c>
      <c r="K98" s="3" t="s">
        <v>8973</v>
      </c>
      <c r="L98" s="16">
        <v>2.0</v>
      </c>
      <c r="M98" s="3" t="s">
        <v>9202</v>
      </c>
      <c r="N98" s="3" t="s">
        <v>9202</v>
      </c>
      <c r="O98" s="3" t="s">
        <v>9203</v>
      </c>
      <c r="P98" s="16">
        <v>1.0</v>
      </c>
      <c r="Q98" s="16">
        <v>1.0</v>
      </c>
      <c r="R98" s="16">
        <v>0.0</v>
      </c>
      <c r="S98" s="16">
        <v>0.0</v>
      </c>
      <c r="T98" s="3" t="s">
        <v>2868</v>
      </c>
    </row>
    <row r="99">
      <c r="A99" s="3" t="s">
        <v>8990</v>
      </c>
      <c r="B99" s="3" t="s">
        <v>8991</v>
      </c>
      <c r="C99" s="17">
        <v>46003.5</v>
      </c>
      <c r="D99" s="17">
        <v>46003.52083333333</v>
      </c>
      <c r="E99" s="25">
        <v>0.5</v>
      </c>
      <c r="F99" s="2"/>
      <c r="G99" s="3" t="s">
        <v>8992</v>
      </c>
      <c r="H99" s="3" t="s">
        <v>8971</v>
      </c>
      <c r="I99" s="3" t="s">
        <v>9139</v>
      </c>
      <c r="J99" s="3" t="s">
        <v>6950</v>
      </c>
      <c r="K99" s="3" t="s">
        <v>8973</v>
      </c>
      <c r="L99" s="16">
        <v>4.0</v>
      </c>
      <c r="M99" s="3" t="s">
        <v>8993</v>
      </c>
      <c r="N99" s="3" t="s">
        <v>8993</v>
      </c>
      <c r="O99" s="3" t="s">
        <v>9204</v>
      </c>
      <c r="P99" s="16">
        <v>3.0</v>
      </c>
      <c r="Q99" s="16">
        <v>0.0</v>
      </c>
      <c r="R99" s="16">
        <v>0.0</v>
      </c>
      <c r="S99" s="16">
        <v>1.0</v>
      </c>
      <c r="T99" s="3" t="s">
        <v>861</v>
      </c>
    </row>
    <row r="100">
      <c r="A100" s="3" t="s">
        <v>9205</v>
      </c>
      <c r="B100" s="3" t="s">
        <v>8085</v>
      </c>
      <c r="C100" s="17">
        <v>46003.54166666667</v>
      </c>
      <c r="D100" s="17">
        <v>46003.5625</v>
      </c>
      <c r="E100" s="25">
        <v>0.5</v>
      </c>
      <c r="F100" s="2"/>
      <c r="G100" s="2"/>
      <c r="H100" s="3" t="s">
        <v>8971</v>
      </c>
      <c r="I100" s="3" t="s">
        <v>9139</v>
      </c>
      <c r="J100" s="3" t="s">
        <v>9206</v>
      </c>
      <c r="K100" s="3" t="s">
        <v>8973</v>
      </c>
      <c r="L100" s="16">
        <v>5.0</v>
      </c>
      <c r="M100" s="3" t="s">
        <v>9207</v>
      </c>
      <c r="N100" s="3" t="s">
        <v>9208</v>
      </c>
      <c r="O100" s="3" t="s">
        <v>9209</v>
      </c>
      <c r="P100" s="16">
        <v>1.0</v>
      </c>
      <c r="Q100" s="16">
        <v>1.0</v>
      </c>
      <c r="R100" s="16">
        <v>0.0</v>
      </c>
      <c r="S100" s="16">
        <v>3.0</v>
      </c>
      <c r="T100" s="3" t="s">
        <v>453</v>
      </c>
    </row>
    <row r="101">
      <c r="A101" s="3" t="s">
        <v>9210</v>
      </c>
      <c r="B101" s="3" t="s">
        <v>9211</v>
      </c>
      <c r="C101" s="17">
        <v>46006.54166666667</v>
      </c>
      <c r="D101" s="17">
        <v>46006.5625</v>
      </c>
      <c r="E101" s="25">
        <v>0.5</v>
      </c>
      <c r="F101" s="2"/>
      <c r="G101" s="3" t="s">
        <v>9212</v>
      </c>
      <c r="H101" s="3" t="s">
        <v>8971</v>
      </c>
      <c r="I101" s="3" t="s">
        <v>9077</v>
      </c>
      <c r="J101" s="3" t="s">
        <v>6950</v>
      </c>
      <c r="K101" s="3" t="s">
        <v>8971</v>
      </c>
      <c r="L101" s="16">
        <v>4.0</v>
      </c>
      <c r="M101" s="3" t="s">
        <v>9213</v>
      </c>
      <c r="N101" s="3" t="s">
        <v>9213</v>
      </c>
      <c r="O101" s="3" t="s">
        <v>9214</v>
      </c>
      <c r="P101" s="16">
        <v>3.0</v>
      </c>
      <c r="Q101" s="16">
        <v>0.0</v>
      </c>
      <c r="R101" s="16">
        <v>0.0</v>
      </c>
      <c r="S101" s="16">
        <v>1.0</v>
      </c>
      <c r="T101" s="3" t="s">
        <v>163</v>
      </c>
    </row>
    <row r="102">
      <c r="A102" s="3" t="s">
        <v>9215</v>
      </c>
      <c r="B102" s="3" t="s">
        <v>9216</v>
      </c>
      <c r="C102" s="17">
        <v>46006.5625</v>
      </c>
      <c r="D102" s="17">
        <v>46006.58333333333</v>
      </c>
      <c r="E102" s="25">
        <v>0.5</v>
      </c>
      <c r="F102" s="2"/>
      <c r="G102" s="2"/>
      <c r="H102" s="3" t="s">
        <v>8971</v>
      </c>
      <c r="I102" s="3" t="s">
        <v>9077</v>
      </c>
      <c r="J102" s="3" t="s">
        <v>6950</v>
      </c>
      <c r="K102" s="3" t="s">
        <v>8971</v>
      </c>
      <c r="L102" s="16">
        <v>1.0</v>
      </c>
      <c r="M102" s="3" t="s">
        <v>6853</v>
      </c>
      <c r="N102" s="3" t="s">
        <v>6853</v>
      </c>
      <c r="O102" s="3" t="s">
        <v>9077</v>
      </c>
      <c r="P102" s="16">
        <v>1.0</v>
      </c>
      <c r="Q102" s="16">
        <v>0.0</v>
      </c>
      <c r="R102" s="16">
        <v>0.0</v>
      </c>
      <c r="S102" s="16">
        <v>0.0</v>
      </c>
      <c r="T102" s="2"/>
    </row>
    <row r="103">
      <c r="A103" s="3" t="s">
        <v>9217</v>
      </c>
      <c r="B103" s="3" t="s">
        <v>9218</v>
      </c>
      <c r="C103" s="17">
        <v>46006.58333333333</v>
      </c>
      <c r="D103" s="17">
        <v>46006.60416666667</v>
      </c>
      <c r="E103" s="25">
        <v>0.5</v>
      </c>
      <c r="F103" s="3" t="s">
        <v>9107</v>
      </c>
      <c r="G103" s="3" t="s">
        <v>9219</v>
      </c>
      <c r="H103" s="3" t="s">
        <v>8971</v>
      </c>
      <c r="I103" s="3" t="s">
        <v>9094</v>
      </c>
      <c r="J103" s="3" t="s">
        <v>6853</v>
      </c>
      <c r="K103" s="3" t="s">
        <v>8971</v>
      </c>
      <c r="L103" s="16">
        <v>3.0</v>
      </c>
      <c r="M103" s="3" t="s">
        <v>9220</v>
      </c>
      <c r="N103" s="3" t="s">
        <v>9221</v>
      </c>
      <c r="O103" s="3" t="s">
        <v>9222</v>
      </c>
      <c r="P103" s="16">
        <v>2.0</v>
      </c>
      <c r="Q103" s="16">
        <v>0.0</v>
      </c>
      <c r="R103" s="16">
        <v>0.0</v>
      </c>
      <c r="S103" s="16">
        <v>1.0</v>
      </c>
      <c r="T103" s="3" t="s">
        <v>5815</v>
      </c>
    </row>
    <row r="104">
      <c r="A104" s="3" t="s">
        <v>9223</v>
      </c>
      <c r="B104" s="3" t="s">
        <v>8418</v>
      </c>
      <c r="C104" s="17">
        <v>46006.60416666667</v>
      </c>
      <c r="D104" s="17">
        <v>46006.625</v>
      </c>
      <c r="E104" s="25">
        <v>0.5</v>
      </c>
      <c r="F104" s="2"/>
      <c r="G104" s="3" t="s">
        <v>9224</v>
      </c>
      <c r="H104" s="3" t="s">
        <v>8971</v>
      </c>
      <c r="I104" s="3" t="s">
        <v>9094</v>
      </c>
      <c r="J104" s="3" t="s">
        <v>6853</v>
      </c>
      <c r="K104" s="3" t="s">
        <v>8973</v>
      </c>
      <c r="L104" s="16">
        <v>2.0</v>
      </c>
      <c r="M104" s="3" t="s">
        <v>9225</v>
      </c>
      <c r="N104" s="3" t="s">
        <v>9225</v>
      </c>
      <c r="O104" s="3" t="s">
        <v>9043</v>
      </c>
      <c r="P104" s="16">
        <v>1.0</v>
      </c>
      <c r="Q104" s="16">
        <v>0.0</v>
      </c>
      <c r="R104" s="16">
        <v>0.0</v>
      </c>
      <c r="S104" s="16">
        <v>1.0</v>
      </c>
      <c r="T104" s="3" t="s">
        <v>2868</v>
      </c>
    </row>
    <row r="105">
      <c r="A105" s="3" t="s">
        <v>9226</v>
      </c>
      <c r="B105" s="3" t="s">
        <v>9227</v>
      </c>
      <c r="C105" s="17">
        <v>46007.33333333333</v>
      </c>
      <c r="D105" s="17">
        <v>46007.35416666667</v>
      </c>
      <c r="E105" s="25">
        <v>0.5</v>
      </c>
      <c r="F105" s="2"/>
      <c r="G105" s="2"/>
      <c r="H105" s="3" t="s">
        <v>8971</v>
      </c>
      <c r="I105" s="3" t="s">
        <v>9094</v>
      </c>
      <c r="J105" s="3" t="s">
        <v>6853</v>
      </c>
      <c r="K105" s="3" t="s">
        <v>8971</v>
      </c>
      <c r="L105" s="16">
        <v>4.0</v>
      </c>
      <c r="M105" s="3" t="s">
        <v>9228</v>
      </c>
      <c r="N105" s="3" t="s">
        <v>9228</v>
      </c>
      <c r="O105" s="3" t="s">
        <v>9229</v>
      </c>
      <c r="P105" s="16">
        <v>3.0</v>
      </c>
      <c r="Q105" s="16">
        <v>0.0</v>
      </c>
      <c r="R105" s="16">
        <v>1.0</v>
      </c>
      <c r="S105" s="16">
        <v>0.0</v>
      </c>
      <c r="T105" s="3" t="s">
        <v>5637</v>
      </c>
    </row>
    <row r="106">
      <c r="A106" s="3" t="s">
        <v>9230</v>
      </c>
      <c r="B106" s="3" t="s">
        <v>9231</v>
      </c>
      <c r="C106" s="17">
        <v>46007.39583333333</v>
      </c>
      <c r="D106" s="17">
        <v>46007.41666666667</v>
      </c>
      <c r="E106" s="25">
        <v>0.5</v>
      </c>
      <c r="F106" s="2"/>
      <c r="G106" s="2"/>
      <c r="H106" s="3" t="s">
        <v>8971</v>
      </c>
      <c r="I106" s="3" t="s">
        <v>9139</v>
      </c>
      <c r="J106" s="3" t="s">
        <v>6950</v>
      </c>
      <c r="K106" s="3" t="s">
        <v>8971</v>
      </c>
      <c r="L106" s="16">
        <v>3.0</v>
      </c>
      <c r="M106" s="3" t="s">
        <v>9232</v>
      </c>
      <c r="N106" s="3" t="s">
        <v>9232</v>
      </c>
      <c r="O106" s="3" t="s">
        <v>9233</v>
      </c>
      <c r="P106" s="16">
        <v>1.0</v>
      </c>
      <c r="Q106" s="16">
        <v>2.0</v>
      </c>
      <c r="R106" s="16">
        <v>0.0</v>
      </c>
      <c r="S106" s="16">
        <v>0.0</v>
      </c>
      <c r="T106" s="3" t="s">
        <v>3644</v>
      </c>
    </row>
    <row r="107">
      <c r="A107" s="3" t="s">
        <v>9234</v>
      </c>
      <c r="B107" s="3" t="s">
        <v>8969</v>
      </c>
      <c r="C107" s="17">
        <v>46007.45833333333</v>
      </c>
      <c r="D107" s="17">
        <v>46007.47916666667</v>
      </c>
      <c r="E107" s="25">
        <v>0.5</v>
      </c>
      <c r="G107" s="3" t="s">
        <v>8970</v>
      </c>
      <c r="H107" s="3" t="s">
        <v>8971</v>
      </c>
      <c r="I107" s="3" t="s">
        <v>9077</v>
      </c>
      <c r="J107" s="3" t="s">
        <v>6950</v>
      </c>
      <c r="K107" s="3" t="s">
        <v>8973</v>
      </c>
      <c r="L107" s="16">
        <v>5.0</v>
      </c>
      <c r="M107" s="3" t="s">
        <v>8974</v>
      </c>
      <c r="N107" s="3" t="s">
        <v>8974</v>
      </c>
      <c r="O107" s="3" t="s">
        <v>9235</v>
      </c>
      <c r="P107" s="16">
        <v>4.0</v>
      </c>
      <c r="Q107" s="16">
        <v>0.0</v>
      </c>
      <c r="R107" s="16">
        <v>1.0</v>
      </c>
      <c r="S107" s="16">
        <v>0.0</v>
      </c>
      <c r="T107" s="3" t="s">
        <v>5498</v>
      </c>
    </row>
    <row r="108">
      <c r="A108" s="3" t="s">
        <v>9236</v>
      </c>
      <c r="B108" s="3" t="s">
        <v>8464</v>
      </c>
      <c r="C108" s="17">
        <v>46007.47916666667</v>
      </c>
      <c r="D108" s="17">
        <v>46007.5</v>
      </c>
      <c r="E108" s="25">
        <v>0.5</v>
      </c>
      <c r="F108" s="3" t="s">
        <v>9107</v>
      </c>
      <c r="G108" s="3" t="s">
        <v>9237</v>
      </c>
      <c r="H108" s="3" t="s">
        <v>8971</v>
      </c>
      <c r="I108" s="3" t="s">
        <v>9094</v>
      </c>
      <c r="J108" s="3" t="s">
        <v>6853</v>
      </c>
      <c r="K108" s="3" t="s">
        <v>8971</v>
      </c>
      <c r="L108" s="16">
        <v>8.0</v>
      </c>
      <c r="M108" s="3" t="s">
        <v>9238</v>
      </c>
      <c r="N108" s="3" t="s">
        <v>9239</v>
      </c>
      <c r="O108" s="3" t="s">
        <v>9240</v>
      </c>
      <c r="P108" s="16">
        <v>1.0</v>
      </c>
      <c r="Q108" s="16">
        <v>0.0</v>
      </c>
      <c r="R108" s="16">
        <v>0.0</v>
      </c>
      <c r="S108" s="16">
        <v>7.0</v>
      </c>
      <c r="T108" s="3" t="s">
        <v>2868</v>
      </c>
    </row>
    <row r="109">
      <c r="A109" s="3" t="s">
        <v>9241</v>
      </c>
      <c r="B109" s="3" t="s">
        <v>9242</v>
      </c>
      <c r="C109" s="17">
        <v>46007.5625</v>
      </c>
      <c r="D109" s="17">
        <v>46007.58333333333</v>
      </c>
      <c r="E109" s="25">
        <v>0.5</v>
      </c>
      <c r="F109" s="2"/>
      <c r="G109" s="2"/>
      <c r="H109" s="3" t="s">
        <v>8971</v>
      </c>
      <c r="I109" s="3" t="s">
        <v>9077</v>
      </c>
      <c r="J109" s="3" t="s">
        <v>7545</v>
      </c>
      <c r="K109" s="3" t="s">
        <v>8971</v>
      </c>
      <c r="L109" s="16">
        <v>3.0</v>
      </c>
      <c r="M109" s="3" t="s">
        <v>9243</v>
      </c>
      <c r="N109" s="3" t="s">
        <v>9244</v>
      </c>
      <c r="O109" s="3" t="s">
        <v>9017</v>
      </c>
      <c r="P109" s="16">
        <v>3.0</v>
      </c>
      <c r="Q109" s="16">
        <v>0.0</v>
      </c>
      <c r="R109" s="16">
        <v>0.0</v>
      </c>
      <c r="S109" s="16">
        <v>0.0</v>
      </c>
      <c r="T109" s="3" t="s">
        <v>5667</v>
      </c>
    </row>
    <row r="110">
      <c r="A110" s="3" t="s">
        <v>9245</v>
      </c>
      <c r="B110" s="3" t="s">
        <v>9246</v>
      </c>
      <c r="C110" s="17">
        <v>46008.419444444444</v>
      </c>
      <c r="D110" s="17">
        <v>46008.478472222225</v>
      </c>
      <c r="E110" s="25">
        <v>1.4166666666666667</v>
      </c>
      <c r="G110" s="3" t="s">
        <v>9247</v>
      </c>
      <c r="H110" s="3" t="s">
        <v>8971</v>
      </c>
      <c r="I110" s="3" t="s">
        <v>9077</v>
      </c>
      <c r="J110" s="3" t="s">
        <v>9248</v>
      </c>
      <c r="K110" s="3" t="s">
        <v>8973</v>
      </c>
      <c r="L110" s="16">
        <v>31.0</v>
      </c>
      <c r="M110" s="3" t="s">
        <v>9249</v>
      </c>
      <c r="N110" s="3" t="s">
        <v>9250</v>
      </c>
      <c r="O110" s="3" t="s">
        <v>9251</v>
      </c>
      <c r="P110" s="16">
        <v>26.0</v>
      </c>
      <c r="Q110" s="16">
        <v>2.0</v>
      </c>
      <c r="R110" s="16">
        <v>0.0</v>
      </c>
      <c r="S110" s="16">
        <v>3.0</v>
      </c>
      <c r="T110" s="2"/>
    </row>
    <row r="111">
      <c r="A111" s="3" t="s">
        <v>9158</v>
      </c>
      <c r="B111" s="3" t="s">
        <v>9159</v>
      </c>
      <c r="C111" s="17">
        <v>46008.5625</v>
      </c>
      <c r="D111" s="17">
        <v>46008.58333333333</v>
      </c>
      <c r="E111" s="25">
        <v>0.5</v>
      </c>
      <c r="G111" s="3" t="s">
        <v>9160</v>
      </c>
      <c r="H111" s="3" t="s">
        <v>8971</v>
      </c>
      <c r="I111" s="3" t="s">
        <v>9077</v>
      </c>
      <c r="J111" s="3" t="s">
        <v>6950</v>
      </c>
      <c r="K111" s="3" t="s">
        <v>8973</v>
      </c>
      <c r="L111" s="16">
        <v>10.0</v>
      </c>
      <c r="M111" s="3" t="s">
        <v>9161</v>
      </c>
      <c r="N111" s="3" t="s">
        <v>9162</v>
      </c>
      <c r="O111" s="3" t="s">
        <v>9163</v>
      </c>
      <c r="P111" s="16">
        <v>5.0</v>
      </c>
      <c r="Q111" s="16">
        <v>0.0</v>
      </c>
      <c r="R111" s="16">
        <v>0.0</v>
      </c>
      <c r="S111" s="16">
        <v>5.0</v>
      </c>
      <c r="T111" s="3" t="s">
        <v>2616</v>
      </c>
    </row>
    <row r="112">
      <c r="A112" s="3" t="s">
        <v>9252</v>
      </c>
      <c r="B112" s="3" t="s">
        <v>9253</v>
      </c>
      <c r="C112" s="17">
        <v>46008.58333333333</v>
      </c>
      <c r="D112" s="17">
        <v>46008.60416666667</v>
      </c>
      <c r="E112" s="25">
        <v>0.5</v>
      </c>
      <c r="G112" s="2"/>
      <c r="H112" s="3" t="s">
        <v>8971</v>
      </c>
      <c r="I112" s="3" t="s">
        <v>9077</v>
      </c>
      <c r="J112" s="3" t="s">
        <v>6950</v>
      </c>
      <c r="K112" s="3" t="s">
        <v>8971</v>
      </c>
      <c r="L112" s="16">
        <v>1.0</v>
      </c>
      <c r="M112" s="3" t="s">
        <v>6853</v>
      </c>
      <c r="N112" s="3" t="s">
        <v>6853</v>
      </c>
      <c r="O112" s="3" t="s">
        <v>9077</v>
      </c>
      <c r="P112" s="16">
        <v>1.0</v>
      </c>
      <c r="Q112" s="16">
        <v>0.0</v>
      </c>
      <c r="R112" s="16">
        <v>0.0</v>
      </c>
      <c r="S112" s="16">
        <v>0.0</v>
      </c>
      <c r="T112" s="2"/>
    </row>
    <row r="113">
      <c r="A113" s="3" t="s">
        <v>9254</v>
      </c>
      <c r="B113" s="3" t="s">
        <v>9255</v>
      </c>
      <c r="C113" s="17">
        <v>46008.60416666667</v>
      </c>
      <c r="D113" s="17">
        <v>46008.625</v>
      </c>
      <c r="E113" s="25">
        <v>0.5</v>
      </c>
      <c r="G113" s="3" t="s">
        <v>9256</v>
      </c>
      <c r="H113" s="3" t="s">
        <v>8971</v>
      </c>
      <c r="I113" s="3" t="s">
        <v>9077</v>
      </c>
      <c r="J113" s="3" t="s">
        <v>6950</v>
      </c>
      <c r="K113" s="3" t="s">
        <v>8971</v>
      </c>
      <c r="L113" s="16">
        <v>4.0</v>
      </c>
      <c r="M113" s="3" t="s">
        <v>9257</v>
      </c>
      <c r="N113" s="3" t="s">
        <v>9257</v>
      </c>
      <c r="O113" s="3" t="s">
        <v>9167</v>
      </c>
      <c r="P113" s="16">
        <v>4.0</v>
      </c>
      <c r="Q113" s="16">
        <v>0.0</v>
      </c>
      <c r="R113" s="16">
        <v>0.0</v>
      </c>
      <c r="S113" s="16">
        <v>0.0</v>
      </c>
      <c r="T113" s="3" t="s">
        <v>5827</v>
      </c>
    </row>
    <row r="114">
      <c r="A114" s="3" t="s">
        <v>9258</v>
      </c>
      <c r="B114" s="3" t="s">
        <v>9026</v>
      </c>
      <c r="C114" s="17">
        <v>46009.33333333333</v>
      </c>
      <c r="D114" s="17">
        <v>46009.35416666667</v>
      </c>
      <c r="E114" s="25">
        <v>0.5</v>
      </c>
      <c r="F114" s="2"/>
      <c r="G114" s="2"/>
      <c r="H114" s="3" t="s">
        <v>8971</v>
      </c>
      <c r="I114" s="3" t="s">
        <v>9077</v>
      </c>
      <c r="J114" s="3" t="s">
        <v>6950</v>
      </c>
      <c r="K114" s="3" t="s">
        <v>8973</v>
      </c>
      <c r="L114" s="16">
        <v>4.0</v>
      </c>
      <c r="M114" s="3" t="s">
        <v>9027</v>
      </c>
      <c r="N114" s="3" t="s">
        <v>9027</v>
      </c>
      <c r="O114" s="3" t="s">
        <v>9028</v>
      </c>
      <c r="P114" s="16">
        <v>1.0</v>
      </c>
      <c r="Q114" s="16">
        <v>0.0</v>
      </c>
      <c r="R114" s="16">
        <v>0.0</v>
      </c>
      <c r="S114" s="16">
        <v>3.0</v>
      </c>
      <c r="T114" s="3" t="s">
        <v>5681</v>
      </c>
    </row>
    <row r="115">
      <c r="A115" s="3" t="s">
        <v>9259</v>
      </c>
      <c r="B115" s="3" t="s">
        <v>9260</v>
      </c>
      <c r="C115" s="17">
        <v>46009.375</v>
      </c>
      <c r="D115" s="17">
        <v>46009.39583333333</v>
      </c>
      <c r="E115" s="25">
        <v>0.5</v>
      </c>
      <c r="G115" s="2"/>
      <c r="H115" s="3" t="s">
        <v>8971</v>
      </c>
      <c r="I115" s="3" t="s">
        <v>9077</v>
      </c>
      <c r="J115" s="3" t="s">
        <v>9261</v>
      </c>
      <c r="K115" s="3" t="s">
        <v>8973</v>
      </c>
      <c r="L115" s="16">
        <v>2.0</v>
      </c>
      <c r="M115" s="3" t="s">
        <v>8503</v>
      </c>
      <c r="N115" s="3" t="s">
        <v>8503</v>
      </c>
      <c r="O115" s="3" t="s">
        <v>9024</v>
      </c>
      <c r="P115" s="16">
        <v>2.0</v>
      </c>
      <c r="Q115" s="16">
        <v>0.0</v>
      </c>
      <c r="R115" s="16">
        <v>0.0</v>
      </c>
      <c r="S115" s="16">
        <v>0.0</v>
      </c>
      <c r="T115" s="2"/>
    </row>
    <row r="116">
      <c r="A116" s="3" t="s">
        <v>9262</v>
      </c>
      <c r="B116" s="3" t="s">
        <v>9263</v>
      </c>
      <c r="C116" s="17">
        <v>46009.4375</v>
      </c>
      <c r="D116" s="17">
        <v>46009.45833333333</v>
      </c>
      <c r="E116" s="25">
        <v>0.5</v>
      </c>
      <c r="F116" s="2"/>
      <c r="G116" s="2"/>
      <c r="H116" s="3" t="s">
        <v>8971</v>
      </c>
      <c r="I116" s="3" t="s">
        <v>9077</v>
      </c>
      <c r="J116" s="3" t="s">
        <v>6950</v>
      </c>
      <c r="K116" s="3" t="s">
        <v>8973</v>
      </c>
      <c r="L116" s="16">
        <v>5.0</v>
      </c>
      <c r="M116" s="3" t="s">
        <v>9264</v>
      </c>
      <c r="N116" s="3" t="s">
        <v>9265</v>
      </c>
      <c r="O116" s="3" t="s">
        <v>9266</v>
      </c>
      <c r="P116" s="16">
        <v>4.0</v>
      </c>
      <c r="Q116" s="16">
        <v>0.0</v>
      </c>
      <c r="R116" s="16">
        <v>1.0</v>
      </c>
      <c r="S116" s="16">
        <v>0.0</v>
      </c>
      <c r="T116" s="3" t="s">
        <v>2672</v>
      </c>
    </row>
    <row r="117">
      <c r="A117" s="3" t="s">
        <v>9267</v>
      </c>
      <c r="B117" s="3" t="s">
        <v>9268</v>
      </c>
      <c r="C117" s="17">
        <v>46009.45833333333</v>
      </c>
      <c r="D117" s="17">
        <v>46009.47916666667</v>
      </c>
      <c r="E117" s="25">
        <v>0.5</v>
      </c>
      <c r="H117" s="3" t="s">
        <v>8971</v>
      </c>
      <c r="I117" s="3" t="s">
        <v>9094</v>
      </c>
      <c r="J117" s="3" t="s">
        <v>6853</v>
      </c>
      <c r="K117" s="3" t="s">
        <v>8971</v>
      </c>
      <c r="L117" s="16">
        <v>0.0</v>
      </c>
      <c r="M117" s="2"/>
      <c r="N117" s="2"/>
      <c r="O117" s="2"/>
      <c r="P117" s="16">
        <v>0.0</v>
      </c>
      <c r="Q117" s="16">
        <v>0.0</v>
      </c>
      <c r="R117" s="16">
        <v>0.0</v>
      </c>
      <c r="S117" s="16">
        <v>0.0</v>
      </c>
      <c r="T117" s="2"/>
    </row>
    <row r="118">
      <c r="A118" s="3" t="s">
        <v>9269</v>
      </c>
      <c r="B118" s="3" t="s">
        <v>9270</v>
      </c>
      <c r="C118" s="17">
        <v>46009.47916666667</v>
      </c>
      <c r="D118" s="17">
        <v>46009.5</v>
      </c>
      <c r="E118" s="25">
        <v>0.5</v>
      </c>
      <c r="F118" s="2"/>
      <c r="G118" s="2"/>
      <c r="H118" s="3" t="s">
        <v>8971</v>
      </c>
      <c r="I118" s="3" t="s">
        <v>9077</v>
      </c>
      <c r="J118" s="3" t="s">
        <v>6950</v>
      </c>
      <c r="K118" s="3" t="s">
        <v>8971</v>
      </c>
      <c r="L118" s="16">
        <v>2.0</v>
      </c>
      <c r="M118" s="3" t="s">
        <v>9123</v>
      </c>
      <c r="N118" s="3" t="s">
        <v>9123</v>
      </c>
      <c r="O118" s="3" t="s">
        <v>9024</v>
      </c>
      <c r="P118" s="16">
        <v>2.0</v>
      </c>
      <c r="Q118" s="16">
        <v>0.0</v>
      </c>
      <c r="R118" s="16">
        <v>0.0</v>
      </c>
      <c r="S118" s="16">
        <v>0.0</v>
      </c>
    </row>
    <row r="119">
      <c r="A119" s="3" t="s">
        <v>9271</v>
      </c>
      <c r="B119" s="3" t="s">
        <v>9272</v>
      </c>
      <c r="C119" s="17">
        <v>46009.5</v>
      </c>
      <c r="D119" s="17">
        <v>46009.52083333333</v>
      </c>
      <c r="E119" s="25">
        <v>0.5</v>
      </c>
      <c r="F119" s="2"/>
      <c r="G119" s="2"/>
      <c r="H119" s="3" t="s">
        <v>8971</v>
      </c>
      <c r="I119" s="3" t="s">
        <v>9077</v>
      </c>
      <c r="J119" s="3" t="s">
        <v>6950</v>
      </c>
      <c r="K119" s="3" t="s">
        <v>8973</v>
      </c>
      <c r="L119" s="16">
        <v>3.0</v>
      </c>
      <c r="M119" s="3" t="s">
        <v>9273</v>
      </c>
      <c r="N119" s="3" t="s">
        <v>9274</v>
      </c>
      <c r="O119" s="3" t="s">
        <v>9275</v>
      </c>
      <c r="P119" s="16">
        <v>2.0</v>
      </c>
      <c r="Q119" s="16">
        <v>0.0</v>
      </c>
      <c r="R119" s="16">
        <v>0.0</v>
      </c>
      <c r="S119" s="16">
        <v>1.0</v>
      </c>
      <c r="T119" s="3" t="s">
        <v>1195</v>
      </c>
    </row>
    <row r="120">
      <c r="A120" s="3" t="s">
        <v>9276</v>
      </c>
      <c r="B120" s="3" t="s">
        <v>9270</v>
      </c>
      <c r="C120" s="17">
        <v>46009.54166666667</v>
      </c>
      <c r="D120" s="17">
        <v>46009.5625</v>
      </c>
      <c r="E120" s="25">
        <v>0.5</v>
      </c>
      <c r="F120" s="2"/>
      <c r="G120" s="2"/>
      <c r="H120" s="3" t="s">
        <v>8971</v>
      </c>
      <c r="I120" s="3" t="s">
        <v>9077</v>
      </c>
      <c r="J120" s="3" t="s">
        <v>6950</v>
      </c>
      <c r="K120" s="3" t="s">
        <v>8971</v>
      </c>
      <c r="L120" s="16">
        <v>2.0</v>
      </c>
      <c r="M120" s="3" t="s">
        <v>9277</v>
      </c>
      <c r="N120" s="3" t="s">
        <v>9277</v>
      </c>
      <c r="O120" s="3" t="s">
        <v>9024</v>
      </c>
      <c r="P120" s="16">
        <v>2.0</v>
      </c>
      <c r="Q120" s="16">
        <v>0.0</v>
      </c>
      <c r="R120" s="16">
        <v>0.0</v>
      </c>
      <c r="S120" s="16">
        <v>0.0</v>
      </c>
      <c r="T120" s="2"/>
    </row>
    <row r="121">
      <c r="A121" s="3" t="s">
        <v>9278</v>
      </c>
      <c r="B121" s="3" t="s">
        <v>9279</v>
      </c>
      <c r="C121" s="17">
        <v>46009.60416666667</v>
      </c>
      <c r="D121" s="17">
        <v>46009.625</v>
      </c>
      <c r="E121" s="25">
        <v>0.5</v>
      </c>
      <c r="G121" s="2"/>
      <c r="H121" s="3" t="s">
        <v>8971</v>
      </c>
      <c r="I121" s="3" t="s">
        <v>9077</v>
      </c>
      <c r="J121" s="3" t="s">
        <v>9032</v>
      </c>
      <c r="K121" s="3" t="s">
        <v>8971</v>
      </c>
      <c r="L121" s="16">
        <v>1.0</v>
      </c>
      <c r="M121" s="3" t="s">
        <v>6853</v>
      </c>
      <c r="N121" s="3" t="s">
        <v>6853</v>
      </c>
      <c r="O121" s="3" t="s">
        <v>9077</v>
      </c>
      <c r="P121" s="16">
        <v>1.0</v>
      </c>
      <c r="Q121" s="16">
        <v>0.0</v>
      </c>
      <c r="R121" s="16">
        <v>0.0</v>
      </c>
      <c r="S121" s="16">
        <v>0.0</v>
      </c>
    </row>
    <row r="122">
      <c r="A122" s="3" t="s">
        <v>9280</v>
      </c>
      <c r="B122" s="3" t="s">
        <v>9281</v>
      </c>
      <c r="C122" s="17">
        <v>46009.70833333333</v>
      </c>
      <c r="D122" s="17">
        <v>46009.72916666667</v>
      </c>
      <c r="E122" s="25">
        <v>0.5</v>
      </c>
      <c r="F122" s="2"/>
      <c r="G122" s="3" t="s">
        <v>9282</v>
      </c>
      <c r="H122" s="3" t="s">
        <v>8971</v>
      </c>
      <c r="I122" s="3" t="s">
        <v>9077</v>
      </c>
      <c r="J122" s="3" t="s">
        <v>9283</v>
      </c>
      <c r="K122" s="3" t="s">
        <v>8973</v>
      </c>
      <c r="L122" s="16">
        <v>15.0</v>
      </c>
      <c r="M122" s="3" t="s">
        <v>9284</v>
      </c>
      <c r="N122" s="3" t="s">
        <v>9285</v>
      </c>
      <c r="O122" s="3" t="s">
        <v>9286</v>
      </c>
      <c r="P122" s="16">
        <v>9.0</v>
      </c>
      <c r="Q122" s="16">
        <v>1.0</v>
      </c>
      <c r="R122" s="16">
        <v>1.0</v>
      </c>
      <c r="S122" s="16">
        <v>4.0</v>
      </c>
      <c r="T122" s="3" t="s">
        <v>2922</v>
      </c>
    </row>
    <row r="123">
      <c r="A123" s="3" t="s">
        <v>9287</v>
      </c>
      <c r="B123" s="3" t="s">
        <v>9288</v>
      </c>
      <c r="C123" s="17">
        <v>46010.4375</v>
      </c>
      <c r="D123" s="17">
        <v>46010.45833333333</v>
      </c>
      <c r="E123" s="25">
        <v>0.5</v>
      </c>
      <c r="F123" s="2"/>
      <c r="G123" s="2"/>
      <c r="H123" s="3" t="s">
        <v>8971</v>
      </c>
      <c r="I123" s="3" t="s">
        <v>9094</v>
      </c>
      <c r="J123" s="3" t="s">
        <v>6853</v>
      </c>
      <c r="K123" s="3" t="s">
        <v>8971</v>
      </c>
      <c r="L123" s="16">
        <v>2.0</v>
      </c>
      <c r="M123" s="3" t="s">
        <v>9289</v>
      </c>
      <c r="N123" s="3" t="s">
        <v>9289</v>
      </c>
      <c r="O123" s="3" t="s">
        <v>9024</v>
      </c>
      <c r="P123" s="16">
        <v>2.0</v>
      </c>
      <c r="Q123" s="16">
        <v>0.0</v>
      </c>
      <c r="R123" s="16">
        <v>0.0</v>
      </c>
      <c r="S123" s="16">
        <v>0.0</v>
      </c>
      <c r="T123" s="2"/>
    </row>
    <row r="124">
      <c r="A124" s="3" t="s">
        <v>9290</v>
      </c>
      <c r="B124" s="3" t="s">
        <v>9291</v>
      </c>
      <c r="C124" s="17">
        <v>46013.45833333333</v>
      </c>
      <c r="D124" s="17">
        <v>46013.47916666667</v>
      </c>
      <c r="E124" s="25">
        <v>0.5</v>
      </c>
      <c r="F124" s="2"/>
      <c r="G124" s="2"/>
      <c r="H124" s="3" t="s">
        <v>8971</v>
      </c>
      <c r="I124" s="3" t="s">
        <v>9094</v>
      </c>
      <c r="J124" s="3" t="s">
        <v>6853</v>
      </c>
      <c r="K124" s="3" t="s">
        <v>8971</v>
      </c>
      <c r="L124" s="16">
        <v>1.0</v>
      </c>
      <c r="M124" s="3" t="s">
        <v>9261</v>
      </c>
      <c r="N124" s="3" t="s">
        <v>9261</v>
      </c>
      <c r="O124" s="3" t="s">
        <v>9077</v>
      </c>
      <c r="P124" s="16">
        <v>1.0</v>
      </c>
      <c r="Q124" s="16">
        <v>0.0</v>
      </c>
      <c r="R124" s="16">
        <v>0.0</v>
      </c>
      <c r="S124" s="16">
        <v>0.0</v>
      </c>
    </row>
    <row r="125">
      <c r="A125" s="3" t="s">
        <v>9292</v>
      </c>
      <c r="B125" s="3" t="s">
        <v>9293</v>
      </c>
      <c r="C125" s="17">
        <v>46013.48958333333</v>
      </c>
      <c r="D125" s="17">
        <v>46013.5</v>
      </c>
      <c r="E125" s="25">
        <v>0.25</v>
      </c>
      <c r="F125" s="13" t="s">
        <v>9294</v>
      </c>
      <c r="G125" s="3" t="s">
        <v>9295</v>
      </c>
      <c r="H125" s="3" t="s">
        <v>8971</v>
      </c>
      <c r="I125" s="3" t="s">
        <v>9077</v>
      </c>
      <c r="J125" s="3" t="s">
        <v>9071</v>
      </c>
      <c r="K125" s="3" t="s">
        <v>8971</v>
      </c>
      <c r="L125" s="16">
        <v>1.0</v>
      </c>
      <c r="M125" s="3" t="s">
        <v>6853</v>
      </c>
      <c r="N125" s="3" t="s">
        <v>6853</v>
      </c>
      <c r="O125" s="3" t="s">
        <v>9077</v>
      </c>
      <c r="P125" s="16">
        <v>1.0</v>
      </c>
      <c r="Q125" s="16">
        <v>0.0</v>
      </c>
      <c r="R125" s="16">
        <v>0.0</v>
      </c>
      <c r="S125" s="16">
        <v>0.0</v>
      </c>
      <c r="T125" s="2"/>
    </row>
    <row r="126">
      <c r="A126" s="3" t="s">
        <v>9296</v>
      </c>
      <c r="B126" s="3" t="s">
        <v>9297</v>
      </c>
      <c r="C126" s="17">
        <v>46013.5</v>
      </c>
      <c r="D126" s="17">
        <v>46013.52083333333</v>
      </c>
      <c r="E126" s="25">
        <v>0.5</v>
      </c>
      <c r="F126" s="13" t="s">
        <v>9298</v>
      </c>
      <c r="G126" s="3" t="s">
        <v>9299</v>
      </c>
      <c r="H126" s="3" t="s">
        <v>8971</v>
      </c>
      <c r="I126" s="3" t="s">
        <v>9077</v>
      </c>
      <c r="J126" s="3" t="s">
        <v>9071</v>
      </c>
      <c r="K126" s="3" t="s">
        <v>8971</v>
      </c>
      <c r="L126" s="16">
        <v>5.0</v>
      </c>
      <c r="M126" s="3" t="s">
        <v>9300</v>
      </c>
      <c r="N126" s="3" t="s">
        <v>9300</v>
      </c>
      <c r="O126" s="3" t="s">
        <v>9301</v>
      </c>
      <c r="P126" s="16">
        <v>3.0</v>
      </c>
      <c r="Q126" s="16">
        <v>0.0</v>
      </c>
      <c r="R126" s="16">
        <v>0.0</v>
      </c>
      <c r="S126" s="16">
        <v>2.0</v>
      </c>
      <c r="T126" s="3" t="s">
        <v>5602</v>
      </c>
    </row>
    <row r="127">
      <c r="A127" s="3" t="s">
        <v>9302</v>
      </c>
      <c r="B127" s="3" t="s">
        <v>9303</v>
      </c>
      <c r="C127" s="17">
        <v>46013.54166666667</v>
      </c>
      <c r="D127" s="17">
        <v>46013.55208333333</v>
      </c>
      <c r="E127" s="25">
        <v>0.25</v>
      </c>
      <c r="F127" s="2"/>
      <c r="G127" s="2"/>
      <c r="H127" s="3" t="s">
        <v>8971</v>
      </c>
      <c r="I127" s="3" t="s">
        <v>9006</v>
      </c>
      <c r="J127" s="3" t="s">
        <v>6950</v>
      </c>
      <c r="K127" s="3" t="s">
        <v>8971</v>
      </c>
      <c r="L127" s="16">
        <v>1.0</v>
      </c>
      <c r="M127" s="3" t="s">
        <v>6853</v>
      </c>
      <c r="N127" s="3" t="s">
        <v>6853</v>
      </c>
      <c r="O127" s="3" t="s">
        <v>9006</v>
      </c>
      <c r="P127" s="16">
        <v>0.0</v>
      </c>
      <c r="Q127" s="16">
        <v>0.0</v>
      </c>
      <c r="R127" s="16">
        <v>0.0</v>
      </c>
      <c r="S127" s="16">
        <v>1.0</v>
      </c>
      <c r="T127" s="2"/>
    </row>
    <row r="128">
      <c r="A128" s="3" t="s">
        <v>9223</v>
      </c>
      <c r="B128" s="3" t="s">
        <v>8418</v>
      </c>
      <c r="C128" s="17">
        <v>46013.60416666667</v>
      </c>
      <c r="D128" s="17">
        <v>46013.625</v>
      </c>
      <c r="E128" s="25">
        <v>0.5</v>
      </c>
      <c r="F128" s="2"/>
      <c r="G128" s="3" t="s">
        <v>9304</v>
      </c>
      <c r="H128" s="3" t="s">
        <v>8971</v>
      </c>
      <c r="I128" s="3" t="s">
        <v>9094</v>
      </c>
      <c r="J128" s="3" t="s">
        <v>6853</v>
      </c>
      <c r="K128" s="3" t="s">
        <v>8973</v>
      </c>
      <c r="L128" s="16">
        <v>2.0</v>
      </c>
      <c r="M128" s="3" t="s">
        <v>9225</v>
      </c>
      <c r="N128" s="3" t="s">
        <v>9225</v>
      </c>
      <c r="O128" s="3" t="s">
        <v>9010</v>
      </c>
      <c r="P128" s="16">
        <v>0.0</v>
      </c>
      <c r="Q128" s="16">
        <v>0.0</v>
      </c>
      <c r="R128" s="16">
        <v>0.0</v>
      </c>
      <c r="S128" s="16">
        <v>2.0</v>
      </c>
      <c r="T128" s="3" t="s">
        <v>2868</v>
      </c>
    </row>
    <row r="129">
      <c r="A129" s="3" t="s">
        <v>9305</v>
      </c>
      <c r="B129" s="3" t="s">
        <v>9306</v>
      </c>
      <c r="C129" s="17">
        <v>46014.39583333333</v>
      </c>
      <c r="D129" s="17">
        <v>46014.41666666667</v>
      </c>
      <c r="E129" s="25">
        <v>0.5</v>
      </c>
      <c r="G129" s="2"/>
      <c r="H129" s="3" t="s">
        <v>8971</v>
      </c>
      <c r="I129" s="3" t="s">
        <v>9006</v>
      </c>
      <c r="J129" s="3" t="s">
        <v>6950</v>
      </c>
      <c r="K129" s="3" t="s">
        <v>8971</v>
      </c>
      <c r="L129" s="16">
        <v>1.0</v>
      </c>
      <c r="M129" s="3" t="s">
        <v>6853</v>
      </c>
      <c r="N129" s="3" t="s">
        <v>6853</v>
      </c>
      <c r="O129" s="3" t="s">
        <v>9006</v>
      </c>
      <c r="P129" s="16">
        <v>0.0</v>
      </c>
      <c r="Q129" s="16">
        <v>0.0</v>
      </c>
      <c r="R129" s="16">
        <v>0.0</v>
      </c>
      <c r="S129" s="16">
        <v>1.0</v>
      </c>
      <c r="T129" s="2"/>
    </row>
    <row r="130">
      <c r="A130" s="3" t="s">
        <v>8999</v>
      </c>
      <c r="B130" s="3" t="s">
        <v>9000</v>
      </c>
      <c r="C130" s="17">
        <v>46014.4375</v>
      </c>
      <c r="D130" s="17">
        <v>46014.45833333333</v>
      </c>
      <c r="E130" s="25">
        <v>0.5</v>
      </c>
      <c r="G130" s="2"/>
      <c r="H130" s="3" t="s">
        <v>8971</v>
      </c>
      <c r="I130" s="3" t="s">
        <v>8972</v>
      </c>
      <c r="J130" s="3" t="s">
        <v>6950</v>
      </c>
      <c r="K130" s="3" t="s">
        <v>8973</v>
      </c>
      <c r="L130" s="16">
        <v>4.0</v>
      </c>
      <c r="M130" s="3" t="s">
        <v>9001</v>
      </c>
      <c r="N130" s="3" t="s">
        <v>9001</v>
      </c>
      <c r="O130" s="3" t="s">
        <v>9002</v>
      </c>
      <c r="P130" s="16">
        <v>1.0</v>
      </c>
      <c r="Q130" s="16">
        <v>0.0</v>
      </c>
      <c r="R130" s="16">
        <v>0.0</v>
      </c>
      <c r="S130" s="16">
        <v>3.0</v>
      </c>
      <c r="T130" s="3" t="s">
        <v>2594</v>
      </c>
    </row>
    <row r="131">
      <c r="A131" s="3" t="s">
        <v>9307</v>
      </c>
      <c r="B131" s="3" t="s">
        <v>9137</v>
      </c>
      <c r="C131" s="17">
        <v>46014.5</v>
      </c>
      <c r="D131" s="17">
        <v>46014.52083333333</v>
      </c>
      <c r="E131" s="25">
        <v>0.5</v>
      </c>
      <c r="G131" s="3" t="s">
        <v>9138</v>
      </c>
      <c r="H131" s="3" t="s">
        <v>8971</v>
      </c>
      <c r="I131" s="3" t="s">
        <v>9077</v>
      </c>
      <c r="J131" s="3" t="s">
        <v>6950</v>
      </c>
      <c r="K131" s="3" t="s">
        <v>8973</v>
      </c>
      <c r="L131" s="16">
        <v>3.0</v>
      </c>
      <c r="M131" s="3" t="s">
        <v>9140</v>
      </c>
      <c r="N131" s="3" t="s">
        <v>9141</v>
      </c>
      <c r="O131" s="3" t="s">
        <v>9308</v>
      </c>
      <c r="P131" s="16">
        <v>2.0</v>
      </c>
      <c r="Q131" s="16">
        <v>0.0</v>
      </c>
      <c r="R131" s="16">
        <v>1.0</v>
      </c>
      <c r="S131" s="16">
        <v>0.0</v>
      </c>
      <c r="T131" s="3" t="s">
        <v>4466</v>
      </c>
    </row>
    <row r="132">
      <c r="A132" s="3" t="s">
        <v>9309</v>
      </c>
      <c r="B132" s="3" t="s">
        <v>6844</v>
      </c>
      <c r="C132" s="17">
        <v>46014.5625</v>
      </c>
      <c r="D132" s="17">
        <v>46014.58333333333</v>
      </c>
      <c r="E132" s="25">
        <v>0.5</v>
      </c>
      <c r="G132" s="2"/>
      <c r="H132" s="3" t="s">
        <v>8971</v>
      </c>
      <c r="I132" s="3" t="s">
        <v>9094</v>
      </c>
      <c r="J132" s="3" t="s">
        <v>6853</v>
      </c>
      <c r="K132" s="3" t="s">
        <v>8973</v>
      </c>
      <c r="L132" s="16">
        <v>2.0</v>
      </c>
      <c r="M132" s="3" t="s">
        <v>9310</v>
      </c>
      <c r="N132" s="3" t="s">
        <v>9310</v>
      </c>
      <c r="O132" s="3" t="s">
        <v>9043</v>
      </c>
      <c r="P132" s="16">
        <v>1.0</v>
      </c>
      <c r="Q132" s="16">
        <v>0.0</v>
      </c>
      <c r="R132" s="16">
        <v>0.0</v>
      </c>
      <c r="S132" s="16">
        <v>1.0</v>
      </c>
      <c r="T132" s="3" t="s">
        <v>2616</v>
      </c>
    </row>
    <row r="133">
      <c r="A133" s="3" t="s">
        <v>9262</v>
      </c>
      <c r="B133" s="3" t="s">
        <v>9263</v>
      </c>
      <c r="C133" s="17">
        <v>46023.4375</v>
      </c>
      <c r="D133" s="17">
        <v>46023.45833333333</v>
      </c>
      <c r="E133" s="25">
        <v>0.5</v>
      </c>
      <c r="F133" s="2"/>
      <c r="G133" s="2"/>
      <c r="H133" s="3" t="s">
        <v>8971</v>
      </c>
      <c r="I133" s="3" t="s">
        <v>9139</v>
      </c>
      <c r="J133" s="3" t="s">
        <v>6950</v>
      </c>
      <c r="K133" s="3" t="s">
        <v>8973</v>
      </c>
      <c r="L133" s="16">
        <v>4.0</v>
      </c>
      <c r="M133" s="3" t="s">
        <v>9311</v>
      </c>
      <c r="N133" s="3" t="s">
        <v>9312</v>
      </c>
      <c r="O133" s="3" t="s">
        <v>9313</v>
      </c>
      <c r="P133" s="16">
        <v>3.0</v>
      </c>
      <c r="Q133" s="16">
        <v>1.0</v>
      </c>
      <c r="R133" s="16">
        <v>0.0</v>
      </c>
      <c r="S133" s="16">
        <v>0.0</v>
      </c>
      <c r="T133" s="3" t="s">
        <v>2672</v>
      </c>
    </row>
    <row r="134">
      <c r="A134" s="3" t="s">
        <v>9314</v>
      </c>
      <c r="B134" s="3" t="s">
        <v>9315</v>
      </c>
      <c r="C134" s="17">
        <v>46023.58333333333</v>
      </c>
      <c r="D134" s="17">
        <v>46023.60416666667</v>
      </c>
      <c r="E134" s="25">
        <v>0.5</v>
      </c>
      <c r="G134" s="2"/>
      <c r="H134" s="3" t="s">
        <v>8971</v>
      </c>
      <c r="I134" s="3" t="s">
        <v>9139</v>
      </c>
      <c r="J134" s="3" t="s">
        <v>6950</v>
      </c>
      <c r="K134" s="3" t="s">
        <v>8973</v>
      </c>
      <c r="L134" s="16">
        <v>6.0</v>
      </c>
      <c r="M134" s="3" t="s">
        <v>9316</v>
      </c>
      <c r="N134" s="3" t="s">
        <v>9316</v>
      </c>
      <c r="O134" s="3" t="s">
        <v>9317</v>
      </c>
      <c r="P134" s="16">
        <v>0.0</v>
      </c>
      <c r="Q134" s="16">
        <v>4.0</v>
      </c>
      <c r="R134" s="16">
        <v>0.0</v>
      </c>
      <c r="S134" s="16">
        <v>2.0</v>
      </c>
      <c r="T134" s="3" t="s">
        <v>5285</v>
      </c>
    </row>
    <row r="135">
      <c r="A135" s="3" t="s">
        <v>9318</v>
      </c>
      <c r="B135" s="3" t="s">
        <v>9319</v>
      </c>
      <c r="C135" s="17">
        <v>46024.38541666667</v>
      </c>
      <c r="D135" s="17">
        <v>46024.39583333333</v>
      </c>
      <c r="E135" s="25">
        <v>0.25</v>
      </c>
      <c r="F135" s="2"/>
      <c r="G135" s="2"/>
      <c r="H135" s="3" t="s">
        <v>8971</v>
      </c>
      <c r="I135" s="3" t="s">
        <v>9006</v>
      </c>
      <c r="J135" s="3" t="s">
        <v>6950</v>
      </c>
      <c r="K135" s="3" t="s">
        <v>8971</v>
      </c>
      <c r="L135" s="16">
        <v>1.0</v>
      </c>
      <c r="M135" s="3" t="s">
        <v>6853</v>
      </c>
      <c r="N135" s="3" t="s">
        <v>6853</v>
      </c>
      <c r="O135" s="3" t="s">
        <v>9006</v>
      </c>
      <c r="P135" s="16">
        <v>0.0</v>
      </c>
      <c r="Q135" s="16">
        <v>0.0</v>
      </c>
      <c r="R135" s="16">
        <v>0.0</v>
      </c>
      <c r="S135" s="16">
        <v>1.0</v>
      </c>
      <c r="T135" s="2"/>
    </row>
    <row r="136">
      <c r="A136" s="3" t="s">
        <v>9320</v>
      </c>
      <c r="B136" s="3" t="s">
        <v>9196</v>
      </c>
      <c r="C136" s="17">
        <v>46024.39583333333</v>
      </c>
      <c r="D136" s="17">
        <v>46024.41666666667</v>
      </c>
      <c r="E136" s="25">
        <v>0.5</v>
      </c>
      <c r="F136" s="2"/>
      <c r="G136" s="3" t="s">
        <v>9197</v>
      </c>
      <c r="H136" s="3" t="s">
        <v>8971</v>
      </c>
      <c r="I136" s="3" t="s">
        <v>9077</v>
      </c>
      <c r="J136" s="3" t="s">
        <v>6950</v>
      </c>
      <c r="K136" s="3" t="s">
        <v>8973</v>
      </c>
      <c r="L136" s="16">
        <v>4.0</v>
      </c>
      <c r="M136" s="3" t="s">
        <v>9198</v>
      </c>
      <c r="N136" s="3" t="s">
        <v>9198</v>
      </c>
      <c r="O136" s="3" t="s">
        <v>9321</v>
      </c>
      <c r="P136" s="16">
        <v>2.0</v>
      </c>
      <c r="Q136" s="16">
        <v>1.0</v>
      </c>
      <c r="R136" s="16">
        <v>0.0</v>
      </c>
      <c r="S136" s="16">
        <v>1.0</v>
      </c>
      <c r="T136" s="3" t="s">
        <v>1969</v>
      </c>
    </row>
    <row r="137">
      <c r="A137" s="3" t="s">
        <v>9322</v>
      </c>
      <c r="B137" s="3" t="s">
        <v>9323</v>
      </c>
      <c r="C137" s="17">
        <v>46027.39583333333</v>
      </c>
      <c r="D137" s="17">
        <v>46027.41666666667</v>
      </c>
      <c r="E137" s="25">
        <v>0.5</v>
      </c>
      <c r="G137" s="3" t="s">
        <v>9324</v>
      </c>
      <c r="H137" s="3" t="s">
        <v>8971</v>
      </c>
      <c r="I137" s="3" t="s">
        <v>9077</v>
      </c>
      <c r="J137" s="3" t="s">
        <v>6950</v>
      </c>
      <c r="K137" s="3" t="s">
        <v>8971</v>
      </c>
      <c r="L137" s="16">
        <v>1.0</v>
      </c>
      <c r="M137" s="3" t="s">
        <v>6853</v>
      </c>
      <c r="N137" s="3" t="s">
        <v>6853</v>
      </c>
      <c r="O137" s="3" t="s">
        <v>9077</v>
      </c>
      <c r="P137" s="16">
        <v>1.0</v>
      </c>
      <c r="Q137" s="16">
        <v>0.0</v>
      </c>
      <c r="R137" s="16">
        <v>0.0</v>
      </c>
      <c r="S137" s="16">
        <v>0.0</v>
      </c>
      <c r="T137" s="2"/>
    </row>
    <row r="138">
      <c r="A138" s="3" t="s">
        <v>9325</v>
      </c>
      <c r="B138" s="3" t="s">
        <v>9000</v>
      </c>
      <c r="C138" s="17">
        <v>46027.58333333333</v>
      </c>
      <c r="D138" s="17">
        <v>46027.60416666667</v>
      </c>
      <c r="E138" s="25">
        <v>0.5</v>
      </c>
      <c r="F138" s="2"/>
      <c r="G138" s="2"/>
      <c r="H138" s="3" t="s">
        <v>8971</v>
      </c>
      <c r="I138" s="3" t="s">
        <v>8972</v>
      </c>
      <c r="J138" s="3" t="s">
        <v>6950</v>
      </c>
      <c r="K138" s="3" t="s">
        <v>8973</v>
      </c>
      <c r="L138" s="16">
        <v>4.0</v>
      </c>
      <c r="M138" s="3" t="s">
        <v>9001</v>
      </c>
      <c r="N138" s="3" t="s">
        <v>9001</v>
      </c>
      <c r="O138" s="3" t="s">
        <v>9002</v>
      </c>
      <c r="P138" s="16">
        <v>1.0</v>
      </c>
      <c r="Q138" s="16">
        <v>0.0</v>
      </c>
      <c r="R138" s="16">
        <v>0.0</v>
      </c>
      <c r="S138" s="16">
        <v>3.0</v>
      </c>
      <c r="T138" s="3" t="s">
        <v>2594</v>
      </c>
    </row>
    <row r="139">
      <c r="A139" s="3" t="s">
        <v>9223</v>
      </c>
      <c r="B139" s="3" t="s">
        <v>8418</v>
      </c>
      <c r="C139" s="17">
        <v>46027.60416666667</v>
      </c>
      <c r="D139" s="17">
        <v>46027.625</v>
      </c>
      <c r="E139" s="25">
        <v>0.5</v>
      </c>
      <c r="G139" s="3" t="s">
        <v>9304</v>
      </c>
      <c r="H139" s="3" t="s">
        <v>8971</v>
      </c>
      <c r="I139" s="3" t="s">
        <v>9094</v>
      </c>
      <c r="J139" s="3" t="s">
        <v>6853</v>
      </c>
      <c r="K139" s="3" t="s">
        <v>8973</v>
      </c>
      <c r="L139" s="16">
        <v>2.0</v>
      </c>
      <c r="M139" s="3" t="s">
        <v>9225</v>
      </c>
      <c r="N139" s="3" t="s">
        <v>9225</v>
      </c>
      <c r="O139" s="3" t="s">
        <v>9010</v>
      </c>
      <c r="P139" s="16">
        <v>0.0</v>
      </c>
      <c r="Q139" s="16">
        <v>0.0</v>
      </c>
      <c r="R139" s="16">
        <v>0.0</v>
      </c>
      <c r="S139" s="16">
        <v>2.0</v>
      </c>
      <c r="T139" s="3" t="s">
        <v>2868</v>
      </c>
    </row>
    <row r="140">
      <c r="A140" s="3" t="s">
        <v>9326</v>
      </c>
      <c r="B140" s="3" t="s">
        <v>8991</v>
      </c>
      <c r="C140" s="17">
        <v>46028.54166666667</v>
      </c>
      <c r="D140" s="17">
        <v>46028.5625</v>
      </c>
      <c r="E140" s="25">
        <v>0.5</v>
      </c>
      <c r="F140" s="2"/>
      <c r="G140" s="3" t="s">
        <v>8992</v>
      </c>
      <c r="H140" s="3" t="s">
        <v>8971</v>
      </c>
      <c r="I140" s="3" t="s">
        <v>9077</v>
      </c>
      <c r="J140" s="3" t="s">
        <v>6950</v>
      </c>
      <c r="K140" s="3" t="s">
        <v>8973</v>
      </c>
      <c r="L140" s="16">
        <v>4.0</v>
      </c>
      <c r="M140" s="3" t="s">
        <v>8993</v>
      </c>
      <c r="N140" s="3" t="s">
        <v>8993</v>
      </c>
      <c r="O140" s="3" t="s">
        <v>9204</v>
      </c>
      <c r="P140" s="16">
        <v>3.0</v>
      </c>
      <c r="Q140" s="16">
        <v>0.0</v>
      </c>
      <c r="R140" s="16">
        <v>0.0</v>
      </c>
      <c r="S140" s="16">
        <v>1.0</v>
      </c>
      <c r="T140" s="3" t="s">
        <v>861</v>
      </c>
    </row>
    <row r="141">
      <c r="A141" s="3" t="s">
        <v>9309</v>
      </c>
      <c r="B141" s="3" t="s">
        <v>6844</v>
      </c>
      <c r="C141" s="17">
        <v>46028.5625</v>
      </c>
      <c r="D141" s="17">
        <v>46028.58333333333</v>
      </c>
      <c r="E141" s="25">
        <v>0.5</v>
      </c>
      <c r="G141" s="2"/>
      <c r="H141" s="3" t="s">
        <v>8971</v>
      </c>
      <c r="I141" s="3" t="s">
        <v>9094</v>
      </c>
      <c r="J141" s="3" t="s">
        <v>6853</v>
      </c>
      <c r="K141" s="3" t="s">
        <v>8973</v>
      </c>
      <c r="L141" s="16">
        <v>2.0</v>
      </c>
      <c r="M141" s="3" t="s">
        <v>9310</v>
      </c>
      <c r="N141" s="3" t="s">
        <v>9310</v>
      </c>
      <c r="O141" s="3" t="s">
        <v>9203</v>
      </c>
      <c r="P141" s="16">
        <v>1.0</v>
      </c>
      <c r="Q141" s="16">
        <v>1.0</v>
      </c>
      <c r="R141" s="16">
        <v>0.0</v>
      </c>
      <c r="S141" s="16">
        <v>0.0</v>
      </c>
      <c r="T141" s="3" t="s">
        <v>2616</v>
      </c>
    </row>
    <row r="142">
      <c r="A142" s="3" t="s">
        <v>9327</v>
      </c>
      <c r="B142" s="3" t="s">
        <v>8981</v>
      </c>
      <c r="C142" s="17">
        <v>46028.58333333333</v>
      </c>
      <c r="D142" s="17">
        <v>46028.60416666667</v>
      </c>
      <c r="E142" s="25">
        <v>0.5</v>
      </c>
      <c r="F142" s="2"/>
      <c r="G142" s="2"/>
      <c r="H142" s="3" t="s">
        <v>8971</v>
      </c>
      <c r="I142" s="3" t="s">
        <v>9077</v>
      </c>
      <c r="J142" s="3" t="s">
        <v>6950</v>
      </c>
      <c r="K142" s="3" t="s">
        <v>8973</v>
      </c>
      <c r="L142" s="16">
        <v>9.0</v>
      </c>
      <c r="M142" s="3" t="s">
        <v>8982</v>
      </c>
      <c r="N142" s="3" t="s">
        <v>8983</v>
      </c>
      <c r="O142" s="3" t="s">
        <v>9328</v>
      </c>
      <c r="P142" s="16">
        <v>3.0</v>
      </c>
      <c r="Q142" s="16">
        <v>1.0</v>
      </c>
      <c r="R142" s="16">
        <v>0.0</v>
      </c>
      <c r="S142" s="16">
        <v>5.0</v>
      </c>
      <c r="T142" s="3" t="s">
        <v>2109</v>
      </c>
    </row>
    <row r="143">
      <c r="A143" s="3" t="s">
        <v>9329</v>
      </c>
      <c r="B143" s="3" t="s">
        <v>9330</v>
      </c>
      <c r="C143" s="17">
        <v>46029.419444444444</v>
      </c>
      <c r="D143" s="17">
        <v>46029.455555555556</v>
      </c>
      <c r="E143" s="25">
        <v>0.8666666666666667</v>
      </c>
      <c r="G143" s="2"/>
      <c r="H143" s="3" t="s">
        <v>8971</v>
      </c>
      <c r="I143" s="3" t="s">
        <v>9006</v>
      </c>
      <c r="J143" s="3" t="s">
        <v>9248</v>
      </c>
      <c r="K143" s="3" t="s">
        <v>8973</v>
      </c>
      <c r="L143" s="16">
        <v>19.0</v>
      </c>
      <c r="M143" s="3" t="s">
        <v>9331</v>
      </c>
      <c r="N143" s="3" t="s">
        <v>9332</v>
      </c>
      <c r="O143" s="3" t="s">
        <v>9333</v>
      </c>
      <c r="P143" s="16">
        <v>16.0</v>
      </c>
      <c r="Q143" s="16">
        <v>0.0</v>
      </c>
      <c r="R143" s="16">
        <v>0.0</v>
      </c>
      <c r="S143" s="16">
        <v>3.0</v>
      </c>
      <c r="T143" s="2"/>
    </row>
    <row r="144">
      <c r="A144" s="3" t="s">
        <v>9334</v>
      </c>
      <c r="B144" s="3" t="s">
        <v>9026</v>
      </c>
      <c r="C144" s="17">
        <v>46030.33333333333</v>
      </c>
      <c r="D144" s="17">
        <v>46030.35416666667</v>
      </c>
      <c r="E144" s="25">
        <v>0.5</v>
      </c>
      <c r="F144" s="2"/>
      <c r="G144" s="2"/>
      <c r="H144" s="3" t="s">
        <v>8971</v>
      </c>
      <c r="I144" s="3" t="s">
        <v>9077</v>
      </c>
      <c r="J144" s="3" t="s">
        <v>6950</v>
      </c>
      <c r="K144" s="3" t="s">
        <v>8973</v>
      </c>
      <c r="L144" s="16">
        <v>4.0</v>
      </c>
      <c r="M144" s="3" t="s">
        <v>9027</v>
      </c>
      <c r="N144" s="3" t="s">
        <v>9027</v>
      </c>
      <c r="O144" s="3" t="s">
        <v>9335</v>
      </c>
      <c r="P144" s="16">
        <v>2.0</v>
      </c>
      <c r="Q144" s="16">
        <v>0.0</v>
      </c>
      <c r="R144" s="16">
        <v>0.0</v>
      </c>
      <c r="S144" s="16">
        <v>2.0</v>
      </c>
      <c r="T144" s="3" t="s">
        <v>5681</v>
      </c>
    </row>
    <row r="145">
      <c r="A145" s="3" t="s">
        <v>9336</v>
      </c>
      <c r="B145" s="3" t="s">
        <v>8080</v>
      </c>
      <c r="C145" s="17">
        <v>46030.39583333333</v>
      </c>
      <c r="D145" s="17">
        <v>46030.41666666667</v>
      </c>
      <c r="E145" s="25">
        <v>0.5</v>
      </c>
      <c r="F145" s="2"/>
      <c r="G145" s="3" t="s">
        <v>9337</v>
      </c>
      <c r="H145" s="3" t="s">
        <v>8971</v>
      </c>
      <c r="I145" s="3" t="s">
        <v>9077</v>
      </c>
      <c r="J145" s="3" t="s">
        <v>9206</v>
      </c>
      <c r="K145" s="3" t="s">
        <v>8973</v>
      </c>
      <c r="L145" s="16">
        <v>7.0</v>
      </c>
      <c r="M145" s="3" t="s">
        <v>9338</v>
      </c>
      <c r="N145" s="3" t="s">
        <v>9338</v>
      </c>
      <c r="O145" s="3" t="s">
        <v>9339</v>
      </c>
      <c r="P145" s="16">
        <v>1.0</v>
      </c>
      <c r="Q145" s="16">
        <v>0.0</v>
      </c>
      <c r="R145" s="16">
        <v>0.0</v>
      </c>
      <c r="S145" s="16">
        <v>6.0</v>
      </c>
      <c r="T145" s="3" t="s">
        <v>3028</v>
      </c>
    </row>
    <row r="146">
      <c r="A146" s="3" t="s">
        <v>9174</v>
      </c>
      <c r="B146" s="3" t="s">
        <v>9022</v>
      </c>
      <c r="C146" s="17">
        <v>46030.4375</v>
      </c>
      <c r="D146" s="17">
        <v>46030.45833333333</v>
      </c>
      <c r="E146" s="25">
        <v>0.5</v>
      </c>
      <c r="F146" s="2"/>
      <c r="G146" s="2"/>
      <c r="H146" s="3" t="s">
        <v>8971</v>
      </c>
      <c r="I146" s="3" t="s">
        <v>9077</v>
      </c>
      <c r="J146" s="3" t="s">
        <v>6950</v>
      </c>
      <c r="K146" s="3" t="s">
        <v>8973</v>
      </c>
      <c r="L146" s="16">
        <v>2.0</v>
      </c>
      <c r="M146" s="3" t="s">
        <v>9023</v>
      </c>
      <c r="N146" s="3" t="s">
        <v>9023</v>
      </c>
      <c r="O146" s="3" t="s">
        <v>9024</v>
      </c>
      <c r="P146" s="16">
        <v>2.0</v>
      </c>
      <c r="Q146" s="16">
        <v>0.0</v>
      </c>
      <c r="R146" s="16">
        <v>0.0</v>
      </c>
      <c r="S146" s="16">
        <v>0.0</v>
      </c>
      <c r="T146" s="3" t="s">
        <v>5396</v>
      </c>
    </row>
    <row r="147">
      <c r="A147" s="3" t="s">
        <v>9340</v>
      </c>
      <c r="B147" s="3" t="s">
        <v>9176</v>
      </c>
      <c r="C147" s="17">
        <v>46030.47916666667</v>
      </c>
      <c r="D147" s="17">
        <v>46030.5</v>
      </c>
      <c r="E147" s="25">
        <v>0.5</v>
      </c>
      <c r="G147" s="2"/>
      <c r="H147" s="3" t="s">
        <v>8971</v>
      </c>
      <c r="I147" s="3" t="s">
        <v>9077</v>
      </c>
      <c r="J147" s="3" t="s">
        <v>6950</v>
      </c>
      <c r="K147" s="3" t="s">
        <v>8973</v>
      </c>
      <c r="L147" s="16">
        <v>5.0</v>
      </c>
      <c r="M147" s="3" t="s">
        <v>9341</v>
      </c>
      <c r="N147" s="3" t="s">
        <v>9341</v>
      </c>
      <c r="O147" s="3" t="s">
        <v>9342</v>
      </c>
      <c r="P147" s="16">
        <v>4.0</v>
      </c>
      <c r="Q147" s="16">
        <v>0.0</v>
      </c>
      <c r="R147" s="16">
        <v>0.0</v>
      </c>
      <c r="S147" s="16">
        <v>1.0</v>
      </c>
      <c r="T147" s="2"/>
    </row>
    <row r="148">
      <c r="A148" s="3" t="s">
        <v>9343</v>
      </c>
      <c r="B148" s="3" t="s">
        <v>9272</v>
      </c>
      <c r="C148" s="17">
        <v>46030.5</v>
      </c>
      <c r="D148" s="17">
        <v>46030.52083333333</v>
      </c>
      <c r="E148" s="25">
        <v>0.5</v>
      </c>
      <c r="F148" s="2"/>
      <c r="G148" s="2"/>
      <c r="H148" s="3" t="s">
        <v>8971</v>
      </c>
      <c r="I148" s="3" t="s">
        <v>9077</v>
      </c>
      <c r="J148" s="3" t="s">
        <v>6950</v>
      </c>
      <c r="K148" s="3" t="s">
        <v>8973</v>
      </c>
      <c r="L148" s="16">
        <v>2.0</v>
      </c>
      <c r="M148" s="3" t="s">
        <v>9344</v>
      </c>
      <c r="N148" s="3" t="s">
        <v>9345</v>
      </c>
      <c r="O148" s="3" t="s">
        <v>9024</v>
      </c>
      <c r="P148" s="16">
        <v>2.0</v>
      </c>
      <c r="Q148" s="16">
        <v>0.0</v>
      </c>
      <c r="R148" s="16">
        <v>0.0</v>
      </c>
      <c r="S148" s="16">
        <v>0.0</v>
      </c>
      <c r="T148" s="3" t="s">
        <v>1195</v>
      </c>
    </row>
    <row r="149">
      <c r="A149" s="3" t="s">
        <v>9346</v>
      </c>
      <c r="B149" s="3" t="s">
        <v>9347</v>
      </c>
      <c r="C149" s="17">
        <v>46030.54166666667</v>
      </c>
      <c r="D149" s="17">
        <v>46030.5625</v>
      </c>
      <c r="E149" s="25">
        <v>0.5</v>
      </c>
      <c r="F149" s="2"/>
      <c r="G149" s="3" t="s">
        <v>9348</v>
      </c>
      <c r="H149" s="3" t="s">
        <v>8971</v>
      </c>
      <c r="I149" s="3" t="s">
        <v>9094</v>
      </c>
      <c r="J149" s="3" t="s">
        <v>6853</v>
      </c>
      <c r="K149" s="3" t="s">
        <v>8971</v>
      </c>
      <c r="L149" s="16">
        <v>4.0</v>
      </c>
      <c r="M149" s="3" t="s">
        <v>9349</v>
      </c>
      <c r="N149" s="3" t="s">
        <v>9349</v>
      </c>
      <c r="O149" s="3" t="s">
        <v>9350</v>
      </c>
      <c r="P149" s="16">
        <v>2.0</v>
      </c>
      <c r="Q149" s="16">
        <v>0.0</v>
      </c>
      <c r="R149" s="16">
        <v>1.0</v>
      </c>
      <c r="S149" s="16">
        <v>1.0</v>
      </c>
      <c r="T149" s="3" t="s">
        <v>1725</v>
      </c>
    </row>
    <row r="150">
      <c r="A150" s="3" t="s">
        <v>9351</v>
      </c>
      <c r="B150" s="3" t="s">
        <v>9352</v>
      </c>
      <c r="C150" s="17">
        <v>46031.35416666667</v>
      </c>
      <c r="D150" s="17">
        <v>46031.375</v>
      </c>
      <c r="E150" s="25">
        <v>0.5</v>
      </c>
      <c r="F150" s="2"/>
      <c r="G150" s="3" t="s">
        <v>9353</v>
      </c>
      <c r="H150" s="3" t="s">
        <v>8971</v>
      </c>
      <c r="I150" s="3" t="s">
        <v>9077</v>
      </c>
      <c r="J150" s="3" t="s">
        <v>7326</v>
      </c>
      <c r="K150" s="3" t="s">
        <v>8971</v>
      </c>
      <c r="L150" s="16">
        <v>3.0</v>
      </c>
      <c r="M150" s="3" t="s">
        <v>9354</v>
      </c>
      <c r="N150" s="3" t="s">
        <v>9354</v>
      </c>
      <c r="O150" s="3" t="s">
        <v>9147</v>
      </c>
      <c r="P150" s="16">
        <v>2.0</v>
      </c>
      <c r="Q150" s="16">
        <v>0.0</v>
      </c>
      <c r="R150" s="16">
        <v>0.0</v>
      </c>
      <c r="S150" s="16">
        <v>1.0</v>
      </c>
      <c r="T150" s="3" t="s">
        <v>5396</v>
      </c>
    </row>
    <row r="151">
      <c r="A151" s="3" t="s">
        <v>9355</v>
      </c>
      <c r="B151" s="3" t="s">
        <v>9356</v>
      </c>
      <c r="C151" s="17">
        <v>46031.47916666667</v>
      </c>
      <c r="D151" s="17">
        <v>46031.5</v>
      </c>
      <c r="E151" s="25">
        <v>0.5</v>
      </c>
      <c r="F151" s="2"/>
      <c r="G151" s="2"/>
      <c r="H151" s="3" t="s">
        <v>8971</v>
      </c>
      <c r="I151" s="3" t="s">
        <v>9094</v>
      </c>
      <c r="J151" s="3" t="s">
        <v>6853</v>
      </c>
      <c r="K151" s="3" t="s">
        <v>8971</v>
      </c>
      <c r="L151" s="16">
        <v>2.0</v>
      </c>
      <c r="M151" s="3" t="s">
        <v>9357</v>
      </c>
      <c r="N151" s="3" t="s">
        <v>9357</v>
      </c>
      <c r="O151" s="3" t="s">
        <v>9024</v>
      </c>
      <c r="P151" s="16">
        <v>2.0</v>
      </c>
      <c r="Q151" s="16">
        <v>0.0</v>
      </c>
      <c r="R151" s="16">
        <v>0.0</v>
      </c>
      <c r="S151" s="16">
        <v>0.0</v>
      </c>
      <c r="T151" s="3" t="s">
        <v>2616</v>
      </c>
    </row>
    <row r="152">
      <c r="A152" s="3" t="s">
        <v>9358</v>
      </c>
      <c r="B152" s="3" t="s">
        <v>9359</v>
      </c>
      <c r="C152" s="17">
        <v>46034.54166666667</v>
      </c>
      <c r="D152" s="17">
        <v>46034.5625</v>
      </c>
      <c r="E152" s="25">
        <v>0.5</v>
      </c>
      <c r="F152" s="2"/>
      <c r="G152" s="3" t="s">
        <v>9360</v>
      </c>
      <c r="H152" s="3" t="s">
        <v>8971</v>
      </c>
      <c r="I152" s="3" t="s">
        <v>9094</v>
      </c>
      <c r="J152" s="3" t="s">
        <v>6853</v>
      </c>
      <c r="K152" s="3" t="s">
        <v>8971</v>
      </c>
      <c r="L152" s="16">
        <v>1.0</v>
      </c>
      <c r="M152" s="3" t="s">
        <v>7985</v>
      </c>
      <c r="N152" s="3" t="s">
        <v>7985</v>
      </c>
      <c r="O152" s="3" t="s">
        <v>9077</v>
      </c>
      <c r="P152" s="16">
        <v>1.0</v>
      </c>
      <c r="Q152" s="16">
        <v>0.0</v>
      </c>
      <c r="R152" s="16">
        <v>0.0</v>
      </c>
      <c r="S152" s="16">
        <v>0.0</v>
      </c>
      <c r="T152" s="3" t="s">
        <v>2109</v>
      </c>
    </row>
    <row r="153">
      <c r="A153" s="3" t="s">
        <v>9361</v>
      </c>
      <c r="B153" s="3" t="s">
        <v>9362</v>
      </c>
      <c r="C153" s="17">
        <v>46034.64583333333</v>
      </c>
      <c r="D153" s="17">
        <v>46034.66666666667</v>
      </c>
      <c r="E153" s="25">
        <v>0.5</v>
      </c>
      <c r="G153" s="3" t="s">
        <v>9363</v>
      </c>
      <c r="H153" s="3" t="s">
        <v>8971</v>
      </c>
      <c r="I153" s="3" t="s">
        <v>9094</v>
      </c>
      <c r="J153" s="3" t="s">
        <v>6853</v>
      </c>
      <c r="K153" s="3" t="s">
        <v>8971</v>
      </c>
      <c r="L153" s="16">
        <v>5.0</v>
      </c>
      <c r="M153" s="3" t="s">
        <v>9364</v>
      </c>
      <c r="N153" s="3" t="s">
        <v>9364</v>
      </c>
      <c r="O153" s="3" t="s">
        <v>9365</v>
      </c>
      <c r="P153" s="16">
        <v>2.0</v>
      </c>
      <c r="Q153" s="16">
        <v>0.0</v>
      </c>
      <c r="R153" s="16">
        <v>1.0</v>
      </c>
      <c r="S153" s="16">
        <v>2.0</v>
      </c>
      <c r="T153" s="3" t="s">
        <v>5827</v>
      </c>
    </row>
    <row r="154">
      <c r="A154" s="3" t="s">
        <v>9366</v>
      </c>
      <c r="B154" s="3" t="s">
        <v>9367</v>
      </c>
      <c r="C154" s="17">
        <v>46035.41666666667</v>
      </c>
      <c r="D154" s="17">
        <v>46035.4375</v>
      </c>
      <c r="E154" s="25">
        <v>0.5</v>
      </c>
      <c r="F154" s="2"/>
      <c r="G154" s="3" t="s">
        <v>9368</v>
      </c>
      <c r="H154" s="3" t="s">
        <v>8971</v>
      </c>
      <c r="I154" s="3" t="s">
        <v>9094</v>
      </c>
      <c r="J154" s="3" t="s">
        <v>6853</v>
      </c>
      <c r="K154" s="3" t="s">
        <v>8971</v>
      </c>
      <c r="L154" s="16">
        <v>3.0</v>
      </c>
      <c r="M154" s="3" t="s">
        <v>9369</v>
      </c>
      <c r="N154" s="3" t="s">
        <v>9369</v>
      </c>
      <c r="O154" s="3" t="s">
        <v>9370</v>
      </c>
      <c r="P154" s="16">
        <v>1.0</v>
      </c>
      <c r="Q154" s="16">
        <v>0.0</v>
      </c>
      <c r="R154" s="16">
        <v>0.0</v>
      </c>
      <c r="S154" s="16">
        <v>2.0</v>
      </c>
      <c r="T154" s="3" t="s">
        <v>2309</v>
      </c>
    </row>
    <row r="155">
      <c r="A155" s="3" t="s">
        <v>9371</v>
      </c>
      <c r="B155" s="3" t="s">
        <v>7310</v>
      </c>
      <c r="C155" s="17">
        <v>46035.47916666667</v>
      </c>
      <c r="D155" s="17">
        <v>46035.5</v>
      </c>
      <c r="E155" s="25">
        <v>0.5</v>
      </c>
      <c r="F155" s="3" t="s">
        <v>9372</v>
      </c>
      <c r="G155" s="3" t="s">
        <v>9373</v>
      </c>
      <c r="H155" s="3" t="s">
        <v>8971</v>
      </c>
      <c r="I155" s="3" t="s">
        <v>9094</v>
      </c>
      <c r="J155" s="3" t="s">
        <v>6853</v>
      </c>
      <c r="K155" s="3" t="s">
        <v>8971</v>
      </c>
      <c r="L155" s="16">
        <v>4.0</v>
      </c>
      <c r="M155" s="3" t="s">
        <v>9374</v>
      </c>
      <c r="N155" s="3" t="s">
        <v>9375</v>
      </c>
      <c r="O155" s="3" t="s">
        <v>9028</v>
      </c>
      <c r="P155" s="16">
        <v>1.0</v>
      </c>
      <c r="Q155" s="16">
        <v>0.0</v>
      </c>
      <c r="R155" s="16">
        <v>0.0</v>
      </c>
      <c r="S155" s="16">
        <v>3.0</v>
      </c>
      <c r="T155" s="3" t="s">
        <v>5815</v>
      </c>
    </row>
    <row r="156">
      <c r="A156" s="3" t="s">
        <v>9307</v>
      </c>
      <c r="B156" s="3" t="s">
        <v>9137</v>
      </c>
      <c r="C156" s="17">
        <v>46035.5</v>
      </c>
      <c r="D156" s="17">
        <v>46035.52083333333</v>
      </c>
      <c r="E156" s="25">
        <v>0.5</v>
      </c>
      <c r="F156" s="2"/>
      <c r="G156" s="3" t="s">
        <v>9138</v>
      </c>
      <c r="H156" s="3" t="s">
        <v>8971</v>
      </c>
      <c r="I156" s="3" t="s">
        <v>9077</v>
      </c>
      <c r="J156" s="3" t="s">
        <v>6950</v>
      </c>
      <c r="K156" s="3" t="s">
        <v>8973</v>
      </c>
      <c r="L156" s="16">
        <v>3.0</v>
      </c>
      <c r="M156" s="3" t="s">
        <v>9140</v>
      </c>
      <c r="N156" s="3" t="s">
        <v>9141</v>
      </c>
      <c r="O156" s="3" t="s">
        <v>9308</v>
      </c>
      <c r="P156" s="16">
        <v>2.0</v>
      </c>
      <c r="Q156" s="16">
        <v>0.0</v>
      </c>
      <c r="R156" s="16">
        <v>1.0</v>
      </c>
      <c r="S156" s="16">
        <v>0.0</v>
      </c>
      <c r="T156" s="3" t="s">
        <v>4466</v>
      </c>
    </row>
    <row r="157">
      <c r="A157" s="3" t="s">
        <v>9376</v>
      </c>
      <c r="B157" s="3" t="s">
        <v>9377</v>
      </c>
      <c r="C157" s="17">
        <v>46035.625</v>
      </c>
      <c r="D157" s="17">
        <v>46035.70833333333</v>
      </c>
      <c r="E157" s="25">
        <v>2.0</v>
      </c>
      <c r="F157" s="2"/>
      <c r="G157" s="2"/>
      <c r="H157" s="3" t="s">
        <v>8971</v>
      </c>
      <c r="I157" s="3" t="s">
        <v>9077</v>
      </c>
      <c r="J157" s="3" t="s">
        <v>9032</v>
      </c>
      <c r="K157" s="3" t="s">
        <v>8971</v>
      </c>
      <c r="L157" s="16">
        <v>9.0</v>
      </c>
      <c r="M157" s="3" t="s">
        <v>9378</v>
      </c>
      <c r="N157" s="3" t="s">
        <v>9378</v>
      </c>
      <c r="O157" s="3" t="s">
        <v>9379</v>
      </c>
      <c r="P157" s="16">
        <v>5.0</v>
      </c>
      <c r="Q157" s="16">
        <v>1.0</v>
      </c>
      <c r="R157" s="16">
        <v>1.0</v>
      </c>
      <c r="S157" s="16">
        <v>2.0</v>
      </c>
      <c r="T157" s="2"/>
    </row>
    <row r="158">
      <c r="A158" s="3" t="s">
        <v>9380</v>
      </c>
      <c r="B158" s="3" t="s">
        <v>9381</v>
      </c>
      <c r="C158" s="17">
        <v>46036.45833333333</v>
      </c>
      <c r="D158" s="17">
        <v>46036.47916666667</v>
      </c>
      <c r="E158" s="25">
        <v>0.5</v>
      </c>
      <c r="G158" s="3" t="s">
        <v>9382</v>
      </c>
      <c r="H158" s="3" t="s">
        <v>8971</v>
      </c>
      <c r="I158" s="3" t="s">
        <v>9094</v>
      </c>
      <c r="J158" s="3" t="s">
        <v>6853</v>
      </c>
      <c r="K158" s="3" t="s">
        <v>8971</v>
      </c>
      <c r="L158" s="16">
        <v>3.0</v>
      </c>
      <c r="M158" s="3" t="s">
        <v>9383</v>
      </c>
      <c r="N158" s="3" t="s">
        <v>9383</v>
      </c>
      <c r="O158" s="3" t="s">
        <v>9275</v>
      </c>
      <c r="P158" s="16">
        <v>2.0</v>
      </c>
      <c r="Q158" s="16">
        <v>0.0</v>
      </c>
      <c r="R158" s="16">
        <v>0.0</v>
      </c>
      <c r="S158" s="16">
        <v>1.0</v>
      </c>
      <c r="T158" s="3" t="s">
        <v>163</v>
      </c>
    </row>
    <row r="159">
      <c r="A159" s="3" t="s">
        <v>9384</v>
      </c>
      <c r="B159" s="3" t="s">
        <v>9015</v>
      </c>
      <c r="C159" s="17">
        <v>46036.54166666667</v>
      </c>
      <c r="D159" s="17">
        <v>46036.5625</v>
      </c>
      <c r="E159" s="25">
        <v>0.5</v>
      </c>
      <c r="F159" s="2"/>
      <c r="G159" s="2"/>
      <c r="H159" s="3" t="s">
        <v>8971</v>
      </c>
      <c r="I159" s="3" t="s">
        <v>9077</v>
      </c>
      <c r="J159" s="3" t="s">
        <v>6950</v>
      </c>
      <c r="K159" s="3" t="s">
        <v>8973</v>
      </c>
      <c r="L159" s="16">
        <v>3.0</v>
      </c>
      <c r="M159" s="3" t="s">
        <v>9016</v>
      </c>
      <c r="N159" s="3" t="s">
        <v>9016</v>
      </c>
      <c r="O159" s="3" t="s">
        <v>9017</v>
      </c>
      <c r="P159" s="16">
        <v>3.0</v>
      </c>
      <c r="Q159" s="16">
        <v>0.0</v>
      </c>
      <c r="R159" s="16">
        <v>0.0</v>
      </c>
      <c r="S159" s="16">
        <v>0.0</v>
      </c>
      <c r="T159" s="3" t="s">
        <v>1975</v>
      </c>
    </row>
    <row r="160">
      <c r="A160" s="3" t="s">
        <v>9385</v>
      </c>
      <c r="B160" s="3" t="s">
        <v>8941</v>
      </c>
      <c r="C160" s="17">
        <v>46037.4375</v>
      </c>
      <c r="D160" s="17">
        <v>46037.45833333333</v>
      </c>
      <c r="E160" s="25">
        <v>0.5</v>
      </c>
      <c r="F160" s="3" t="s">
        <v>9107</v>
      </c>
      <c r="G160" s="3" t="s">
        <v>9386</v>
      </c>
      <c r="H160" s="3" t="s">
        <v>8971</v>
      </c>
      <c r="I160" s="3" t="s">
        <v>9094</v>
      </c>
      <c r="J160" s="3" t="s">
        <v>6853</v>
      </c>
      <c r="K160" s="3" t="s">
        <v>8971</v>
      </c>
      <c r="L160" s="16">
        <v>3.0</v>
      </c>
      <c r="M160" s="3" t="s">
        <v>9387</v>
      </c>
      <c r="N160" s="3" t="s">
        <v>9388</v>
      </c>
      <c r="O160" s="3" t="s">
        <v>9389</v>
      </c>
      <c r="P160" s="16">
        <v>0.0</v>
      </c>
      <c r="Q160" s="16">
        <v>0.0</v>
      </c>
      <c r="R160" s="16">
        <v>0.0</v>
      </c>
      <c r="S160" s="16">
        <v>3.0</v>
      </c>
      <c r="T160" s="3" t="s">
        <v>2672</v>
      </c>
    </row>
    <row r="161">
      <c r="A161" s="3" t="s">
        <v>9262</v>
      </c>
      <c r="B161" s="3" t="s">
        <v>9263</v>
      </c>
      <c r="C161" s="17">
        <v>46037.4375</v>
      </c>
      <c r="D161" s="17">
        <v>46037.45833333333</v>
      </c>
      <c r="E161" s="25">
        <v>0.5</v>
      </c>
      <c r="F161" s="2"/>
      <c r="G161" s="2"/>
      <c r="H161" s="3" t="s">
        <v>8971</v>
      </c>
      <c r="I161" s="3" t="s">
        <v>9077</v>
      </c>
      <c r="J161" s="3" t="s">
        <v>6950</v>
      </c>
      <c r="K161" s="3" t="s">
        <v>8973</v>
      </c>
      <c r="L161" s="16">
        <v>4.0</v>
      </c>
      <c r="M161" s="3" t="s">
        <v>9311</v>
      </c>
      <c r="N161" s="3" t="s">
        <v>9312</v>
      </c>
      <c r="O161" s="3" t="s">
        <v>9167</v>
      </c>
      <c r="P161" s="16">
        <v>4.0</v>
      </c>
      <c r="Q161" s="16">
        <v>0.0</v>
      </c>
      <c r="R161" s="16">
        <v>0.0</v>
      </c>
      <c r="S161" s="16">
        <v>0.0</v>
      </c>
      <c r="T161" s="3" t="s">
        <v>2672</v>
      </c>
    </row>
    <row r="162">
      <c r="A162" s="3" t="s">
        <v>9390</v>
      </c>
      <c r="B162" s="3" t="s">
        <v>8977</v>
      </c>
      <c r="C162" s="17">
        <v>46037.45833333333</v>
      </c>
      <c r="D162" s="17">
        <v>46037.47916666667</v>
      </c>
      <c r="E162" s="25">
        <v>0.5</v>
      </c>
      <c r="F162" s="2"/>
      <c r="G162" s="3" t="s">
        <v>9391</v>
      </c>
      <c r="H162" s="3" t="s">
        <v>8971</v>
      </c>
      <c r="I162" s="3" t="s">
        <v>9077</v>
      </c>
      <c r="J162" s="3" t="s">
        <v>6950</v>
      </c>
      <c r="K162" s="3" t="s">
        <v>8971</v>
      </c>
      <c r="L162" s="16">
        <v>3.0</v>
      </c>
      <c r="M162" s="3" t="s">
        <v>9392</v>
      </c>
      <c r="N162" s="3" t="s">
        <v>9392</v>
      </c>
      <c r="O162" s="3" t="s">
        <v>9017</v>
      </c>
      <c r="P162" s="16">
        <v>3.0</v>
      </c>
      <c r="Q162" s="16">
        <v>0.0</v>
      </c>
      <c r="R162" s="16">
        <v>0.0</v>
      </c>
      <c r="S162" s="16">
        <v>0.0</v>
      </c>
      <c r="T162" s="3" t="s">
        <v>2576</v>
      </c>
    </row>
    <row r="163">
      <c r="A163" s="3" t="s">
        <v>9393</v>
      </c>
      <c r="B163" s="3" t="s">
        <v>9394</v>
      </c>
      <c r="C163" s="17">
        <v>46037.5625</v>
      </c>
      <c r="D163" s="17">
        <v>46037.58333333333</v>
      </c>
      <c r="E163" s="25">
        <v>0.5</v>
      </c>
      <c r="F163" s="2"/>
      <c r="G163" s="3" t="s">
        <v>9395</v>
      </c>
      <c r="H163" s="3" t="s">
        <v>8971</v>
      </c>
      <c r="I163" s="3" t="s">
        <v>9077</v>
      </c>
      <c r="J163" s="3" t="s">
        <v>6950</v>
      </c>
      <c r="K163" s="3" t="s">
        <v>8971</v>
      </c>
      <c r="L163" s="16">
        <v>3.0</v>
      </c>
      <c r="M163" s="3" t="s">
        <v>9396</v>
      </c>
      <c r="N163" s="3" t="s">
        <v>9396</v>
      </c>
      <c r="O163" s="3" t="s">
        <v>9017</v>
      </c>
      <c r="P163" s="16">
        <v>3.0</v>
      </c>
      <c r="Q163" s="16">
        <v>0.0</v>
      </c>
      <c r="R163" s="16">
        <v>0.0</v>
      </c>
      <c r="S163" s="16">
        <v>0.0</v>
      </c>
      <c r="T163" s="3" t="s">
        <v>2946</v>
      </c>
    </row>
    <row r="164">
      <c r="A164" s="3" t="s">
        <v>9314</v>
      </c>
      <c r="B164" s="3" t="s">
        <v>9315</v>
      </c>
      <c r="C164" s="17">
        <v>46037.58333333333</v>
      </c>
      <c r="D164" s="17">
        <v>46037.60416666667</v>
      </c>
      <c r="E164" s="25">
        <v>0.5</v>
      </c>
      <c r="F164" s="2"/>
      <c r="G164" s="2"/>
      <c r="H164" s="3" t="s">
        <v>8971</v>
      </c>
      <c r="I164" s="3" t="s">
        <v>9077</v>
      </c>
      <c r="J164" s="3" t="s">
        <v>6950</v>
      </c>
      <c r="K164" s="3" t="s">
        <v>8973</v>
      </c>
      <c r="L164" s="16">
        <v>6.0</v>
      </c>
      <c r="M164" s="3" t="s">
        <v>9316</v>
      </c>
      <c r="N164" s="3" t="s">
        <v>9316</v>
      </c>
      <c r="O164" s="3" t="s">
        <v>9397</v>
      </c>
      <c r="P164" s="16">
        <v>1.0</v>
      </c>
      <c r="Q164" s="16">
        <v>3.0</v>
      </c>
      <c r="R164" s="16">
        <v>0.0</v>
      </c>
      <c r="S164" s="16">
        <v>2.0</v>
      </c>
      <c r="T164" s="3" t="s">
        <v>5285</v>
      </c>
    </row>
    <row r="165">
      <c r="A165" s="3" t="s">
        <v>9398</v>
      </c>
      <c r="B165" s="3" t="s">
        <v>9399</v>
      </c>
      <c r="C165" s="17">
        <v>46037.64583333333</v>
      </c>
      <c r="D165" s="17">
        <v>46037.66666666667</v>
      </c>
      <c r="E165" s="25">
        <v>0.5</v>
      </c>
      <c r="F165" s="13" t="s">
        <v>9400</v>
      </c>
      <c r="G165" s="3" t="s">
        <v>9401</v>
      </c>
      <c r="H165" s="3" t="s">
        <v>8971</v>
      </c>
      <c r="I165" s="3" t="s">
        <v>9094</v>
      </c>
      <c r="J165" s="3" t="s">
        <v>6853</v>
      </c>
      <c r="K165" s="3" t="s">
        <v>8971</v>
      </c>
      <c r="L165" s="16">
        <v>6.0</v>
      </c>
      <c r="M165" s="3" t="s">
        <v>9402</v>
      </c>
      <c r="N165" s="3" t="s">
        <v>9402</v>
      </c>
      <c r="O165" s="3" t="s">
        <v>9403</v>
      </c>
      <c r="P165" s="16">
        <v>2.0</v>
      </c>
      <c r="Q165" s="16">
        <v>0.0</v>
      </c>
      <c r="R165" s="16">
        <v>0.0</v>
      </c>
      <c r="S165" s="16">
        <v>4.0</v>
      </c>
      <c r="T165" s="3" t="s">
        <v>961</v>
      </c>
    </row>
    <row r="166">
      <c r="A166" s="3" t="s">
        <v>9280</v>
      </c>
      <c r="B166" s="3" t="s">
        <v>9281</v>
      </c>
      <c r="C166" s="17">
        <v>46037.70833333333</v>
      </c>
      <c r="D166" s="17">
        <v>46037.72916666667</v>
      </c>
      <c r="E166" s="25">
        <v>0.5</v>
      </c>
      <c r="F166" s="2"/>
      <c r="G166" s="3" t="s">
        <v>9282</v>
      </c>
      <c r="H166" s="3" t="s">
        <v>8971</v>
      </c>
      <c r="I166" s="3" t="s">
        <v>9077</v>
      </c>
      <c r="J166" s="3" t="s">
        <v>9283</v>
      </c>
      <c r="K166" s="3" t="s">
        <v>8973</v>
      </c>
      <c r="L166" s="16">
        <v>15.0</v>
      </c>
      <c r="M166" s="3" t="s">
        <v>9284</v>
      </c>
      <c r="N166" s="3" t="s">
        <v>9285</v>
      </c>
      <c r="O166" s="3" t="s">
        <v>9404</v>
      </c>
      <c r="P166" s="16">
        <v>9.0</v>
      </c>
      <c r="Q166" s="16">
        <v>0.0</v>
      </c>
      <c r="R166" s="16">
        <v>1.0</v>
      </c>
      <c r="S166" s="16">
        <v>5.0</v>
      </c>
      <c r="T166" s="3" t="s">
        <v>2922</v>
      </c>
    </row>
    <row r="167">
      <c r="A167" s="3" t="s">
        <v>9405</v>
      </c>
      <c r="B167" s="3" t="s">
        <v>9406</v>
      </c>
      <c r="C167" s="17">
        <v>46038.41666666667</v>
      </c>
      <c r="D167" s="17">
        <v>46038.4375</v>
      </c>
      <c r="E167" s="25">
        <v>0.5</v>
      </c>
      <c r="F167" s="2"/>
      <c r="G167" s="3" t="s">
        <v>9407</v>
      </c>
      <c r="H167" s="3" t="s">
        <v>8971</v>
      </c>
      <c r="I167" s="3" t="s">
        <v>9077</v>
      </c>
      <c r="J167" s="3" t="s">
        <v>6950</v>
      </c>
      <c r="K167" s="3" t="s">
        <v>8973</v>
      </c>
      <c r="L167" s="16">
        <v>6.0</v>
      </c>
      <c r="M167" s="3" t="s">
        <v>9408</v>
      </c>
      <c r="N167" s="3" t="s">
        <v>9408</v>
      </c>
      <c r="O167" s="3" t="s">
        <v>9409</v>
      </c>
      <c r="P167" s="16">
        <v>6.0</v>
      </c>
      <c r="Q167" s="16">
        <v>0.0</v>
      </c>
      <c r="R167" s="16">
        <v>0.0</v>
      </c>
      <c r="S167" s="16">
        <v>0.0</v>
      </c>
      <c r="T167" s="3" t="s">
        <v>5721</v>
      </c>
    </row>
    <row r="168">
      <c r="A168" s="3" t="s">
        <v>9410</v>
      </c>
      <c r="B168" s="3" t="s">
        <v>7147</v>
      </c>
      <c r="C168" s="17">
        <v>46041.54166666667</v>
      </c>
      <c r="D168" s="17">
        <v>46041.5625</v>
      </c>
      <c r="E168" s="25">
        <v>0.5</v>
      </c>
      <c r="F168" s="13" t="s">
        <v>9411</v>
      </c>
      <c r="G168" s="3" t="s">
        <v>9412</v>
      </c>
      <c r="H168" s="3" t="s">
        <v>8971</v>
      </c>
      <c r="I168" s="3" t="s">
        <v>9094</v>
      </c>
      <c r="J168" s="3" t="s">
        <v>6853</v>
      </c>
      <c r="K168" s="3" t="s">
        <v>8973</v>
      </c>
      <c r="L168" s="16">
        <v>4.0</v>
      </c>
      <c r="M168" s="3" t="s">
        <v>9349</v>
      </c>
      <c r="N168" s="3" t="s">
        <v>9349</v>
      </c>
      <c r="O168" s="3" t="s">
        <v>9413</v>
      </c>
      <c r="P168" s="16">
        <v>1.0</v>
      </c>
      <c r="Q168" s="16">
        <v>1.0</v>
      </c>
      <c r="R168" s="16">
        <v>0.0</v>
      </c>
      <c r="S168" s="16">
        <v>2.0</v>
      </c>
      <c r="T168" s="3" t="s">
        <v>1725</v>
      </c>
    </row>
    <row r="169">
      <c r="A169" s="3" t="s">
        <v>9325</v>
      </c>
      <c r="B169" s="3" t="s">
        <v>9000</v>
      </c>
      <c r="C169" s="17">
        <v>46041.58333333333</v>
      </c>
      <c r="D169" s="17">
        <v>46041.60416666667</v>
      </c>
      <c r="E169" s="25">
        <v>0.5</v>
      </c>
      <c r="F169" s="2"/>
      <c r="G169" s="2"/>
      <c r="H169" s="3" t="s">
        <v>8971</v>
      </c>
      <c r="I169" s="3" t="s">
        <v>8972</v>
      </c>
      <c r="J169" s="3" t="s">
        <v>6950</v>
      </c>
      <c r="K169" s="3" t="s">
        <v>8973</v>
      </c>
      <c r="L169" s="16">
        <v>4.0</v>
      </c>
      <c r="M169" s="3" t="s">
        <v>9001</v>
      </c>
      <c r="N169" s="3" t="s">
        <v>9001</v>
      </c>
      <c r="O169" s="3" t="s">
        <v>9414</v>
      </c>
      <c r="P169" s="16">
        <v>0.0</v>
      </c>
      <c r="Q169" s="16">
        <v>1.0</v>
      </c>
      <c r="R169" s="16">
        <v>0.0</v>
      </c>
      <c r="S169" s="16">
        <v>3.0</v>
      </c>
      <c r="T169" s="3" t="s">
        <v>2594</v>
      </c>
    </row>
    <row r="170">
      <c r="A170" s="3" t="s">
        <v>9223</v>
      </c>
      <c r="B170" s="3" t="s">
        <v>8418</v>
      </c>
      <c r="C170" s="17">
        <v>46041.60416666667</v>
      </c>
      <c r="D170" s="17">
        <v>46041.625</v>
      </c>
      <c r="E170" s="25">
        <v>0.5</v>
      </c>
      <c r="G170" s="3" t="s">
        <v>9304</v>
      </c>
      <c r="H170" s="3" t="s">
        <v>8971</v>
      </c>
      <c r="I170" s="3" t="s">
        <v>9094</v>
      </c>
      <c r="J170" s="3" t="s">
        <v>6853</v>
      </c>
      <c r="K170" s="3" t="s">
        <v>8973</v>
      </c>
      <c r="L170" s="16">
        <v>2.0</v>
      </c>
      <c r="M170" s="3" t="s">
        <v>9225</v>
      </c>
      <c r="N170" s="3" t="s">
        <v>9225</v>
      </c>
      <c r="O170" s="3" t="s">
        <v>9415</v>
      </c>
      <c r="P170" s="16">
        <v>0.0</v>
      </c>
      <c r="Q170" s="16">
        <v>1.0</v>
      </c>
      <c r="R170" s="16">
        <v>0.0</v>
      </c>
      <c r="S170" s="16">
        <v>1.0</v>
      </c>
      <c r="T170" s="3" t="s">
        <v>2868</v>
      </c>
    </row>
    <row r="171">
      <c r="A171" s="3" t="s">
        <v>9416</v>
      </c>
      <c r="B171" s="3" t="s">
        <v>9417</v>
      </c>
      <c r="C171" s="17">
        <v>46042.45833333333</v>
      </c>
      <c r="D171" s="17">
        <v>46042.47916666667</v>
      </c>
      <c r="E171" s="25">
        <v>0.5</v>
      </c>
      <c r="F171" s="2"/>
      <c r="G171" s="3" t="s">
        <v>9418</v>
      </c>
      <c r="H171" s="3" t="s">
        <v>8971</v>
      </c>
      <c r="I171" s="3" t="s">
        <v>9094</v>
      </c>
      <c r="J171" s="3" t="s">
        <v>6853</v>
      </c>
      <c r="K171" s="3" t="s">
        <v>8973</v>
      </c>
      <c r="L171" s="16">
        <v>6.0</v>
      </c>
      <c r="M171" s="3" t="s">
        <v>9419</v>
      </c>
      <c r="N171" s="3" t="s">
        <v>9419</v>
      </c>
      <c r="O171" s="3" t="s">
        <v>9420</v>
      </c>
      <c r="P171" s="16">
        <v>1.0</v>
      </c>
      <c r="Q171" s="16">
        <v>0.0</v>
      </c>
      <c r="R171" s="16">
        <v>0.0</v>
      </c>
      <c r="S171" s="16">
        <v>5.0</v>
      </c>
      <c r="T171" s="3" t="s">
        <v>5602</v>
      </c>
    </row>
    <row r="172">
      <c r="A172" s="3" t="s">
        <v>9307</v>
      </c>
      <c r="B172" s="3" t="s">
        <v>9137</v>
      </c>
      <c r="C172" s="17">
        <v>46042.5</v>
      </c>
      <c r="D172" s="17">
        <v>46042.52083333333</v>
      </c>
      <c r="E172" s="25">
        <v>0.5</v>
      </c>
      <c r="F172" s="2"/>
      <c r="G172" s="3" t="s">
        <v>9138</v>
      </c>
      <c r="H172" s="3" t="s">
        <v>8971</v>
      </c>
      <c r="I172" s="3" t="s">
        <v>9077</v>
      </c>
      <c r="J172" s="3" t="s">
        <v>6950</v>
      </c>
      <c r="K172" s="3" t="s">
        <v>8973</v>
      </c>
      <c r="L172" s="16">
        <v>3.0</v>
      </c>
      <c r="M172" s="3" t="s">
        <v>9140</v>
      </c>
      <c r="N172" s="3" t="s">
        <v>9141</v>
      </c>
      <c r="O172" s="3" t="s">
        <v>9308</v>
      </c>
      <c r="P172" s="16">
        <v>2.0</v>
      </c>
      <c r="Q172" s="16">
        <v>0.0</v>
      </c>
      <c r="R172" s="16">
        <v>1.0</v>
      </c>
      <c r="S172" s="16">
        <v>0.0</v>
      </c>
      <c r="T172" s="3" t="s">
        <v>4466</v>
      </c>
    </row>
    <row r="173">
      <c r="A173" s="3" t="s">
        <v>9309</v>
      </c>
      <c r="B173" s="3" t="s">
        <v>6844</v>
      </c>
      <c r="C173" s="17">
        <v>46042.5625</v>
      </c>
      <c r="D173" s="17">
        <v>46042.58333333333</v>
      </c>
      <c r="E173" s="25">
        <v>0.5</v>
      </c>
      <c r="G173" s="2"/>
      <c r="H173" s="3" t="s">
        <v>8971</v>
      </c>
      <c r="I173" s="3" t="s">
        <v>9094</v>
      </c>
      <c r="J173" s="3" t="s">
        <v>6853</v>
      </c>
      <c r="K173" s="3" t="s">
        <v>8973</v>
      </c>
      <c r="L173" s="16">
        <v>2.0</v>
      </c>
      <c r="M173" s="3" t="s">
        <v>9310</v>
      </c>
      <c r="N173" s="3" t="s">
        <v>9310</v>
      </c>
      <c r="O173" s="3" t="s">
        <v>9043</v>
      </c>
      <c r="P173" s="16">
        <v>1.0</v>
      </c>
      <c r="Q173" s="16">
        <v>0.0</v>
      </c>
      <c r="R173" s="16">
        <v>0.0</v>
      </c>
      <c r="S173" s="16">
        <v>1.0</v>
      </c>
      <c r="T173" s="3" t="s">
        <v>2616</v>
      </c>
    </row>
    <row r="174">
      <c r="A174" s="3" t="s">
        <v>9421</v>
      </c>
      <c r="B174" s="3" t="s">
        <v>9422</v>
      </c>
      <c r="C174" s="17">
        <v>46044.35416666667</v>
      </c>
      <c r="D174" s="17">
        <v>46044.375</v>
      </c>
      <c r="E174" s="25">
        <v>0.5</v>
      </c>
      <c r="G174" s="2"/>
      <c r="H174" s="3" t="s">
        <v>8971</v>
      </c>
      <c r="I174" s="3" t="s">
        <v>9077</v>
      </c>
      <c r="J174" s="3" t="s">
        <v>6950</v>
      </c>
      <c r="K174" s="3" t="s">
        <v>8973</v>
      </c>
      <c r="L174" s="16">
        <v>4.0</v>
      </c>
      <c r="M174" s="3" t="s">
        <v>9423</v>
      </c>
      <c r="N174" s="3" t="s">
        <v>9423</v>
      </c>
      <c r="O174" s="3" t="s">
        <v>9002</v>
      </c>
      <c r="P174" s="16">
        <v>1.0</v>
      </c>
      <c r="Q174" s="16">
        <v>0.0</v>
      </c>
      <c r="R174" s="16">
        <v>0.0</v>
      </c>
      <c r="S174" s="16">
        <v>3.0</v>
      </c>
      <c r="T174" s="3" t="s">
        <v>693</v>
      </c>
    </row>
    <row r="175">
      <c r="A175" s="3" t="s">
        <v>9424</v>
      </c>
      <c r="B175" s="3" t="s">
        <v>9425</v>
      </c>
      <c r="C175" s="17">
        <v>46044.45833333333</v>
      </c>
      <c r="D175" s="17">
        <v>46044.47916666667</v>
      </c>
      <c r="E175" s="25">
        <v>0.5</v>
      </c>
      <c r="G175" s="3" t="s">
        <v>9426</v>
      </c>
      <c r="H175" s="3" t="s">
        <v>8971</v>
      </c>
      <c r="I175" s="3" t="s">
        <v>9094</v>
      </c>
      <c r="J175" s="3" t="s">
        <v>6853</v>
      </c>
      <c r="K175" s="3" t="s">
        <v>8971</v>
      </c>
      <c r="L175" s="16">
        <v>3.0</v>
      </c>
      <c r="M175" s="3" t="s">
        <v>9427</v>
      </c>
      <c r="N175" s="3" t="s">
        <v>9427</v>
      </c>
      <c r="O175" s="3" t="s">
        <v>9428</v>
      </c>
      <c r="P175" s="16">
        <v>2.0</v>
      </c>
      <c r="Q175" s="16">
        <v>0.0</v>
      </c>
      <c r="R175" s="16">
        <v>1.0</v>
      </c>
      <c r="S175" s="16">
        <v>0.0</v>
      </c>
      <c r="T175" s="3" t="s">
        <v>5396</v>
      </c>
    </row>
    <row r="176">
      <c r="A176" s="3" t="s">
        <v>9340</v>
      </c>
      <c r="B176" s="3" t="s">
        <v>9176</v>
      </c>
      <c r="C176" s="17">
        <v>46044.47916666667</v>
      </c>
      <c r="D176" s="17">
        <v>46044.5</v>
      </c>
      <c r="E176" s="25">
        <v>0.5</v>
      </c>
      <c r="F176" s="2"/>
      <c r="G176" s="2"/>
      <c r="H176" s="3" t="s">
        <v>8971</v>
      </c>
      <c r="I176" s="3" t="s">
        <v>9077</v>
      </c>
      <c r="J176" s="3" t="s">
        <v>6950</v>
      </c>
      <c r="K176" s="3" t="s">
        <v>8973</v>
      </c>
      <c r="L176" s="16">
        <v>5.0</v>
      </c>
      <c r="M176" s="3" t="s">
        <v>9341</v>
      </c>
      <c r="N176" s="3" t="s">
        <v>9341</v>
      </c>
      <c r="O176" s="3" t="s">
        <v>9342</v>
      </c>
      <c r="P176" s="16">
        <v>4.0</v>
      </c>
      <c r="Q176" s="16">
        <v>0.0</v>
      </c>
      <c r="R176" s="16">
        <v>0.0</v>
      </c>
      <c r="S176" s="16">
        <v>1.0</v>
      </c>
      <c r="T176" s="2"/>
    </row>
    <row r="177">
      <c r="A177" s="3" t="s">
        <v>9429</v>
      </c>
      <c r="B177" s="3" t="s">
        <v>9231</v>
      </c>
      <c r="C177" s="17">
        <v>46045.41666666667</v>
      </c>
      <c r="D177" s="17">
        <v>46045.4375</v>
      </c>
      <c r="E177" s="25">
        <v>0.5</v>
      </c>
      <c r="G177" s="3" t="s">
        <v>9430</v>
      </c>
      <c r="H177" s="3" t="s">
        <v>8971</v>
      </c>
      <c r="I177" s="3" t="s">
        <v>9006</v>
      </c>
      <c r="J177" s="3" t="s">
        <v>6950</v>
      </c>
      <c r="K177" s="3" t="s">
        <v>8973</v>
      </c>
      <c r="L177" s="16">
        <v>5.0</v>
      </c>
      <c r="M177" s="3" t="s">
        <v>9431</v>
      </c>
      <c r="N177" s="3" t="s">
        <v>9431</v>
      </c>
      <c r="O177" s="3" t="s">
        <v>9432</v>
      </c>
      <c r="P177" s="16">
        <v>0.0</v>
      </c>
      <c r="Q177" s="16">
        <v>0.0</v>
      </c>
      <c r="R177" s="16">
        <v>0.0</v>
      </c>
      <c r="S177" s="16">
        <v>5.0</v>
      </c>
      <c r="T177" s="3" t="s">
        <v>3644</v>
      </c>
    </row>
    <row r="178">
      <c r="A178" s="3" t="s">
        <v>9433</v>
      </c>
      <c r="B178" s="3" t="s">
        <v>9434</v>
      </c>
      <c r="C178" s="17">
        <v>46048.5</v>
      </c>
      <c r="D178" s="17">
        <v>46048.52083333333</v>
      </c>
      <c r="E178" s="25">
        <v>0.5</v>
      </c>
      <c r="G178" s="3" t="s">
        <v>9435</v>
      </c>
      <c r="H178" s="3" t="s">
        <v>8971</v>
      </c>
      <c r="I178" s="3" t="s">
        <v>9094</v>
      </c>
      <c r="J178" s="3" t="s">
        <v>6853</v>
      </c>
      <c r="K178" s="3" t="s">
        <v>8971</v>
      </c>
      <c r="L178" s="16">
        <v>3.0</v>
      </c>
      <c r="M178" s="3" t="s">
        <v>9436</v>
      </c>
      <c r="N178" s="3" t="s">
        <v>9436</v>
      </c>
      <c r="O178" s="3" t="s">
        <v>9370</v>
      </c>
      <c r="P178" s="16">
        <v>1.0</v>
      </c>
      <c r="Q178" s="16">
        <v>0.0</v>
      </c>
      <c r="R178" s="16">
        <v>0.0</v>
      </c>
      <c r="S178" s="16">
        <v>2.0</v>
      </c>
      <c r="T178" s="3" t="s">
        <v>5498</v>
      </c>
    </row>
    <row r="179">
      <c r="A179" s="3" t="s">
        <v>9437</v>
      </c>
      <c r="B179" s="3" t="s">
        <v>9438</v>
      </c>
      <c r="C179" s="17">
        <v>46048.5625</v>
      </c>
      <c r="D179" s="17">
        <v>46048.58333333333</v>
      </c>
      <c r="E179" s="25">
        <v>0.5</v>
      </c>
      <c r="G179" s="2"/>
      <c r="H179" s="3" t="s">
        <v>8971</v>
      </c>
      <c r="I179" s="3" t="s">
        <v>9006</v>
      </c>
      <c r="J179" s="3" t="s">
        <v>6950</v>
      </c>
      <c r="K179" s="3" t="s">
        <v>8973</v>
      </c>
      <c r="L179" s="16">
        <v>4.0</v>
      </c>
      <c r="M179" s="3" t="s">
        <v>9439</v>
      </c>
      <c r="N179" s="3" t="s">
        <v>9439</v>
      </c>
      <c r="O179" s="3" t="s">
        <v>9440</v>
      </c>
      <c r="P179" s="16">
        <v>2.0</v>
      </c>
      <c r="Q179" s="16">
        <v>0.0</v>
      </c>
      <c r="R179" s="16">
        <v>0.0</v>
      </c>
      <c r="S179" s="16">
        <v>2.0</v>
      </c>
      <c r="T179" s="3" t="s">
        <v>3616</v>
      </c>
    </row>
    <row r="180">
      <c r="A180" s="3" t="s">
        <v>9441</v>
      </c>
      <c r="B180" s="3" t="s">
        <v>7840</v>
      </c>
      <c r="C180" s="17">
        <v>46048.58333333333</v>
      </c>
      <c r="D180" s="17">
        <v>46048.60416666667</v>
      </c>
      <c r="E180" s="25">
        <v>0.5</v>
      </c>
      <c r="F180" s="2"/>
      <c r="G180" s="2"/>
      <c r="H180" s="3" t="s">
        <v>8971</v>
      </c>
      <c r="I180" s="3" t="s">
        <v>9094</v>
      </c>
      <c r="J180" s="3" t="s">
        <v>6853</v>
      </c>
      <c r="K180" s="3" t="s">
        <v>8973</v>
      </c>
      <c r="L180" s="16">
        <v>4.0</v>
      </c>
      <c r="M180" s="3" t="s">
        <v>9166</v>
      </c>
      <c r="N180" s="3" t="s">
        <v>9166</v>
      </c>
      <c r="O180" s="3" t="s">
        <v>9002</v>
      </c>
      <c r="P180" s="16">
        <v>1.0</v>
      </c>
      <c r="Q180" s="16">
        <v>0.0</v>
      </c>
      <c r="R180" s="16">
        <v>0.0</v>
      </c>
      <c r="S180" s="16">
        <v>3.0</v>
      </c>
      <c r="T180" s="3" t="s">
        <v>5544</v>
      </c>
    </row>
    <row r="181">
      <c r="A181" s="3" t="s">
        <v>9223</v>
      </c>
      <c r="B181" s="3" t="s">
        <v>8418</v>
      </c>
      <c r="C181" s="17">
        <v>46048.60416666667</v>
      </c>
      <c r="D181" s="17">
        <v>46048.625</v>
      </c>
      <c r="E181" s="25">
        <v>0.5</v>
      </c>
      <c r="G181" s="3" t="s">
        <v>9304</v>
      </c>
      <c r="H181" s="3" t="s">
        <v>8971</v>
      </c>
      <c r="I181" s="3" t="s">
        <v>9094</v>
      </c>
      <c r="J181" s="3" t="s">
        <v>6853</v>
      </c>
      <c r="K181" s="3" t="s">
        <v>8973</v>
      </c>
      <c r="L181" s="16">
        <v>2.0</v>
      </c>
      <c r="M181" s="3" t="s">
        <v>9225</v>
      </c>
      <c r="N181" s="3" t="s">
        <v>9225</v>
      </c>
      <c r="O181" s="3" t="s">
        <v>9010</v>
      </c>
      <c r="P181" s="16">
        <v>0.0</v>
      </c>
      <c r="Q181" s="16">
        <v>0.0</v>
      </c>
      <c r="R181" s="16">
        <v>0.0</v>
      </c>
      <c r="S181" s="16">
        <v>2.0</v>
      </c>
      <c r="T181" s="3" t="s">
        <v>2868</v>
      </c>
    </row>
    <row r="182">
      <c r="A182" s="3" t="s">
        <v>9307</v>
      </c>
      <c r="B182" s="3" t="s">
        <v>9137</v>
      </c>
      <c r="C182" s="17">
        <v>46049.5</v>
      </c>
      <c r="D182" s="17">
        <v>46049.52083333333</v>
      </c>
      <c r="E182" s="25">
        <v>0.5</v>
      </c>
      <c r="F182" s="2"/>
      <c r="G182" s="3" t="s">
        <v>9138</v>
      </c>
      <c r="H182" s="3" t="s">
        <v>8971</v>
      </c>
      <c r="I182" s="3" t="s">
        <v>9077</v>
      </c>
      <c r="J182" s="3" t="s">
        <v>6950</v>
      </c>
      <c r="K182" s="3" t="s">
        <v>8973</v>
      </c>
      <c r="L182" s="16">
        <v>3.0</v>
      </c>
      <c r="M182" s="3" t="s">
        <v>9140</v>
      </c>
      <c r="N182" s="3" t="s">
        <v>9141</v>
      </c>
      <c r="O182" s="3" t="s">
        <v>9308</v>
      </c>
      <c r="P182" s="16">
        <v>2.0</v>
      </c>
      <c r="Q182" s="16">
        <v>0.0</v>
      </c>
      <c r="R182" s="16">
        <v>1.0</v>
      </c>
      <c r="S182" s="16">
        <v>0.0</v>
      </c>
      <c r="T182" s="3" t="s">
        <v>4466</v>
      </c>
    </row>
    <row r="183">
      <c r="A183" s="3" t="s">
        <v>9309</v>
      </c>
      <c r="B183" s="3" t="s">
        <v>6844</v>
      </c>
      <c r="C183" s="17">
        <v>46049.5625</v>
      </c>
      <c r="D183" s="17">
        <v>46049.58333333333</v>
      </c>
      <c r="E183" s="25">
        <v>0.5</v>
      </c>
      <c r="F183" s="2"/>
      <c r="G183" s="2"/>
      <c r="H183" s="3" t="s">
        <v>8971</v>
      </c>
      <c r="I183" s="3" t="s">
        <v>9094</v>
      </c>
      <c r="J183" s="3" t="s">
        <v>6853</v>
      </c>
      <c r="K183" s="3" t="s">
        <v>8973</v>
      </c>
      <c r="L183" s="16">
        <v>2.0</v>
      </c>
      <c r="M183" s="3" t="s">
        <v>9310</v>
      </c>
      <c r="N183" s="3" t="s">
        <v>9310</v>
      </c>
      <c r="O183" s="3" t="s">
        <v>9043</v>
      </c>
      <c r="P183" s="16">
        <v>1.0</v>
      </c>
      <c r="Q183" s="16">
        <v>0.0</v>
      </c>
      <c r="R183" s="16">
        <v>0.0</v>
      </c>
      <c r="S183" s="16">
        <v>1.0</v>
      </c>
      <c r="T183" s="3" t="s">
        <v>2616</v>
      </c>
    </row>
    <row r="184">
      <c r="A184" s="3" t="s">
        <v>9442</v>
      </c>
      <c r="B184" s="3" t="s">
        <v>8969</v>
      </c>
      <c r="C184" s="17">
        <v>46049.58333333333</v>
      </c>
      <c r="D184" s="17">
        <v>46049.60416666667</v>
      </c>
      <c r="E184" s="25">
        <v>0.5</v>
      </c>
      <c r="F184" s="2"/>
      <c r="G184" s="3" t="s">
        <v>8970</v>
      </c>
      <c r="H184" s="3" t="s">
        <v>8971</v>
      </c>
      <c r="I184" s="3" t="s">
        <v>9094</v>
      </c>
      <c r="J184" s="3" t="s">
        <v>6853</v>
      </c>
      <c r="K184" s="3" t="s">
        <v>8973</v>
      </c>
      <c r="L184" s="16">
        <v>3.0</v>
      </c>
      <c r="M184" s="3" t="s">
        <v>9436</v>
      </c>
      <c r="N184" s="3" t="s">
        <v>9436</v>
      </c>
      <c r="O184" s="3" t="s">
        <v>9147</v>
      </c>
      <c r="P184" s="16">
        <v>2.0</v>
      </c>
      <c r="Q184" s="16">
        <v>0.0</v>
      </c>
      <c r="R184" s="16">
        <v>0.0</v>
      </c>
      <c r="S184" s="16">
        <v>1.0</v>
      </c>
      <c r="T184" s="3" t="s">
        <v>5498</v>
      </c>
    </row>
    <row r="185">
      <c r="A185" s="3" t="s">
        <v>9384</v>
      </c>
      <c r="B185" s="3" t="s">
        <v>9015</v>
      </c>
      <c r="C185" s="17">
        <v>46050.54166666667</v>
      </c>
      <c r="D185" s="17">
        <v>46050.5625</v>
      </c>
      <c r="E185" s="25">
        <v>0.5</v>
      </c>
      <c r="F185" s="2"/>
      <c r="G185" s="2"/>
      <c r="H185" s="3" t="s">
        <v>8971</v>
      </c>
      <c r="I185" s="3" t="s">
        <v>9077</v>
      </c>
      <c r="J185" s="3" t="s">
        <v>6950</v>
      </c>
      <c r="K185" s="3" t="s">
        <v>8973</v>
      </c>
      <c r="L185" s="16">
        <v>3.0</v>
      </c>
      <c r="M185" s="3" t="s">
        <v>9016</v>
      </c>
      <c r="N185" s="3" t="s">
        <v>9016</v>
      </c>
      <c r="O185" s="3" t="s">
        <v>9017</v>
      </c>
      <c r="P185" s="16">
        <v>3.0</v>
      </c>
      <c r="Q185" s="16">
        <v>0.0</v>
      </c>
      <c r="R185" s="16">
        <v>0.0</v>
      </c>
      <c r="S185" s="16">
        <v>0.0</v>
      </c>
      <c r="T185" s="3" t="s">
        <v>1975</v>
      </c>
    </row>
    <row r="186">
      <c r="A186" s="3" t="s">
        <v>9262</v>
      </c>
      <c r="B186" s="3" t="s">
        <v>9263</v>
      </c>
      <c r="C186" s="17">
        <v>46051.4375</v>
      </c>
      <c r="D186" s="17">
        <v>46051.45833333333</v>
      </c>
      <c r="E186" s="25">
        <v>0.5</v>
      </c>
      <c r="G186" s="2"/>
      <c r="H186" s="3" t="s">
        <v>8971</v>
      </c>
      <c r="I186" s="3" t="s">
        <v>9077</v>
      </c>
      <c r="J186" s="3" t="s">
        <v>6950</v>
      </c>
      <c r="K186" s="3" t="s">
        <v>8973</v>
      </c>
      <c r="L186" s="16">
        <v>4.0</v>
      </c>
      <c r="M186" s="3" t="s">
        <v>9311</v>
      </c>
      <c r="N186" s="3" t="s">
        <v>9312</v>
      </c>
      <c r="O186" s="3" t="s">
        <v>9167</v>
      </c>
      <c r="P186" s="16">
        <v>4.0</v>
      </c>
      <c r="Q186" s="16">
        <v>0.0</v>
      </c>
      <c r="R186" s="16">
        <v>0.0</v>
      </c>
      <c r="S186" s="16">
        <v>0.0</v>
      </c>
      <c r="T186" s="3" t="s">
        <v>2672</v>
      </c>
    </row>
    <row r="187">
      <c r="A187" s="3" t="s">
        <v>9314</v>
      </c>
      <c r="B187" s="3" t="s">
        <v>9315</v>
      </c>
      <c r="C187" s="17">
        <v>46051.58333333333</v>
      </c>
      <c r="D187" s="17">
        <v>46051.60416666667</v>
      </c>
      <c r="E187" s="25">
        <v>0.5</v>
      </c>
      <c r="F187" s="2"/>
      <c r="G187" s="2"/>
      <c r="H187" s="3" t="s">
        <v>8971</v>
      </c>
      <c r="I187" s="3" t="s">
        <v>9077</v>
      </c>
      <c r="J187" s="3" t="s">
        <v>6950</v>
      </c>
      <c r="K187" s="3" t="s">
        <v>8973</v>
      </c>
      <c r="L187" s="16">
        <v>6.0</v>
      </c>
      <c r="M187" s="3" t="s">
        <v>9316</v>
      </c>
      <c r="N187" s="3" t="s">
        <v>9316</v>
      </c>
      <c r="O187" s="3" t="s">
        <v>9397</v>
      </c>
      <c r="P187" s="16">
        <v>1.0</v>
      </c>
      <c r="Q187" s="16">
        <v>3.0</v>
      </c>
      <c r="R187" s="16">
        <v>0.0</v>
      </c>
      <c r="S187" s="16">
        <v>2.0</v>
      </c>
      <c r="T187" s="3" t="s">
        <v>5285</v>
      </c>
    </row>
    <row r="188">
      <c r="A188" s="3" t="s">
        <v>9443</v>
      </c>
      <c r="B188" s="3" t="s">
        <v>8085</v>
      </c>
      <c r="C188" s="17">
        <v>46052.54166666667</v>
      </c>
      <c r="D188" s="17">
        <v>46052.5625</v>
      </c>
      <c r="E188" s="25">
        <v>0.5</v>
      </c>
      <c r="F188" s="2"/>
      <c r="G188" s="2"/>
      <c r="H188" s="3" t="s">
        <v>8971</v>
      </c>
      <c r="I188" s="3" t="s">
        <v>9077</v>
      </c>
      <c r="J188" s="3" t="s">
        <v>9206</v>
      </c>
      <c r="K188" s="3" t="s">
        <v>8973</v>
      </c>
      <c r="L188" s="16">
        <v>5.0</v>
      </c>
      <c r="M188" s="3" t="s">
        <v>9207</v>
      </c>
      <c r="N188" s="3" t="s">
        <v>9208</v>
      </c>
      <c r="O188" s="3" t="s">
        <v>9444</v>
      </c>
      <c r="P188" s="16">
        <v>4.0</v>
      </c>
      <c r="Q188" s="16">
        <v>1.0</v>
      </c>
      <c r="R188" s="16">
        <v>0.0</v>
      </c>
      <c r="S188" s="16">
        <v>0.0</v>
      </c>
      <c r="T188" s="3" t="s">
        <v>453</v>
      </c>
    </row>
    <row r="189">
      <c r="A189" s="3" t="s">
        <v>9410</v>
      </c>
      <c r="B189" s="3" t="s">
        <v>7147</v>
      </c>
      <c r="C189" s="17">
        <v>46055.54166666667</v>
      </c>
      <c r="D189" s="17">
        <v>46055.5625</v>
      </c>
      <c r="E189" s="25">
        <v>0.5</v>
      </c>
      <c r="F189" s="13" t="s">
        <v>9411</v>
      </c>
      <c r="G189" s="3" t="s">
        <v>9412</v>
      </c>
      <c r="H189" s="3" t="s">
        <v>8971</v>
      </c>
      <c r="I189" s="3" t="s">
        <v>9094</v>
      </c>
      <c r="J189" s="3" t="s">
        <v>6853</v>
      </c>
      <c r="K189" s="3" t="s">
        <v>8973</v>
      </c>
      <c r="L189" s="16">
        <v>4.0</v>
      </c>
      <c r="M189" s="3" t="s">
        <v>9349</v>
      </c>
      <c r="N189" s="3" t="s">
        <v>9349</v>
      </c>
      <c r="O189" s="3" t="s">
        <v>9002</v>
      </c>
      <c r="P189" s="16">
        <v>1.0</v>
      </c>
      <c r="Q189" s="16">
        <v>0.0</v>
      </c>
      <c r="R189" s="16">
        <v>0.0</v>
      </c>
      <c r="S189" s="16">
        <v>3.0</v>
      </c>
      <c r="T189" s="3" t="s">
        <v>1725</v>
      </c>
    </row>
    <row r="190">
      <c r="A190" s="3" t="s">
        <v>9445</v>
      </c>
      <c r="B190" s="3" t="s">
        <v>8977</v>
      </c>
      <c r="C190" s="17">
        <v>46055.5625</v>
      </c>
      <c r="D190" s="17">
        <v>46055.58333333333</v>
      </c>
      <c r="E190" s="25">
        <v>0.5</v>
      </c>
      <c r="F190" s="2"/>
      <c r="G190" s="3" t="s">
        <v>9446</v>
      </c>
      <c r="H190" s="3" t="s">
        <v>8971</v>
      </c>
      <c r="I190" s="3" t="s">
        <v>8972</v>
      </c>
      <c r="J190" s="3" t="s">
        <v>6950</v>
      </c>
      <c r="K190" s="3" t="s">
        <v>8973</v>
      </c>
      <c r="L190" s="16">
        <v>7.0</v>
      </c>
      <c r="M190" s="3" t="s">
        <v>8978</v>
      </c>
      <c r="N190" s="3" t="s">
        <v>8978</v>
      </c>
      <c r="O190" s="3" t="s">
        <v>8979</v>
      </c>
      <c r="P190" s="16">
        <v>5.0</v>
      </c>
      <c r="Q190" s="16">
        <v>0.0</v>
      </c>
      <c r="R190" s="16">
        <v>0.0</v>
      </c>
      <c r="S190" s="16">
        <v>2.0</v>
      </c>
      <c r="T190" s="3" t="s">
        <v>2576</v>
      </c>
    </row>
    <row r="191">
      <c r="A191" s="3" t="s">
        <v>9325</v>
      </c>
      <c r="B191" s="3" t="s">
        <v>9000</v>
      </c>
      <c r="C191" s="17">
        <v>46055.58333333333</v>
      </c>
      <c r="D191" s="17">
        <v>46055.60416666667</v>
      </c>
      <c r="E191" s="25">
        <v>0.5</v>
      </c>
      <c r="G191" s="2"/>
      <c r="H191" s="3" t="s">
        <v>8971</v>
      </c>
      <c r="I191" s="3" t="s">
        <v>8972</v>
      </c>
      <c r="J191" s="3" t="s">
        <v>6950</v>
      </c>
      <c r="K191" s="3" t="s">
        <v>8973</v>
      </c>
      <c r="L191" s="16">
        <v>4.0</v>
      </c>
      <c r="M191" s="3" t="s">
        <v>9001</v>
      </c>
      <c r="N191" s="3" t="s">
        <v>9001</v>
      </c>
      <c r="O191" s="3" t="s">
        <v>9002</v>
      </c>
      <c r="P191" s="16">
        <v>1.0</v>
      </c>
      <c r="Q191" s="16">
        <v>0.0</v>
      </c>
      <c r="R191" s="16">
        <v>0.0</v>
      </c>
      <c r="S191" s="16">
        <v>3.0</v>
      </c>
      <c r="T191" s="3" t="s">
        <v>2594</v>
      </c>
    </row>
    <row r="192">
      <c r="A192" s="3" t="s">
        <v>9223</v>
      </c>
      <c r="B192" s="3" t="s">
        <v>8418</v>
      </c>
      <c r="C192" s="17">
        <v>46055.60416666667</v>
      </c>
      <c r="D192" s="17">
        <v>46055.625</v>
      </c>
      <c r="E192" s="25">
        <v>0.5</v>
      </c>
      <c r="F192" s="2"/>
      <c r="G192" s="3" t="s">
        <v>9304</v>
      </c>
      <c r="H192" s="3" t="s">
        <v>8971</v>
      </c>
      <c r="I192" s="3" t="s">
        <v>9094</v>
      </c>
      <c r="J192" s="3" t="s">
        <v>6853</v>
      </c>
      <c r="K192" s="3" t="s">
        <v>8973</v>
      </c>
      <c r="L192" s="16">
        <v>2.0</v>
      </c>
      <c r="M192" s="3" t="s">
        <v>9225</v>
      </c>
      <c r="N192" s="3" t="s">
        <v>9225</v>
      </c>
      <c r="O192" s="3" t="s">
        <v>9010</v>
      </c>
      <c r="P192" s="16">
        <v>0.0</v>
      </c>
      <c r="Q192" s="16">
        <v>0.0</v>
      </c>
      <c r="R192" s="16">
        <v>0.0</v>
      </c>
      <c r="S192" s="16">
        <v>2.0</v>
      </c>
      <c r="T192" s="3" t="s">
        <v>2868</v>
      </c>
    </row>
    <row r="193">
      <c r="A193" s="3" t="s">
        <v>9447</v>
      </c>
      <c r="B193" s="3" t="s">
        <v>9448</v>
      </c>
      <c r="C193" s="17">
        <v>46056.41666666667</v>
      </c>
      <c r="D193" s="17">
        <v>46056.45833333333</v>
      </c>
      <c r="E193" s="25">
        <v>1.0</v>
      </c>
      <c r="F193" s="2"/>
      <c r="G193" s="3" t="s">
        <v>9449</v>
      </c>
      <c r="H193" s="3" t="s">
        <v>8971</v>
      </c>
      <c r="I193" s="3" t="s">
        <v>9094</v>
      </c>
      <c r="J193" s="3" t="s">
        <v>6853</v>
      </c>
      <c r="K193" s="3" t="s">
        <v>8971</v>
      </c>
      <c r="L193" s="16">
        <v>4.0</v>
      </c>
      <c r="M193" s="3" t="s">
        <v>9450</v>
      </c>
      <c r="N193" s="3" t="s">
        <v>9451</v>
      </c>
      <c r="O193" s="3" t="s">
        <v>9452</v>
      </c>
      <c r="P193" s="16">
        <v>3.0</v>
      </c>
      <c r="Q193" s="16">
        <v>0.0</v>
      </c>
      <c r="R193" s="16">
        <v>0.0</v>
      </c>
      <c r="S193" s="16">
        <v>1.0</v>
      </c>
      <c r="T193" s="3" t="s">
        <v>5667</v>
      </c>
    </row>
    <row r="194">
      <c r="A194" s="3" t="s">
        <v>9307</v>
      </c>
      <c r="B194" s="3" t="s">
        <v>9137</v>
      </c>
      <c r="C194" s="17">
        <v>46056.5</v>
      </c>
      <c r="D194" s="17">
        <v>46056.52083333333</v>
      </c>
      <c r="E194" s="25">
        <v>0.5</v>
      </c>
      <c r="F194" s="2"/>
      <c r="G194" s="3" t="s">
        <v>9138</v>
      </c>
      <c r="H194" s="3" t="s">
        <v>8971</v>
      </c>
      <c r="I194" s="3" t="s">
        <v>9077</v>
      </c>
      <c r="J194" s="3" t="s">
        <v>6950</v>
      </c>
      <c r="K194" s="3" t="s">
        <v>8973</v>
      </c>
      <c r="L194" s="16">
        <v>3.0</v>
      </c>
      <c r="M194" s="3" t="s">
        <v>9140</v>
      </c>
      <c r="N194" s="3" t="s">
        <v>9141</v>
      </c>
      <c r="O194" s="3" t="s">
        <v>9308</v>
      </c>
      <c r="P194" s="16">
        <v>2.0</v>
      </c>
      <c r="Q194" s="16">
        <v>0.0</v>
      </c>
      <c r="R194" s="16">
        <v>1.0</v>
      </c>
      <c r="S194" s="16">
        <v>0.0</v>
      </c>
      <c r="T194" s="3" t="s">
        <v>4466</v>
      </c>
    </row>
    <row r="195">
      <c r="A195" s="3" t="s">
        <v>9326</v>
      </c>
      <c r="B195" s="3" t="s">
        <v>8991</v>
      </c>
      <c r="C195" s="17">
        <v>46056.54166666667</v>
      </c>
      <c r="D195" s="17">
        <v>46056.5625</v>
      </c>
      <c r="E195" s="25">
        <v>0.5</v>
      </c>
      <c r="G195" s="3" t="s">
        <v>8992</v>
      </c>
      <c r="H195" s="3" t="s">
        <v>8971</v>
      </c>
      <c r="I195" s="3" t="s">
        <v>9077</v>
      </c>
      <c r="J195" s="3" t="s">
        <v>6950</v>
      </c>
      <c r="K195" s="3" t="s">
        <v>8973</v>
      </c>
      <c r="L195" s="16">
        <v>4.0</v>
      </c>
      <c r="M195" s="3" t="s">
        <v>8993</v>
      </c>
      <c r="N195" s="3" t="s">
        <v>8993</v>
      </c>
      <c r="O195" s="3" t="s">
        <v>9204</v>
      </c>
      <c r="P195" s="16">
        <v>3.0</v>
      </c>
      <c r="Q195" s="16">
        <v>0.0</v>
      </c>
      <c r="R195" s="16">
        <v>0.0</v>
      </c>
      <c r="S195" s="16">
        <v>1.0</v>
      </c>
      <c r="T195" s="3" t="s">
        <v>861</v>
      </c>
    </row>
    <row r="196">
      <c r="A196" s="3" t="s">
        <v>9309</v>
      </c>
      <c r="B196" s="3" t="s">
        <v>6844</v>
      </c>
      <c r="C196" s="17">
        <v>46056.5625</v>
      </c>
      <c r="D196" s="17">
        <v>46056.58333333333</v>
      </c>
      <c r="E196" s="25">
        <v>0.5</v>
      </c>
      <c r="F196" s="2"/>
      <c r="G196" s="2"/>
      <c r="H196" s="3" t="s">
        <v>8971</v>
      </c>
      <c r="I196" s="3" t="s">
        <v>9094</v>
      </c>
      <c r="J196" s="3" t="s">
        <v>6853</v>
      </c>
      <c r="K196" s="3" t="s">
        <v>8973</v>
      </c>
      <c r="L196" s="16">
        <v>2.0</v>
      </c>
      <c r="M196" s="3" t="s">
        <v>9310</v>
      </c>
      <c r="N196" s="3" t="s">
        <v>9310</v>
      </c>
      <c r="O196" s="3" t="s">
        <v>9043</v>
      </c>
      <c r="P196" s="16">
        <v>1.0</v>
      </c>
      <c r="Q196" s="16">
        <v>0.0</v>
      </c>
      <c r="R196" s="16">
        <v>0.0</v>
      </c>
      <c r="S196" s="16">
        <v>1.0</v>
      </c>
      <c r="T196" s="3" t="s">
        <v>2616</v>
      </c>
    </row>
    <row r="197">
      <c r="A197" s="3" t="s">
        <v>9453</v>
      </c>
      <c r="B197" s="3" t="s">
        <v>9454</v>
      </c>
      <c r="C197" s="17">
        <v>46056.58333333333</v>
      </c>
      <c r="D197" s="17">
        <v>46056.60416666667</v>
      </c>
      <c r="E197" s="25">
        <v>0.5</v>
      </c>
      <c r="G197" s="3" t="s">
        <v>9455</v>
      </c>
      <c r="H197" s="3" t="s">
        <v>8971</v>
      </c>
      <c r="I197" s="3" t="s">
        <v>9077</v>
      </c>
      <c r="J197" s="3" t="s">
        <v>6950</v>
      </c>
      <c r="K197" s="3" t="s">
        <v>8973</v>
      </c>
      <c r="L197" s="16">
        <v>9.0</v>
      </c>
      <c r="M197" s="3" t="s">
        <v>8982</v>
      </c>
      <c r="N197" s="3" t="s">
        <v>8983</v>
      </c>
      <c r="O197" s="3" t="s">
        <v>9456</v>
      </c>
      <c r="P197" s="16">
        <v>2.0</v>
      </c>
      <c r="Q197" s="16">
        <v>0.0</v>
      </c>
      <c r="R197" s="16">
        <v>1.0</v>
      </c>
      <c r="S197" s="16">
        <v>6.0</v>
      </c>
      <c r="T197" s="3" t="s">
        <v>2109</v>
      </c>
    </row>
    <row r="198">
      <c r="A198" s="3" t="s">
        <v>9334</v>
      </c>
      <c r="B198" s="3" t="s">
        <v>9026</v>
      </c>
      <c r="C198" s="17">
        <v>46058.33333333333</v>
      </c>
      <c r="D198" s="17">
        <v>46058.35416666667</v>
      </c>
      <c r="E198" s="25">
        <v>0.5</v>
      </c>
      <c r="G198" s="2"/>
      <c r="H198" s="3" t="s">
        <v>8971</v>
      </c>
      <c r="I198" s="3" t="s">
        <v>9077</v>
      </c>
      <c r="J198" s="3" t="s">
        <v>6950</v>
      </c>
      <c r="K198" s="3" t="s">
        <v>8973</v>
      </c>
      <c r="L198" s="16">
        <v>4.0</v>
      </c>
      <c r="M198" s="3" t="s">
        <v>9027</v>
      </c>
      <c r="N198" s="3" t="s">
        <v>9027</v>
      </c>
      <c r="O198" s="3" t="s">
        <v>9335</v>
      </c>
      <c r="P198" s="16">
        <v>2.0</v>
      </c>
      <c r="Q198" s="16">
        <v>0.0</v>
      </c>
      <c r="R198" s="16">
        <v>0.0</v>
      </c>
      <c r="S198" s="16">
        <v>2.0</v>
      </c>
      <c r="T198" s="3" t="s">
        <v>5681</v>
      </c>
    </row>
    <row r="199">
      <c r="A199" s="3" t="s">
        <v>9336</v>
      </c>
      <c r="B199" s="3" t="s">
        <v>8080</v>
      </c>
      <c r="C199" s="17">
        <v>46058.39583333333</v>
      </c>
      <c r="D199" s="17">
        <v>46058.41666666667</v>
      </c>
      <c r="E199" s="25">
        <v>0.5</v>
      </c>
      <c r="F199" s="2"/>
      <c r="G199" s="3" t="s">
        <v>9337</v>
      </c>
      <c r="H199" s="3" t="s">
        <v>8971</v>
      </c>
      <c r="I199" s="3" t="s">
        <v>9077</v>
      </c>
      <c r="J199" s="3" t="s">
        <v>9206</v>
      </c>
      <c r="K199" s="3" t="s">
        <v>8973</v>
      </c>
      <c r="L199" s="16">
        <v>7.0</v>
      </c>
      <c r="M199" s="3" t="s">
        <v>9338</v>
      </c>
      <c r="N199" s="3" t="s">
        <v>9338</v>
      </c>
      <c r="O199" s="3" t="s">
        <v>9457</v>
      </c>
      <c r="P199" s="16">
        <v>5.0</v>
      </c>
      <c r="Q199" s="16">
        <v>0.0</v>
      </c>
      <c r="R199" s="16">
        <v>0.0</v>
      </c>
      <c r="S199" s="16">
        <v>2.0</v>
      </c>
      <c r="T199" s="3" t="s">
        <v>3028</v>
      </c>
    </row>
    <row r="200">
      <c r="A200" s="3" t="s">
        <v>9458</v>
      </c>
      <c r="B200" s="3" t="s">
        <v>9022</v>
      </c>
      <c r="C200" s="17">
        <v>46058.4375</v>
      </c>
      <c r="D200" s="17">
        <v>46058.45833333333</v>
      </c>
      <c r="E200" s="25">
        <v>0.5</v>
      </c>
      <c r="G200" s="2"/>
      <c r="H200" s="3" t="s">
        <v>8971</v>
      </c>
      <c r="I200" s="3" t="s">
        <v>9077</v>
      </c>
      <c r="J200" s="3" t="s">
        <v>6950</v>
      </c>
      <c r="K200" s="3" t="s">
        <v>8973</v>
      </c>
      <c r="L200" s="16">
        <v>2.0</v>
      </c>
      <c r="M200" s="3" t="s">
        <v>9023</v>
      </c>
      <c r="N200" s="3" t="s">
        <v>9023</v>
      </c>
      <c r="O200" s="3" t="s">
        <v>9024</v>
      </c>
      <c r="P200" s="16">
        <v>2.0</v>
      </c>
      <c r="Q200" s="16">
        <v>0.0</v>
      </c>
      <c r="R200" s="16">
        <v>0.0</v>
      </c>
      <c r="S200" s="16">
        <v>0.0</v>
      </c>
      <c r="T200" s="3" t="s">
        <v>5396</v>
      </c>
    </row>
    <row r="201">
      <c r="A201" s="3" t="s">
        <v>9340</v>
      </c>
      <c r="B201" s="3" t="s">
        <v>9176</v>
      </c>
      <c r="C201" s="17">
        <v>46058.47916666667</v>
      </c>
      <c r="D201" s="17">
        <v>46058.5</v>
      </c>
      <c r="E201" s="25">
        <v>0.5</v>
      </c>
      <c r="F201" s="2"/>
      <c r="G201" s="2"/>
      <c r="H201" s="3" t="s">
        <v>8971</v>
      </c>
      <c r="I201" s="3" t="s">
        <v>9077</v>
      </c>
      <c r="J201" s="3" t="s">
        <v>6950</v>
      </c>
      <c r="K201" s="3" t="s">
        <v>8973</v>
      </c>
      <c r="L201" s="16">
        <v>5.0</v>
      </c>
      <c r="M201" s="3" t="s">
        <v>9341</v>
      </c>
      <c r="N201" s="3" t="s">
        <v>9341</v>
      </c>
      <c r="O201" s="3" t="s">
        <v>9342</v>
      </c>
      <c r="P201" s="16">
        <v>4.0</v>
      </c>
      <c r="Q201" s="16">
        <v>0.0</v>
      </c>
      <c r="R201" s="16">
        <v>0.0</v>
      </c>
      <c r="S201" s="16">
        <v>1.0</v>
      </c>
      <c r="T201" s="2"/>
    </row>
    <row r="202">
      <c r="A202" s="3" t="s">
        <v>9459</v>
      </c>
      <c r="B202" s="3" t="s">
        <v>9460</v>
      </c>
      <c r="C202" s="17">
        <v>46058.5</v>
      </c>
      <c r="D202" s="17">
        <v>46058.52083333333</v>
      </c>
      <c r="E202" s="25">
        <v>0.5</v>
      </c>
      <c r="F202" s="2"/>
      <c r="G202" s="2"/>
      <c r="H202" s="3" t="s">
        <v>8971</v>
      </c>
      <c r="I202" s="3" t="s">
        <v>9094</v>
      </c>
      <c r="J202" s="3" t="s">
        <v>6853</v>
      </c>
      <c r="K202" s="3" t="s">
        <v>8973</v>
      </c>
      <c r="L202" s="16">
        <v>1.0</v>
      </c>
      <c r="M202" s="3" t="s">
        <v>8912</v>
      </c>
      <c r="N202" s="3" t="s">
        <v>8912</v>
      </c>
      <c r="O202" s="3" t="s">
        <v>9077</v>
      </c>
      <c r="P202" s="16">
        <v>1.0</v>
      </c>
      <c r="Q202" s="16">
        <v>0.0</v>
      </c>
      <c r="R202" s="16">
        <v>0.0</v>
      </c>
      <c r="S202" s="16">
        <v>0.0</v>
      </c>
      <c r="T202" s="3" t="s">
        <v>1195</v>
      </c>
    </row>
    <row r="203">
      <c r="A203" s="3" t="s">
        <v>9320</v>
      </c>
      <c r="B203" s="3" t="s">
        <v>9196</v>
      </c>
      <c r="C203" s="17">
        <v>46059.39583333333</v>
      </c>
      <c r="D203" s="17">
        <v>46059.41666666667</v>
      </c>
      <c r="E203" s="25">
        <v>0.5</v>
      </c>
      <c r="F203" s="2"/>
      <c r="G203" s="3" t="s">
        <v>9197</v>
      </c>
      <c r="H203" s="3" t="s">
        <v>8971</v>
      </c>
      <c r="I203" s="3" t="s">
        <v>9077</v>
      </c>
      <c r="J203" s="3" t="s">
        <v>6950</v>
      </c>
      <c r="K203" s="3" t="s">
        <v>8973</v>
      </c>
      <c r="L203" s="16">
        <v>4.0</v>
      </c>
      <c r="M203" s="3" t="s">
        <v>9198</v>
      </c>
      <c r="N203" s="3" t="s">
        <v>9198</v>
      </c>
      <c r="O203" s="3" t="s">
        <v>9321</v>
      </c>
      <c r="P203" s="16">
        <v>2.0</v>
      </c>
      <c r="Q203" s="16">
        <v>1.0</v>
      </c>
      <c r="R203" s="16">
        <v>0.0</v>
      </c>
      <c r="S203" s="16">
        <v>1.0</v>
      </c>
      <c r="T203" s="3" t="s">
        <v>1969</v>
      </c>
    </row>
    <row r="204">
      <c r="A204" s="3" t="s">
        <v>9441</v>
      </c>
      <c r="B204" s="3" t="s">
        <v>7840</v>
      </c>
      <c r="C204" s="17">
        <v>46062.58333333333</v>
      </c>
      <c r="D204" s="17">
        <v>46062.60416666667</v>
      </c>
      <c r="E204" s="25">
        <v>0.5</v>
      </c>
      <c r="F204" s="2"/>
      <c r="G204" s="2"/>
      <c r="H204" s="3" t="s">
        <v>8971</v>
      </c>
      <c r="I204" s="3" t="s">
        <v>9094</v>
      </c>
      <c r="J204" s="3" t="s">
        <v>6853</v>
      </c>
      <c r="K204" s="3" t="s">
        <v>8973</v>
      </c>
      <c r="L204" s="16">
        <v>4.0</v>
      </c>
      <c r="M204" s="3" t="s">
        <v>9166</v>
      </c>
      <c r="N204" s="3" t="s">
        <v>9166</v>
      </c>
      <c r="O204" s="3" t="s">
        <v>9002</v>
      </c>
      <c r="P204" s="16">
        <v>1.0</v>
      </c>
      <c r="Q204" s="16">
        <v>0.0</v>
      </c>
      <c r="R204" s="16">
        <v>0.0</v>
      </c>
      <c r="S204" s="16">
        <v>3.0</v>
      </c>
      <c r="T204" s="3" t="s">
        <v>5544</v>
      </c>
    </row>
    <row r="205">
      <c r="A205" s="3" t="s">
        <v>9223</v>
      </c>
      <c r="B205" s="3" t="s">
        <v>8418</v>
      </c>
      <c r="C205" s="17">
        <v>46062.60416666667</v>
      </c>
      <c r="D205" s="17">
        <v>46062.625</v>
      </c>
      <c r="E205" s="25">
        <v>0.5</v>
      </c>
      <c r="F205" s="2"/>
      <c r="G205" s="3" t="s">
        <v>9304</v>
      </c>
      <c r="H205" s="3" t="s">
        <v>8971</v>
      </c>
      <c r="I205" s="3" t="s">
        <v>9094</v>
      </c>
      <c r="J205" s="3" t="s">
        <v>6853</v>
      </c>
      <c r="K205" s="3" t="s">
        <v>8973</v>
      </c>
      <c r="L205" s="16">
        <v>2.0</v>
      </c>
      <c r="M205" s="3" t="s">
        <v>9225</v>
      </c>
      <c r="N205" s="3" t="s">
        <v>9225</v>
      </c>
      <c r="O205" s="3" t="s">
        <v>9010</v>
      </c>
      <c r="P205" s="16">
        <v>0.0</v>
      </c>
      <c r="Q205" s="16">
        <v>0.0</v>
      </c>
      <c r="R205" s="16">
        <v>0.0</v>
      </c>
      <c r="S205" s="16">
        <v>2.0</v>
      </c>
      <c r="T205" s="3" t="s">
        <v>2868</v>
      </c>
    </row>
    <row r="206">
      <c r="A206" s="3" t="s">
        <v>9307</v>
      </c>
      <c r="B206" s="3" t="s">
        <v>9137</v>
      </c>
      <c r="C206" s="17">
        <v>46063.5</v>
      </c>
      <c r="D206" s="17">
        <v>46063.52083333333</v>
      </c>
      <c r="E206" s="25">
        <v>0.5</v>
      </c>
      <c r="F206" s="2"/>
      <c r="G206" s="3" t="s">
        <v>9138</v>
      </c>
      <c r="H206" s="3" t="s">
        <v>8971</v>
      </c>
      <c r="I206" s="3" t="s">
        <v>9077</v>
      </c>
      <c r="J206" s="3" t="s">
        <v>6950</v>
      </c>
      <c r="K206" s="3" t="s">
        <v>8973</v>
      </c>
      <c r="L206" s="16">
        <v>3.0</v>
      </c>
      <c r="M206" s="3" t="s">
        <v>9140</v>
      </c>
      <c r="N206" s="3" t="s">
        <v>9141</v>
      </c>
      <c r="O206" s="3" t="s">
        <v>9308</v>
      </c>
      <c r="P206" s="16">
        <v>2.0</v>
      </c>
      <c r="Q206" s="16">
        <v>0.0</v>
      </c>
      <c r="R206" s="16">
        <v>1.0</v>
      </c>
      <c r="S206" s="16">
        <v>0.0</v>
      </c>
      <c r="T206" s="3" t="s">
        <v>4466</v>
      </c>
    </row>
    <row r="207">
      <c r="A207" s="3" t="s">
        <v>9309</v>
      </c>
      <c r="B207" s="3" t="s">
        <v>6844</v>
      </c>
      <c r="C207" s="17">
        <v>46063.5625</v>
      </c>
      <c r="D207" s="17">
        <v>46063.58333333333</v>
      </c>
      <c r="E207" s="25">
        <v>0.5</v>
      </c>
      <c r="F207" s="2"/>
      <c r="G207" s="2"/>
      <c r="H207" s="3" t="s">
        <v>8971</v>
      </c>
      <c r="I207" s="3" t="s">
        <v>9094</v>
      </c>
      <c r="J207" s="3" t="s">
        <v>6853</v>
      </c>
      <c r="K207" s="3" t="s">
        <v>8973</v>
      </c>
      <c r="L207" s="16">
        <v>2.0</v>
      </c>
      <c r="M207" s="3" t="s">
        <v>9310</v>
      </c>
      <c r="N207" s="3" t="s">
        <v>9310</v>
      </c>
      <c r="O207" s="3" t="s">
        <v>9043</v>
      </c>
      <c r="P207" s="16">
        <v>1.0</v>
      </c>
      <c r="Q207" s="16">
        <v>0.0</v>
      </c>
      <c r="R207" s="16">
        <v>0.0</v>
      </c>
      <c r="S207" s="16">
        <v>1.0</v>
      </c>
      <c r="T207" s="3" t="s">
        <v>2616</v>
      </c>
    </row>
    <row r="208">
      <c r="A208" s="3" t="s">
        <v>9442</v>
      </c>
      <c r="B208" s="3" t="s">
        <v>8969</v>
      </c>
      <c r="C208" s="17">
        <v>46063.58333333333</v>
      </c>
      <c r="D208" s="17">
        <v>46063.60416666667</v>
      </c>
      <c r="E208" s="25">
        <v>0.5</v>
      </c>
      <c r="F208" s="2"/>
      <c r="G208" s="3" t="s">
        <v>8970</v>
      </c>
      <c r="H208" s="3" t="s">
        <v>8971</v>
      </c>
      <c r="I208" s="3" t="s">
        <v>9094</v>
      </c>
      <c r="J208" s="3" t="s">
        <v>6853</v>
      </c>
      <c r="K208" s="3" t="s">
        <v>8973</v>
      </c>
      <c r="L208" s="16">
        <v>3.0</v>
      </c>
      <c r="M208" s="3" t="s">
        <v>9436</v>
      </c>
      <c r="N208" s="3" t="s">
        <v>9436</v>
      </c>
      <c r="O208" s="3" t="s">
        <v>9147</v>
      </c>
      <c r="P208" s="16">
        <v>2.0</v>
      </c>
      <c r="Q208" s="16">
        <v>0.0</v>
      </c>
      <c r="R208" s="16">
        <v>0.0</v>
      </c>
      <c r="S208" s="16">
        <v>1.0</v>
      </c>
      <c r="T208" s="3" t="s">
        <v>5498</v>
      </c>
    </row>
    <row r="209">
      <c r="A209" s="3" t="s">
        <v>9461</v>
      </c>
      <c r="B209" s="3" t="s">
        <v>9462</v>
      </c>
      <c r="C209" s="17">
        <v>46064.33333333333</v>
      </c>
      <c r="D209" s="17">
        <v>46064.70833333333</v>
      </c>
      <c r="E209" s="25">
        <v>9.0</v>
      </c>
      <c r="F209" s="3" t="s">
        <v>9463</v>
      </c>
      <c r="G209" s="2"/>
      <c r="H209" s="3" t="s">
        <v>8971</v>
      </c>
      <c r="I209" s="3" t="s">
        <v>9006</v>
      </c>
      <c r="J209" s="3" t="s">
        <v>9248</v>
      </c>
      <c r="K209" s="3" t="s">
        <v>8971</v>
      </c>
      <c r="L209" s="16">
        <v>7.0</v>
      </c>
      <c r="M209" s="3" t="s">
        <v>9464</v>
      </c>
      <c r="N209" s="3" t="s">
        <v>9465</v>
      </c>
      <c r="O209" s="3" t="s">
        <v>9466</v>
      </c>
      <c r="P209" s="16">
        <v>4.0</v>
      </c>
      <c r="Q209" s="16">
        <v>0.0</v>
      </c>
      <c r="R209" s="16">
        <v>0.0</v>
      </c>
      <c r="S209" s="16">
        <v>3.0</v>
      </c>
      <c r="T209" s="2"/>
    </row>
    <row r="210">
      <c r="A210" s="3" t="s">
        <v>9384</v>
      </c>
      <c r="B210" s="3" t="s">
        <v>9015</v>
      </c>
      <c r="C210" s="17">
        <v>46064.54166666667</v>
      </c>
      <c r="D210" s="17">
        <v>46064.5625</v>
      </c>
      <c r="E210" s="25">
        <v>0.5</v>
      </c>
      <c r="F210" s="2"/>
      <c r="G210" s="2"/>
      <c r="H210" s="3" t="s">
        <v>8971</v>
      </c>
      <c r="I210" s="3" t="s">
        <v>9077</v>
      </c>
      <c r="J210" s="3" t="s">
        <v>6950</v>
      </c>
      <c r="K210" s="3" t="s">
        <v>8973</v>
      </c>
      <c r="L210" s="16">
        <v>3.0</v>
      </c>
      <c r="M210" s="3" t="s">
        <v>9016</v>
      </c>
      <c r="N210" s="3" t="s">
        <v>9016</v>
      </c>
      <c r="O210" s="3" t="s">
        <v>9017</v>
      </c>
      <c r="P210" s="16">
        <v>3.0</v>
      </c>
      <c r="Q210" s="16">
        <v>0.0</v>
      </c>
      <c r="R210" s="16">
        <v>0.0</v>
      </c>
      <c r="S210" s="16">
        <v>0.0</v>
      </c>
      <c r="T210" s="3" t="s">
        <v>1975</v>
      </c>
    </row>
    <row r="211">
      <c r="A211" s="3" t="s">
        <v>9467</v>
      </c>
      <c r="B211" s="3" t="s">
        <v>9004</v>
      </c>
      <c r="C211" s="17">
        <v>46065.3125</v>
      </c>
      <c r="D211" s="17">
        <v>46065.35416666667</v>
      </c>
      <c r="E211" s="25">
        <v>1.0</v>
      </c>
      <c r="F211" s="3" t="s">
        <v>9005</v>
      </c>
      <c r="G211" s="2"/>
      <c r="H211" s="3" t="s">
        <v>8971</v>
      </c>
      <c r="I211" s="3" t="s">
        <v>9006</v>
      </c>
      <c r="J211" s="3" t="s">
        <v>9007</v>
      </c>
      <c r="K211" s="3" t="s">
        <v>8973</v>
      </c>
      <c r="L211" s="16">
        <v>2.0</v>
      </c>
      <c r="M211" s="3" t="s">
        <v>9008</v>
      </c>
      <c r="N211" s="3" t="s">
        <v>9009</v>
      </c>
      <c r="O211" s="3" t="s">
        <v>9010</v>
      </c>
      <c r="P211" s="16">
        <v>0.0</v>
      </c>
      <c r="Q211" s="16">
        <v>0.0</v>
      </c>
      <c r="R211" s="16">
        <v>0.0</v>
      </c>
      <c r="S211" s="16">
        <v>2.0</v>
      </c>
      <c r="T211" s="2"/>
    </row>
    <row r="212">
      <c r="A212" s="3" t="s">
        <v>9468</v>
      </c>
      <c r="B212" s="3" t="s">
        <v>9012</v>
      </c>
      <c r="C212" s="17">
        <v>46065.35416666667</v>
      </c>
      <c r="D212" s="17">
        <v>46065.58333333333</v>
      </c>
      <c r="E212" s="25">
        <v>5.5</v>
      </c>
      <c r="F212" s="2"/>
      <c r="G212" s="3" t="s">
        <v>9013</v>
      </c>
      <c r="H212" s="3" t="s">
        <v>8971</v>
      </c>
      <c r="I212" s="3" t="s">
        <v>9006</v>
      </c>
      <c r="J212" s="3" t="s">
        <v>9007</v>
      </c>
      <c r="K212" s="3" t="s">
        <v>8973</v>
      </c>
      <c r="L212" s="16">
        <v>2.0</v>
      </c>
      <c r="M212" s="3" t="s">
        <v>9008</v>
      </c>
      <c r="N212" s="3" t="s">
        <v>9009</v>
      </c>
      <c r="O212" s="3" t="s">
        <v>9010</v>
      </c>
      <c r="P212" s="16">
        <v>0.0</v>
      </c>
      <c r="Q212" s="16">
        <v>0.0</v>
      </c>
      <c r="R212" s="16">
        <v>0.0</v>
      </c>
      <c r="S212" s="16">
        <v>2.0</v>
      </c>
      <c r="T212" s="2"/>
    </row>
    <row r="213">
      <c r="A213" s="3" t="s">
        <v>9262</v>
      </c>
      <c r="B213" s="3" t="s">
        <v>9263</v>
      </c>
      <c r="C213" s="17">
        <v>46065.4375</v>
      </c>
      <c r="D213" s="17">
        <v>46065.45833333333</v>
      </c>
      <c r="E213" s="25">
        <v>0.5</v>
      </c>
      <c r="F213" s="2"/>
      <c r="G213" s="2"/>
      <c r="H213" s="3" t="s">
        <v>8971</v>
      </c>
      <c r="I213" s="3" t="s">
        <v>9077</v>
      </c>
      <c r="J213" s="3" t="s">
        <v>6950</v>
      </c>
      <c r="K213" s="3" t="s">
        <v>8973</v>
      </c>
      <c r="L213" s="16">
        <v>4.0</v>
      </c>
      <c r="M213" s="3" t="s">
        <v>9311</v>
      </c>
      <c r="N213" s="3" t="s">
        <v>9312</v>
      </c>
      <c r="O213" s="3" t="s">
        <v>9167</v>
      </c>
      <c r="P213" s="16">
        <v>4.0</v>
      </c>
      <c r="Q213" s="16">
        <v>0.0</v>
      </c>
      <c r="R213" s="16">
        <v>0.0</v>
      </c>
      <c r="S213" s="16">
        <v>0.0</v>
      </c>
      <c r="T213" s="3" t="s">
        <v>2672</v>
      </c>
    </row>
    <row r="214">
      <c r="A214" s="3" t="s">
        <v>9314</v>
      </c>
      <c r="B214" s="3" t="s">
        <v>9315</v>
      </c>
      <c r="C214" s="17">
        <v>46065.58333333333</v>
      </c>
      <c r="D214" s="17">
        <v>46065.60416666667</v>
      </c>
      <c r="E214" s="25">
        <v>0.5</v>
      </c>
      <c r="G214" s="2"/>
      <c r="H214" s="3" t="s">
        <v>8971</v>
      </c>
      <c r="I214" s="3" t="s">
        <v>9077</v>
      </c>
      <c r="J214" s="3" t="s">
        <v>6950</v>
      </c>
      <c r="K214" s="3" t="s">
        <v>8973</v>
      </c>
      <c r="L214" s="16">
        <v>6.0</v>
      </c>
      <c r="M214" s="3" t="s">
        <v>9316</v>
      </c>
      <c r="N214" s="3" t="s">
        <v>9316</v>
      </c>
      <c r="O214" s="3" t="s">
        <v>9397</v>
      </c>
      <c r="P214" s="16">
        <v>1.0</v>
      </c>
      <c r="Q214" s="16">
        <v>3.0</v>
      </c>
      <c r="R214" s="16">
        <v>0.0</v>
      </c>
      <c r="S214" s="16">
        <v>2.0</v>
      </c>
      <c r="T214" s="3" t="s">
        <v>5285</v>
      </c>
    </row>
    <row r="215">
      <c r="A215" s="3" t="s">
        <v>9469</v>
      </c>
      <c r="B215" s="3" t="s">
        <v>9470</v>
      </c>
      <c r="C215" s="17">
        <v>46065.75</v>
      </c>
      <c r="D215" s="17">
        <v>46065.875</v>
      </c>
      <c r="E215" s="25">
        <v>3.0</v>
      </c>
      <c r="F215" s="2"/>
      <c r="G215" s="3" t="s">
        <v>9471</v>
      </c>
      <c r="H215" s="3" t="s">
        <v>8971</v>
      </c>
      <c r="I215" s="3" t="s">
        <v>9006</v>
      </c>
      <c r="J215" s="3" t="s">
        <v>9007</v>
      </c>
      <c r="K215" s="3" t="s">
        <v>8971</v>
      </c>
      <c r="L215" s="16">
        <v>8.0</v>
      </c>
      <c r="M215" s="3" t="s">
        <v>9472</v>
      </c>
      <c r="N215" s="3" t="s">
        <v>9473</v>
      </c>
      <c r="O215" s="3" t="s">
        <v>9474</v>
      </c>
      <c r="P215" s="16">
        <v>4.0</v>
      </c>
      <c r="Q215" s="16">
        <v>0.0</v>
      </c>
      <c r="R215" s="16">
        <v>0.0</v>
      </c>
      <c r="S215" s="16">
        <v>4.0</v>
      </c>
      <c r="T215" s="2"/>
    </row>
    <row r="216">
      <c r="A216" s="3" t="s">
        <v>9475</v>
      </c>
      <c r="B216" s="3" t="s">
        <v>9476</v>
      </c>
      <c r="C216" s="17">
        <v>46065.75</v>
      </c>
      <c r="D216" s="17">
        <v>46065.875</v>
      </c>
      <c r="E216" s="25">
        <v>3.0</v>
      </c>
      <c r="F216" s="3" t="s">
        <v>9005</v>
      </c>
      <c r="G216" s="3" t="s">
        <v>9477</v>
      </c>
      <c r="H216" s="3" t="s">
        <v>8971</v>
      </c>
      <c r="I216" s="3" t="s">
        <v>9006</v>
      </c>
      <c r="J216" s="3" t="s">
        <v>9056</v>
      </c>
      <c r="K216" s="3" t="s">
        <v>8971</v>
      </c>
      <c r="L216" s="16">
        <v>2.0</v>
      </c>
      <c r="M216" s="3" t="s">
        <v>9478</v>
      </c>
      <c r="N216" s="3" t="s">
        <v>9479</v>
      </c>
      <c r="O216" s="3" t="s">
        <v>9010</v>
      </c>
      <c r="P216" s="16">
        <v>0.0</v>
      </c>
      <c r="Q216" s="16">
        <v>0.0</v>
      </c>
      <c r="R216" s="16">
        <v>0.0</v>
      </c>
      <c r="S216" s="16">
        <v>2.0</v>
      </c>
      <c r="T216" s="2"/>
    </row>
    <row r="217">
      <c r="A217" s="3" t="s">
        <v>9410</v>
      </c>
      <c r="B217" s="3" t="s">
        <v>7147</v>
      </c>
      <c r="C217" s="17">
        <v>46069.54166666667</v>
      </c>
      <c r="D217" s="17">
        <v>46069.5625</v>
      </c>
      <c r="E217" s="25">
        <v>0.5</v>
      </c>
      <c r="F217" s="13" t="s">
        <v>9411</v>
      </c>
      <c r="G217" s="3" t="s">
        <v>9412</v>
      </c>
      <c r="H217" s="3" t="s">
        <v>8971</v>
      </c>
      <c r="I217" s="3" t="s">
        <v>9094</v>
      </c>
      <c r="J217" s="3" t="s">
        <v>6853</v>
      </c>
      <c r="K217" s="3" t="s">
        <v>8973</v>
      </c>
      <c r="L217" s="16">
        <v>4.0</v>
      </c>
      <c r="M217" s="3" t="s">
        <v>9349</v>
      </c>
      <c r="N217" s="3" t="s">
        <v>9349</v>
      </c>
      <c r="O217" s="3" t="s">
        <v>9002</v>
      </c>
      <c r="P217" s="16">
        <v>1.0</v>
      </c>
      <c r="Q217" s="16">
        <v>0.0</v>
      </c>
      <c r="R217" s="16">
        <v>0.0</v>
      </c>
      <c r="S217" s="16">
        <v>3.0</v>
      </c>
      <c r="T217" s="3" t="s">
        <v>1725</v>
      </c>
    </row>
    <row r="218">
      <c r="A218" s="3" t="s">
        <v>9325</v>
      </c>
      <c r="B218" s="3" t="s">
        <v>9000</v>
      </c>
      <c r="C218" s="17">
        <v>46069.58333333333</v>
      </c>
      <c r="D218" s="17">
        <v>46069.60416666667</v>
      </c>
      <c r="E218" s="25">
        <v>0.5</v>
      </c>
      <c r="F218" s="2"/>
      <c r="G218" s="2"/>
      <c r="H218" s="3" t="s">
        <v>8971</v>
      </c>
      <c r="I218" s="3" t="s">
        <v>8972</v>
      </c>
      <c r="J218" s="3" t="s">
        <v>6950</v>
      </c>
      <c r="K218" s="3" t="s">
        <v>8973</v>
      </c>
      <c r="L218" s="16">
        <v>4.0</v>
      </c>
      <c r="M218" s="3" t="s">
        <v>9001</v>
      </c>
      <c r="N218" s="3" t="s">
        <v>9001</v>
      </c>
      <c r="O218" s="3" t="s">
        <v>9002</v>
      </c>
      <c r="P218" s="16">
        <v>1.0</v>
      </c>
      <c r="Q218" s="16">
        <v>0.0</v>
      </c>
      <c r="R218" s="16">
        <v>0.0</v>
      </c>
      <c r="S218" s="16">
        <v>3.0</v>
      </c>
      <c r="T218" s="3" t="s">
        <v>2594</v>
      </c>
    </row>
    <row r="219">
      <c r="A219" s="3" t="s">
        <v>9223</v>
      </c>
      <c r="B219" s="3" t="s">
        <v>8418</v>
      </c>
      <c r="C219" s="17">
        <v>46069.60416666667</v>
      </c>
      <c r="D219" s="17">
        <v>46069.625</v>
      </c>
      <c r="E219" s="25">
        <v>0.5</v>
      </c>
      <c r="F219" s="2"/>
      <c r="G219" s="3" t="s">
        <v>9304</v>
      </c>
      <c r="H219" s="3" t="s">
        <v>8971</v>
      </c>
      <c r="I219" s="3" t="s">
        <v>9094</v>
      </c>
      <c r="J219" s="3" t="s">
        <v>6853</v>
      </c>
      <c r="K219" s="3" t="s">
        <v>8973</v>
      </c>
      <c r="L219" s="16">
        <v>2.0</v>
      </c>
      <c r="M219" s="3" t="s">
        <v>9225</v>
      </c>
      <c r="N219" s="3" t="s">
        <v>9225</v>
      </c>
      <c r="O219" s="3" t="s">
        <v>9010</v>
      </c>
      <c r="P219" s="16">
        <v>0.0</v>
      </c>
      <c r="Q219" s="16">
        <v>0.0</v>
      </c>
      <c r="R219" s="16">
        <v>0.0</v>
      </c>
      <c r="S219" s="16">
        <v>2.0</v>
      </c>
      <c r="T219" s="3" t="s">
        <v>2868</v>
      </c>
    </row>
    <row r="220">
      <c r="A220" s="3" t="s">
        <v>9416</v>
      </c>
      <c r="B220" s="3" t="s">
        <v>9417</v>
      </c>
      <c r="C220" s="17">
        <v>46070.45833333333</v>
      </c>
      <c r="D220" s="17">
        <v>46070.47916666667</v>
      </c>
      <c r="E220" s="25">
        <v>0.5</v>
      </c>
      <c r="F220" s="2"/>
      <c r="G220" s="3" t="s">
        <v>9418</v>
      </c>
      <c r="H220" s="3" t="s">
        <v>8971</v>
      </c>
      <c r="I220" s="3" t="s">
        <v>9094</v>
      </c>
      <c r="J220" s="3" t="s">
        <v>6853</v>
      </c>
      <c r="K220" s="3" t="s">
        <v>8973</v>
      </c>
      <c r="L220" s="16">
        <v>5.0</v>
      </c>
      <c r="M220" s="3" t="s">
        <v>9480</v>
      </c>
      <c r="N220" s="3" t="s">
        <v>9480</v>
      </c>
      <c r="O220" s="3" t="s">
        <v>9432</v>
      </c>
      <c r="P220" s="16">
        <v>0.0</v>
      </c>
      <c r="Q220" s="16">
        <v>0.0</v>
      </c>
      <c r="R220" s="16">
        <v>0.0</v>
      </c>
      <c r="S220" s="16">
        <v>5.0</v>
      </c>
      <c r="T220" s="3" t="s">
        <v>5602</v>
      </c>
    </row>
    <row r="221">
      <c r="A221" s="3" t="s">
        <v>9307</v>
      </c>
      <c r="B221" s="3" t="s">
        <v>9137</v>
      </c>
      <c r="C221" s="17">
        <v>46070.5</v>
      </c>
      <c r="D221" s="17">
        <v>46070.52083333333</v>
      </c>
      <c r="E221" s="25">
        <v>0.5</v>
      </c>
      <c r="F221" s="2"/>
      <c r="G221" s="3" t="s">
        <v>9138</v>
      </c>
      <c r="H221" s="3" t="s">
        <v>8971</v>
      </c>
      <c r="I221" s="3" t="s">
        <v>9077</v>
      </c>
      <c r="J221" s="3" t="s">
        <v>6950</v>
      </c>
      <c r="K221" s="3" t="s">
        <v>8973</v>
      </c>
      <c r="L221" s="16">
        <v>3.0</v>
      </c>
      <c r="M221" s="3" t="s">
        <v>9140</v>
      </c>
      <c r="N221" s="3" t="s">
        <v>9141</v>
      </c>
      <c r="O221" s="3" t="s">
        <v>9308</v>
      </c>
      <c r="P221" s="16">
        <v>2.0</v>
      </c>
      <c r="Q221" s="16">
        <v>0.0</v>
      </c>
      <c r="R221" s="16">
        <v>1.0</v>
      </c>
      <c r="S221" s="16">
        <v>0.0</v>
      </c>
      <c r="T221" s="3" t="s">
        <v>4466</v>
      </c>
    </row>
    <row r="222">
      <c r="A222" s="3" t="s">
        <v>9309</v>
      </c>
      <c r="B222" s="3" t="s">
        <v>6844</v>
      </c>
      <c r="C222" s="17">
        <v>46070.5625</v>
      </c>
      <c r="D222" s="17">
        <v>46070.58333333333</v>
      </c>
      <c r="E222" s="25">
        <v>0.5</v>
      </c>
      <c r="G222" s="2"/>
      <c r="H222" s="3" t="s">
        <v>8971</v>
      </c>
      <c r="I222" s="3" t="s">
        <v>9094</v>
      </c>
      <c r="J222" s="3" t="s">
        <v>6853</v>
      </c>
      <c r="K222" s="3" t="s">
        <v>8973</v>
      </c>
      <c r="L222" s="16">
        <v>2.0</v>
      </c>
      <c r="M222" s="3" t="s">
        <v>9310</v>
      </c>
      <c r="N222" s="3" t="s">
        <v>9310</v>
      </c>
      <c r="O222" s="3" t="s">
        <v>9043</v>
      </c>
      <c r="P222" s="16">
        <v>1.0</v>
      </c>
      <c r="Q222" s="16">
        <v>0.0</v>
      </c>
      <c r="R222" s="16">
        <v>0.0</v>
      </c>
      <c r="S222" s="16">
        <v>1.0</v>
      </c>
      <c r="T222" s="3" t="s">
        <v>2616</v>
      </c>
    </row>
    <row r="223">
      <c r="A223" s="3" t="s">
        <v>9481</v>
      </c>
      <c r="B223" s="3" t="s">
        <v>7310</v>
      </c>
      <c r="C223" s="17">
        <v>46072.41666666667</v>
      </c>
      <c r="D223" s="17">
        <v>46072.4375</v>
      </c>
      <c r="E223" s="25">
        <v>0.5</v>
      </c>
      <c r="F223" s="2"/>
      <c r="G223" s="3" t="s">
        <v>9482</v>
      </c>
      <c r="H223" s="3" t="s">
        <v>8971</v>
      </c>
      <c r="I223" s="3" t="s">
        <v>9094</v>
      </c>
      <c r="J223" s="3" t="s">
        <v>6853</v>
      </c>
      <c r="K223" s="3" t="s">
        <v>8973</v>
      </c>
      <c r="L223" s="16">
        <v>3.0</v>
      </c>
      <c r="M223" s="3" t="s">
        <v>9483</v>
      </c>
      <c r="N223" s="3" t="s">
        <v>9483</v>
      </c>
      <c r="O223" s="3" t="s">
        <v>9147</v>
      </c>
      <c r="P223" s="16">
        <v>2.0</v>
      </c>
      <c r="Q223" s="16">
        <v>0.0</v>
      </c>
      <c r="R223" s="16">
        <v>0.0</v>
      </c>
      <c r="S223" s="16">
        <v>1.0</v>
      </c>
      <c r="T223" s="3" t="s">
        <v>5815</v>
      </c>
    </row>
    <row r="224">
      <c r="A224" s="3" t="s">
        <v>9340</v>
      </c>
      <c r="B224" s="3" t="s">
        <v>9176</v>
      </c>
      <c r="C224" s="17">
        <v>46072.47916666667</v>
      </c>
      <c r="D224" s="17">
        <v>46072.5</v>
      </c>
      <c r="E224" s="25">
        <v>0.5</v>
      </c>
      <c r="F224" s="2"/>
      <c r="G224" s="2"/>
      <c r="H224" s="3" t="s">
        <v>8971</v>
      </c>
      <c r="I224" s="3" t="s">
        <v>9077</v>
      </c>
      <c r="J224" s="3" t="s">
        <v>6950</v>
      </c>
      <c r="K224" s="3" t="s">
        <v>8973</v>
      </c>
      <c r="L224" s="16">
        <v>5.0</v>
      </c>
      <c r="M224" s="3" t="s">
        <v>9341</v>
      </c>
      <c r="N224" s="3" t="s">
        <v>9341</v>
      </c>
      <c r="O224" s="3" t="s">
        <v>9342</v>
      </c>
      <c r="P224" s="16">
        <v>4.0</v>
      </c>
      <c r="Q224" s="16">
        <v>0.0</v>
      </c>
      <c r="R224" s="16">
        <v>0.0</v>
      </c>
      <c r="S224" s="16">
        <v>1.0</v>
      </c>
      <c r="T224" s="2"/>
    </row>
    <row r="225">
      <c r="A225" s="3" t="s">
        <v>9459</v>
      </c>
      <c r="B225" s="3" t="s">
        <v>9460</v>
      </c>
      <c r="C225" s="17">
        <v>46072.5</v>
      </c>
      <c r="D225" s="17">
        <v>46072.52083333333</v>
      </c>
      <c r="E225" s="25">
        <v>0.5</v>
      </c>
      <c r="F225" s="2"/>
      <c r="G225" s="2"/>
      <c r="H225" s="3" t="s">
        <v>8971</v>
      </c>
      <c r="I225" s="3" t="s">
        <v>9094</v>
      </c>
      <c r="J225" s="3" t="s">
        <v>6853</v>
      </c>
      <c r="K225" s="3" t="s">
        <v>8973</v>
      </c>
      <c r="L225" s="16">
        <v>1.0</v>
      </c>
      <c r="M225" s="3" t="s">
        <v>8912</v>
      </c>
      <c r="N225" s="3" t="s">
        <v>8912</v>
      </c>
      <c r="O225" s="3" t="s">
        <v>9077</v>
      </c>
      <c r="P225" s="16">
        <v>1.0</v>
      </c>
      <c r="Q225" s="16">
        <v>0.0</v>
      </c>
      <c r="R225" s="16">
        <v>0.0</v>
      </c>
      <c r="S225" s="16">
        <v>0.0</v>
      </c>
      <c r="T225" s="3" t="s">
        <v>1195</v>
      </c>
    </row>
    <row r="226">
      <c r="A226" s="3" t="s">
        <v>9280</v>
      </c>
      <c r="B226" s="3" t="s">
        <v>9281</v>
      </c>
      <c r="C226" s="17">
        <v>46072.70833333333</v>
      </c>
      <c r="D226" s="17">
        <v>46072.72916666667</v>
      </c>
      <c r="E226" s="25">
        <v>0.5</v>
      </c>
      <c r="F226" s="2"/>
      <c r="G226" s="3" t="s">
        <v>9282</v>
      </c>
      <c r="H226" s="3" t="s">
        <v>8971</v>
      </c>
      <c r="I226" s="3" t="s">
        <v>9077</v>
      </c>
      <c r="J226" s="3" t="s">
        <v>9283</v>
      </c>
      <c r="K226" s="3" t="s">
        <v>8973</v>
      </c>
      <c r="L226" s="16">
        <v>15.0</v>
      </c>
      <c r="M226" s="3" t="s">
        <v>9284</v>
      </c>
      <c r="N226" s="3" t="s">
        <v>9285</v>
      </c>
      <c r="O226" s="3" t="s">
        <v>9404</v>
      </c>
      <c r="P226" s="16">
        <v>9.0</v>
      </c>
      <c r="Q226" s="16">
        <v>0.0</v>
      </c>
      <c r="R226" s="16">
        <v>1.0</v>
      </c>
      <c r="S226" s="16">
        <v>5.0</v>
      </c>
      <c r="T226" s="3" t="s">
        <v>2922</v>
      </c>
    </row>
    <row r="227">
      <c r="A227" s="3" t="s">
        <v>9405</v>
      </c>
      <c r="B227" s="3" t="s">
        <v>9406</v>
      </c>
      <c r="C227" s="17">
        <v>46073.41666666667</v>
      </c>
      <c r="D227" s="17">
        <v>46073.4375</v>
      </c>
      <c r="E227" s="25">
        <v>0.5</v>
      </c>
      <c r="G227" s="2"/>
      <c r="H227" s="3" t="s">
        <v>8971</v>
      </c>
      <c r="I227" s="3" t="s">
        <v>9077</v>
      </c>
      <c r="J227" s="3" t="s">
        <v>6950</v>
      </c>
      <c r="K227" s="3" t="s">
        <v>8973</v>
      </c>
      <c r="L227" s="16">
        <v>5.0</v>
      </c>
      <c r="M227" s="3" t="s">
        <v>9484</v>
      </c>
      <c r="N227" s="3" t="s">
        <v>9484</v>
      </c>
      <c r="O227" s="3" t="s">
        <v>9342</v>
      </c>
      <c r="P227" s="16">
        <v>4.0</v>
      </c>
      <c r="Q227" s="16">
        <v>0.0</v>
      </c>
      <c r="R227" s="16">
        <v>0.0</v>
      </c>
      <c r="S227" s="16">
        <v>1.0</v>
      </c>
      <c r="T227" s="3" t="s">
        <v>5721</v>
      </c>
    </row>
    <row r="228">
      <c r="A228" s="3" t="s">
        <v>9437</v>
      </c>
      <c r="B228" s="3" t="s">
        <v>9438</v>
      </c>
      <c r="C228" s="17">
        <v>46076.5625</v>
      </c>
      <c r="D228" s="17">
        <v>46076.58333333333</v>
      </c>
      <c r="E228" s="25">
        <v>0.5</v>
      </c>
      <c r="F228" s="2"/>
      <c r="G228" s="2"/>
      <c r="H228" s="3" t="s">
        <v>8971</v>
      </c>
      <c r="I228" s="3" t="s">
        <v>9006</v>
      </c>
      <c r="J228" s="3" t="s">
        <v>6950</v>
      </c>
      <c r="K228" s="3" t="s">
        <v>8973</v>
      </c>
      <c r="L228" s="16">
        <v>4.0</v>
      </c>
      <c r="M228" s="3" t="s">
        <v>9439</v>
      </c>
      <c r="N228" s="3" t="s">
        <v>9439</v>
      </c>
      <c r="O228" s="3" t="s">
        <v>9440</v>
      </c>
      <c r="P228" s="16">
        <v>2.0</v>
      </c>
      <c r="Q228" s="16">
        <v>0.0</v>
      </c>
      <c r="R228" s="16">
        <v>0.0</v>
      </c>
      <c r="S228" s="16">
        <v>2.0</v>
      </c>
      <c r="T228" s="3" t="s">
        <v>3616</v>
      </c>
    </row>
    <row r="229">
      <c r="A229" s="3" t="s">
        <v>9441</v>
      </c>
      <c r="B229" s="3" t="s">
        <v>7840</v>
      </c>
      <c r="C229" s="17">
        <v>46076.58333333333</v>
      </c>
      <c r="D229" s="17">
        <v>46076.60416666667</v>
      </c>
      <c r="E229" s="25">
        <v>0.5</v>
      </c>
      <c r="G229" s="2"/>
      <c r="H229" s="3" t="s">
        <v>8971</v>
      </c>
      <c r="I229" s="3" t="s">
        <v>9094</v>
      </c>
      <c r="J229" s="3" t="s">
        <v>6853</v>
      </c>
      <c r="K229" s="3" t="s">
        <v>8973</v>
      </c>
      <c r="L229" s="16">
        <v>4.0</v>
      </c>
      <c r="M229" s="3" t="s">
        <v>9166</v>
      </c>
      <c r="N229" s="3" t="s">
        <v>9166</v>
      </c>
      <c r="O229" s="3" t="s">
        <v>9002</v>
      </c>
      <c r="P229" s="16">
        <v>1.0</v>
      </c>
      <c r="Q229" s="16">
        <v>0.0</v>
      </c>
      <c r="R229" s="16">
        <v>0.0</v>
      </c>
      <c r="S229" s="16">
        <v>3.0</v>
      </c>
      <c r="T229" s="3" t="s">
        <v>5544</v>
      </c>
    </row>
    <row r="230">
      <c r="A230" s="3" t="s">
        <v>9223</v>
      </c>
      <c r="B230" s="3" t="s">
        <v>8418</v>
      </c>
      <c r="C230" s="17">
        <v>46076.60416666667</v>
      </c>
      <c r="D230" s="17">
        <v>46076.625</v>
      </c>
      <c r="E230" s="25">
        <v>0.5</v>
      </c>
      <c r="F230" s="2"/>
      <c r="G230" s="3" t="s">
        <v>9304</v>
      </c>
      <c r="H230" s="3" t="s">
        <v>8971</v>
      </c>
      <c r="I230" s="3" t="s">
        <v>9094</v>
      </c>
      <c r="J230" s="3" t="s">
        <v>6853</v>
      </c>
      <c r="K230" s="3" t="s">
        <v>8973</v>
      </c>
      <c r="L230" s="16">
        <v>2.0</v>
      </c>
      <c r="M230" s="3" t="s">
        <v>9225</v>
      </c>
      <c r="N230" s="3" t="s">
        <v>9225</v>
      </c>
      <c r="O230" s="3" t="s">
        <v>9010</v>
      </c>
      <c r="P230" s="16">
        <v>0.0</v>
      </c>
      <c r="Q230" s="16">
        <v>0.0</v>
      </c>
      <c r="R230" s="16">
        <v>0.0</v>
      </c>
      <c r="S230" s="16">
        <v>2.0</v>
      </c>
      <c r="T230" s="3" t="s">
        <v>2868</v>
      </c>
    </row>
    <row r="231">
      <c r="A231" s="3" t="s">
        <v>9307</v>
      </c>
      <c r="B231" s="3" t="s">
        <v>9137</v>
      </c>
      <c r="C231" s="17">
        <v>46077.5</v>
      </c>
      <c r="D231" s="17">
        <v>46077.52083333333</v>
      </c>
      <c r="E231" s="25">
        <v>0.5</v>
      </c>
      <c r="F231" s="2"/>
      <c r="G231" s="3" t="s">
        <v>9138</v>
      </c>
      <c r="H231" s="3" t="s">
        <v>8971</v>
      </c>
      <c r="I231" s="3" t="s">
        <v>9077</v>
      </c>
      <c r="J231" s="3" t="s">
        <v>6950</v>
      </c>
      <c r="K231" s="3" t="s">
        <v>8973</v>
      </c>
      <c r="L231" s="16">
        <v>3.0</v>
      </c>
      <c r="M231" s="3" t="s">
        <v>9140</v>
      </c>
      <c r="N231" s="3" t="s">
        <v>9141</v>
      </c>
      <c r="O231" s="3" t="s">
        <v>9308</v>
      </c>
      <c r="P231" s="16">
        <v>2.0</v>
      </c>
      <c r="Q231" s="16">
        <v>0.0</v>
      </c>
      <c r="R231" s="16">
        <v>1.0</v>
      </c>
      <c r="S231" s="16">
        <v>0.0</v>
      </c>
      <c r="T231" s="3" t="s">
        <v>4466</v>
      </c>
    </row>
    <row r="232">
      <c r="A232" s="3" t="s">
        <v>9309</v>
      </c>
      <c r="B232" s="3" t="s">
        <v>6844</v>
      </c>
      <c r="C232" s="17">
        <v>46077.5625</v>
      </c>
      <c r="D232" s="17">
        <v>46077.58333333333</v>
      </c>
      <c r="E232" s="25">
        <v>0.5</v>
      </c>
      <c r="F232" s="2"/>
      <c r="G232" s="2"/>
      <c r="H232" s="3" t="s">
        <v>8971</v>
      </c>
      <c r="I232" s="3" t="s">
        <v>9094</v>
      </c>
      <c r="J232" s="3" t="s">
        <v>6853</v>
      </c>
      <c r="K232" s="3" t="s">
        <v>8973</v>
      </c>
      <c r="L232" s="16">
        <v>2.0</v>
      </c>
      <c r="M232" s="3" t="s">
        <v>9310</v>
      </c>
      <c r="N232" s="3" t="s">
        <v>9310</v>
      </c>
      <c r="O232" s="3" t="s">
        <v>9043</v>
      </c>
      <c r="P232" s="16">
        <v>1.0</v>
      </c>
      <c r="Q232" s="16">
        <v>0.0</v>
      </c>
      <c r="R232" s="16">
        <v>0.0</v>
      </c>
      <c r="S232" s="16">
        <v>1.0</v>
      </c>
      <c r="T232" s="3" t="s">
        <v>2616</v>
      </c>
    </row>
    <row r="233">
      <c r="A233" s="3" t="s">
        <v>9442</v>
      </c>
      <c r="B233" s="3" t="s">
        <v>8969</v>
      </c>
      <c r="C233" s="17">
        <v>46077.58333333333</v>
      </c>
      <c r="D233" s="17">
        <v>46077.60416666667</v>
      </c>
      <c r="E233" s="25">
        <v>0.5</v>
      </c>
      <c r="F233" s="2"/>
      <c r="G233" s="3" t="s">
        <v>8970</v>
      </c>
      <c r="H233" s="3" t="s">
        <v>8971</v>
      </c>
      <c r="I233" s="3" t="s">
        <v>9094</v>
      </c>
      <c r="J233" s="3" t="s">
        <v>6853</v>
      </c>
      <c r="K233" s="3" t="s">
        <v>8973</v>
      </c>
      <c r="L233" s="16">
        <v>3.0</v>
      </c>
      <c r="M233" s="3" t="s">
        <v>9436</v>
      </c>
      <c r="N233" s="3" t="s">
        <v>9436</v>
      </c>
      <c r="O233" s="3" t="s">
        <v>9147</v>
      </c>
      <c r="P233" s="16">
        <v>2.0</v>
      </c>
      <c r="Q233" s="16">
        <v>0.0</v>
      </c>
      <c r="R233" s="16">
        <v>0.0</v>
      </c>
      <c r="S233" s="16">
        <v>1.0</v>
      </c>
      <c r="T233" s="3" t="s">
        <v>5498</v>
      </c>
    </row>
    <row r="234">
      <c r="A234" s="3" t="s">
        <v>9384</v>
      </c>
      <c r="B234" s="3" t="s">
        <v>9015</v>
      </c>
      <c r="C234" s="17">
        <v>46078.54166666667</v>
      </c>
      <c r="D234" s="17">
        <v>46078.5625</v>
      </c>
      <c r="E234" s="25">
        <v>0.5</v>
      </c>
      <c r="F234" s="2"/>
      <c r="G234" s="2"/>
      <c r="H234" s="3" t="s">
        <v>8971</v>
      </c>
      <c r="I234" s="3" t="s">
        <v>9077</v>
      </c>
      <c r="J234" s="3" t="s">
        <v>6950</v>
      </c>
      <c r="K234" s="3" t="s">
        <v>8973</v>
      </c>
      <c r="L234" s="16">
        <v>3.0</v>
      </c>
      <c r="M234" s="3" t="s">
        <v>9016</v>
      </c>
      <c r="N234" s="3" t="s">
        <v>9016</v>
      </c>
      <c r="O234" s="3" t="s">
        <v>9017</v>
      </c>
      <c r="P234" s="16">
        <v>3.0</v>
      </c>
      <c r="Q234" s="16">
        <v>0.0</v>
      </c>
      <c r="R234" s="16">
        <v>0.0</v>
      </c>
      <c r="S234" s="16">
        <v>0.0</v>
      </c>
      <c r="T234" s="3" t="s">
        <v>1975</v>
      </c>
    </row>
    <row r="235">
      <c r="A235" s="3" t="s">
        <v>9421</v>
      </c>
      <c r="B235" s="3" t="s">
        <v>9422</v>
      </c>
      <c r="C235" s="17">
        <v>46079.35416666667</v>
      </c>
      <c r="D235" s="17">
        <v>46079.375</v>
      </c>
      <c r="E235" s="25">
        <v>0.5</v>
      </c>
      <c r="F235" s="2"/>
      <c r="G235" s="2"/>
      <c r="H235" s="3" t="s">
        <v>8971</v>
      </c>
      <c r="I235" s="3" t="s">
        <v>9077</v>
      </c>
      <c r="J235" s="3" t="s">
        <v>6950</v>
      </c>
      <c r="K235" s="3" t="s">
        <v>8973</v>
      </c>
      <c r="L235" s="16">
        <v>4.0</v>
      </c>
      <c r="M235" s="3" t="s">
        <v>9423</v>
      </c>
      <c r="N235" s="3" t="s">
        <v>9423</v>
      </c>
      <c r="O235" s="3" t="s">
        <v>9002</v>
      </c>
      <c r="P235" s="16">
        <v>1.0</v>
      </c>
      <c r="Q235" s="16">
        <v>0.0</v>
      </c>
      <c r="R235" s="16">
        <v>0.0</v>
      </c>
      <c r="S235" s="16">
        <v>3.0</v>
      </c>
      <c r="T235" s="3" t="s">
        <v>693</v>
      </c>
    </row>
    <row r="236">
      <c r="A236" s="3" t="s">
        <v>9262</v>
      </c>
      <c r="B236" s="3" t="s">
        <v>9263</v>
      </c>
      <c r="C236" s="17">
        <v>46079.4375</v>
      </c>
      <c r="D236" s="17">
        <v>46079.45833333333</v>
      </c>
      <c r="E236" s="25">
        <v>0.5</v>
      </c>
      <c r="G236" s="2"/>
      <c r="H236" s="3" t="s">
        <v>8971</v>
      </c>
      <c r="I236" s="3" t="s">
        <v>9077</v>
      </c>
      <c r="J236" s="3" t="s">
        <v>6950</v>
      </c>
      <c r="K236" s="3" t="s">
        <v>8973</v>
      </c>
      <c r="L236" s="16">
        <v>4.0</v>
      </c>
      <c r="M236" s="3" t="s">
        <v>9311</v>
      </c>
      <c r="N236" s="3" t="s">
        <v>9312</v>
      </c>
      <c r="O236" s="3" t="s">
        <v>9167</v>
      </c>
      <c r="P236" s="16">
        <v>4.0</v>
      </c>
      <c r="Q236" s="16">
        <v>0.0</v>
      </c>
      <c r="R236" s="16">
        <v>0.0</v>
      </c>
      <c r="S236" s="16">
        <v>0.0</v>
      </c>
      <c r="T236" s="3" t="s">
        <v>2672</v>
      </c>
    </row>
    <row r="237">
      <c r="A237" s="3" t="s">
        <v>9314</v>
      </c>
      <c r="B237" s="3" t="s">
        <v>9315</v>
      </c>
      <c r="C237" s="17">
        <v>46079.58333333333</v>
      </c>
      <c r="D237" s="17">
        <v>46079.60416666667</v>
      </c>
      <c r="E237" s="25">
        <v>0.5</v>
      </c>
      <c r="G237" s="2"/>
      <c r="H237" s="3" t="s">
        <v>8971</v>
      </c>
      <c r="I237" s="3" t="s">
        <v>9077</v>
      </c>
      <c r="J237" s="3" t="s">
        <v>6950</v>
      </c>
      <c r="K237" s="3" t="s">
        <v>8973</v>
      </c>
      <c r="L237" s="16">
        <v>6.0</v>
      </c>
      <c r="M237" s="3" t="s">
        <v>9316</v>
      </c>
      <c r="N237" s="3" t="s">
        <v>9316</v>
      </c>
      <c r="O237" s="3" t="s">
        <v>9397</v>
      </c>
      <c r="P237" s="16">
        <v>1.0</v>
      </c>
      <c r="Q237" s="16">
        <v>3.0</v>
      </c>
      <c r="R237" s="16">
        <v>0.0</v>
      </c>
      <c r="S237" s="16">
        <v>2.0</v>
      </c>
      <c r="T237" s="3" t="s">
        <v>5285</v>
      </c>
    </row>
    <row r="238">
      <c r="A238" s="3" t="s">
        <v>9443</v>
      </c>
      <c r="B238" s="3" t="s">
        <v>8085</v>
      </c>
      <c r="C238" s="17">
        <v>46080.54166666667</v>
      </c>
      <c r="D238" s="17">
        <v>46080.5625</v>
      </c>
      <c r="E238" s="25">
        <v>0.5</v>
      </c>
      <c r="F238" s="2"/>
      <c r="G238" s="2"/>
      <c r="H238" s="3" t="s">
        <v>8971</v>
      </c>
      <c r="I238" s="3" t="s">
        <v>9077</v>
      </c>
      <c r="J238" s="3" t="s">
        <v>9206</v>
      </c>
      <c r="K238" s="3" t="s">
        <v>8973</v>
      </c>
      <c r="L238" s="16">
        <v>5.0</v>
      </c>
      <c r="M238" s="3" t="s">
        <v>9207</v>
      </c>
      <c r="N238" s="3" t="s">
        <v>9208</v>
      </c>
      <c r="O238" s="3" t="s">
        <v>9444</v>
      </c>
      <c r="P238" s="16">
        <v>4.0</v>
      </c>
      <c r="Q238" s="16">
        <v>1.0</v>
      </c>
      <c r="R238" s="16">
        <v>0.0</v>
      </c>
      <c r="S238" s="16">
        <v>0.0</v>
      </c>
      <c r="T238" s="3" t="s">
        <v>453</v>
      </c>
    </row>
    <row r="239">
      <c r="A239" s="3" t="s">
        <v>9410</v>
      </c>
      <c r="B239" s="3" t="s">
        <v>7147</v>
      </c>
      <c r="C239" s="17">
        <v>46083.54166666667</v>
      </c>
      <c r="D239" s="17">
        <v>46083.5625</v>
      </c>
      <c r="E239" s="25">
        <v>0.5</v>
      </c>
      <c r="F239" s="13" t="s">
        <v>9411</v>
      </c>
      <c r="G239" s="3" t="s">
        <v>9412</v>
      </c>
      <c r="H239" s="3" t="s">
        <v>8971</v>
      </c>
      <c r="I239" s="3" t="s">
        <v>9094</v>
      </c>
      <c r="J239" s="3" t="s">
        <v>6853</v>
      </c>
      <c r="K239" s="3" t="s">
        <v>8973</v>
      </c>
      <c r="L239" s="16">
        <v>4.0</v>
      </c>
      <c r="M239" s="3" t="s">
        <v>9349</v>
      </c>
      <c r="N239" s="3" t="s">
        <v>9349</v>
      </c>
      <c r="O239" s="3" t="s">
        <v>9002</v>
      </c>
      <c r="P239" s="16">
        <v>1.0</v>
      </c>
      <c r="Q239" s="16">
        <v>0.0</v>
      </c>
      <c r="R239" s="16">
        <v>0.0</v>
      </c>
      <c r="S239" s="16">
        <v>3.0</v>
      </c>
      <c r="T239" s="3" t="s">
        <v>1725</v>
      </c>
    </row>
    <row r="240">
      <c r="A240" s="3" t="s">
        <v>9325</v>
      </c>
      <c r="B240" s="3" t="s">
        <v>9000</v>
      </c>
      <c r="C240" s="17">
        <v>46083.58333333333</v>
      </c>
      <c r="D240" s="17">
        <v>46083.60416666667</v>
      </c>
      <c r="E240" s="25">
        <v>0.5</v>
      </c>
      <c r="G240" s="2"/>
      <c r="H240" s="3" t="s">
        <v>8971</v>
      </c>
      <c r="I240" s="3" t="s">
        <v>8972</v>
      </c>
      <c r="J240" s="3" t="s">
        <v>6950</v>
      </c>
      <c r="K240" s="3" t="s">
        <v>8973</v>
      </c>
      <c r="L240" s="16">
        <v>4.0</v>
      </c>
      <c r="M240" s="3" t="s">
        <v>9001</v>
      </c>
      <c r="N240" s="3" t="s">
        <v>9001</v>
      </c>
      <c r="O240" s="3" t="s">
        <v>9002</v>
      </c>
      <c r="P240" s="16">
        <v>1.0</v>
      </c>
      <c r="Q240" s="16">
        <v>0.0</v>
      </c>
      <c r="R240" s="16">
        <v>0.0</v>
      </c>
      <c r="S240" s="16">
        <v>3.0</v>
      </c>
      <c r="T240" s="3" t="s">
        <v>2594</v>
      </c>
    </row>
    <row r="241">
      <c r="A241" s="3" t="s">
        <v>9223</v>
      </c>
      <c r="B241" s="3" t="s">
        <v>8418</v>
      </c>
      <c r="C241" s="17">
        <v>46083.60416666667</v>
      </c>
      <c r="D241" s="17">
        <v>46083.625</v>
      </c>
      <c r="E241" s="25">
        <v>0.5</v>
      </c>
      <c r="F241" s="2"/>
      <c r="G241" s="3" t="s">
        <v>9304</v>
      </c>
      <c r="H241" s="3" t="s">
        <v>8971</v>
      </c>
      <c r="I241" s="3" t="s">
        <v>9094</v>
      </c>
      <c r="J241" s="3" t="s">
        <v>6853</v>
      </c>
      <c r="K241" s="3" t="s">
        <v>8973</v>
      </c>
      <c r="L241" s="16">
        <v>2.0</v>
      </c>
      <c r="M241" s="3" t="s">
        <v>9225</v>
      </c>
      <c r="N241" s="3" t="s">
        <v>9225</v>
      </c>
      <c r="O241" s="3" t="s">
        <v>9010</v>
      </c>
      <c r="P241" s="16">
        <v>0.0</v>
      </c>
      <c r="Q241" s="16">
        <v>0.0</v>
      </c>
      <c r="R241" s="16">
        <v>0.0</v>
      </c>
      <c r="S241" s="16">
        <v>2.0</v>
      </c>
      <c r="T241" s="3" t="s">
        <v>2868</v>
      </c>
    </row>
    <row r="242">
      <c r="A242" s="3" t="s">
        <v>9307</v>
      </c>
      <c r="B242" s="3" t="s">
        <v>9137</v>
      </c>
      <c r="C242" s="17">
        <v>46084.5</v>
      </c>
      <c r="D242" s="17">
        <v>46084.52083333333</v>
      </c>
      <c r="E242" s="25">
        <v>0.5</v>
      </c>
      <c r="G242" s="3" t="s">
        <v>9138</v>
      </c>
      <c r="H242" s="3" t="s">
        <v>8971</v>
      </c>
      <c r="I242" s="3" t="s">
        <v>9077</v>
      </c>
      <c r="J242" s="3" t="s">
        <v>6950</v>
      </c>
      <c r="K242" s="3" t="s">
        <v>8973</v>
      </c>
      <c r="L242" s="16">
        <v>3.0</v>
      </c>
      <c r="M242" s="3" t="s">
        <v>9140</v>
      </c>
      <c r="N242" s="3" t="s">
        <v>9141</v>
      </c>
      <c r="O242" s="3" t="s">
        <v>9308</v>
      </c>
      <c r="P242" s="16">
        <v>2.0</v>
      </c>
      <c r="Q242" s="16">
        <v>0.0</v>
      </c>
      <c r="R242" s="16">
        <v>1.0</v>
      </c>
      <c r="S242" s="16">
        <v>0.0</v>
      </c>
      <c r="T242" s="3" t="s">
        <v>4466</v>
      </c>
    </row>
    <row r="243">
      <c r="A243" s="3" t="s">
        <v>9326</v>
      </c>
      <c r="B243" s="3" t="s">
        <v>8991</v>
      </c>
      <c r="C243" s="17">
        <v>46084.54166666667</v>
      </c>
      <c r="D243" s="17">
        <v>46084.5625</v>
      </c>
      <c r="E243" s="25">
        <v>0.5</v>
      </c>
      <c r="G243" s="3" t="s">
        <v>8992</v>
      </c>
      <c r="H243" s="3" t="s">
        <v>8971</v>
      </c>
      <c r="I243" s="3" t="s">
        <v>9077</v>
      </c>
      <c r="J243" s="3" t="s">
        <v>6950</v>
      </c>
      <c r="K243" s="3" t="s">
        <v>8973</v>
      </c>
      <c r="L243" s="16">
        <v>4.0</v>
      </c>
      <c r="M243" s="3" t="s">
        <v>8993</v>
      </c>
      <c r="N243" s="3" t="s">
        <v>8993</v>
      </c>
      <c r="O243" s="3" t="s">
        <v>9204</v>
      </c>
      <c r="P243" s="16">
        <v>3.0</v>
      </c>
      <c r="Q243" s="16">
        <v>0.0</v>
      </c>
      <c r="R243" s="16">
        <v>0.0</v>
      </c>
      <c r="S243" s="16">
        <v>1.0</v>
      </c>
      <c r="T243" s="3" t="s">
        <v>861</v>
      </c>
    </row>
    <row r="244">
      <c r="A244" s="3" t="s">
        <v>9309</v>
      </c>
      <c r="B244" s="3" t="s">
        <v>6844</v>
      </c>
      <c r="C244" s="17">
        <v>46084.5625</v>
      </c>
      <c r="D244" s="17">
        <v>46084.58333333333</v>
      </c>
      <c r="E244" s="25">
        <v>0.5</v>
      </c>
      <c r="G244" s="2"/>
      <c r="H244" s="3" t="s">
        <v>8971</v>
      </c>
      <c r="I244" s="3" t="s">
        <v>9094</v>
      </c>
      <c r="J244" s="3" t="s">
        <v>6853</v>
      </c>
      <c r="K244" s="3" t="s">
        <v>8973</v>
      </c>
      <c r="L244" s="16">
        <v>2.0</v>
      </c>
      <c r="M244" s="3" t="s">
        <v>9310</v>
      </c>
      <c r="N244" s="3" t="s">
        <v>9310</v>
      </c>
      <c r="O244" s="3" t="s">
        <v>9043</v>
      </c>
      <c r="P244" s="16">
        <v>1.0</v>
      </c>
      <c r="Q244" s="16">
        <v>0.0</v>
      </c>
      <c r="R244" s="16">
        <v>0.0</v>
      </c>
      <c r="S244" s="16">
        <v>1.0</v>
      </c>
      <c r="T244" s="3" t="s">
        <v>2616</v>
      </c>
    </row>
    <row r="245">
      <c r="A245" s="3" t="s">
        <v>9453</v>
      </c>
      <c r="B245" s="3" t="s">
        <v>9454</v>
      </c>
      <c r="C245" s="17">
        <v>46084.58333333333</v>
      </c>
      <c r="D245" s="17">
        <v>46084.60416666667</v>
      </c>
      <c r="E245" s="25">
        <v>0.5</v>
      </c>
      <c r="F245" s="2"/>
      <c r="G245" s="3" t="s">
        <v>9455</v>
      </c>
      <c r="H245" s="3" t="s">
        <v>8971</v>
      </c>
      <c r="I245" s="3" t="s">
        <v>9077</v>
      </c>
      <c r="J245" s="3" t="s">
        <v>6950</v>
      </c>
      <c r="K245" s="3" t="s">
        <v>8973</v>
      </c>
      <c r="L245" s="16">
        <v>9.0</v>
      </c>
      <c r="M245" s="3" t="s">
        <v>8982</v>
      </c>
      <c r="N245" s="3" t="s">
        <v>8983</v>
      </c>
      <c r="O245" s="3" t="s">
        <v>9456</v>
      </c>
      <c r="P245" s="16">
        <v>2.0</v>
      </c>
      <c r="Q245" s="16">
        <v>0.0</v>
      </c>
      <c r="R245" s="16">
        <v>1.0</v>
      </c>
      <c r="S245" s="16">
        <v>6.0</v>
      </c>
      <c r="T245" s="3" t="s">
        <v>2109</v>
      </c>
    </row>
    <row r="246">
      <c r="A246" s="3" t="s">
        <v>9334</v>
      </c>
      <c r="B246" s="3" t="s">
        <v>9026</v>
      </c>
      <c r="C246" s="17">
        <v>46086.33333333333</v>
      </c>
      <c r="D246" s="17">
        <v>46086.35416666667</v>
      </c>
      <c r="E246" s="25">
        <v>0.5</v>
      </c>
      <c r="F246" s="2"/>
      <c r="G246" s="2"/>
      <c r="H246" s="3" t="s">
        <v>8971</v>
      </c>
      <c r="I246" s="3" t="s">
        <v>9077</v>
      </c>
      <c r="J246" s="3" t="s">
        <v>6950</v>
      </c>
      <c r="K246" s="3" t="s">
        <v>8973</v>
      </c>
      <c r="L246" s="16">
        <v>4.0</v>
      </c>
      <c r="M246" s="3" t="s">
        <v>9027</v>
      </c>
      <c r="N246" s="3" t="s">
        <v>9027</v>
      </c>
      <c r="O246" s="3" t="s">
        <v>9335</v>
      </c>
      <c r="P246" s="16">
        <v>2.0</v>
      </c>
      <c r="Q246" s="16">
        <v>0.0</v>
      </c>
      <c r="R246" s="16">
        <v>0.0</v>
      </c>
      <c r="S246" s="16">
        <v>2.0</v>
      </c>
      <c r="T246" s="3" t="s">
        <v>5681</v>
      </c>
    </row>
    <row r="247">
      <c r="A247" s="3" t="s">
        <v>9336</v>
      </c>
      <c r="B247" s="3" t="s">
        <v>8080</v>
      </c>
      <c r="C247" s="17">
        <v>46086.39583333333</v>
      </c>
      <c r="D247" s="17">
        <v>46086.41666666667</v>
      </c>
      <c r="E247" s="25">
        <v>0.5</v>
      </c>
      <c r="G247" s="3" t="s">
        <v>9337</v>
      </c>
      <c r="H247" s="3" t="s">
        <v>8971</v>
      </c>
      <c r="I247" s="3" t="s">
        <v>9077</v>
      </c>
      <c r="J247" s="3" t="s">
        <v>9206</v>
      </c>
      <c r="K247" s="3" t="s">
        <v>8973</v>
      </c>
      <c r="L247" s="16">
        <v>7.0</v>
      </c>
      <c r="M247" s="3" t="s">
        <v>9338</v>
      </c>
      <c r="N247" s="3" t="s">
        <v>9338</v>
      </c>
      <c r="O247" s="3" t="s">
        <v>9457</v>
      </c>
      <c r="P247" s="16">
        <v>5.0</v>
      </c>
      <c r="Q247" s="16">
        <v>0.0</v>
      </c>
      <c r="R247" s="16">
        <v>0.0</v>
      </c>
      <c r="S247" s="16">
        <v>2.0</v>
      </c>
      <c r="T247" s="3" t="s">
        <v>3028</v>
      </c>
    </row>
    <row r="248">
      <c r="A248" s="3" t="s">
        <v>9458</v>
      </c>
      <c r="B248" s="3" t="s">
        <v>9022</v>
      </c>
      <c r="C248" s="17">
        <v>46086.4375</v>
      </c>
      <c r="D248" s="17">
        <v>46086.45833333333</v>
      </c>
      <c r="E248" s="25">
        <v>0.5</v>
      </c>
      <c r="G248" s="2"/>
      <c r="H248" s="3" t="s">
        <v>8971</v>
      </c>
      <c r="I248" s="3" t="s">
        <v>9077</v>
      </c>
      <c r="J248" s="3" t="s">
        <v>6950</v>
      </c>
      <c r="K248" s="3" t="s">
        <v>8973</v>
      </c>
      <c r="L248" s="16">
        <v>2.0</v>
      </c>
      <c r="M248" s="3" t="s">
        <v>9023</v>
      </c>
      <c r="N248" s="3" t="s">
        <v>9023</v>
      </c>
      <c r="O248" s="3" t="s">
        <v>9024</v>
      </c>
      <c r="P248" s="16">
        <v>2.0</v>
      </c>
      <c r="Q248" s="16">
        <v>0.0</v>
      </c>
      <c r="R248" s="16">
        <v>0.0</v>
      </c>
      <c r="S248" s="16">
        <v>0.0</v>
      </c>
      <c r="T248" s="3" t="s">
        <v>5396</v>
      </c>
    </row>
    <row r="249">
      <c r="A249" s="3" t="s">
        <v>9340</v>
      </c>
      <c r="B249" s="3" t="s">
        <v>9176</v>
      </c>
      <c r="C249" s="17">
        <v>46086.47916666667</v>
      </c>
      <c r="D249" s="17">
        <v>46086.5</v>
      </c>
      <c r="E249" s="25">
        <v>0.5</v>
      </c>
      <c r="F249" s="2"/>
      <c r="G249" s="2"/>
      <c r="H249" s="3" t="s">
        <v>8971</v>
      </c>
      <c r="I249" s="3" t="s">
        <v>9077</v>
      </c>
      <c r="J249" s="3" t="s">
        <v>6950</v>
      </c>
      <c r="K249" s="3" t="s">
        <v>8973</v>
      </c>
      <c r="L249" s="16">
        <v>5.0</v>
      </c>
      <c r="M249" s="3" t="s">
        <v>9341</v>
      </c>
      <c r="N249" s="3" t="s">
        <v>9341</v>
      </c>
      <c r="O249" s="3" t="s">
        <v>9342</v>
      </c>
      <c r="P249" s="16">
        <v>4.0</v>
      </c>
      <c r="Q249" s="16">
        <v>0.0</v>
      </c>
      <c r="R249" s="16">
        <v>0.0</v>
      </c>
      <c r="S249" s="16">
        <v>1.0</v>
      </c>
      <c r="T249" s="2"/>
    </row>
    <row r="250">
      <c r="A250" s="3" t="s">
        <v>9459</v>
      </c>
      <c r="B250" s="3" t="s">
        <v>9460</v>
      </c>
      <c r="C250" s="17">
        <v>46086.5</v>
      </c>
      <c r="D250" s="17">
        <v>46086.52083333333</v>
      </c>
      <c r="E250" s="25">
        <v>0.5</v>
      </c>
      <c r="F250" s="2"/>
      <c r="G250" s="2"/>
      <c r="H250" s="3" t="s">
        <v>8971</v>
      </c>
      <c r="I250" s="3" t="s">
        <v>9094</v>
      </c>
      <c r="J250" s="3" t="s">
        <v>6853</v>
      </c>
      <c r="K250" s="3" t="s">
        <v>8973</v>
      </c>
      <c r="L250" s="16">
        <v>1.0</v>
      </c>
      <c r="M250" s="3" t="s">
        <v>8912</v>
      </c>
      <c r="N250" s="3" t="s">
        <v>8912</v>
      </c>
      <c r="O250" s="3" t="s">
        <v>9077</v>
      </c>
      <c r="P250" s="16">
        <v>1.0</v>
      </c>
      <c r="Q250" s="16">
        <v>0.0</v>
      </c>
      <c r="R250" s="16">
        <v>0.0</v>
      </c>
      <c r="S250" s="16">
        <v>0.0</v>
      </c>
      <c r="T250" s="3" t="s">
        <v>1195</v>
      </c>
    </row>
    <row r="251">
      <c r="A251" s="3" t="s">
        <v>9320</v>
      </c>
      <c r="B251" s="3" t="s">
        <v>9196</v>
      </c>
      <c r="C251" s="17">
        <v>46087.39583333333</v>
      </c>
      <c r="D251" s="17">
        <v>46087.41666666667</v>
      </c>
      <c r="E251" s="25">
        <v>0.5</v>
      </c>
      <c r="F251" s="2"/>
      <c r="G251" s="3" t="s">
        <v>9197</v>
      </c>
      <c r="H251" s="3" t="s">
        <v>8971</v>
      </c>
      <c r="I251" s="3" t="s">
        <v>9077</v>
      </c>
      <c r="J251" s="3" t="s">
        <v>6950</v>
      </c>
      <c r="K251" s="3" t="s">
        <v>8973</v>
      </c>
      <c r="L251" s="16">
        <v>4.0</v>
      </c>
      <c r="M251" s="3" t="s">
        <v>9198</v>
      </c>
      <c r="N251" s="3" t="s">
        <v>9198</v>
      </c>
      <c r="O251" s="3" t="s">
        <v>9321</v>
      </c>
      <c r="P251" s="16">
        <v>2.0</v>
      </c>
      <c r="Q251" s="16">
        <v>1.0</v>
      </c>
      <c r="R251" s="16">
        <v>0.0</v>
      </c>
      <c r="S251" s="16">
        <v>1.0</v>
      </c>
      <c r="T251" s="3" t="s">
        <v>1969</v>
      </c>
    </row>
    <row r="252">
      <c r="A252" s="3" t="s">
        <v>9441</v>
      </c>
      <c r="B252" s="3" t="s">
        <v>7840</v>
      </c>
      <c r="C252" s="17">
        <v>46090.58333333333</v>
      </c>
      <c r="D252" s="17">
        <v>46090.60416666667</v>
      </c>
      <c r="E252" s="25">
        <v>0.5</v>
      </c>
      <c r="F252" s="2"/>
      <c r="G252" s="2"/>
      <c r="H252" s="3" t="s">
        <v>8971</v>
      </c>
      <c r="I252" s="3" t="s">
        <v>9094</v>
      </c>
      <c r="J252" s="3" t="s">
        <v>6853</v>
      </c>
      <c r="K252" s="3" t="s">
        <v>8973</v>
      </c>
      <c r="L252" s="16">
        <v>4.0</v>
      </c>
      <c r="M252" s="3" t="s">
        <v>9166</v>
      </c>
      <c r="N252" s="3" t="s">
        <v>9166</v>
      </c>
      <c r="O252" s="3" t="s">
        <v>9002</v>
      </c>
      <c r="P252" s="16">
        <v>1.0</v>
      </c>
      <c r="Q252" s="16">
        <v>0.0</v>
      </c>
      <c r="R252" s="16">
        <v>0.0</v>
      </c>
      <c r="S252" s="16">
        <v>3.0</v>
      </c>
      <c r="T252" s="3" t="s">
        <v>5544</v>
      </c>
    </row>
    <row r="253">
      <c r="A253" s="3" t="s">
        <v>9223</v>
      </c>
      <c r="B253" s="3" t="s">
        <v>8418</v>
      </c>
      <c r="C253" s="17">
        <v>46090.60416666667</v>
      </c>
      <c r="D253" s="17">
        <v>46090.625</v>
      </c>
      <c r="E253" s="25">
        <v>0.5</v>
      </c>
      <c r="F253" s="2"/>
      <c r="G253" s="3" t="s">
        <v>9304</v>
      </c>
      <c r="H253" s="3" t="s">
        <v>8971</v>
      </c>
      <c r="I253" s="3" t="s">
        <v>9094</v>
      </c>
      <c r="J253" s="3" t="s">
        <v>6853</v>
      </c>
      <c r="K253" s="3" t="s">
        <v>8973</v>
      </c>
      <c r="L253" s="16">
        <v>2.0</v>
      </c>
      <c r="M253" s="3" t="s">
        <v>9225</v>
      </c>
      <c r="N253" s="3" t="s">
        <v>9225</v>
      </c>
      <c r="O253" s="3" t="s">
        <v>9010</v>
      </c>
      <c r="P253" s="16">
        <v>0.0</v>
      </c>
      <c r="Q253" s="16">
        <v>0.0</v>
      </c>
      <c r="R253" s="16">
        <v>0.0</v>
      </c>
      <c r="S253" s="16">
        <v>2.0</v>
      </c>
      <c r="T253" s="3" t="s">
        <v>2868</v>
      </c>
    </row>
    <row r="254">
      <c r="A254" s="3" t="s">
        <v>9307</v>
      </c>
      <c r="B254" s="3" t="s">
        <v>9137</v>
      </c>
      <c r="C254" s="17">
        <v>46091.5</v>
      </c>
      <c r="D254" s="17">
        <v>46091.52083333333</v>
      </c>
      <c r="E254" s="25">
        <v>0.5</v>
      </c>
      <c r="F254" s="2"/>
      <c r="G254" s="3" t="s">
        <v>9138</v>
      </c>
      <c r="H254" s="3" t="s">
        <v>8971</v>
      </c>
      <c r="I254" s="3" t="s">
        <v>9077</v>
      </c>
      <c r="J254" s="3" t="s">
        <v>6950</v>
      </c>
      <c r="K254" s="3" t="s">
        <v>8973</v>
      </c>
      <c r="L254" s="16">
        <v>3.0</v>
      </c>
      <c r="M254" s="3" t="s">
        <v>9140</v>
      </c>
      <c r="N254" s="3" t="s">
        <v>9141</v>
      </c>
      <c r="O254" s="3" t="s">
        <v>9308</v>
      </c>
      <c r="P254" s="16">
        <v>2.0</v>
      </c>
      <c r="Q254" s="16">
        <v>0.0</v>
      </c>
      <c r="R254" s="16">
        <v>1.0</v>
      </c>
      <c r="S254" s="16">
        <v>0.0</v>
      </c>
      <c r="T254" s="3" t="s">
        <v>4466</v>
      </c>
    </row>
    <row r="255">
      <c r="A255" s="3" t="s">
        <v>9309</v>
      </c>
      <c r="B255" s="3" t="s">
        <v>6844</v>
      </c>
      <c r="C255" s="17">
        <v>46091.5625</v>
      </c>
      <c r="D255" s="17">
        <v>46091.58333333333</v>
      </c>
      <c r="E255" s="25">
        <v>0.5</v>
      </c>
      <c r="F255" s="2"/>
      <c r="G255" s="2"/>
      <c r="H255" s="3" t="s">
        <v>8971</v>
      </c>
      <c r="I255" s="3" t="s">
        <v>9094</v>
      </c>
      <c r="J255" s="3" t="s">
        <v>6853</v>
      </c>
      <c r="K255" s="3" t="s">
        <v>8973</v>
      </c>
      <c r="L255" s="16">
        <v>2.0</v>
      </c>
      <c r="M255" s="3" t="s">
        <v>9310</v>
      </c>
      <c r="N255" s="3" t="s">
        <v>9310</v>
      </c>
      <c r="O255" s="3" t="s">
        <v>9043</v>
      </c>
      <c r="P255" s="16">
        <v>1.0</v>
      </c>
      <c r="Q255" s="16">
        <v>0.0</v>
      </c>
      <c r="R255" s="16">
        <v>0.0</v>
      </c>
      <c r="S255" s="16">
        <v>1.0</v>
      </c>
      <c r="T255" s="3" t="s">
        <v>2616</v>
      </c>
    </row>
    <row r="256">
      <c r="A256" s="3" t="s">
        <v>9442</v>
      </c>
      <c r="B256" s="3" t="s">
        <v>8969</v>
      </c>
      <c r="C256" s="17">
        <v>46091.58333333333</v>
      </c>
      <c r="D256" s="17">
        <v>46091.60416666667</v>
      </c>
      <c r="E256" s="25">
        <v>0.5</v>
      </c>
      <c r="F256" s="2"/>
      <c r="G256" s="3" t="s">
        <v>8970</v>
      </c>
      <c r="H256" s="3" t="s">
        <v>8971</v>
      </c>
      <c r="I256" s="3" t="s">
        <v>9094</v>
      </c>
      <c r="J256" s="3" t="s">
        <v>6853</v>
      </c>
      <c r="K256" s="3" t="s">
        <v>8973</v>
      </c>
      <c r="L256" s="16">
        <v>3.0</v>
      </c>
      <c r="M256" s="3" t="s">
        <v>9436</v>
      </c>
      <c r="N256" s="3" t="s">
        <v>9436</v>
      </c>
      <c r="O256" s="3" t="s">
        <v>9147</v>
      </c>
      <c r="P256" s="16">
        <v>2.0</v>
      </c>
      <c r="Q256" s="16">
        <v>0.0</v>
      </c>
      <c r="R256" s="16">
        <v>0.0</v>
      </c>
      <c r="S256" s="16">
        <v>1.0</v>
      </c>
      <c r="T256" s="3" t="s">
        <v>5498</v>
      </c>
    </row>
    <row r="257">
      <c r="A257" s="3" t="s">
        <v>9384</v>
      </c>
      <c r="B257" s="3" t="s">
        <v>9015</v>
      </c>
      <c r="C257" s="17">
        <v>46092.54166666667</v>
      </c>
      <c r="D257" s="17">
        <v>46092.5625</v>
      </c>
      <c r="E257" s="25">
        <v>0.5</v>
      </c>
      <c r="G257" s="2"/>
      <c r="H257" s="3" t="s">
        <v>8971</v>
      </c>
      <c r="I257" s="3" t="s">
        <v>9077</v>
      </c>
      <c r="J257" s="3" t="s">
        <v>6950</v>
      </c>
      <c r="K257" s="3" t="s">
        <v>8973</v>
      </c>
      <c r="L257" s="16">
        <v>3.0</v>
      </c>
      <c r="M257" s="3" t="s">
        <v>9016</v>
      </c>
      <c r="N257" s="3" t="s">
        <v>9016</v>
      </c>
      <c r="O257" s="3" t="s">
        <v>9017</v>
      </c>
      <c r="P257" s="16">
        <v>3.0</v>
      </c>
      <c r="Q257" s="16">
        <v>0.0</v>
      </c>
      <c r="R257" s="16">
        <v>0.0</v>
      </c>
      <c r="S257" s="16">
        <v>0.0</v>
      </c>
      <c r="T257" s="3" t="s">
        <v>1975</v>
      </c>
    </row>
    <row r="258">
      <c r="A258" s="3" t="s">
        <v>9262</v>
      </c>
      <c r="B258" s="3" t="s">
        <v>9263</v>
      </c>
      <c r="C258" s="17">
        <v>46093.4375</v>
      </c>
      <c r="D258" s="17">
        <v>46093.45833333333</v>
      </c>
      <c r="E258" s="25">
        <v>0.5</v>
      </c>
      <c r="G258" s="2"/>
      <c r="H258" s="3" t="s">
        <v>8971</v>
      </c>
      <c r="I258" s="3" t="s">
        <v>9077</v>
      </c>
      <c r="J258" s="3" t="s">
        <v>6950</v>
      </c>
      <c r="K258" s="3" t="s">
        <v>8973</v>
      </c>
      <c r="L258" s="16">
        <v>4.0</v>
      </c>
      <c r="M258" s="3" t="s">
        <v>9311</v>
      </c>
      <c r="N258" s="3" t="s">
        <v>9312</v>
      </c>
      <c r="O258" s="3" t="s">
        <v>9167</v>
      </c>
      <c r="P258" s="16">
        <v>4.0</v>
      </c>
      <c r="Q258" s="16">
        <v>0.0</v>
      </c>
      <c r="R258" s="16">
        <v>0.0</v>
      </c>
      <c r="S258" s="16">
        <v>0.0</v>
      </c>
      <c r="T258" s="3" t="s">
        <v>2672</v>
      </c>
    </row>
    <row r="259">
      <c r="A259" s="3" t="s">
        <v>9314</v>
      </c>
      <c r="B259" s="3" t="s">
        <v>9315</v>
      </c>
      <c r="C259" s="17">
        <v>46093.58333333333</v>
      </c>
      <c r="D259" s="17">
        <v>46093.60416666667</v>
      </c>
      <c r="E259" s="25">
        <v>0.5</v>
      </c>
      <c r="F259" s="2"/>
      <c r="G259" s="2"/>
      <c r="H259" s="3" t="s">
        <v>8971</v>
      </c>
      <c r="I259" s="3" t="s">
        <v>9077</v>
      </c>
      <c r="J259" s="3" t="s">
        <v>6950</v>
      </c>
      <c r="K259" s="3" t="s">
        <v>8973</v>
      </c>
      <c r="L259" s="16">
        <v>6.0</v>
      </c>
      <c r="M259" s="3" t="s">
        <v>9316</v>
      </c>
      <c r="N259" s="3" t="s">
        <v>9316</v>
      </c>
      <c r="O259" s="3" t="s">
        <v>9397</v>
      </c>
      <c r="P259" s="16">
        <v>1.0</v>
      </c>
      <c r="Q259" s="16">
        <v>3.0</v>
      </c>
      <c r="R259" s="16">
        <v>0.0</v>
      </c>
      <c r="S259" s="16">
        <v>2.0</v>
      </c>
      <c r="T259" s="3" t="s">
        <v>5285</v>
      </c>
    </row>
    <row r="260">
      <c r="A260" s="3" t="s">
        <v>9410</v>
      </c>
      <c r="B260" s="3" t="s">
        <v>7147</v>
      </c>
      <c r="C260" s="17">
        <v>46097.54166666667</v>
      </c>
      <c r="D260" s="17">
        <v>46097.5625</v>
      </c>
      <c r="E260" s="25">
        <v>0.5</v>
      </c>
      <c r="F260" s="13" t="s">
        <v>9411</v>
      </c>
      <c r="G260" s="3" t="s">
        <v>9412</v>
      </c>
      <c r="H260" s="3" t="s">
        <v>8971</v>
      </c>
      <c r="I260" s="3" t="s">
        <v>9094</v>
      </c>
      <c r="J260" s="3" t="s">
        <v>6853</v>
      </c>
      <c r="K260" s="3" t="s">
        <v>8973</v>
      </c>
      <c r="L260" s="16">
        <v>4.0</v>
      </c>
      <c r="M260" s="3" t="s">
        <v>9349</v>
      </c>
      <c r="N260" s="3" t="s">
        <v>9349</v>
      </c>
      <c r="O260" s="3" t="s">
        <v>9002</v>
      </c>
      <c r="P260" s="16">
        <v>1.0</v>
      </c>
      <c r="Q260" s="16">
        <v>0.0</v>
      </c>
      <c r="R260" s="16">
        <v>0.0</v>
      </c>
      <c r="S260" s="16">
        <v>3.0</v>
      </c>
      <c r="T260" s="3" t="s">
        <v>1725</v>
      </c>
    </row>
    <row r="261">
      <c r="A261" s="3" t="s">
        <v>9325</v>
      </c>
      <c r="B261" s="3" t="s">
        <v>9000</v>
      </c>
      <c r="C261" s="17">
        <v>46097.58333333333</v>
      </c>
      <c r="D261" s="17">
        <v>46097.60416666667</v>
      </c>
      <c r="E261" s="25">
        <v>0.5</v>
      </c>
      <c r="G261" s="2"/>
      <c r="H261" s="3" t="s">
        <v>8971</v>
      </c>
      <c r="I261" s="3" t="s">
        <v>8972</v>
      </c>
      <c r="J261" s="3" t="s">
        <v>6950</v>
      </c>
      <c r="K261" s="3" t="s">
        <v>8973</v>
      </c>
      <c r="L261" s="16">
        <v>4.0</v>
      </c>
      <c r="M261" s="3" t="s">
        <v>9001</v>
      </c>
      <c r="N261" s="3" t="s">
        <v>9001</v>
      </c>
      <c r="O261" s="3" t="s">
        <v>9002</v>
      </c>
      <c r="P261" s="16">
        <v>1.0</v>
      </c>
      <c r="Q261" s="16">
        <v>0.0</v>
      </c>
      <c r="R261" s="16">
        <v>0.0</v>
      </c>
      <c r="S261" s="16">
        <v>3.0</v>
      </c>
      <c r="T261" s="3" t="s">
        <v>2594</v>
      </c>
    </row>
    <row r="262">
      <c r="A262" s="3" t="s">
        <v>9223</v>
      </c>
      <c r="B262" s="3" t="s">
        <v>8418</v>
      </c>
      <c r="C262" s="17">
        <v>46097.60416666667</v>
      </c>
      <c r="D262" s="17">
        <v>46097.625</v>
      </c>
      <c r="E262" s="25">
        <v>0.5</v>
      </c>
      <c r="G262" s="3" t="s">
        <v>9304</v>
      </c>
      <c r="H262" s="3" t="s">
        <v>8971</v>
      </c>
      <c r="I262" s="3" t="s">
        <v>9094</v>
      </c>
      <c r="J262" s="3" t="s">
        <v>6853</v>
      </c>
      <c r="K262" s="3" t="s">
        <v>8973</v>
      </c>
      <c r="L262" s="16">
        <v>2.0</v>
      </c>
      <c r="M262" s="3" t="s">
        <v>9225</v>
      </c>
      <c r="N262" s="3" t="s">
        <v>9225</v>
      </c>
      <c r="O262" s="3" t="s">
        <v>9010</v>
      </c>
      <c r="P262" s="16">
        <v>0.0</v>
      </c>
      <c r="Q262" s="16">
        <v>0.0</v>
      </c>
      <c r="R262" s="16">
        <v>0.0</v>
      </c>
      <c r="S262" s="16">
        <v>2.0</v>
      </c>
      <c r="T262" s="3" t="s">
        <v>2868</v>
      </c>
    </row>
    <row r="263">
      <c r="A263" s="3" t="s">
        <v>9416</v>
      </c>
      <c r="B263" s="3" t="s">
        <v>9417</v>
      </c>
      <c r="C263" s="17">
        <v>46098.45833333333</v>
      </c>
      <c r="D263" s="17">
        <v>46098.47916666667</v>
      </c>
      <c r="E263" s="25">
        <v>0.5</v>
      </c>
      <c r="G263" s="3" t="s">
        <v>9418</v>
      </c>
      <c r="H263" s="3" t="s">
        <v>8971</v>
      </c>
      <c r="I263" s="3" t="s">
        <v>9094</v>
      </c>
      <c r="J263" s="3" t="s">
        <v>6853</v>
      </c>
      <c r="K263" s="3" t="s">
        <v>8973</v>
      </c>
      <c r="L263" s="16">
        <v>5.0</v>
      </c>
      <c r="M263" s="3" t="s">
        <v>9480</v>
      </c>
      <c r="N263" s="3" t="s">
        <v>9480</v>
      </c>
      <c r="O263" s="3" t="s">
        <v>9432</v>
      </c>
      <c r="P263" s="16">
        <v>0.0</v>
      </c>
      <c r="Q263" s="16">
        <v>0.0</v>
      </c>
      <c r="R263" s="16">
        <v>0.0</v>
      </c>
      <c r="S263" s="16">
        <v>5.0</v>
      </c>
      <c r="T263" s="3" t="s">
        <v>5602</v>
      </c>
    </row>
    <row r="264">
      <c r="A264" s="3" t="s">
        <v>9307</v>
      </c>
      <c r="B264" s="3" t="s">
        <v>9137</v>
      </c>
      <c r="C264" s="17">
        <v>46098.5</v>
      </c>
      <c r="D264" s="17">
        <v>46098.52083333333</v>
      </c>
      <c r="E264" s="25">
        <v>0.5</v>
      </c>
      <c r="G264" s="3" t="s">
        <v>9138</v>
      </c>
      <c r="H264" s="3" t="s">
        <v>8971</v>
      </c>
      <c r="I264" s="3" t="s">
        <v>9077</v>
      </c>
      <c r="J264" s="3" t="s">
        <v>6950</v>
      </c>
      <c r="K264" s="3" t="s">
        <v>8973</v>
      </c>
      <c r="L264" s="16">
        <v>3.0</v>
      </c>
      <c r="M264" s="3" t="s">
        <v>9140</v>
      </c>
      <c r="N264" s="3" t="s">
        <v>9141</v>
      </c>
      <c r="O264" s="3" t="s">
        <v>9308</v>
      </c>
      <c r="P264" s="16">
        <v>2.0</v>
      </c>
      <c r="Q264" s="16">
        <v>0.0</v>
      </c>
      <c r="R264" s="16">
        <v>1.0</v>
      </c>
      <c r="S264" s="16">
        <v>0.0</v>
      </c>
      <c r="T264" s="3" t="s">
        <v>4466</v>
      </c>
    </row>
    <row r="265">
      <c r="A265" s="3" t="s">
        <v>9309</v>
      </c>
      <c r="B265" s="3" t="s">
        <v>6844</v>
      </c>
      <c r="C265" s="17">
        <v>46098.5625</v>
      </c>
      <c r="D265" s="17">
        <v>46098.58333333333</v>
      </c>
      <c r="E265" s="25">
        <v>0.5</v>
      </c>
      <c r="G265" s="2"/>
      <c r="H265" s="3" t="s">
        <v>8971</v>
      </c>
      <c r="I265" s="3" t="s">
        <v>9094</v>
      </c>
      <c r="J265" s="3" t="s">
        <v>6853</v>
      </c>
      <c r="K265" s="3" t="s">
        <v>8973</v>
      </c>
      <c r="L265" s="16">
        <v>2.0</v>
      </c>
      <c r="M265" s="3" t="s">
        <v>9310</v>
      </c>
      <c r="N265" s="3" t="s">
        <v>9310</v>
      </c>
      <c r="O265" s="3" t="s">
        <v>9043</v>
      </c>
      <c r="P265" s="16">
        <v>1.0</v>
      </c>
      <c r="Q265" s="16">
        <v>0.0</v>
      </c>
      <c r="R265" s="16">
        <v>0.0</v>
      </c>
      <c r="S265" s="16">
        <v>1.0</v>
      </c>
      <c r="T265" s="3" t="s">
        <v>2616</v>
      </c>
    </row>
    <row r="266">
      <c r="A266" s="3" t="s">
        <v>9481</v>
      </c>
      <c r="B266" s="3" t="s">
        <v>7310</v>
      </c>
      <c r="C266" s="17">
        <v>46100.41666666667</v>
      </c>
      <c r="D266" s="17">
        <v>46100.4375</v>
      </c>
      <c r="E266" s="25">
        <v>0.5</v>
      </c>
      <c r="G266" s="3" t="s">
        <v>9482</v>
      </c>
      <c r="H266" s="3" t="s">
        <v>8971</v>
      </c>
      <c r="I266" s="3" t="s">
        <v>9094</v>
      </c>
      <c r="J266" s="3" t="s">
        <v>6853</v>
      </c>
      <c r="K266" s="3" t="s">
        <v>8973</v>
      </c>
      <c r="L266" s="16">
        <v>3.0</v>
      </c>
      <c r="M266" s="3" t="s">
        <v>9483</v>
      </c>
      <c r="N266" s="3" t="s">
        <v>9483</v>
      </c>
      <c r="O266" s="3" t="s">
        <v>9147</v>
      </c>
      <c r="P266" s="16">
        <v>2.0</v>
      </c>
      <c r="Q266" s="16">
        <v>0.0</v>
      </c>
      <c r="R266" s="16">
        <v>0.0</v>
      </c>
      <c r="S266" s="16">
        <v>1.0</v>
      </c>
      <c r="T266" s="3" t="s">
        <v>5815</v>
      </c>
    </row>
    <row r="267">
      <c r="A267" s="3" t="s">
        <v>9459</v>
      </c>
      <c r="B267" s="3" t="s">
        <v>9460</v>
      </c>
      <c r="C267" s="17">
        <v>46100.5</v>
      </c>
      <c r="D267" s="17">
        <v>46100.52083333333</v>
      </c>
      <c r="E267" s="25">
        <v>0.5</v>
      </c>
      <c r="G267" s="2"/>
      <c r="H267" s="3" t="s">
        <v>8971</v>
      </c>
      <c r="I267" s="3" t="s">
        <v>9094</v>
      </c>
      <c r="J267" s="3" t="s">
        <v>6853</v>
      </c>
      <c r="K267" s="3" t="s">
        <v>8973</v>
      </c>
      <c r="L267" s="16">
        <v>1.0</v>
      </c>
      <c r="M267" s="3" t="s">
        <v>8912</v>
      </c>
      <c r="N267" s="3" t="s">
        <v>8912</v>
      </c>
      <c r="O267" s="3" t="s">
        <v>9077</v>
      </c>
      <c r="P267" s="16">
        <v>1.0</v>
      </c>
      <c r="Q267" s="16">
        <v>0.0</v>
      </c>
      <c r="R267" s="16">
        <v>0.0</v>
      </c>
      <c r="S267" s="16">
        <v>0.0</v>
      </c>
      <c r="T267" s="3" t="s">
        <v>1195</v>
      </c>
    </row>
    <row r="268">
      <c r="A268" s="3" t="s">
        <v>9340</v>
      </c>
      <c r="B268" s="3" t="s">
        <v>9176</v>
      </c>
      <c r="C268" s="17">
        <v>46100.52083333333</v>
      </c>
      <c r="D268" s="17">
        <v>46100.54166666667</v>
      </c>
      <c r="E268" s="25">
        <v>0.5</v>
      </c>
      <c r="G268" s="2"/>
      <c r="H268" s="3" t="s">
        <v>8971</v>
      </c>
      <c r="I268" s="3" t="s">
        <v>9077</v>
      </c>
      <c r="J268" s="3" t="s">
        <v>6950</v>
      </c>
      <c r="K268" s="3" t="s">
        <v>8973</v>
      </c>
      <c r="L268" s="16">
        <v>5.0</v>
      </c>
      <c r="M268" s="3" t="s">
        <v>9341</v>
      </c>
      <c r="N268" s="3" t="s">
        <v>9341</v>
      </c>
      <c r="O268" s="3" t="s">
        <v>9342</v>
      </c>
      <c r="P268" s="16">
        <v>4.0</v>
      </c>
      <c r="Q268" s="16">
        <v>0.0</v>
      </c>
      <c r="R268" s="16">
        <v>0.0</v>
      </c>
      <c r="S268" s="16">
        <v>1.0</v>
      </c>
      <c r="T268" s="2"/>
    </row>
    <row r="269">
      <c r="A269" s="3" t="s">
        <v>9280</v>
      </c>
      <c r="B269" s="3" t="s">
        <v>9281</v>
      </c>
      <c r="C269" s="17">
        <v>46100.70833333333</v>
      </c>
      <c r="D269" s="17">
        <v>46100.72916666667</v>
      </c>
      <c r="E269" s="25">
        <v>0.5</v>
      </c>
      <c r="G269" s="3" t="s">
        <v>9282</v>
      </c>
      <c r="H269" s="3" t="s">
        <v>8971</v>
      </c>
      <c r="I269" s="3" t="s">
        <v>9077</v>
      </c>
      <c r="J269" s="3" t="s">
        <v>9283</v>
      </c>
      <c r="K269" s="3" t="s">
        <v>8973</v>
      </c>
      <c r="L269" s="16">
        <v>15.0</v>
      </c>
      <c r="M269" s="3" t="s">
        <v>9284</v>
      </c>
      <c r="N269" s="3" t="s">
        <v>9285</v>
      </c>
      <c r="O269" s="3" t="s">
        <v>9404</v>
      </c>
      <c r="P269" s="16">
        <v>9.0</v>
      </c>
      <c r="Q269" s="16">
        <v>0.0</v>
      </c>
      <c r="R269" s="16">
        <v>1.0</v>
      </c>
      <c r="S269" s="16">
        <v>5.0</v>
      </c>
      <c r="T269" s="3" t="s">
        <v>2922</v>
      </c>
    </row>
    <row r="270">
      <c r="A270" s="3" t="s">
        <v>9405</v>
      </c>
      <c r="B270" s="3" t="s">
        <v>9406</v>
      </c>
      <c r="C270" s="17">
        <v>46101.41666666667</v>
      </c>
      <c r="D270" s="17">
        <v>46101.4375</v>
      </c>
      <c r="E270" s="25">
        <v>0.5</v>
      </c>
      <c r="F270" s="2"/>
      <c r="G270" s="2"/>
      <c r="H270" s="3" t="s">
        <v>8971</v>
      </c>
      <c r="I270" s="3" t="s">
        <v>9077</v>
      </c>
      <c r="J270" s="3" t="s">
        <v>6950</v>
      </c>
      <c r="K270" s="3" t="s">
        <v>8973</v>
      </c>
      <c r="L270" s="16">
        <v>5.0</v>
      </c>
      <c r="M270" s="3" t="s">
        <v>9484</v>
      </c>
      <c r="N270" s="3" t="s">
        <v>9484</v>
      </c>
      <c r="O270" s="3" t="s">
        <v>9342</v>
      </c>
      <c r="P270" s="16">
        <v>4.0</v>
      </c>
      <c r="Q270" s="16">
        <v>0.0</v>
      </c>
      <c r="R270" s="16">
        <v>0.0</v>
      </c>
      <c r="S270" s="16">
        <v>1.0</v>
      </c>
      <c r="T270" s="3" t="s">
        <v>5721</v>
      </c>
    </row>
    <row r="271">
      <c r="A271" s="3" t="s">
        <v>9441</v>
      </c>
      <c r="B271" s="3" t="s">
        <v>7840</v>
      </c>
      <c r="C271" s="17">
        <v>46104.58333333333</v>
      </c>
      <c r="D271" s="17">
        <v>46104.60416666667</v>
      </c>
      <c r="E271" s="25">
        <v>0.5</v>
      </c>
      <c r="F271" s="2"/>
      <c r="G271" s="2"/>
      <c r="H271" s="3" t="s">
        <v>8971</v>
      </c>
      <c r="I271" s="3" t="s">
        <v>9094</v>
      </c>
      <c r="J271" s="3" t="s">
        <v>6853</v>
      </c>
      <c r="K271" s="3" t="s">
        <v>8973</v>
      </c>
      <c r="L271" s="16">
        <v>4.0</v>
      </c>
      <c r="M271" s="3" t="s">
        <v>9166</v>
      </c>
      <c r="N271" s="3" t="s">
        <v>9166</v>
      </c>
      <c r="O271" s="3" t="s">
        <v>9002</v>
      </c>
      <c r="P271" s="16">
        <v>1.0</v>
      </c>
      <c r="Q271" s="16">
        <v>0.0</v>
      </c>
      <c r="R271" s="16">
        <v>0.0</v>
      </c>
      <c r="S271" s="16">
        <v>3.0</v>
      </c>
      <c r="T271" s="3" t="s">
        <v>5544</v>
      </c>
    </row>
    <row r="272">
      <c r="A272" s="3" t="s">
        <v>9437</v>
      </c>
      <c r="B272" s="3" t="s">
        <v>9438</v>
      </c>
      <c r="C272" s="17">
        <v>46104.60416666667</v>
      </c>
      <c r="D272" s="17">
        <v>46104.625</v>
      </c>
      <c r="E272" s="25">
        <v>0.5</v>
      </c>
      <c r="F272" s="2"/>
      <c r="G272" s="2"/>
      <c r="H272" s="3" t="s">
        <v>8971</v>
      </c>
      <c r="I272" s="3" t="s">
        <v>9006</v>
      </c>
      <c r="J272" s="3" t="s">
        <v>6950</v>
      </c>
      <c r="K272" s="3" t="s">
        <v>8973</v>
      </c>
      <c r="L272" s="16">
        <v>4.0</v>
      </c>
      <c r="M272" s="3" t="s">
        <v>9439</v>
      </c>
      <c r="N272" s="3" t="s">
        <v>9439</v>
      </c>
      <c r="O272" s="3" t="s">
        <v>9440</v>
      </c>
      <c r="P272" s="16">
        <v>2.0</v>
      </c>
      <c r="Q272" s="16">
        <v>0.0</v>
      </c>
      <c r="R272" s="16">
        <v>0.0</v>
      </c>
      <c r="S272" s="16">
        <v>2.0</v>
      </c>
      <c r="T272" s="3" t="s">
        <v>3616</v>
      </c>
    </row>
    <row r="273">
      <c r="A273" s="3" t="s">
        <v>9223</v>
      </c>
      <c r="B273" s="3" t="s">
        <v>8418</v>
      </c>
      <c r="C273" s="17">
        <v>46104.60416666667</v>
      </c>
      <c r="D273" s="17">
        <v>46104.625</v>
      </c>
      <c r="E273" s="25">
        <v>0.5</v>
      </c>
      <c r="F273" s="2"/>
      <c r="G273" s="3" t="s">
        <v>9304</v>
      </c>
      <c r="H273" s="3" t="s">
        <v>8971</v>
      </c>
      <c r="I273" s="3" t="s">
        <v>9094</v>
      </c>
      <c r="J273" s="3" t="s">
        <v>6853</v>
      </c>
      <c r="K273" s="3" t="s">
        <v>8973</v>
      </c>
      <c r="L273" s="16">
        <v>2.0</v>
      </c>
      <c r="M273" s="3" t="s">
        <v>9225</v>
      </c>
      <c r="N273" s="3" t="s">
        <v>9225</v>
      </c>
      <c r="O273" s="3" t="s">
        <v>9010</v>
      </c>
      <c r="P273" s="16">
        <v>0.0</v>
      </c>
      <c r="Q273" s="16">
        <v>0.0</v>
      </c>
      <c r="R273" s="16">
        <v>0.0</v>
      </c>
      <c r="S273" s="16">
        <v>2.0</v>
      </c>
      <c r="T273" s="3" t="s">
        <v>2868</v>
      </c>
    </row>
    <row r="274">
      <c r="A274" s="3" t="s">
        <v>9307</v>
      </c>
      <c r="B274" s="3" t="s">
        <v>9137</v>
      </c>
      <c r="C274" s="17">
        <v>46105.5</v>
      </c>
      <c r="D274" s="17">
        <v>46105.52083333333</v>
      </c>
      <c r="E274" s="25">
        <v>0.5</v>
      </c>
      <c r="F274" s="2"/>
      <c r="G274" s="3" t="s">
        <v>9138</v>
      </c>
      <c r="H274" s="3" t="s">
        <v>8971</v>
      </c>
      <c r="I274" s="3" t="s">
        <v>9077</v>
      </c>
      <c r="J274" s="3" t="s">
        <v>6950</v>
      </c>
      <c r="K274" s="3" t="s">
        <v>8973</v>
      </c>
      <c r="L274" s="16">
        <v>3.0</v>
      </c>
      <c r="M274" s="3" t="s">
        <v>9140</v>
      </c>
      <c r="N274" s="3" t="s">
        <v>9141</v>
      </c>
      <c r="O274" s="3" t="s">
        <v>9308</v>
      </c>
      <c r="P274" s="16">
        <v>2.0</v>
      </c>
      <c r="Q274" s="16">
        <v>0.0</v>
      </c>
      <c r="R274" s="16">
        <v>1.0</v>
      </c>
      <c r="S274" s="16">
        <v>0.0</v>
      </c>
      <c r="T274" s="3" t="s">
        <v>4466</v>
      </c>
    </row>
    <row r="275">
      <c r="A275" s="3" t="s">
        <v>9309</v>
      </c>
      <c r="B275" s="3" t="s">
        <v>6844</v>
      </c>
      <c r="C275" s="17">
        <v>46105.5625</v>
      </c>
      <c r="D275" s="17">
        <v>46105.58333333333</v>
      </c>
      <c r="E275" s="25">
        <v>0.5</v>
      </c>
      <c r="F275" s="2"/>
      <c r="G275" s="2"/>
      <c r="H275" s="3" t="s">
        <v>8971</v>
      </c>
      <c r="I275" s="3" t="s">
        <v>9094</v>
      </c>
      <c r="J275" s="3" t="s">
        <v>6853</v>
      </c>
      <c r="K275" s="3" t="s">
        <v>8973</v>
      </c>
      <c r="L275" s="16">
        <v>2.0</v>
      </c>
      <c r="M275" s="3" t="s">
        <v>9310</v>
      </c>
      <c r="N275" s="3" t="s">
        <v>9310</v>
      </c>
      <c r="O275" s="3" t="s">
        <v>9043</v>
      </c>
      <c r="P275" s="16">
        <v>1.0</v>
      </c>
      <c r="Q275" s="16">
        <v>0.0</v>
      </c>
      <c r="R275" s="16">
        <v>0.0</v>
      </c>
      <c r="S275" s="16">
        <v>1.0</v>
      </c>
      <c r="T275" s="3" t="s">
        <v>2616</v>
      </c>
    </row>
    <row r="276">
      <c r="A276" s="3" t="s">
        <v>9442</v>
      </c>
      <c r="B276" s="3" t="s">
        <v>8969</v>
      </c>
      <c r="C276" s="17">
        <v>46105.58333333333</v>
      </c>
      <c r="D276" s="17">
        <v>46105.60416666667</v>
      </c>
      <c r="E276" s="25">
        <v>0.5</v>
      </c>
      <c r="F276" s="2"/>
      <c r="G276" s="3" t="s">
        <v>8970</v>
      </c>
      <c r="H276" s="3" t="s">
        <v>8971</v>
      </c>
      <c r="I276" s="3" t="s">
        <v>9094</v>
      </c>
      <c r="J276" s="3" t="s">
        <v>6853</v>
      </c>
      <c r="K276" s="3" t="s">
        <v>8973</v>
      </c>
      <c r="L276" s="16">
        <v>3.0</v>
      </c>
      <c r="M276" s="3" t="s">
        <v>9436</v>
      </c>
      <c r="N276" s="3" t="s">
        <v>9436</v>
      </c>
      <c r="O276" s="3" t="s">
        <v>9147</v>
      </c>
      <c r="P276" s="16">
        <v>2.0</v>
      </c>
      <c r="Q276" s="16">
        <v>0.0</v>
      </c>
      <c r="R276" s="16">
        <v>0.0</v>
      </c>
      <c r="S276" s="16">
        <v>1.0</v>
      </c>
      <c r="T276" s="3" t="s">
        <v>5498</v>
      </c>
    </row>
    <row r="277">
      <c r="A277" s="3" t="s">
        <v>9384</v>
      </c>
      <c r="B277" s="3" t="s">
        <v>9015</v>
      </c>
      <c r="C277" s="17">
        <v>46106.54166666667</v>
      </c>
      <c r="D277" s="17">
        <v>46106.5625</v>
      </c>
      <c r="E277" s="25">
        <v>0.5</v>
      </c>
      <c r="F277" s="2"/>
      <c r="G277" s="2"/>
      <c r="H277" s="3" t="s">
        <v>8971</v>
      </c>
      <c r="I277" s="3" t="s">
        <v>9077</v>
      </c>
      <c r="J277" s="3" t="s">
        <v>6950</v>
      </c>
      <c r="K277" s="3" t="s">
        <v>8973</v>
      </c>
      <c r="L277" s="16">
        <v>3.0</v>
      </c>
      <c r="M277" s="3" t="s">
        <v>9016</v>
      </c>
      <c r="N277" s="3" t="s">
        <v>9016</v>
      </c>
      <c r="O277" s="3" t="s">
        <v>9017</v>
      </c>
      <c r="P277" s="16">
        <v>3.0</v>
      </c>
      <c r="Q277" s="16">
        <v>0.0</v>
      </c>
      <c r="R277" s="16">
        <v>0.0</v>
      </c>
      <c r="S277" s="16">
        <v>0.0</v>
      </c>
      <c r="T277" s="3" t="s">
        <v>1975</v>
      </c>
    </row>
    <row r="278">
      <c r="A278" s="3" t="s">
        <v>9421</v>
      </c>
      <c r="B278" s="3" t="s">
        <v>9422</v>
      </c>
      <c r="C278" s="17">
        <v>46107.35416666667</v>
      </c>
      <c r="D278" s="17">
        <v>46107.375</v>
      </c>
      <c r="E278" s="25">
        <v>0.5</v>
      </c>
      <c r="F278" s="2"/>
      <c r="G278" s="2"/>
      <c r="H278" s="3" t="s">
        <v>8971</v>
      </c>
      <c r="I278" s="3" t="s">
        <v>9077</v>
      </c>
      <c r="J278" s="3" t="s">
        <v>6950</v>
      </c>
      <c r="K278" s="3" t="s">
        <v>8973</v>
      </c>
      <c r="L278" s="16">
        <v>4.0</v>
      </c>
      <c r="M278" s="3" t="s">
        <v>9423</v>
      </c>
      <c r="N278" s="3" t="s">
        <v>9423</v>
      </c>
      <c r="O278" s="3" t="s">
        <v>9002</v>
      </c>
      <c r="P278" s="16">
        <v>1.0</v>
      </c>
      <c r="Q278" s="16">
        <v>0.0</v>
      </c>
      <c r="R278" s="16">
        <v>0.0</v>
      </c>
      <c r="S278" s="16">
        <v>3.0</v>
      </c>
      <c r="T278" s="3" t="s">
        <v>693</v>
      </c>
    </row>
    <row r="279">
      <c r="A279" s="3" t="s">
        <v>9262</v>
      </c>
      <c r="B279" s="3" t="s">
        <v>9263</v>
      </c>
      <c r="C279" s="17">
        <v>46107.4375</v>
      </c>
      <c r="D279" s="17">
        <v>46107.45833333333</v>
      </c>
      <c r="E279" s="25">
        <v>0.5</v>
      </c>
      <c r="G279" s="2"/>
      <c r="H279" s="3" t="s">
        <v>8971</v>
      </c>
      <c r="I279" s="3" t="s">
        <v>9077</v>
      </c>
      <c r="J279" s="3" t="s">
        <v>6950</v>
      </c>
      <c r="K279" s="3" t="s">
        <v>8973</v>
      </c>
      <c r="L279" s="16">
        <v>4.0</v>
      </c>
      <c r="M279" s="3" t="s">
        <v>9311</v>
      </c>
      <c r="N279" s="3" t="s">
        <v>9312</v>
      </c>
      <c r="O279" s="3" t="s">
        <v>9167</v>
      </c>
      <c r="P279" s="16">
        <v>4.0</v>
      </c>
      <c r="Q279" s="16">
        <v>0.0</v>
      </c>
      <c r="R279" s="16">
        <v>0.0</v>
      </c>
      <c r="S279" s="16">
        <v>0.0</v>
      </c>
      <c r="T279" s="3" t="s">
        <v>2672</v>
      </c>
    </row>
    <row r="280">
      <c r="A280" s="3" t="s">
        <v>9314</v>
      </c>
      <c r="B280" s="3" t="s">
        <v>9315</v>
      </c>
      <c r="C280" s="17">
        <v>46107.58333333333</v>
      </c>
      <c r="D280" s="17">
        <v>46107.60416666667</v>
      </c>
      <c r="E280" s="25">
        <v>0.5</v>
      </c>
      <c r="F280" s="2"/>
      <c r="G280" s="2"/>
      <c r="H280" s="3" t="s">
        <v>8971</v>
      </c>
      <c r="I280" s="3" t="s">
        <v>9077</v>
      </c>
      <c r="J280" s="3" t="s">
        <v>6950</v>
      </c>
      <c r="K280" s="3" t="s">
        <v>8973</v>
      </c>
      <c r="L280" s="16">
        <v>6.0</v>
      </c>
      <c r="M280" s="3" t="s">
        <v>9316</v>
      </c>
      <c r="N280" s="3" t="s">
        <v>9316</v>
      </c>
      <c r="O280" s="3" t="s">
        <v>9397</v>
      </c>
      <c r="P280" s="16">
        <v>1.0</v>
      </c>
      <c r="Q280" s="16">
        <v>3.0</v>
      </c>
      <c r="R280" s="16">
        <v>0.0</v>
      </c>
      <c r="S280" s="16">
        <v>2.0</v>
      </c>
      <c r="T280" s="3" t="s">
        <v>5285</v>
      </c>
    </row>
    <row r="281">
      <c r="A281" s="3" t="s">
        <v>9443</v>
      </c>
      <c r="B281" s="3" t="s">
        <v>8085</v>
      </c>
      <c r="C281" s="17">
        <v>46108.54166666667</v>
      </c>
      <c r="D281" s="17">
        <v>46108.5625</v>
      </c>
      <c r="E281" s="25">
        <v>0.5</v>
      </c>
      <c r="F281" s="2"/>
      <c r="G281" s="2"/>
      <c r="H281" s="3" t="s">
        <v>8971</v>
      </c>
      <c r="I281" s="3" t="s">
        <v>9077</v>
      </c>
      <c r="J281" s="3" t="s">
        <v>9206</v>
      </c>
      <c r="K281" s="3" t="s">
        <v>8973</v>
      </c>
      <c r="L281" s="16">
        <v>5.0</v>
      </c>
      <c r="M281" s="3" t="s">
        <v>9207</v>
      </c>
      <c r="N281" s="3" t="s">
        <v>9208</v>
      </c>
      <c r="O281" s="3" t="s">
        <v>9444</v>
      </c>
      <c r="P281" s="16">
        <v>4.0</v>
      </c>
      <c r="Q281" s="16">
        <v>1.0</v>
      </c>
      <c r="R281" s="16">
        <v>0.0</v>
      </c>
      <c r="S281" s="16">
        <v>0.0</v>
      </c>
      <c r="T281" s="3" t="s">
        <v>453</v>
      </c>
    </row>
    <row r="282">
      <c r="A282" s="3" t="s">
        <v>9410</v>
      </c>
      <c r="B282" s="3" t="s">
        <v>7147</v>
      </c>
      <c r="C282" s="17">
        <v>46111.54166666667</v>
      </c>
      <c r="D282" s="17">
        <v>46111.5625</v>
      </c>
      <c r="E282" s="25">
        <v>0.5</v>
      </c>
      <c r="F282" s="13" t="s">
        <v>9411</v>
      </c>
      <c r="G282" s="3" t="s">
        <v>9412</v>
      </c>
      <c r="H282" s="3" t="s">
        <v>8971</v>
      </c>
      <c r="I282" s="3" t="s">
        <v>9094</v>
      </c>
      <c r="J282" s="3" t="s">
        <v>6853</v>
      </c>
      <c r="K282" s="3" t="s">
        <v>8973</v>
      </c>
      <c r="L282" s="16">
        <v>4.0</v>
      </c>
      <c r="M282" s="3" t="s">
        <v>9349</v>
      </c>
      <c r="N282" s="3" t="s">
        <v>9349</v>
      </c>
      <c r="O282" s="3" t="s">
        <v>9029</v>
      </c>
      <c r="P282" s="16">
        <v>1.0</v>
      </c>
      <c r="Q282" s="16">
        <v>1.0</v>
      </c>
      <c r="R282" s="16">
        <v>0.0</v>
      </c>
      <c r="S282" s="16">
        <v>2.0</v>
      </c>
      <c r="T282" s="3" t="s">
        <v>1725</v>
      </c>
    </row>
    <row r="283">
      <c r="A283" s="3" t="s">
        <v>9325</v>
      </c>
      <c r="B283" s="3" t="s">
        <v>9000</v>
      </c>
      <c r="C283" s="17">
        <v>46111.58333333333</v>
      </c>
      <c r="D283" s="17">
        <v>46111.60416666667</v>
      </c>
      <c r="E283" s="25">
        <v>0.5</v>
      </c>
      <c r="G283" s="2"/>
      <c r="H283" s="3" t="s">
        <v>8971</v>
      </c>
      <c r="I283" s="3" t="s">
        <v>8972</v>
      </c>
      <c r="J283" s="3" t="s">
        <v>6950</v>
      </c>
      <c r="K283" s="3" t="s">
        <v>8973</v>
      </c>
      <c r="L283" s="16">
        <v>4.0</v>
      </c>
      <c r="M283" s="3" t="s">
        <v>9001</v>
      </c>
      <c r="N283" s="3" t="s">
        <v>9001</v>
      </c>
      <c r="O283" s="3" t="s">
        <v>9002</v>
      </c>
      <c r="P283" s="16">
        <v>1.0</v>
      </c>
      <c r="Q283" s="16">
        <v>0.0</v>
      </c>
      <c r="R283" s="16">
        <v>0.0</v>
      </c>
      <c r="S283" s="16">
        <v>3.0</v>
      </c>
      <c r="T283" s="3" t="s">
        <v>2594</v>
      </c>
    </row>
    <row r="284">
      <c r="A284" s="3" t="s">
        <v>9223</v>
      </c>
      <c r="B284" s="3" t="s">
        <v>8418</v>
      </c>
      <c r="C284" s="17">
        <v>46111.60416666667</v>
      </c>
      <c r="D284" s="17">
        <v>46111.625</v>
      </c>
      <c r="E284" s="25">
        <v>0.5</v>
      </c>
      <c r="G284" s="3" t="s">
        <v>9304</v>
      </c>
      <c r="H284" s="3" t="s">
        <v>8971</v>
      </c>
      <c r="I284" s="3" t="s">
        <v>9094</v>
      </c>
      <c r="J284" s="3" t="s">
        <v>6853</v>
      </c>
      <c r="K284" s="3" t="s">
        <v>8973</v>
      </c>
      <c r="L284" s="16">
        <v>2.0</v>
      </c>
      <c r="M284" s="3" t="s">
        <v>9225</v>
      </c>
      <c r="N284" s="3" t="s">
        <v>9225</v>
      </c>
      <c r="O284" s="3" t="s">
        <v>9010</v>
      </c>
      <c r="P284" s="16">
        <v>0.0</v>
      </c>
      <c r="Q284" s="16">
        <v>0.0</v>
      </c>
      <c r="R284" s="16">
        <v>0.0</v>
      </c>
      <c r="S284" s="16">
        <v>2.0</v>
      </c>
      <c r="T284" s="3" t="s">
        <v>2868</v>
      </c>
    </row>
    <row r="285">
      <c r="A285" s="3" t="s">
        <v>9307</v>
      </c>
      <c r="B285" s="3" t="s">
        <v>9137</v>
      </c>
      <c r="C285" s="17">
        <v>46112.5</v>
      </c>
      <c r="D285" s="17">
        <v>46112.52083333333</v>
      </c>
      <c r="E285" s="25">
        <v>0.5</v>
      </c>
      <c r="G285" s="3" t="s">
        <v>9138</v>
      </c>
      <c r="H285" s="3" t="s">
        <v>8971</v>
      </c>
      <c r="I285" s="3" t="s">
        <v>9077</v>
      </c>
      <c r="J285" s="3" t="s">
        <v>6950</v>
      </c>
      <c r="K285" s="3" t="s">
        <v>8973</v>
      </c>
      <c r="L285" s="16">
        <v>3.0</v>
      </c>
      <c r="M285" s="3" t="s">
        <v>9140</v>
      </c>
      <c r="N285" s="3" t="s">
        <v>9141</v>
      </c>
      <c r="O285" s="3" t="s">
        <v>9308</v>
      </c>
      <c r="P285" s="16">
        <v>2.0</v>
      </c>
      <c r="Q285" s="16">
        <v>0.0</v>
      </c>
      <c r="R285" s="16">
        <v>1.0</v>
      </c>
      <c r="S285" s="16">
        <v>0.0</v>
      </c>
      <c r="T285" s="3" t="s">
        <v>4466</v>
      </c>
    </row>
    <row r="286">
      <c r="A286" s="3" t="s">
        <v>9326</v>
      </c>
      <c r="B286" s="3" t="s">
        <v>8991</v>
      </c>
      <c r="C286" s="17">
        <v>46112.54166666667</v>
      </c>
      <c r="D286" s="17">
        <v>46112.5625</v>
      </c>
      <c r="E286" s="25">
        <v>0.5</v>
      </c>
      <c r="F286" s="2"/>
      <c r="G286" s="3" t="s">
        <v>8992</v>
      </c>
      <c r="H286" s="3" t="s">
        <v>8971</v>
      </c>
      <c r="I286" s="3" t="s">
        <v>9077</v>
      </c>
      <c r="J286" s="3" t="s">
        <v>6950</v>
      </c>
      <c r="K286" s="3" t="s">
        <v>8973</v>
      </c>
      <c r="L286" s="16">
        <v>4.0</v>
      </c>
      <c r="M286" s="3" t="s">
        <v>8993</v>
      </c>
      <c r="N286" s="3" t="s">
        <v>8993</v>
      </c>
      <c r="O286" s="3" t="s">
        <v>9204</v>
      </c>
      <c r="P286" s="16">
        <v>3.0</v>
      </c>
      <c r="Q286" s="16">
        <v>0.0</v>
      </c>
      <c r="R286" s="16">
        <v>0.0</v>
      </c>
      <c r="S286" s="16">
        <v>1.0</v>
      </c>
      <c r="T286" s="3" t="s">
        <v>861</v>
      </c>
    </row>
    <row r="287">
      <c r="A287" s="3" t="s">
        <v>9309</v>
      </c>
      <c r="B287" s="3" t="s">
        <v>6844</v>
      </c>
      <c r="C287" s="17">
        <v>46112.5625</v>
      </c>
      <c r="D287" s="17">
        <v>46112.58333333333</v>
      </c>
      <c r="E287" s="25">
        <v>0.5</v>
      </c>
      <c r="G287" s="2"/>
      <c r="H287" s="3" t="s">
        <v>8971</v>
      </c>
      <c r="I287" s="3" t="s">
        <v>9094</v>
      </c>
      <c r="J287" s="3" t="s">
        <v>6853</v>
      </c>
      <c r="K287" s="3" t="s">
        <v>8973</v>
      </c>
      <c r="L287" s="16">
        <v>2.0</v>
      </c>
      <c r="M287" s="3" t="s">
        <v>9310</v>
      </c>
      <c r="N287" s="3" t="s">
        <v>9310</v>
      </c>
      <c r="O287" s="3" t="s">
        <v>9043</v>
      </c>
      <c r="P287" s="16">
        <v>1.0</v>
      </c>
      <c r="Q287" s="16">
        <v>0.0</v>
      </c>
      <c r="R287" s="16">
        <v>0.0</v>
      </c>
      <c r="S287" s="16">
        <v>1.0</v>
      </c>
      <c r="T287" s="3" t="s">
        <v>2616</v>
      </c>
    </row>
    <row r="288">
      <c r="A288" s="3" t="s">
        <v>9334</v>
      </c>
      <c r="B288" s="3" t="s">
        <v>9026</v>
      </c>
      <c r="C288" s="17">
        <v>46114.375</v>
      </c>
      <c r="D288" s="17">
        <v>46114.39583333333</v>
      </c>
      <c r="E288" s="25">
        <v>0.5</v>
      </c>
      <c r="G288" s="2"/>
      <c r="H288" s="3" t="s">
        <v>8971</v>
      </c>
      <c r="I288" s="3" t="s">
        <v>9077</v>
      </c>
      <c r="J288" s="3" t="s">
        <v>6950</v>
      </c>
      <c r="K288" s="3" t="s">
        <v>8973</v>
      </c>
      <c r="L288" s="16">
        <v>4.0</v>
      </c>
      <c r="M288" s="3" t="s">
        <v>9027</v>
      </c>
      <c r="N288" s="3" t="s">
        <v>9027</v>
      </c>
      <c r="O288" s="3" t="s">
        <v>9335</v>
      </c>
      <c r="P288" s="16">
        <v>2.0</v>
      </c>
      <c r="Q288" s="16">
        <v>0.0</v>
      </c>
      <c r="R288" s="16">
        <v>0.0</v>
      </c>
      <c r="S288" s="16">
        <v>2.0</v>
      </c>
      <c r="T288" s="3" t="s">
        <v>5681</v>
      </c>
    </row>
    <row r="289">
      <c r="A289" s="3" t="s">
        <v>9336</v>
      </c>
      <c r="B289" s="3" t="s">
        <v>8080</v>
      </c>
      <c r="C289" s="17">
        <v>46114.39583333333</v>
      </c>
      <c r="D289" s="17">
        <v>46114.41666666667</v>
      </c>
      <c r="E289" s="25">
        <v>0.5</v>
      </c>
      <c r="G289" s="3" t="s">
        <v>9337</v>
      </c>
      <c r="H289" s="3" t="s">
        <v>8971</v>
      </c>
      <c r="I289" s="3" t="s">
        <v>9077</v>
      </c>
      <c r="J289" s="3" t="s">
        <v>9206</v>
      </c>
      <c r="K289" s="3" t="s">
        <v>8973</v>
      </c>
      <c r="L289" s="16">
        <v>7.0</v>
      </c>
      <c r="M289" s="3" t="s">
        <v>9338</v>
      </c>
      <c r="N289" s="3" t="s">
        <v>9338</v>
      </c>
      <c r="O289" s="3" t="s">
        <v>9457</v>
      </c>
      <c r="P289" s="16">
        <v>5.0</v>
      </c>
      <c r="Q289" s="16">
        <v>0.0</v>
      </c>
      <c r="R289" s="16">
        <v>0.0</v>
      </c>
      <c r="S289" s="16">
        <v>2.0</v>
      </c>
      <c r="T289" s="3" t="s">
        <v>3028</v>
      </c>
    </row>
    <row r="290">
      <c r="A290" s="3" t="s">
        <v>9458</v>
      </c>
      <c r="B290" s="3" t="s">
        <v>9022</v>
      </c>
      <c r="C290" s="17">
        <v>46114.47916666667</v>
      </c>
      <c r="D290" s="17">
        <v>46114.5</v>
      </c>
      <c r="E290" s="25">
        <v>0.5</v>
      </c>
      <c r="G290" s="2"/>
      <c r="H290" s="3" t="s">
        <v>8971</v>
      </c>
      <c r="I290" s="3" t="s">
        <v>9077</v>
      </c>
      <c r="J290" s="3" t="s">
        <v>6950</v>
      </c>
      <c r="K290" s="3" t="s">
        <v>8973</v>
      </c>
      <c r="L290" s="16">
        <v>2.0</v>
      </c>
      <c r="M290" s="3" t="s">
        <v>9023</v>
      </c>
      <c r="N290" s="3" t="s">
        <v>9023</v>
      </c>
      <c r="O290" s="3" t="s">
        <v>9024</v>
      </c>
      <c r="P290" s="16">
        <v>2.0</v>
      </c>
      <c r="Q290" s="16">
        <v>0.0</v>
      </c>
      <c r="R290" s="16">
        <v>0.0</v>
      </c>
      <c r="S290" s="16">
        <v>0.0</v>
      </c>
      <c r="T290" s="3" t="s">
        <v>5396</v>
      </c>
    </row>
    <row r="291">
      <c r="A291" s="3" t="s">
        <v>9459</v>
      </c>
      <c r="B291" s="3" t="s">
        <v>9460</v>
      </c>
      <c r="C291" s="17">
        <v>46114.5</v>
      </c>
      <c r="D291" s="17">
        <v>46114.52083333333</v>
      </c>
      <c r="E291" s="25">
        <v>0.5</v>
      </c>
      <c r="F291" s="2"/>
      <c r="G291" s="2"/>
      <c r="H291" s="3" t="s">
        <v>8971</v>
      </c>
      <c r="I291" s="3" t="s">
        <v>9094</v>
      </c>
      <c r="J291" s="3" t="s">
        <v>6853</v>
      </c>
      <c r="K291" s="3" t="s">
        <v>8973</v>
      </c>
      <c r="L291" s="16">
        <v>1.0</v>
      </c>
      <c r="M291" s="3" t="s">
        <v>8912</v>
      </c>
      <c r="N291" s="3" t="s">
        <v>8912</v>
      </c>
      <c r="O291" s="3" t="s">
        <v>9077</v>
      </c>
      <c r="P291" s="16">
        <v>1.0</v>
      </c>
      <c r="Q291" s="16">
        <v>0.0</v>
      </c>
      <c r="R291" s="16">
        <v>0.0</v>
      </c>
      <c r="S291" s="16">
        <v>0.0</v>
      </c>
      <c r="T291" s="3" t="s">
        <v>1195</v>
      </c>
    </row>
    <row r="292">
      <c r="A292" s="3" t="s">
        <v>9340</v>
      </c>
      <c r="B292" s="3" t="s">
        <v>9176</v>
      </c>
      <c r="C292" s="17">
        <v>46114.52083333333</v>
      </c>
      <c r="D292" s="17">
        <v>46114.54166666667</v>
      </c>
      <c r="E292" s="25">
        <v>0.5</v>
      </c>
      <c r="G292" s="2"/>
      <c r="H292" s="3" t="s">
        <v>8971</v>
      </c>
      <c r="I292" s="3" t="s">
        <v>9077</v>
      </c>
      <c r="J292" s="3" t="s">
        <v>6950</v>
      </c>
      <c r="K292" s="3" t="s">
        <v>8973</v>
      </c>
      <c r="L292" s="16">
        <v>5.0</v>
      </c>
      <c r="M292" s="3" t="s">
        <v>9341</v>
      </c>
      <c r="N292" s="3" t="s">
        <v>9341</v>
      </c>
      <c r="O292" s="3" t="s">
        <v>9342</v>
      </c>
      <c r="P292" s="16">
        <v>4.0</v>
      </c>
      <c r="Q292" s="16">
        <v>0.0</v>
      </c>
      <c r="R292" s="16">
        <v>0.0</v>
      </c>
      <c r="S292" s="16">
        <v>1.0</v>
      </c>
      <c r="T292" s="2"/>
    </row>
    <row r="293">
      <c r="A293" s="3" t="s">
        <v>9320</v>
      </c>
      <c r="B293" s="3" t="s">
        <v>9196</v>
      </c>
      <c r="C293" s="17">
        <v>46115.39583333333</v>
      </c>
      <c r="D293" s="17">
        <v>46115.41666666667</v>
      </c>
      <c r="E293" s="25">
        <v>0.5</v>
      </c>
      <c r="G293" s="3" t="s">
        <v>9197</v>
      </c>
      <c r="H293" s="3" t="s">
        <v>8971</v>
      </c>
      <c r="I293" s="3" t="s">
        <v>9077</v>
      </c>
      <c r="J293" s="3" t="s">
        <v>6950</v>
      </c>
      <c r="K293" s="3" t="s">
        <v>8973</v>
      </c>
      <c r="L293" s="16">
        <v>4.0</v>
      </c>
      <c r="M293" s="3" t="s">
        <v>9198</v>
      </c>
      <c r="N293" s="3" t="s">
        <v>9198</v>
      </c>
      <c r="O293" s="3" t="s">
        <v>9321</v>
      </c>
      <c r="P293" s="16">
        <v>2.0</v>
      </c>
      <c r="Q293" s="16">
        <v>1.0</v>
      </c>
      <c r="R293" s="16">
        <v>0.0</v>
      </c>
      <c r="S293" s="16">
        <v>1.0</v>
      </c>
      <c r="T293" s="3" t="s">
        <v>1969</v>
      </c>
    </row>
    <row r="294">
      <c r="A294" s="3" t="s">
        <v>9441</v>
      </c>
      <c r="B294" s="3" t="s">
        <v>7840</v>
      </c>
      <c r="C294" s="17">
        <v>46118.58333333333</v>
      </c>
      <c r="D294" s="17">
        <v>46118.60416666667</v>
      </c>
      <c r="E294" s="25">
        <v>0.5</v>
      </c>
      <c r="F294" s="2"/>
      <c r="G294" s="2"/>
      <c r="H294" s="3" t="s">
        <v>8971</v>
      </c>
      <c r="I294" s="3" t="s">
        <v>9094</v>
      </c>
      <c r="J294" s="3" t="s">
        <v>6853</v>
      </c>
      <c r="K294" s="3" t="s">
        <v>8973</v>
      </c>
      <c r="L294" s="16">
        <v>4.0</v>
      </c>
      <c r="M294" s="3" t="s">
        <v>9166</v>
      </c>
      <c r="N294" s="3" t="s">
        <v>9166</v>
      </c>
      <c r="O294" s="3" t="s">
        <v>9002</v>
      </c>
      <c r="P294" s="16">
        <v>1.0</v>
      </c>
      <c r="Q294" s="16">
        <v>0.0</v>
      </c>
      <c r="R294" s="16">
        <v>0.0</v>
      </c>
      <c r="S294" s="16">
        <v>3.0</v>
      </c>
      <c r="T294" s="3" t="s">
        <v>5544</v>
      </c>
    </row>
    <row r="295">
      <c r="A295" s="3" t="s">
        <v>9223</v>
      </c>
      <c r="B295" s="3" t="s">
        <v>8418</v>
      </c>
      <c r="C295" s="17">
        <v>46118.60416666667</v>
      </c>
      <c r="D295" s="17">
        <v>46118.625</v>
      </c>
      <c r="E295" s="25">
        <v>0.5</v>
      </c>
      <c r="F295" s="2"/>
      <c r="G295" s="3" t="s">
        <v>9304</v>
      </c>
      <c r="H295" s="3" t="s">
        <v>8971</v>
      </c>
      <c r="I295" s="3" t="s">
        <v>9094</v>
      </c>
      <c r="J295" s="3" t="s">
        <v>6853</v>
      </c>
      <c r="K295" s="3" t="s">
        <v>8973</v>
      </c>
      <c r="L295" s="16">
        <v>2.0</v>
      </c>
      <c r="M295" s="3" t="s">
        <v>9225</v>
      </c>
      <c r="N295" s="3" t="s">
        <v>9225</v>
      </c>
      <c r="O295" s="3" t="s">
        <v>9010</v>
      </c>
      <c r="P295" s="16">
        <v>0.0</v>
      </c>
      <c r="Q295" s="16">
        <v>0.0</v>
      </c>
      <c r="R295" s="16">
        <v>0.0</v>
      </c>
      <c r="S295" s="16">
        <v>2.0</v>
      </c>
      <c r="T295" s="3" t="s">
        <v>2868</v>
      </c>
    </row>
    <row r="296">
      <c r="A296" s="3" t="s">
        <v>9307</v>
      </c>
      <c r="B296" s="3" t="s">
        <v>9137</v>
      </c>
      <c r="C296" s="17">
        <v>46119.5</v>
      </c>
      <c r="D296" s="17">
        <v>46119.52083333333</v>
      </c>
      <c r="E296" s="25">
        <v>0.5</v>
      </c>
      <c r="F296" s="2"/>
      <c r="G296" s="3" t="s">
        <v>9138</v>
      </c>
      <c r="H296" s="3" t="s">
        <v>8971</v>
      </c>
      <c r="I296" s="3" t="s">
        <v>9077</v>
      </c>
      <c r="J296" s="3" t="s">
        <v>6950</v>
      </c>
      <c r="K296" s="3" t="s">
        <v>8973</v>
      </c>
      <c r="L296" s="16">
        <v>3.0</v>
      </c>
      <c r="M296" s="3" t="s">
        <v>9140</v>
      </c>
      <c r="N296" s="3" t="s">
        <v>9141</v>
      </c>
      <c r="O296" s="3" t="s">
        <v>9308</v>
      </c>
      <c r="P296" s="16">
        <v>2.0</v>
      </c>
      <c r="Q296" s="16">
        <v>0.0</v>
      </c>
      <c r="R296" s="16">
        <v>1.0</v>
      </c>
      <c r="S296" s="16">
        <v>0.0</v>
      </c>
      <c r="T296" s="3" t="s">
        <v>4466</v>
      </c>
    </row>
    <row r="297">
      <c r="A297" s="3" t="s">
        <v>9309</v>
      </c>
      <c r="B297" s="3" t="s">
        <v>6844</v>
      </c>
      <c r="C297" s="17">
        <v>46119.5625</v>
      </c>
      <c r="D297" s="17">
        <v>46119.58333333333</v>
      </c>
      <c r="E297" s="25">
        <v>0.5</v>
      </c>
      <c r="G297" s="2"/>
      <c r="H297" s="3" t="s">
        <v>8971</v>
      </c>
      <c r="I297" s="3" t="s">
        <v>9094</v>
      </c>
      <c r="J297" s="3" t="s">
        <v>6853</v>
      </c>
      <c r="K297" s="3" t="s">
        <v>8973</v>
      </c>
      <c r="L297" s="16">
        <v>2.0</v>
      </c>
      <c r="M297" s="3" t="s">
        <v>9310</v>
      </c>
      <c r="N297" s="3" t="s">
        <v>9310</v>
      </c>
      <c r="O297" s="3" t="s">
        <v>9043</v>
      </c>
      <c r="P297" s="16">
        <v>1.0</v>
      </c>
      <c r="Q297" s="16">
        <v>0.0</v>
      </c>
      <c r="R297" s="16">
        <v>0.0</v>
      </c>
      <c r="S297" s="16">
        <v>1.0</v>
      </c>
      <c r="T297" s="3" t="s">
        <v>2616</v>
      </c>
    </row>
    <row r="298">
      <c r="A298" s="3" t="s">
        <v>9453</v>
      </c>
      <c r="B298" s="3" t="s">
        <v>9454</v>
      </c>
      <c r="C298" s="17">
        <v>46119.58333333333</v>
      </c>
      <c r="D298" s="17">
        <v>46119.60416666667</v>
      </c>
      <c r="E298" s="25">
        <v>0.5</v>
      </c>
      <c r="F298" s="2"/>
      <c r="G298" s="3" t="s">
        <v>9455</v>
      </c>
      <c r="H298" s="3" t="s">
        <v>8971</v>
      </c>
      <c r="I298" s="3" t="s">
        <v>9077</v>
      </c>
      <c r="J298" s="3" t="s">
        <v>6950</v>
      </c>
      <c r="K298" s="3" t="s">
        <v>8973</v>
      </c>
      <c r="L298" s="16">
        <v>9.0</v>
      </c>
      <c r="M298" s="3" t="s">
        <v>8982</v>
      </c>
      <c r="N298" s="3" t="s">
        <v>8983</v>
      </c>
      <c r="O298" s="3" t="s">
        <v>9456</v>
      </c>
      <c r="P298" s="16">
        <v>2.0</v>
      </c>
      <c r="Q298" s="16">
        <v>0.0</v>
      </c>
      <c r="R298" s="16">
        <v>1.0</v>
      </c>
      <c r="S298" s="16">
        <v>6.0</v>
      </c>
      <c r="T298" s="3" t="s">
        <v>2109</v>
      </c>
    </row>
    <row r="299">
      <c r="A299" s="3" t="s">
        <v>9442</v>
      </c>
      <c r="B299" s="3" t="s">
        <v>8969</v>
      </c>
      <c r="C299" s="17">
        <v>46119.58333333333</v>
      </c>
      <c r="D299" s="17">
        <v>46119.60416666667</v>
      </c>
      <c r="E299" s="25">
        <v>0.5</v>
      </c>
      <c r="F299" s="2"/>
      <c r="G299" s="3" t="s">
        <v>8970</v>
      </c>
      <c r="H299" s="3" t="s">
        <v>8971</v>
      </c>
      <c r="I299" s="3" t="s">
        <v>9094</v>
      </c>
      <c r="J299" s="3" t="s">
        <v>6853</v>
      </c>
      <c r="K299" s="3" t="s">
        <v>8973</v>
      </c>
      <c r="L299" s="16">
        <v>3.0</v>
      </c>
      <c r="M299" s="3" t="s">
        <v>9436</v>
      </c>
      <c r="N299" s="3" t="s">
        <v>9436</v>
      </c>
      <c r="O299" s="3" t="s">
        <v>9147</v>
      </c>
      <c r="P299" s="16">
        <v>2.0</v>
      </c>
      <c r="Q299" s="16">
        <v>0.0</v>
      </c>
      <c r="R299" s="16">
        <v>0.0</v>
      </c>
      <c r="S299" s="16">
        <v>1.0</v>
      </c>
      <c r="T299" s="3" t="s">
        <v>5498</v>
      </c>
    </row>
    <row r="300">
      <c r="A300" s="3" t="s">
        <v>9384</v>
      </c>
      <c r="B300" s="3" t="s">
        <v>9015</v>
      </c>
      <c r="C300" s="17">
        <v>46120.54166666667</v>
      </c>
      <c r="D300" s="17">
        <v>46120.5625</v>
      </c>
      <c r="E300" s="25">
        <v>0.5</v>
      </c>
      <c r="F300" s="2"/>
      <c r="G300" s="2"/>
      <c r="H300" s="3" t="s">
        <v>8971</v>
      </c>
      <c r="I300" s="3" t="s">
        <v>9077</v>
      </c>
      <c r="J300" s="3" t="s">
        <v>6950</v>
      </c>
      <c r="K300" s="3" t="s">
        <v>8973</v>
      </c>
      <c r="L300" s="16">
        <v>3.0</v>
      </c>
      <c r="M300" s="3" t="s">
        <v>9016</v>
      </c>
      <c r="N300" s="3" t="s">
        <v>9016</v>
      </c>
      <c r="O300" s="3" t="s">
        <v>9017</v>
      </c>
      <c r="P300" s="16">
        <v>3.0</v>
      </c>
      <c r="Q300" s="16">
        <v>0.0</v>
      </c>
      <c r="R300" s="16">
        <v>0.0</v>
      </c>
      <c r="S300" s="16">
        <v>0.0</v>
      </c>
      <c r="T300" s="3" t="s">
        <v>1975</v>
      </c>
    </row>
    <row r="301">
      <c r="A301" s="3" t="s">
        <v>9262</v>
      </c>
      <c r="B301" s="3" t="s">
        <v>9263</v>
      </c>
      <c r="C301" s="17">
        <v>46121.4375</v>
      </c>
      <c r="D301" s="17">
        <v>46121.45833333333</v>
      </c>
      <c r="E301" s="25">
        <v>0.5</v>
      </c>
      <c r="F301" s="2"/>
      <c r="G301" s="2"/>
      <c r="H301" s="3" t="s">
        <v>8971</v>
      </c>
      <c r="I301" s="3" t="s">
        <v>9077</v>
      </c>
      <c r="J301" s="3" t="s">
        <v>6950</v>
      </c>
      <c r="K301" s="3" t="s">
        <v>8973</v>
      </c>
      <c r="L301" s="16">
        <v>4.0</v>
      </c>
      <c r="M301" s="3" t="s">
        <v>9311</v>
      </c>
      <c r="N301" s="3" t="s">
        <v>9312</v>
      </c>
      <c r="O301" s="3" t="s">
        <v>9167</v>
      </c>
      <c r="P301" s="16">
        <v>4.0</v>
      </c>
      <c r="Q301" s="16">
        <v>0.0</v>
      </c>
      <c r="R301" s="16">
        <v>0.0</v>
      </c>
      <c r="S301" s="16">
        <v>0.0</v>
      </c>
      <c r="T301" s="3" t="s">
        <v>2672</v>
      </c>
    </row>
    <row r="302">
      <c r="A302" s="3" t="s">
        <v>9314</v>
      </c>
      <c r="B302" s="3" t="s">
        <v>9315</v>
      </c>
      <c r="C302" s="17">
        <v>46121.58333333333</v>
      </c>
      <c r="D302" s="17">
        <v>46121.60416666667</v>
      </c>
      <c r="E302" s="25">
        <v>0.5</v>
      </c>
      <c r="F302" s="2"/>
      <c r="G302" s="2"/>
      <c r="H302" s="3" t="s">
        <v>8971</v>
      </c>
      <c r="I302" s="3" t="s">
        <v>9077</v>
      </c>
      <c r="J302" s="3" t="s">
        <v>6950</v>
      </c>
      <c r="K302" s="3" t="s">
        <v>8973</v>
      </c>
      <c r="L302" s="16">
        <v>6.0</v>
      </c>
      <c r="M302" s="3" t="s">
        <v>9316</v>
      </c>
      <c r="N302" s="3" t="s">
        <v>9316</v>
      </c>
      <c r="O302" s="3" t="s">
        <v>9397</v>
      </c>
      <c r="P302" s="16">
        <v>1.0</v>
      </c>
      <c r="Q302" s="16">
        <v>3.0</v>
      </c>
      <c r="R302" s="16">
        <v>0.0</v>
      </c>
      <c r="S302" s="16">
        <v>2.0</v>
      </c>
      <c r="T302" s="3" t="s">
        <v>5285</v>
      </c>
    </row>
    <row r="303">
      <c r="A303" s="3" t="s">
        <v>9410</v>
      </c>
      <c r="B303" s="3" t="s">
        <v>7147</v>
      </c>
      <c r="C303" s="17">
        <v>46125.54166666667</v>
      </c>
      <c r="D303" s="17">
        <v>46125.5625</v>
      </c>
      <c r="E303" s="25">
        <v>0.5</v>
      </c>
      <c r="F303" s="13" t="s">
        <v>9411</v>
      </c>
      <c r="G303" s="3" t="s">
        <v>9412</v>
      </c>
      <c r="H303" s="3" t="s">
        <v>8971</v>
      </c>
      <c r="I303" s="3" t="s">
        <v>9094</v>
      </c>
      <c r="J303" s="3" t="s">
        <v>6853</v>
      </c>
      <c r="K303" s="3" t="s">
        <v>8973</v>
      </c>
      <c r="L303" s="16">
        <v>4.0</v>
      </c>
      <c r="M303" s="3" t="s">
        <v>9349</v>
      </c>
      <c r="N303" s="3" t="s">
        <v>9349</v>
      </c>
      <c r="O303" s="3" t="s">
        <v>9002</v>
      </c>
      <c r="P303" s="16">
        <v>1.0</v>
      </c>
      <c r="Q303" s="16">
        <v>0.0</v>
      </c>
      <c r="R303" s="16">
        <v>0.0</v>
      </c>
      <c r="S303" s="16">
        <v>3.0</v>
      </c>
      <c r="T303" s="3" t="s">
        <v>1725</v>
      </c>
    </row>
    <row r="304">
      <c r="A304" s="3" t="s">
        <v>9325</v>
      </c>
      <c r="B304" s="3" t="s">
        <v>9000</v>
      </c>
      <c r="C304" s="17">
        <v>46125.58333333333</v>
      </c>
      <c r="D304" s="17">
        <v>46125.60416666667</v>
      </c>
      <c r="E304" s="25">
        <v>0.5</v>
      </c>
      <c r="G304" s="2"/>
      <c r="H304" s="3" t="s">
        <v>8971</v>
      </c>
      <c r="I304" s="3" t="s">
        <v>8972</v>
      </c>
      <c r="J304" s="3" t="s">
        <v>6950</v>
      </c>
      <c r="K304" s="3" t="s">
        <v>8973</v>
      </c>
      <c r="L304" s="16">
        <v>4.0</v>
      </c>
      <c r="M304" s="3" t="s">
        <v>9001</v>
      </c>
      <c r="N304" s="3" t="s">
        <v>9001</v>
      </c>
      <c r="O304" s="3" t="s">
        <v>9002</v>
      </c>
      <c r="P304" s="16">
        <v>1.0</v>
      </c>
      <c r="Q304" s="16">
        <v>0.0</v>
      </c>
      <c r="R304" s="16">
        <v>0.0</v>
      </c>
      <c r="S304" s="16">
        <v>3.0</v>
      </c>
      <c r="T304" s="3" t="s">
        <v>2594</v>
      </c>
    </row>
    <row r="305">
      <c r="A305" s="3" t="s">
        <v>9223</v>
      </c>
      <c r="B305" s="3" t="s">
        <v>8418</v>
      </c>
      <c r="C305" s="17">
        <v>46125.60416666667</v>
      </c>
      <c r="D305" s="17">
        <v>46125.625</v>
      </c>
      <c r="E305" s="25">
        <v>0.5</v>
      </c>
      <c r="F305" s="2"/>
      <c r="G305" s="3" t="s">
        <v>9304</v>
      </c>
      <c r="H305" s="3" t="s">
        <v>8971</v>
      </c>
      <c r="I305" s="3" t="s">
        <v>9094</v>
      </c>
      <c r="J305" s="3" t="s">
        <v>6853</v>
      </c>
      <c r="K305" s="3" t="s">
        <v>8973</v>
      </c>
      <c r="L305" s="16">
        <v>2.0</v>
      </c>
      <c r="M305" s="3" t="s">
        <v>9225</v>
      </c>
      <c r="N305" s="3" t="s">
        <v>9225</v>
      </c>
      <c r="O305" s="3" t="s">
        <v>9010</v>
      </c>
      <c r="P305" s="16">
        <v>0.0</v>
      </c>
      <c r="Q305" s="16">
        <v>0.0</v>
      </c>
      <c r="R305" s="16">
        <v>0.0</v>
      </c>
      <c r="S305" s="16">
        <v>2.0</v>
      </c>
      <c r="T305" s="3" t="s">
        <v>2868</v>
      </c>
    </row>
    <row r="306">
      <c r="A306" s="3" t="s">
        <v>9416</v>
      </c>
      <c r="B306" s="3" t="s">
        <v>9417</v>
      </c>
      <c r="C306" s="17">
        <v>46126.45833333333</v>
      </c>
      <c r="D306" s="17">
        <v>46126.47916666667</v>
      </c>
      <c r="E306" s="25">
        <v>0.5</v>
      </c>
      <c r="G306" s="3" t="s">
        <v>9418</v>
      </c>
      <c r="H306" s="3" t="s">
        <v>8971</v>
      </c>
      <c r="I306" s="3" t="s">
        <v>9094</v>
      </c>
      <c r="J306" s="3" t="s">
        <v>6853</v>
      </c>
      <c r="K306" s="3" t="s">
        <v>8973</v>
      </c>
      <c r="L306" s="16">
        <v>5.0</v>
      </c>
      <c r="M306" s="3" t="s">
        <v>9480</v>
      </c>
      <c r="N306" s="3" t="s">
        <v>9480</v>
      </c>
      <c r="O306" s="3" t="s">
        <v>9432</v>
      </c>
      <c r="P306" s="16">
        <v>0.0</v>
      </c>
      <c r="Q306" s="16">
        <v>0.0</v>
      </c>
      <c r="R306" s="16">
        <v>0.0</v>
      </c>
      <c r="S306" s="16">
        <v>5.0</v>
      </c>
      <c r="T306" s="3" t="s">
        <v>5602</v>
      </c>
    </row>
    <row r="307">
      <c r="A307" s="3" t="s">
        <v>9307</v>
      </c>
      <c r="B307" s="3" t="s">
        <v>9137</v>
      </c>
      <c r="C307" s="17">
        <v>46126.5</v>
      </c>
      <c r="D307" s="17">
        <v>46126.52083333333</v>
      </c>
      <c r="E307" s="25">
        <v>0.5</v>
      </c>
      <c r="G307" s="3" t="s">
        <v>9138</v>
      </c>
      <c r="H307" s="3" t="s">
        <v>8971</v>
      </c>
      <c r="I307" s="3" t="s">
        <v>9077</v>
      </c>
      <c r="J307" s="3" t="s">
        <v>6950</v>
      </c>
      <c r="K307" s="3" t="s">
        <v>8973</v>
      </c>
      <c r="L307" s="16">
        <v>3.0</v>
      </c>
      <c r="M307" s="3" t="s">
        <v>9140</v>
      </c>
      <c r="N307" s="3" t="s">
        <v>9141</v>
      </c>
      <c r="O307" s="3" t="s">
        <v>9308</v>
      </c>
      <c r="P307" s="16">
        <v>2.0</v>
      </c>
      <c r="Q307" s="16">
        <v>0.0</v>
      </c>
      <c r="R307" s="16">
        <v>1.0</v>
      </c>
      <c r="S307" s="16">
        <v>0.0</v>
      </c>
      <c r="T307" s="3" t="s">
        <v>4466</v>
      </c>
    </row>
    <row r="308">
      <c r="A308" s="3" t="s">
        <v>9309</v>
      </c>
      <c r="B308" s="3" t="s">
        <v>6844</v>
      </c>
      <c r="C308" s="17">
        <v>46126.5625</v>
      </c>
      <c r="D308" s="17">
        <v>46126.58333333333</v>
      </c>
      <c r="E308" s="25">
        <v>0.5</v>
      </c>
      <c r="G308" s="2"/>
      <c r="H308" s="3" t="s">
        <v>8971</v>
      </c>
      <c r="I308" s="3" t="s">
        <v>9094</v>
      </c>
      <c r="J308" s="3" t="s">
        <v>6853</v>
      </c>
      <c r="K308" s="3" t="s">
        <v>8973</v>
      </c>
      <c r="L308" s="16">
        <v>2.0</v>
      </c>
      <c r="M308" s="3" t="s">
        <v>9310</v>
      </c>
      <c r="N308" s="3" t="s">
        <v>9310</v>
      </c>
      <c r="O308" s="3" t="s">
        <v>9043</v>
      </c>
      <c r="P308" s="16">
        <v>1.0</v>
      </c>
      <c r="Q308" s="16">
        <v>0.0</v>
      </c>
      <c r="R308" s="16">
        <v>0.0</v>
      </c>
      <c r="S308" s="16">
        <v>1.0</v>
      </c>
      <c r="T308" s="3" t="s">
        <v>2616</v>
      </c>
    </row>
    <row r="309">
      <c r="A309" s="3" t="s">
        <v>9481</v>
      </c>
      <c r="B309" s="3" t="s">
        <v>7310</v>
      </c>
      <c r="C309" s="17">
        <v>46128.41666666667</v>
      </c>
      <c r="D309" s="17">
        <v>46128.4375</v>
      </c>
      <c r="E309" s="25">
        <v>0.5</v>
      </c>
      <c r="G309" s="3" t="s">
        <v>9482</v>
      </c>
      <c r="H309" s="3" t="s">
        <v>8971</v>
      </c>
      <c r="I309" s="3" t="s">
        <v>9094</v>
      </c>
      <c r="J309" s="3" t="s">
        <v>6853</v>
      </c>
      <c r="K309" s="3" t="s">
        <v>8973</v>
      </c>
      <c r="L309" s="16">
        <v>3.0</v>
      </c>
      <c r="M309" s="3" t="s">
        <v>9483</v>
      </c>
      <c r="N309" s="3" t="s">
        <v>9483</v>
      </c>
      <c r="O309" s="3" t="s">
        <v>9147</v>
      </c>
      <c r="P309" s="16">
        <v>2.0</v>
      </c>
      <c r="Q309" s="16">
        <v>0.0</v>
      </c>
      <c r="R309" s="16">
        <v>0.0</v>
      </c>
      <c r="S309" s="16">
        <v>1.0</v>
      </c>
      <c r="T309" s="3" t="s">
        <v>5815</v>
      </c>
    </row>
    <row r="310">
      <c r="A310" s="3" t="s">
        <v>9459</v>
      </c>
      <c r="B310" s="3" t="s">
        <v>9460</v>
      </c>
      <c r="C310" s="17">
        <v>46128.5</v>
      </c>
      <c r="D310" s="17">
        <v>46128.52083333333</v>
      </c>
      <c r="E310" s="25">
        <v>0.5</v>
      </c>
      <c r="G310" s="2"/>
      <c r="H310" s="3" t="s">
        <v>8971</v>
      </c>
      <c r="I310" s="3" t="s">
        <v>9094</v>
      </c>
      <c r="J310" s="3" t="s">
        <v>6853</v>
      </c>
      <c r="K310" s="3" t="s">
        <v>8973</v>
      </c>
      <c r="L310" s="16">
        <v>1.0</v>
      </c>
      <c r="M310" s="3" t="s">
        <v>8912</v>
      </c>
      <c r="N310" s="3" t="s">
        <v>8912</v>
      </c>
      <c r="O310" s="3" t="s">
        <v>9077</v>
      </c>
      <c r="P310" s="16">
        <v>1.0</v>
      </c>
      <c r="Q310" s="16">
        <v>0.0</v>
      </c>
      <c r="R310" s="16">
        <v>0.0</v>
      </c>
      <c r="S310" s="16">
        <v>0.0</v>
      </c>
      <c r="T310" s="3" t="s">
        <v>1195</v>
      </c>
    </row>
    <row r="311">
      <c r="A311" s="3" t="s">
        <v>9340</v>
      </c>
      <c r="B311" s="3" t="s">
        <v>9176</v>
      </c>
      <c r="C311" s="17">
        <v>46128.52083333333</v>
      </c>
      <c r="D311" s="17">
        <v>46128.54166666667</v>
      </c>
      <c r="E311" s="25">
        <v>0.5</v>
      </c>
      <c r="G311" s="2"/>
      <c r="H311" s="3" t="s">
        <v>8971</v>
      </c>
      <c r="I311" s="3" t="s">
        <v>9077</v>
      </c>
      <c r="J311" s="3" t="s">
        <v>6950</v>
      </c>
      <c r="K311" s="3" t="s">
        <v>8973</v>
      </c>
      <c r="L311" s="16">
        <v>5.0</v>
      </c>
      <c r="M311" s="3" t="s">
        <v>9341</v>
      </c>
      <c r="N311" s="3" t="s">
        <v>9341</v>
      </c>
      <c r="O311" s="3" t="s">
        <v>9342</v>
      </c>
      <c r="P311" s="16">
        <v>4.0</v>
      </c>
      <c r="Q311" s="16">
        <v>0.0</v>
      </c>
      <c r="R311" s="16">
        <v>0.0</v>
      </c>
      <c r="S311" s="16">
        <v>1.0</v>
      </c>
      <c r="T311" s="2"/>
    </row>
    <row r="312">
      <c r="A312" s="3" t="s">
        <v>9280</v>
      </c>
      <c r="B312" s="3" t="s">
        <v>9281</v>
      </c>
      <c r="C312" s="17">
        <v>46128.70833333333</v>
      </c>
      <c r="D312" s="17">
        <v>46128.72916666667</v>
      </c>
      <c r="E312" s="25">
        <v>0.5</v>
      </c>
      <c r="F312" s="2"/>
      <c r="G312" s="3" t="s">
        <v>9282</v>
      </c>
      <c r="H312" s="3" t="s">
        <v>8971</v>
      </c>
      <c r="I312" s="3" t="s">
        <v>9077</v>
      </c>
      <c r="J312" s="3" t="s">
        <v>9283</v>
      </c>
      <c r="K312" s="3" t="s">
        <v>8973</v>
      </c>
      <c r="L312" s="16">
        <v>15.0</v>
      </c>
      <c r="M312" s="3" t="s">
        <v>9284</v>
      </c>
      <c r="N312" s="3" t="s">
        <v>9285</v>
      </c>
      <c r="O312" s="3" t="s">
        <v>9404</v>
      </c>
      <c r="P312" s="16">
        <v>9.0</v>
      </c>
      <c r="Q312" s="16">
        <v>0.0</v>
      </c>
      <c r="R312" s="16">
        <v>1.0</v>
      </c>
      <c r="S312" s="16">
        <v>5.0</v>
      </c>
      <c r="T312" s="3" t="s">
        <v>2922</v>
      </c>
    </row>
    <row r="313">
      <c r="A313" s="3" t="s">
        <v>9405</v>
      </c>
      <c r="B313" s="3" t="s">
        <v>9406</v>
      </c>
      <c r="C313" s="17">
        <v>46129.41666666667</v>
      </c>
      <c r="D313" s="17">
        <v>46129.4375</v>
      </c>
      <c r="E313" s="25">
        <v>0.5</v>
      </c>
      <c r="G313" s="2"/>
      <c r="H313" s="3" t="s">
        <v>8971</v>
      </c>
      <c r="I313" s="3" t="s">
        <v>9077</v>
      </c>
      <c r="J313" s="3" t="s">
        <v>6950</v>
      </c>
      <c r="K313" s="3" t="s">
        <v>8973</v>
      </c>
      <c r="L313" s="16">
        <v>5.0</v>
      </c>
      <c r="M313" s="3" t="s">
        <v>9484</v>
      </c>
      <c r="N313" s="3" t="s">
        <v>9484</v>
      </c>
      <c r="O313" s="3" t="s">
        <v>9342</v>
      </c>
      <c r="P313" s="16">
        <v>4.0</v>
      </c>
      <c r="Q313" s="16">
        <v>0.0</v>
      </c>
      <c r="R313" s="16">
        <v>0.0</v>
      </c>
      <c r="S313" s="16">
        <v>1.0</v>
      </c>
      <c r="T313" s="3" t="s">
        <v>5721</v>
      </c>
    </row>
    <row r="314">
      <c r="A314" s="3" t="s">
        <v>9441</v>
      </c>
      <c r="B314" s="3" t="s">
        <v>7840</v>
      </c>
      <c r="C314" s="17">
        <v>46132.58333333333</v>
      </c>
      <c r="D314" s="17">
        <v>46132.60416666667</v>
      </c>
      <c r="E314" s="25">
        <v>0.5</v>
      </c>
      <c r="G314" s="2"/>
      <c r="H314" s="3" t="s">
        <v>8971</v>
      </c>
      <c r="I314" s="3" t="s">
        <v>9094</v>
      </c>
      <c r="J314" s="3" t="s">
        <v>6853</v>
      </c>
      <c r="K314" s="3" t="s">
        <v>8973</v>
      </c>
      <c r="L314" s="16">
        <v>4.0</v>
      </c>
      <c r="M314" s="3" t="s">
        <v>9166</v>
      </c>
      <c r="N314" s="3" t="s">
        <v>9166</v>
      </c>
      <c r="O314" s="3" t="s">
        <v>9002</v>
      </c>
      <c r="P314" s="16">
        <v>1.0</v>
      </c>
      <c r="Q314" s="16">
        <v>0.0</v>
      </c>
      <c r="R314" s="16">
        <v>0.0</v>
      </c>
      <c r="S314" s="16">
        <v>3.0</v>
      </c>
      <c r="T314" s="3" t="s">
        <v>5544</v>
      </c>
    </row>
    <row r="315">
      <c r="A315" s="3" t="s">
        <v>9437</v>
      </c>
      <c r="B315" s="3" t="s">
        <v>9438</v>
      </c>
      <c r="C315" s="17">
        <v>46132.60416666667</v>
      </c>
      <c r="D315" s="17">
        <v>46132.625</v>
      </c>
      <c r="E315" s="25">
        <v>0.5</v>
      </c>
      <c r="F315" s="2"/>
      <c r="G315" s="2"/>
      <c r="H315" s="3" t="s">
        <v>8971</v>
      </c>
      <c r="I315" s="3" t="s">
        <v>9006</v>
      </c>
      <c r="J315" s="3" t="s">
        <v>6950</v>
      </c>
      <c r="K315" s="3" t="s">
        <v>8973</v>
      </c>
      <c r="L315" s="16">
        <v>4.0</v>
      </c>
      <c r="M315" s="3" t="s">
        <v>9439</v>
      </c>
      <c r="N315" s="3" t="s">
        <v>9439</v>
      </c>
      <c r="O315" s="3" t="s">
        <v>9440</v>
      </c>
      <c r="P315" s="16">
        <v>2.0</v>
      </c>
      <c r="Q315" s="16">
        <v>0.0</v>
      </c>
      <c r="R315" s="16">
        <v>0.0</v>
      </c>
      <c r="S315" s="16">
        <v>2.0</v>
      </c>
      <c r="T315" s="3" t="s">
        <v>3616</v>
      </c>
    </row>
    <row r="316">
      <c r="A316" s="3" t="s">
        <v>9223</v>
      </c>
      <c r="B316" s="3" t="s">
        <v>8418</v>
      </c>
      <c r="C316" s="17">
        <v>46132.60416666667</v>
      </c>
      <c r="D316" s="17">
        <v>46132.625</v>
      </c>
      <c r="E316" s="25">
        <v>0.5</v>
      </c>
      <c r="F316" s="2"/>
      <c r="G316" s="3" t="s">
        <v>9304</v>
      </c>
      <c r="H316" s="3" t="s">
        <v>8971</v>
      </c>
      <c r="I316" s="3" t="s">
        <v>9094</v>
      </c>
      <c r="J316" s="3" t="s">
        <v>6853</v>
      </c>
      <c r="K316" s="3" t="s">
        <v>8973</v>
      </c>
      <c r="L316" s="16">
        <v>2.0</v>
      </c>
      <c r="M316" s="3" t="s">
        <v>9225</v>
      </c>
      <c r="N316" s="3" t="s">
        <v>9225</v>
      </c>
      <c r="O316" s="3" t="s">
        <v>9010</v>
      </c>
      <c r="P316" s="16">
        <v>0.0</v>
      </c>
      <c r="Q316" s="16">
        <v>0.0</v>
      </c>
      <c r="R316" s="16">
        <v>0.0</v>
      </c>
      <c r="S316" s="16">
        <v>2.0</v>
      </c>
      <c r="T316" s="3" t="s">
        <v>2868</v>
      </c>
    </row>
    <row r="317">
      <c r="A317" s="3" t="s">
        <v>9307</v>
      </c>
      <c r="B317" s="3" t="s">
        <v>9137</v>
      </c>
      <c r="C317" s="17">
        <v>46133.5</v>
      </c>
      <c r="D317" s="17">
        <v>46133.52083333333</v>
      </c>
      <c r="E317" s="25">
        <v>0.5</v>
      </c>
      <c r="F317" s="2"/>
      <c r="G317" s="3" t="s">
        <v>9138</v>
      </c>
      <c r="H317" s="3" t="s">
        <v>8971</v>
      </c>
      <c r="I317" s="3" t="s">
        <v>9077</v>
      </c>
      <c r="J317" s="3" t="s">
        <v>6950</v>
      </c>
      <c r="K317" s="3" t="s">
        <v>8973</v>
      </c>
      <c r="L317" s="16">
        <v>3.0</v>
      </c>
      <c r="M317" s="3" t="s">
        <v>9140</v>
      </c>
      <c r="N317" s="3" t="s">
        <v>9141</v>
      </c>
      <c r="O317" s="3" t="s">
        <v>9308</v>
      </c>
      <c r="P317" s="16">
        <v>2.0</v>
      </c>
      <c r="Q317" s="16">
        <v>0.0</v>
      </c>
      <c r="R317" s="16">
        <v>1.0</v>
      </c>
      <c r="S317" s="16">
        <v>0.0</v>
      </c>
      <c r="T317" s="3" t="s">
        <v>4466</v>
      </c>
    </row>
    <row r="318">
      <c r="A318" s="3" t="s">
        <v>9309</v>
      </c>
      <c r="B318" s="3" t="s">
        <v>6844</v>
      </c>
      <c r="C318" s="17">
        <v>46133.5625</v>
      </c>
      <c r="D318" s="17">
        <v>46133.58333333333</v>
      </c>
      <c r="E318" s="25">
        <v>0.5</v>
      </c>
      <c r="G318" s="2"/>
      <c r="H318" s="3" t="s">
        <v>8971</v>
      </c>
      <c r="I318" s="3" t="s">
        <v>9094</v>
      </c>
      <c r="J318" s="3" t="s">
        <v>6853</v>
      </c>
      <c r="K318" s="3" t="s">
        <v>8973</v>
      </c>
      <c r="L318" s="16">
        <v>2.0</v>
      </c>
      <c r="M318" s="3" t="s">
        <v>9310</v>
      </c>
      <c r="N318" s="3" t="s">
        <v>9310</v>
      </c>
      <c r="O318" s="3" t="s">
        <v>9043</v>
      </c>
      <c r="P318" s="16">
        <v>1.0</v>
      </c>
      <c r="Q318" s="16">
        <v>0.0</v>
      </c>
      <c r="R318" s="16">
        <v>0.0</v>
      </c>
      <c r="S318" s="16">
        <v>1.0</v>
      </c>
      <c r="T318" s="3" t="s">
        <v>2616</v>
      </c>
    </row>
    <row r="319">
      <c r="A319" s="3" t="s">
        <v>9442</v>
      </c>
      <c r="B319" s="3" t="s">
        <v>8969</v>
      </c>
      <c r="C319" s="17">
        <v>46133.58333333333</v>
      </c>
      <c r="D319" s="17">
        <v>46133.60416666667</v>
      </c>
      <c r="E319" s="25">
        <v>0.5</v>
      </c>
      <c r="F319" s="2"/>
      <c r="G319" s="3" t="s">
        <v>8970</v>
      </c>
      <c r="H319" s="3" t="s">
        <v>8971</v>
      </c>
      <c r="I319" s="3" t="s">
        <v>9094</v>
      </c>
      <c r="J319" s="3" t="s">
        <v>6853</v>
      </c>
      <c r="K319" s="3" t="s">
        <v>8973</v>
      </c>
      <c r="L319" s="16">
        <v>3.0</v>
      </c>
      <c r="M319" s="3" t="s">
        <v>9436</v>
      </c>
      <c r="N319" s="3" t="s">
        <v>9436</v>
      </c>
      <c r="O319" s="3" t="s">
        <v>9147</v>
      </c>
      <c r="P319" s="16">
        <v>2.0</v>
      </c>
      <c r="Q319" s="16">
        <v>0.0</v>
      </c>
      <c r="R319" s="16">
        <v>0.0</v>
      </c>
      <c r="S319" s="16">
        <v>1.0</v>
      </c>
      <c r="T319" s="3" t="s">
        <v>5498</v>
      </c>
    </row>
    <row r="320">
      <c r="A320" s="3" t="s">
        <v>9384</v>
      </c>
      <c r="B320" s="3" t="s">
        <v>9015</v>
      </c>
      <c r="C320" s="17">
        <v>46134.54166666667</v>
      </c>
      <c r="D320" s="17">
        <v>46134.5625</v>
      </c>
      <c r="E320" s="25">
        <v>0.5</v>
      </c>
      <c r="F320" s="2"/>
      <c r="G320" s="2"/>
      <c r="H320" s="3" t="s">
        <v>8971</v>
      </c>
      <c r="I320" s="3" t="s">
        <v>9077</v>
      </c>
      <c r="J320" s="3" t="s">
        <v>6950</v>
      </c>
      <c r="K320" s="3" t="s">
        <v>8973</v>
      </c>
      <c r="L320" s="16">
        <v>3.0</v>
      </c>
      <c r="M320" s="3" t="s">
        <v>9016</v>
      </c>
      <c r="N320" s="3" t="s">
        <v>9016</v>
      </c>
      <c r="O320" s="3" t="s">
        <v>9017</v>
      </c>
      <c r="P320" s="16">
        <v>3.0</v>
      </c>
      <c r="Q320" s="16">
        <v>0.0</v>
      </c>
      <c r="R320" s="16">
        <v>0.0</v>
      </c>
      <c r="S320" s="16">
        <v>0.0</v>
      </c>
      <c r="T320" s="3" t="s">
        <v>1975</v>
      </c>
    </row>
    <row r="321">
      <c r="A321" s="3" t="s">
        <v>9421</v>
      </c>
      <c r="B321" s="3" t="s">
        <v>9422</v>
      </c>
      <c r="C321" s="17">
        <v>46135.35416666667</v>
      </c>
      <c r="D321" s="17">
        <v>46135.375</v>
      </c>
      <c r="E321" s="25">
        <v>0.5</v>
      </c>
      <c r="F321" s="2"/>
      <c r="G321" s="2"/>
      <c r="H321" s="3" t="s">
        <v>8971</v>
      </c>
      <c r="I321" s="3" t="s">
        <v>9077</v>
      </c>
      <c r="J321" s="3" t="s">
        <v>6950</v>
      </c>
      <c r="K321" s="3" t="s">
        <v>8973</v>
      </c>
      <c r="L321" s="16">
        <v>4.0</v>
      </c>
      <c r="M321" s="3" t="s">
        <v>9423</v>
      </c>
      <c r="N321" s="3" t="s">
        <v>9423</v>
      </c>
      <c r="O321" s="3" t="s">
        <v>9002</v>
      </c>
      <c r="P321" s="16">
        <v>1.0</v>
      </c>
      <c r="Q321" s="16">
        <v>0.0</v>
      </c>
      <c r="R321" s="16">
        <v>0.0</v>
      </c>
      <c r="S321" s="16">
        <v>3.0</v>
      </c>
      <c r="T321" s="3" t="s">
        <v>693</v>
      </c>
    </row>
    <row r="322">
      <c r="A322" s="3" t="s">
        <v>9262</v>
      </c>
      <c r="B322" s="3" t="s">
        <v>9263</v>
      </c>
      <c r="C322" s="17">
        <v>46135.4375</v>
      </c>
      <c r="D322" s="17">
        <v>46135.45833333333</v>
      </c>
      <c r="E322" s="25">
        <v>0.5</v>
      </c>
      <c r="G322" s="2"/>
      <c r="H322" s="3" t="s">
        <v>8971</v>
      </c>
      <c r="I322" s="3" t="s">
        <v>9077</v>
      </c>
      <c r="J322" s="3" t="s">
        <v>6950</v>
      </c>
      <c r="K322" s="3" t="s">
        <v>8973</v>
      </c>
      <c r="L322" s="16">
        <v>4.0</v>
      </c>
      <c r="M322" s="3" t="s">
        <v>9311</v>
      </c>
      <c r="N322" s="3" t="s">
        <v>9312</v>
      </c>
      <c r="O322" s="3" t="s">
        <v>9167</v>
      </c>
      <c r="P322" s="16">
        <v>4.0</v>
      </c>
      <c r="Q322" s="16">
        <v>0.0</v>
      </c>
      <c r="R322" s="16">
        <v>0.0</v>
      </c>
      <c r="S322" s="16">
        <v>0.0</v>
      </c>
      <c r="T322" s="3" t="s">
        <v>2672</v>
      </c>
    </row>
    <row r="323">
      <c r="A323" s="3" t="s">
        <v>9314</v>
      </c>
      <c r="B323" s="3" t="s">
        <v>9315</v>
      </c>
      <c r="C323" s="17">
        <v>46135.58333333333</v>
      </c>
      <c r="D323" s="17">
        <v>46135.60416666667</v>
      </c>
      <c r="E323" s="25">
        <v>0.5</v>
      </c>
      <c r="G323" s="2"/>
      <c r="H323" s="3" t="s">
        <v>8971</v>
      </c>
      <c r="I323" s="3" t="s">
        <v>9077</v>
      </c>
      <c r="J323" s="3" t="s">
        <v>6950</v>
      </c>
      <c r="K323" s="3" t="s">
        <v>8973</v>
      </c>
      <c r="L323" s="16">
        <v>6.0</v>
      </c>
      <c r="M323" s="3" t="s">
        <v>9316</v>
      </c>
      <c r="N323" s="3" t="s">
        <v>9316</v>
      </c>
      <c r="O323" s="3" t="s">
        <v>9397</v>
      </c>
      <c r="P323" s="16">
        <v>1.0</v>
      </c>
      <c r="Q323" s="16">
        <v>3.0</v>
      </c>
      <c r="R323" s="16">
        <v>0.0</v>
      </c>
      <c r="S323" s="16">
        <v>2.0</v>
      </c>
      <c r="T323" s="3" t="s">
        <v>5285</v>
      </c>
    </row>
    <row r="324">
      <c r="A324" s="3" t="s">
        <v>9443</v>
      </c>
      <c r="B324" s="3" t="s">
        <v>8085</v>
      </c>
      <c r="C324" s="17">
        <v>46136.54166666667</v>
      </c>
      <c r="D324" s="17">
        <v>46136.5625</v>
      </c>
      <c r="E324" s="25">
        <v>0.5</v>
      </c>
      <c r="F324" s="2"/>
      <c r="G324" s="2"/>
      <c r="H324" s="3" t="s">
        <v>8971</v>
      </c>
      <c r="I324" s="3" t="s">
        <v>9077</v>
      </c>
      <c r="J324" s="3" t="s">
        <v>9206</v>
      </c>
      <c r="K324" s="3" t="s">
        <v>8973</v>
      </c>
      <c r="L324" s="16">
        <v>5.0</v>
      </c>
      <c r="M324" s="3" t="s">
        <v>9207</v>
      </c>
      <c r="N324" s="3" t="s">
        <v>9208</v>
      </c>
      <c r="O324" s="3" t="s">
        <v>9444</v>
      </c>
      <c r="P324" s="16">
        <v>4.0</v>
      </c>
      <c r="Q324" s="16">
        <v>1.0</v>
      </c>
      <c r="R324" s="16">
        <v>0.0</v>
      </c>
      <c r="S324" s="16">
        <v>0.0</v>
      </c>
      <c r="T324" s="3" t="s">
        <v>453</v>
      </c>
    </row>
    <row r="325">
      <c r="A325" s="3" t="s">
        <v>9410</v>
      </c>
      <c r="B325" s="3" t="s">
        <v>7147</v>
      </c>
      <c r="C325" s="17">
        <v>46139.54166666667</v>
      </c>
      <c r="D325" s="17">
        <v>46139.5625</v>
      </c>
      <c r="E325" s="25">
        <v>0.5</v>
      </c>
      <c r="F325" s="13" t="s">
        <v>9411</v>
      </c>
      <c r="G325" s="3" t="s">
        <v>9412</v>
      </c>
      <c r="H325" s="3" t="s">
        <v>8971</v>
      </c>
      <c r="I325" s="3" t="s">
        <v>9094</v>
      </c>
      <c r="J325" s="3" t="s">
        <v>6853</v>
      </c>
      <c r="K325" s="3" t="s">
        <v>8973</v>
      </c>
      <c r="L325" s="16">
        <v>4.0</v>
      </c>
      <c r="M325" s="3" t="s">
        <v>9349</v>
      </c>
      <c r="N325" s="3" t="s">
        <v>9349</v>
      </c>
      <c r="O325" s="3" t="s">
        <v>9002</v>
      </c>
      <c r="P325" s="16">
        <v>1.0</v>
      </c>
      <c r="Q325" s="16">
        <v>0.0</v>
      </c>
      <c r="R325" s="16">
        <v>0.0</v>
      </c>
      <c r="S325" s="16">
        <v>3.0</v>
      </c>
      <c r="T325" s="3" t="s">
        <v>1725</v>
      </c>
    </row>
    <row r="326">
      <c r="A326" s="3" t="s">
        <v>9325</v>
      </c>
      <c r="B326" s="3" t="s">
        <v>9000</v>
      </c>
      <c r="C326" s="17">
        <v>46139.58333333333</v>
      </c>
      <c r="D326" s="17">
        <v>46139.60416666667</v>
      </c>
      <c r="E326" s="25">
        <v>0.5</v>
      </c>
      <c r="F326" s="2"/>
      <c r="G326" s="2"/>
      <c r="H326" s="3" t="s">
        <v>8971</v>
      </c>
      <c r="I326" s="3" t="s">
        <v>8972</v>
      </c>
      <c r="J326" s="3" t="s">
        <v>6950</v>
      </c>
      <c r="K326" s="3" t="s">
        <v>8973</v>
      </c>
      <c r="L326" s="16">
        <v>4.0</v>
      </c>
      <c r="M326" s="3" t="s">
        <v>9001</v>
      </c>
      <c r="N326" s="3" t="s">
        <v>9001</v>
      </c>
      <c r="O326" s="3" t="s">
        <v>9002</v>
      </c>
      <c r="P326" s="16">
        <v>1.0</v>
      </c>
      <c r="Q326" s="16">
        <v>0.0</v>
      </c>
      <c r="R326" s="16">
        <v>0.0</v>
      </c>
      <c r="S326" s="16">
        <v>3.0</v>
      </c>
      <c r="T326" s="3" t="s">
        <v>2594</v>
      </c>
    </row>
    <row r="327">
      <c r="A327" s="3" t="s">
        <v>9223</v>
      </c>
      <c r="B327" s="3" t="s">
        <v>8418</v>
      </c>
      <c r="C327" s="17">
        <v>46139.60416666667</v>
      </c>
      <c r="D327" s="17">
        <v>46139.625</v>
      </c>
      <c r="E327" s="25">
        <v>0.5</v>
      </c>
      <c r="G327" s="3" t="s">
        <v>9304</v>
      </c>
      <c r="H327" s="3" t="s">
        <v>8971</v>
      </c>
      <c r="I327" s="3" t="s">
        <v>9094</v>
      </c>
      <c r="J327" s="3" t="s">
        <v>6853</v>
      </c>
      <c r="K327" s="3" t="s">
        <v>8973</v>
      </c>
      <c r="L327" s="16">
        <v>2.0</v>
      </c>
      <c r="M327" s="3" t="s">
        <v>9225</v>
      </c>
      <c r="N327" s="3" t="s">
        <v>9225</v>
      </c>
      <c r="O327" s="3" t="s">
        <v>9010</v>
      </c>
      <c r="P327" s="16">
        <v>0.0</v>
      </c>
      <c r="Q327" s="16">
        <v>0.0</v>
      </c>
      <c r="R327" s="16">
        <v>0.0</v>
      </c>
      <c r="S327" s="16">
        <v>2.0</v>
      </c>
      <c r="T327" s="3" t="s">
        <v>2868</v>
      </c>
    </row>
    <row r="328">
      <c r="A328" s="3" t="s">
        <v>9307</v>
      </c>
      <c r="B328" s="3" t="s">
        <v>9137</v>
      </c>
      <c r="C328" s="17">
        <v>46140.5</v>
      </c>
      <c r="D328" s="17">
        <v>46140.52083333333</v>
      </c>
      <c r="E328" s="25">
        <v>0.5</v>
      </c>
      <c r="G328" s="3" t="s">
        <v>9138</v>
      </c>
      <c r="H328" s="3" t="s">
        <v>8971</v>
      </c>
      <c r="I328" s="3" t="s">
        <v>9077</v>
      </c>
      <c r="J328" s="3" t="s">
        <v>6950</v>
      </c>
      <c r="K328" s="3" t="s">
        <v>8973</v>
      </c>
      <c r="L328" s="16">
        <v>3.0</v>
      </c>
      <c r="M328" s="3" t="s">
        <v>9140</v>
      </c>
      <c r="N328" s="3" t="s">
        <v>9141</v>
      </c>
      <c r="O328" s="3" t="s">
        <v>9308</v>
      </c>
      <c r="P328" s="16">
        <v>2.0</v>
      </c>
      <c r="Q328" s="16">
        <v>0.0</v>
      </c>
      <c r="R328" s="16">
        <v>1.0</v>
      </c>
      <c r="S328" s="16">
        <v>0.0</v>
      </c>
      <c r="T328" s="3" t="s">
        <v>4466</v>
      </c>
    </row>
    <row r="329">
      <c r="A329" s="3" t="s">
        <v>9326</v>
      </c>
      <c r="B329" s="3" t="s">
        <v>8991</v>
      </c>
      <c r="C329" s="17">
        <v>46140.54166666667</v>
      </c>
      <c r="D329" s="17">
        <v>46140.5625</v>
      </c>
      <c r="E329" s="25">
        <v>0.5</v>
      </c>
      <c r="G329" s="3" t="s">
        <v>8992</v>
      </c>
      <c r="H329" s="3" t="s">
        <v>8971</v>
      </c>
      <c r="I329" s="3" t="s">
        <v>9077</v>
      </c>
      <c r="J329" s="3" t="s">
        <v>6950</v>
      </c>
      <c r="K329" s="3" t="s">
        <v>8973</v>
      </c>
      <c r="L329" s="16">
        <v>4.0</v>
      </c>
      <c r="M329" s="3" t="s">
        <v>8993</v>
      </c>
      <c r="N329" s="3" t="s">
        <v>8993</v>
      </c>
      <c r="O329" s="3" t="s">
        <v>9204</v>
      </c>
      <c r="P329" s="16">
        <v>3.0</v>
      </c>
      <c r="Q329" s="16">
        <v>0.0</v>
      </c>
      <c r="R329" s="16">
        <v>0.0</v>
      </c>
      <c r="S329" s="16">
        <v>1.0</v>
      </c>
      <c r="T329" s="3" t="s">
        <v>861</v>
      </c>
    </row>
    <row r="330">
      <c r="A330" s="3" t="s">
        <v>9309</v>
      </c>
      <c r="B330" s="3" t="s">
        <v>6844</v>
      </c>
      <c r="C330" s="17">
        <v>46140.5625</v>
      </c>
      <c r="D330" s="17">
        <v>46140.58333333333</v>
      </c>
      <c r="E330" s="25">
        <v>0.5</v>
      </c>
      <c r="F330" s="2"/>
      <c r="G330" s="2"/>
      <c r="H330" s="3" t="s">
        <v>8971</v>
      </c>
      <c r="I330" s="3" t="s">
        <v>9094</v>
      </c>
      <c r="J330" s="3" t="s">
        <v>6853</v>
      </c>
      <c r="K330" s="3" t="s">
        <v>8973</v>
      </c>
      <c r="L330" s="16">
        <v>2.0</v>
      </c>
      <c r="M330" s="3" t="s">
        <v>9310</v>
      </c>
      <c r="N330" s="3" t="s">
        <v>9310</v>
      </c>
      <c r="O330" s="3" t="s">
        <v>9043</v>
      </c>
      <c r="P330" s="16">
        <v>1.0</v>
      </c>
      <c r="Q330" s="16">
        <v>0.0</v>
      </c>
      <c r="R330" s="16">
        <v>0.0</v>
      </c>
      <c r="S330" s="16">
        <v>1.0</v>
      </c>
      <c r="T330" s="3" t="s">
        <v>2616</v>
      </c>
    </row>
    <row r="331">
      <c r="A331" s="3" t="s">
        <v>9334</v>
      </c>
      <c r="B331" s="3" t="s">
        <v>9026</v>
      </c>
      <c r="C331" s="17">
        <v>46142.375</v>
      </c>
      <c r="D331" s="17">
        <v>46142.39583333333</v>
      </c>
      <c r="E331" s="25">
        <v>0.5</v>
      </c>
      <c r="G331" s="2"/>
      <c r="H331" s="3" t="s">
        <v>8971</v>
      </c>
      <c r="I331" s="3" t="s">
        <v>9077</v>
      </c>
      <c r="J331" s="3" t="s">
        <v>6950</v>
      </c>
      <c r="K331" s="3" t="s">
        <v>8973</v>
      </c>
      <c r="L331" s="16">
        <v>4.0</v>
      </c>
      <c r="M331" s="3" t="s">
        <v>9027</v>
      </c>
      <c r="N331" s="3" t="s">
        <v>9027</v>
      </c>
      <c r="O331" s="3" t="s">
        <v>9335</v>
      </c>
      <c r="P331" s="16">
        <v>2.0</v>
      </c>
      <c r="Q331" s="16">
        <v>0.0</v>
      </c>
      <c r="R331" s="16">
        <v>0.0</v>
      </c>
      <c r="S331" s="16">
        <v>2.0</v>
      </c>
      <c r="T331" s="3" t="s">
        <v>5681</v>
      </c>
    </row>
    <row r="332">
      <c r="A332" s="3" t="s">
        <v>9458</v>
      </c>
      <c r="B332" s="3" t="s">
        <v>9022</v>
      </c>
      <c r="C332" s="17">
        <v>46142.47916666667</v>
      </c>
      <c r="D332" s="17">
        <v>46142.5</v>
      </c>
      <c r="E332" s="25">
        <v>0.5</v>
      </c>
      <c r="G332" s="2"/>
      <c r="H332" s="3" t="s">
        <v>8971</v>
      </c>
      <c r="I332" s="3" t="s">
        <v>9077</v>
      </c>
      <c r="J332" s="3" t="s">
        <v>6950</v>
      </c>
      <c r="K332" s="3" t="s">
        <v>8973</v>
      </c>
      <c r="L332" s="16">
        <v>2.0</v>
      </c>
      <c r="M332" s="3" t="s">
        <v>9023</v>
      </c>
      <c r="N332" s="3" t="s">
        <v>9023</v>
      </c>
      <c r="O332" s="3" t="s">
        <v>9024</v>
      </c>
      <c r="P332" s="16">
        <v>2.0</v>
      </c>
      <c r="Q332" s="16">
        <v>0.0</v>
      </c>
      <c r="R332" s="16">
        <v>0.0</v>
      </c>
      <c r="S332" s="16">
        <v>0.0</v>
      </c>
      <c r="T332" s="3" t="s">
        <v>5396</v>
      </c>
    </row>
    <row r="333">
      <c r="A333" s="3" t="s">
        <v>9459</v>
      </c>
      <c r="B333" s="3" t="s">
        <v>9460</v>
      </c>
      <c r="C333" s="17">
        <v>46142.5</v>
      </c>
      <c r="D333" s="17">
        <v>46142.52083333333</v>
      </c>
      <c r="E333" s="25">
        <v>0.5</v>
      </c>
      <c r="F333" s="2"/>
      <c r="G333" s="2"/>
      <c r="H333" s="3" t="s">
        <v>8971</v>
      </c>
      <c r="I333" s="3" t="s">
        <v>9094</v>
      </c>
      <c r="J333" s="3" t="s">
        <v>6853</v>
      </c>
      <c r="K333" s="3" t="s">
        <v>8973</v>
      </c>
      <c r="L333" s="16">
        <v>1.0</v>
      </c>
      <c r="M333" s="3" t="s">
        <v>8912</v>
      </c>
      <c r="N333" s="3" t="s">
        <v>8912</v>
      </c>
      <c r="O333" s="3" t="s">
        <v>9077</v>
      </c>
      <c r="P333" s="16">
        <v>1.0</v>
      </c>
      <c r="Q333" s="16">
        <v>0.0</v>
      </c>
      <c r="R333" s="16">
        <v>0.0</v>
      </c>
      <c r="S333" s="16">
        <v>0.0</v>
      </c>
      <c r="T333" s="3" t="s">
        <v>1195</v>
      </c>
    </row>
    <row r="334">
      <c r="A334" s="3" t="s">
        <v>9340</v>
      </c>
      <c r="B334" s="3" t="s">
        <v>9176</v>
      </c>
      <c r="C334" s="17">
        <v>46142.52083333333</v>
      </c>
      <c r="D334" s="17">
        <v>46142.54166666667</v>
      </c>
      <c r="E334" s="25">
        <v>0.5</v>
      </c>
      <c r="G334" s="2"/>
      <c r="H334" s="3" t="s">
        <v>8971</v>
      </c>
      <c r="I334" s="3" t="s">
        <v>9077</v>
      </c>
      <c r="J334" s="3" t="s">
        <v>6950</v>
      </c>
      <c r="K334" s="3" t="s">
        <v>8973</v>
      </c>
      <c r="L334" s="16">
        <v>5.0</v>
      </c>
      <c r="M334" s="3" t="s">
        <v>9341</v>
      </c>
      <c r="N334" s="3" t="s">
        <v>9341</v>
      </c>
      <c r="O334" s="3" t="s">
        <v>9342</v>
      </c>
      <c r="P334" s="16">
        <v>4.0</v>
      </c>
      <c r="Q334" s="16">
        <v>0.0</v>
      </c>
      <c r="R334" s="16">
        <v>0.0</v>
      </c>
      <c r="S334" s="16">
        <v>1.0</v>
      </c>
      <c r="T334" s="2"/>
    </row>
    <row r="335">
      <c r="A335" s="3" t="s">
        <v>9320</v>
      </c>
      <c r="B335" s="3" t="s">
        <v>9196</v>
      </c>
      <c r="C335" s="17">
        <v>46143.39583333333</v>
      </c>
      <c r="D335" s="17">
        <v>46143.41666666667</v>
      </c>
      <c r="E335" s="25">
        <v>0.5</v>
      </c>
      <c r="G335" s="3" t="s">
        <v>9197</v>
      </c>
      <c r="H335" s="3" t="s">
        <v>8971</v>
      </c>
      <c r="I335" s="3" t="s">
        <v>9077</v>
      </c>
      <c r="J335" s="3" t="s">
        <v>6950</v>
      </c>
      <c r="K335" s="3" t="s">
        <v>8973</v>
      </c>
      <c r="L335" s="16">
        <v>4.0</v>
      </c>
      <c r="M335" s="3" t="s">
        <v>9198</v>
      </c>
      <c r="N335" s="3" t="s">
        <v>9198</v>
      </c>
      <c r="O335" s="3" t="s">
        <v>9321</v>
      </c>
      <c r="P335" s="16">
        <v>2.0</v>
      </c>
      <c r="Q335" s="16">
        <v>1.0</v>
      </c>
      <c r="R335" s="16">
        <v>0.0</v>
      </c>
      <c r="S335" s="16">
        <v>1.0</v>
      </c>
      <c r="T335" s="3" t="s">
        <v>1969</v>
      </c>
    </row>
    <row r="336">
      <c r="A336" s="3" t="s">
        <v>9445</v>
      </c>
      <c r="B336" s="3" t="s">
        <v>8977</v>
      </c>
      <c r="C336" s="17">
        <v>46146.5625</v>
      </c>
      <c r="D336" s="17">
        <v>46146.58333333333</v>
      </c>
      <c r="E336" s="25">
        <v>0.5</v>
      </c>
      <c r="G336" s="3" t="s">
        <v>9446</v>
      </c>
      <c r="H336" s="3" t="s">
        <v>8971</v>
      </c>
      <c r="I336" s="3" t="s">
        <v>8972</v>
      </c>
      <c r="J336" s="3" t="s">
        <v>6950</v>
      </c>
      <c r="K336" s="3" t="s">
        <v>8973</v>
      </c>
      <c r="L336" s="16">
        <v>7.0</v>
      </c>
      <c r="M336" s="3" t="s">
        <v>8978</v>
      </c>
      <c r="N336" s="3" t="s">
        <v>8978</v>
      </c>
      <c r="O336" s="3" t="s">
        <v>8979</v>
      </c>
      <c r="P336" s="16">
        <v>5.0</v>
      </c>
      <c r="Q336" s="16">
        <v>0.0</v>
      </c>
      <c r="R336" s="16">
        <v>0.0</v>
      </c>
      <c r="S336" s="16">
        <v>2.0</v>
      </c>
      <c r="T336" s="3" t="s">
        <v>2576</v>
      </c>
    </row>
    <row r="337">
      <c r="A337" s="3" t="s">
        <v>9441</v>
      </c>
      <c r="B337" s="3" t="s">
        <v>7840</v>
      </c>
      <c r="C337" s="17">
        <v>46146.58333333333</v>
      </c>
      <c r="D337" s="17">
        <v>46146.60416666667</v>
      </c>
      <c r="E337" s="25">
        <v>0.5</v>
      </c>
      <c r="F337" s="2"/>
      <c r="G337" s="2"/>
      <c r="H337" s="3" t="s">
        <v>8971</v>
      </c>
      <c r="I337" s="3" t="s">
        <v>9094</v>
      </c>
      <c r="J337" s="3" t="s">
        <v>6853</v>
      </c>
      <c r="K337" s="3" t="s">
        <v>8973</v>
      </c>
      <c r="L337" s="16">
        <v>4.0</v>
      </c>
      <c r="M337" s="3" t="s">
        <v>9166</v>
      </c>
      <c r="N337" s="3" t="s">
        <v>9166</v>
      </c>
      <c r="O337" s="3" t="s">
        <v>9002</v>
      </c>
      <c r="P337" s="16">
        <v>1.0</v>
      </c>
      <c r="Q337" s="16">
        <v>0.0</v>
      </c>
      <c r="R337" s="16">
        <v>0.0</v>
      </c>
      <c r="S337" s="16">
        <v>3.0</v>
      </c>
      <c r="T337" s="3" t="s">
        <v>5544</v>
      </c>
    </row>
    <row r="338">
      <c r="A338" s="3" t="s">
        <v>9223</v>
      </c>
      <c r="B338" s="3" t="s">
        <v>8418</v>
      </c>
      <c r="C338" s="17">
        <v>46146.60416666667</v>
      </c>
      <c r="D338" s="17">
        <v>46146.625</v>
      </c>
      <c r="E338" s="25">
        <v>0.5</v>
      </c>
      <c r="F338" s="2"/>
      <c r="G338" s="3" t="s">
        <v>9304</v>
      </c>
      <c r="H338" s="3" t="s">
        <v>8971</v>
      </c>
      <c r="I338" s="3" t="s">
        <v>9094</v>
      </c>
      <c r="J338" s="3" t="s">
        <v>6853</v>
      </c>
      <c r="K338" s="3" t="s">
        <v>8973</v>
      </c>
      <c r="L338" s="16">
        <v>2.0</v>
      </c>
      <c r="M338" s="3" t="s">
        <v>9225</v>
      </c>
      <c r="N338" s="3" t="s">
        <v>9225</v>
      </c>
      <c r="O338" s="3" t="s">
        <v>9010</v>
      </c>
      <c r="P338" s="16">
        <v>0.0</v>
      </c>
      <c r="Q338" s="16">
        <v>0.0</v>
      </c>
      <c r="R338" s="16">
        <v>0.0</v>
      </c>
      <c r="S338" s="16">
        <v>2.0</v>
      </c>
      <c r="T338" s="3" t="s">
        <v>2868</v>
      </c>
    </row>
    <row r="339">
      <c r="A339" s="3" t="s">
        <v>9307</v>
      </c>
      <c r="B339" s="3" t="s">
        <v>9137</v>
      </c>
      <c r="C339" s="17">
        <v>46147.5</v>
      </c>
      <c r="D339" s="17">
        <v>46147.52083333333</v>
      </c>
      <c r="E339" s="25">
        <v>0.5</v>
      </c>
      <c r="F339" s="2"/>
      <c r="G339" s="3" t="s">
        <v>9138</v>
      </c>
      <c r="H339" s="3" t="s">
        <v>8971</v>
      </c>
      <c r="I339" s="3" t="s">
        <v>9077</v>
      </c>
      <c r="J339" s="3" t="s">
        <v>6950</v>
      </c>
      <c r="K339" s="3" t="s">
        <v>8973</v>
      </c>
      <c r="L339" s="16">
        <v>3.0</v>
      </c>
      <c r="M339" s="3" t="s">
        <v>9140</v>
      </c>
      <c r="N339" s="3" t="s">
        <v>9141</v>
      </c>
      <c r="O339" s="3" t="s">
        <v>9308</v>
      </c>
      <c r="P339" s="16">
        <v>2.0</v>
      </c>
      <c r="Q339" s="16">
        <v>0.0</v>
      </c>
      <c r="R339" s="16">
        <v>1.0</v>
      </c>
      <c r="S339" s="16">
        <v>0.0</v>
      </c>
      <c r="T339" s="3" t="s">
        <v>4466</v>
      </c>
    </row>
    <row r="340">
      <c r="A340" s="3" t="s">
        <v>9309</v>
      </c>
      <c r="B340" s="3" t="s">
        <v>6844</v>
      </c>
      <c r="C340" s="17">
        <v>46147.5625</v>
      </c>
      <c r="D340" s="17">
        <v>46147.58333333333</v>
      </c>
      <c r="E340" s="25">
        <v>0.5</v>
      </c>
      <c r="G340" s="2"/>
      <c r="H340" s="3" t="s">
        <v>8971</v>
      </c>
      <c r="I340" s="3" t="s">
        <v>9094</v>
      </c>
      <c r="J340" s="3" t="s">
        <v>6853</v>
      </c>
      <c r="K340" s="3" t="s">
        <v>8973</v>
      </c>
      <c r="L340" s="16">
        <v>2.0</v>
      </c>
      <c r="M340" s="3" t="s">
        <v>9310</v>
      </c>
      <c r="N340" s="3" t="s">
        <v>9310</v>
      </c>
      <c r="O340" s="3" t="s">
        <v>9043</v>
      </c>
      <c r="P340" s="16">
        <v>1.0</v>
      </c>
      <c r="Q340" s="16">
        <v>0.0</v>
      </c>
      <c r="R340" s="16">
        <v>0.0</v>
      </c>
      <c r="S340" s="16">
        <v>1.0</v>
      </c>
      <c r="T340" s="3" t="s">
        <v>2616</v>
      </c>
    </row>
    <row r="341">
      <c r="A341" s="3" t="s">
        <v>9453</v>
      </c>
      <c r="B341" s="3" t="s">
        <v>9454</v>
      </c>
      <c r="C341" s="17">
        <v>46147.58333333333</v>
      </c>
      <c r="D341" s="17">
        <v>46147.60416666667</v>
      </c>
      <c r="E341" s="25">
        <v>0.5</v>
      </c>
      <c r="G341" s="3" t="s">
        <v>9455</v>
      </c>
      <c r="H341" s="3" t="s">
        <v>8971</v>
      </c>
      <c r="I341" s="3" t="s">
        <v>9077</v>
      </c>
      <c r="J341" s="3" t="s">
        <v>6950</v>
      </c>
      <c r="K341" s="3" t="s">
        <v>8973</v>
      </c>
      <c r="L341" s="16">
        <v>9.0</v>
      </c>
      <c r="M341" s="3" t="s">
        <v>8982</v>
      </c>
      <c r="N341" s="3" t="s">
        <v>8983</v>
      </c>
      <c r="O341" s="3" t="s">
        <v>9456</v>
      </c>
      <c r="P341" s="16">
        <v>2.0</v>
      </c>
      <c r="Q341" s="16">
        <v>0.0</v>
      </c>
      <c r="R341" s="16">
        <v>1.0</v>
      </c>
      <c r="S341" s="16">
        <v>6.0</v>
      </c>
      <c r="T341" s="3" t="s">
        <v>2109</v>
      </c>
    </row>
    <row r="342">
      <c r="A342" s="3" t="s">
        <v>9442</v>
      </c>
      <c r="B342" s="3" t="s">
        <v>8969</v>
      </c>
      <c r="C342" s="17">
        <v>46147.58333333333</v>
      </c>
      <c r="D342" s="17">
        <v>46147.60416666667</v>
      </c>
      <c r="E342" s="25">
        <v>0.5</v>
      </c>
      <c r="F342" s="2"/>
      <c r="G342" s="3" t="s">
        <v>8970</v>
      </c>
      <c r="H342" s="3" t="s">
        <v>8971</v>
      </c>
      <c r="I342" s="3" t="s">
        <v>9094</v>
      </c>
      <c r="J342" s="3" t="s">
        <v>6853</v>
      </c>
      <c r="K342" s="3" t="s">
        <v>8973</v>
      </c>
      <c r="L342" s="16">
        <v>3.0</v>
      </c>
      <c r="M342" s="3" t="s">
        <v>9436</v>
      </c>
      <c r="N342" s="3" t="s">
        <v>9436</v>
      </c>
      <c r="O342" s="3" t="s">
        <v>9147</v>
      </c>
      <c r="P342" s="16">
        <v>2.0</v>
      </c>
      <c r="Q342" s="16">
        <v>0.0</v>
      </c>
      <c r="R342" s="16">
        <v>0.0</v>
      </c>
      <c r="S342" s="16">
        <v>1.0</v>
      </c>
      <c r="T342" s="3" t="s">
        <v>5498</v>
      </c>
    </row>
    <row r="343">
      <c r="A343" s="3" t="s">
        <v>9384</v>
      </c>
      <c r="B343" s="3" t="s">
        <v>9015</v>
      </c>
      <c r="C343" s="17">
        <v>46148.54166666667</v>
      </c>
      <c r="D343" s="17">
        <v>46148.5625</v>
      </c>
      <c r="E343" s="25">
        <v>0.5</v>
      </c>
      <c r="F343" s="2"/>
      <c r="G343" s="2"/>
      <c r="H343" s="3" t="s">
        <v>8971</v>
      </c>
      <c r="I343" s="3" t="s">
        <v>9077</v>
      </c>
      <c r="J343" s="3" t="s">
        <v>6950</v>
      </c>
      <c r="K343" s="3" t="s">
        <v>8973</v>
      </c>
      <c r="L343" s="16">
        <v>3.0</v>
      </c>
      <c r="M343" s="3" t="s">
        <v>9016</v>
      </c>
      <c r="N343" s="3" t="s">
        <v>9016</v>
      </c>
      <c r="O343" s="3" t="s">
        <v>9017</v>
      </c>
      <c r="P343" s="16">
        <v>3.0</v>
      </c>
      <c r="Q343" s="16">
        <v>0.0</v>
      </c>
      <c r="R343" s="16">
        <v>0.0</v>
      </c>
      <c r="S343" s="16">
        <v>0.0</v>
      </c>
      <c r="T343" s="3" t="s">
        <v>1975</v>
      </c>
    </row>
    <row r="344">
      <c r="A344" s="3" t="s">
        <v>9336</v>
      </c>
      <c r="B344" s="3" t="s">
        <v>8080</v>
      </c>
      <c r="C344" s="17">
        <v>46149.39583333333</v>
      </c>
      <c r="D344" s="17">
        <v>46149.41666666667</v>
      </c>
      <c r="E344" s="25">
        <v>0.5</v>
      </c>
      <c r="G344" s="3" t="s">
        <v>9337</v>
      </c>
      <c r="H344" s="3" t="s">
        <v>8971</v>
      </c>
      <c r="I344" s="3" t="s">
        <v>9077</v>
      </c>
      <c r="J344" s="3" t="s">
        <v>9206</v>
      </c>
      <c r="K344" s="3" t="s">
        <v>8973</v>
      </c>
      <c r="L344" s="16">
        <v>7.0</v>
      </c>
      <c r="M344" s="3" t="s">
        <v>9338</v>
      </c>
      <c r="N344" s="3" t="s">
        <v>9338</v>
      </c>
      <c r="O344" s="3" t="s">
        <v>9457</v>
      </c>
      <c r="P344" s="16">
        <v>5.0</v>
      </c>
      <c r="Q344" s="16">
        <v>0.0</v>
      </c>
      <c r="R344" s="16">
        <v>0.0</v>
      </c>
      <c r="S344" s="16">
        <v>2.0</v>
      </c>
      <c r="T344" s="3" t="s">
        <v>3028</v>
      </c>
    </row>
    <row r="345">
      <c r="A345" s="3" t="s">
        <v>9262</v>
      </c>
      <c r="B345" s="3" t="s">
        <v>9263</v>
      </c>
      <c r="C345" s="17">
        <v>46149.4375</v>
      </c>
      <c r="D345" s="17">
        <v>46149.45833333333</v>
      </c>
      <c r="E345" s="25">
        <v>0.5</v>
      </c>
      <c r="G345" s="2"/>
      <c r="H345" s="3" t="s">
        <v>8971</v>
      </c>
      <c r="I345" s="3" t="s">
        <v>9077</v>
      </c>
      <c r="J345" s="3" t="s">
        <v>6950</v>
      </c>
      <c r="K345" s="3" t="s">
        <v>8973</v>
      </c>
      <c r="L345" s="16">
        <v>4.0</v>
      </c>
      <c r="M345" s="3" t="s">
        <v>9311</v>
      </c>
      <c r="N345" s="3" t="s">
        <v>9312</v>
      </c>
      <c r="O345" s="3" t="s">
        <v>9167</v>
      </c>
      <c r="P345" s="16">
        <v>4.0</v>
      </c>
      <c r="Q345" s="16">
        <v>0.0</v>
      </c>
      <c r="R345" s="16">
        <v>0.0</v>
      </c>
      <c r="S345" s="16">
        <v>0.0</v>
      </c>
      <c r="T345" s="3" t="s">
        <v>2672</v>
      </c>
    </row>
    <row r="346">
      <c r="A346" s="3" t="s">
        <v>9314</v>
      </c>
      <c r="B346" s="3" t="s">
        <v>9315</v>
      </c>
      <c r="C346" s="17">
        <v>46149.58333333333</v>
      </c>
      <c r="D346" s="17">
        <v>46149.60416666667</v>
      </c>
      <c r="E346" s="25">
        <v>0.5</v>
      </c>
      <c r="F346" s="2"/>
      <c r="G346" s="2"/>
      <c r="H346" s="3" t="s">
        <v>8971</v>
      </c>
      <c r="I346" s="3" t="s">
        <v>9077</v>
      </c>
      <c r="J346" s="3" t="s">
        <v>6950</v>
      </c>
      <c r="K346" s="3" t="s">
        <v>8973</v>
      </c>
      <c r="L346" s="16">
        <v>6.0</v>
      </c>
      <c r="M346" s="3" t="s">
        <v>9316</v>
      </c>
      <c r="N346" s="3" t="s">
        <v>9316</v>
      </c>
      <c r="O346" s="3" t="s">
        <v>9397</v>
      </c>
      <c r="P346" s="16">
        <v>1.0</v>
      </c>
      <c r="Q346" s="16">
        <v>3.0</v>
      </c>
      <c r="R346" s="16">
        <v>0.0</v>
      </c>
      <c r="S346" s="16">
        <v>2.0</v>
      </c>
      <c r="T346" s="3" t="s">
        <v>5285</v>
      </c>
    </row>
    <row r="347">
      <c r="A347" s="3" t="s">
        <v>9410</v>
      </c>
      <c r="B347" s="3" t="s">
        <v>7147</v>
      </c>
      <c r="C347" s="17">
        <v>46153.54166666667</v>
      </c>
      <c r="D347" s="17">
        <v>46153.5625</v>
      </c>
      <c r="E347" s="25">
        <v>0.5</v>
      </c>
      <c r="F347" s="13" t="s">
        <v>9411</v>
      </c>
      <c r="G347" s="3" t="s">
        <v>9412</v>
      </c>
      <c r="H347" s="3" t="s">
        <v>8971</v>
      </c>
      <c r="I347" s="3" t="s">
        <v>9094</v>
      </c>
      <c r="J347" s="3" t="s">
        <v>6853</v>
      </c>
      <c r="K347" s="3" t="s">
        <v>8973</v>
      </c>
      <c r="L347" s="16">
        <v>4.0</v>
      </c>
      <c r="M347" s="3" t="s">
        <v>9349</v>
      </c>
      <c r="N347" s="3" t="s">
        <v>9349</v>
      </c>
      <c r="O347" s="3" t="s">
        <v>9002</v>
      </c>
      <c r="P347" s="16">
        <v>1.0</v>
      </c>
      <c r="Q347" s="16">
        <v>0.0</v>
      </c>
      <c r="R347" s="16">
        <v>0.0</v>
      </c>
      <c r="S347" s="16">
        <v>3.0</v>
      </c>
      <c r="T347" s="3" t="s">
        <v>1725</v>
      </c>
    </row>
    <row r="348">
      <c r="A348" s="3" t="s">
        <v>9325</v>
      </c>
      <c r="B348" s="3" t="s">
        <v>9000</v>
      </c>
      <c r="C348" s="17">
        <v>46153.58333333333</v>
      </c>
      <c r="D348" s="17">
        <v>46153.60416666667</v>
      </c>
      <c r="E348" s="25">
        <v>0.5</v>
      </c>
      <c r="G348" s="2"/>
      <c r="H348" s="3" t="s">
        <v>8971</v>
      </c>
      <c r="I348" s="3" t="s">
        <v>8972</v>
      </c>
      <c r="J348" s="3" t="s">
        <v>6950</v>
      </c>
      <c r="K348" s="3" t="s">
        <v>8973</v>
      </c>
      <c r="L348" s="16">
        <v>4.0</v>
      </c>
      <c r="M348" s="3" t="s">
        <v>9001</v>
      </c>
      <c r="N348" s="3" t="s">
        <v>9001</v>
      </c>
      <c r="O348" s="3" t="s">
        <v>9002</v>
      </c>
      <c r="P348" s="16">
        <v>1.0</v>
      </c>
      <c r="Q348" s="16">
        <v>0.0</v>
      </c>
      <c r="R348" s="16">
        <v>0.0</v>
      </c>
      <c r="S348" s="16">
        <v>3.0</v>
      </c>
      <c r="T348" s="3" t="s">
        <v>2594</v>
      </c>
    </row>
    <row r="349">
      <c r="A349" s="3" t="s">
        <v>9223</v>
      </c>
      <c r="B349" s="3" t="s">
        <v>8418</v>
      </c>
      <c r="C349" s="17">
        <v>46153.60416666667</v>
      </c>
      <c r="D349" s="17">
        <v>46153.625</v>
      </c>
      <c r="E349" s="25">
        <v>0.5</v>
      </c>
      <c r="F349" s="2"/>
      <c r="G349" s="3" t="s">
        <v>9304</v>
      </c>
      <c r="H349" s="3" t="s">
        <v>8971</v>
      </c>
      <c r="I349" s="3" t="s">
        <v>9094</v>
      </c>
      <c r="J349" s="3" t="s">
        <v>6853</v>
      </c>
      <c r="K349" s="3" t="s">
        <v>8973</v>
      </c>
      <c r="L349" s="16">
        <v>2.0</v>
      </c>
      <c r="M349" s="3" t="s">
        <v>9225</v>
      </c>
      <c r="N349" s="3" t="s">
        <v>9225</v>
      </c>
      <c r="O349" s="3" t="s">
        <v>9010</v>
      </c>
      <c r="P349" s="16">
        <v>0.0</v>
      </c>
      <c r="Q349" s="16">
        <v>0.0</v>
      </c>
      <c r="R349" s="16">
        <v>0.0</v>
      </c>
      <c r="S349" s="16">
        <v>2.0</v>
      </c>
      <c r="T349" s="3" t="s">
        <v>2868</v>
      </c>
    </row>
    <row r="350">
      <c r="A350" s="3" t="s">
        <v>9416</v>
      </c>
      <c r="B350" s="3" t="s">
        <v>9417</v>
      </c>
      <c r="C350" s="17">
        <v>46154.45833333333</v>
      </c>
      <c r="D350" s="17">
        <v>46154.47916666667</v>
      </c>
      <c r="E350" s="25">
        <v>0.5</v>
      </c>
      <c r="F350" s="2"/>
      <c r="G350" s="3" t="s">
        <v>9418</v>
      </c>
      <c r="H350" s="3" t="s">
        <v>8971</v>
      </c>
      <c r="I350" s="3" t="s">
        <v>9094</v>
      </c>
      <c r="J350" s="3" t="s">
        <v>6853</v>
      </c>
      <c r="K350" s="3" t="s">
        <v>8973</v>
      </c>
      <c r="L350" s="16">
        <v>5.0</v>
      </c>
      <c r="M350" s="3" t="s">
        <v>9480</v>
      </c>
      <c r="N350" s="3" t="s">
        <v>9480</v>
      </c>
      <c r="O350" s="3" t="s">
        <v>9432</v>
      </c>
      <c r="P350" s="16">
        <v>0.0</v>
      </c>
      <c r="Q350" s="16">
        <v>0.0</v>
      </c>
      <c r="R350" s="16">
        <v>0.0</v>
      </c>
      <c r="S350" s="16">
        <v>5.0</v>
      </c>
      <c r="T350" s="3" t="s">
        <v>5602</v>
      </c>
    </row>
    <row r="351">
      <c r="A351" s="3" t="s">
        <v>9307</v>
      </c>
      <c r="B351" s="3" t="s">
        <v>9137</v>
      </c>
      <c r="C351" s="17">
        <v>46154.5</v>
      </c>
      <c r="D351" s="17">
        <v>46154.52083333333</v>
      </c>
      <c r="E351" s="25">
        <v>0.5</v>
      </c>
      <c r="F351" s="2"/>
      <c r="G351" s="3" t="s">
        <v>9138</v>
      </c>
      <c r="H351" s="3" t="s">
        <v>8971</v>
      </c>
      <c r="I351" s="3" t="s">
        <v>9077</v>
      </c>
      <c r="J351" s="3" t="s">
        <v>6950</v>
      </c>
      <c r="K351" s="3" t="s">
        <v>8973</v>
      </c>
      <c r="L351" s="16">
        <v>3.0</v>
      </c>
      <c r="M351" s="3" t="s">
        <v>9140</v>
      </c>
      <c r="N351" s="3" t="s">
        <v>9141</v>
      </c>
      <c r="O351" s="3" t="s">
        <v>9308</v>
      </c>
      <c r="P351" s="16">
        <v>2.0</v>
      </c>
      <c r="Q351" s="16">
        <v>0.0</v>
      </c>
      <c r="R351" s="16">
        <v>1.0</v>
      </c>
      <c r="S351" s="16">
        <v>0.0</v>
      </c>
      <c r="T351" s="3" t="s">
        <v>4466</v>
      </c>
    </row>
    <row r="352">
      <c r="A352" s="3" t="s">
        <v>9309</v>
      </c>
      <c r="B352" s="3" t="s">
        <v>6844</v>
      </c>
      <c r="C352" s="17">
        <v>46154.5625</v>
      </c>
      <c r="D352" s="17">
        <v>46154.58333333333</v>
      </c>
      <c r="E352" s="25">
        <v>0.5</v>
      </c>
      <c r="G352" s="2"/>
      <c r="H352" s="3" t="s">
        <v>8971</v>
      </c>
      <c r="I352" s="3" t="s">
        <v>9094</v>
      </c>
      <c r="J352" s="3" t="s">
        <v>6853</v>
      </c>
      <c r="K352" s="3" t="s">
        <v>8973</v>
      </c>
      <c r="L352" s="16">
        <v>2.0</v>
      </c>
      <c r="M352" s="3" t="s">
        <v>9310</v>
      </c>
      <c r="N352" s="3" t="s">
        <v>9310</v>
      </c>
      <c r="O352" s="3" t="s">
        <v>9043</v>
      </c>
      <c r="P352" s="16">
        <v>1.0</v>
      </c>
      <c r="Q352" s="16">
        <v>0.0</v>
      </c>
      <c r="R352" s="16">
        <v>0.0</v>
      </c>
      <c r="S352" s="16">
        <v>1.0</v>
      </c>
      <c r="T352" s="3" t="s">
        <v>2616</v>
      </c>
    </row>
    <row r="353">
      <c r="A353" s="3" t="s">
        <v>9468</v>
      </c>
      <c r="B353" s="3" t="s">
        <v>9012</v>
      </c>
      <c r="C353" s="17">
        <v>46156.35416666667</v>
      </c>
      <c r="D353" s="17">
        <v>46156.58333333333</v>
      </c>
      <c r="E353" s="25">
        <v>5.5</v>
      </c>
      <c r="F353" s="2"/>
      <c r="G353" s="3" t="s">
        <v>9013</v>
      </c>
      <c r="H353" s="3" t="s">
        <v>8971</v>
      </c>
      <c r="I353" s="3" t="s">
        <v>9006</v>
      </c>
      <c r="J353" s="3" t="s">
        <v>9007</v>
      </c>
      <c r="K353" s="3" t="s">
        <v>8973</v>
      </c>
      <c r="L353" s="16">
        <v>2.0</v>
      </c>
      <c r="M353" s="3" t="s">
        <v>9008</v>
      </c>
      <c r="N353" s="3" t="s">
        <v>9009</v>
      </c>
      <c r="O353" s="3" t="s">
        <v>9010</v>
      </c>
      <c r="P353" s="16">
        <v>0.0</v>
      </c>
      <c r="Q353" s="16">
        <v>0.0</v>
      </c>
      <c r="R353" s="16">
        <v>0.0</v>
      </c>
      <c r="S353" s="16">
        <v>2.0</v>
      </c>
      <c r="T353" s="2"/>
    </row>
    <row r="354">
      <c r="A354" s="3" t="s">
        <v>9481</v>
      </c>
      <c r="B354" s="3" t="s">
        <v>7310</v>
      </c>
      <c r="C354" s="17">
        <v>46156.41666666667</v>
      </c>
      <c r="D354" s="17">
        <v>46156.4375</v>
      </c>
      <c r="E354" s="25">
        <v>0.5</v>
      </c>
      <c r="F354" s="2"/>
      <c r="G354" s="3" t="s">
        <v>9482</v>
      </c>
      <c r="H354" s="3" t="s">
        <v>8971</v>
      </c>
      <c r="I354" s="3" t="s">
        <v>9094</v>
      </c>
      <c r="J354" s="3" t="s">
        <v>6853</v>
      </c>
      <c r="K354" s="3" t="s">
        <v>8973</v>
      </c>
      <c r="L354" s="16">
        <v>3.0</v>
      </c>
      <c r="M354" s="3" t="s">
        <v>9483</v>
      </c>
      <c r="N354" s="3" t="s">
        <v>9483</v>
      </c>
      <c r="O354" s="3" t="s">
        <v>9147</v>
      </c>
      <c r="P354" s="16">
        <v>2.0</v>
      </c>
      <c r="Q354" s="16">
        <v>0.0</v>
      </c>
      <c r="R354" s="16">
        <v>0.0</v>
      </c>
      <c r="S354" s="16">
        <v>1.0</v>
      </c>
      <c r="T354" s="3" t="s">
        <v>5815</v>
      </c>
    </row>
    <row r="355">
      <c r="A355" s="3" t="s">
        <v>9459</v>
      </c>
      <c r="B355" s="3" t="s">
        <v>9460</v>
      </c>
      <c r="C355" s="17">
        <v>46156.5</v>
      </c>
      <c r="D355" s="17">
        <v>46156.52083333333</v>
      </c>
      <c r="E355" s="25">
        <v>0.5</v>
      </c>
      <c r="F355" s="2"/>
      <c r="G355" s="2"/>
      <c r="H355" s="3" t="s">
        <v>8971</v>
      </c>
      <c r="I355" s="3" t="s">
        <v>9094</v>
      </c>
      <c r="J355" s="3" t="s">
        <v>6853</v>
      </c>
      <c r="K355" s="3" t="s">
        <v>8973</v>
      </c>
      <c r="L355" s="16">
        <v>1.0</v>
      </c>
      <c r="M355" s="3" t="s">
        <v>8912</v>
      </c>
      <c r="N355" s="3" t="s">
        <v>8912</v>
      </c>
      <c r="O355" s="3" t="s">
        <v>9077</v>
      </c>
      <c r="P355" s="16">
        <v>1.0</v>
      </c>
      <c r="Q355" s="16">
        <v>0.0</v>
      </c>
      <c r="R355" s="16">
        <v>0.0</v>
      </c>
      <c r="S355" s="16">
        <v>0.0</v>
      </c>
      <c r="T355" s="3" t="s">
        <v>1195</v>
      </c>
    </row>
    <row r="356">
      <c r="A356" s="3" t="s">
        <v>9340</v>
      </c>
      <c r="B356" s="3" t="s">
        <v>9176</v>
      </c>
      <c r="C356" s="17">
        <v>46156.52083333333</v>
      </c>
      <c r="D356" s="17">
        <v>46156.54166666667</v>
      </c>
      <c r="E356" s="25">
        <v>0.5</v>
      </c>
      <c r="F356" s="2"/>
      <c r="G356" s="2"/>
      <c r="H356" s="3" t="s">
        <v>8971</v>
      </c>
      <c r="I356" s="3" t="s">
        <v>9077</v>
      </c>
      <c r="J356" s="3" t="s">
        <v>6950</v>
      </c>
      <c r="K356" s="3" t="s">
        <v>8973</v>
      </c>
      <c r="L356" s="16">
        <v>5.0</v>
      </c>
      <c r="M356" s="3" t="s">
        <v>9341</v>
      </c>
      <c r="N356" s="3" t="s">
        <v>9341</v>
      </c>
      <c r="O356" s="3" t="s">
        <v>9342</v>
      </c>
      <c r="P356" s="16">
        <v>4.0</v>
      </c>
      <c r="Q356" s="16">
        <v>0.0</v>
      </c>
      <c r="R356" s="16">
        <v>0.0</v>
      </c>
      <c r="S356" s="16">
        <v>1.0</v>
      </c>
      <c r="T356" s="2"/>
    </row>
    <row r="357">
      <c r="A357" s="3" t="s">
        <v>9405</v>
      </c>
      <c r="B357" s="3" t="s">
        <v>9406</v>
      </c>
      <c r="C357" s="17">
        <v>46157.41666666667</v>
      </c>
      <c r="D357" s="17">
        <v>46157.4375</v>
      </c>
      <c r="E357" s="25">
        <v>0.5</v>
      </c>
      <c r="G357" s="2"/>
      <c r="H357" s="3" t="s">
        <v>8971</v>
      </c>
      <c r="I357" s="3" t="s">
        <v>9077</v>
      </c>
      <c r="J357" s="3" t="s">
        <v>6950</v>
      </c>
      <c r="K357" s="3" t="s">
        <v>8973</v>
      </c>
      <c r="L357" s="16">
        <v>5.0</v>
      </c>
      <c r="M357" s="3" t="s">
        <v>9484</v>
      </c>
      <c r="N357" s="3" t="s">
        <v>9484</v>
      </c>
      <c r="O357" s="3" t="s">
        <v>9342</v>
      </c>
      <c r="P357" s="16">
        <v>4.0</v>
      </c>
      <c r="Q357" s="16">
        <v>0.0</v>
      </c>
      <c r="R357" s="16">
        <v>0.0</v>
      </c>
      <c r="S357" s="16">
        <v>1.0</v>
      </c>
      <c r="T357" s="3" t="s">
        <v>5721</v>
      </c>
    </row>
    <row r="358">
      <c r="A358" s="3" t="s">
        <v>9441</v>
      </c>
      <c r="B358" s="3" t="s">
        <v>7840</v>
      </c>
      <c r="C358" s="17">
        <v>46160.58333333333</v>
      </c>
      <c r="D358" s="17">
        <v>46160.60416666667</v>
      </c>
      <c r="E358" s="25">
        <v>0.5</v>
      </c>
      <c r="F358" s="2"/>
      <c r="G358" s="2"/>
      <c r="H358" s="3" t="s">
        <v>8971</v>
      </c>
      <c r="I358" s="3" t="s">
        <v>9094</v>
      </c>
      <c r="J358" s="3" t="s">
        <v>6853</v>
      </c>
      <c r="K358" s="3" t="s">
        <v>8973</v>
      </c>
      <c r="L358" s="16">
        <v>4.0</v>
      </c>
      <c r="M358" s="3" t="s">
        <v>9166</v>
      </c>
      <c r="N358" s="3" t="s">
        <v>9166</v>
      </c>
      <c r="O358" s="3" t="s">
        <v>9002</v>
      </c>
      <c r="P358" s="16">
        <v>1.0</v>
      </c>
      <c r="Q358" s="16">
        <v>0.0</v>
      </c>
      <c r="R358" s="16">
        <v>0.0</v>
      </c>
      <c r="S358" s="16">
        <v>3.0</v>
      </c>
      <c r="T358" s="3" t="s">
        <v>5544</v>
      </c>
    </row>
    <row r="359">
      <c r="A359" s="3" t="s">
        <v>9437</v>
      </c>
      <c r="B359" s="3" t="s">
        <v>9438</v>
      </c>
      <c r="C359" s="17">
        <v>46160.60416666667</v>
      </c>
      <c r="D359" s="17">
        <v>46160.625</v>
      </c>
      <c r="E359" s="25">
        <v>0.5</v>
      </c>
      <c r="F359" s="2"/>
      <c r="G359" s="2"/>
      <c r="H359" s="3" t="s">
        <v>8971</v>
      </c>
      <c r="I359" s="3" t="s">
        <v>9006</v>
      </c>
      <c r="J359" s="3" t="s">
        <v>6950</v>
      </c>
      <c r="K359" s="3" t="s">
        <v>8973</v>
      </c>
      <c r="L359" s="16">
        <v>4.0</v>
      </c>
      <c r="M359" s="3" t="s">
        <v>9439</v>
      </c>
      <c r="N359" s="3" t="s">
        <v>9439</v>
      </c>
      <c r="O359" s="3" t="s">
        <v>9440</v>
      </c>
      <c r="P359" s="16">
        <v>2.0</v>
      </c>
      <c r="Q359" s="16">
        <v>0.0</v>
      </c>
      <c r="R359" s="16">
        <v>0.0</v>
      </c>
      <c r="S359" s="16">
        <v>2.0</v>
      </c>
      <c r="T359" s="3" t="s">
        <v>3616</v>
      </c>
    </row>
    <row r="360">
      <c r="A360" s="3" t="s">
        <v>9223</v>
      </c>
      <c r="B360" s="3" t="s">
        <v>8418</v>
      </c>
      <c r="C360" s="17">
        <v>46160.60416666667</v>
      </c>
      <c r="D360" s="17">
        <v>46160.625</v>
      </c>
      <c r="E360" s="25">
        <v>0.5</v>
      </c>
      <c r="F360" s="2"/>
      <c r="G360" s="3" t="s">
        <v>9304</v>
      </c>
      <c r="H360" s="3" t="s">
        <v>8971</v>
      </c>
      <c r="I360" s="3" t="s">
        <v>9094</v>
      </c>
      <c r="J360" s="3" t="s">
        <v>6853</v>
      </c>
      <c r="K360" s="3" t="s">
        <v>8973</v>
      </c>
      <c r="L360" s="16">
        <v>2.0</v>
      </c>
      <c r="M360" s="3" t="s">
        <v>9225</v>
      </c>
      <c r="N360" s="3" t="s">
        <v>9225</v>
      </c>
      <c r="O360" s="3" t="s">
        <v>9010</v>
      </c>
      <c r="P360" s="16">
        <v>0.0</v>
      </c>
      <c r="Q360" s="16">
        <v>0.0</v>
      </c>
      <c r="R360" s="16">
        <v>0.0</v>
      </c>
      <c r="S360" s="16">
        <v>2.0</v>
      </c>
      <c r="T360" s="3" t="s">
        <v>2868</v>
      </c>
    </row>
    <row r="361">
      <c r="A361" s="3" t="s">
        <v>9307</v>
      </c>
      <c r="B361" s="3" t="s">
        <v>9137</v>
      </c>
      <c r="C361" s="17">
        <v>46161.5</v>
      </c>
      <c r="D361" s="17">
        <v>46161.52083333333</v>
      </c>
      <c r="E361" s="25">
        <v>0.5</v>
      </c>
      <c r="F361" s="2"/>
      <c r="G361" s="3" t="s">
        <v>9138</v>
      </c>
      <c r="H361" s="3" t="s">
        <v>8971</v>
      </c>
      <c r="I361" s="3" t="s">
        <v>9077</v>
      </c>
      <c r="J361" s="3" t="s">
        <v>6950</v>
      </c>
      <c r="K361" s="3" t="s">
        <v>8973</v>
      </c>
      <c r="L361" s="16">
        <v>3.0</v>
      </c>
      <c r="M361" s="3" t="s">
        <v>9140</v>
      </c>
      <c r="N361" s="3" t="s">
        <v>9141</v>
      </c>
      <c r="O361" s="3" t="s">
        <v>9308</v>
      </c>
      <c r="P361" s="16">
        <v>2.0</v>
      </c>
      <c r="Q361" s="16">
        <v>0.0</v>
      </c>
      <c r="R361" s="16">
        <v>1.0</v>
      </c>
      <c r="S361" s="16">
        <v>0.0</v>
      </c>
      <c r="T361" s="3" t="s">
        <v>4466</v>
      </c>
    </row>
    <row r="362">
      <c r="A362" s="3" t="s">
        <v>9309</v>
      </c>
      <c r="B362" s="3" t="s">
        <v>6844</v>
      </c>
      <c r="C362" s="17">
        <v>46161.5625</v>
      </c>
      <c r="D362" s="17">
        <v>46161.58333333333</v>
      </c>
      <c r="E362" s="25">
        <v>0.5</v>
      </c>
      <c r="G362" s="2"/>
      <c r="H362" s="3" t="s">
        <v>8971</v>
      </c>
      <c r="I362" s="3" t="s">
        <v>9094</v>
      </c>
      <c r="J362" s="3" t="s">
        <v>6853</v>
      </c>
      <c r="K362" s="3" t="s">
        <v>8973</v>
      </c>
      <c r="L362" s="16">
        <v>2.0</v>
      </c>
      <c r="M362" s="3" t="s">
        <v>9310</v>
      </c>
      <c r="N362" s="3" t="s">
        <v>9310</v>
      </c>
      <c r="O362" s="3" t="s">
        <v>9043</v>
      </c>
      <c r="P362" s="16">
        <v>1.0</v>
      </c>
      <c r="Q362" s="16">
        <v>0.0</v>
      </c>
      <c r="R362" s="16">
        <v>0.0</v>
      </c>
      <c r="S362" s="16">
        <v>1.0</v>
      </c>
      <c r="T362" s="3" t="s">
        <v>2616</v>
      </c>
    </row>
    <row r="363">
      <c r="A363" s="3" t="s">
        <v>9442</v>
      </c>
      <c r="B363" s="3" t="s">
        <v>8969</v>
      </c>
      <c r="C363" s="17">
        <v>46161.58333333333</v>
      </c>
      <c r="D363" s="17">
        <v>46161.60416666667</v>
      </c>
      <c r="E363" s="25">
        <v>0.5</v>
      </c>
      <c r="G363" s="3" t="s">
        <v>8970</v>
      </c>
      <c r="H363" s="3" t="s">
        <v>8971</v>
      </c>
      <c r="I363" s="3" t="s">
        <v>9094</v>
      </c>
      <c r="J363" s="3" t="s">
        <v>6853</v>
      </c>
      <c r="K363" s="3" t="s">
        <v>8973</v>
      </c>
      <c r="L363" s="16">
        <v>3.0</v>
      </c>
      <c r="M363" s="3" t="s">
        <v>9436</v>
      </c>
      <c r="N363" s="3" t="s">
        <v>9436</v>
      </c>
      <c r="O363" s="3" t="s">
        <v>9147</v>
      </c>
      <c r="P363" s="16">
        <v>2.0</v>
      </c>
      <c r="Q363" s="16">
        <v>0.0</v>
      </c>
      <c r="R363" s="16">
        <v>0.0</v>
      </c>
      <c r="S363" s="16">
        <v>1.0</v>
      </c>
      <c r="T363" s="3" t="s">
        <v>5498</v>
      </c>
    </row>
    <row r="364">
      <c r="A364" s="3" t="s">
        <v>9384</v>
      </c>
      <c r="B364" s="3" t="s">
        <v>9015</v>
      </c>
      <c r="C364" s="17">
        <v>46162.54166666667</v>
      </c>
      <c r="D364" s="17">
        <v>46162.5625</v>
      </c>
      <c r="E364" s="25">
        <v>0.5</v>
      </c>
      <c r="F364" s="2"/>
      <c r="G364" s="2"/>
      <c r="H364" s="3" t="s">
        <v>8971</v>
      </c>
      <c r="I364" s="3" t="s">
        <v>9077</v>
      </c>
      <c r="J364" s="3" t="s">
        <v>6950</v>
      </c>
      <c r="K364" s="3" t="s">
        <v>8973</v>
      </c>
      <c r="L364" s="16">
        <v>3.0</v>
      </c>
      <c r="M364" s="3" t="s">
        <v>9016</v>
      </c>
      <c r="N364" s="3" t="s">
        <v>9016</v>
      </c>
      <c r="O364" s="3" t="s">
        <v>9017</v>
      </c>
      <c r="P364" s="16">
        <v>3.0</v>
      </c>
      <c r="Q364" s="16">
        <v>0.0</v>
      </c>
      <c r="R364" s="16">
        <v>0.0</v>
      </c>
      <c r="S364" s="16">
        <v>0.0</v>
      </c>
      <c r="T364" s="3" t="s">
        <v>1975</v>
      </c>
    </row>
    <row r="365">
      <c r="A365" s="3" t="s">
        <v>9467</v>
      </c>
      <c r="B365" s="3" t="s">
        <v>9004</v>
      </c>
      <c r="C365" s="17">
        <v>46163.3125</v>
      </c>
      <c r="D365" s="17">
        <v>46163.35416666667</v>
      </c>
      <c r="E365" s="25">
        <v>1.0</v>
      </c>
      <c r="F365" s="3" t="s">
        <v>9005</v>
      </c>
      <c r="G365" s="2"/>
      <c r="H365" s="3" t="s">
        <v>8971</v>
      </c>
      <c r="I365" s="3" t="s">
        <v>9006</v>
      </c>
      <c r="J365" s="3" t="s">
        <v>9007</v>
      </c>
      <c r="K365" s="3" t="s">
        <v>8973</v>
      </c>
      <c r="L365" s="16">
        <v>2.0</v>
      </c>
      <c r="M365" s="3" t="s">
        <v>9008</v>
      </c>
      <c r="N365" s="3" t="s">
        <v>9009</v>
      </c>
      <c r="O365" s="3" t="s">
        <v>9010</v>
      </c>
      <c r="P365" s="16">
        <v>0.0</v>
      </c>
      <c r="Q365" s="16">
        <v>0.0</v>
      </c>
      <c r="R365" s="16">
        <v>0.0</v>
      </c>
      <c r="S365" s="16">
        <v>2.0</v>
      </c>
      <c r="T365" s="2"/>
    </row>
    <row r="366">
      <c r="A366" s="3" t="s">
        <v>9262</v>
      </c>
      <c r="B366" s="3" t="s">
        <v>9263</v>
      </c>
      <c r="C366" s="17">
        <v>46163.4375</v>
      </c>
      <c r="D366" s="17">
        <v>46163.45833333333</v>
      </c>
      <c r="E366" s="25">
        <v>0.5</v>
      </c>
      <c r="G366" s="2"/>
      <c r="H366" s="3" t="s">
        <v>8971</v>
      </c>
      <c r="I366" s="3" t="s">
        <v>9077</v>
      </c>
      <c r="J366" s="3" t="s">
        <v>6950</v>
      </c>
      <c r="K366" s="3" t="s">
        <v>8973</v>
      </c>
      <c r="L366" s="16">
        <v>4.0</v>
      </c>
      <c r="M366" s="3" t="s">
        <v>9311</v>
      </c>
      <c r="N366" s="3" t="s">
        <v>9312</v>
      </c>
      <c r="O366" s="3" t="s">
        <v>9167</v>
      </c>
      <c r="P366" s="16">
        <v>4.0</v>
      </c>
      <c r="Q366" s="16">
        <v>0.0</v>
      </c>
      <c r="R366" s="16">
        <v>0.0</v>
      </c>
      <c r="S366" s="16">
        <v>0.0</v>
      </c>
      <c r="T366" s="3" t="s">
        <v>2672</v>
      </c>
    </row>
    <row r="367">
      <c r="A367" s="3" t="s">
        <v>9314</v>
      </c>
      <c r="B367" s="3" t="s">
        <v>9315</v>
      </c>
      <c r="C367" s="17">
        <v>46163.58333333333</v>
      </c>
      <c r="D367" s="17">
        <v>46163.60416666667</v>
      </c>
      <c r="E367" s="25">
        <v>0.5</v>
      </c>
      <c r="G367" s="2"/>
      <c r="H367" s="3" t="s">
        <v>8971</v>
      </c>
      <c r="I367" s="3" t="s">
        <v>9077</v>
      </c>
      <c r="J367" s="3" t="s">
        <v>6950</v>
      </c>
      <c r="K367" s="3" t="s">
        <v>8973</v>
      </c>
      <c r="L367" s="16">
        <v>6.0</v>
      </c>
      <c r="M367" s="3" t="s">
        <v>9316</v>
      </c>
      <c r="N367" s="3" t="s">
        <v>9316</v>
      </c>
      <c r="O367" s="3" t="s">
        <v>9397</v>
      </c>
      <c r="P367" s="16">
        <v>1.0</v>
      </c>
      <c r="Q367" s="16">
        <v>3.0</v>
      </c>
      <c r="R367" s="16">
        <v>0.0</v>
      </c>
      <c r="S367" s="16">
        <v>2.0</v>
      </c>
      <c r="T367" s="3" t="s">
        <v>5285</v>
      </c>
    </row>
    <row r="368">
      <c r="A368" s="3" t="s">
        <v>9280</v>
      </c>
      <c r="B368" s="3" t="s">
        <v>9281</v>
      </c>
      <c r="C368" s="17">
        <v>46163.70833333333</v>
      </c>
      <c r="D368" s="17">
        <v>46163.72916666667</v>
      </c>
      <c r="E368" s="25">
        <v>0.5</v>
      </c>
      <c r="F368" s="2"/>
      <c r="G368" s="3" t="s">
        <v>9282</v>
      </c>
      <c r="H368" s="3" t="s">
        <v>8971</v>
      </c>
      <c r="I368" s="3" t="s">
        <v>9077</v>
      </c>
      <c r="J368" s="3" t="s">
        <v>9283</v>
      </c>
      <c r="K368" s="3" t="s">
        <v>8973</v>
      </c>
      <c r="L368" s="16">
        <v>15.0</v>
      </c>
      <c r="M368" s="3" t="s">
        <v>9284</v>
      </c>
      <c r="N368" s="3" t="s">
        <v>9285</v>
      </c>
      <c r="O368" s="3" t="s">
        <v>9404</v>
      </c>
      <c r="P368" s="16">
        <v>9.0</v>
      </c>
      <c r="Q368" s="16">
        <v>0.0</v>
      </c>
      <c r="R368" s="16">
        <v>1.0</v>
      </c>
      <c r="S368" s="16">
        <v>5.0</v>
      </c>
      <c r="T368" s="3" t="s">
        <v>2922</v>
      </c>
    </row>
    <row r="369">
      <c r="A369" s="3" t="s">
        <v>9410</v>
      </c>
      <c r="B369" s="3" t="s">
        <v>7147</v>
      </c>
      <c r="C369" s="17">
        <v>46167.54166666667</v>
      </c>
      <c r="D369" s="17">
        <v>46167.5625</v>
      </c>
      <c r="E369" s="25">
        <v>0.5</v>
      </c>
      <c r="F369" s="13" t="s">
        <v>9411</v>
      </c>
      <c r="G369" s="3" t="s">
        <v>9412</v>
      </c>
      <c r="H369" s="3" t="s">
        <v>8971</v>
      </c>
      <c r="I369" s="3" t="s">
        <v>9094</v>
      </c>
      <c r="J369" s="3" t="s">
        <v>6853</v>
      </c>
      <c r="K369" s="3" t="s">
        <v>8973</v>
      </c>
      <c r="L369" s="16">
        <v>4.0</v>
      </c>
      <c r="M369" s="3" t="s">
        <v>9349</v>
      </c>
      <c r="N369" s="3" t="s">
        <v>9349</v>
      </c>
      <c r="O369" s="3" t="s">
        <v>9002</v>
      </c>
      <c r="P369" s="16">
        <v>1.0</v>
      </c>
      <c r="Q369" s="16">
        <v>0.0</v>
      </c>
      <c r="R369" s="16">
        <v>0.0</v>
      </c>
      <c r="S369" s="16">
        <v>3.0</v>
      </c>
      <c r="T369" s="3" t="s">
        <v>1725</v>
      </c>
    </row>
    <row r="370">
      <c r="A370" s="3" t="s">
        <v>9325</v>
      </c>
      <c r="B370" s="3" t="s">
        <v>9000</v>
      </c>
      <c r="C370" s="17">
        <v>46167.58333333333</v>
      </c>
      <c r="D370" s="17">
        <v>46167.60416666667</v>
      </c>
      <c r="E370" s="25">
        <v>0.5</v>
      </c>
      <c r="G370" s="2"/>
      <c r="H370" s="3" t="s">
        <v>8971</v>
      </c>
      <c r="I370" s="3" t="s">
        <v>8972</v>
      </c>
      <c r="J370" s="3" t="s">
        <v>6950</v>
      </c>
      <c r="K370" s="3" t="s">
        <v>8973</v>
      </c>
      <c r="L370" s="16">
        <v>4.0</v>
      </c>
      <c r="M370" s="3" t="s">
        <v>9001</v>
      </c>
      <c r="N370" s="3" t="s">
        <v>9001</v>
      </c>
      <c r="O370" s="3" t="s">
        <v>9002</v>
      </c>
      <c r="P370" s="16">
        <v>1.0</v>
      </c>
      <c r="Q370" s="16">
        <v>0.0</v>
      </c>
      <c r="R370" s="16">
        <v>0.0</v>
      </c>
      <c r="S370" s="16">
        <v>3.0</v>
      </c>
      <c r="T370" s="3" t="s">
        <v>2594</v>
      </c>
    </row>
    <row r="371">
      <c r="A371" s="3" t="s">
        <v>9223</v>
      </c>
      <c r="B371" s="3" t="s">
        <v>8418</v>
      </c>
      <c r="C371" s="17">
        <v>46167.60416666667</v>
      </c>
      <c r="D371" s="17">
        <v>46167.625</v>
      </c>
      <c r="E371" s="25">
        <v>0.5</v>
      </c>
      <c r="F371" s="2"/>
      <c r="G371" s="3" t="s">
        <v>9304</v>
      </c>
      <c r="H371" s="3" t="s">
        <v>8971</v>
      </c>
      <c r="I371" s="3" t="s">
        <v>9094</v>
      </c>
      <c r="J371" s="3" t="s">
        <v>6853</v>
      </c>
      <c r="K371" s="3" t="s">
        <v>8973</v>
      </c>
      <c r="L371" s="16">
        <v>2.0</v>
      </c>
      <c r="M371" s="3" t="s">
        <v>9225</v>
      </c>
      <c r="N371" s="3" t="s">
        <v>9225</v>
      </c>
      <c r="O371" s="3" t="s">
        <v>9010</v>
      </c>
      <c r="P371" s="16">
        <v>0.0</v>
      </c>
      <c r="Q371" s="16">
        <v>0.0</v>
      </c>
      <c r="R371" s="16">
        <v>0.0</v>
      </c>
      <c r="S371" s="16">
        <v>2.0</v>
      </c>
      <c r="T371" s="3" t="s">
        <v>2868</v>
      </c>
    </row>
    <row r="372">
      <c r="A372" s="3" t="s">
        <v>9307</v>
      </c>
      <c r="B372" s="3" t="s">
        <v>9137</v>
      </c>
      <c r="C372" s="17">
        <v>46168.5</v>
      </c>
      <c r="D372" s="17">
        <v>46168.52083333333</v>
      </c>
      <c r="E372" s="25">
        <v>0.5</v>
      </c>
      <c r="F372" s="2"/>
      <c r="G372" s="3" t="s">
        <v>9138</v>
      </c>
      <c r="H372" s="3" t="s">
        <v>8971</v>
      </c>
      <c r="I372" s="3" t="s">
        <v>9077</v>
      </c>
      <c r="J372" s="3" t="s">
        <v>6950</v>
      </c>
      <c r="K372" s="3" t="s">
        <v>8973</v>
      </c>
      <c r="L372" s="16">
        <v>3.0</v>
      </c>
      <c r="M372" s="3" t="s">
        <v>9140</v>
      </c>
      <c r="N372" s="3" t="s">
        <v>9141</v>
      </c>
      <c r="O372" s="3" t="s">
        <v>9308</v>
      </c>
      <c r="P372" s="16">
        <v>2.0</v>
      </c>
      <c r="Q372" s="16">
        <v>0.0</v>
      </c>
      <c r="R372" s="16">
        <v>1.0</v>
      </c>
      <c r="S372" s="16">
        <v>0.0</v>
      </c>
      <c r="T372" s="3" t="s">
        <v>4466</v>
      </c>
    </row>
    <row r="373">
      <c r="A373" s="3" t="s">
        <v>9326</v>
      </c>
      <c r="B373" s="3" t="s">
        <v>8991</v>
      </c>
      <c r="C373" s="17">
        <v>46168.54166666667</v>
      </c>
      <c r="D373" s="17">
        <v>46168.5625</v>
      </c>
      <c r="E373" s="25">
        <v>0.5</v>
      </c>
      <c r="G373" s="3" t="s">
        <v>8992</v>
      </c>
      <c r="H373" s="3" t="s">
        <v>8971</v>
      </c>
      <c r="I373" s="3" t="s">
        <v>9077</v>
      </c>
      <c r="J373" s="3" t="s">
        <v>6950</v>
      </c>
      <c r="K373" s="3" t="s">
        <v>8973</v>
      </c>
      <c r="L373" s="16">
        <v>4.0</v>
      </c>
      <c r="M373" s="3" t="s">
        <v>8993</v>
      </c>
      <c r="N373" s="3" t="s">
        <v>8993</v>
      </c>
      <c r="O373" s="3" t="s">
        <v>9204</v>
      </c>
      <c r="P373" s="16">
        <v>3.0</v>
      </c>
      <c r="Q373" s="16">
        <v>0.0</v>
      </c>
      <c r="R373" s="16">
        <v>0.0</v>
      </c>
      <c r="S373" s="16">
        <v>1.0</v>
      </c>
      <c r="T373" s="3" t="s">
        <v>861</v>
      </c>
    </row>
    <row r="374">
      <c r="A374" s="3" t="s">
        <v>9309</v>
      </c>
      <c r="B374" s="3" t="s">
        <v>6844</v>
      </c>
      <c r="C374" s="17">
        <v>46168.5625</v>
      </c>
      <c r="D374" s="17">
        <v>46168.58333333333</v>
      </c>
      <c r="E374" s="25">
        <v>0.5</v>
      </c>
      <c r="G374" s="2"/>
      <c r="H374" s="3" t="s">
        <v>8971</v>
      </c>
      <c r="I374" s="3" t="s">
        <v>9094</v>
      </c>
      <c r="J374" s="3" t="s">
        <v>6853</v>
      </c>
      <c r="K374" s="3" t="s">
        <v>8973</v>
      </c>
      <c r="L374" s="16">
        <v>2.0</v>
      </c>
      <c r="M374" s="3" t="s">
        <v>9310</v>
      </c>
      <c r="N374" s="3" t="s">
        <v>9310</v>
      </c>
      <c r="O374" s="3" t="s">
        <v>9043</v>
      </c>
      <c r="P374" s="16">
        <v>1.0</v>
      </c>
      <c r="Q374" s="16">
        <v>0.0</v>
      </c>
      <c r="R374" s="16">
        <v>0.0</v>
      </c>
      <c r="S374" s="16">
        <v>1.0</v>
      </c>
      <c r="T374" s="3" t="s">
        <v>2616</v>
      </c>
    </row>
    <row r="375">
      <c r="A375" s="3" t="s">
        <v>9421</v>
      </c>
      <c r="B375" s="3" t="s">
        <v>9422</v>
      </c>
      <c r="C375" s="17">
        <v>46170.35416666667</v>
      </c>
      <c r="D375" s="17">
        <v>46170.375</v>
      </c>
      <c r="E375" s="25">
        <v>0.5</v>
      </c>
      <c r="F375" s="2"/>
      <c r="G375" s="2"/>
      <c r="H375" s="3" t="s">
        <v>8971</v>
      </c>
      <c r="I375" s="3" t="s">
        <v>9077</v>
      </c>
      <c r="J375" s="3" t="s">
        <v>6950</v>
      </c>
      <c r="K375" s="3" t="s">
        <v>8973</v>
      </c>
      <c r="L375" s="16">
        <v>4.0</v>
      </c>
      <c r="M375" s="3" t="s">
        <v>9423</v>
      </c>
      <c r="N375" s="3" t="s">
        <v>9423</v>
      </c>
      <c r="O375" s="3" t="s">
        <v>9002</v>
      </c>
      <c r="P375" s="16">
        <v>1.0</v>
      </c>
      <c r="Q375" s="16">
        <v>0.0</v>
      </c>
      <c r="R375" s="16">
        <v>0.0</v>
      </c>
      <c r="S375" s="16">
        <v>3.0</v>
      </c>
      <c r="T375" s="3" t="s">
        <v>693</v>
      </c>
    </row>
    <row r="376">
      <c r="A376" s="3" t="s">
        <v>9334</v>
      </c>
      <c r="B376" s="3" t="s">
        <v>9026</v>
      </c>
      <c r="C376" s="17">
        <v>46170.375</v>
      </c>
      <c r="D376" s="17">
        <v>46170.39583333333</v>
      </c>
      <c r="E376" s="25">
        <v>0.5</v>
      </c>
      <c r="G376" s="2"/>
      <c r="H376" s="3" t="s">
        <v>8971</v>
      </c>
      <c r="I376" s="3" t="s">
        <v>9077</v>
      </c>
      <c r="J376" s="3" t="s">
        <v>6950</v>
      </c>
      <c r="K376" s="3" t="s">
        <v>8973</v>
      </c>
      <c r="L376" s="16">
        <v>4.0</v>
      </c>
      <c r="M376" s="3" t="s">
        <v>9027</v>
      </c>
      <c r="N376" s="3" t="s">
        <v>9027</v>
      </c>
      <c r="O376" s="3" t="s">
        <v>9335</v>
      </c>
      <c r="P376" s="16">
        <v>2.0</v>
      </c>
      <c r="Q376" s="16">
        <v>0.0</v>
      </c>
      <c r="R376" s="16">
        <v>0.0</v>
      </c>
      <c r="S376" s="16">
        <v>2.0</v>
      </c>
      <c r="T376" s="3" t="s">
        <v>5681</v>
      </c>
    </row>
    <row r="377">
      <c r="A377" s="3" t="s">
        <v>9458</v>
      </c>
      <c r="B377" s="3" t="s">
        <v>9022</v>
      </c>
      <c r="C377" s="17">
        <v>46170.47916666667</v>
      </c>
      <c r="D377" s="17">
        <v>46170.5</v>
      </c>
      <c r="E377" s="25">
        <v>0.5</v>
      </c>
      <c r="F377" s="2"/>
      <c r="G377" s="2"/>
      <c r="H377" s="3" t="s">
        <v>8971</v>
      </c>
      <c r="I377" s="3" t="s">
        <v>9077</v>
      </c>
      <c r="J377" s="3" t="s">
        <v>6950</v>
      </c>
      <c r="K377" s="3" t="s">
        <v>8973</v>
      </c>
      <c r="L377" s="16">
        <v>2.0</v>
      </c>
      <c r="M377" s="3" t="s">
        <v>9023</v>
      </c>
      <c r="N377" s="3" t="s">
        <v>9023</v>
      </c>
      <c r="O377" s="3" t="s">
        <v>9024</v>
      </c>
      <c r="P377" s="16">
        <v>2.0</v>
      </c>
      <c r="Q377" s="16">
        <v>0.0</v>
      </c>
      <c r="R377" s="16">
        <v>0.0</v>
      </c>
      <c r="S377" s="16">
        <v>0.0</v>
      </c>
      <c r="T377" s="3" t="s">
        <v>5396</v>
      </c>
    </row>
    <row r="378">
      <c r="A378" s="3" t="s">
        <v>9459</v>
      </c>
      <c r="B378" s="3" t="s">
        <v>9460</v>
      </c>
      <c r="C378" s="17">
        <v>46170.5</v>
      </c>
      <c r="D378" s="17">
        <v>46170.52083333333</v>
      </c>
      <c r="E378" s="25">
        <v>0.5</v>
      </c>
      <c r="G378" s="2"/>
      <c r="H378" s="3" t="s">
        <v>8971</v>
      </c>
      <c r="I378" s="3" t="s">
        <v>9094</v>
      </c>
      <c r="J378" s="3" t="s">
        <v>6853</v>
      </c>
      <c r="K378" s="3" t="s">
        <v>8973</v>
      </c>
      <c r="L378" s="16">
        <v>1.0</v>
      </c>
      <c r="M378" s="3" t="s">
        <v>8912</v>
      </c>
      <c r="N378" s="3" t="s">
        <v>8912</v>
      </c>
      <c r="O378" s="3" t="s">
        <v>9077</v>
      </c>
      <c r="P378" s="16">
        <v>1.0</v>
      </c>
      <c r="Q378" s="16">
        <v>0.0</v>
      </c>
      <c r="R378" s="16">
        <v>0.0</v>
      </c>
      <c r="S378" s="16">
        <v>0.0</v>
      </c>
      <c r="T378" s="3" t="s">
        <v>1195</v>
      </c>
    </row>
    <row r="379">
      <c r="A379" s="3" t="s">
        <v>9340</v>
      </c>
      <c r="B379" s="3" t="s">
        <v>9176</v>
      </c>
      <c r="C379" s="17">
        <v>46170.52083333333</v>
      </c>
      <c r="D379" s="17">
        <v>46170.54166666667</v>
      </c>
      <c r="E379" s="25">
        <v>0.5</v>
      </c>
      <c r="F379" s="2"/>
      <c r="G379" s="2"/>
      <c r="H379" s="3" t="s">
        <v>8971</v>
      </c>
      <c r="I379" s="3" t="s">
        <v>9077</v>
      </c>
      <c r="J379" s="3" t="s">
        <v>6950</v>
      </c>
      <c r="K379" s="3" t="s">
        <v>8973</v>
      </c>
      <c r="L379" s="16">
        <v>5.0</v>
      </c>
      <c r="M379" s="3" t="s">
        <v>9341</v>
      </c>
      <c r="N379" s="3" t="s">
        <v>9341</v>
      </c>
      <c r="O379" s="3" t="s">
        <v>9342</v>
      </c>
      <c r="P379" s="16">
        <v>4.0</v>
      </c>
      <c r="Q379" s="16">
        <v>0.0</v>
      </c>
      <c r="R379" s="16">
        <v>0.0</v>
      </c>
      <c r="S379" s="16">
        <v>1.0</v>
      </c>
      <c r="T379" s="2"/>
    </row>
    <row r="380">
      <c r="A380" s="3" t="s">
        <v>9443</v>
      </c>
      <c r="B380" s="3" t="s">
        <v>8085</v>
      </c>
      <c r="C380" s="17">
        <v>46171.54166666667</v>
      </c>
      <c r="D380" s="17">
        <v>46171.5625</v>
      </c>
      <c r="E380" s="25">
        <v>0.5</v>
      </c>
      <c r="G380" s="2"/>
      <c r="H380" s="3" t="s">
        <v>8971</v>
      </c>
      <c r="I380" s="3" t="s">
        <v>9077</v>
      </c>
      <c r="J380" s="3" t="s">
        <v>9206</v>
      </c>
      <c r="K380" s="3" t="s">
        <v>8973</v>
      </c>
      <c r="L380" s="16">
        <v>5.0</v>
      </c>
      <c r="M380" s="3" t="s">
        <v>9207</v>
      </c>
      <c r="N380" s="3" t="s">
        <v>9208</v>
      </c>
      <c r="O380" s="3" t="s">
        <v>9444</v>
      </c>
      <c r="P380" s="16">
        <v>4.0</v>
      </c>
      <c r="Q380" s="16">
        <v>1.0</v>
      </c>
      <c r="R380" s="16">
        <v>0.0</v>
      </c>
      <c r="S380" s="16">
        <v>0.0</v>
      </c>
      <c r="T380" s="3" t="s">
        <v>453</v>
      </c>
    </row>
    <row r="381">
      <c r="A381" s="3" t="s">
        <v>9441</v>
      </c>
      <c r="B381" s="3" t="s">
        <v>7840</v>
      </c>
      <c r="C381" s="17">
        <v>46174.58333333333</v>
      </c>
      <c r="D381" s="17">
        <v>46174.60416666667</v>
      </c>
      <c r="E381" s="25">
        <v>0.5</v>
      </c>
      <c r="F381" s="2"/>
      <c r="G381" s="2"/>
      <c r="H381" s="3" t="s">
        <v>8971</v>
      </c>
      <c r="I381" s="3" t="s">
        <v>9094</v>
      </c>
      <c r="J381" s="3" t="s">
        <v>6853</v>
      </c>
      <c r="K381" s="3" t="s">
        <v>8973</v>
      </c>
      <c r="L381" s="16">
        <v>4.0</v>
      </c>
      <c r="M381" s="3" t="s">
        <v>9166</v>
      </c>
      <c r="N381" s="3" t="s">
        <v>9166</v>
      </c>
      <c r="O381" s="3" t="s">
        <v>9002</v>
      </c>
      <c r="P381" s="16">
        <v>1.0</v>
      </c>
      <c r="Q381" s="16">
        <v>0.0</v>
      </c>
      <c r="R381" s="16">
        <v>0.0</v>
      </c>
      <c r="S381" s="16">
        <v>3.0</v>
      </c>
      <c r="T381" s="3" t="s">
        <v>5544</v>
      </c>
    </row>
    <row r="382">
      <c r="A382" s="3" t="s">
        <v>9223</v>
      </c>
      <c r="B382" s="3" t="s">
        <v>8418</v>
      </c>
      <c r="C382" s="17">
        <v>46174.60416666667</v>
      </c>
      <c r="D382" s="17">
        <v>46174.625</v>
      </c>
      <c r="E382" s="25">
        <v>0.5</v>
      </c>
      <c r="F382" s="2"/>
      <c r="G382" s="3" t="s">
        <v>9304</v>
      </c>
      <c r="H382" s="3" t="s">
        <v>8971</v>
      </c>
      <c r="I382" s="3" t="s">
        <v>9094</v>
      </c>
      <c r="J382" s="3" t="s">
        <v>6853</v>
      </c>
      <c r="K382" s="3" t="s">
        <v>8973</v>
      </c>
      <c r="L382" s="16">
        <v>2.0</v>
      </c>
      <c r="M382" s="3" t="s">
        <v>9225</v>
      </c>
      <c r="N382" s="3" t="s">
        <v>9225</v>
      </c>
      <c r="O382" s="3" t="s">
        <v>9010</v>
      </c>
      <c r="P382" s="16">
        <v>0.0</v>
      </c>
      <c r="Q382" s="16">
        <v>0.0</v>
      </c>
      <c r="R382" s="16">
        <v>0.0</v>
      </c>
      <c r="S382" s="16">
        <v>2.0</v>
      </c>
      <c r="T382" s="3" t="s">
        <v>2868</v>
      </c>
    </row>
    <row r="383">
      <c r="A383" s="3" t="s">
        <v>9307</v>
      </c>
      <c r="B383" s="3" t="s">
        <v>9137</v>
      </c>
      <c r="C383" s="17">
        <v>46175.5</v>
      </c>
      <c r="D383" s="17">
        <v>46175.52083333333</v>
      </c>
      <c r="E383" s="25">
        <v>0.5</v>
      </c>
      <c r="F383" s="2"/>
      <c r="G383" s="3" t="s">
        <v>9138</v>
      </c>
      <c r="H383" s="3" t="s">
        <v>8971</v>
      </c>
      <c r="I383" s="3" t="s">
        <v>9077</v>
      </c>
      <c r="J383" s="3" t="s">
        <v>6950</v>
      </c>
      <c r="K383" s="3" t="s">
        <v>8973</v>
      </c>
      <c r="L383" s="16">
        <v>3.0</v>
      </c>
      <c r="M383" s="3" t="s">
        <v>9140</v>
      </c>
      <c r="N383" s="3" t="s">
        <v>9141</v>
      </c>
      <c r="O383" s="3" t="s">
        <v>9308</v>
      </c>
      <c r="P383" s="16">
        <v>2.0</v>
      </c>
      <c r="Q383" s="16">
        <v>0.0</v>
      </c>
      <c r="R383" s="16">
        <v>1.0</v>
      </c>
      <c r="S383" s="16">
        <v>0.0</v>
      </c>
      <c r="T383" s="3" t="s">
        <v>4466</v>
      </c>
    </row>
    <row r="384">
      <c r="A384" s="3" t="s">
        <v>9309</v>
      </c>
      <c r="B384" s="3" t="s">
        <v>6844</v>
      </c>
      <c r="C384" s="17">
        <v>46175.5625</v>
      </c>
      <c r="D384" s="17">
        <v>46175.58333333333</v>
      </c>
      <c r="E384" s="25">
        <v>0.5</v>
      </c>
      <c r="G384" s="2"/>
      <c r="H384" s="3" t="s">
        <v>8971</v>
      </c>
      <c r="I384" s="3" t="s">
        <v>9094</v>
      </c>
      <c r="J384" s="3" t="s">
        <v>6853</v>
      </c>
      <c r="K384" s="3" t="s">
        <v>8973</v>
      </c>
      <c r="L384" s="16">
        <v>2.0</v>
      </c>
      <c r="M384" s="3" t="s">
        <v>9310</v>
      </c>
      <c r="N384" s="3" t="s">
        <v>9310</v>
      </c>
      <c r="O384" s="3" t="s">
        <v>9043</v>
      </c>
      <c r="P384" s="16">
        <v>1.0</v>
      </c>
      <c r="Q384" s="16">
        <v>0.0</v>
      </c>
      <c r="R384" s="16">
        <v>0.0</v>
      </c>
      <c r="S384" s="16">
        <v>1.0</v>
      </c>
      <c r="T384" s="3" t="s">
        <v>2616</v>
      </c>
    </row>
    <row r="385">
      <c r="A385" s="3" t="s">
        <v>9453</v>
      </c>
      <c r="B385" s="3" t="s">
        <v>9454</v>
      </c>
      <c r="C385" s="17">
        <v>46175.58333333333</v>
      </c>
      <c r="D385" s="17">
        <v>46175.60416666667</v>
      </c>
      <c r="E385" s="25">
        <v>0.5</v>
      </c>
      <c r="F385" s="2"/>
      <c r="G385" s="3" t="s">
        <v>9455</v>
      </c>
      <c r="H385" s="3" t="s">
        <v>8971</v>
      </c>
      <c r="I385" s="3" t="s">
        <v>9077</v>
      </c>
      <c r="J385" s="3" t="s">
        <v>6950</v>
      </c>
      <c r="K385" s="3" t="s">
        <v>8973</v>
      </c>
      <c r="L385" s="16">
        <v>9.0</v>
      </c>
      <c r="M385" s="3" t="s">
        <v>8982</v>
      </c>
      <c r="N385" s="3" t="s">
        <v>8983</v>
      </c>
      <c r="O385" s="3" t="s">
        <v>9456</v>
      </c>
      <c r="P385" s="16">
        <v>2.0</v>
      </c>
      <c r="Q385" s="16">
        <v>0.0</v>
      </c>
      <c r="R385" s="16">
        <v>1.0</v>
      </c>
      <c r="S385" s="16">
        <v>6.0</v>
      </c>
      <c r="T385" s="3" t="s">
        <v>2109</v>
      </c>
    </row>
    <row r="386">
      <c r="A386" s="3" t="s">
        <v>9442</v>
      </c>
      <c r="B386" s="3" t="s">
        <v>8969</v>
      </c>
      <c r="C386" s="17">
        <v>46175.58333333333</v>
      </c>
      <c r="D386" s="17">
        <v>46175.60416666667</v>
      </c>
      <c r="E386" s="25">
        <v>0.5</v>
      </c>
      <c r="G386" s="3" t="s">
        <v>8970</v>
      </c>
      <c r="H386" s="3" t="s">
        <v>8971</v>
      </c>
      <c r="I386" s="3" t="s">
        <v>9094</v>
      </c>
      <c r="J386" s="3" t="s">
        <v>6853</v>
      </c>
      <c r="K386" s="3" t="s">
        <v>8973</v>
      </c>
      <c r="L386" s="16">
        <v>3.0</v>
      </c>
      <c r="M386" s="3" t="s">
        <v>9436</v>
      </c>
      <c r="N386" s="3" t="s">
        <v>9436</v>
      </c>
      <c r="O386" s="3" t="s">
        <v>9147</v>
      </c>
      <c r="P386" s="16">
        <v>2.0</v>
      </c>
      <c r="Q386" s="16">
        <v>0.0</v>
      </c>
      <c r="R386" s="16">
        <v>0.0</v>
      </c>
      <c r="S386" s="16">
        <v>1.0</v>
      </c>
      <c r="T386" s="3" t="s">
        <v>5498</v>
      </c>
    </row>
    <row r="387">
      <c r="A387" s="3" t="s">
        <v>9384</v>
      </c>
      <c r="B387" s="3" t="s">
        <v>9015</v>
      </c>
      <c r="C387" s="17">
        <v>46176.54166666667</v>
      </c>
      <c r="D387" s="17">
        <v>46176.5625</v>
      </c>
      <c r="E387" s="25">
        <v>0.5</v>
      </c>
      <c r="F387" s="2"/>
      <c r="G387" s="2"/>
      <c r="H387" s="3" t="s">
        <v>8971</v>
      </c>
      <c r="I387" s="3" t="s">
        <v>9077</v>
      </c>
      <c r="J387" s="3" t="s">
        <v>6950</v>
      </c>
      <c r="K387" s="3" t="s">
        <v>8973</v>
      </c>
      <c r="L387" s="16">
        <v>3.0</v>
      </c>
      <c r="M387" s="3" t="s">
        <v>9016</v>
      </c>
      <c r="N387" s="3" t="s">
        <v>9016</v>
      </c>
      <c r="O387" s="3" t="s">
        <v>9017</v>
      </c>
      <c r="P387" s="16">
        <v>3.0</v>
      </c>
      <c r="Q387" s="16">
        <v>0.0</v>
      </c>
      <c r="R387" s="16">
        <v>0.0</v>
      </c>
      <c r="S387" s="16">
        <v>0.0</v>
      </c>
      <c r="T387" s="3" t="s">
        <v>1975</v>
      </c>
    </row>
    <row r="388">
      <c r="A388" s="3" t="s">
        <v>9336</v>
      </c>
      <c r="B388" s="3" t="s">
        <v>8080</v>
      </c>
      <c r="C388" s="17">
        <v>46177.39583333333</v>
      </c>
      <c r="D388" s="17">
        <v>46177.41666666667</v>
      </c>
      <c r="E388" s="25">
        <v>0.5</v>
      </c>
      <c r="F388" s="2"/>
      <c r="G388" s="3" t="s">
        <v>9337</v>
      </c>
      <c r="H388" s="3" t="s">
        <v>8971</v>
      </c>
      <c r="I388" s="3" t="s">
        <v>9077</v>
      </c>
      <c r="J388" s="3" t="s">
        <v>9206</v>
      </c>
      <c r="K388" s="3" t="s">
        <v>8973</v>
      </c>
      <c r="L388" s="16">
        <v>7.0</v>
      </c>
      <c r="M388" s="3" t="s">
        <v>9338</v>
      </c>
      <c r="N388" s="3" t="s">
        <v>9338</v>
      </c>
      <c r="O388" s="3" t="s">
        <v>9457</v>
      </c>
      <c r="P388" s="16">
        <v>5.0</v>
      </c>
      <c r="Q388" s="16">
        <v>0.0</v>
      </c>
      <c r="R388" s="16">
        <v>0.0</v>
      </c>
      <c r="S388" s="16">
        <v>2.0</v>
      </c>
      <c r="T388" s="3" t="s">
        <v>3028</v>
      </c>
    </row>
    <row r="389">
      <c r="A389" s="3" t="s">
        <v>9262</v>
      </c>
      <c r="B389" s="3" t="s">
        <v>9263</v>
      </c>
      <c r="C389" s="17">
        <v>46177.4375</v>
      </c>
      <c r="D389" s="17">
        <v>46177.45833333333</v>
      </c>
      <c r="E389" s="25">
        <v>0.5</v>
      </c>
      <c r="G389" s="2"/>
      <c r="H389" s="3" t="s">
        <v>8971</v>
      </c>
      <c r="I389" s="3" t="s">
        <v>9077</v>
      </c>
      <c r="J389" s="3" t="s">
        <v>6950</v>
      </c>
      <c r="K389" s="3" t="s">
        <v>8973</v>
      </c>
      <c r="L389" s="16">
        <v>4.0</v>
      </c>
      <c r="M389" s="3" t="s">
        <v>9311</v>
      </c>
      <c r="N389" s="3" t="s">
        <v>9312</v>
      </c>
      <c r="O389" s="3" t="s">
        <v>9167</v>
      </c>
      <c r="P389" s="16">
        <v>4.0</v>
      </c>
      <c r="Q389" s="16">
        <v>0.0</v>
      </c>
      <c r="R389" s="16">
        <v>0.0</v>
      </c>
      <c r="S389" s="16">
        <v>0.0</v>
      </c>
      <c r="T389" s="3" t="s">
        <v>2672</v>
      </c>
    </row>
    <row r="390">
      <c r="A390" s="3" t="s">
        <v>9314</v>
      </c>
      <c r="B390" s="3" t="s">
        <v>9315</v>
      </c>
      <c r="C390" s="17">
        <v>46177.58333333333</v>
      </c>
      <c r="D390" s="17">
        <v>46177.60416666667</v>
      </c>
      <c r="E390" s="25">
        <v>0.5</v>
      </c>
      <c r="G390" s="2"/>
      <c r="H390" s="3" t="s">
        <v>8971</v>
      </c>
      <c r="I390" s="3" t="s">
        <v>9077</v>
      </c>
      <c r="J390" s="3" t="s">
        <v>6950</v>
      </c>
      <c r="K390" s="3" t="s">
        <v>8973</v>
      </c>
      <c r="L390" s="16">
        <v>6.0</v>
      </c>
      <c r="M390" s="3" t="s">
        <v>9316</v>
      </c>
      <c r="N390" s="3" t="s">
        <v>9316</v>
      </c>
      <c r="O390" s="3" t="s">
        <v>9397</v>
      </c>
      <c r="P390" s="16">
        <v>1.0</v>
      </c>
      <c r="Q390" s="16">
        <v>3.0</v>
      </c>
      <c r="R390" s="16">
        <v>0.0</v>
      </c>
      <c r="S390" s="16">
        <v>2.0</v>
      </c>
      <c r="T390" s="3" t="s">
        <v>5285</v>
      </c>
    </row>
    <row r="391">
      <c r="A391" s="3" t="s">
        <v>9320</v>
      </c>
      <c r="B391" s="3" t="s">
        <v>9196</v>
      </c>
      <c r="C391" s="17">
        <v>46178.39583333333</v>
      </c>
      <c r="D391" s="17">
        <v>46178.41666666667</v>
      </c>
      <c r="E391" s="25">
        <v>0.5</v>
      </c>
      <c r="F391" s="2"/>
      <c r="G391" s="3" t="s">
        <v>9197</v>
      </c>
      <c r="H391" s="3" t="s">
        <v>8971</v>
      </c>
      <c r="I391" s="3" t="s">
        <v>9077</v>
      </c>
      <c r="J391" s="3" t="s">
        <v>6950</v>
      </c>
      <c r="K391" s="3" t="s">
        <v>8973</v>
      </c>
      <c r="L391" s="16">
        <v>4.0</v>
      </c>
      <c r="M391" s="3" t="s">
        <v>9198</v>
      </c>
      <c r="N391" s="3" t="s">
        <v>9198</v>
      </c>
      <c r="O391" s="3" t="s">
        <v>9321</v>
      </c>
      <c r="P391" s="16">
        <v>2.0</v>
      </c>
      <c r="Q391" s="16">
        <v>1.0</v>
      </c>
      <c r="R391" s="16">
        <v>0.0</v>
      </c>
      <c r="S391" s="16">
        <v>1.0</v>
      </c>
      <c r="T391" s="3" t="s">
        <v>1969</v>
      </c>
    </row>
    <row r="392">
      <c r="A392" s="3" t="s">
        <v>9410</v>
      </c>
      <c r="B392" s="3" t="s">
        <v>7147</v>
      </c>
      <c r="C392" s="17">
        <v>46181.54166666667</v>
      </c>
      <c r="D392" s="17">
        <v>46181.5625</v>
      </c>
      <c r="E392" s="25">
        <v>0.5</v>
      </c>
      <c r="F392" s="13" t="s">
        <v>9411</v>
      </c>
      <c r="G392" s="3" t="s">
        <v>9412</v>
      </c>
      <c r="H392" s="3" t="s">
        <v>8971</v>
      </c>
      <c r="I392" s="3" t="s">
        <v>9094</v>
      </c>
      <c r="J392" s="3" t="s">
        <v>6853</v>
      </c>
      <c r="K392" s="3" t="s">
        <v>8973</v>
      </c>
      <c r="L392" s="16">
        <v>4.0</v>
      </c>
      <c r="M392" s="3" t="s">
        <v>9349</v>
      </c>
      <c r="N392" s="3" t="s">
        <v>9349</v>
      </c>
      <c r="O392" s="3" t="s">
        <v>9002</v>
      </c>
      <c r="P392" s="16">
        <v>1.0</v>
      </c>
      <c r="Q392" s="16">
        <v>0.0</v>
      </c>
      <c r="R392" s="16">
        <v>0.0</v>
      </c>
      <c r="S392" s="16">
        <v>3.0</v>
      </c>
      <c r="T392" s="3" t="s">
        <v>1725</v>
      </c>
    </row>
    <row r="393">
      <c r="A393" s="3" t="s">
        <v>9325</v>
      </c>
      <c r="B393" s="3" t="s">
        <v>9000</v>
      </c>
      <c r="C393" s="17">
        <v>46181.58333333333</v>
      </c>
      <c r="D393" s="17">
        <v>46181.60416666667</v>
      </c>
      <c r="E393" s="25">
        <v>0.5</v>
      </c>
      <c r="G393" s="2"/>
      <c r="H393" s="3" t="s">
        <v>8971</v>
      </c>
      <c r="I393" s="3" t="s">
        <v>8972</v>
      </c>
      <c r="J393" s="3" t="s">
        <v>6950</v>
      </c>
      <c r="K393" s="3" t="s">
        <v>8973</v>
      </c>
      <c r="L393" s="16">
        <v>4.0</v>
      </c>
      <c r="M393" s="3" t="s">
        <v>9001</v>
      </c>
      <c r="N393" s="3" t="s">
        <v>9001</v>
      </c>
      <c r="O393" s="3" t="s">
        <v>9002</v>
      </c>
      <c r="P393" s="16">
        <v>1.0</v>
      </c>
      <c r="Q393" s="16">
        <v>0.0</v>
      </c>
      <c r="R393" s="16">
        <v>0.0</v>
      </c>
      <c r="S393" s="16">
        <v>3.0</v>
      </c>
      <c r="T393" s="3" t="s">
        <v>2594</v>
      </c>
    </row>
    <row r="394">
      <c r="A394" s="3" t="s">
        <v>9223</v>
      </c>
      <c r="B394" s="3" t="s">
        <v>8418</v>
      </c>
      <c r="C394" s="17">
        <v>46181.60416666667</v>
      </c>
      <c r="D394" s="17">
        <v>46181.625</v>
      </c>
      <c r="E394" s="25">
        <v>0.5</v>
      </c>
      <c r="G394" s="3" t="s">
        <v>9304</v>
      </c>
      <c r="H394" s="3" t="s">
        <v>8971</v>
      </c>
      <c r="I394" s="3" t="s">
        <v>9094</v>
      </c>
      <c r="J394" s="3" t="s">
        <v>6853</v>
      </c>
      <c r="K394" s="3" t="s">
        <v>8973</v>
      </c>
      <c r="L394" s="16">
        <v>2.0</v>
      </c>
      <c r="M394" s="3" t="s">
        <v>9225</v>
      </c>
      <c r="N394" s="3" t="s">
        <v>9225</v>
      </c>
      <c r="O394" s="3" t="s">
        <v>9010</v>
      </c>
      <c r="P394" s="16">
        <v>0.0</v>
      </c>
      <c r="Q394" s="16">
        <v>0.0</v>
      </c>
      <c r="R394" s="16">
        <v>0.0</v>
      </c>
      <c r="S394" s="16">
        <v>2.0</v>
      </c>
      <c r="T394" s="3" t="s">
        <v>2868</v>
      </c>
    </row>
    <row r="395">
      <c r="A395" s="3" t="s">
        <v>9416</v>
      </c>
      <c r="B395" s="3" t="s">
        <v>9417</v>
      </c>
      <c r="C395" s="17">
        <v>46182.45833333333</v>
      </c>
      <c r="D395" s="17">
        <v>46182.47916666667</v>
      </c>
      <c r="E395" s="25">
        <v>0.5</v>
      </c>
      <c r="G395" s="3" t="s">
        <v>9418</v>
      </c>
      <c r="H395" s="3" t="s">
        <v>8971</v>
      </c>
      <c r="I395" s="3" t="s">
        <v>9094</v>
      </c>
      <c r="J395" s="3" t="s">
        <v>6853</v>
      </c>
      <c r="K395" s="3" t="s">
        <v>8973</v>
      </c>
      <c r="L395" s="16">
        <v>5.0</v>
      </c>
      <c r="M395" s="3" t="s">
        <v>9480</v>
      </c>
      <c r="N395" s="3" t="s">
        <v>9480</v>
      </c>
      <c r="O395" s="3" t="s">
        <v>9432</v>
      </c>
      <c r="P395" s="16">
        <v>0.0</v>
      </c>
      <c r="Q395" s="16">
        <v>0.0</v>
      </c>
      <c r="R395" s="16">
        <v>0.0</v>
      </c>
      <c r="S395" s="16">
        <v>5.0</v>
      </c>
      <c r="T395" s="3" t="s">
        <v>5602</v>
      </c>
    </row>
    <row r="396">
      <c r="A396" s="3" t="s">
        <v>9307</v>
      </c>
      <c r="B396" s="3" t="s">
        <v>9137</v>
      </c>
      <c r="C396" s="17">
        <v>46182.5</v>
      </c>
      <c r="D396" s="17">
        <v>46182.52083333333</v>
      </c>
      <c r="E396" s="25">
        <v>0.5</v>
      </c>
      <c r="F396" s="2"/>
      <c r="G396" s="3" t="s">
        <v>9138</v>
      </c>
      <c r="H396" s="3" t="s">
        <v>8971</v>
      </c>
      <c r="I396" s="3" t="s">
        <v>9077</v>
      </c>
      <c r="J396" s="3" t="s">
        <v>6950</v>
      </c>
      <c r="K396" s="3" t="s">
        <v>8973</v>
      </c>
      <c r="L396" s="16">
        <v>3.0</v>
      </c>
      <c r="M396" s="3" t="s">
        <v>9140</v>
      </c>
      <c r="N396" s="3" t="s">
        <v>9141</v>
      </c>
      <c r="O396" s="3" t="s">
        <v>9308</v>
      </c>
      <c r="P396" s="16">
        <v>2.0</v>
      </c>
      <c r="Q396" s="16">
        <v>0.0</v>
      </c>
      <c r="R396" s="16">
        <v>1.0</v>
      </c>
      <c r="S396" s="16">
        <v>0.0</v>
      </c>
      <c r="T396" s="3" t="s">
        <v>4466</v>
      </c>
    </row>
    <row r="397">
      <c r="A397" s="3" t="s">
        <v>9309</v>
      </c>
      <c r="B397" s="3" t="s">
        <v>6844</v>
      </c>
      <c r="C397" s="17">
        <v>46182.5625</v>
      </c>
      <c r="D397" s="17">
        <v>46182.58333333333</v>
      </c>
      <c r="E397" s="25">
        <v>0.5</v>
      </c>
      <c r="G397" s="2"/>
      <c r="H397" s="3" t="s">
        <v>8971</v>
      </c>
      <c r="I397" s="3" t="s">
        <v>9094</v>
      </c>
      <c r="J397" s="3" t="s">
        <v>6853</v>
      </c>
      <c r="K397" s="3" t="s">
        <v>8973</v>
      </c>
      <c r="L397" s="16">
        <v>2.0</v>
      </c>
      <c r="M397" s="3" t="s">
        <v>9310</v>
      </c>
      <c r="N397" s="3" t="s">
        <v>9310</v>
      </c>
      <c r="O397" s="3" t="s">
        <v>9043</v>
      </c>
      <c r="P397" s="16">
        <v>1.0</v>
      </c>
      <c r="Q397" s="16">
        <v>0.0</v>
      </c>
      <c r="R397" s="16">
        <v>0.0</v>
      </c>
      <c r="S397" s="16">
        <v>1.0</v>
      </c>
      <c r="T397" s="3" t="s">
        <v>2616</v>
      </c>
    </row>
    <row r="398">
      <c r="A398" s="3" t="s">
        <v>9481</v>
      </c>
      <c r="B398" s="3" t="s">
        <v>7310</v>
      </c>
      <c r="C398" s="17">
        <v>46184.41666666667</v>
      </c>
      <c r="D398" s="17">
        <v>46184.4375</v>
      </c>
      <c r="E398" s="25">
        <v>0.5</v>
      </c>
      <c r="F398" s="2"/>
      <c r="G398" s="3" t="s">
        <v>9482</v>
      </c>
      <c r="H398" s="3" t="s">
        <v>8971</v>
      </c>
      <c r="I398" s="3" t="s">
        <v>9094</v>
      </c>
      <c r="J398" s="3" t="s">
        <v>6853</v>
      </c>
      <c r="K398" s="3" t="s">
        <v>8973</v>
      </c>
      <c r="L398" s="16">
        <v>3.0</v>
      </c>
      <c r="M398" s="3" t="s">
        <v>9483</v>
      </c>
      <c r="N398" s="3" t="s">
        <v>9483</v>
      </c>
      <c r="O398" s="3" t="s">
        <v>9147</v>
      </c>
      <c r="P398" s="16">
        <v>2.0</v>
      </c>
      <c r="Q398" s="16">
        <v>0.0</v>
      </c>
      <c r="R398" s="16">
        <v>0.0</v>
      </c>
      <c r="S398" s="16">
        <v>1.0</v>
      </c>
      <c r="T398" s="3" t="s">
        <v>5815</v>
      </c>
    </row>
    <row r="399">
      <c r="A399" s="3" t="s">
        <v>9459</v>
      </c>
      <c r="B399" s="3" t="s">
        <v>9460</v>
      </c>
      <c r="C399" s="17">
        <v>46184.5</v>
      </c>
      <c r="D399" s="17">
        <v>46184.52083333333</v>
      </c>
      <c r="E399" s="25">
        <v>0.5</v>
      </c>
      <c r="G399" s="2"/>
      <c r="H399" s="3" t="s">
        <v>8971</v>
      </c>
      <c r="I399" s="3" t="s">
        <v>9094</v>
      </c>
      <c r="J399" s="3" t="s">
        <v>6853</v>
      </c>
      <c r="K399" s="3" t="s">
        <v>8973</v>
      </c>
      <c r="L399" s="16">
        <v>1.0</v>
      </c>
      <c r="M399" s="3" t="s">
        <v>8912</v>
      </c>
      <c r="N399" s="3" t="s">
        <v>8912</v>
      </c>
      <c r="O399" s="3" t="s">
        <v>9077</v>
      </c>
      <c r="P399" s="16">
        <v>1.0</v>
      </c>
      <c r="Q399" s="16">
        <v>0.0</v>
      </c>
      <c r="R399" s="16">
        <v>0.0</v>
      </c>
      <c r="S399" s="16">
        <v>0.0</v>
      </c>
      <c r="T399" s="3" t="s">
        <v>1195</v>
      </c>
    </row>
    <row r="400">
      <c r="A400" s="3" t="s">
        <v>9340</v>
      </c>
      <c r="B400" s="3" t="s">
        <v>9176</v>
      </c>
      <c r="C400" s="17">
        <v>46184.52083333333</v>
      </c>
      <c r="D400" s="17">
        <v>46184.54166666667</v>
      </c>
      <c r="E400" s="25">
        <v>0.5</v>
      </c>
      <c r="F400" s="2"/>
      <c r="G400" s="2"/>
      <c r="H400" s="3" t="s">
        <v>8971</v>
      </c>
      <c r="I400" s="3" t="s">
        <v>9077</v>
      </c>
      <c r="J400" s="3" t="s">
        <v>6950</v>
      </c>
      <c r="K400" s="3" t="s">
        <v>8973</v>
      </c>
      <c r="L400" s="16">
        <v>5.0</v>
      </c>
      <c r="M400" s="3" t="s">
        <v>9341</v>
      </c>
      <c r="N400" s="3" t="s">
        <v>9341</v>
      </c>
      <c r="O400" s="3" t="s">
        <v>9342</v>
      </c>
      <c r="P400" s="16">
        <v>4.0</v>
      </c>
      <c r="Q400" s="16">
        <v>0.0</v>
      </c>
      <c r="R400" s="16">
        <v>0.0</v>
      </c>
      <c r="S400" s="16">
        <v>1.0</v>
      </c>
      <c r="T400" s="2"/>
    </row>
    <row r="401">
      <c r="A401" s="3" t="s">
        <v>9441</v>
      </c>
      <c r="B401" s="3" t="s">
        <v>7840</v>
      </c>
      <c r="C401" s="17">
        <v>46188.58333333333</v>
      </c>
      <c r="D401" s="17">
        <v>46188.60416666667</v>
      </c>
      <c r="E401" s="25">
        <v>0.5</v>
      </c>
      <c r="F401" s="2"/>
      <c r="G401" s="2"/>
      <c r="H401" s="3" t="s">
        <v>8971</v>
      </c>
      <c r="I401" s="3" t="s">
        <v>9094</v>
      </c>
      <c r="J401" s="3" t="s">
        <v>6853</v>
      </c>
      <c r="K401" s="3" t="s">
        <v>8973</v>
      </c>
      <c r="L401" s="16">
        <v>4.0</v>
      </c>
      <c r="M401" s="3" t="s">
        <v>9166</v>
      </c>
      <c r="N401" s="3" t="s">
        <v>9166</v>
      </c>
      <c r="O401" s="3" t="s">
        <v>9002</v>
      </c>
      <c r="P401" s="16">
        <v>1.0</v>
      </c>
      <c r="Q401" s="16">
        <v>0.0</v>
      </c>
      <c r="R401" s="16">
        <v>0.0</v>
      </c>
      <c r="S401" s="16">
        <v>3.0</v>
      </c>
      <c r="T401" s="3" t="s">
        <v>5544</v>
      </c>
    </row>
    <row r="402">
      <c r="A402" s="3" t="s">
        <v>9437</v>
      </c>
      <c r="B402" s="3" t="s">
        <v>9438</v>
      </c>
      <c r="C402" s="17">
        <v>46188.60416666667</v>
      </c>
      <c r="D402" s="17">
        <v>46188.625</v>
      </c>
      <c r="E402" s="25">
        <v>0.5</v>
      </c>
      <c r="F402" s="2"/>
      <c r="G402" s="2"/>
      <c r="H402" s="3" t="s">
        <v>8971</v>
      </c>
      <c r="I402" s="3" t="s">
        <v>9006</v>
      </c>
      <c r="J402" s="3" t="s">
        <v>6950</v>
      </c>
      <c r="K402" s="3" t="s">
        <v>8973</v>
      </c>
      <c r="L402" s="16">
        <v>4.0</v>
      </c>
      <c r="M402" s="3" t="s">
        <v>9439</v>
      </c>
      <c r="N402" s="3" t="s">
        <v>9439</v>
      </c>
      <c r="O402" s="3" t="s">
        <v>9440</v>
      </c>
      <c r="P402" s="16">
        <v>2.0</v>
      </c>
      <c r="Q402" s="16">
        <v>0.0</v>
      </c>
      <c r="R402" s="16">
        <v>0.0</v>
      </c>
      <c r="S402" s="16">
        <v>2.0</v>
      </c>
      <c r="T402" s="3" t="s">
        <v>3616</v>
      </c>
    </row>
    <row r="403">
      <c r="A403" s="3" t="s">
        <v>9223</v>
      </c>
      <c r="B403" s="3" t="s">
        <v>8418</v>
      </c>
      <c r="C403" s="17">
        <v>46188.60416666667</v>
      </c>
      <c r="D403" s="17">
        <v>46188.625</v>
      </c>
      <c r="E403" s="25">
        <v>0.5</v>
      </c>
      <c r="G403" s="3" t="s">
        <v>9304</v>
      </c>
      <c r="H403" s="3" t="s">
        <v>8971</v>
      </c>
      <c r="I403" s="3" t="s">
        <v>9094</v>
      </c>
      <c r="J403" s="3" t="s">
        <v>6853</v>
      </c>
      <c r="K403" s="3" t="s">
        <v>8973</v>
      </c>
      <c r="L403" s="16">
        <v>2.0</v>
      </c>
      <c r="M403" s="3" t="s">
        <v>9225</v>
      </c>
      <c r="N403" s="3" t="s">
        <v>9225</v>
      </c>
      <c r="O403" s="3" t="s">
        <v>9010</v>
      </c>
      <c r="P403" s="16">
        <v>0.0</v>
      </c>
      <c r="Q403" s="16">
        <v>0.0</v>
      </c>
      <c r="R403" s="16">
        <v>0.0</v>
      </c>
      <c r="S403" s="16">
        <v>2.0</v>
      </c>
      <c r="T403" s="3" t="s">
        <v>2868</v>
      </c>
    </row>
    <row r="404">
      <c r="A404" s="3" t="s">
        <v>9307</v>
      </c>
      <c r="B404" s="3" t="s">
        <v>9137</v>
      </c>
      <c r="C404" s="17">
        <v>46189.5</v>
      </c>
      <c r="D404" s="17">
        <v>46189.52083333333</v>
      </c>
      <c r="E404" s="25">
        <v>0.5</v>
      </c>
      <c r="G404" s="3" t="s">
        <v>9138</v>
      </c>
      <c r="H404" s="3" t="s">
        <v>8971</v>
      </c>
      <c r="I404" s="3" t="s">
        <v>9077</v>
      </c>
      <c r="J404" s="3" t="s">
        <v>6950</v>
      </c>
      <c r="K404" s="3" t="s">
        <v>8973</v>
      </c>
      <c r="L404" s="16">
        <v>3.0</v>
      </c>
      <c r="M404" s="3" t="s">
        <v>9140</v>
      </c>
      <c r="N404" s="3" t="s">
        <v>9141</v>
      </c>
      <c r="O404" s="3" t="s">
        <v>9308</v>
      </c>
      <c r="P404" s="16">
        <v>2.0</v>
      </c>
      <c r="Q404" s="16">
        <v>0.0</v>
      </c>
      <c r="R404" s="16">
        <v>1.0</v>
      </c>
      <c r="S404" s="16">
        <v>0.0</v>
      </c>
      <c r="T404" s="3" t="s">
        <v>4466</v>
      </c>
    </row>
    <row r="405">
      <c r="A405" s="3" t="s">
        <v>9309</v>
      </c>
      <c r="B405" s="3" t="s">
        <v>6844</v>
      </c>
      <c r="C405" s="17">
        <v>46189.5625</v>
      </c>
      <c r="D405" s="17">
        <v>46189.58333333333</v>
      </c>
      <c r="E405" s="25">
        <v>0.5</v>
      </c>
      <c r="G405" s="2"/>
      <c r="H405" s="3" t="s">
        <v>8971</v>
      </c>
      <c r="I405" s="3" t="s">
        <v>9094</v>
      </c>
      <c r="J405" s="3" t="s">
        <v>6853</v>
      </c>
      <c r="K405" s="3" t="s">
        <v>8973</v>
      </c>
      <c r="L405" s="16">
        <v>2.0</v>
      </c>
      <c r="M405" s="3" t="s">
        <v>9310</v>
      </c>
      <c r="N405" s="3" t="s">
        <v>9310</v>
      </c>
      <c r="O405" s="3" t="s">
        <v>9043</v>
      </c>
      <c r="P405" s="16">
        <v>1.0</v>
      </c>
      <c r="Q405" s="16">
        <v>0.0</v>
      </c>
      <c r="R405" s="16">
        <v>0.0</v>
      </c>
      <c r="S405" s="16">
        <v>1.0</v>
      </c>
      <c r="T405" s="3" t="s">
        <v>2616</v>
      </c>
    </row>
    <row r="406">
      <c r="A406" s="3" t="s">
        <v>9442</v>
      </c>
      <c r="B406" s="3" t="s">
        <v>8969</v>
      </c>
      <c r="C406" s="17">
        <v>46189.58333333333</v>
      </c>
      <c r="D406" s="17">
        <v>46189.60416666667</v>
      </c>
      <c r="E406" s="25">
        <v>0.5</v>
      </c>
      <c r="F406" s="2"/>
      <c r="G406" s="3" t="s">
        <v>8970</v>
      </c>
      <c r="H406" s="3" t="s">
        <v>8971</v>
      </c>
      <c r="I406" s="3" t="s">
        <v>9094</v>
      </c>
      <c r="J406" s="3" t="s">
        <v>6853</v>
      </c>
      <c r="K406" s="3" t="s">
        <v>8973</v>
      </c>
      <c r="L406" s="16">
        <v>3.0</v>
      </c>
      <c r="M406" s="3" t="s">
        <v>9436</v>
      </c>
      <c r="N406" s="3" t="s">
        <v>9436</v>
      </c>
      <c r="O406" s="3" t="s">
        <v>9147</v>
      </c>
      <c r="P406" s="16">
        <v>2.0</v>
      </c>
      <c r="Q406" s="16">
        <v>0.0</v>
      </c>
      <c r="R406" s="16">
        <v>0.0</v>
      </c>
      <c r="S406" s="16">
        <v>1.0</v>
      </c>
      <c r="T406" s="3" t="s">
        <v>5498</v>
      </c>
    </row>
    <row r="407">
      <c r="A407" s="3" t="s">
        <v>9384</v>
      </c>
      <c r="B407" s="3" t="s">
        <v>9015</v>
      </c>
      <c r="C407" s="17">
        <v>46190.54166666667</v>
      </c>
      <c r="D407" s="17">
        <v>46190.5625</v>
      </c>
      <c r="E407" s="25">
        <v>0.5</v>
      </c>
      <c r="F407" s="2"/>
      <c r="G407" s="2"/>
      <c r="H407" s="3" t="s">
        <v>8971</v>
      </c>
      <c r="I407" s="3" t="s">
        <v>9077</v>
      </c>
      <c r="J407" s="3" t="s">
        <v>6950</v>
      </c>
      <c r="K407" s="3" t="s">
        <v>8973</v>
      </c>
      <c r="L407" s="16">
        <v>3.0</v>
      </c>
      <c r="M407" s="3" t="s">
        <v>9016</v>
      </c>
      <c r="N407" s="3" t="s">
        <v>9016</v>
      </c>
      <c r="O407" s="3" t="s">
        <v>9017</v>
      </c>
      <c r="P407" s="16">
        <v>3.0</v>
      </c>
      <c r="Q407" s="16">
        <v>0.0</v>
      </c>
      <c r="R407" s="16">
        <v>0.0</v>
      </c>
      <c r="S407" s="16">
        <v>0.0</v>
      </c>
      <c r="T407" s="3" t="s">
        <v>1975</v>
      </c>
    </row>
    <row r="408">
      <c r="A408" s="3" t="s">
        <v>9262</v>
      </c>
      <c r="B408" s="3" t="s">
        <v>9263</v>
      </c>
      <c r="C408" s="17">
        <v>46191.4375</v>
      </c>
      <c r="D408" s="17">
        <v>46191.45833333333</v>
      </c>
      <c r="E408" s="25">
        <v>0.5</v>
      </c>
      <c r="F408" s="2"/>
      <c r="G408" s="2"/>
      <c r="H408" s="3" t="s">
        <v>8971</v>
      </c>
      <c r="I408" s="3" t="s">
        <v>9077</v>
      </c>
      <c r="J408" s="3" t="s">
        <v>6950</v>
      </c>
      <c r="K408" s="3" t="s">
        <v>8973</v>
      </c>
      <c r="L408" s="16">
        <v>4.0</v>
      </c>
      <c r="M408" s="3" t="s">
        <v>9311</v>
      </c>
      <c r="N408" s="3" t="s">
        <v>9312</v>
      </c>
      <c r="O408" s="3" t="s">
        <v>9167</v>
      </c>
      <c r="P408" s="16">
        <v>4.0</v>
      </c>
      <c r="Q408" s="16">
        <v>0.0</v>
      </c>
      <c r="R408" s="16">
        <v>0.0</v>
      </c>
      <c r="S408" s="16">
        <v>0.0</v>
      </c>
      <c r="T408" s="3" t="s">
        <v>2672</v>
      </c>
    </row>
    <row r="409">
      <c r="A409" s="3" t="s">
        <v>9314</v>
      </c>
      <c r="B409" s="3" t="s">
        <v>9315</v>
      </c>
      <c r="C409" s="17">
        <v>46191.58333333333</v>
      </c>
      <c r="D409" s="17">
        <v>46191.60416666667</v>
      </c>
      <c r="E409" s="25">
        <v>0.5</v>
      </c>
      <c r="G409" s="2"/>
      <c r="H409" s="3" t="s">
        <v>8971</v>
      </c>
      <c r="I409" s="3" t="s">
        <v>9077</v>
      </c>
      <c r="J409" s="3" t="s">
        <v>6950</v>
      </c>
      <c r="K409" s="3" t="s">
        <v>8973</v>
      </c>
      <c r="L409" s="16">
        <v>6.0</v>
      </c>
      <c r="M409" s="3" t="s">
        <v>9316</v>
      </c>
      <c r="N409" s="3" t="s">
        <v>9316</v>
      </c>
      <c r="O409" s="3" t="s">
        <v>9397</v>
      </c>
      <c r="P409" s="16">
        <v>1.0</v>
      </c>
      <c r="Q409" s="16">
        <v>3.0</v>
      </c>
      <c r="R409" s="16">
        <v>0.0</v>
      </c>
      <c r="S409" s="16">
        <v>2.0</v>
      </c>
      <c r="T409" s="3" t="s">
        <v>5285</v>
      </c>
    </row>
    <row r="410">
      <c r="A410" s="3" t="s">
        <v>9280</v>
      </c>
      <c r="B410" s="3" t="s">
        <v>9281</v>
      </c>
      <c r="C410" s="17">
        <v>46191.70833333333</v>
      </c>
      <c r="D410" s="17">
        <v>46191.72916666667</v>
      </c>
      <c r="E410" s="25">
        <v>0.5</v>
      </c>
      <c r="G410" s="3" t="s">
        <v>9282</v>
      </c>
      <c r="H410" s="3" t="s">
        <v>8971</v>
      </c>
      <c r="I410" s="3" t="s">
        <v>9077</v>
      </c>
      <c r="J410" s="3" t="s">
        <v>9283</v>
      </c>
      <c r="K410" s="3" t="s">
        <v>8973</v>
      </c>
      <c r="L410" s="16">
        <v>15.0</v>
      </c>
      <c r="M410" s="3" t="s">
        <v>9284</v>
      </c>
      <c r="N410" s="3" t="s">
        <v>9285</v>
      </c>
      <c r="O410" s="3" t="s">
        <v>9404</v>
      </c>
      <c r="P410" s="16">
        <v>9.0</v>
      </c>
      <c r="Q410" s="16">
        <v>0.0</v>
      </c>
      <c r="R410" s="16">
        <v>1.0</v>
      </c>
      <c r="S410" s="16">
        <v>5.0</v>
      </c>
      <c r="T410" s="3" t="s">
        <v>2922</v>
      </c>
    </row>
    <row r="411">
      <c r="A411" s="3" t="s">
        <v>9405</v>
      </c>
      <c r="B411" s="3" t="s">
        <v>9406</v>
      </c>
      <c r="C411" s="17">
        <v>46192.41666666667</v>
      </c>
      <c r="D411" s="17">
        <v>46192.4375</v>
      </c>
      <c r="E411" s="25">
        <v>0.5</v>
      </c>
      <c r="F411" s="2"/>
      <c r="G411" s="2"/>
      <c r="H411" s="3" t="s">
        <v>8971</v>
      </c>
      <c r="I411" s="3" t="s">
        <v>9077</v>
      </c>
      <c r="J411" s="3" t="s">
        <v>6950</v>
      </c>
      <c r="K411" s="3" t="s">
        <v>8973</v>
      </c>
      <c r="L411" s="16">
        <v>5.0</v>
      </c>
      <c r="M411" s="3" t="s">
        <v>9484</v>
      </c>
      <c r="N411" s="3" t="s">
        <v>9484</v>
      </c>
      <c r="O411" s="3" t="s">
        <v>9342</v>
      </c>
      <c r="P411" s="16">
        <v>4.0</v>
      </c>
      <c r="Q411" s="16">
        <v>0.0</v>
      </c>
      <c r="R411" s="16">
        <v>0.0</v>
      </c>
      <c r="S411" s="16">
        <v>1.0</v>
      </c>
      <c r="T411" s="3" t="s">
        <v>5721</v>
      </c>
    </row>
    <row r="412">
      <c r="A412" s="3" t="s">
        <v>9410</v>
      </c>
      <c r="B412" s="3" t="s">
        <v>7147</v>
      </c>
      <c r="C412" s="17">
        <v>46195.54166666667</v>
      </c>
      <c r="D412" s="17">
        <v>46195.5625</v>
      </c>
      <c r="E412" s="25">
        <v>0.5</v>
      </c>
      <c r="F412" s="13" t="s">
        <v>9411</v>
      </c>
      <c r="G412" s="3" t="s">
        <v>9412</v>
      </c>
      <c r="H412" s="3" t="s">
        <v>8971</v>
      </c>
      <c r="I412" s="3" t="s">
        <v>9094</v>
      </c>
      <c r="J412" s="3" t="s">
        <v>6853</v>
      </c>
      <c r="K412" s="3" t="s">
        <v>8973</v>
      </c>
      <c r="L412" s="16">
        <v>4.0</v>
      </c>
      <c r="M412" s="3" t="s">
        <v>9349</v>
      </c>
      <c r="N412" s="3" t="s">
        <v>9349</v>
      </c>
      <c r="O412" s="3" t="s">
        <v>9002</v>
      </c>
      <c r="P412" s="16">
        <v>1.0</v>
      </c>
      <c r="Q412" s="16">
        <v>0.0</v>
      </c>
      <c r="R412" s="16">
        <v>0.0</v>
      </c>
      <c r="S412" s="16">
        <v>3.0</v>
      </c>
      <c r="T412" s="3" t="s">
        <v>1725</v>
      </c>
    </row>
    <row r="413">
      <c r="A413" s="3" t="s">
        <v>9325</v>
      </c>
      <c r="B413" s="3" t="s">
        <v>9000</v>
      </c>
      <c r="C413" s="17">
        <v>46195.58333333333</v>
      </c>
      <c r="D413" s="17">
        <v>46195.60416666667</v>
      </c>
      <c r="E413" s="25">
        <v>0.5</v>
      </c>
      <c r="G413" s="2"/>
      <c r="H413" s="3" t="s">
        <v>8971</v>
      </c>
      <c r="I413" s="3" t="s">
        <v>8972</v>
      </c>
      <c r="J413" s="3" t="s">
        <v>6950</v>
      </c>
      <c r="K413" s="3" t="s">
        <v>8973</v>
      </c>
      <c r="L413" s="16">
        <v>4.0</v>
      </c>
      <c r="M413" s="3" t="s">
        <v>9001</v>
      </c>
      <c r="N413" s="3" t="s">
        <v>9001</v>
      </c>
      <c r="O413" s="3" t="s">
        <v>9002</v>
      </c>
      <c r="P413" s="16">
        <v>1.0</v>
      </c>
      <c r="Q413" s="16">
        <v>0.0</v>
      </c>
      <c r="R413" s="16">
        <v>0.0</v>
      </c>
      <c r="S413" s="16">
        <v>3.0</v>
      </c>
      <c r="T413" s="3" t="s">
        <v>2594</v>
      </c>
    </row>
    <row r="414">
      <c r="A414" s="3" t="s">
        <v>9223</v>
      </c>
      <c r="B414" s="3" t="s">
        <v>8418</v>
      </c>
      <c r="C414" s="17">
        <v>46195.60416666667</v>
      </c>
      <c r="D414" s="17">
        <v>46195.625</v>
      </c>
      <c r="E414" s="25">
        <v>0.5</v>
      </c>
      <c r="G414" s="3" t="s">
        <v>9304</v>
      </c>
      <c r="H414" s="3" t="s">
        <v>8971</v>
      </c>
      <c r="I414" s="3" t="s">
        <v>9094</v>
      </c>
      <c r="J414" s="3" t="s">
        <v>6853</v>
      </c>
      <c r="K414" s="3" t="s">
        <v>8973</v>
      </c>
      <c r="L414" s="16">
        <v>2.0</v>
      </c>
      <c r="M414" s="3" t="s">
        <v>9225</v>
      </c>
      <c r="N414" s="3" t="s">
        <v>9225</v>
      </c>
      <c r="O414" s="3" t="s">
        <v>9010</v>
      </c>
      <c r="P414" s="16">
        <v>0.0</v>
      </c>
      <c r="Q414" s="16">
        <v>0.0</v>
      </c>
      <c r="R414" s="16">
        <v>0.0</v>
      </c>
      <c r="S414" s="16">
        <v>2.0</v>
      </c>
      <c r="T414" s="3" t="s">
        <v>2868</v>
      </c>
    </row>
    <row r="415">
      <c r="A415" s="3" t="s">
        <v>9307</v>
      </c>
      <c r="B415" s="3" t="s">
        <v>9137</v>
      </c>
      <c r="C415" s="17">
        <v>46196.5</v>
      </c>
      <c r="D415" s="17">
        <v>46196.52083333333</v>
      </c>
      <c r="E415" s="25">
        <v>0.5</v>
      </c>
      <c r="G415" s="3" t="s">
        <v>9138</v>
      </c>
      <c r="H415" s="3" t="s">
        <v>8971</v>
      </c>
      <c r="I415" s="3" t="s">
        <v>9077</v>
      </c>
      <c r="J415" s="3" t="s">
        <v>6950</v>
      </c>
      <c r="K415" s="3" t="s">
        <v>8973</v>
      </c>
      <c r="L415" s="16">
        <v>3.0</v>
      </c>
      <c r="M415" s="3" t="s">
        <v>9140</v>
      </c>
      <c r="N415" s="3" t="s">
        <v>9141</v>
      </c>
      <c r="O415" s="3" t="s">
        <v>9308</v>
      </c>
      <c r="P415" s="16">
        <v>2.0</v>
      </c>
      <c r="Q415" s="16">
        <v>0.0</v>
      </c>
      <c r="R415" s="16">
        <v>1.0</v>
      </c>
      <c r="S415" s="16">
        <v>0.0</v>
      </c>
      <c r="T415" s="3" t="s">
        <v>4466</v>
      </c>
    </row>
    <row r="416">
      <c r="A416" s="3" t="s">
        <v>9326</v>
      </c>
      <c r="B416" s="3" t="s">
        <v>8991</v>
      </c>
      <c r="C416" s="17">
        <v>46196.54166666667</v>
      </c>
      <c r="D416" s="17">
        <v>46196.5625</v>
      </c>
      <c r="E416" s="25">
        <v>0.5</v>
      </c>
      <c r="F416" s="2"/>
      <c r="G416" s="3" t="s">
        <v>8992</v>
      </c>
      <c r="H416" s="3" t="s">
        <v>8971</v>
      </c>
      <c r="I416" s="3" t="s">
        <v>9077</v>
      </c>
      <c r="J416" s="3" t="s">
        <v>6950</v>
      </c>
      <c r="K416" s="3" t="s">
        <v>8973</v>
      </c>
      <c r="L416" s="16">
        <v>4.0</v>
      </c>
      <c r="M416" s="3" t="s">
        <v>8993</v>
      </c>
      <c r="N416" s="3" t="s">
        <v>8993</v>
      </c>
      <c r="O416" s="3" t="s">
        <v>9204</v>
      </c>
      <c r="P416" s="16">
        <v>3.0</v>
      </c>
      <c r="Q416" s="16">
        <v>0.0</v>
      </c>
      <c r="R416" s="16">
        <v>0.0</v>
      </c>
      <c r="S416" s="16">
        <v>1.0</v>
      </c>
      <c r="T416" s="3" t="s">
        <v>861</v>
      </c>
    </row>
    <row r="417">
      <c r="A417" s="3" t="s">
        <v>9309</v>
      </c>
      <c r="B417" s="3" t="s">
        <v>6844</v>
      </c>
      <c r="C417" s="17">
        <v>46196.5625</v>
      </c>
      <c r="D417" s="17">
        <v>46196.58333333333</v>
      </c>
      <c r="E417" s="25">
        <v>0.5</v>
      </c>
      <c r="F417" s="2"/>
      <c r="G417" s="2"/>
      <c r="H417" s="3" t="s">
        <v>8971</v>
      </c>
      <c r="I417" s="3" t="s">
        <v>9094</v>
      </c>
      <c r="J417" s="3" t="s">
        <v>6853</v>
      </c>
      <c r="K417" s="3" t="s">
        <v>8973</v>
      </c>
      <c r="L417" s="16">
        <v>2.0</v>
      </c>
      <c r="M417" s="3" t="s">
        <v>9310</v>
      </c>
      <c r="N417" s="3" t="s">
        <v>9310</v>
      </c>
      <c r="O417" s="3" t="s">
        <v>9043</v>
      </c>
      <c r="P417" s="16">
        <v>1.0</v>
      </c>
      <c r="Q417" s="16">
        <v>0.0</v>
      </c>
      <c r="R417" s="16">
        <v>0.0</v>
      </c>
      <c r="S417" s="16">
        <v>1.0</v>
      </c>
      <c r="T417" s="3" t="s">
        <v>2616</v>
      </c>
    </row>
    <row r="418">
      <c r="A418" s="3" t="s">
        <v>9421</v>
      </c>
      <c r="B418" s="3" t="s">
        <v>9422</v>
      </c>
      <c r="C418" s="17">
        <v>46198.35416666667</v>
      </c>
      <c r="D418" s="17">
        <v>46198.375</v>
      </c>
      <c r="E418" s="25">
        <v>0.5</v>
      </c>
      <c r="F418" s="2"/>
      <c r="G418" s="2"/>
      <c r="H418" s="3" t="s">
        <v>8971</v>
      </c>
      <c r="I418" s="3" t="s">
        <v>9077</v>
      </c>
      <c r="J418" s="3" t="s">
        <v>6950</v>
      </c>
      <c r="K418" s="3" t="s">
        <v>8973</v>
      </c>
      <c r="L418" s="16">
        <v>4.0</v>
      </c>
      <c r="M418" s="3" t="s">
        <v>9423</v>
      </c>
      <c r="N418" s="3" t="s">
        <v>9423</v>
      </c>
      <c r="O418" s="3" t="s">
        <v>9002</v>
      </c>
      <c r="P418" s="16">
        <v>1.0</v>
      </c>
      <c r="Q418" s="16">
        <v>0.0</v>
      </c>
      <c r="R418" s="16">
        <v>0.0</v>
      </c>
      <c r="S418" s="16">
        <v>3.0</v>
      </c>
      <c r="T418" s="3" t="s">
        <v>693</v>
      </c>
    </row>
    <row r="419">
      <c r="A419" s="3" t="s">
        <v>9334</v>
      </c>
      <c r="B419" s="3" t="s">
        <v>9026</v>
      </c>
      <c r="C419" s="17">
        <v>46198.375</v>
      </c>
      <c r="D419" s="17">
        <v>46198.39583333333</v>
      </c>
      <c r="E419" s="25">
        <v>0.5</v>
      </c>
      <c r="G419" s="2"/>
      <c r="H419" s="3" t="s">
        <v>8971</v>
      </c>
      <c r="I419" s="3" t="s">
        <v>9077</v>
      </c>
      <c r="J419" s="3" t="s">
        <v>6950</v>
      </c>
      <c r="K419" s="3" t="s">
        <v>8973</v>
      </c>
      <c r="L419" s="16">
        <v>4.0</v>
      </c>
      <c r="M419" s="3" t="s">
        <v>9027</v>
      </c>
      <c r="N419" s="3" t="s">
        <v>9027</v>
      </c>
      <c r="O419" s="3" t="s">
        <v>9335</v>
      </c>
      <c r="P419" s="16">
        <v>2.0</v>
      </c>
      <c r="Q419" s="16">
        <v>0.0</v>
      </c>
      <c r="R419" s="16">
        <v>0.0</v>
      </c>
      <c r="S419" s="16">
        <v>2.0</v>
      </c>
      <c r="T419" s="3" t="s">
        <v>5681</v>
      </c>
    </row>
    <row r="420">
      <c r="A420" s="3" t="s">
        <v>9458</v>
      </c>
      <c r="B420" s="3" t="s">
        <v>9022</v>
      </c>
      <c r="C420" s="17">
        <v>46198.47916666667</v>
      </c>
      <c r="D420" s="17">
        <v>46198.5</v>
      </c>
      <c r="E420" s="25">
        <v>0.5</v>
      </c>
      <c r="G420" s="2"/>
      <c r="H420" s="3" t="s">
        <v>8971</v>
      </c>
      <c r="I420" s="3" t="s">
        <v>9077</v>
      </c>
      <c r="J420" s="3" t="s">
        <v>6950</v>
      </c>
      <c r="K420" s="3" t="s">
        <v>8973</v>
      </c>
      <c r="L420" s="16">
        <v>2.0</v>
      </c>
      <c r="M420" s="3" t="s">
        <v>9023</v>
      </c>
      <c r="N420" s="3" t="s">
        <v>9023</v>
      </c>
      <c r="O420" s="3" t="s">
        <v>9024</v>
      </c>
      <c r="P420" s="16">
        <v>2.0</v>
      </c>
      <c r="Q420" s="16">
        <v>0.0</v>
      </c>
      <c r="R420" s="16">
        <v>0.0</v>
      </c>
      <c r="S420" s="16">
        <v>0.0</v>
      </c>
      <c r="T420" s="3" t="s">
        <v>5396</v>
      </c>
    </row>
    <row r="421">
      <c r="A421" s="3" t="s">
        <v>9459</v>
      </c>
      <c r="B421" s="3" t="s">
        <v>9460</v>
      </c>
      <c r="C421" s="17">
        <v>46198.5</v>
      </c>
      <c r="D421" s="17">
        <v>46198.52083333333</v>
      </c>
      <c r="E421" s="25">
        <v>0.5</v>
      </c>
      <c r="F421" s="2"/>
      <c r="G421" s="2"/>
      <c r="H421" s="3" t="s">
        <v>8971</v>
      </c>
      <c r="I421" s="3" t="s">
        <v>9094</v>
      </c>
      <c r="J421" s="3" t="s">
        <v>6853</v>
      </c>
      <c r="K421" s="3" t="s">
        <v>8973</v>
      </c>
      <c r="L421" s="16">
        <v>1.0</v>
      </c>
      <c r="M421" s="3" t="s">
        <v>8912</v>
      </c>
      <c r="N421" s="3" t="s">
        <v>8912</v>
      </c>
      <c r="O421" s="3" t="s">
        <v>9077</v>
      </c>
      <c r="P421" s="16">
        <v>1.0</v>
      </c>
      <c r="Q421" s="16">
        <v>0.0</v>
      </c>
      <c r="R421" s="16">
        <v>0.0</v>
      </c>
      <c r="S421" s="16">
        <v>0.0</v>
      </c>
      <c r="T421" s="3" t="s">
        <v>1195</v>
      </c>
    </row>
    <row r="422">
      <c r="A422" s="3" t="s">
        <v>9340</v>
      </c>
      <c r="B422" s="3" t="s">
        <v>9176</v>
      </c>
      <c r="C422" s="17">
        <v>46198.52083333333</v>
      </c>
      <c r="D422" s="17">
        <v>46198.54166666667</v>
      </c>
      <c r="E422" s="25">
        <v>0.5</v>
      </c>
      <c r="F422" s="2"/>
      <c r="G422" s="2"/>
      <c r="H422" s="3" t="s">
        <v>8971</v>
      </c>
      <c r="I422" s="3" t="s">
        <v>9077</v>
      </c>
      <c r="J422" s="3" t="s">
        <v>6950</v>
      </c>
      <c r="K422" s="3" t="s">
        <v>8973</v>
      </c>
      <c r="L422" s="16">
        <v>5.0</v>
      </c>
      <c r="M422" s="3" t="s">
        <v>9341</v>
      </c>
      <c r="N422" s="3" t="s">
        <v>9341</v>
      </c>
      <c r="O422" s="3" t="s">
        <v>9342</v>
      </c>
      <c r="P422" s="16">
        <v>4.0</v>
      </c>
      <c r="Q422" s="16">
        <v>0.0</v>
      </c>
      <c r="R422" s="16">
        <v>0.0</v>
      </c>
      <c r="S422" s="16">
        <v>1.0</v>
      </c>
      <c r="T422" s="2"/>
    </row>
    <row r="423">
      <c r="A423" s="3" t="s">
        <v>9443</v>
      </c>
      <c r="B423" s="3" t="s">
        <v>8085</v>
      </c>
      <c r="C423" s="17">
        <v>46199.54166666667</v>
      </c>
      <c r="D423" s="17">
        <v>46199.5625</v>
      </c>
      <c r="E423" s="25">
        <v>0.5</v>
      </c>
      <c r="F423" s="2"/>
      <c r="G423" s="2"/>
      <c r="H423" s="3" t="s">
        <v>8971</v>
      </c>
      <c r="I423" s="3" t="s">
        <v>9077</v>
      </c>
      <c r="J423" s="3" t="s">
        <v>9206</v>
      </c>
      <c r="K423" s="3" t="s">
        <v>8973</v>
      </c>
      <c r="L423" s="16">
        <v>5.0</v>
      </c>
      <c r="M423" s="3" t="s">
        <v>9207</v>
      </c>
      <c r="N423" s="3" t="s">
        <v>9208</v>
      </c>
      <c r="O423" s="3" t="s">
        <v>9444</v>
      </c>
      <c r="P423" s="16">
        <v>4.0</v>
      </c>
      <c r="Q423" s="16">
        <v>1.0</v>
      </c>
      <c r="R423" s="16">
        <v>0.0</v>
      </c>
      <c r="S423" s="16">
        <v>0.0</v>
      </c>
      <c r="T423" s="3" t="s">
        <v>453</v>
      </c>
    </row>
    <row r="424">
      <c r="A424" s="3" t="s">
        <v>9441</v>
      </c>
      <c r="B424" s="3" t="s">
        <v>7840</v>
      </c>
      <c r="C424" s="17">
        <v>46202.58333333333</v>
      </c>
      <c r="D424" s="17">
        <v>46202.60416666667</v>
      </c>
      <c r="E424" s="25">
        <v>0.5</v>
      </c>
      <c r="F424" s="2"/>
      <c r="G424" s="2"/>
      <c r="H424" s="3" t="s">
        <v>8971</v>
      </c>
      <c r="I424" s="3" t="s">
        <v>9094</v>
      </c>
      <c r="J424" s="3" t="s">
        <v>6853</v>
      </c>
      <c r="K424" s="3" t="s">
        <v>8973</v>
      </c>
      <c r="L424" s="16">
        <v>4.0</v>
      </c>
      <c r="M424" s="3" t="s">
        <v>9166</v>
      </c>
      <c r="N424" s="3" t="s">
        <v>9166</v>
      </c>
      <c r="O424" s="3" t="s">
        <v>9002</v>
      </c>
      <c r="P424" s="16">
        <v>1.0</v>
      </c>
      <c r="Q424" s="16">
        <v>0.0</v>
      </c>
      <c r="R424" s="16">
        <v>0.0</v>
      </c>
      <c r="S424" s="16">
        <v>3.0</v>
      </c>
      <c r="T424" s="3" t="s">
        <v>5544</v>
      </c>
    </row>
    <row r="425">
      <c r="A425" s="3" t="s">
        <v>9223</v>
      </c>
      <c r="B425" s="3" t="s">
        <v>8418</v>
      </c>
      <c r="C425" s="17">
        <v>46202.60416666667</v>
      </c>
      <c r="D425" s="17">
        <v>46202.625</v>
      </c>
      <c r="E425" s="25">
        <v>0.5</v>
      </c>
      <c r="G425" s="3" t="s">
        <v>9304</v>
      </c>
      <c r="H425" s="3" t="s">
        <v>8971</v>
      </c>
      <c r="I425" s="3" t="s">
        <v>9094</v>
      </c>
      <c r="J425" s="3" t="s">
        <v>6853</v>
      </c>
      <c r="K425" s="3" t="s">
        <v>8973</v>
      </c>
      <c r="L425" s="16">
        <v>2.0</v>
      </c>
      <c r="M425" s="3" t="s">
        <v>9225</v>
      </c>
      <c r="N425" s="3" t="s">
        <v>9225</v>
      </c>
      <c r="O425" s="3" t="s">
        <v>9010</v>
      </c>
      <c r="P425" s="16">
        <v>0.0</v>
      </c>
      <c r="Q425" s="16">
        <v>0.0</v>
      </c>
      <c r="R425" s="16">
        <v>0.0</v>
      </c>
      <c r="S425" s="16">
        <v>2.0</v>
      </c>
      <c r="T425" s="3" t="s">
        <v>2868</v>
      </c>
    </row>
    <row r="426">
      <c r="A426" s="3" t="s">
        <v>9307</v>
      </c>
      <c r="B426" s="3" t="s">
        <v>9137</v>
      </c>
      <c r="C426" s="17">
        <v>46203.5</v>
      </c>
      <c r="D426" s="17">
        <v>46203.52083333333</v>
      </c>
      <c r="E426" s="25">
        <v>0.5</v>
      </c>
      <c r="G426" s="3" t="s">
        <v>9138</v>
      </c>
      <c r="H426" s="3" t="s">
        <v>8971</v>
      </c>
      <c r="I426" s="3" t="s">
        <v>9077</v>
      </c>
      <c r="J426" s="3" t="s">
        <v>6950</v>
      </c>
      <c r="K426" s="3" t="s">
        <v>8973</v>
      </c>
      <c r="L426" s="16">
        <v>3.0</v>
      </c>
      <c r="M426" s="3" t="s">
        <v>9140</v>
      </c>
      <c r="N426" s="3" t="s">
        <v>9141</v>
      </c>
      <c r="O426" s="3" t="s">
        <v>9308</v>
      </c>
      <c r="P426" s="16">
        <v>2.0</v>
      </c>
      <c r="Q426" s="16">
        <v>0.0</v>
      </c>
      <c r="R426" s="16">
        <v>1.0</v>
      </c>
      <c r="S426" s="16">
        <v>0.0</v>
      </c>
      <c r="T426" s="3" t="s">
        <v>4466</v>
      </c>
    </row>
    <row r="427">
      <c r="A427" s="3" t="s">
        <v>9309</v>
      </c>
      <c r="B427" s="3" t="s">
        <v>6844</v>
      </c>
      <c r="C427" s="17">
        <v>46203.5625</v>
      </c>
      <c r="D427" s="17">
        <v>46203.58333333333</v>
      </c>
      <c r="E427" s="25">
        <v>0.5</v>
      </c>
      <c r="F427" s="2"/>
      <c r="G427" s="2"/>
      <c r="H427" s="3" t="s">
        <v>8971</v>
      </c>
      <c r="I427" s="3" t="s">
        <v>9094</v>
      </c>
      <c r="J427" s="3" t="s">
        <v>6853</v>
      </c>
      <c r="K427" s="3" t="s">
        <v>8973</v>
      </c>
      <c r="L427" s="16">
        <v>2.0</v>
      </c>
      <c r="M427" s="3" t="s">
        <v>9310</v>
      </c>
      <c r="N427" s="3" t="s">
        <v>9310</v>
      </c>
      <c r="O427" s="3" t="s">
        <v>9043</v>
      </c>
      <c r="P427" s="16">
        <v>1.0</v>
      </c>
      <c r="Q427" s="16">
        <v>0.0</v>
      </c>
      <c r="R427" s="16">
        <v>0.0</v>
      </c>
      <c r="S427" s="16">
        <v>1.0</v>
      </c>
      <c r="T427" s="3" t="s">
        <v>2616</v>
      </c>
    </row>
    <row r="428">
      <c r="A428" s="3" t="s">
        <v>9442</v>
      </c>
      <c r="B428" s="3" t="s">
        <v>8969</v>
      </c>
      <c r="C428" s="17">
        <v>46203.58333333333</v>
      </c>
      <c r="D428" s="17">
        <v>46203.60416666667</v>
      </c>
      <c r="E428" s="25">
        <v>0.5</v>
      </c>
      <c r="G428" s="3" t="s">
        <v>8970</v>
      </c>
      <c r="H428" s="3" t="s">
        <v>8971</v>
      </c>
      <c r="I428" s="3" t="s">
        <v>9094</v>
      </c>
      <c r="J428" s="3" t="s">
        <v>6853</v>
      </c>
      <c r="K428" s="3" t="s">
        <v>8973</v>
      </c>
      <c r="L428" s="16">
        <v>3.0</v>
      </c>
      <c r="M428" s="3" t="s">
        <v>9436</v>
      </c>
      <c r="N428" s="3" t="s">
        <v>9436</v>
      </c>
      <c r="O428" s="3" t="s">
        <v>9147</v>
      </c>
      <c r="P428" s="16">
        <v>2.0</v>
      </c>
      <c r="Q428" s="16">
        <v>0.0</v>
      </c>
      <c r="R428" s="16">
        <v>0.0</v>
      </c>
      <c r="S428" s="16">
        <v>1.0</v>
      </c>
      <c r="T428" s="3" t="s">
        <v>5498</v>
      </c>
    </row>
    <row r="429">
      <c r="A429" s="3" t="s">
        <v>9384</v>
      </c>
      <c r="B429" s="3" t="s">
        <v>9015</v>
      </c>
      <c r="C429" s="17">
        <v>46204.54166666667</v>
      </c>
      <c r="D429" s="17">
        <v>46204.5625</v>
      </c>
      <c r="E429" s="25">
        <v>0.5</v>
      </c>
      <c r="F429" s="2"/>
      <c r="G429" s="2"/>
      <c r="H429" s="3" t="s">
        <v>8971</v>
      </c>
      <c r="I429" s="3" t="s">
        <v>9077</v>
      </c>
      <c r="J429" s="3" t="s">
        <v>6950</v>
      </c>
      <c r="K429" s="3" t="s">
        <v>8973</v>
      </c>
      <c r="L429" s="16">
        <v>3.0</v>
      </c>
      <c r="M429" s="3" t="s">
        <v>9016</v>
      </c>
      <c r="N429" s="3" t="s">
        <v>9016</v>
      </c>
      <c r="O429" s="3" t="s">
        <v>9017</v>
      </c>
      <c r="P429" s="16">
        <v>3.0</v>
      </c>
      <c r="Q429" s="16">
        <v>0.0</v>
      </c>
      <c r="R429" s="16">
        <v>0.0</v>
      </c>
      <c r="S429" s="16">
        <v>0.0</v>
      </c>
      <c r="T429" s="3" t="s">
        <v>1975</v>
      </c>
    </row>
    <row r="430">
      <c r="A430" s="3" t="s">
        <v>9336</v>
      </c>
      <c r="B430" s="3" t="s">
        <v>8080</v>
      </c>
      <c r="C430" s="17">
        <v>46205.39583333333</v>
      </c>
      <c r="D430" s="17">
        <v>46205.41666666667</v>
      </c>
      <c r="E430" s="25">
        <v>0.5</v>
      </c>
      <c r="F430" s="2"/>
      <c r="G430" s="3" t="s">
        <v>9337</v>
      </c>
      <c r="H430" s="3" t="s">
        <v>8971</v>
      </c>
      <c r="I430" s="3" t="s">
        <v>9077</v>
      </c>
      <c r="J430" s="3" t="s">
        <v>9206</v>
      </c>
      <c r="K430" s="3" t="s">
        <v>8973</v>
      </c>
      <c r="L430" s="16">
        <v>7.0</v>
      </c>
      <c r="M430" s="3" t="s">
        <v>9338</v>
      </c>
      <c r="N430" s="3" t="s">
        <v>9338</v>
      </c>
      <c r="O430" s="3" t="s">
        <v>9457</v>
      </c>
      <c r="P430" s="16">
        <v>5.0</v>
      </c>
      <c r="Q430" s="16">
        <v>0.0</v>
      </c>
      <c r="R430" s="16">
        <v>0.0</v>
      </c>
      <c r="S430" s="16">
        <v>2.0</v>
      </c>
      <c r="T430" s="3" t="s">
        <v>3028</v>
      </c>
    </row>
    <row r="431">
      <c r="A431" s="3" t="s">
        <v>9262</v>
      </c>
      <c r="B431" s="3" t="s">
        <v>9263</v>
      </c>
      <c r="C431" s="17">
        <v>46205.4375</v>
      </c>
      <c r="D431" s="17">
        <v>46205.45833333333</v>
      </c>
      <c r="E431" s="25">
        <v>0.5</v>
      </c>
      <c r="F431" s="2"/>
      <c r="G431" s="2"/>
      <c r="H431" s="3" t="s">
        <v>8971</v>
      </c>
      <c r="I431" s="3" t="s">
        <v>9077</v>
      </c>
      <c r="J431" s="3" t="s">
        <v>6950</v>
      </c>
      <c r="K431" s="3" t="s">
        <v>8973</v>
      </c>
      <c r="L431" s="16">
        <v>4.0</v>
      </c>
      <c r="M431" s="3" t="s">
        <v>9311</v>
      </c>
      <c r="N431" s="3" t="s">
        <v>9312</v>
      </c>
      <c r="O431" s="3" t="s">
        <v>9167</v>
      </c>
      <c r="P431" s="16">
        <v>4.0</v>
      </c>
      <c r="Q431" s="16">
        <v>0.0</v>
      </c>
      <c r="R431" s="16">
        <v>0.0</v>
      </c>
      <c r="S431" s="16">
        <v>0.0</v>
      </c>
      <c r="T431" s="3" t="s">
        <v>2672</v>
      </c>
    </row>
    <row r="432">
      <c r="A432" s="3" t="s">
        <v>9314</v>
      </c>
      <c r="B432" s="3" t="s">
        <v>9315</v>
      </c>
      <c r="C432" s="17">
        <v>46205.58333333333</v>
      </c>
      <c r="D432" s="17">
        <v>46205.60416666667</v>
      </c>
      <c r="E432" s="25">
        <v>0.5</v>
      </c>
      <c r="G432" s="2"/>
      <c r="H432" s="3" t="s">
        <v>8971</v>
      </c>
      <c r="I432" s="3" t="s">
        <v>9077</v>
      </c>
      <c r="J432" s="3" t="s">
        <v>6950</v>
      </c>
      <c r="K432" s="3" t="s">
        <v>8973</v>
      </c>
      <c r="L432" s="16">
        <v>6.0</v>
      </c>
      <c r="M432" s="3" t="s">
        <v>9316</v>
      </c>
      <c r="N432" s="3" t="s">
        <v>9316</v>
      </c>
      <c r="O432" s="3" t="s">
        <v>9397</v>
      </c>
      <c r="P432" s="16">
        <v>1.0</v>
      </c>
      <c r="Q432" s="16">
        <v>3.0</v>
      </c>
      <c r="R432" s="16">
        <v>0.0</v>
      </c>
      <c r="S432" s="16">
        <v>2.0</v>
      </c>
      <c r="T432" s="3" t="s">
        <v>5285</v>
      </c>
    </row>
    <row r="433">
      <c r="A433" s="3" t="s">
        <v>9320</v>
      </c>
      <c r="B433" s="3" t="s">
        <v>9196</v>
      </c>
      <c r="C433" s="17">
        <v>46206.39583333333</v>
      </c>
      <c r="D433" s="17">
        <v>46206.41666666667</v>
      </c>
      <c r="E433" s="25">
        <v>0.5</v>
      </c>
      <c r="F433" s="2"/>
      <c r="G433" s="3" t="s">
        <v>9197</v>
      </c>
      <c r="H433" s="3" t="s">
        <v>8971</v>
      </c>
      <c r="I433" s="3" t="s">
        <v>9077</v>
      </c>
      <c r="J433" s="3" t="s">
        <v>6950</v>
      </c>
      <c r="K433" s="3" t="s">
        <v>8973</v>
      </c>
      <c r="L433" s="16">
        <v>4.0</v>
      </c>
      <c r="M433" s="3" t="s">
        <v>9198</v>
      </c>
      <c r="N433" s="3" t="s">
        <v>9198</v>
      </c>
      <c r="O433" s="3" t="s">
        <v>9321</v>
      </c>
      <c r="P433" s="16">
        <v>2.0</v>
      </c>
      <c r="Q433" s="16">
        <v>1.0</v>
      </c>
      <c r="R433" s="16">
        <v>0.0</v>
      </c>
      <c r="S433" s="16">
        <v>1.0</v>
      </c>
      <c r="T433" s="3" t="s">
        <v>1969</v>
      </c>
    </row>
    <row r="434">
      <c r="A434" s="3" t="s">
        <v>9410</v>
      </c>
      <c r="B434" s="3" t="s">
        <v>7147</v>
      </c>
      <c r="C434" s="17">
        <v>46209.54166666667</v>
      </c>
      <c r="D434" s="17">
        <v>46209.5625</v>
      </c>
      <c r="E434" s="25">
        <v>0.5</v>
      </c>
      <c r="F434" s="13" t="s">
        <v>9411</v>
      </c>
      <c r="G434" s="3" t="s">
        <v>9412</v>
      </c>
      <c r="H434" s="3" t="s">
        <v>8971</v>
      </c>
      <c r="I434" s="3" t="s">
        <v>9094</v>
      </c>
      <c r="J434" s="3" t="s">
        <v>6853</v>
      </c>
      <c r="K434" s="3" t="s">
        <v>8973</v>
      </c>
      <c r="L434" s="16">
        <v>4.0</v>
      </c>
      <c r="M434" s="3" t="s">
        <v>9349</v>
      </c>
      <c r="N434" s="3" t="s">
        <v>9349</v>
      </c>
      <c r="O434" s="3" t="s">
        <v>9002</v>
      </c>
      <c r="P434" s="16">
        <v>1.0</v>
      </c>
      <c r="Q434" s="16">
        <v>0.0</v>
      </c>
      <c r="R434" s="16">
        <v>0.0</v>
      </c>
      <c r="S434" s="16">
        <v>3.0</v>
      </c>
      <c r="T434" s="3" t="s">
        <v>1725</v>
      </c>
    </row>
    <row r="435">
      <c r="A435" s="3" t="s">
        <v>9325</v>
      </c>
      <c r="B435" s="3" t="s">
        <v>9000</v>
      </c>
      <c r="C435" s="17">
        <v>46209.58333333333</v>
      </c>
      <c r="D435" s="17">
        <v>46209.60416666667</v>
      </c>
      <c r="E435" s="25">
        <v>0.5</v>
      </c>
      <c r="G435" s="2"/>
      <c r="H435" s="3" t="s">
        <v>8971</v>
      </c>
      <c r="I435" s="3" t="s">
        <v>8972</v>
      </c>
      <c r="J435" s="3" t="s">
        <v>6950</v>
      </c>
      <c r="K435" s="3" t="s">
        <v>8973</v>
      </c>
      <c r="L435" s="16">
        <v>4.0</v>
      </c>
      <c r="M435" s="3" t="s">
        <v>9001</v>
      </c>
      <c r="N435" s="3" t="s">
        <v>9001</v>
      </c>
      <c r="O435" s="3" t="s">
        <v>9002</v>
      </c>
      <c r="P435" s="16">
        <v>1.0</v>
      </c>
      <c r="Q435" s="16">
        <v>0.0</v>
      </c>
      <c r="R435" s="16">
        <v>0.0</v>
      </c>
      <c r="S435" s="16">
        <v>3.0</v>
      </c>
      <c r="T435" s="3" t="s">
        <v>2594</v>
      </c>
    </row>
    <row r="436">
      <c r="A436" s="3" t="s">
        <v>9223</v>
      </c>
      <c r="B436" s="3" t="s">
        <v>8418</v>
      </c>
      <c r="C436" s="17">
        <v>46209.60416666667</v>
      </c>
      <c r="D436" s="17">
        <v>46209.625</v>
      </c>
      <c r="E436" s="25">
        <v>0.5</v>
      </c>
      <c r="G436" s="3" t="s">
        <v>9304</v>
      </c>
      <c r="H436" s="3" t="s">
        <v>8971</v>
      </c>
      <c r="I436" s="3" t="s">
        <v>9094</v>
      </c>
      <c r="J436" s="3" t="s">
        <v>6853</v>
      </c>
      <c r="K436" s="3" t="s">
        <v>8973</v>
      </c>
      <c r="L436" s="16">
        <v>2.0</v>
      </c>
      <c r="M436" s="3" t="s">
        <v>9225</v>
      </c>
      <c r="N436" s="3" t="s">
        <v>9225</v>
      </c>
      <c r="O436" s="3" t="s">
        <v>9010</v>
      </c>
      <c r="P436" s="16">
        <v>0.0</v>
      </c>
      <c r="Q436" s="16">
        <v>0.0</v>
      </c>
      <c r="R436" s="16">
        <v>0.0</v>
      </c>
      <c r="S436" s="16">
        <v>2.0</v>
      </c>
      <c r="T436" s="3" t="s">
        <v>2868</v>
      </c>
    </row>
    <row r="437">
      <c r="A437" s="3" t="s">
        <v>9416</v>
      </c>
      <c r="B437" s="3" t="s">
        <v>9417</v>
      </c>
      <c r="C437" s="17">
        <v>46210.45833333333</v>
      </c>
      <c r="D437" s="17">
        <v>46210.47916666667</v>
      </c>
      <c r="E437" s="25">
        <v>0.5</v>
      </c>
      <c r="F437" s="2"/>
      <c r="G437" s="3" t="s">
        <v>9418</v>
      </c>
      <c r="H437" s="3" t="s">
        <v>8971</v>
      </c>
      <c r="I437" s="3" t="s">
        <v>9094</v>
      </c>
      <c r="J437" s="3" t="s">
        <v>6853</v>
      </c>
      <c r="K437" s="3" t="s">
        <v>8973</v>
      </c>
      <c r="L437" s="16">
        <v>5.0</v>
      </c>
      <c r="M437" s="3" t="s">
        <v>9480</v>
      </c>
      <c r="N437" s="3" t="s">
        <v>9480</v>
      </c>
      <c r="O437" s="3" t="s">
        <v>9432</v>
      </c>
      <c r="P437" s="16">
        <v>0.0</v>
      </c>
      <c r="Q437" s="16">
        <v>0.0</v>
      </c>
      <c r="R437" s="16">
        <v>0.0</v>
      </c>
      <c r="S437" s="16">
        <v>5.0</v>
      </c>
      <c r="T437" s="3" t="s">
        <v>5602</v>
      </c>
    </row>
    <row r="438">
      <c r="A438" s="3" t="s">
        <v>9307</v>
      </c>
      <c r="B438" s="3" t="s">
        <v>9137</v>
      </c>
      <c r="C438" s="17">
        <v>46210.5</v>
      </c>
      <c r="D438" s="17">
        <v>46210.52083333333</v>
      </c>
      <c r="E438" s="25">
        <v>0.5</v>
      </c>
      <c r="F438" s="2"/>
      <c r="G438" s="3" t="s">
        <v>9138</v>
      </c>
      <c r="H438" s="3" t="s">
        <v>8971</v>
      </c>
      <c r="I438" s="3" t="s">
        <v>9077</v>
      </c>
      <c r="J438" s="3" t="s">
        <v>6950</v>
      </c>
      <c r="K438" s="3" t="s">
        <v>8973</v>
      </c>
      <c r="L438" s="16">
        <v>3.0</v>
      </c>
      <c r="M438" s="3" t="s">
        <v>9140</v>
      </c>
      <c r="N438" s="3" t="s">
        <v>9141</v>
      </c>
      <c r="O438" s="3" t="s">
        <v>9308</v>
      </c>
      <c r="P438" s="16">
        <v>2.0</v>
      </c>
      <c r="Q438" s="16">
        <v>0.0</v>
      </c>
      <c r="R438" s="16">
        <v>1.0</v>
      </c>
      <c r="S438" s="16">
        <v>0.0</v>
      </c>
      <c r="T438" s="3" t="s">
        <v>4466</v>
      </c>
    </row>
    <row r="439">
      <c r="A439" s="3" t="s">
        <v>9309</v>
      </c>
      <c r="B439" s="3" t="s">
        <v>6844</v>
      </c>
      <c r="C439" s="17">
        <v>46210.5625</v>
      </c>
      <c r="D439" s="17">
        <v>46210.58333333333</v>
      </c>
      <c r="E439" s="25">
        <v>0.5</v>
      </c>
      <c r="G439" s="2"/>
      <c r="H439" s="3" t="s">
        <v>8971</v>
      </c>
      <c r="I439" s="3" t="s">
        <v>9094</v>
      </c>
      <c r="J439" s="3" t="s">
        <v>6853</v>
      </c>
      <c r="K439" s="3" t="s">
        <v>8973</v>
      </c>
      <c r="L439" s="16">
        <v>2.0</v>
      </c>
      <c r="M439" s="3" t="s">
        <v>9310</v>
      </c>
      <c r="N439" s="3" t="s">
        <v>9310</v>
      </c>
      <c r="O439" s="3" t="s">
        <v>9043</v>
      </c>
      <c r="P439" s="16">
        <v>1.0</v>
      </c>
      <c r="Q439" s="16">
        <v>0.0</v>
      </c>
      <c r="R439" s="16">
        <v>0.0</v>
      </c>
      <c r="S439" s="16">
        <v>1.0</v>
      </c>
      <c r="T439" s="3" t="s">
        <v>2616</v>
      </c>
    </row>
    <row r="440">
      <c r="A440" s="3" t="s">
        <v>9453</v>
      </c>
      <c r="B440" s="3" t="s">
        <v>9454</v>
      </c>
      <c r="C440" s="17">
        <v>46210.58333333333</v>
      </c>
      <c r="D440" s="17">
        <v>46210.60416666667</v>
      </c>
      <c r="E440" s="25">
        <v>0.5</v>
      </c>
      <c r="G440" s="3" t="s">
        <v>9455</v>
      </c>
      <c r="H440" s="3" t="s">
        <v>8971</v>
      </c>
      <c r="I440" s="3" t="s">
        <v>9077</v>
      </c>
      <c r="J440" s="3" t="s">
        <v>6950</v>
      </c>
      <c r="K440" s="3" t="s">
        <v>8973</v>
      </c>
      <c r="L440" s="16">
        <v>9.0</v>
      </c>
      <c r="M440" s="3" t="s">
        <v>8982</v>
      </c>
      <c r="N440" s="3" t="s">
        <v>8983</v>
      </c>
      <c r="O440" s="3" t="s">
        <v>9456</v>
      </c>
      <c r="P440" s="16">
        <v>2.0</v>
      </c>
      <c r="Q440" s="16">
        <v>0.0</v>
      </c>
      <c r="R440" s="16">
        <v>1.0</v>
      </c>
      <c r="S440" s="16">
        <v>6.0</v>
      </c>
      <c r="T440" s="3" t="s">
        <v>2109</v>
      </c>
    </row>
    <row r="441">
      <c r="A441" s="3" t="s">
        <v>9481</v>
      </c>
      <c r="B441" s="3" t="s">
        <v>7310</v>
      </c>
      <c r="C441" s="17">
        <v>46212.41666666667</v>
      </c>
      <c r="D441" s="17">
        <v>46212.4375</v>
      </c>
      <c r="E441" s="25">
        <v>0.5</v>
      </c>
      <c r="G441" s="3" t="s">
        <v>9482</v>
      </c>
      <c r="H441" s="3" t="s">
        <v>8971</v>
      </c>
      <c r="I441" s="3" t="s">
        <v>9094</v>
      </c>
      <c r="J441" s="3" t="s">
        <v>6853</v>
      </c>
      <c r="K441" s="3" t="s">
        <v>8973</v>
      </c>
      <c r="L441" s="16">
        <v>3.0</v>
      </c>
      <c r="M441" s="3" t="s">
        <v>9483</v>
      </c>
      <c r="N441" s="3" t="s">
        <v>9483</v>
      </c>
      <c r="O441" s="3" t="s">
        <v>9147</v>
      </c>
      <c r="P441" s="16">
        <v>2.0</v>
      </c>
      <c r="Q441" s="16">
        <v>0.0</v>
      </c>
      <c r="R441" s="16">
        <v>0.0</v>
      </c>
      <c r="S441" s="16">
        <v>1.0</v>
      </c>
      <c r="T441" s="3" t="s">
        <v>5815</v>
      </c>
    </row>
    <row r="442">
      <c r="A442" s="3" t="s">
        <v>9459</v>
      </c>
      <c r="B442" s="3" t="s">
        <v>9460</v>
      </c>
      <c r="C442" s="17">
        <v>46212.5</v>
      </c>
      <c r="D442" s="17">
        <v>46212.52083333333</v>
      </c>
      <c r="E442" s="25">
        <v>0.5</v>
      </c>
      <c r="F442" s="2"/>
      <c r="G442" s="2"/>
      <c r="H442" s="3" t="s">
        <v>8971</v>
      </c>
      <c r="I442" s="3" t="s">
        <v>9094</v>
      </c>
      <c r="J442" s="3" t="s">
        <v>6853</v>
      </c>
      <c r="K442" s="3" t="s">
        <v>8973</v>
      </c>
      <c r="L442" s="16">
        <v>1.0</v>
      </c>
      <c r="M442" s="3" t="s">
        <v>8912</v>
      </c>
      <c r="N442" s="3" t="s">
        <v>8912</v>
      </c>
      <c r="O442" s="3" t="s">
        <v>9077</v>
      </c>
      <c r="P442" s="16">
        <v>1.0</v>
      </c>
      <c r="Q442" s="16">
        <v>0.0</v>
      </c>
      <c r="R442" s="16">
        <v>0.0</v>
      </c>
      <c r="S442" s="16">
        <v>0.0</v>
      </c>
      <c r="T442" s="3" t="s">
        <v>1195</v>
      </c>
    </row>
    <row r="443">
      <c r="A443" s="3" t="s">
        <v>9340</v>
      </c>
      <c r="B443" s="3" t="s">
        <v>9176</v>
      </c>
      <c r="C443" s="17">
        <v>46212.52083333333</v>
      </c>
      <c r="D443" s="17">
        <v>46212.54166666667</v>
      </c>
      <c r="E443" s="25">
        <v>0.5</v>
      </c>
      <c r="F443" s="2"/>
      <c r="G443" s="2"/>
      <c r="H443" s="3" t="s">
        <v>8971</v>
      </c>
      <c r="I443" s="3" t="s">
        <v>9077</v>
      </c>
      <c r="J443" s="3" t="s">
        <v>6950</v>
      </c>
      <c r="K443" s="3" t="s">
        <v>8973</v>
      </c>
      <c r="L443" s="16">
        <v>5.0</v>
      </c>
      <c r="M443" s="3" t="s">
        <v>9341</v>
      </c>
      <c r="N443" s="3" t="s">
        <v>9341</v>
      </c>
      <c r="O443" s="3" t="s">
        <v>9342</v>
      </c>
      <c r="P443" s="16">
        <v>4.0</v>
      </c>
      <c r="Q443" s="16">
        <v>0.0</v>
      </c>
      <c r="R443" s="16">
        <v>0.0</v>
      </c>
      <c r="S443" s="16">
        <v>1.0</v>
      </c>
      <c r="T443" s="2"/>
    </row>
    <row r="444">
      <c r="A444" s="3" t="s">
        <v>9441</v>
      </c>
      <c r="B444" s="3" t="s">
        <v>7840</v>
      </c>
      <c r="C444" s="17">
        <v>46216.58333333333</v>
      </c>
      <c r="D444" s="17">
        <v>46216.60416666667</v>
      </c>
      <c r="E444" s="25">
        <v>0.5</v>
      </c>
      <c r="F444" s="2"/>
      <c r="G444" s="2"/>
      <c r="H444" s="3" t="s">
        <v>8971</v>
      </c>
      <c r="I444" s="3" t="s">
        <v>9094</v>
      </c>
      <c r="J444" s="3" t="s">
        <v>6853</v>
      </c>
      <c r="K444" s="3" t="s">
        <v>8973</v>
      </c>
      <c r="L444" s="16">
        <v>4.0</v>
      </c>
      <c r="M444" s="3" t="s">
        <v>9166</v>
      </c>
      <c r="N444" s="3" t="s">
        <v>9166</v>
      </c>
      <c r="O444" s="3" t="s">
        <v>9002</v>
      </c>
      <c r="P444" s="16">
        <v>1.0</v>
      </c>
      <c r="Q444" s="16">
        <v>0.0</v>
      </c>
      <c r="R444" s="16">
        <v>0.0</v>
      </c>
      <c r="S444" s="16">
        <v>3.0</v>
      </c>
      <c r="T444" s="3" t="s">
        <v>5544</v>
      </c>
    </row>
    <row r="445">
      <c r="A445" s="3" t="s">
        <v>9437</v>
      </c>
      <c r="B445" s="3" t="s">
        <v>9438</v>
      </c>
      <c r="C445" s="17">
        <v>46216.60416666667</v>
      </c>
      <c r="D445" s="17">
        <v>46216.625</v>
      </c>
      <c r="E445" s="25">
        <v>0.5</v>
      </c>
      <c r="F445" s="2"/>
      <c r="G445" s="2"/>
      <c r="H445" s="3" t="s">
        <v>8971</v>
      </c>
      <c r="I445" s="3" t="s">
        <v>9006</v>
      </c>
      <c r="J445" s="3" t="s">
        <v>6950</v>
      </c>
      <c r="K445" s="3" t="s">
        <v>8973</v>
      </c>
      <c r="L445" s="16">
        <v>4.0</v>
      </c>
      <c r="M445" s="3" t="s">
        <v>9439</v>
      </c>
      <c r="N445" s="3" t="s">
        <v>9439</v>
      </c>
      <c r="O445" s="3" t="s">
        <v>9440</v>
      </c>
      <c r="P445" s="16">
        <v>2.0</v>
      </c>
      <c r="Q445" s="16">
        <v>0.0</v>
      </c>
      <c r="R445" s="16">
        <v>0.0</v>
      </c>
      <c r="S445" s="16">
        <v>2.0</v>
      </c>
      <c r="T445" s="3" t="s">
        <v>3616</v>
      </c>
    </row>
    <row r="446">
      <c r="A446" s="3" t="s">
        <v>9223</v>
      </c>
      <c r="B446" s="3" t="s">
        <v>8418</v>
      </c>
      <c r="C446" s="17">
        <v>46216.60416666667</v>
      </c>
      <c r="D446" s="17">
        <v>46216.625</v>
      </c>
      <c r="E446" s="25">
        <v>0.5</v>
      </c>
      <c r="F446" s="2"/>
      <c r="G446" s="3" t="s">
        <v>9304</v>
      </c>
      <c r="H446" s="3" t="s">
        <v>8971</v>
      </c>
      <c r="I446" s="3" t="s">
        <v>9094</v>
      </c>
      <c r="J446" s="3" t="s">
        <v>6853</v>
      </c>
      <c r="K446" s="3" t="s">
        <v>8973</v>
      </c>
      <c r="L446" s="16">
        <v>2.0</v>
      </c>
      <c r="M446" s="3" t="s">
        <v>9225</v>
      </c>
      <c r="N446" s="3" t="s">
        <v>9225</v>
      </c>
      <c r="O446" s="3" t="s">
        <v>9010</v>
      </c>
      <c r="P446" s="16">
        <v>0.0</v>
      </c>
      <c r="Q446" s="16">
        <v>0.0</v>
      </c>
      <c r="R446" s="16">
        <v>0.0</v>
      </c>
      <c r="S446" s="16">
        <v>2.0</v>
      </c>
      <c r="T446" s="3" t="s">
        <v>2868</v>
      </c>
    </row>
    <row r="447">
      <c r="A447" s="3" t="s">
        <v>9307</v>
      </c>
      <c r="B447" s="3" t="s">
        <v>9137</v>
      </c>
      <c r="C447" s="17">
        <v>46217.5</v>
      </c>
      <c r="D447" s="17">
        <v>46217.52083333333</v>
      </c>
      <c r="E447" s="25">
        <v>0.5</v>
      </c>
      <c r="G447" s="3" t="s">
        <v>9138</v>
      </c>
      <c r="H447" s="3" t="s">
        <v>8971</v>
      </c>
      <c r="I447" s="3" t="s">
        <v>9077</v>
      </c>
      <c r="J447" s="3" t="s">
        <v>6950</v>
      </c>
      <c r="K447" s="3" t="s">
        <v>8973</v>
      </c>
      <c r="L447" s="16">
        <v>3.0</v>
      </c>
      <c r="M447" s="3" t="s">
        <v>9140</v>
      </c>
      <c r="N447" s="3" t="s">
        <v>9141</v>
      </c>
      <c r="O447" s="3" t="s">
        <v>9308</v>
      </c>
      <c r="P447" s="16">
        <v>2.0</v>
      </c>
      <c r="Q447" s="16">
        <v>0.0</v>
      </c>
      <c r="R447" s="16">
        <v>1.0</v>
      </c>
      <c r="S447" s="16">
        <v>0.0</v>
      </c>
      <c r="T447" s="3" t="s">
        <v>4466</v>
      </c>
    </row>
    <row r="448">
      <c r="A448" s="3" t="s">
        <v>9309</v>
      </c>
      <c r="B448" s="3" t="s">
        <v>6844</v>
      </c>
      <c r="C448" s="17">
        <v>46217.5625</v>
      </c>
      <c r="D448" s="17">
        <v>46217.58333333333</v>
      </c>
      <c r="E448" s="25">
        <v>0.5</v>
      </c>
      <c r="G448" s="2"/>
      <c r="H448" s="3" t="s">
        <v>8971</v>
      </c>
      <c r="I448" s="3" t="s">
        <v>9094</v>
      </c>
      <c r="J448" s="3" t="s">
        <v>6853</v>
      </c>
      <c r="K448" s="3" t="s">
        <v>8973</v>
      </c>
      <c r="L448" s="16">
        <v>2.0</v>
      </c>
      <c r="M448" s="3" t="s">
        <v>9310</v>
      </c>
      <c r="N448" s="3" t="s">
        <v>9310</v>
      </c>
      <c r="O448" s="3" t="s">
        <v>9043</v>
      </c>
      <c r="P448" s="16">
        <v>1.0</v>
      </c>
      <c r="Q448" s="16">
        <v>0.0</v>
      </c>
      <c r="R448" s="16">
        <v>0.0</v>
      </c>
      <c r="S448" s="16">
        <v>1.0</v>
      </c>
      <c r="T448" s="3" t="s">
        <v>2616</v>
      </c>
    </row>
    <row r="449">
      <c r="A449" s="3" t="s">
        <v>9442</v>
      </c>
      <c r="B449" s="3" t="s">
        <v>8969</v>
      </c>
      <c r="C449" s="17">
        <v>46217.58333333333</v>
      </c>
      <c r="D449" s="17">
        <v>46217.60416666667</v>
      </c>
      <c r="E449" s="25">
        <v>0.5</v>
      </c>
      <c r="G449" s="3" t="s">
        <v>8970</v>
      </c>
      <c r="H449" s="3" t="s">
        <v>8971</v>
      </c>
      <c r="I449" s="3" t="s">
        <v>9094</v>
      </c>
      <c r="J449" s="3" t="s">
        <v>6853</v>
      </c>
      <c r="K449" s="3" t="s">
        <v>8973</v>
      </c>
      <c r="L449" s="16">
        <v>3.0</v>
      </c>
      <c r="M449" s="3" t="s">
        <v>9436</v>
      </c>
      <c r="N449" s="3" t="s">
        <v>9436</v>
      </c>
      <c r="O449" s="3" t="s">
        <v>9147</v>
      </c>
      <c r="P449" s="16">
        <v>2.0</v>
      </c>
      <c r="Q449" s="16">
        <v>0.0</v>
      </c>
      <c r="R449" s="16">
        <v>0.0</v>
      </c>
      <c r="S449" s="16">
        <v>1.0</v>
      </c>
      <c r="T449" s="3" t="s">
        <v>5498</v>
      </c>
    </row>
    <row r="450">
      <c r="A450" s="3" t="s">
        <v>9384</v>
      </c>
      <c r="B450" s="3" t="s">
        <v>9015</v>
      </c>
      <c r="C450" s="17">
        <v>46218.54166666667</v>
      </c>
      <c r="D450" s="17">
        <v>46218.5625</v>
      </c>
      <c r="E450" s="25">
        <v>0.5</v>
      </c>
      <c r="F450" s="2"/>
      <c r="G450" s="2"/>
      <c r="H450" s="3" t="s">
        <v>8971</v>
      </c>
      <c r="I450" s="3" t="s">
        <v>9077</v>
      </c>
      <c r="J450" s="3" t="s">
        <v>6950</v>
      </c>
      <c r="K450" s="3" t="s">
        <v>8973</v>
      </c>
      <c r="L450" s="16">
        <v>3.0</v>
      </c>
      <c r="M450" s="3" t="s">
        <v>9016</v>
      </c>
      <c r="N450" s="3" t="s">
        <v>9016</v>
      </c>
      <c r="O450" s="3" t="s">
        <v>9017</v>
      </c>
      <c r="P450" s="16">
        <v>3.0</v>
      </c>
      <c r="Q450" s="16">
        <v>0.0</v>
      </c>
      <c r="R450" s="16">
        <v>0.0</v>
      </c>
      <c r="S450" s="16">
        <v>0.0</v>
      </c>
      <c r="T450" s="3" t="s">
        <v>1975</v>
      </c>
    </row>
    <row r="451">
      <c r="A451" s="3" t="s">
        <v>9262</v>
      </c>
      <c r="B451" s="3" t="s">
        <v>9263</v>
      </c>
      <c r="C451" s="17">
        <v>46219.4375</v>
      </c>
      <c r="D451" s="17">
        <v>46219.45833333333</v>
      </c>
      <c r="E451" s="25">
        <v>0.5</v>
      </c>
      <c r="F451" s="2"/>
      <c r="G451" s="2"/>
      <c r="H451" s="3" t="s">
        <v>8971</v>
      </c>
      <c r="I451" s="3" t="s">
        <v>9077</v>
      </c>
      <c r="J451" s="3" t="s">
        <v>6950</v>
      </c>
      <c r="K451" s="3" t="s">
        <v>8973</v>
      </c>
      <c r="L451" s="16">
        <v>4.0</v>
      </c>
      <c r="M451" s="3" t="s">
        <v>9311</v>
      </c>
      <c r="N451" s="3" t="s">
        <v>9312</v>
      </c>
      <c r="O451" s="3" t="s">
        <v>9167</v>
      </c>
      <c r="P451" s="16">
        <v>4.0</v>
      </c>
      <c r="Q451" s="16">
        <v>0.0</v>
      </c>
      <c r="R451" s="16">
        <v>0.0</v>
      </c>
      <c r="S451" s="16">
        <v>0.0</v>
      </c>
      <c r="T451" s="3" t="s">
        <v>2672</v>
      </c>
    </row>
    <row r="452">
      <c r="A452" s="3" t="s">
        <v>9314</v>
      </c>
      <c r="B452" s="3" t="s">
        <v>9315</v>
      </c>
      <c r="C452" s="17">
        <v>46219.58333333333</v>
      </c>
      <c r="D452" s="17">
        <v>46219.60416666667</v>
      </c>
      <c r="E452" s="25">
        <v>0.5</v>
      </c>
      <c r="F452" s="2"/>
      <c r="G452" s="2"/>
      <c r="H452" s="3" t="s">
        <v>8971</v>
      </c>
      <c r="I452" s="3" t="s">
        <v>9077</v>
      </c>
      <c r="J452" s="3" t="s">
        <v>6950</v>
      </c>
      <c r="K452" s="3" t="s">
        <v>8973</v>
      </c>
      <c r="L452" s="16">
        <v>6.0</v>
      </c>
      <c r="M452" s="3" t="s">
        <v>9316</v>
      </c>
      <c r="N452" s="3" t="s">
        <v>9316</v>
      </c>
      <c r="O452" s="3" t="s">
        <v>9397</v>
      </c>
      <c r="P452" s="16">
        <v>1.0</v>
      </c>
      <c r="Q452" s="16">
        <v>3.0</v>
      </c>
      <c r="R452" s="16">
        <v>0.0</v>
      </c>
      <c r="S452" s="16">
        <v>2.0</v>
      </c>
      <c r="T452" s="3" t="s">
        <v>5285</v>
      </c>
    </row>
    <row r="453">
      <c r="A453" s="3" t="s">
        <v>9280</v>
      </c>
      <c r="B453" s="3" t="s">
        <v>9281</v>
      </c>
      <c r="C453" s="17">
        <v>46219.70833333333</v>
      </c>
      <c r="D453" s="17">
        <v>46219.72916666667</v>
      </c>
      <c r="E453" s="25">
        <v>0.5</v>
      </c>
      <c r="G453" s="3" t="s">
        <v>9282</v>
      </c>
      <c r="H453" s="3" t="s">
        <v>8971</v>
      </c>
      <c r="I453" s="3" t="s">
        <v>9077</v>
      </c>
      <c r="J453" s="3" t="s">
        <v>9283</v>
      </c>
      <c r="K453" s="3" t="s">
        <v>8973</v>
      </c>
      <c r="L453" s="16">
        <v>15.0</v>
      </c>
      <c r="M453" s="3" t="s">
        <v>9284</v>
      </c>
      <c r="N453" s="3" t="s">
        <v>9285</v>
      </c>
      <c r="O453" s="3" t="s">
        <v>9404</v>
      </c>
      <c r="P453" s="16">
        <v>9.0</v>
      </c>
      <c r="Q453" s="16">
        <v>0.0</v>
      </c>
      <c r="R453" s="16">
        <v>1.0</v>
      </c>
      <c r="S453" s="16">
        <v>5.0</v>
      </c>
      <c r="T453" s="3" t="s">
        <v>2922</v>
      </c>
    </row>
    <row r="454">
      <c r="A454" s="3" t="s">
        <v>9405</v>
      </c>
      <c r="B454" s="3" t="s">
        <v>9406</v>
      </c>
      <c r="C454" s="17">
        <v>46220.41666666667</v>
      </c>
      <c r="D454" s="17">
        <v>46220.4375</v>
      </c>
      <c r="E454" s="25">
        <v>0.5</v>
      </c>
      <c r="F454" s="2"/>
      <c r="G454" s="2"/>
      <c r="H454" s="3" t="s">
        <v>8971</v>
      </c>
      <c r="I454" s="3" t="s">
        <v>9077</v>
      </c>
      <c r="J454" s="3" t="s">
        <v>6950</v>
      </c>
      <c r="K454" s="3" t="s">
        <v>8973</v>
      </c>
      <c r="L454" s="16">
        <v>5.0</v>
      </c>
      <c r="M454" s="3" t="s">
        <v>9484</v>
      </c>
      <c r="N454" s="3" t="s">
        <v>9484</v>
      </c>
      <c r="O454" s="3" t="s">
        <v>9342</v>
      </c>
      <c r="P454" s="16">
        <v>4.0</v>
      </c>
      <c r="Q454" s="16">
        <v>0.0</v>
      </c>
      <c r="R454" s="16">
        <v>0.0</v>
      </c>
      <c r="S454" s="16">
        <v>1.0</v>
      </c>
      <c r="T454" s="3" t="s">
        <v>5721</v>
      </c>
    </row>
    <row r="455">
      <c r="A455" s="3" t="s">
        <v>9410</v>
      </c>
      <c r="B455" s="3" t="s">
        <v>7147</v>
      </c>
      <c r="C455" s="17">
        <v>46223.54166666667</v>
      </c>
      <c r="D455" s="17">
        <v>46223.5625</v>
      </c>
      <c r="E455" s="25">
        <v>0.5</v>
      </c>
      <c r="F455" s="13" t="s">
        <v>9411</v>
      </c>
      <c r="G455" s="3" t="s">
        <v>9412</v>
      </c>
      <c r="H455" s="3" t="s">
        <v>8971</v>
      </c>
      <c r="I455" s="3" t="s">
        <v>9094</v>
      </c>
      <c r="J455" s="3" t="s">
        <v>6853</v>
      </c>
      <c r="K455" s="3" t="s">
        <v>8973</v>
      </c>
      <c r="L455" s="16">
        <v>4.0</v>
      </c>
      <c r="M455" s="3" t="s">
        <v>9349</v>
      </c>
      <c r="N455" s="3" t="s">
        <v>9349</v>
      </c>
      <c r="O455" s="3" t="s">
        <v>9002</v>
      </c>
      <c r="P455" s="16">
        <v>1.0</v>
      </c>
      <c r="Q455" s="16">
        <v>0.0</v>
      </c>
      <c r="R455" s="16">
        <v>0.0</v>
      </c>
      <c r="S455" s="16">
        <v>3.0</v>
      </c>
      <c r="T455" s="3" t="s">
        <v>1725</v>
      </c>
    </row>
    <row r="456">
      <c r="A456" s="3" t="s">
        <v>9325</v>
      </c>
      <c r="B456" s="3" t="s">
        <v>9000</v>
      </c>
      <c r="C456" s="17">
        <v>46223.58333333333</v>
      </c>
      <c r="D456" s="17">
        <v>46223.60416666667</v>
      </c>
      <c r="E456" s="25">
        <v>0.5</v>
      </c>
      <c r="F456" s="2"/>
      <c r="G456" s="2"/>
      <c r="H456" s="3" t="s">
        <v>8971</v>
      </c>
      <c r="I456" s="3" t="s">
        <v>8972</v>
      </c>
      <c r="J456" s="3" t="s">
        <v>6950</v>
      </c>
      <c r="K456" s="3" t="s">
        <v>8973</v>
      </c>
      <c r="L456" s="16">
        <v>4.0</v>
      </c>
      <c r="M456" s="3" t="s">
        <v>9001</v>
      </c>
      <c r="N456" s="3" t="s">
        <v>9001</v>
      </c>
      <c r="O456" s="3" t="s">
        <v>9002</v>
      </c>
      <c r="P456" s="16">
        <v>1.0</v>
      </c>
      <c r="Q456" s="16">
        <v>0.0</v>
      </c>
      <c r="R456" s="16">
        <v>0.0</v>
      </c>
      <c r="S456" s="16">
        <v>3.0</v>
      </c>
      <c r="T456" s="3" t="s">
        <v>2594</v>
      </c>
    </row>
    <row r="457">
      <c r="A457" s="3" t="s">
        <v>9223</v>
      </c>
      <c r="B457" s="3" t="s">
        <v>8418</v>
      </c>
      <c r="C457" s="17">
        <v>46223.60416666667</v>
      </c>
      <c r="D457" s="17">
        <v>46223.625</v>
      </c>
      <c r="E457" s="25">
        <v>0.5</v>
      </c>
      <c r="G457" s="3" t="s">
        <v>9304</v>
      </c>
      <c r="H457" s="3" t="s">
        <v>8971</v>
      </c>
      <c r="I457" s="3" t="s">
        <v>9094</v>
      </c>
      <c r="J457" s="3" t="s">
        <v>6853</v>
      </c>
      <c r="K457" s="3" t="s">
        <v>8973</v>
      </c>
      <c r="L457" s="16">
        <v>2.0</v>
      </c>
      <c r="M457" s="3" t="s">
        <v>9225</v>
      </c>
      <c r="N457" s="3" t="s">
        <v>9225</v>
      </c>
      <c r="O457" s="3" t="s">
        <v>9010</v>
      </c>
      <c r="P457" s="16">
        <v>0.0</v>
      </c>
      <c r="Q457" s="16">
        <v>0.0</v>
      </c>
      <c r="R457" s="16">
        <v>0.0</v>
      </c>
      <c r="S457" s="16">
        <v>2.0</v>
      </c>
      <c r="T457" s="3" t="s">
        <v>2868</v>
      </c>
    </row>
    <row r="458">
      <c r="A458" s="3" t="s">
        <v>9307</v>
      </c>
      <c r="B458" s="3" t="s">
        <v>9137</v>
      </c>
      <c r="C458" s="17">
        <v>46224.5</v>
      </c>
      <c r="D458" s="17">
        <v>46224.52083333333</v>
      </c>
      <c r="E458" s="25">
        <v>0.5</v>
      </c>
      <c r="F458" s="2"/>
      <c r="G458" s="3" t="s">
        <v>9138</v>
      </c>
      <c r="H458" s="3" t="s">
        <v>8971</v>
      </c>
      <c r="I458" s="3" t="s">
        <v>9077</v>
      </c>
      <c r="J458" s="3" t="s">
        <v>6950</v>
      </c>
      <c r="K458" s="3" t="s">
        <v>8973</v>
      </c>
      <c r="L458" s="16">
        <v>3.0</v>
      </c>
      <c r="M458" s="3" t="s">
        <v>9140</v>
      </c>
      <c r="N458" s="3" t="s">
        <v>9141</v>
      </c>
      <c r="O458" s="3" t="s">
        <v>9308</v>
      </c>
      <c r="P458" s="16">
        <v>2.0</v>
      </c>
      <c r="Q458" s="16">
        <v>0.0</v>
      </c>
      <c r="R458" s="16">
        <v>1.0</v>
      </c>
      <c r="S458" s="16">
        <v>0.0</v>
      </c>
      <c r="T458" s="3" t="s">
        <v>4466</v>
      </c>
    </row>
    <row r="459">
      <c r="A459" s="3" t="s">
        <v>9326</v>
      </c>
      <c r="B459" s="3" t="s">
        <v>8991</v>
      </c>
      <c r="C459" s="17">
        <v>46224.54166666667</v>
      </c>
      <c r="D459" s="17">
        <v>46224.5625</v>
      </c>
      <c r="E459" s="25">
        <v>0.5</v>
      </c>
      <c r="G459" s="3" t="s">
        <v>8992</v>
      </c>
      <c r="H459" s="3" t="s">
        <v>8971</v>
      </c>
      <c r="I459" s="3" t="s">
        <v>9077</v>
      </c>
      <c r="J459" s="3" t="s">
        <v>6950</v>
      </c>
      <c r="K459" s="3" t="s">
        <v>8973</v>
      </c>
      <c r="L459" s="16">
        <v>4.0</v>
      </c>
      <c r="M459" s="3" t="s">
        <v>8993</v>
      </c>
      <c r="N459" s="3" t="s">
        <v>8993</v>
      </c>
      <c r="O459" s="3" t="s">
        <v>9204</v>
      </c>
      <c r="P459" s="16">
        <v>3.0</v>
      </c>
      <c r="Q459" s="16">
        <v>0.0</v>
      </c>
      <c r="R459" s="16">
        <v>0.0</v>
      </c>
      <c r="S459" s="16">
        <v>1.0</v>
      </c>
      <c r="T459" s="3" t="s">
        <v>861</v>
      </c>
    </row>
    <row r="460">
      <c r="A460" s="3" t="s">
        <v>9309</v>
      </c>
      <c r="B460" s="3" t="s">
        <v>6844</v>
      </c>
      <c r="C460" s="17">
        <v>46224.5625</v>
      </c>
      <c r="D460" s="17">
        <v>46224.58333333333</v>
      </c>
      <c r="E460" s="25">
        <v>0.5</v>
      </c>
      <c r="G460" s="2"/>
      <c r="H460" s="3" t="s">
        <v>8971</v>
      </c>
      <c r="I460" s="3" t="s">
        <v>9094</v>
      </c>
      <c r="J460" s="3" t="s">
        <v>6853</v>
      </c>
      <c r="K460" s="3" t="s">
        <v>8973</v>
      </c>
      <c r="L460" s="16">
        <v>2.0</v>
      </c>
      <c r="M460" s="3" t="s">
        <v>9310</v>
      </c>
      <c r="N460" s="3" t="s">
        <v>9310</v>
      </c>
      <c r="O460" s="3" t="s">
        <v>9043</v>
      </c>
      <c r="P460" s="16">
        <v>1.0</v>
      </c>
      <c r="Q460" s="16">
        <v>0.0</v>
      </c>
      <c r="R460" s="16">
        <v>0.0</v>
      </c>
      <c r="S460" s="16">
        <v>1.0</v>
      </c>
      <c r="T460" s="3" t="s">
        <v>2616</v>
      </c>
    </row>
    <row r="461">
      <c r="A461" s="3" t="s">
        <v>9421</v>
      </c>
      <c r="B461" s="3" t="s">
        <v>9422</v>
      </c>
      <c r="C461" s="17">
        <v>46226.35416666667</v>
      </c>
      <c r="D461" s="17">
        <v>46226.375</v>
      </c>
      <c r="E461" s="25">
        <v>0.5</v>
      </c>
      <c r="G461" s="2"/>
      <c r="H461" s="3" t="s">
        <v>8971</v>
      </c>
      <c r="I461" s="3" t="s">
        <v>9077</v>
      </c>
      <c r="J461" s="3" t="s">
        <v>6950</v>
      </c>
      <c r="K461" s="3" t="s">
        <v>8973</v>
      </c>
      <c r="L461" s="16">
        <v>4.0</v>
      </c>
      <c r="M461" s="3" t="s">
        <v>9423</v>
      </c>
      <c r="N461" s="3" t="s">
        <v>9423</v>
      </c>
      <c r="O461" s="3" t="s">
        <v>9002</v>
      </c>
      <c r="P461" s="16">
        <v>1.0</v>
      </c>
      <c r="Q461" s="16">
        <v>0.0</v>
      </c>
      <c r="R461" s="16">
        <v>0.0</v>
      </c>
      <c r="S461" s="16">
        <v>3.0</v>
      </c>
      <c r="T461" s="3" t="s">
        <v>693</v>
      </c>
    </row>
    <row r="462">
      <c r="A462" s="3" t="s">
        <v>9334</v>
      </c>
      <c r="B462" s="3" t="s">
        <v>9026</v>
      </c>
      <c r="C462" s="17">
        <v>46226.375</v>
      </c>
      <c r="D462" s="17">
        <v>46226.39583333333</v>
      </c>
      <c r="E462" s="25">
        <v>0.5</v>
      </c>
      <c r="F462" s="2"/>
      <c r="G462" s="2"/>
      <c r="H462" s="3" t="s">
        <v>8971</v>
      </c>
      <c r="I462" s="3" t="s">
        <v>9077</v>
      </c>
      <c r="J462" s="3" t="s">
        <v>6950</v>
      </c>
      <c r="K462" s="3" t="s">
        <v>8973</v>
      </c>
      <c r="L462" s="16">
        <v>4.0</v>
      </c>
      <c r="M462" s="3" t="s">
        <v>9027</v>
      </c>
      <c r="N462" s="3" t="s">
        <v>9027</v>
      </c>
      <c r="O462" s="3" t="s">
        <v>9335</v>
      </c>
      <c r="P462" s="16">
        <v>2.0</v>
      </c>
      <c r="Q462" s="16">
        <v>0.0</v>
      </c>
      <c r="R462" s="16">
        <v>0.0</v>
      </c>
      <c r="S462" s="16">
        <v>2.0</v>
      </c>
      <c r="T462" s="3" t="s">
        <v>5681</v>
      </c>
    </row>
    <row r="463">
      <c r="A463" s="3" t="s">
        <v>9458</v>
      </c>
      <c r="B463" s="3" t="s">
        <v>9022</v>
      </c>
      <c r="C463" s="17">
        <v>46226.47916666667</v>
      </c>
      <c r="D463" s="17">
        <v>46226.5</v>
      </c>
      <c r="E463" s="25">
        <v>0.5</v>
      </c>
      <c r="F463" s="2"/>
      <c r="G463" s="2"/>
      <c r="H463" s="3" t="s">
        <v>8971</v>
      </c>
      <c r="I463" s="3" t="s">
        <v>9077</v>
      </c>
      <c r="J463" s="3" t="s">
        <v>6950</v>
      </c>
      <c r="K463" s="3" t="s">
        <v>8973</v>
      </c>
      <c r="L463" s="16">
        <v>2.0</v>
      </c>
      <c r="M463" s="3" t="s">
        <v>9023</v>
      </c>
      <c r="N463" s="3" t="s">
        <v>9023</v>
      </c>
      <c r="O463" s="3" t="s">
        <v>9024</v>
      </c>
      <c r="P463" s="16">
        <v>2.0</v>
      </c>
      <c r="Q463" s="16">
        <v>0.0</v>
      </c>
      <c r="R463" s="16">
        <v>0.0</v>
      </c>
      <c r="S463" s="16">
        <v>0.0</v>
      </c>
      <c r="T463" s="3" t="s">
        <v>5396</v>
      </c>
    </row>
    <row r="464">
      <c r="A464" s="3" t="s">
        <v>9459</v>
      </c>
      <c r="B464" s="3" t="s">
        <v>9460</v>
      </c>
      <c r="C464" s="17">
        <v>46226.5</v>
      </c>
      <c r="D464" s="17">
        <v>46226.52083333333</v>
      </c>
      <c r="E464" s="25">
        <v>0.5</v>
      </c>
      <c r="F464" s="2"/>
      <c r="G464" s="2"/>
      <c r="H464" s="3" t="s">
        <v>8971</v>
      </c>
      <c r="I464" s="3" t="s">
        <v>9094</v>
      </c>
      <c r="J464" s="3" t="s">
        <v>6853</v>
      </c>
      <c r="K464" s="3" t="s">
        <v>8973</v>
      </c>
      <c r="L464" s="16">
        <v>1.0</v>
      </c>
      <c r="M464" s="3" t="s">
        <v>8912</v>
      </c>
      <c r="N464" s="3" t="s">
        <v>8912</v>
      </c>
      <c r="O464" s="3" t="s">
        <v>9077</v>
      </c>
      <c r="P464" s="16">
        <v>1.0</v>
      </c>
      <c r="Q464" s="16">
        <v>0.0</v>
      </c>
      <c r="R464" s="16">
        <v>0.0</v>
      </c>
      <c r="S464" s="16">
        <v>0.0</v>
      </c>
      <c r="T464" s="3" t="s">
        <v>1195</v>
      </c>
    </row>
    <row r="465">
      <c r="A465" s="3" t="s">
        <v>9340</v>
      </c>
      <c r="B465" s="3" t="s">
        <v>9176</v>
      </c>
      <c r="C465" s="17">
        <v>46226.52083333333</v>
      </c>
      <c r="D465" s="17">
        <v>46226.54166666667</v>
      </c>
      <c r="E465" s="25">
        <v>0.5</v>
      </c>
      <c r="G465" s="2"/>
      <c r="H465" s="3" t="s">
        <v>8971</v>
      </c>
      <c r="I465" s="3" t="s">
        <v>9077</v>
      </c>
      <c r="J465" s="3" t="s">
        <v>6950</v>
      </c>
      <c r="K465" s="3" t="s">
        <v>8973</v>
      </c>
      <c r="L465" s="16">
        <v>5.0</v>
      </c>
      <c r="M465" s="3" t="s">
        <v>9341</v>
      </c>
      <c r="N465" s="3" t="s">
        <v>9341</v>
      </c>
      <c r="O465" s="3" t="s">
        <v>9342</v>
      </c>
      <c r="P465" s="16">
        <v>4.0</v>
      </c>
      <c r="Q465" s="16">
        <v>0.0</v>
      </c>
      <c r="R465" s="16">
        <v>0.0</v>
      </c>
      <c r="S465" s="16">
        <v>1.0</v>
      </c>
      <c r="T465" s="2"/>
    </row>
    <row r="466">
      <c r="A466" s="3" t="s">
        <v>9441</v>
      </c>
      <c r="B466" s="3" t="s">
        <v>7840</v>
      </c>
      <c r="C466" s="17">
        <v>46230.58333333333</v>
      </c>
      <c r="D466" s="17">
        <v>46230.60416666667</v>
      </c>
      <c r="E466" s="25">
        <v>0.5</v>
      </c>
      <c r="G466" s="2"/>
      <c r="H466" s="3" t="s">
        <v>8971</v>
      </c>
      <c r="I466" s="3" t="s">
        <v>9094</v>
      </c>
      <c r="J466" s="3" t="s">
        <v>6853</v>
      </c>
      <c r="K466" s="3" t="s">
        <v>8973</v>
      </c>
      <c r="L466" s="16">
        <v>4.0</v>
      </c>
      <c r="M466" s="3" t="s">
        <v>9166</v>
      </c>
      <c r="N466" s="3" t="s">
        <v>9166</v>
      </c>
      <c r="O466" s="3" t="s">
        <v>9002</v>
      </c>
      <c r="P466" s="16">
        <v>1.0</v>
      </c>
      <c r="Q466" s="16">
        <v>0.0</v>
      </c>
      <c r="R466" s="16">
        <v>0.0</v>
      </c>
      <c r="S466" s="16">
        <v>3.0</v>
      </c>
      <c r="T466" s="3" t="s">
        <v>5544</v>
      </c>
    </row>
    <row r="467">
      <c r="A467" s="3" t="s">
        <v>9223</v>
      </c>
      <c r="B467" s="3" t="s">
        <v>8418</v>
      </c>
      <c r="C467" s="17">
        <v>46230.60416666667</v>
      </c>
      <c r="D467" s="17">
        <v>46230.625</v>
      </c>
      <c r="E467" s="25">
        <v>0.5</v>
      </c>
      <c r="G467" s="3" t="s">
        <v>9304</v>
      </c>
      <c r="H467" s="3" t="s">
        <v>8971</v>
      </c>
      <c r="I467" s="3" t="s">
        <v>9094</v>
      </c>
      <c r="J467" s="3" t="s">
        <v>6853</v>
      </c>
      <c r="K467" s="3" t="s">
        <v>8973</v>
      </c>
      <c r="L467" s="16">
        <v>2.0</v>
      </c>
      <c r="M467" s="3" t="s">
        <v>9225</v>
      </c>
      <c r="N467" s="3" t="s">
        <v>9225</v>
      </c>
      <c r="O467" s="3" t="s">
        <v>9010</v>
      </c>
      <c r="P467" s="16">
        <v>0.0</v>
      </c>
      <c r="Q467" s="16">
        <v>0.0</v>
      </c>
      <c r="R467" s="16">
        <v>0.0</v>
      </c>
      <c r="S467" s="16">
        <v>2.0</v>
      </c>
      <c r="T467" s="3" t="s">
        <v>2868</v>
      </c>
    </row>
    <row r="468">
      <c r="A468" s="3" t="s">
        <v>9307</v>
      </c>
      <c r="B468" s="3" t="s">
        <v>9137</v>
      </c>
      <c r="C468" s="17">
        <v>46231.5</v>
      </c>
      <c r="D468" s="17">
        <v>46231.52083333333</v>
      </c>
      <c r="E468" s="25">
        <v>0.5</v>
      </c>
      <c r="G468" s="3" t="s">
        <v>9138</v>
      </c>
      <c r="H468" s="3" t="s">
        <v>8971</v>
      </c>
      <c r="I468" s="3" t="s">
        <v>9077</v>
      </c>
      <c r="J468" s="3" t="s">
        <v>6950</v>
      </c>
      <c r="K468" s="3" t="s">
        <v>8973</v>
      </c>
      <c r="L468" s="16">
        <v>3.0</v>
      </c>
      <c r="M468" s="3" t="s">
        <v>9140</v>
      </c>
      <c r="N468" s="3" t="s">
        <v>9141</v>
      </c>
      <c r="O468" s="3" t="s">
        <v>9308</v>
      </c>
      <c r="P468" s="16">
        <v>2.0</v>
      </c>
      <c r="Q468" s="16">
        <v>0.0</v>
      </c>
      <c r="R468" s="16">
        <v>1.0</v>
      </c>
      <c r="S468" s="16">
        <v>0.0</v>
      </c>
      <c r="T468" s="3" t="s">
        <v>4466</v>
      </c>
    </row>
    <row r="469">
      <c r="A469" s="3" t="s">
        <v>9309</v>
      </c>
      <c r="B469" s="3" t="s">
        <v>6844</v>
      </c>
      <c r="C469" s="17">
        <v>46231.5625</v>
      </c>
      <c r="D469" s="17">
        <v>46231.58333333333</v>
      </c>
      <c r="E469" s="25">
        <v>0.5</v>
      </c>
      <c r="G469" s="2"/>
      <c r="H469" s="3" t="s">
        <v>8971</v>
      </c>
      <c r="I469" s="3" t="s">
        <v>9094</v>
      </c>
      <c r="J469" s="3" t="s">
        <v>6853</v>
      </c>
      <c r="K469" s="3" t="s">
        <v>8973</v>
      </c>
      <c r="L469" s="16">
        <v>2.0</v>
      </c>
      <c r="M469" s="3" t="s">
        <v>9310</v>
      </c>
      <c r="N469" s="3" t="s">
        <v>9310</v>
      </c>
      <c r="O469" s="3" t="s">
        <v>9043</v>
      </c>
      <c r="P469" s="16">
        <v>1.0</v>
      </c>
      <c r="Q469" s="16">
        <v>0.0</v>
      </c>
      <c r="R469" s="16">
        <v>0.0</v>
      </c>
      <c r="S469" s="16">
        <v>1.0</v>
      </c>
      <c r="T469" s="3" t="s">
        <v>2616</v>
      </c>
    </row>
    <row r="470">
      <c r="A470" s="3" t="s">
        <v>9442</v>
      </c>
      <c r="B470" s="3" t="s">
        <v>8969</v>
      </c>
      <c r="C470" s="17">
        <v>46231.58333333333</v>
      </c>
      <c r="D470" s="17">
        <v>46231.60416666667</v>
      </c>
      <c r="E470" s="25">
        <v>0.5</v>
      </c>
      <c r="F470" s="2"/>
      <c r="G470" s="3" t="s">
        <v>8970</v>
      </c>
      <c r="H470" s="3" t="s">
        <v>8971</v>
      </c>
      <c r="I470" s="3" t="s">
        <v>9094</v>
      </c>
      <c r="J470" s="3" t="s">
        <v>6853</v>
      </c>
      <c r="K470" s="3" t="s">
        <v>8973</v>
      </c>
      <c r="L470" s="16">
        <v>3.0</v>
      </c>
      <c r="M470" s="3" t="s">
        <v>9436</v>
      </c>
      <c r="N470" s="3" t="s">
        <v>9436</v>
      </c>
      <c r="O470" s="3" t="s">
        <v>9147</v>
      </c>
      <c r="P470" s="16">
        <v>2.0</v>
      </c>
      <c r="Q470" s="16">
        <v>0.0</v>
      </c>
      <c r="R470" s="16">
        <v>0.0</v>
      </c>
      <c r="S470" s="16">
        <v>1.0</v>
      </c>
      <c r="T470" s="3" t="s">
        <v>5498</v>
      </c>
    </row>
    <row r="471">
      <c r="A471" s="3" t="s">
        <v>9384</v>
      </c>
      <c r="B471" s="3" t="s">
        <v>9015</v>
      </c>
      <c r="C471" s="17">
        <v>46232.54166666667</v>
      </c>
      <c r="D471" s="17">
        <v>46232.5625</v>
      </c>
      <c r="E471" s="25">
        <v>0.5</v>
      </c>
      <c r="F471" s="2"/>
      <c r="G471" s="2"/>
      <c r="H471" s="3" t="s">
        <v>8971</v>
      </c>
      <c r="I471" s="3" t="s">
        <v>9077</v>
      </c>
      <c r="J471" s="3" t="s">
        <v>6950</v>
      </c>
      <c r="K471" s="3" t="s">
        <v>8973</v>
      </c>
      <c r="L471" s="16">
        <v>3.0</v>
      </c>
      <c r="M471" s="3" t="s">
        <v>9016</v>
      </c>
      <c r="N471" s="3" t="s">
        <v>9016</v>
      </c>
      <c r="O471" s="3" t="s">
        <v>9017</v>
      </c>
      <c r="P471" s="16">
        <v>3.0</v>
      </c>
      <c r="Q471" s="16">
        <v>0.0</v>
      </c>
      <c r="R471" s="16">
        <v>0.0</v>
      </c>
      <c r="S471" s="16">
        <v>0.0</v>
      </c>
      <c r="T471" s="3" t="s">
        <v>1975</v>
      </c>
    </row>
    <row r="472">
      <c r="A472" s="3" t="s">
        <v>9262</v>
      </c>
      <c r="B472" s="3" t="s">
        <v>9263</v>
      </c>
      <c r="C472" s="17">
        <v>46233.4375</v>
      </c>
      <c r="D472" s="17">
        <v>46233.45833333333</v>
      </c>
      <c r="E472" s="25">
        <v>0.5</v>
      </c>
      <c r="F472" s="2"/>
      <c r="G472" s="2"/>
      <c r="H472" s="3" t="s">
        <v>8971</v>
      </c>
      <c r="I472" s="3" t="s">
        <v>9077</v>
      </c>
      <c r="J472" s="3" t="s">
        <v>6950</v>
      </c>
      <c r="K472" s="3" t="s">
        <v>8973</v>
      </c>
      <c r="L472" s="16">
        <v>4.0</v>
      </c>
      <c r="M472" s="3" t="s">
        <v>9311</v>
      </c>
      <c r="N472" s="3" t="s">
        <v>9312</v>
      </c>
      <c r="O472" s="3" t="s">
        <v>9167</v>
      </c>
      <c r="P472" s="16">
        <v>4.0</v>
      </c>
      <c r="Q472" s="16">
        <v>0.0</v>
      </c>
      <c r="R472" s="16">
        <v>0.0</v>
      </c>
      <c r="S472" s="16">
        <v>0.0</v>
      </c>
      <c r="T472" s="3" t="s">
        <v>2672</v>
      </c>
    </row>
    <row r="473">
      <c r="A473" s="3" t="s">
        <v>9314</v>
      </c>
      <c r="B473" s="3" t="s">
        <v>9315</v>
      </c>
      <c r="C473" s="17">
        <v>46233.58333333333</v>
      </c>
      <c r="D473" s="17">
        <v>46233.60416666667</v>
      </c>
      <c r="E473" s="25">
        <v>0.5</v>
      </c>
      <c r="F473" s="2"/>
      <c r="G473" s="2"/>
      <c r="H473" s="3" t="s">
        <v>8971</v>
      </c>
      <c r="I473" s="3" t="s">
        <v>9077</v>
      </c>
      <c r="J473" s="3" t="s">
        <v>6950</v>
      </c>
      <c r="K473" s="3" t="s">
        <v>8973</v>
      </c>
      <c r="L473" s="16">
        <v>6.0</v>
      </c>
      <c r="M473" s="3" t="s">
        <v>9316</v>
      </c>
      <c r="N473" s="3" t="s">
        <v>9316</v>
      </c>
      <c r="O473" s="3" t="s">
        <v>9397</v>
      </c>
      <c r="P473" s="16">
        <v>1.0</v>
      </c>
      <c r="Q473" s="16">
        <v>3.0</v>
      </c>
      <c r="R473" s="16">
        <v>0.0</v>
      </c>
      <c r="S473" s="16">
        <v>2.0</v>
      </c>
      <c r="T473" s="3" t="s">
        <v>5285</v>
      </c>
    </row>
    <row r="474">
      <c r="A474" s="3" t="s">
        <v>9443</v>
      </c>
      <c r="B474" s="3" t="s">
        <v>8085</v>
      </c>
      <c r="C474" s="17">
        <v>46234.54166666667</v>
      </c>
      <c r="D474" s="17">
        <v>46234.5625</v>
      </c>
      <c r="E474" s="25">
        <v>0.5</v>
      </c>
      <c r="F474" s="2"/>
      <c r="G474" s="2"/>
      <c r="H474" s="3" t="s">
        <v>8971</v>
      </c>
      <c r="I474" s="3" t="s">
        <v>9077</v>
      </c>
      <c r="J474" s="3" t="s">
        <v>9206</v>
      </c>
      <c r="K474" s="3" t="s">
        <v>8973</v>
      </c>
      <c r="L474" s="16">
        <v>5.0</v>
      </c>
      <c r="M474" s="3" t="s">
        <v>9207</v>
      </c>
      <c r="N474" s="3" t="s">
        <v>9208</v>
      </c>
      <c r="O474" s="3" t="s">
        <v>9444</v>
      </c>
      <c r="P474" s="16">
        <v>4.0</v>
      </c>
      <c r="Q474" s="16">
        <v>1.0</v>
      </c>
      <c r="R474" s="16">
        <v>0.0</v>
      </c>
      <c r="S474" s="16">
        <v>0.0</v>
      </c>
      <c r="T474" s="3" t="s">
        <v>453</v>
      </c>
    </row>
    <row r="475">
      <c r="A475" s="3" t="s">
        <v>9410</v>
      </c>
      <c r="B475" s="3" t="s">
        <v>7147</v>
      </c>
      <c r="C475" s="17">
        <v>46237.54166666667</v>
      </c>
      <c r="D475" s="17">
        <v>46237.5625</v>
      </c>
      <c r="E475" s="25">
        <v>0.5</v>
      </c>
      <c r="F475" s="13" t="s">
        <v>9411</v>
      </c>
      <c r="G475" s="3" t="s">
        <v>9412</v>
      </c>
      <c r="H475" s="3" t="s">
        <v>8971</v>
      </c>
      <c r="I475" s="3" t="s">
        <v>9094</v>
      </c>
      <c r="J475" s="3" t="s">
        <v>6853</v>
      </c>
      <c r="K475" s="3" t="s">
        <v>8973</v>
      </c>
      <c r="L475" s="16">
        <v>4.0</v>
      </c>
      <c r="M475" s="3" t="s">
        <v>9349</v>
      </c>
      <c r="N475" s="3" t="s">
        <v>9349</v>
      </c>
      <c r="O475" s="3" t="s">
        <v>9002</v>
      </c>
      <c r="P475" s="16">
        <v>1.0</v>
      </c>
      <c r="Q475" s="16">
        <v>0.0</v>
      </c>
      <c r="R475" s="16">
        <v>0.0</v>
      </c>
      <c r="S475" s="16">
        <v>3.0</v>
      </c>
      <c r="T475" s="3" t="s">
        <v>1725</v>
      </c>
    </row>
    <row r="476">
      <c r="A476" s="3" t="s">
        <v>9445</v>
      </c>
      <c r="B476" s="3" t="s">
        <v>8977</v>
      </c>
      <c r="C476" s="17">
        <v>46237.5625</v>
      </c>
      <c r="D476" s="17">
        <v>46237.58333333333</v>
      </c>
      <c r="E476" s="25">
        <v>0.5</v>
      </c>
      <c r="F476" s="2"/>
      <c r="G476" s="3" t="s">
        <v>9446</v>
      </c>
      <c r="H476" s="3" t="s">
        <v>8971</v>
      </c>
      <c r="I476" s="3" t="s">
        <v>8972</v>
      </c>
      <c r="J476" s="3" t="s">
        <v>6950</v>
      </c>
      <c r="K476" s="3" t="s">
        <v>8973</v>
      </c>
      <c r="L476" s="16">
        <v>7.0</v>
      </c>
      <c r="M476" s="3" t="s">
        <v>8978</v>
      </c>
      <c r="N476" s="3" t="s">
        <v>8978</v>
      </c>
      <c r="O476" s="3" t="s">
        <v>8979</v>
      </c>
      <c r="P476" s="16">
        <v>5.0</v>
      </c>
      <c r="Q476" s="16">
        <v>0.0</v>
      </c>
      <c r="R476" s="16">
        <v>0.0</v>
      </c>
      <c r="S476" s="16">
        <v>2.0</v>
      </c>
      <c r="T476" s="3" t="s">
        <v>2576</v>
      </c>
    </row>
    <row r="477">
      <c r="A477" s="3" t="s">
        <v>9325</v>
      </c>
      <c r="B477" s="3" t="s">
        <v>9000</v>
      </c>
      <c r="C477" s="17">
        <v>46237.58333333333</v>
      </c>
      <c r="D477" s="17">
        <v>46237.60416666667</v>
      </c>
      <c r="E477" s="25">
        <v>0.5</v>
      </c>
      <c r="G477" s="2"/>
      <c r="H477" s="3" t="s">
        <v>8971</v>
      </c>
      <c r="I477" s="3" t="s">
        <v>8972</v>
      </c>
      <c r="J477" s="3" t="s">
        <v>6950</v>
      </c>
      <c r="K477" s="3" t="s">
        <v>8973</v>
      </c>
      <c r="L477" s="16">
        <v>4.0</v>
      </c>
      <c r="M477" s="3" t="s">
        <v>9001</v>
      </c>
      <c r="N477" s="3" t="s">
        <v>9001</v>
      </c>
      <c r="O477" s="3" t="s">
        <v>9002</v>
      </c>
      <c r="P477" s="16">
        <v>1.0</v>
      </c>
      <c r="Q477" s="16">
        <v>0.0</v>
      </c>
      <c r="R477" s="16">
        <v>0.0</v>
      </c>
      <c r="S477" s="16">
        <v>3.0</v>
      </c>
      <c r="T477" s="3" t="s">
        <v>2594</v>
      </c>
    </row>
    <row r="478">
      <c r="A478" s="3" t="s">
        <v>9223</v>
      </c>
      <c r="B478" s="3" t="s">
        <v>8418</v>
      </c>
      <c r="C478" s="17">
        <v>46237.60416666667</v>
      </c>
      <c r="D478" s="17">
        <v>46237.625</v>
      </c>
      <c r="E478" s="25">
        <v>0.5</v>
      </c>
      <c r="F478" s="2"/>
      <c r="G478" s="3" t="s">
        <v>9304</v>
      </c>
      <c r="H478" s="3" t="s">
        <v>8971</v>
      </c>
      <c r="I478" s="3" t="s">
        <v>9094</v>
      </c>
      <c r="J478" s="3" t="s">
        <v>6853</v>
      </c>
      <c r="K478" s="3" t="s">
        <v>8973</v>
      </c>
      <c r="L478" s="16">
        <v>2.0</v>
      </c>
      <c r="M478" s="3" t="s">
        <v>9225</v>
      </c>
      <c r="N478" s="3" t="s">
        <v>9225</v>
      </c>
      <c r="O478" s="3" t="s">
        <v>9010</v>
      </c>
      <c r="P478" s="16">
        <v>0.0</v>
      </c>
      <c r="Q478" s="16">
        <v>0.0</v>
      </c>
      <c r="R478" s="16">
        <v>0.0</v>
      </c>
      <c r="S478" s="16">
        <v>2.0</v>
      </c>
      <c r="T478" s="3" t="s">
        <v>2868</v>
      </c>
    </row>
    <row r="479">
      <c r="A479" s="3" t="s">
        <v>9416</v>
      </c>
      <c r="B479" s="3" t="s">
        <v>9417</v>
      </c>
      <c r="C479" s="17">
        <v>46238.45833333333</v>
      </c>
      <c r="D479" s="17">
        <v>46238.47916666667</v>
      </c>
      <c r="E479" s="25">
        <v>0.5</v>
      </c>
      <c r="F479" s="2"/>
      <c r="G479" s="3" t="s">
        <v>9418</v>
      </c>
      <c r="H479" s="3" t="s">
        <v>8971</v>
      </c>
      <c r="I479" s="3" t="s">
        <v>9094</v>
      </c>
      <c r="J479" s="3" t="s">
        <v>6853</v>
      </c>
      <c r="K479" s="3" t="s">
        <v>8973</v>
      </c>
      <c r="L479" s="16">
        <v>5.0</v>
      </c>
      <c r="M479" s="3" t="s">
        <v>9480</v>
      </c>
      <c r="N479" s="3" t="s">
        <v>9480</v>
      </c>
      <c r="O479" s="3" t="s">
        <v>9432</v>
      </c>
      <c r="P479" s="16">
        <v>0.0</v>
      </c>
      <c r="Q479" s="16">
        <v>0.0</v>
      </c>
      <c r="R479" s="16">
        <v>0.0</v>
      </c>
      <c r="S479" s="16">
        <v>5.0</v>
      </c>
      <c r="T479" s="3" t="s">
        <v>5602</v>
      </c>
    </row>
    <row r="480">
      <c r="A480" s="3" t="s">
        <v>9307</v>
      </c>
      <c r="B480" s="3" t="s">
        <v>9137</v>
      </c>
      <c r="C480" s="17">
        <v>46238.5</v>
      </c>
      <c r="D480" s="17">
        <v>46238.52083333333</v>
      </c>
      <c r="E480" s="25">
        <v>0.5</v>
      </c>
      <c r="G480" s="3" t="s">
        <v>9138</v>
      </c>
      <c r="H480" s="3" t="s">
        <v>8971</v>
      </c>
      <c r="I480" s="3" t="s">
        <v>9077</v>
      </c>
      <c r="J480" s="3" t="s">
        <v>6950</v>
      </c>
      <c r="K480" s="3" t="s">
        <v>8973</v>
      </c>
      <c r="L480" s="16">
        <v>3.0</v>
      </c>
      <c r="M480" s="3" t="s">
        <v>9140</v>
      </c>
      <c r="N480" s="3" t="s">
        <v>9141</v>
      </c>
      <c r="O480" s="3" t="s">
        <v>9308</v>
      </c>
      <c r="P480" s="16">
        <v>2.0</v>
      </c>
      <c r="Q480" s="16">
        <v>0.0</v>
      </c>
      <c r="R480" s="16">
        <v>1.0</v>
      </c>
      <c r="S480" s="16">
        <v>0.0</v>
      </c>
      <c r="T480" s="3" t="s">
        <v>4466</v>
      </c>
    </row>
    <row r="481">
      <c r="A481" s="3" t="s">
        <v>9309</v>
      </c>
      <c r="B481" s="3" t="s">
        <v>6844</v>
      </c>
      <c r="C481" s="17">
        <v>46238.5625</v>
      </c>
      <c r="D481" s="17">
        <v>46238.58333333333</v>
      </c>
      <c r="E481" s="25">
        <v>0.5</v>
      </c>
      <c r="F481" s="2"/>
      <c r="G481" s="2"/>
      <c r="H481" s="3" t="s">
        <v>8971</v>
      </c>
      <c r="I481" s="3" t="s">
        <v>9094</v>
      </c>
      <c r="J481" s="3" t="s">
        <v>6853</v>
      </c>
      <c r="K481" s="3" t="s">
        <v>8973</v>
      </c>
      <c r="L481" s="16">
        <v>2.0</v>
      </c>
      <c r="M481" s="3" t="s">
        <v>9310</v>
      </c>
      <c r="N481" s="3" t="s">
        <v>9310</v>
      </c>
      <c r="O481" s="3" t="s">
        <v>9043</v>
      </c>
      <c r="P481" s="16">
        <v>1.0</v>
      </c>
      <c r="Q481" s="16">
        <v>0.0</v>
      </c>
      <c r="R481" s="16">
        <v>0.0</v>
      </c>
      <c r="S481" s="16">
        <v>1.0</v>
      </c>
      <c r="T481" s="3" t="s">
        <v>2616</v>
      </c>
    </row>
    <row r="482">
      <c r="A482" s="3" t="s">
        <v>9453</v>
      </c>
      <c r="B482" s="3" t="s">
        <v>9454</v>
      </c>
      <c r="C482" s="17">
        <v>46238.58333333333</v>
      </c>
      <c r="D482" s="17">
        <v>46238.60416666667</v>
      </c>
      <c r="E482" s="25">
        <v>0.5</v>
      </c>
      <c r="F482" s="2"/>
      <c r="G482" s="3" t="s">
        <v>9455</v>
      </c>
      <c r="H482" s="3" t="s">
        <v>8971</v>
      </c>
      <c r="I482" s="3" t="s">
        <v>9077</v>
      </c>
      <c r="J482" s="3" t="s">
        <v>6950</v>
      </c>
      <c r="K482" s="3" t="s">
        <v>8973</v>
      </c>
      <c r="L482" s="16">
        <v>9.0</v>
      </c>
      <c r="M482" s="3" t="s">
        <v>8982</v>
      </c>
      <c r="N482" s="3" t="s">
        <v>8983</v>
      </c>
      <c r="O482" s="3" t="s">
        <v>9456</v>
      </c>
      <c r="P482" s="16">
        <v>2.0</v>
      </c>
      <c r="Q482" s="16">
        <v>0.0</v>
      </c>
      <c r="R482" s="16">
        <v>1.0</v>
      </c>
      <c r="S482" s="16">
        <v>6.0</v>
      </c>
      <c r="T482" s="3" t="s">
        <v>2109</v>
      </c>
    </row>
    <row r="483">
      <c r="A483" s="3" t="s">
        <v>9336</v>
      </c>
      <c r="B483" s="3" t="s">
        <v>8080</v>
      </c>
      <c r="C483" s="17">
        <v>46240.39583333333</v>
      </c>
      <c r="D483" s="17">
        <v>46240.41666666667</v>
      </c>
      <c r="E483" s="25">
        <v>0.5</v>
      </c>
      <c r="G483" s="3" t="s">
        <v>9337</v>
      </c>
      <c r="H483" s="3" t="s">
        <v>8971</v>
      </c>
      <c r="I483" s="3" t="s">
        <v>9077</v>
      </c>
      <c r="J483" s="3" t="s">
        <v>9206</v>
      </c>
      <c r="K483" s="3" t="s">
        <v>8973</v>
      </c>
      <c r="L483" s="16">
        <v>7.0</v>
      </c>
      <c r="M483" s="3" t="s">
        <v>9338</v>
      </c>
      <c r="N483" s="3" t="s">
        <v>9338</v>
      </c>
      <c r="O483" s="3" t="s">
        <v>9457</v>
      </c>
      <c r="P483" s="16">
        <v>5.0</v>
      </c>
      <c r="Q483" s="16">
        <v>0.0</v>
      </c>
      <c r="R483" s="16">
        <v>0.0</v>
      </c>
      <c r="S483" s="16">
        <v>2.0</v>
      </c>
      <c r="T483" s="3" t="s">
        <v>3028</v>
      </c>
    </row>
    <row r="484">
      <c r="A484" s="3" t="s">
        <v>9481</v>
      </c>
      <c r="B484" s="3" t="s">
        <v>7310</v>
      </c>
      <c r="C484" s="17">
        <v>46240.41666666667</v>
      </c>
      <c r="D484" s="17">
        <v>46240.4375</v>
      </c>
      <c r="E484" s="25">
        <v>0.5</v>
      </c>
      <c r="F484" s="2"/>
      <c r="G484" s="3" t="s">
        <v>9482</v>
      </c>
      <c r="H484" s="3" t="s">
        <v>8971</v>
      </c>
      <c r="I484" s="3" t="s">
        <v>9094</v>
      </c>
      <c r="J484" s="3" t="s">
        <v>6853</v>
      </c>
      <c r="K484" s="3" t="s">
        <v>8973</v>
      </c>
      <c r="L484" s="16">
        <v>3.0</v>
      </c>
      <c r="M484" s="3" t="s">
        <v>9483</v>
      </c>
      <c r="N484" s="3" t="s">
        <v>9483</v>
      </c>
      <c r="O484" s="3" t="s">
        <v>9147</v>
      </c>
      <c r="P484" s="16">
        <v>2.0</v>
      </c>
      <c r="Q484" s="16">
        <v>0.0</v>
      </c>
      <c r="R484" s="16">
        <v>0.0</v>
      </c>
      <c r="S484" s="16">
        <v>1.0</v>
      </c>
      <c r="T484" s="3" t="s">
        <v>5815</v>
      </c>
    </row>
    <row r="485">
      <c r="A485" s="3" t="s">
        <v>9459</v>
      </c>
      <c r="B485" s="3" t="s">
        <v>9460</v>
      </c>
      <c r="C485" s="17">
        <v>46240.5</v>
      </c>
      <c r="D485" s="17">
        <v>46240.52083333333</v>
      </c>
      <c r="E485" s="25">
        <v>0.5</v>
      </c>
      <c r="F485" s="2"/>
      <c r="G485" s="2"/>
      <c r="H485" s="3" t="s">
        <v>8971</v>
      </c>
      <c r="I485" s="3" t="s">
        <v>9094</v>
      </c>
      <c r="J485" s="3" t="s">
        <v>6853</v>
      </c>
      <c r="K485" s="3" t="s">
        <v>8973</v>
      </c>
      <c r="L485" s="16">
        <v>1.0</v>
      </c>
      <c r="M485" s="3" t="s">
        <v>8912</v>
      </c>
      <c r="N485" s="3" t="s">
        <v>8912</v>
      </c>
      <c r="O485" s="3" t="s">
        <v>9077</v>
      </c>
      <c r="P485" s="16">
        <v>1.0</v>
      </c>
      <c r="Q485" s="16">
        <v>0.0</v>
      </c>
      <c r="R485" s="16">
        <v>0.0</v>
      </c>
      <c r="S485" s="16">
        <v>0.0</v>
      </c>
      <c r="T485" s="3" t="s">
        <v>1195</v>
      </c>
    </row>
    <row r="486">
      <c r="A486" s="3" t="s">
        <v>9340</v>
      </c>
      <c r="B486" s="3" t="s">
        <v>9176</v>
      </c>
      <c r="C486" s="17">
        <v>46240.52083333333</v>
      </c>
      <c r="D486" s="17">
        <v>46240.54166666667</v>
      </c>
      <c r="E486" s="25">
        <v>0.5</v>
      </c>
      <c r="F486" s="2"/>
      <c r="G486" s="2"/>
      <c r="H486" s="3" t="s">
        <v>8971</v>
      </c>
      <c r="I486" s="3" t="s">
        <v>9077</v>
      </c>
      <c r="J486" s="3" t="s">
        <v>6950</v>
      </c>
      <c r="K486" s="3" t="s">
        <v>8973</v>
      </c>
      <c r="L486" s="16">
        <v>5.0</v>
      </c>
      <c r="M486" s="3" t="s">
        <v>9341</v>
      </c>
      <c r="N486" s="3" t="s">
        <v>9341</v>
      </c>
      <c r="O486" s="3" t="s">
        <v>9342</v>
      </c>
      <c r="P486" s="16">
        <v>4.0</v>
      </c>
      <c r="Q486" s="16">
        <v>0.0</v>
      </c>
      <c r="R486" s="16">
        <v>0.0</v>
      </c>
      <c r="S486" s="16">
        <v>1.0</v>
      </c>
      <c r="T486" s="2"/>
    </row>
    <row r="487">
      <c r="A487" s="3" t="s">
        <v>9320</v>
      </c>
      <c r="B487" s="3" t="s">
        <v>9196</v>
      </c>
      <c r="C487" s="17">
        <v>46241.39583333333</v>
      </c>
      <c r="D487" s="17">
        <v>46241.41666666667</v>
      </c>
      <c r="E487" s="25">
        <v>0.5</v>
      </c>
      <c r="G487" s="3" t="s">
        <v>9197</v>
      </c>
      <c r="H487" s="3" t="s">
        <v>8971</v>
      </c>
      <c r="I487" s="3" t="s">
        <v>9077</v>
      </c>
      <c r="J487" s="3" t="s">
        <v>6950</v>
      </c>
      <c r="K487" s="3" t="s">
        <v>8973</v>
      </c>
      <c r="L487" s="16">
        <v>4.0</v>
      </c>
      <c r="M487" s="3" t="s">
        <v>9198</v>
      </c>
      <c r="N487" s="3" t="s">
        <v>9198</v>
      </c>
      <c r="O487" s="3" t="s">
        <v>9321</v>
      </c>
      <c r="P487" s="16">
        <v>2.0</v>
      </c>
      <c r="Q487" s="16">
        <v>1.0</v>
      </c>
      <c r="R487" s="16">
        <v>0.0</v>
      </c>
      <c r="S487" s="16">
        <v>1.0</v>
      </c>
      <c r="T487" s="3" t="s">
        <v>1969</v>
      </c>
    </row>
    <row r="488">
      <c r="A488" s="3" t="s">
        <v>9441</v>
      </c>
      <c r="B488" s="3" t="s">
        <v>7840</v>
      </c>
      <c r="C488" s="17">
        <v>46244.58333333333</v>
      </c>
      <c r="D488" s="17">
        <v>46244.60416666667</v>
      </c>
      <c r="E488" s="25">
        <v>0.5</v>
      </c>
      <c r="G488" s="2"/>
      <c r="H488" s="3" t="s">
        <v>8971</v>
      </c>
      <c r="I488" s="3" t="s">
        <v>9094</v>
      </c>
      <c r="J488" s="3" t="s">
        <v>6853</v>
      </c>
      <c r="K488" s="3" t="s">
        <v>8973</v>
      </c>
      <c r="L488" s="16">
        <v>4.0</v>
      </c>
      <c r="M488" s="3" t="s">
        <v>9166</v>
      </c>
      <c r="N488" s="3" t="s">
        <v>9166</v>
      </c>
      <c r="O488" s="3" t="s">
        <v>9002</v>
      </c>
      <c r="P488" s="16">
        <v>1.0</v>
      </c>
      <c r="Q488" s="16">
        <v>0.0</v>
      </c>
      <c r="R488" s="16">
        <v>0.0</v>
      </c>
      <c r="S488" s="16">
        <v>3.0</v>
      </c>
      <c r="T488" s="3" t="s">
        <v>5544</v>
      </c>
    </row>
    <row r="489">
      <c r="A489" s="3" t="s">
        <v>9437</v>
      </c>
      <c r="B489" s="3" t="s">
        <v>9438</v>
      </c>
      <c r="C489" s="17">
        <v>46244.60416666667</v>
      </c>
      <c r="D489" s="17">
        <v>46244.625</v>
      </c>
      <c r="E489" s="25">
        <v>0.5</v>
      </c>
      <c r="G489" s="2"/>
      <c r="H489" s="3" t="s">
        <v>8971</v>
      </c>
      <c r="I489" s="3" t="s">
        <v>9006</v>
      </c>
      <c r="J489" s="3" t="s">
        <v>6950</v>
      </c>
      <c r="K489" s="3" t="s">
        <v>8973</v>
      </c>
      <c r="L489" s="16">
        <v>4.0</v>
      </c>
      <c r="M489" s="3" t="s">
        <v>9439</v>
      </c>
      <c r="N489" s="3" t="s">
        <v>9439</v>
      </c>
      <c r="O489" s="3" t="s">
        <v>9440</v>
      </c>
      <c r="P489" s="16">
        <v>2.0</v>
      </c>
      <c r="Q489" s="16">
        <v>0.0</v>
      </c>
      <c r="R489" s="16">
        <v>0.0</v>
      </c>
      <c r="S489" s="16">
        <v>2.0</v>
      </c>
      <c r="T489" s="3" t="s">
        <v>3616</v>
      </c>
    </row>
    <row r="490">
      <c r="A490" s="3" t="s">
        <v>9223</v>
      </c>
      <c r="B490" s="3" t="s">
        <v>8418</v>
      </c>
      <c r="C490" s="17">
        <v>46244.60416666667</v>
      </c>
      <c r="D490" s="17">
        <v>46244.625</v>
      </c>
      <c r="E490" s="25">
        <v>0.5</v>
      </c>
      <c r="F490" s="2"/>
      <c r="G490" s="3" t="s">
        <v>9304</v>
      </c>
      <c r="H490" s="3" t="s">
        <v>8971</v>
      </c>
      <c r="I490" s="3" t="s">
        <v>9094</v>
      </c>
      <c r="J490" s="3" t="s">
        <v>6853</v>
      </c>
      <c r="K490" s="3" t="s">
        <v>8973</v>
      </c>
      <c r="L490" s="16">
        <v>2.0</v>
      </c>
      <c r="M490" s="3" t="s">
        <v>9225</v>
      </c>
      <c r="N490" s="3" t="s">
        <v>9225</v>
      </c>
      <c r="O490" s="3" t="s">
        <v>9010</v>
      </c>
      <c r="P490" s="16">
        <v>0.0</v>
      </c>
      <c r="Q490" s="16">
        <v>0.0</v>
      </c>
      <c r="R490" s="16">
        <v>0.0</v>
      </c>
      <c r="S490" s="16">
        <v>2.0</v>
      </c>
      <c r="T490" s="3" t="s">
        <v>2868</v>
      </c>
    </row>
    <row r="491">
      <c r="A491" s="3" t="s">
        <v>9307</v>
      </c>
      <c r="B491" s="3" t="s">
        <v>9137</v>
      </c>
      <c r="C491" s="17">
        <v>46245.5</v>
      </c>
      <c r="D491" s="17">
        <v>46245.52083333333</v>
      </c>
      <c r="E491" s="25">
        <v>0.5</v>
      </c>
      <c r="F491" s="2"/>
      <c r="G491" s="3" t="s">
        <v>9138</v>
      </c>
      <c r="H491" s="3" t="s">
        <v>8971</v>
      </c>
      <c r="I491" s="3" t="s">
        <v>9077</v>
      </c>
      <c r="J491" s="3" t="s">
        <v>6950</v>
      </c>
      <c r="K491" s="3" t="s">
        <v>8973</v>
      </c>
      <c r="L491" s="16">
        <v>3.0</v>
      </c>
      <c r="M491" s="3" t="s">
        <v>9140</v>
      </c>
      <c r="N491" s="3" t="s">
        <v>9141</v>
      </c>
      <c r="O491" s="3" t="s">
        <v>9308</v>
      </c>
      <c r="P491" s="16">
        <v>2.0</v>
      </c>
      <c r="Q491" s="16">
        <v>0.0</v>
      </c>
      <c r="R491" s="16">
        <v>1.0</v>
      </c>
      <c r="S491" s="16">
        <v>0.0</v>
      </c>
      <c r="T491" s="3" t="s">
        <v>4466</v>
      </c>
    </row>
    <row r="492">
      <c r="A492" s="3" t="s">
        <v>9309</v>
      </c>
      <c r="B492" s="3" t="s">
        <v>6844</v>
      </c>
      <c r="C492" s="17">
        <v>46245.5625</v>
      </c>
      <c r="D492" s="17">
        <v>46245.58333333333</v>
      </c>
      <c r="E492" s="25">
        <v>0.5</v>
      </c>
      <c r="F492" s="2"/>
      <c r="G492" s="2"/>
      <c r="H492" s="3" t="s">
        <v>8971</v>
      </c>
      <c r="I492" s="3" t="s">
        <v>9094</v>
      </c>
      <c r="J492" s="3" t="s">
        <v>6853</v>
      </c>
      <c r="K492" s="3" t="s">
        <v>8973</v>
      </c>
      <c r="L492" s="16">
        <v>2.0</v>
      </c>
      <c r="M492" s="3" t="s">
        <v>9310</v>
      </c>
      <c r="N492" s="3" t="s">
        <v>9310</v>
      </c>
      <c r="O492" s="3" t="s">
        <v>9043</v>
      </c>
      <c r="P492" s="16">
        <v>1.0</v>
      </c>
      <c r="Q492" s="16">
        <v>0.0</v>
      </c>
      <c r="R492" s="16">
        <v>0.0</v>
      </c>
      <c r="S492" s="16">
        <v>1.0</v>
      </c>
      <c r="T492" s="3" t="s">
        <v>2616</v>
      </c>
    </row>
    <row r="493">
      <c r="A493" s="3" t="s">
        <v>9442</v>
      </c>
      <c r="B493" s="3" t="s">
        <v>8969</v>
      </c>
      <c r="C493" s="17">
        <v>46245.58333333333</v>
      </c>
      <c r="D493" s="17">
        <v>46245.60416666667</v>
      </c>
      <c r="E493" s="25">
        <v>0.5</v>
      </c>
      <c r="F493" s="2"/>
      <c r="G493" s="3" t="s">
        <v>8970</v>
      </c>
      <c r="H493" s="3" t="s">
        <v>8971</v>
      </c>
      <c r="I493" s="3" t="s">
        <v>9094</v>
      </c>
      <c r="J493" s="3" t="s">
        <v>6853</v>
      </c>
      <c r="K493" s="3" t="s">
        <v>8973</v>
      </c>
      <c r="L493" s="16">
        <v>3.0</v>
      </c>
      <c r="M493" s="3" t="s">
        <v>9436</v>
      </c>
      <c r="N493" s="3" t="s">
        <v>9436</v>
      </c>
      <c r="O493" s="3" t="s">
        <v>9147</v>
      </c>
      <c r="P493" s="16">
        <v>2.0</v>
      </c>
      <c r="Q493" s="16">
        <v>0.0</v>
      </c>
      <c r="R493" s="16">
        <v>0.0</v>
      </c>
      <c r="S493" s="16">
        <v>1.0</v>
      </c>
      <c r="T493" s="3" t="s">
        <v>5498</v>
      </c>
    </row>
    <row r="494">
      <c r="A494" s="3" t="s">
        <v>9384</v>
      </c>
      <c r="B494" s="3" t="s">
        <v>9015</v>
      </c>
      <c r="C494" s="17">
        <v>46246.54166666667</v>
      </c>
      <c r="D494" s="17">
        <v>46246.5625</v>
      </c>
      <c r="E494" s="25">
        <v>0.5</v>
      </c>
      <c r="F494" s="2"/>
      <c r="G494" s="2"/>
      <c r="H494" s="3" t="s">
        <v>8971</v>
      </c>
      <c r="I494" s="3" t="s">
        <v>9077</v>
      </c>
      <c r="J494" s="3" t="s">
        <v>6950</v>
      </c>
      <c r="K494" s="3" t="s">
        <v>8973</v>
      </c>
      <c r="L494" s="16">
        <v>3.0</v>
      </c>
      <c r="M494" s="3" t="s">
        <v>9016</v>
      </c>
      <c r="N494" s="3" t="s">
        <v>9016</v>
      </c>
      <c r="O494" s="3" t="s">
        <v>9017</v>
      </c>
      <c r="P494" s="16">
        <v>3.0</v>
      </c>
      <c r="Q494" s="16">
        <v>0.0</v>
      </c>
      <c r="R494" s="16">
        <v>0.0</v>
      </c>
      <c r="S494" s="16">
        <v>0.0</v>
      </c>
      <c r="T494" s="3" t="s">
        <v>1975</v>
      </c>
    </row>
    <row r="495">
      <c r="A495" s="3" t="s">
        <v>9468</v>
      </c>
      <c r="B495" s="3" t="s">
        <v>9012</v>
      </c>
      <c r="C495" s="17">
        <v>46247.35416666667</v>
      </c>
      <c r="D495" s="17">
        <v>46247.58333333333</v>
      </c>
      <c r="E495" s="25">
        <v>5.5</v>
      </c>
      <c r="G495" s="3" t="s">
        <v>9013</v>
      </c>
      <c r="H495" s="3" t="s">
        <v>8971</v>
      </c>
      <c r="I495" s="3" t="s">
        <v>9006</v>
      </c>
      <c r="J495" s="3" t="s">
        <v>9007</v>
      </c>
      <c r="K495" s="3" t="s">
        <v>8973</v>
      </c>
      <c r="L495" s="16">
        <v>2.0</v>
      </c>
      <c r="M495" s="3" t="s">
        <v>9008</v>
      </c>
      <c r="N495" s="3" t="s">
        <v>9009</v>
      </c>
      <c r="O495" s="3" t="s">
        <v>9010</v>
      </c>
      <c r="P495" s="16">
        <v>0.0</v>
      </c>
      <c r="Q495" s="16">
        <v>0.0</v>
      </c>
      <c r="R495" s="16">
        <v>0.0</v>
      </c>
      <c r="S495" s="16">
        <v>2.0</v>
      </c>
      <c r="T495" s="2"/>
    </row>
    <row r="496">
      <c r="A496" s="3" t="s">
        <v>9262</v>
      </c>
      <c r="B496" s="3" t="s">
        <v>9263</v>
      </c>
      <c r="C496" s="17">
        <v>46247.4375</v>
      </c>
      <c r="D496" s="17">
        <v>46247.45833333333</v>
      </c>
      <c r="E496" s="25">
        <v>0.5</v>
      </c>
      <c r="F496" s="2"/>
      <c r="G496" s="2"/>
      <c r="H496" s="3" t="s">
        <v>8971</v>
      </c>
      <c r="I496" s="3" t="s">
        <v>9077</v>
      </c>
      <c r="J496" s="3" t="s">
        <v>6950</v>
      </c>
      <c r="K496" s="3" t="s">
        <v>8973</v>
      </c>
      <c r="L496" s="16">
        <v>4.0</v>
      </c>
      <c r="M496" s="3" t="s">
        <v>9311</v>
      </c>
      <c r="N496" s="3" t="s">
        <v>9312</v>
      </c>
      <c r="O496" s="3" t="s">
        <v>9167</v>
      </c>
      <c r="P496" s="16">
        <v>4.0</v>
      </c>
      <c r="Q496" s="16">
        <v>0.0</v>
      </c>
      <c r="R496" s="16">
        <v>0.0</v>
      </c>
      <c r="S496" s="16">
        <v>0.0</v>
      </c>
      <c r="T496" s="3" t="s">
        <v>2672</v>
      </c>
    </row>
    <row r="497">
      <c r="A497" s="3" t="s">
        <v>9314</v>
      </c>
      <c r="B497" s="3" t="s">
        <v>9315</v>
      </c>
      <c r="C497" s="17">
        <v>46247.58333333333</v>
      </c>
      <c r="D497" s="17">
        <v>46247.60416666667</v>
      </c>
      <c r="E497" s="25">
        <v>0.5</v>
      </c>
      <c r="F497" s="2"/>
      <c r="G497" s="2"/>
      <c r="H497" s="3" t="s">
        <v>8971</v>
      </c>
      <c r="I497" s="3" t="s">
        <v>9077</v>
      </c>
      <c r="J497" s="3" t="s">
        <v>6950</v>
      </c>
      <c r="K497" s="3" t="s">
        <v>8973</v>
      </c>
      <c r="L497" s="16">
        <v>6.0</v>
      </c>
      <c r="M497" s="3" t="s">
        <v>9316</v>
      </c>
      <c r="N497" s="3" t="s">
        <v>9316</v>
      </c>
      <c r="O497" s="3" t="s">
        <v>9397</v>
      </c>
      <c r="P497" s="16">
        <v>1.0</v>
      </c>
      <c r="Q497" s="16">
        <v>3.0</v>
      </c>
      <c r="R497" s="16">
        <v>0.0</v>
      </c>
      <c r="S497" s="16">
        <v>2.0</v>
      </c>
      <c r="T497" s="3" t="s">
        <v>5285</v>
      </c>
    </row>
    <row r="498">
      <c r="A498" s="3" t="s">
        <v>9410</v>
      </c>
      <c r="B498" s="3" t="s">
        <v>7147</v>
      </c>
      <c r="C498" s="17">
        <v>46251.54166666667</v>
      </c>
      <c r="D498" s="17">
        <v>46251.5625</v>
      </c>
      <c r="E498" s="25">
        <v>0.5</v>
      </c>
      <c r="F498" s="13" t="s">
        <v>9411</v>
      </c>
      <c r="G498" s="3" t="s">
        <v>9412</v>
      </c>
      <c r="H498" s="3" t="s">
        <v>8971</v>
      </c>
      <c r="I498" s="3" t="s">
        <v>9094</v>
      </c>
      <c r="J498" s="3" t="s">
        <v>6853</v>
      </c>
      <c r="K498" s="3" t="s">
        <v>8973</v>
      </c>
      <c r="L498" s="16">
        <v>4.0</v>
      </c>
      <c r="M498" s="3" t="s">
        <v>9349</v>
      </c>
      <c r="N498" s="3" t="s">
        <v>9349</v>
      </c>
      <c r="O498" s="3" t="s">
        <v>9002</v>
      </c>
      <c r="P498" s="16">
        <v>1.0</v>
      </c>
      <c r="Q498" s="16">
        <v>0.0</v>
      </c>
      <c r="R498" s="16">
        <v>0.0</v>
      </c>
      <c r="S498" s="16">
        <v>3.0</v>
      </c>
      <c r="T498" s="3" t="s">
        <v>1725</v>
      </c>
    </row>
    <row r="499">
      <c r="A499" s="3" t="s">
        <v>9325</v>
      </c>
      <c r="B499" s="3" t="s">
        <v>9000</v>
      </c>
      <c r="C499" s="17">
        <v>46251.58333333333</v>
      </c>
      <c r="D499" s="17">
        <v>46251.60416666667</v>
      </c>
      <c r="E499" s="25">
        <v>0.5</v>
      </c>
      <c r="F499" s="2"/>
      <c r="G499" s="2"/>
      <c r="H499" s="3" t="s">
        <v>8971</v>
      </c>
      <c r="I499" s="3" t="s">
        <v>8972</v>
      </c>
      <c r="J499" s="3" t="s">
        <v>6950</v>
      </c>
      <c r="K499" s="3" t="s">
        <v>8973</v>
      </c>
      <c r="L499" s="16">
        <v>4.0</v>
      </c>
      <c r="M499" s="3" t="s">
        <v>9001</v>
      </c>
      <c r="N499" s="3" t="s">
        <v>9001</v>
      </c>
      <c r="O499" s="3" t="s">
        <v>9002</v>
      </c>
      <c r="P499" s="16">
        <v>1.0</v>
      </c>
      <c r="Q499" s="16">
        <v>0.0</v>
      </c>
      <c r="R499" s="16">
        <v>0.0</v>
      </c>
      <c r="S499" s="16">
        <v>3.0</v>
      </c>
      <c r="T499" s="3" t="s">
        <v>2594</v>
      </c>
    </row>
    <row r="500">
      <c r="A500" s="3" t="s">
        <v>9223</v>
      </c>
      <c r="B500" s="3" t="s">
        <v>8418</v>
      </c>
      <c r="C500" s="17">
        <v>46251.60416666667</v>
      </c>
      <c r="D500" s="17">
        <v>46251.625</v>
      </c>
      <c r="E500" s="25">
        <v>0.5</v>
      </c>
      <c r="F500" s="2"/>
      <c r="G500" s="3" t="s">
        <v>9304</v>
      </c>
      <c r="H500" s="3" t="s">
        <v>8971</v>
      </c>
      <c r="I500" s="3" t="s">
        <v>9094</v>
      </c>
      <c r="J500" s="3" t="s">
        <v>6853</v>
      </c>
      <c r="K500" s="3" t="s">
        <v>8973</v>
      </c>
      <c r="L500" s="16">
        <v>2.0</v>
      </c>
      <c r="M500" s="3" t="s">
        <v>9225</v>
      </c>
      <c r="N500" s="3" t="s">
        <v>9225</v>
      </c>
      <c r="O500" s="3" t="s">
        <v>9010</v>
      </c>
      <c r="P500" s="16">
        <v>0.0</v>
      </c>
      <c r="Q500" s="16">
        <v>0.0</v>
      </c>
      <c r="R500" s="16">
        <v>0.0</v>
      </c>
      <c r="S500" s="16">
        <v>2.0</v>
      </c>
      <c r="T500" s="3" t="s">
        <v>2868</v>
      </c>
    </row>
    <row r="501">
      <c r="A501" s="3" t="s">
        <v>9307</v>
      </c>
      <c r="B501" s="3" t="s">
        <v>9137</v>
      </c>
      <c r="C501" s="17">
        <v>46252.5</v>
      </c>
      <c r="D501" s="17">
        <v>46252.52083333333</v>
      </c>
      <c r="E501" s="25">
        <v>0.5</v>
      </c>
      <c r="G501" s="3" t="s">
        <v>9138</v>
      </c>
      <c r="H501" s="3" t="s">
        <v>8971</v>
      </c>
      <c r="I501" s="3" t="s">
        <v>9077</v>
      </c>
      <c r="J501" s="3" t="s">
        <v>6950</v>
      </c>
      <c r="K501" s="3" t="s">
        <v>8973</v>
      </c>
      <c r="L501" s="16">
        <v>3.0</v>
      </c>
      <c r="M501" s="3" t="s">
        <v>9140</v>
      </c>
      <c r="N501" s="3" t="s">
        <v>9141</v>
      </c>
      <c r="O501" s="3" t="s">
        <v>9308</v>
      </c>
      <c r="P501" s="16">
        <v>2.0</v>
      </c>
      <c r="Q501" s="16">
        <v>0.0</v>
      </c>
      <c r="R501" s="16">
        <v>1.0</v>
      </c>
      <c r="S501" s="16">
        <v>0.0</v>
      </c>
      <c r="T501" s="3" t="s">
        <v>4466</v>
      </c>
    </row>
    <row r="502">
      <c r="A502" s="3" t="s">
        <v>9326</v>
      </c>
      <c r="B502" s="3" t="s">
        <v>8991</v>
      </c>
      <c r="C502" s="17">
        <v>46252.54166666667</v>
      </c>
      <c r="D502" s="17">
        <v>46252.5625</v>
      </c>
      <c r="E502" s="25">
        <v>0.5</v>
      </c>
      <c r="F502" s="2"/>
      <c r="G502" s="3" t="s">
        <v>8992</v>
      </c>
      <c r="H502" s="3" t="s">
        <v>8971</v>
      </c>
      <c r="I502" s="3" t="s">
        <v>9077</v>
      </c>
      <c r="J502" s="3" t="s">
        <v>6950</v>
      </c>
      <c r="K502" s="3" t="s">
        <v>8973</v>
      </c>
      <c r="L502" s="16">
        <v>4.0</v>
      </c>
      <c r="M502" s="3" t="s">
        <v>8993</v>
      </c>
      <c r="N502" s="3" t="s">
        <v>8993</v>
      </c>
      <c r="O502" s="3" t="s">
        <v>9204</v>
      </c>
      <c r="P502" s="16">
        <v>3.0</v>
      </c>
      <c r="Q502" s="16">
        <v>0.0</v>
      </c>
      <c r="R502" s="16">
        <v>0.0</v>
      </c>
      <c r="S502" s="16">
        <v>1.0</v>
      </c>
      <c r="T502" s="3" t="s">
        <v>861</v>
      </c>
    </row>
    <row r="503">
      <c r="A503" s="3" t="s">
        <v>9309</v>
      </c>
      <c r="B503" s="3" t="s">
        <v>6844</v>
      </c>
      <c r="C503" s="17">
        <v>46252.5625</v>
      </c>
      <c r="D503" s="17">
        <v>46252.58333333333</v>
      </c>
      <c r="E503" s="25">
        <v>0.5</v>
      </c>
      <c r="F503" s="2"/>
      <c r="G503" s="2"/>
      <c r="H503" s="3" t="s">
        <v>8971</v>
      </c>
      <c r="I503" s="3" t="s">
        <v>9094</v>
      </c>
      <c r="J503" s="3" t="s">
        <v>6853</v>
      </c>
      <c r="K503" s="3" t="s">
        <v>8973</v>
      </c>
      <c r="L503" s="16">
        <v>2.0</v>
      </c>
      <c r="M503" s="3" t="s">
        <v>9310</v>
      </c>
      <c r="N503" s="3" t="s">
        <v>9310</v>
      </c>
      <c r="O503" s="3" t="s">
        <v>9043</v>
      </c>
      <c r="P503" s="16">
        <v>1.0</v>
      </c>
      <c r="Q503" s="16">
        <v>0.0</v>
      </c>
      <c r="R503" s="16">
        <v>0.0</v>
      </c>
      <c r="S503" s="16">
        <v>1.0</v>
      </c>
      <c r="T503" s="3" t="s">
        <v>2616</v>
      </c>
    </row>
    <row r="504">
      <c r="A504" s="3" t="s">
        <v>9467</v>
      </c>
      <c r="B504" s="3" t="s">
        <v>9004</v>
      </c>
      <c r="C504" s="17">
        <v>46254.3125</v>
      </c>
      <c r="D504" s="17">
        <v>46254.35416666667</v>
      </c>
      <c r="E504" s="25">
        <v>1.0</v>
      </c>
      <c r="F504" s="3" t="s">
        <v>9005</v>
      </c>
      <c r="G504" s="2"/>
      <c r="H504" s="3" t="s">
        <v>8971</v>
      </c>
      <c r="I504" s="3" t="s">
        <v>9006</v>
      </c>
      <c r="J504" s="3" t="s">
        <v>9007</v>
      </c>
      <c r="K504" s="3" t="s">
        <v>8973</v>
      </c>
      <c r="L504" s="16">
        <v>2.0</v>
      </c>
      <c r="M504" s="3" t="s">
        <v>9008</v>
      </c>
      <c r="N504" s="3" t="s">
        <v>9009</v>
      </c>
      <c r="O504" s="3" t="s">
        <v>9010</v>
      </c>
      <c r="P504" s="16">
        <v>0.0</v>
      </c>
      <c r="Q504" s="16">
        <v>0.0</v>
      </c>
      <c r="R504" s="16">
        <v>0.0</v>
      </c>
      <c r="S504" s="16">
        <v>2.0</v>
      </c>
      <c r="T504" s="2"/>
    </row>
    <row r="505">
      <c r="A505" s="3" t="s">
        <v>9334</v>
      </c>
      <c r="B505" s="3" t="s">
        <v>9026</v>
      </c>
      <c r="C505" s="17">
        <v>46254.375</v>
      </c>
      <c r="D505" s="17">
        <v>46254.39583333333</v>
      </c>
      <c r="E505" s="25">
        <v>0.5</v>
      </c>
      <c r="G505" s="2"/>
      <c r="H505" s="3" t="s">
        <v>8971</v>
      </c>
      <c r="I505" s="3" t="s">
        <v>9077</v>
      </c>
      <c r="J505" s="3" t="s">
        <v>6950</v>
      </c>
      <c r="K505" s="3" t="s">
        <v>8973</v>
      </c>
      <c r="L505" s="16">
        <v>4.0</v>
      </c>
      <c r="M505" s="3" t="s">
        <v>9027</v>
      </c>
      <c r="N505" s="3" t="s">
        <v>9027</v>
      </c>
      <c r="O505" s="3" t="s">
        <v>9335</v>
      </c>
      <c r="P505" s="16">
        <v>2.0</v>
      </c>
      <c r="Q505" s="16">
        <v>0.0</v>
      </c>
      <c r="R505" s="16">
        <v>0.0</v>
      </c>
      <c r="S505" s="16">
        <v>2.0</v>
      </c>
      <c r="T505" s="3" t="s">
        <v>5681</v>
      </c>
    </row>
    <row r="506">
      <c r="A506" s="3" t="s">
        <v>9458</v>
      </c>
      <c r="B506" s="3" t="s">
        <v>9022</v>
      </c>
      <c r="C506" s="17">
        <v>46254.47916666667</v>
      </c>
      <c r="D506" s="17">
        <v>46254.5</v>
      </c>
      <c r="E506" s="25">
        <v>0.5</v>
      </c>
      <c r="F506" s="2"/>
      <c r="G506" s="2"/>
      <c r="H506" s="3" t="s">
        <v>8971</v>
      </c>
      <c r="I506" s="3" t="s">
        <v>9077</v>
      </c>
      <c r="J506" s="3" t="s">
        <v>6950</v>
      </c>
      <c r="K506" s="3" t="s">
        <v>8973</v>
      </c>
      <c r="L506" s="16">
        <v>2.0</v>
      </c>
      <c r="M506" s="3" t="s">
        <v>9023</v>
      </c>
      <c r="N506" s="3" t="s">
        <v>9023</v>
      </c>
      <c r="O506" s="3" t="s">
        <v>9024</v>
      </c>
      <c r="P506" s="16">
        <v>2.0</v>
      </c>
      <c r="Q506" s="16">
        <v>0.0</v>
      </c>
      <c r="R506" s="16">
        <v>0.0</v>
      </c>
      <c r="S506" s="16">
        <v>0.0</v>
      </c>
      <c r="T506" s="3" t="s">
        <v>5396</v>
      </c>
    </row>
    <row r="507">
      <c r="A507" s="3" t="s">
        <v>9459</v>
      </c>
      <c r="B507" s="3" t="s">
        <v>9460</v>
      </c>
      <c r="C507" s="17">
        <v>46254.5</v>
      </c>
      <c r="D507" s="17">
        <v>46254.52083333333</v>
      </c>
      <c r="E507" s="25">
        <v>0.5</v>
      </c>
      <c r="F507" s="2"/>
      <c r="G507" s="2"/>
      <c r="H507" s="3" t="s">
        <v>8971</v>
      </c>
      <c r="I507" s="3" t="s">
        <v>9094</v>
      </c>
      <c r="J507" s="3" t="s">
        <v>6853</v>
      </c>
      <c r="K507" s="3" t="s">
        <v>8973</v>
      </c>
      <c r="L507" s="16">
        <v>1.0</v>
      </c>
      <c r="M507" s="3" t="s">
        <v>8912</v>
      </c>
      <c r="N507" s="3" t="s">
        <v>8912</v>
      </c>
      <c r="O507" s="3" t="s">
        <v>9077</v>
      </c>
      <c r="P507" s="16">
        <v>1.0</v>
      </c>
      <c r="Q507" s="16">
        <v>0.0</v>
      </c>
      <c r="R507" s="16">
        <v>0.0</v>
      </c>
      <c r="S507" s="16">
        <v>0.0</v>
      </c>
      <c r="T507" s="3" t="s">
        <v>1195</v>
      </c>
    </row>
    <row r="508">
      <c r="A508" s="3" t="s">
        <v>9340</v>
      </c>
      <c r="B508" s="3" t="s">
        <v>9176</v>
      </c>
      <c r="C508" s="17">
        <v>46254.52083333333</v>
      </c>
      <c r="D508" s="17">
        <v>46254.54166666667</v>
      </c>
      <c r="E508" s="25">
        <v>0.5</v>
      </c>
      <c r="F508" s="2"/>
      <c r="G508" s="2"/>
      <c r="H508" s="3" t="s">
        <v>8971</v>
      </c>
      <c r="I508" s="3" t="s">
        <v>9077</v>
      </c>
      <c r="J508" s="3" t="s">
        <v>6950</v>
      </c>
      <c r="K508" s="3" t="s">
        <v>8973</v>
      </c>
      <c r="L508" s="16">
        <v>5.0</v>
      </c>
      <c r="M508" s="3" t="s">
        <v>9341</v>
      </c>
      <c r="N508" s="3" t="s">
        <v>9341</v>
      </c>
      <c r="O508" s="3" t="s">
        <v>9342</v>
      </c>
      <c r="P508" s="16">
        <v>4.0</v>
      </c>
      <c r="Q508" s="16">
        <v>0.0</v>
      </c>
      <c r="R508" s="16">
        <v>0.0</v>
      </c>
      <c r="S508" s="16">
        <v>1.0</v>
      </c>
      <c r="T508" s="2"/>
    </row>
    <row r="509">
      <c r="A509" s="3" t="s">
        <v>9280</v>
      </c>
      <c r="B509" s="3" t="s">
        <v>9281</v>
      </c>
      <c r="C509" s="17">
        <v>46254.70833333333</v>
      </c>
      <c r="D509" s="17">
        <v>46254.72916666667</v>
      </c>
      <c r="E509" s="25">
        <v>0.5</v>
      </c>
      <c r="F509" s="2"/>
      <c r="G509" s="3" t="s">
        <v>9282</v>
      </c>
      <c r="H509" s="3" t="s">
        <v>8971</v>
      </c>
      <c r="I509" s="3" t="s">
        <v>9077</v>
      </c>
      <c r="J509" s="3" t="s">
        <v>9283</v>
      </c>
      <c r="K509" s="3" t="s">
        <v>8973</v>
      </c>
      <c r="L509" s="16">
        <v>15.0</v>
      </c>
      <c r="M509" s="3" t="s">
        <v>9284</v>
      </c>
      <c r="N509" s="3" t="s">
        <v>9285</v>
      </c>
      <c r="O509" s="3" t="s">
        <v>9404</v>
      </c>
      <c r="P509" s="16">
        <v>9.0</v>
      </c>
      <c r="Q509" s="16">
        <v>0.0</v>
      </c>
      <c r="R509" s="16">
        <v>1.0</v>
      </c>
      <c r="S509" s="16">
        <v>5.0</v>
      </c>
      <c r="T509" s="3" t="s">
        <v>2922</v>
      </c>
    </row>
    <row r="510">
      <c r="A510" s="3" t="s">
        <v>9405</v>
      </c>
      <c r="B510" s="3" t="s">
        <v>9406</v>
      </c>
      <c r="C510" s="17">
        <v>46255.41666666667</v>
      </c>
      <c r="D510" s="17">
        <v>46255.4375</v>
      </c>
      <c r="E510" s="25">
        <v>0.5</v>
      </c>
      <c r="G510" s="2"/>
      <c r="H510" s="3" t="s">
        <v>8971</v>
      </c>
      <c r="I510" s="3" t="s">
        <v>9077</v>
      </c>
      <c r="J510" s="3" t="s">
        <v>6950</v>
      </c>
      <c r="K510" s="3" t="s">
        <v>8973</v>
      </c>
      <c r="L510" s="16">
        <v>5.0</v>
      </c>
      <c r="M510" s="3" t="s">
        <v>9484</v>
      </c>
      <c r="N510" s="3" t="s">
        <v>9484</v>
      </c>
      <c r="O510" s="3" t="s">
        <v>9342</v>
      </c>
      <c r="P510" s="16">
        <v>4.0</v>
      </c>
      <c r="Q510" s="16">
        <v>0.0</v>
      </c>
      <c r="R510" s="16">
        <v>0.0</v>
      </c>
      <c r="S510" s="16">
        <v>1.0</v>
      </c>
      <c r="T510" s="3" t="s">
        <v>5721</v>
      </c>
    </row>
    <row r="511">
      <c r="A511" s="3" t="s">
        <v>9441</v>
      </c>
      <c r="B511" s="3" t="s">
        <v>7840</v>
      </c>
      <c r="C511" s="17">
        <v>46258.58333333333</v>
      </c>
      <c r="D511" s="17">
        <v>46258.60416666667</v>
      </c>
      <c r="E511" s="25">
        <v>0.5</v>
      </c>
      <c r="G511" s="2"/>
      <c r="H511" s="3" t="s">
        <v>8971</v>
      </c>
      <c r="I511" s="3" t="s">
        <v>9094</v>
      </c>
      <c r="J511" s="3" t="s">
        <v>6853</v>
      </c>
      <c r="K511" s="3" t="s">
        <v>8973</v>
      </c>
      <c r="L511" s="16">
        <v>4.0</v>
      </c>
      <c r="M511" s="3" t="s">
        <v>9166</v>
      </c>
      <c r="N511" s="3" t="s">
        <v>9166</v>
      </c>
      <c r="O511" s="3" t="s">
        <v>9002</v>
      </c>
      <c r="P511" s="16">
        <v>1.0</v>
      </c>
      <c r="Q511" s="16">
        <v>0.0</v>
      </c>
      <c r="R511" s="16">
        <v>0.0</v>
      </c>
      <c r="S511" s="16">
        <v>3.0</v>
      </c>
      <c r="T511" s="3" t="s">
        <v>5544</v>
      </c>
    </row>
    <row r="512">
      <c r="A512" s="3" t="s">
        <v>9223</v>
      </c>
      <c r="B512" s="3" t="s">
        <v>8418</v>
      </c>
      <c r="C512" s="17">
        <v>46258.60416666667</v>
      </c>
      <c r="D512" s="17">
        <v>46258.625</v>
      </c>
      <c r="E512" s="25">
        <v>0.5</v>
      </c>
      <c r="G512" s="3" t="s">
        <v>9304</v>
      </c>
      <c r="H512" s="3" t="s">
        <v>8971</v>
      </c>
      <c r="I512" s="3" t="s">
        <v>9094</v>
      </c>
      <c r="J512" s="3" t="s">
        <v>6853</v>
      </c>
      <c r="K512" s="3" t="s">
        <v>8973</v>
      </c>
      <c r="L512" s="16">
        <v>2.0</v>
      </c>
      <c r="M512" s="3" t="s">
        <v>9225</v>
      </c>
      <c r="N512" s="3" t="s">
        <v>9225</v>
      </c>
      <c r="O512" s="3" t="s">
        <v>9010</v>
      </c>
      <c r="P512" s="16">
        <v>0.0</v>
      </c>
      <c r="Q512" s="16">
        <v>0.0</v>
      </c>
      <c r="R512" s="16">
        <v>0.0</v>
      </c>
      <c r="S512" s="16">
        <v>2.0</v>
      </c>
      <c r="T512" s="3" t="s">
        <v>2868</v>
      </c>
    </row>
    <row r="513">
      <c r="A513" s="3" t="s">
        <v>9307</v>
      </c>
      <c r="B513" s="3" t="s">
        <v>9137</v>
      </c>
      <c r="C513" s="17">
        <v>46259.5</v>
      </c>
      <c r="D513" s="17">
        <v>46259.52083333333</v>
      </c>
      <c r="E513" s="25">
        <v>0.5</v>
      </c>
      <c r="G513" s="3" t="s">
        <v>9138</v>
      </c>
      <c r="H513" s="3" t="s">
        <v>8971</v>
      </c>
      <c r="I513" s="3" t="s">
        <v>9077</v>
      </c>
      <c r="J513" s="3" t="s">
        <v>6950</v>
      </c>
      <c r="K513" s="3" t="s">
        <v>8973</v>
      </c>
      <c r="L513" s="16">
        <v>3.0</v>
      </c>
      <c r="M513" s="3" t="s">
        <v>9140</v>
      </c>
      <c r="N513" s="3" t="s">
        <v>9141</v>
      </c>
      <c r="O513" s="3" t="s">
        <v>9308</v>
      </c>
      <c r="P513" s="16">
        <v>2.0</v>
      </c>
      <c r="Q513" s="16">
        <v>0.0</v>
      </c>
      <c r="R513" s="16">
        <v>1.0</v>
      </c>
      <c r="S513" s="16">
        <v>0.0</v>
      </c>
      <c r="T513" s="3" t="s">
        <v>4466</v>
      </c>
    </row>
    <row r="514">
      <c r="A514" s="3" t="s">
        <v>9309</v>
      </c>
      <c r="B514" s="3" t="s">
        <v>6844</v>
      </c>
      <c r="C514" s="17">
        <v>46259.5625</v>
      </c>
      <c r="D514" s="17">
        <v>46259.58333333333</v>
      </c>
      <c r="E514" s="25">
        <v>0.5</v>
      </c>
      <c r="G514" s="2"/>
      <c r="H514" s="3" t="s">
        <v>8971</v>
      </c>
      <c r="I514" s="3" t="s">
        <v>9094</v>
      </c>
      <c r="J514" s="3" t="s">
        <v>6853</v>
      </c>
      <c r="K514" s="3" t="s">
        <v>8973</v>
      </c>
      <c r="L514" s="16">
        <v>2.0</v>
      </c>
      <c r="M514" s="3" t="s">
        <v>9310</v>
      </c>
      <c r="N514" s="3" t="s">
        <v>9310</v>
      </c>
      <c r="O514" s="3" t="s">
        <v>9043</v>
      </c>
      <c r="P514" s="16">
        <v>1.0</v>
      </c>
      <c r="Q514" s="16">
        <v>0.0</v>
      </c>
      <c r="R514" s="16">
        <v>0.0</v>
      </c>
      <c r="S514" s="16">
        <v>1.0</v>
      </c>
      <c r="T514" s="3" t="s">
        <v>2616</v>
      </c>
    </row>
    <row r="515">
      <c r="A515" s="3" t="s">
        <v>9442</v>
      </c>
      <c r="B515" s="3" t="s">
        <v>8969</v>
      </c>
      <c r="C515" s="17">
        <v>46259.58333333333</v>
      </c>
      <c r="D515" s="17">
        <v>46259.60416666667</v>
      </c>
      <c r="E515" s="25">
        <v>0.5</v>
      </c>
      <c r="G515" s="3" t="s">
        <v>8970</v>
      </c>
      <c r="H515" s="3" t="s">
        <v>8971</v>
      </c>
      <c r="I515" s="3" t="s">
        <v>9094</v>
      </c>
      <c r="J515" s="3" t="s">
        <v>6853</v>
      </c>
      <c r="K515" s="3" t="s">
        <v>8973</v>
      </c>
      <c r="L515" s="16">
        <v>3.0</v>
      </c>
      <c r="M515" s="3" t="s">
        <v>9436</v>
      </c>
      <c r="N515" s="3" t="s">
        <v>9436</v>
      </c>
      <c r="O515" s="3" t="s">
        <v>9147</v>
      </c>
      <c r="P515" s="16">
        <v>2.0</v>
      </c>
      <c r="Q515" s="16">
        <v>0.0</v>
      </c>
      <c r="R515" s="16">
        <v>0.0</v>
      </c>
      <c r="S515" s="16">
        <v>1.0</v>
      </c>
      <c r="T515" s="3" t="s">
        <v>5498</v>
      </c>
    </row>
    <row r="516">
      <c r="A516" s="3" t="s">
        <v>9384</v>
      </c>
      <c r="B516" s="3" t="s">
        <v>9015</v>
      </c>
      <c r="C516" s="17">
        <v>46260.54166666667</v>
      </c>
      <c r="D516" s="17">
        <v>46260.5625</v>
      </c>
      <c r="E516" s="25">
        <v>0.5</v>
      </c>
      <c r="F516" s="2"/>
      <c r="G516" s="2"/>
      <c r="H516" s="3" t="s">
        <v>8971</v>
      </c>
      <c r="I516" s="3" t="s">
        <v>9077</v>
      </c>
      <c r="J516" s="3" t="s">
        <v>6950</v>
      </c>
      <c r="K516" s="3" t="s">
        <v>8973</v>
      </c>
      <c r="L516" s="16">
        <v>3.0</v>
      </c>
      <c r="M516" s="3" t="s">
        <v>9016</v>
      </c>
      <c r="N516" s="3" t="s">
        <v>9016</v>
      </c>
      <c r="O516" s="3" t="s">
        <v>9017</v>
      </c>
      <c r="P516" s="16">
        <v>3.0</v>
      </c>
      <c r="Q516" s="16">
        <v>0.0</v>
      </c>
      <c r="R516" s="16">
        <v>0.0</v>
      </c>
      <c r="S516" s="16">
        <v>0.0</v>
      </c>
      <c r="T516" s="3" t="s">
        <v>1975</v>
      </c>
    </row>
    <row r="517">
      <c r="A517" s="3" t="s">
        <v>9421</v>
      </c>
      <c r="B517" s="3" t="s">
        <v>9422</v>
      </c>
      <c r="C517" s="17">
        <v>46261.35416666667</v>
      </c>
      <c r="D517" s="17">
        <v>46261.375</v>
      </c>
      <c r="E517" s="25">
        <v>0.5</v>
      </c>
      <c r="F517" s="2"/>
      <c r="G517" s="2"/>
      <c r="H517" s="3" t="s">
        <v>8971</v>
      </c>
      <c r="I517" s="3" t="s">
        <v>9077</v>
      </c>
      <c r="J517" s="3" t="s">
        <v>6950</v>
      </c>
      <c r="K517" s="3" t="s">
        <v>8973</v>
      </c>
      <c r="L517" s="16">
        <v>4.0</v>
      </c>
      <c r="M517" s="3" t="s">
        <v>9423</v>
      </c>
      <c r="N517" s="3" t="s">
        <v>9423</v>
      </c>
      <c r="O517" s="3" t="s">
        <v>9002</v>
      </c>
      <c r="P517" s="16">
        <v>1.0</v>
      </c>
      <c r="Q517" s="16">
        <v>0.0</v>
      </c>
      <c r="R517" s="16">
        <v>0.0</v>
      </c>
      <c r="S517" s="16">
        <v>3.0</v>
      </c>
      <c r="T517" s="3" t="s">
        <v>693</v>
      </c>
    </row>
    <row r="518">
      <c r="A518" s="3" t="s">
        <v>9262</v>
      </c>
      <c r="B518" s="3" t="s">
        <v>9263</v>
      </c>
      <c r="C518" s="17">
        <v>46261.4375</v>
      </c>
      <c r="D518" s="17">
        <v>46261.45833333333</v>
      </c>
      <c r="E518" s="25">
        <v>0.5</v>
      </c>
      <c r="G518" s="2"/>
      <c r="H518" s="3" t="s">
        <v>8971</v>
      </c>
      <c r="I518" s="3" t="s">
        <v>9077</v>
      </c>
      <c r="J518" s="3" t="s">
        <v>6950</v>
      </c>
      <c r="K518" s="3" t="s">
        <v>8973</v>
      </c>
      <c r="L518" s="16">
        <v>4.0</v>
      </c>
      <c r="M518" s="3" t="s">
        <v>9311</v>
      </c>
      <c r="N518" s="3" t="s">
        <v>9312</v>
      </c>
      <c r="O518" s="3" t="s">
        <v>9167</v>
      </c>
      <c r="P518" s="16">
        <v>4.0</v>
      </c>
      <c r="Q518" s="16">
        <v>0.0</v>
      </c>
      <c r="R518" s="16">
        <v>0.0</v>
      </c>
      <c r="S518" s="16">
        <v>0.0</v>
      </c>
      <c r="T518" s="3" t="s">
        <v>2672</v>
      </c>
    </row>
    <row r="519">
      <c r="A519" s="3" t="s">
        <v>9314</v>
      </c>
      <c r="B519" s="3" t="s">
        <v>9315</v>
      </c>
      <c r="C519" s="17">
        <v>46261.58333333333</v>
      </c>
      <c r="D519" s="17">
        <v>46261.60416666667</v>
      </c>
      <c r="E519" s="25">
        <v>0.5</v>
      </c>
      <c r="G519" s="2"/>
      <c r="H519" s="3" t="s">
        <v>8971</v>
      </c>
      <c r="I519" s="3" t="s">
        <v>9077</v>
      </c>
      <c r="J519" s="3" t="s">
        <v>6950</v>
      </c>
      <c r="K519" s="3" t="s">
        <v>8973</v>
      </c>
      <c r="L519" s="16">
        <v>6.0</v>
      </c>
      <c r="M519" s="3" t="s">
        <v>9316</v>
      </c>
      <c r="N519" s="3" t="s">
        <v>9316</v>
      </c>
      <c r="O519" s="3" t="s">
        <v>9397</v>
      </c>
      <c r="P519" s="16">
        <v>1.0</v>
      </c>
      <c r="Q519" s="16">
        <v>3.0</v>
      </c>
      <c r="R519" s="16">
        <v>0.0</v>
      </c>
      <c r="S519" s="16">
        <v>2.0</v>
      </c>
      <c r="T519" s="3" t="s">
        <v>5285</v>
      </c>
    </row>
    <row r="520">
      <c r="A520" s="3" t="s">
        <v>9443</v>
      </c>
      <c r="B520" s="3" t="s">
        <v>8085</v>
      </c>
      <c r="C520" s="17">
        <v>46262.54166666667</v>
      </c>
      <c r="D520" s="17">
        <v>46262.5625</v>
      </c>
      <c r="E520" s="25">
        <v>0.5</v>
      </c>
      <c r="F520" s="2"/>
      <c r="G520" s="2"/>
      <c r="H520" s="3" t="s">
        <v>8971</v>
      </c>
      <c r="I520" s="3" t="s">
        <v>9077</v>
      </c>
      <c r="J520" s="3" t="s">
        <v>9206</v>
      </c>
      <c r="K520" s="3" t="s">
        <v>8973</v>
      </c>
      <c r="L520" s="16">
        <v>5.0</v>
      </c>
      <c r="M520" s="3" t="s">
        <v>9207</v>
      </c>
      <c r="N520" s="3" t="s">
        <v>9208</v>
      </c>
      <c r="O520" s="3" t="s">
        <v>9444</v>
      </c>
      <c r="P520" s="16">
        <v>4.0</v>
      </c>
      <c r="Q520" s="16">
        <v>1.0</v>
      </c>
      <c r="R520" s="16">
        <v>0.0</v>
      </c>
      <c r="S520" s="16">
        <v>0.0</v>
      </c>
      <c r="T520" s="3" t="s">
        <v>453</v>
      </c>
    </row>
    <row r="521">
      <c r="A521" s="3" t="s">
        <v>9410</v>
      </c>
      <c r="B521" s="3" t="s">
        <v>7147</v>
      </c>
      <c r="C521" s="17">
        <v>46265.54166666667</v>
      </c>
      <c r="D521" s="17">
        <v>46265.5625</v>
      </c>
      <c r="E521" s="25">
        <v>0.5</v>
      </c>
      <c r="F521" s="13" t="s">
        <v>9411</v>
      </c>
      <c r="G521" s="3" t="s">
        <v>9412</v>
      </c>
      <c r="H521" s="3" t="s">
        <v>8971</v>
      </c>
      <c r="I521" s="3" t="s">
        <v>9094</v>
      </c>
      <c r="J521" s="3" t="s">
        <v>6853</v>
      </c>
      <c r="K521" s="3" t="s">
        <v>8973</v>
      </c>
      <c r="L521" s="16">
        <v>4.0</v>
      </c>
      <c r="M521" s="3" t="s">
        <v>9349</v>
      </c>
      <c r="N521" s="3" t="s">
        <v>9349</v>
      </c>
      <c r="O521" s="3" t="s">
        <v>9002</v>
      </c>
      <c r="P521" s="16">
        <v>1.0</v>
      </c>
      <c r="Q521" s="16">
        <v>0.0</v>
      </c>
      <c r="R521" s="16">
        <v>0.0</v>
      </c>
      <c r="S521" s="16">
        <v>3.0</v>
      </c>
      <c r="T521" s="3" t="s">
        <v>1725</v>
      </c>
    </row>
    <row r="522">
      <c r="A522" s="3" t="s">
        <v>9325</v>
      </c>
      <c r="B522" s="3" t="s">
        <v>9000</v>
      </c>
      <c r="C522" s="17">
        <v>46265.58333333333</v>
      </c>
      <c r="D522" s="17">
        <v>46265.60416666667</v>
      </c>
      <c r="E522" s="25">
        <v>0.5</v>
      </c>
      <c r="F522" s="2"/>
      <c r="G522" s="2"/>
      <c r="H522" s="3" t="s">
        <v>8971</v>
      </c>
      <c r="I522" s="3" t="s">
        <v>8972</v>
      </c>
      <c r="J522" s="3" t="s">
        <v>6950</v>
      </c>
      <c r="K522" s="3" t="s">
        <v>8973</v>
      </c>
      <c r="L522" s="16">
        <v>4.0</v>
      </c>
      <c r="M522" s="3" t="s">
        <v>9001</v>
      </c>
      <c r="N522" s="3" t="s">
        <v>9001</v>
      </c>
      <c r="O522" s="3" t="s">
        <v>9002</v>
      </c>
      <c r="P522" s="16">
        <v>1.0</v>
      </c>
      <c r="Q522" s="16">
        <v>0.0</v>
      </c>
      <c r="R522" s="16">
        <v>0.0</v>
      </c>
      <c r="S522" s="16">
        <v>3.0</v>
      </c>
      <c r="T522" s="3" t="s">
        <v>2594</v>
      </c>
    </row>
    <row r="523">
      <c r="A523" s="3" t="s">
        <v>9223</v>
      </c>
      <c r="B523" s="3" t="s">
        <v>8418</v>
      </c>
      <c r="C523" s="17">
        <v>46265.60416666667</v>
      </c>
      <c r="D523" s="17">
        <v>46265.625</v>
      </c>
      <c r="E523" s="25">
        <v>0.5</v>
      </c>
      <c r="G523" s="3" t="s">
        <v>9304</v>
      </c>
      <c r="H523" s="3" t="s">
        <v>8971</v>
      </c>
      <c r="I523" s="3" t="s">
        <v>9094</v>
      </c>
      <c r="J523" s="3" t="s">
        <v>6853</v>
      </c>
      <c r="K523" s="3" t="s">
        <v>8973</v>
      </c>
      <c r="L523" s="16">
        <v>2.0</v>
      </c>
      <c r="M523" s="3" t="s">
        <v>9225</v>
      </c>
      <c r="N523" s="3" t="s">
        <v>9225</v>
      </c>
      <c r="O523" s="3" t="s">
        <v>9010</v>
      </c>
      <c r="P523" s="16">
        <v>0.0</v>
      </c>
      <c r="Q523" s="16">
        <v>0.0</v>
      </c>
      <c r="R523" s="16">
        <v>0.0</v>
      </c>
      <c r="S523" s="16">
        <v>2.0</v>
      </c>
      <c r="T523" s="3" t="s">
        <v>2868</v>
      </c>
    </row>
    <row r="524">
      <c r="A524" s="3" t="s">
        <v>9416</v>
      </c>
      <c r="B524" s="3" t="s">
        <v>9417</v>
      </c>
      <c r="C524" s="17">
        <v>46266.45833333333</v>
      </c>
      <c r="D524" s="17">
        <v>46266.47916666667</v>
      </c>
      <c r="E524" s="25">
        <v>0.5</v>
      </c>
      <c r="F524" s="2"/>
      <c r="G524" s="3" t="s">
        <v>9418</v>
      </c>
      <c r="H524" s="3" t="s">
        <v>8971</v>
      </c>
      <c r="I524" s="3" t="s">
        <v>9094</v>
      </c>
      <c r="J524" s="3" t="s">
        <v>6853</v>
      </c>
      <c r="K524" s="3" t="s">
        <v>8973</v>
      </c>
      <c r="L524" s="16">
        <v>5.0</v>
      </c>
      <c r="M524" s="3" t="s">
        <v>9480</v>
      </c>
      <c r="N524" s="3" t="s">
        <v>9480</v>
      </c>
      <c r="O524" s="3" t="s">
        <v>9432</v>
      </c>
      <c r="P524" s="16">
        <v>0.0</v>
      </c>
      <c r="Q524" s="16">
        <v>0.0</v>
      </c>
      <c r="R524" s="16">
        <v>0.0</v>
      </c>
      <c r="S524" s="16">
        <v>5.0</v>
      </c>
      <c r="T524" s="3" t="s">
        <v>5602</v>
      </c>
    </row>
    <row r="525">
      <c r="A525" s="3" t="s">
        <v>9307</v>
      </c>
      <c r="B525" s="3" t="s">
        <v>9137</v>
      </c>
      <c r="C525" s="17">
        <v>46266.5</v>
      </c>
      <c r="D525" s="17">
        <v>46266.52083333333</v>
      </c>
      <c r="E525" s="25">
        <v>0.5</v>
      </c>
      <c r="G525" s="3" t="s">
        <v>9138</v>
      </c>
      <c r="H525" s="3" t="s">
        <v>8971</v>
      </c>
      <c r="I525" s="3" t="s">
        <v>9077</v>
      </c>
      <c r="J525" s="3" t="s">
        <v>6950</v>
      </c>
      <c r="K525" s="3" t="s">
        <v>8973</v>
      </c>
      <c r="L525" s="16">
        <v>3.0</v>
      </c>
      <c r="M525" s="3" t="s">
        <v>9140</v>
      </c>
      <c r="N525" s="3" t="s">
        <v>9141</v>
      </c>
      <c r="O525" s="3" t="s">
        <v>9308</v>
      </c>
      <c r="P525" s="16">
        <v>2.0</v>
      </c>
      <c r="Q525" s="16">
        <v>0.0</v>
      </c>
      <c r="R525" s="16">
        <v>1.0</v>
      </c>
      <c r="S525" s="16">
        <v>0.0</v>
      </c>
      <c r="T525" s="3" t="s">
        <v>4466</v>
      </c>
    </row>
    <row r="526">
      <c r="A526" s="3" t="s">
        <v>9309</v>
      </c>
      <c r="B526" s="3" t="s">
        <v>6844</v>
      </c>
      <c r="C526" s="17">
        <v>46266.5625</v>
      </c>
      <c r="D526" s="17">
        <v>46266.58333333333</v>
      </c>
      <c r="E526" s="25">
        <v>0.5</v>
      </c>
      <c r="F526" s="2"/>
      <c r="G526" s="2"/>
      <c r="H526" s="3" t="s">
        <v>8971</v>
      </c>
      <c r="I526" s="3" t="s">
        <v>9094</v>
      </c>
      <c r="J526" s="3" t="s">
        <v>6853</v>
      </c>
      <c r="K526" s="3" t="s">
        <v>8973</v>
      </c>
      <c r="L526" s="16">
        <v>2.0</v>
      </c>
      <c r="M526" s="3" t="s">
        <v>9310</v>
      </c>
      <c r="N526" s="3" t="s">
        <v>9310</v>
      </c>
      <c r="O526" s="3" t="s">
        <v>9043</v>
      </c>
      <c r="P526" s="16">
        <v>1.0</v>
      </c>
      <c r="Q526" s="16">
        <v>0.0</v>
      </c>
      <c r="R526" s="16">
        <v>0.0</v>
      </c>
      <c r="S526" s="16">
        <v>1.0</v>
      </c>
      <c r="T526" s="3" t="s">
        <v>2616</v>
      </c>
    </row>
    <row r="527">
      <c r="A527" s="3" t="s">
        <v>9453</v>
      </c>
      <c r="B527" s="3" t="s">
        <v>9454</v>
      </c>
      <c r="C527" s="17">
        <v>46266.58333333333</v>
      </c>
      <c r="D527" s="17">
        <v>46266.60416666667</v>
      </c>
      <c r="E527" s="25">
        <v>0.5</v>
      </c>
      <c r="F527" s="2"/>
      <c r="G527" s="3" t="s">
        <v>9455</v>
      </c>
      <c r="H527" s="3" t="s">
        <v>8971</v>
      </c>
      <c r="I527" s="3" t="s">
        <v>9077</v>
      </c>
      <c r="J527" s="3" t="s">
        <v>6950</v>
      </c>
      <c r="K527" s="3" t="s">
        <v>8973</v>
      </c>
      <c r="L527" s="16">
        <v>9.0</v>
      </c>
      <c r="M527" s="3" t="s">
        <v>8982</v>
      </c>
      <c r="N527" s="3" t="s">
        <v>8983</v>
      </c>
      <c r="O527" s="3" t="s">
        <v>9456</v>
      </c>
      <c r="P527" s="16">
        <v>2.0</v>
      </c>
      <c r="Q527" s="16">
        <v>0.0</v>
      </c>
      <c r="R527" s="16">
        <v>1.0</v>
      </c>
      <c r="S527" s="16">
        <v>6.0</v>
      </c>
      <c r="T527" s="3" t="s">
        <v>2109</v>
      </c>
    </row>
    <row r="528">
      <c r="A528" s="3" t="s">
        <v>9336</v>
      </c>
      <c r="B528" s="3" t="s">
        <v>8080</v>
      </c>
      <c r="C528" s="17">
        <v>46268.39583333333</v>
      </c>
      <c r="D528" s="17">
        <v>46268.41666666667</v>
      </c>
      <c r="E528" s="25">
        <v>0.5</v>
      </c>
      <c r="F528" s="2"/>
      <c r="G528" s="3" t="s">
        <v>9337</v>
      </c>
      <c r="H528" s="3" t="s">
        <v>8971</v>
      </c>
      <c r="I528" s="3" t="s">
        <v>9077</v>
      </c>
      <c r="J528" s="3" t="s">
        <v>9206</v>
      </c>
      <c r="K528" s="3" t="s">
        <v>8973</v>
      </c>
      <c r="L528" s="16">
        <v>7.0</v>
      </c>
      <c r="M528" s="3" t="s">
        <v>9338</v>
      </c>
      <c r="N528" s="3" t="s">
        <v>9338</v>
      </c>
      <c r="O528" s="3" t="s">
        <v>9457</v>
      </c>
      <c r="P528" s="16">
        <v>5.0</v>
      </c>
      <c r="Q528" s="16">
        <v>0.0</v>
      </c>
      <c r="R528" s="16">
        <v>0.0</v>
      </c>
      <c r="S528" s="16">
        <v>2.0</v>
      </c>
      <c r="T528" s="3" t="s">
        <v>3028</v>
      </c>
    </row>
    <row r="529">
      <c r="A529" s="3" t="s">
        <v>9481</v>
      </c>
      <c r="B529" s="3" t="s">
        <v>7310</v>
      </c>
      <c r="C529" s="17">
        <v>46268.41666666667</v>
      </c>
      <c r="D529" s="17">
        <v>46268.4375</v>
      </c>
      <c r="E529" s="25">
        <v>0.5</v>
      </c>
      <c r="F529" s="2"/>
      <c r="G529" s="3" t="s">
        <v>9482</v>
      </c>
      <c r="H529" s="3" t="s">
        <v>8971</v>
      </c>
      <c r="I529" s="3" t="s">
        <v>9094</v>
      </c>
      <c r="J529" s="3" t="s">
        <v>6853</v>
      </c>
      <c r="K529" s="3" t="s">
        <v>8973</v>
      </c>
      <c r="L529" s="16">
        <v>3.0</v>
      </c>
      <c r="M529" s="3" t="s">
        <v>9483</v>
      </c>
      <c r="N529" s="3" t="s">
        <v>9483</v>
      </c>
      <c r="O529" s="3" t="s">
        <v>9147</v>
      </c>
      <c r="P529" s="16">
        <v>2.0</v>
      </c>
      <c r="Q529" s="16">
        <v>0.0</v>
      </c>
      <c r="R529" s="16">
        <v>0.0</v>
      </c>
      <c r="S529" s="16">
        <v>1.0</v>
      </c>
      <c r="T529" s="3" t="s">
        <v>5815</v>
      </c>
    </row>
    <row r="530">
      <c r="A530" s="3" t="s">
        <v>9459</v>
      </c>
      <c r="B530" s="3" t="s">
        <v>9460</v>
      </c>
      <c r="C530" s="17">
        <v>46268.5</v>
      </c>
      <c r="D530" s="17">
        <v>46268.52083333333</v>
      </c>
      <c r="E530" s="25">
        <v>0.5</v>
      </c>
      <c r="F530" s="2"/>
      <c r="G530" s="2"/>
      <c r="H530" s="3" t="s">
        <v>8971</v>
      </c>
      <c r="I530" s="3" t="s">
        <v>9094</v>
      </c>
      <c r="J530" s="3" t="s">
        <v>6853</v>
      </c>
      <c r="K530" s="3" t="s">
        <v>8973</v>
      </c>
      <c r="L530" s="16">
        <v>1.0</v>
      </c>
      <c r="M530" s="3" t="s">
        <v>8912</v>
      </c>
      <c r="N530" s="3" t="s">
        <v>8912</v>
      </c>
      <c r="O530" s="3" t="s">
        <v>9077</v>
      </c>
      <c r="P530" s="16">
        <v>1.0</v>
      </c>
      <c r="Q530" s="16">
        <v>0.0</v>
      </c>
      <c r="R530" s="16">
        <v>0.0</v>
      </c>
      <c r="S530" s="16">
        <v>0.0</v>
      </c>
      <c r="T530" s="3" t="s">
        <v>1195</v>
      </c>
    </row>
    <row r="531">
      <c r="A531" s="3" t="s">
        <v>9340</v>
      </c>
      <c r="B531" s="3" t="s">
        <v>9176</v>
      </c>
      <c r="C531" s="17">
        <v>46268.52083333333</v>
      </c>
      <c r="D531" s="17">
        <v>46268.54166666667</v>
      </c>
      <c r="E531" s="25">
        <v>0.5</v>
      </c>
      <c r="F531" s="2"/>
      <c r="G531" s="2"/>
      <c r="H531" s="3" t="s">
        <v>8971</v>
      </c>
      <c r="I531" s="3" t="s">
        <v>9077</v>
      </c>
      <c r="J531" s="3" t="s">
        <v>6950</v>
      </c>
      <c r="K531" s="3" t="s">
        <v>8973</v>
      </c>
      <c r="L531" s="16">
        <v>5.0</v>
      </c>
      <c r="M531" s="3" t="s">
        <v>9341</v>
      </c>
      <c r="N531" s="3" t="s">
        <v>9341</v>
      </c>
      <c r="O531" s="3" t="s">
        <v>9342</v>
      </c>
      <c r="P531" s="16">
        <v>4.0</v>
      </c>
      <c r="Q531" s="16">
        <v>0.0</v>
      </c>
      <c r="R531" s="16">
        <v>0.0</v>
      </c>
      <c r="S531" s="16">
        <v>1.0</v>
      </c>
      <c r="T531" s="2"/>
    </row>
    <row r="532">
      <c r="A532" s="3" t="s">
        <v>9320</v>
      </c>
      <c r="B532" s="3" t="s">
        <v>9196</v>
      </c>
      <c r="C532" s="17">
        <v>46269.39583333333</v>
      </c>
      <c r="D532" s="17">
        <v>46269.41666666667</v>
      </c>
      <c r="E532" s="25">
        <v>0.5</v>
      </c>
      <c r="G532" s="3" t="s">
        <v>9197</v>
      </c>
      <c r="H532" s="3" t="s">
        <v>8971</v>
      </c>
      <c r="I532" s="3" t="s">
        <v>9077</v>
      </c>
      <c r="J532" s="3" t="s">
        <v>6950</v>
      </c>
      <c r="K532" s="3" t="s">
        <v>8973</v>
      </c>
      <c r="L532" s="16">
        <v>4.0</v>
      </c>
      <c r="M532" s="3" t="s">
        <v>9198</v>
      </c>
      <c r="N532" s="3" t="s">
        <v>9198</v>
      </c>
      <c r="O532" s="3" t="s">
        <v>9321</v>
      </c>
      <c r="P532" s="16">
        <v>2.0</v>
      </c>
      <c r="Q532" s="16">
        <v>1.0</v>
      </c>
      <c r="R532" s="16">
        <v>0.0</v>
      </c>
      <c r="S532" s="16">
        <v>1.0</v>
      </c>
      <c r="T532" s="3" t="s">
        <v>1969</v>
      </c>
    </row>
    <row r="533">
      <c r="A533" s="3" t="s">
        <v>9441</v>
      </c>
      <c r="B533" s="3" t="s">
        <v>7840</v>
      </c>
      <c r="C533" s="17">
        <v>46272.58333333333</v>
      </c>
      <c r="D533" s="17">
        <v>46272.60416666667</v>
      </c>
      <c r="E533" s="25">
        <v>0.5</v>
      </c>
      <c r="G533" s="2"/>
      <c r="H533" s="3" t="s">
        <v>8971</v>
      </c>
      <c r="I533" s="3" t="s">
        <v>9094</v>
      </c>
      <c r="J533" s="3" t="s">
        <v>6853</v>
      </c>
      <c r="K533" s="3" t="s">
        <v>8973</v>
      </c>
      <c r="L533" s="16">
        <v>4.0</v>
      </c>
      <c r="M533" s="3" t="s">
        <v>9166</v>
      </c>
      <c r="N533" s="3" t="s">
        <v>9166</v>
      </c>
      <c r="O533" s="3" t="s">
        <v>9002</v>
      </c>
      <c r="P533" s="16">
        <v>1.0</v>
      </c>
      <c r="Q533" s="16">
        <v>0.0</v>
      </c>
      <c r="R533" s="16">
        <v>0.0</v>
      </c>
      <c r="S533" s="16">
        <v>3.0</v>
      </c>
      <c r="T533" s="3" t="s">
        <v>5544</v>
      </c>
    </row>
    <row r="534">
      <c r="A534" s="3" t="s">
        <v>9437</v>
      </c>
      <c r="B534" s="3" t="s">
        <v>9438</v>
      </c>
      <c r="C534" s="17">
        <v>46272.60416666667</v>
      </c>
      <c r="D534" s="17">
        <v>46272.625</v>
      </c>
      <c r="E534" s="25">
        <v>0.5</v>
      </c>
      <c r="F534" s="2"/>
      <c r="G534" s="2"/>
      <c r="H534" s="3" t="s">
        <v>8971</v>
      </c>
      <c r="I534" s="3" t="s">
        <v>9006</v>
      </c>
      <c r="J534" s="3" t="s">
        <v>6950</v>
      </c>
      <c r="K534" s="3" t="s">
        <v>8973</v>
      </c>
      <c r="L534" s="16">
        <v>4.0</v>
      </c>
      <c r="M534" s="3" t="s">
        <v>9439</v>
      </c>
      <c r="N534" s="3" t="s">
        <v>9439</v>
      </c>
      <c r="O534" s="3" t="s">
        <v>9440</v>
      </c>
      <c r="P534" s="16">
        <v>2.0</v>
      </c>
      <c r="Q534" s="16">
        <v>0.0</v>
      </c>
      <c r="R534" s="16">
        <v>0.0</v>
      </c>
      <c r="S534" s="16">
        <v>2.0</v>
      </c>
      <c r="T534" s="3" t="s">
        <v>3616</v>
      </c>
    </row>
    <row r="535">
      <c r="A535" s="3" t="s">
        <v>9223</v>
      </c>
      <c r="B535" s="3" t="s">
        <v>8418</v>
      </c>
      <c r="C535" s="17">
        <v>46272.60416666667</v>
      </c>
      <c r="D535" s="17">
        <v>46272.625</v>
      </c>
      <c r="E535" s="25">
        <v>0.5</v>
      </c>
      <c r="G535" s="3" t="s">
        <v>9304</v>
      </c>
      <c r="H535" s="3" t="s">
        <v>8971</v>
      </c>
      <c r="I535" s="3" t="s">
        <v>9094</v>
      </c>
      <c r="J535" s="3" t="s">
        <v>6853</v>
      </c>
      <c r="K535" s="3" t="s">
        <v>8973</v>
      </c>
      <c r="L535" s="16">
        <v>2.0</v>
      </c>
      <c r="M535" s="3" t="s">
        <v>9225</v>
      </c>
      <c r="N535" s="3" t="s">
        <v>9225</v>
      </c>
      <c r="O535" s="3" t="s">
        <v>9010</v>
      </c>
      <c r="P535" s="16">
        <v>0.0</v>
      </c>
      <c r="Q535" s="16">
        <v>0.0</v>
      </c>
      <c r="R535" s="16">
        <v>0.0</v>
      </c>
      <c r="S535" s="16">
        <v>2.0</v>
      </c>
      <c r="T535" s="3" t="s">
        <v>2868</v>
      </c>
    </row>
    <row r="536">
      <c r="A536" s="3" t="s">
        <v>9307</v>
      </c>
      <c r="B536" s="3" t="s">
        <v>9137</v>
      </c>
      <c r="C536" s="17">
        <v>46273.5</v>
      </c>
      <c r="D536" s="17">
        <v>46273.52083333333</v>
      </c>
      <c r="E536" s="25">
        <v>0.5</v>
      </c>
      <c r="G536" s="3" t="s">
        <v>9138</v>
      </c>
      <c r="H536" s="3" t="s">
        <v>8971</v>
      </c>
      <c r="I536" s="3" t="s">
        <v>9077</v>
      </c>
      <c r="J536" s="3" t="s">
        <v>6950</v>
      </c>
      <c r="K536" s="3" t="s">
        <v>8973</v>
      </c>
      <c r="L536" s="16">
        <v>3.0</v>
      </c>
      <c r="M536" s="3" t="s">
        <v>9140</v>
      </c>
      <c r="N536" s="3" t="s">
        <v>9141</v>
      </c>
      <c r="O536" s="3" t="s">
        <v>9308</v>
      </c>
      <c r="P536" s="16">
        <v>2.0</v>
      </c>
      <c r="Q536" s="16">
        <v>0.0</v>
      </c>
      <c r="R536" s="16">
        <v>1.0</v>
      </c>
      <c r="S536" s="16">
        <v>0.0</v>
      </c>
      <c r="T536" s="3" t="s">
        <v>4466</v>
      </c>
    </row>
    <row r="537">
      <c r="A537" s="3" t="s">
        <v>9309</v>
      </c>
      <c r="B537" s="3" t="s">
        <v>6844</v>
      </c>
      <c r="C537" s="17">
        <v>46273.5625</v>
      </c>
      <c r="D537" s="17">
        <v>46273.58333333333</v>
      </c>
      <c r="E537" s="25">
        <v>0.5</v>
      </c>
      <c r="F537" s="2"/>
      <c r="G537" s="2"/>
      <c r="H537" s="3" t="s">
        <v>8971</v>
      </c>
      <c r="I537" s="3" t="s">
        <v>9094</v>
      </c>
      <c r="J537" s="3" t="s">
        <v>6853</v>
      </c>
      <c r="K537" s="3" t="s">
        <v>8973</v>
      </c>
      <c r="L537" s="16">
        <v>2.0</v>
      </c>
      <c r="M537" s="3" t="s">
        <v>9310</v>
      </c>
      <c r="N537" s="3" t="s">
        <v>9310</v>
      </c>
      <c r="O537" s="3" t="s">
        <v>9043</v>
      </c>
      <c r="P537" s="16">
        <v>1.0</v>
      </c>
      <c r="Q537" s="16">
        <v>0.0</v>
      </c>
      <c r="R537" s="16">
        <v>0.0</v>
      </c>
      <c r="S537" s="16">
        <v>1.0</v>
      </c>
      <c r="T537" s="3" t="s">
        <v>2616</v>
      </c>
    </row>
    <row r="538">
      <c r="A538" s="3" t="s">
        <v>9442</v>
      </c>
      <c r="B538" s="3" t="s">
        <v>8969</v>
      </c>
      <c r="C538" s="17">
        <v>46273.58333333333</v>
      </c>
      <c r="D538" s="17">
        <v>46273.60416666667</v>
      </c>
      <c r="E538" s="25">
        <v>0.5</v>
      </c>
      <c r="F538" s="2"/>
      <c r="G538" s="3" t="s">
        <v>8970</v>
      </c>
      <c r="H538" s="3" t="s">
        <v>8971</v>
      </c>
      <c r="I538" s="3" t="s">
        <v>9094</v>
      </c>
      <c r="J538" s="3" t="s">
        <v>6853</v>
      </c>
      <c r="K538" s="3" t="s">
        <v>8973</v>
      </c>
      <c r="L538" s="16">
        <v>3.0</v>
      </c>
      <c r="M538" s="3" t="s">
        <v>9436</v>
      </c>
      <c r="N538" s="3" t="s">
        <v>9436</v>
      </c>
      <c r="O538" s="3" t="s">
        <v>9147</v>
      </c>
      <c r="P538" s="16">
        <v>2.0</v>
      </c>
      <c r="Q538" s="16">
        <v>0.0</v>
      </c>
      <c r="R538" s="16">
        <v>0.0</v>
      </c>
      <c r="S538" s="16">
        <v>1.0</v>
      </c>
      <c r="T538" s="3" t="s">
        <v>5498</v>
      </c>
    </row>
    <row r="539">
      <c r="A539" s="3" t="s">
        <v>9384</v>
      </c>
      <c r="B539" s="3" t="s">
        <v>9015</v>
      </c>
      <c r="C539" s="17">
        <v>46274.54166666667</v>
      </c>
      <c r="D539" s="17">
        <v>46274.5625</v>
      </c>
      <c r="E539" s="25">
        <v>0.5</v>
      </c>
      <c r="G539" s="2"/>
      <c r="H539" s="3" t="s">
        <v>8971</v>
      </c>
      <c r="I539" s="3" t="s">
        <v>9077</v>
      </c>
      <c r="J539" s="3" t="s">
        <v>6950</v>
      </c>
      <c r="K539" s="3" t="s">
        <v>8973</v>
      </c>
      <c r="L539" s="16">
        <v>3.0</v>
      </c>
      <c r="M539" s="3" t="s">
        <v>9016</v>
      </c>
      <c r="N539" s="3" t="s">
        <v>9016</v>
      </c>
      <c r="O539" s="3" t="s">
        <v>9017</v>
      </c>
      <c r="P539" s="16">
        <v>3.0</v>
      </c>
      <c r="Q539" s="16">
        <v>0.0</v>
      </c>
      <c r="R539" s="16">
        <v>0.0</v>
      </c>
      <c r="S539" s="16">
        <v>0.0</v>
      </c>
      <c r="T539" s="3" t="s">
        <v>1975</v>
      </c>
    </row>
    <row r="540">
      <c r="A540" s="3" t="s">
        <v>9262</v>
      </c>
      <c r="B540" s="3" t="s">
        <v>9263</v>
      </c>
      <c r="C540" s="17">
        <v>46275.4375</v>
      </c>
      <c r="D540" s="17">
        <v>46275.45833333333</v>
      </c>
      <c r="E540" s="25">
        <v>0.5</v>
      </c>
      <c r="G540" s="2"/>
      <c r="H540" s="3" t="s">
        <v>8971</v>
      </c>
      <c r="I540" s="3" t="s">
        <v>9077</v>
      </c>
      <c r="J540" s="3" t="s">
        <v>6950</v>
      </c>
      <c r="K540" s="3" t="s">
        <v>8973</v>
      </c>
      <c r="L540" s="16">
        <v>4.0</v>
      </c>
      <c r="M540" s="3" t="s">
        <v>9311</v>
      </c>
      <c r="N540" s="3" t="s">
        <v>9312</v>
      </c>
      <c r="O540" s="3" t="s">
        <v>9167</v>
      </c>
      <c r="P540" s="16">
        <v>4.0</v>
      </c>
      <c r="Q540" s="16">
        <v>0.0</v>
      </c>
      <c r="R540" s="16">
        <v>0.0</v>
      </c>
      <c r="S540" s="16">
        <v>0.0</v>
      </c>
      <c r="T540" s="3" t="s">
        <v>2672</v>
      </c>
    </row>
    <row r="541">
      <c r="A541" s="3" t="s">
        <v>9314</v>
      </c>
      <c r="B541" s="3" t="s">
        <v>9315</v>
      </c>
      <c r="C541" s="17">
        <v>46275.58333333333</v>
      </c>
      <c r="D541" s="17">
        <v>46275.60416666667</v>
      </c>
      <c r="E541" s="25">
        <v>0.5</v>
      </c>
      <c r="F541" s="2"/>
      <c r="G541" s="2"/>
      <c r="H541" s="3" t="s">
        <v>8971</v>
      </c>
      <c r="I541" s="3" t="s">
        <v>9077</v>
      </c>
      <c r="J541" s="3" t="s">
        <v>6950</v>
      </c>
      <c r="K541" s="3" t="s">
        <v>8973</v>
      </c>
      <c r="L541" s="16">
        <v>6.0</v>
      </c>
      <c r="M541" s="3" t="s">
        <v>9316</v>
      </c>
      <c r="N541" s="3" t="s">
        <v>9316</v>
      </c>
      <c r="O541" s="3" t="s">
        <v>9397</v>
      </c>
      <c r="P541" s="16">
        <v>1.0</v>
      </c>
      <c r="Q541" s="16">
        <v>3.0</v>
      </c>
      <c r="R541" s="16">
        <v>0.0</v>
      </c>
      <c r="S541" s="16">
        <v>2.0</v>
      </c>
      <c r="T541" s="3" t="s">
        <v>5285</v>
      </c>
    </row>
    <row r="542">
      <c r="A542" s="3" t="s">
        <v>9410</v>
      </c>
      <c r="B542" s="3" t="s">
        <v>7147</v>
      </c>
      <c r="C542" s="17">
        <v>46279.54166666667</v>
      </c>
      <c r="D542" s="17">
        <v>46279.5625</v>
      </c>
      <c r="E542" s="25">
        <v>0.5</v>
      </c>
      <c r="F542" s="13" t="s">
        <v>9411</v>
      </c>
      <c r="G542" s="3" t="s">
        <v>9412</v>
      </c>
      <c r="H542" s="3" t="s">
        <v>8971</v>
      </c>
      <c r="I542" s="3" t="s">
        <v>9094</v>
      </c>
      <c r="J542" s="3" t="s">
        <v>6853</v>
      </c>
      <c r="K542" s="3" t="s">
        <v>8973</v>
      </c>
      <c r="L542" s="16">
        <v>4.0</v>
      </c>
      <c r="M542" s="3" t="s">
        <v>9349</v>
      </c>
      <c r="N542" s="3" t="s">
        <v>9349</v>
      </c>
      <c r="O542" s="3" t="s">
        <v>9002</v>
      </c>
      <c r="P542" s="16">
        <v>1.0</v>
      </c>
      <c r="Q542" s="16">
        <v>0.0</v>
      </c>
      <c r="R542" s="16">
        <v>0.0</v>
      </c>
      <c r="S542" s="16">
        <v>3.0</v>
      </c>
      <c r="T542" s="3" t="s">
        <v>1725</v>
      </c>
    </row>
    <row r="543">
      <c r="A543" s="3" t="s">
        <v>9325</v>
      </c>
      <c r="B543" s="3" t="s">
        <v>9000</v>
      </c>
      <c r="C543" s="17">
        <v>46279.58333333333</v>
      </c>
      <c r="D543" s="17">
        <v>46279.60416666667</v>
      </c>
      <c r="E543" s="25">
        <v>0.5</v>
      </c>
      <c r="G543" s="2"/>
      <c r="H543" s="3" t="s">
        <v>8971</v>
      </c>
      <c r="I543" s="3" t="s">
        <v>8972</v>
      </c>
      <c r="J543" s="3" t="s">
        <v>6950</v>
      </c>
      <c r="K543" s="3" t="s">
        <v>8973</v>
      </c>
      <c r="L543" s="16">
        <v>4.0</v>
      </c>
      <c r="M543" s="3" t="s">
        <v>9001</v>
      </c>
      <c r="N543" s="3" t="s">
        <v>9001</v>
      </c>
      <c r="O543" s="3" t="s">
        <v>9002</v>
      </c>
      <c r="P543" s="16">
        <v>1.0</v>
      </c>
      <c r="Q543" s="16">
        <v>0.0</v>
      </c>
      <c r="R543" s="16">
        <v>0.0</v>
      </c>
      <c r="S543" s="16">
        <v>3.0</v>
      </c>
      <c r="T543" s="3" t="s">
        <v>2594</v>
      </c>
    </row>
    <row r="544">
      <c r="A544" s="3" t="s">
        <v>9223</v>
      </c>
      <c r="B544" s="3" t="s">
        <v>8418</v>
      </c>
      <c r="C544" s="17">
        <v>46279.60416666667</v>
      </c>
      <c r="D544" s="17">
        <v>46279.625</v>
      </c>
      <c r="E544" s="25">
        <v>0.5</v>
      </c>
      <c r="F544" s="2"/>
      <c r="G544" s="3" t="s">
        <v>9304</v>
      </c>
      <c r="H544" s="3" t="s">
        <v>8971</v>
      </c>
      <c r="I544" s="3" t="s">
        <v>9094</v>
      </c>
      <c r="J544" s="3" t="s">
        <v>6853</v>
      </c>
      <c r="K544" s="3" t="s">
        <v>8973</v>
      </c>
      <c r="L544" s="16">
        <v>2.0</v>
      </c>
      <c r="M544" s="3" t="s">
        <v>9225</v>
      </c>
      <c r="N544" s="3" t="s">
        <v>9225</v>
      </c>
      <c r="O544" s="3" t="s">
        <v>9010</v>
      </c>
      <c r="P544" s="16">
        <v>0.0</v>
      </c>
      <c r="Q544" s="16">
        <v>0.0</v>
      </c>
      <c r="R544" s="16">
        <v>0.0</v>
      </c>
      <c r="S544" s="16">
        <v>2.0</v>
      </c>
      <c r="T544" s="3" t="s">
        <v>2868</v>
      </c>
    </row>
    <row r="545">
      <c r="A545" s="3" t="s">
        <v>9307</v>
      </c>
      <c r="B545" s="3" t="s">
        <v>9137</v>
      </c>
      <c r="C545" s="17">
        <v>46280.5</v>
      </c>
      <c r="D545" s="17">
        <v>46280.52083333333</v>
      </c>
      <c r="E545" s="25">
        <v>0.5</v>
      </c>
      <c r="F545" s="2"/>
      <c r="G545" s="3" t="s">
        <v>9138</v>
      </c>
      <c r="H545" s="3" t="s">
        <v>8971</v>
      </c>
      <c r="I545" s="3" t="s">
        <v>9077</v>
      </c>
      <c r="J545" s="3" t="s">
        <v>6950</v>
      </c>
      <c r="K545" s="3" t="s">
        <v>8973</v>
      </c>
      <c r="L545" s="16">
        <v>3.0</v>
      </c>
      <c r="M545" s="3" t="s">
        <v>9140</v>
      </c>
      <c r="N545" s="3" t="s">
        <v>9141</v>
      </c>
      <c r="O545" s="3" t="s">
        <v>9308</v>
      </c>
      <c r="P545" s="16">
        <v>2.0</v>
      </c>
      <c r="Q545" s="16">
        <v>0.0</v>
      </c>
      <c r="R545" s="16">
        <v>1.0</v>
      </c>
      <c r="S545" s="16">
        <v>0.0</v>
      </c>
      <c r="T545" s="3" t="s">
        <v>4466</v>
      </c>
    </row>
    <row r="546">
      <c r="A546" s="3" t="s">
        <v>9326</v>
      </c>
      <c r="B546" s="3" t="s">
        <v>8991</v>
      </c>
      <c r="C546" s="17">
        <v>46280.54166666667</v>
      </c>
      <c r="D546" s="17">
        <v>46280.5625</v>
      </c>
      <c r="E546" s="25">
        <v>0.5</v>
      </c>
      <c r="G546" s="3" t="s">
        <v>8992</v>
      </c>
      <c r="H546" s="3" t="s">
        <v>8971</v>
      </c>
      <c r="I546" s="3" t="s">
        <v>9077</v>
      </c>
      <c r="J546" s="3" t="s">
        <v>6950</v>
      </c>
      <c r="K546" s="3" t="s">
        <v>8973</v>
      </c>
      <c r="L546" s="16">
        <v>4.0</v>
      </c>
      <c r="M546" s="3" t="s">
        <v>8993</v>
      </c>
      <c r="N546" s="3" t="s">
        <v>8993</v>
      </c>
      <c r="O546" s="3" t="s">
        <v>9204</v>
      </c>
      <c r="P546" s="16">
        <v>3.0</v>
      </c>
      <c r="Q546" s="16">
        <v>0.0</v>
      </c>
      <c r="R546" s="16">
        <v>0.0</v>
      </c>
      <c r="S546" s="16">
        <v>1.0</v>
      </c>
      <c r="T546" s="3" t="s">
        <v>861</v>
      </c>
    </row>
    <row r="547">
      <c r="A547" s="3" t="s">
        <v>9309</v>
      </c>
      <c r="B547" s="3" t="s">
        <v>6844</v>
      </c>
      <c r="C547" s="17">
        <v>46280.5625</v>
      </c>
      <c r="D547" s="17">
        <v>46280.58333333333</v>
      </c>
      <c r="E547" s="25">
        <v>0.5</v>
      </c>
      <c r="G547" s="2"/>
      <c r="H547" s="3" t="s">
        <v>8971</v>
      </c>
      <c r="I547" s="3" t="s">
        <v>9094</v>
      </c>
      <c r="J547" s="3" t="s">
        <v>6853</v>
      </c>
      <c r="K547" s="3" t="s">
        <v>8973</v>
      </c>
      <c r="L547" s="16">
        <v>2.0</v>
      </c>
      <c r="M547" s="3" t="s">
        <v>9310</v>
      </c>
      <c r="N547" s="3" t="s">
        <v>9310</v>
      </c>
      <c r="O547" s="3" t="s">
        <v>9043</v>
      </c>
      <c r="P547" s="16">
        <v>1.0</v>
      </c>
      <c r="Q547" s="16">
        <v>0.0</v>
      </c>
      <c r="R547" s="16">
        <v>0.0</v>
      </c>
      <c r="S547" s="16">
        <v>1.0</v>
      </c>
      <c r="T547" s="3" t="s">
        <v>2616</v>
      </c>
    </row>
    <row r="548">
      <c r="A548" s="3" t="s">
        <v>9334</v>
      </c>
      <c r="B548" s="3" t="s">
        <v>9026</v>
      </c>
      <c r="C548" s="17">
        <v>46282.375</v>
      </c>
      <c r="D548" s="17">
        <v>46282.39583333333</v>
      </c>
      <c r="E548" s="25">
        <v>0.5</v>
      </c>
      <c r="G548" s="2"/>
      <c r="H548" s="3" t="s">
        <v>8971</v>
      </c>
      <c r="I548" s="3" t="s">
        <v>9077</v>
      </c>
      <c r="J548" s="3" t="s">
        <v>6950</v>
      </c>
      <c r="K548" s="3" t="s">
        <v>8973</v>
      </c>
      <c r="L548" s="16">
        <v>4.0</v>
      </c>
      <c r="M548" s="3" t="s">
        <v>9027</v>
      </c>
      <c r="N548" s="3" t="s">
        <v>9027</v>
      </c>
      <c r="O548" s="3" t="s">
        <v>9335</v>
      </c>
      <c r="P548" s="16">
        <v>2.0</v>
      </c>
      <c r="Q548" s="16">
        <v>0.0</v>
      </c>
      <c r="R548" s="16">
        <v>0.0</v>
      </c>
      <c r="S548" s="16">
        <v>2.0</v>
      </c>
      <c r="T548" s="3" t="s">
        <v>5681</v>
      </c>
    </row>
    <row r="549">
      <c r="A549" s="3" t="s">
        <v>9458</v>
      </c>
      <c r="B549" s="3" t="s">
        <v>9022</v>
      </c>
      <c r="C549" s="17">
        <v>46282.47916666667</v>
      </c>
      <c r="D549" s="17">
        <v>46282.5</v>
      </c>
      <c r="E549" s="25">
        <v>0.5</v>
      </c>
      <c r="F549" s="2"/>
      <c r="G549" s="2"/>
      <c r="H549" s="3" t="s">
        <v>8971</v>
      </c>
      <c r="I549" s="3" t="s">
        <v>9077</v>
      </c>
      <c r="J549" s="3" t="s">
        <v>6950</v>
      </c>
      <c r="K549" s="3" t="s">
        <v>8973</v>
      </c>
      <c r="L549" s="16">
        <v>2.0</v>
      </c>
      <c r="M549" s="3" t="s">
        <v>9023</v>
      </c>
      <c r="N549" s="3" t="s">
        <v>9023</v>
      </c>
      <c r="O549" s="3" t="s">
        <v>9024</v>
      </c>
      <c r="P549" s="16">
        <v>2.0</v>
      </c>
      <c r="Q549" s="16">
        <v>0.0</v>
      </c>
      <c r="R549" s="16">
        <v>0.0</v>
      </c>
      <c r="S549" s="16">
        <v>0.0</v>
      </c>
      <c r="T549" s="3" t="s">
        <v>5396</v>
      </c>
    </row>
    <row r="550">
      <c r="A550" s="3" t="s">
        <v>9459</v>
      </c>
      <c r="B550" s="3" t="s">
        <v>9460</v>
      </c>
      <c r="C550" s="17">
        <v>46282.5</v>
      </c>
      <c r="D550" s="17">
        <v>46282.52083333333</v>
      </c>
      <c r="E550" s="25">
        <v>0.5</v>
      </c>
      <c r="F550" s="2"/>
      <c r="G550" s="2"/>
      <c r="H550" s="3" t="s">
        <v>8971</v>
      </c>
      <c r="I550" s="3" t="s">
        <v>9094</v>
      </c>
      <c r="J550" s="3" t="s">
        <v>6853</v>
      </c>
      <c r="K550" s="3" t="s">
        <v>8973</v>
      </c>
      <c r="L550" s="16">
        <v>1.0</v>
      </c>
      <c r="M550" s="3" t="s">
        <v>8912</v>
      </c>
      <c r="N550" s="3" t="s">
        <v>8912</v>
      </c>
      <c r="O550" s="3" t="s">
        <v>9077</v>
      </c>
      <c r="P550" s="16">
        <v>1.0</v>
      </c>
      <c r="Q550" s="16">
        <v>0.0</v>
      </c>
      <c r="R550" s="16">
        <v>0.0</v>
      </c>
      <c r="S550" s="16">
        <v>0.0</v>
      </c>
      <c r="T550" s="3" t="s">
        <v>1195</v>
      </c>
    </row>
    <row r="551">
      <c r="A551" s="3" t="s">
        <v>9340</v>
      </c>
      <c r="B551" s="3" t="s">
        <v>9176</v>
      </c>
      <c r="C551" s="17">
        <v>46282.52083333333</v>
      </c>
      <c r="D551" s="17">
        <v>46282.54166666667</v>
      </c>
      <c r="E551" s="25">
        <v>0.5</v>
      </c>
      <c r="F551" s="2"/>
      <c r="G551" s="2"/>
      <c r="H551" s="3" t="s">
        <v>8971</v>
      </c>
      <c r="I551" s="3" t="s">
        <v>9077</v>
      </c>
      <c r="J551" s="3" t="s">
        <v>6950</v>
      </c>
      <c r="K551" s="3" t="s">
        <v>8973</v>
      </c>
      <c r="L551" s="16">
        <v>5.0</v>
      </c>
      <c r="M551" s="3" t="s">
        <v>9341</v>
      </c>
      <c r="N551" s="3" t="s">
        <v>9341</v>
      </c>
      <c r="O551" s="3" t="s">
        <v>9342</v>
      </c>
      <c r="P551" s="16">
        <v>4.0</v>
      </c>
      <c r="Q551" s="16">
        <v>0.0</v>
      </c>
      <c r="R551" s="16">
        <v>0.0</v>
      </c>
      <c r="S551" s="16">
        <v>1.0</v>
      </c>
      <c r="T551" s="2"/>
    </row>
    <row r="552">
      <c r="A552" s="3" t="s">
        <v>9280</v>
      </c>
      <c r="B552" s="3" t="s">
        <v>9281</v>
      </c>
      <c r="C552" s="17">
        <v>46282.70833333333</v>
      </c>
      <c r="D552" s="17">
        <v>46282.72916666667</v>
      </c>
      <c r="E552" s="25">
        <v>0.5</v>
      </c>
      <c r="F552" s="2"/>
      <c r="G552" s="3" t="s">
        <v>9282</v>
      </c>
      <c r="H552" s="3" t="s">
        <v>8971</v>
      </c>
      <c r="I552" s="3" t="s">
        <v>9077</v>
      </c>
      <c r="J552" s="3" t="s">
        <v>9283</v>
      </c>
      <c r="K552" s="3" t="s">
        <v>8973</v>
      </c>
      <c r="L552" s="16">
        <v>15.0</v>
      </c>
      <c r="M552" s="3" t="s">
        <v>9284</v>
      </c>
      <c r="N552" s="3" t="s">
        <v>9285</v>
      </c>
      <c r="O552" s="3" t="s">
        <v>9404</v>
      </c>
      <c r="P552" s="16">
        <v>9.0</v>
      </c>
      <c r="Q552" s="16">
        <v>0.0</v>
      </c>
      <c r="R552" s="16">
        <v>1.0</v>
      </c>
      <c r="S552" s="16">
        <v>5.0</v>
      </c>
      <c r="T552" s="3" t="s">
        <v>2922</v>
      </c>
    </row>
    <row r="553">
      <c r="A553" s="3" t="s">
        <v>9405</v>
      </c>
      <c r="B553" s="3" t="s">
        <v>9406</v>
      </c>
      <c r="C553" s="17">
        <v>46283.41666666667</v>
      </c>
      <c r="D553" s="17">
        <v>46283.4375</v>
      </c>
      <c r="E553" s="25">
        <v>0.5</v>
      </c>
      <c r="G553" s="2"/>
      <c r="H553" s="3" t="s">
        <v>8971</v>
      </c>
      <c r="I553" s="3" t="s">
        <v>9077</v>
      </c>
      <c r="J553" s="3" t="s">
        <v>6950</v>
      </c>
      <c r="K553" s="3" t="s">
        <v>8973</v>
      </c>
      <c r="L553" s="16">
        <v>5.0</v>
      </c>
      <c r="M553" s="3" t="s">
        <v>9484</v>
      </c>
      <c r="N553" s="3" t="s">
        <v>9484</v>
      </c>
      <c r="O553" s="3" t="s">
        <v>9342</v>
      </c>
      <c r="P553" s="16">
        <v>4.0</v>
      </c>
      <c r="Q553" s="16">
        <v>0.0</v>
      </c>
      <c r="R553" s="16">
        <v>0.0</v>
      </c>
      <c r="S553" s="16">
        <v>1.0</v>
      </c>
      <c r="T553" s="3" t="s">
        <v>5721</v>
      </c>
    </row>
    <row r="554">
      <c r="A554" s="3" t="s">
        <v>9441</v>
      </c>
      <c r="B554" s="3" t="s">
        <v>7840</v>
      </c>
      <c r="C554" s="17">
        <v>46286.58333333333</v>
      </c>
      <c r="D554" s="17">
        <v>46286.60416666667</v>
      </c>
      <c r="E554" s="25">
        <v>0.5</v>
      </c>
      <c r="F554" s="2"/>
      <c r="G554" s="2"/>
      <c r="H554" s="3" t="s">
        <v>8971</v>
      </c>
      <c r="I554" s="3" t="s">
        <v>9094</v>
      </c>
      <c r="J554" s="3" t="s">
        <v>6853</v>
      </c>
      <c r="K554" s="3" t="s">
        <v>8973</v>
      </c>
      <c r="L554" s="16">
        <v>4.0</v>
      </c>
      <c r="M554" s="3" t="s">
        <v>9166</v>
      </c>
      <c r="N554" s="3" t="s">
        <v>9166</v>
      </c>
      <c r="O554" s="3" t="s">
        <v>9002</v>
      </c>
      <c r="P554" s="16">
        <v>1.0</v>
      </c>
      <c r="Q554" s="16">
        <v>0.0</v>
      </c>
      <c r="R554" s="16">
        <v>0.0</v>
      </c>
      <c r="S554" s="16">
        <v>3.0</v>
      </c>
      <c r="T554" s="3" t="s">
        <v>5544</v>
      </c>
    </row>
    <row r="555">
      <c r="A555" s="3" t="s">
        <v>9223</v>
      </c>
      <c r="B555" s="3" t="s">
        <v>8418</v>
      </c>
      <c r="C555" s="17">
        <v>46286.60416666667</v>
      </c>
      <c r="D555" s="17">
        <v>46286.625</v>
      </c>
      <c r="E555" s="25">
        <v>0.5</v>
      </c>
      <c r="G555" s="3" t="s">
        <v>9304</v>
      </c>
      <c r="H555" s="3" t="s">
        <v>8971</v>
      </c>
      <c r="I555" s="3" t="s">
        <v>9094</v>
      </c>
      <c r="J555" s="3" t="s">
        <v>6853</v>
      </c>
      <c r="K555" s="3" t="s">
        <v>8973</v>
      </c>
      <c r="L555" s="16">
        <v>2.0</v>
      </c>
      <c r="M555" s="3" t="s">
        <v>9225</v>
      </c>
      <c r="N555" s="3" t="s">
        <v>9225</v>
      </c>
      <c r="O555" s="3" t="s">
        <v>9010</v>
      </c>
      <c r="P555" s="16">
        <v>0.0</v>
      </c>
      <c r="Q555" s="16">
        <v>0.0</v>
      </c>
      <c r="R555" s="16">
        <v>0.0</v>
      </c>
      <c r="S555" s="16">
        <v>2.0</v>
      </c>
      <c r="T555" s="3" t="s">
        <v>2868</v>
      </c>
    </row>
    <row r="556">
      <c r="A556" s="3" t="s">
        <v>9307</v>
      </c>
      <c r="B556" s="3" t="s">
        <v>9137</v>
      </c>
      <c r="C556" s="17">
        <v>46287.5</v>
      </c>
      <c r="D556" s="17">
        <v>46287.52083333333</v>
      </c>
      <c r="E556" s="25">
        <v>0.5</v>
      </c>
      <c r="F556" s="2"/>
      <c r="G556" s="3" t="s">
        <v>9138</v>
      </c>
      <c r="H556" s="3" t="s">
        <v>8971</v>
      </c>
      <c r="I556" s="3" t="s">
        <v>9077</v>
      </c>
      <c r="J556" s="3" t="s">
        <v>6950</v>
      </c>
      <c r="K556" s="3" t="s">
        <v>8973</v>
      </c>
      <c r="L556" s="16">
        <v>3.0</v>
      </c>
      <c r="M556" s="3" t="s">
        <v>9140</v>
      </c>
      <c r="N556" s="3" t="s">
        <v>9141</v>
      </c>
      <c r="O556" s="3" t="s">
        <v>9308</v>
      </c>
      <c r="P556" s="16">
        <v>2.0</v>
      </c>
      <c r="Q556" s="16">
        <v>0.0</v>
      </c>
      <c r="R556" s="16">
        <v>1.0</v>
      </c>
      <c r="S556" s="16">
        <v>0.0</v>
      </c>
      <c r="T556" s="3" t="s">
        <v>4466</v>
      </c>
    </row>
    <row r="557">
      <c r="A557" s="3" t="s">
        <v>9309</v>
      </c>
      <c r="B557" s="3" t="s">
        <v>6844</v>
      </c>
      <c r="C557" s="17">
        <v>46287.5625</v>
      </c>
      <c r="D557" s="17">
        <v>46287.58333333333</v>
      </c>
      <c r="E557" s="25">
        <v>0.5</v>
      </c>
      <c r="G557" s="2"/>
      <c r="H557" s="3" t="s">
        <v>8971</v>
      </c>
      <c r="I557" s="3" t="s">
        <v>9094</v>
      </c>
      <c r="J557" s="3" t="s">
        <v>6853</v>
      </c>
      <c r="K557" s="3" t="s">
        <v>8973</v>
      </c>
      <c r="L557" s="16">
        <v>2.0</v>
      </c>
      <c r="M557" s="3" t="s">
        <v>9310</v>
      </c>
      <c r="N557" s="3" t="s">
        <v>9310</v>
      </c>
      <c r="O557" s="3" t="s">
        <v>9043</v>
      </c>
      <c r="P557" s="16">
        <v>1.0</v>
      </c>
      <c r="Q557" s="16">
        <v>0.0</v>
      </c>
      <c r="R557" s="16">
        <v>0.0</v>
      </c>
      <c r="S557" s="16">
        <v>1.0</v>
      </c>
      <c r="T557" s="3" t="s">
        <v>2616</v>
      </c>
    </row>
    <row r="558">
      <c r="A558" s="3" t="s">
        <v>9442</v>
      </c>
      <c r="B558" s="3" t="s">
        <v>8969</v>
      </c>
      <c r="C558" s="17">
        <v>46287.58333333333</v>
      </c>
      <c r="D558" s="17">
        <v>46287.60416666667</v>
      </c>
      <c r="E558" s="25">
        <v>0.5</v>
      </c>
      <c r="F558" s="2"/>
      <c r="G558" s="3" t="s">
        <v>8970</v>
      </c>
      <c r="H558" s="3" t="s">
        <v>8971</v>
      </c>
      <c r="I558" s="3" t="s">
        <v>9094</v>
      </c>
      <c r="J558" s="3" t="s">
        <v>6853</v>
      </c>
      <c r="K558" s="3" t="s">
        <v>8973</v>
      </c>
      <c r="L558" s="16">
        <v>3.0</v>
      </c>
      <c r="M558" s="3" t="s">
        <v>9436</v>
      </c>
      <c r="N558" s="3" t="s">
        <v>9436</v>
      </c>
      <c r="O558" s="3" t="s">
        <v>9147</v>
      </c>
      <c r="P558" s="16">
        <v>2.0</v>
      </c>
      <c r="Q558" s="16">
        <v>0.0</v>
      </c>
      <c r="R558" s="16">
        <v>0.0</v>
      </c>
      <c r="S558" s="16">
        <v>1.0</v>
      </c>
      <c r="T558" s="3" t="s">
        <v>5498</v>
      </c>
    </row>
    <row r="559">
      <c r="A559" s="3" t="s">
        <v>9384</v>
      </c>
      <c r="B559" s="3" t="s">
        <v>9015</v>
      </c>
      <c r="C559" s="17">
        <v>46288.54166666667</v>
      </c>
      <c r="D559" s="17">
        <v>46288.5625</v>
      </c>
      <c r="E559" s="25">
        <v>0.5</v>
      </c>
      <c r="F559" s="2"/>
      <c r="G559" s="2"/>
      <c r="H559" s="3" t="s">
        <v>8971</v>
      </c>
      <c r="I559" s="3" t="s">
        <v>9077</v>
      </c>
      <c r="J559" s="3" t="s">
        <v>6950</v>
      </c>
      <c r="K559" s="3" t="s">
        <v>8973</v>
      </c>
      <c r="L559" s="16">
        <v>3.0</v>
      </c>
      <c r="M559" s="3" t="s">
        <v>9016</v>
      </c>
      <c r="N559" s="3" t="s">
        <v>9016</v>
      </c>
      <c r="O559" s="3" t="s">
        <v>9017</v>
      </c>
      <c r="P559" s="16">
        <v>3.0</v>
      </c>
      <c r="Q559" s="16">
        <v>0.0</v>
      </c>
      <c r="R559" s="16">
        <v>0.0</v>
      </c>
      <c r="S559" s="16">
        <v>0.0</v>
      </c>
      <c r="T559" s="3" t="s">
        <v>1975</v>
      </c>
    </row>
    <row r="560">
      <c r="A560" s="3" t="s">
        <v>9421</v>
      </c>
      <c r="B560" s="3" t="s">
        <v>9422</v>
      </c>
      <c r="C560" s="17">
        <v>46289.35416666667</v>
      </c>
      <c r="D560" s="17">
        <v>46289.375</v>
      </c>
      <c r="E560" s="25">
        <v>0.5</v>
      </c>
      <c r="F560" s="2"/>
      <c r="G560" s="2"/>
      <c r="H560" s="3" t="s">
        <v>8971</v>
      </c>
      <c r="I560" s="3" t="s">
        <v>9077</v>
      </c>
      <c r="J560" s="3" t="s">
        <v>6950</v>
      </c>
      <c r="K560" s="3" t="s">
        <v>8973</v>
      </c>
      <c r="L560" s="16">
        <v>4.0</v>
      </c>
      <c r="M560" s="3" t="s">
        <v>9423</v>
      </c>
      <c r="N560" s="3" t="s">
        <v>9423</v>
      </c>
      <c r="O560" s="3" t="s">
        <v>9002</v>
      </c>
      <c r="P560" s="16">
        <v>1.0</v>
      </c>
      <c r="Q560" s="16">
        <v>0.0</v>
      </c>
      <c r="R560" s="16">
        <v>0.0</v>
      </c>
      <c r="S560" s="16">
        <v>3.0</v>
      </c>
      <c r="T560" s="3" t="s">
        <v>693</v>
      </c>
    </row>
    <row r="561">
      <c r="A561" s="3" t="s">
        <v>9262</v>
      </c>
      <c r="B561" s="3" t="s">
        <v>9263</v>
      </c>
      <c r="C561" s="17">
        <v>46289.4375</v>
      </c>
      <c r="D561" s="17">
        <v>46289.45833333333</v>
      </c>
      <c r="E561" s="25">
        <v>0.5</v>
      </c>
      <c r="F561" s="2"/>
      <c r="G561" s="2"/>
      <c r="H561" s="3" t="s">
        <v>8971</v>
      </c>
      <c r="I561" s="3" t="s">
        <v>9077</v>
      </c>
      <c r="J561" s="3" t="s">
        <v>6950</v>
      </c>
      <c r="K561" s="3" t="s">
        <v>8973</v>
      </c>
      <c r="L561" s="16">
        <v>4.0</v>
      </c>
      <c r="M561" s="3" t="s">
        <v>9311</v>
      </c>
      <c r="N561" s="3" t="s">
        <v>9312</v>
      </c>
      <c r="O561" s="3" t="s">
        <v>9167</v>
      </c>
      <c r="P561" s="16">
        <v>4.0</v>
      </c>
      <c r="Q561" s="16">
        <v>0.0</v>
      </c>
      <c r="R561" s="16">
        <v>0.0</v>
      </c>
      <c r="S561" s="16">
        <v>0.0</v>
      </c>
      <c r="T561" s="3" t="s">
        <v>2672</v>
      </c>
    </row>
    <row r="562">
      <c r="A562" s="3" t="s">
        <v>9314</v>
      </c>
      <c r="B562" s="3" t="s">
        <v>9315</v>
      </c>
      <c r="C562" s="17">
        <v>46289.58333333333</v>
      </c>
      <c r="D562" s="17">
        <v>46289.60416666667</v>
      </c>
      <c r="E562" s="25">
        <v>0.5</v>
      </c>
      <c r="G562" s="2"/>
      <c r="H562" s="3" t="s">
        <v>8971</v>
      </c>
      <c r="I562" s="3" t="s">
        <v>9077</v>
      </c>
      <c r="J562" s="3" t="s">
        <v>6950</v>
      </c>
      <c r="K562" s="3" t="s">
        <v>8973</v>
      </c>
      <c r="L562" s="16">
        <v>6.0</v>
      </c>
      <c r="M562" s="3" t="s">
        <v>9316</v>
      </c>
      <c r="N562" s="3" t="s">
        <v>9316</v>
      </c>
      <c r="O562" s="3" t="s">
        <v>9397</v>
      </c>
      <c r="P562" s="16">
        <v>1.0</v>
      </c>
      <c r="Q562" s="16">
        <v>3.0</v>
      </c>
      <c r="R562" s="16">
        <v>0.0</v>
      </c>
      <c r="S562" s="16">
        <v>2.0</v>
      </c>
      <c r="T562" s="3" t="s">
        <v>5285</v>
      </c>
    </row>
    <row r="563">
      <c r="A563" s="3" t="s">
        <v>9443</v>
      </c>
      <c r="B563" s="3" t="s">
        <v>8085</v>
      </c>
      <c r="C563" s="17">
        <v>46290.54166666667</v>
      </c>
      <c r="D563" s="17">
        <v>46290.5625</v>
      </c>
      <c r="E563" s="25">
        <v>0.5</v>
      </c>
      <c r="F563" s="2"/>
      <c r="G563" s="2"/>
      <c r="H563" s="3" t="s">
        <v>8971</v>
      </c>
      <c r="I563" s="3" t="s">
        <v>9077</v>
      </c>
      <c r="J563" s="3" t="s">
        <v>9206</v>
      </c>
      <c r="K563" s="3" t="s">
        <v>8973</v>
      </c>
      <c r="L563" s="16">
        <v>5.0</v>
      </c>
      <c r="M563" s="3" t="s">
        <v>9207</v>
      </c>
      <c r="N563" s="3" t="s">
        <v>9208</v>
      </c>
      <c r="O563" s="3" t="s">
        <v>9444</v>
      </c>
      <c r="P563" s="16">
        <v>4.0</v>
      </c>
      <c r="Q563" s="16">
        <v>1.0</v>
      </c>
      <c r="R563" s="16">
        <v>0.0</v>
      </c>
      <c r="S563" s="16">
        <v>0.0</v>
      </c>
      <c r="T563" s="3" t="s">
        <v>453</v>
      </c>
    </row>
    <row r="564">
      <c r="A564" s="3" t="s">
        <v>9410</v>
      </c>
      <c r="B564" s="3" t="s">
        <v>7147</v>
      </c>
      <c r="C564" s="17">
        <v>46293.54166666667</v>
      </c>
      <c r="D564" s="17">
        <v>46293.5625</v>
      </c>
      <c r="E564" s="25">
        <v>0.5</v>
      </c>
      <c r="F564" s="13" t="s">
        <v>9411</v>
      </c>
      <c r="G564" s="3" t="s">
        <v>9412</v>
      </c>
      <c r="H564" s="3" t="s">
        <v>8971</v>
      </c>
      <c r="I564" s="3" t="s">
        <v>9094</v>
      </c>
      <c r="J564" s="3" t="s">
        <v>6853</v>
      </c>
      <c r="K564" s="3" t="s">
        <v>8973</v>
      </c>
      <c r="L564" s="16">
        <v>4.0</v>
      </c>
      <c r="M564" s="3" t="s">
        <v>9349</v>
      </c>
      <c r="N564" s="3" t="s">
        <v>9349</v>
      </c>
      <c r="O564" s="3" t="s">
        <v>9002</v>
      </c>
      <c r="P564" s="16">
        <v>1.0</v>
      </c>
      <c r="Q564" s="16">
        <v>0.0</v>
      </c>
      <c r="R564" s="16">
        <v>0.0</v>
      </c>
      <c r="S564" s="16">
        <v>3.0</v>
      </c>
      <c r="T564" s="3" t="s">
        <v>1725</v>
      </c>
    </row>
    <row r="565">
      <c r="A565" s="3" t="s">
        <v>9325</v>
      </c>
      <c r="B565" s="3" t="s">
        <v>9000</v>
      </c>
      <c r="C565" s="17">
        <v>46293.58333333333</v>
      </c>
      <c r="D565" s="17">
        <v>46293.60416666667</v>
      </c>
      <c r="E565" s="25">
        <v>0.5</v>
      </c>
      <c r="G565" s="2"/>
      <c r="H565" s="3" t="s">
        <v>8971</v>
      </c>
      <c r="I565" s="3" t="s">
        <v>8972</v>
      </c>
      <c r="J565" s="3" t="s">
        <v>6950</v>
      </c>
      <c r="K565" s="3" t="s">
        <v>8973</v>
      </c>
      <c r="L565" s="16">
        <v>4.0</v>
      </c>
      <c r="M565" s="3" t="s">
        <v>9001</v>
      </c>
      <c r="N565" s="3" t="s">
        <v>9001</v>
      </c>
      <c r="O565" s="3" t="s">
        <v>9002</v>
      </c>
      <c r="P565" s="16">
        <v>1.0</v>
      </c>
      <c r="Q565" s="16">
        <v>0.0</v>
      </c>
      <c r="R565" s="16">
        <v>0.0</v>
      </c>
      <c r="S565" s="16">
        <v>3.0</v>
      </c>
      <c r="T565" s="3" t="s">
        <v>2594</v>
      </c>
    </row>
    <row r="566">
      <c r="A566" s="3" t="s">
        <v>9223</v>
      </c>
      <c r="B566" s="3" t="s">
        <v>8418</v>
      </c>
      <c r="C566" s="17">
        <v>46293.60416666667</v>
      </c>
      <c r="D566" s="17">
        <v>46293.625</v>
      </c>
      <c r="E566" s="25">
        <v>0.5</v>
      </c>
      <c r="G566" s="3" t="s">
        <v>9304</v>
      </c>
      <c r="H566" s="3" t="s">
        <v>8971</v>
      </c>
      <c r="I566" s="3" t="s">
        <v>9094</v>
      </c>
      <c r="J566" s="3" t="s">
        <v>6853</v>
      </c>
      <c r="K566" s="3" t="s">
        <v>8973</v>
      </c>
      <c r="L566" s="16">
        <v>2.0</v>
      </c>
      <c r="M566" s="3" t="s">
        <v>9225</v>
      </c>
      <c r="N566" s="3" t="s">
        <v>9225</v>
      </c>
      <c r="O566" s="3" t="s">
        <v>9010</v>
      </c>
      <c r="P566" s="16">
        <v>0.0</v>
      </c>
      <c r="Q566" s="16">
        <v>0.0</v>
      </c>
      <c r="R566" s="16">
        <v>0.0</v>
      </c>
      <c r="S566" s="16">
        <v>2.0</v>
      </c>
      <c r="T566" s="3" t="s">
        <v>2868</v>
      </c>
    </row>
    <row r="567">
      <c r="A567" s="3" t="s">
        <v>9416</v>
      </c>
      <c r="B567" s="3" t="s">
        <v>9417</v>
      </c>
      <c r="C567" s="17">
        <v>46294.45833333333</v>
      </c>
      <c r="D567" s="17">
        <v>46294.47916666667</v>
      </c>
      <c r="E567" s="25">
        <v>0.5</v>
      </c>
      <c r="G567" s="3" t="s">
        <v>9418</v>
      </c>
      <c r="H567" s="3" t="s">
        <v>8971</v>
      </c>
      <c r="I567" s="3" t="s">
        <v>9094</v>
      </c>
      <c r="J567" s="3" t="s">
        <v>6853</v>
      </c>
      <c r="K567" s="3" t="s">
        <v>8973</v>
      </c>
      <c r="L567" s="16">
        <v>5.0</v>
      </c>
      <c r="M567" s="3" t="s">
        <v>9480</v>
      </c>
      <c r="N567" s="3" t="s">
        <v>9480</v>
      </c>
      <c r="O567" s="3" t="s">
        <v>9432</v>
      </c>
      <c r="P567" s="16">
        <v>0.0</v>
      </c>
      <c r="Q567" s="16">
        <v>0.0</v>
      </c>
      <c r="R567" s="16">
        <v>0.0</v>
      </c>
      <c r="S567" s="16">
        <v>5.0</v>
      </c>
      <c r="T567" s="3" t="s">
        <v>5602</v>
      </c>
    </row>
    <row r="568">
      <c r="A568" s="3" t="s">
        <v>9307</v>
      </c>
      <c r="B568" s="3" t="s">
        <v>9137</v>
      </c>
      <c r="C568" s="17">
        <v>46294.5</v>
      </c>
      <c r="D568" s="17">
        <v>46294.52083333333</v>
      </c>
      <c r="E568" s="25">
        <v>0.5</v>
      </c>
      <c r="G568" s="3" t="s">
        <v>9138</v>
      </c>
      <c r="H568" s="3" t="s">
        <v>8971</v>
      </c>
      <c r="I568" s="3" t="s">
        <v>9077</v>
      </c>
      <c r="J568" s="3" t="s">
        <v>6950</v>
      </c>
      <c r="K568" s="3" t="s">
        <v>8973</v>
      </c>
      <c r="L568" s="16">
        <v>3.0</v>
      </c>
      <c r="M568" s="3" t="s">
        <v>9140</v>
      </c>
      <c r="N568" s="3" t="s">
        <v>9141</v>
      </c>
      <c r="O568" s="3" t="s">
        <v>9308</v>
      </c>
      <c r="P568" s="16">
        <v>2.0</v>
      </c>
      <c r="Q568" s="16">
        <v>0.0</v>
      </c>
      <c r="R568" s="16">
        <v>1.0</v>
      </c>
      <c r="S568" s="16">
        <v>0.0</v>
      </c>
      <c r="T568" s="3" t="s">
        <v>4466</v>
      </c>
    </row>
    <row r="569">
      <c r="A569" s="3" t="s">
        <v>9309</v>
      </c>
      <c r="B569" s="3" t="s">
        <v>6844</v>
      </c>
      <c r="C569" s="17">
        <v>46294.5625</v>
      </c>
      <c r="D569" s="17">
        <v>46294.58333333333</v>
      </c>
      <c r="E569" s="25">
        <v>0.5</v>
      </c>
      <c r="F569" s="2"/>
      <c r="G569" s="2"/>
      <c r="H569" s="3" t="s">
        <v>8971</v>
      </c>
      <c r="I569" s="3" t="s">
        <v>9094</v>
      </c>
      <c r="J569" s="3" t="s">
        <v>6853</v>
      </c>
      <c r="K569" s="3" t="s">
        <v>8973</v>
      </c>
      <c r="L569" s="16">
        <v>2.0</v>
      </c>
      <c r="M569" s="3" t="s">
        <v>9310</v>
      </c>
      <c r="N569" s="3" t="s">
        <v>9310</v>
      </c>
      <c r="O569" s="3" t="s">
        <v>9043</v>
      </c>
      <c r="P569" s="16">
        <v>1.0</v>
      </c>
      <c r="Q569" s="16">
        <v>0.0</v>
      </c>
      <c r="R569" s="16">
        <v>0.0</v>
      </c>
      <c r="S569" s="16">
        <v>1.0</v>
      </c>
      <c r="T569" s="3" t="s">
        <v>2616</v>
      </c>
    </row>
    <row r="570">
      <c r="A570" s="3" t="s">
        <v>9336</v>
      </c>
      <c r="B570" s="3" t="s">
        <v>8080</v>
      </c>
      <c r="C570" s="17">
        <v>46296.39583333333</v>
      </c>
      <c r="D570" s="17">
        <v>46296.41666666667</v>
      </c>
      <c r="E570" s="25">
        <v>0.5</v>
      </c>
      <c r="F570" s="2"/>
      <c r="G570" s="3" t="s">
        <v>9337</v>
      </c>
      <c r="H570" s="3" t="s">
        <v>8971</v>
      </c>
      <c r="I570" s="3" t="s">
        <v>9077</v>
      </c>
      <c r="J570" s="3" t="s">
        <v>9206</v>
      </c>
      <c r="K570" s="3" t="s">
        <v>8973</v>
      </c>
      <c r="L570" s="16">
        <v>7.0</v>
      </c>
      <c r="M570" s="3" t="s">
        <v>9338</v>
      </c>
      <c r="N570" s="3" t="s">
        <v>9338</v>
      </c>
      <c r="O570" s="3" t="s">
        <v>9457</v>
      </c>
      <c r="P570" s="16">
        <v>5.0</v>
      </c>
      <c r="Q570" s="16">
        <v>0.0</v>
      </c>
      <c r="R570" s="16">
        <v>0.0</v>
      </c>
      <c r="S570" s="16">
        <v>2.0</v>
      </c>
      <c r="T570" s="3" t="s">
        <v>3028</v>
      </c>
    </row>
    <row r="571">
      <c r="A571" s="3" t="s">
        <v>9481</v>
      </c>
      <c r="B571" s="3" t="s">
        <v>7310</v>
      </c>
      <c r="C571" s="17">
        <v>46296.41666666667</v>
      </c>
      <c r="D571" s="17">
        <v>46296.4375</v>
      </c>
      <c r="E571" s="25">
        <v>0.5</v>
      </c>
      <c r="F571" s="2"/>
      <c r="G571" s="3" t="s">
        <v>9482</v>
      </c>
      <c r="H571" s="3" t="s">
        <v>8971</v>
      </c>
      <c r="I571" s="3" t="s">
        <v>9094</v>
      </c>
      <c r="J571" s="3" t="s">
        <v>6853</v>
      </c>
      <c r="K571" s="3" t="s">
        <v>8973</v>
      </c>
      <c r="L571" s="16">
        <v>3.0</v>
      </c>
      <c r="M571" s="3" t="s">
        <v>9483</v>
      </c>
      <c r="N571" s="3" t="s">
        <v>9483</v>
      </c>
      <c r="O571" s="3" t="s">
        <v>9147</v>
      </c>
      <c r="P571" s="16">
        <v>2.0</v>
      </c>
      <c r="Q571" s="16">
        <v>0.0</v>
      </c>
      <c r="R571" s="16">
        <v>0.0</v>
      </c>
      <c r="S571" s="16">
        <v>1.0</v>
      </c>
      <c r="T571" s="3" t="s">
        <v>5815</v>
      </c>
    </row>
    <row r="572">
      <c r="A572" s="3" t="s">
        <v>9459</v>
      </c>
      <c r="B572" s="3" t="s">
        <v>9460</v>
      </c>
      <c r="C572" s="17">
        <v>46296.5</v>
      </c>
      <c r="D572" s="17">
        <v>46296.52083333333</v>
      </c>
      <c r="E572" s="25">
        <v>0.5</v>
      </c>
      <c r="F572" s="2"/>
      <c r="G572" s="2"/>
      <c r="H572" s="3" t="s">
        <v>8971</v>
      </c>
      <c r="I572" s="3" t="s">
        <v>9094</v>
      </c>
      <c r="J572" s="3" t="s">
        <v>6853</v>
      </c>
      <c r="K572" s="3" t="s">
        <v>8973</v>
      </c>
      <c r="L572" s="16">
        <v>1.0</v>
      </c>
      <c r="M572" s="3" t="s">
        <v>8912</v>
      </c>
      <c r="N572" s="3" t="s">
        <v>8912</v>
      </c>
      <c r="O572" s="3" t="s">
        <v>9077</v>
      </c>
      <c r="P572" s="16">
        <v>1.0</v>
      </c>
      <c r="Q572" s="16">
        <v>0.0</v>
      </c>
      <c r="R572" s="16">
        <v>0.0</v>
      </c>
      <c r="S572" s="16">
        <v>0.0</v>
      </c>
      <c r="T572" s="3" t="s">
        <v>1195</v>
      </c>
    </row>
    <row r="573">
      <c r="A573" s="3" t="s">
        <v>9340</v>
      </c>
      <c r="B573" s="3" t="s">
        <v>9176</v>
      </c>
      <c r="C573" s="17">
        <v>46296.52083333333</v>
      </c>
      <c r="D573" s="17">
        <v>46296.54166666667</v>
      </c>
      <c r="E573" s="25">
        <v>0.5</v>
      </c>
      <c r="G573" s="2"/>
      <c r="H573" s="3" t="s">
        <v>8971</v>
      </c>
      <c r="I573" s="3" t="s">
        <v>9077</v>
      </c>
      <c r="J573" s="3" t="s">
        <v>6950</v>
      </c>
      <c r="K573" s="3" t="s">
        <v>8973</v>
      </c>
      <c r="L573" s="16">
        <v>5.0</v>
      </c>
      <c r="M573" s="3" t="s">
        <v>9341</v>
      </c>
      <c r="N573" s="3" t="s">
        <v>9341</v>
      </c>
      <c r="O573" s="3" t="s">
        <v>9342</v>
      </c>
      <c r="P573" s="16">
        <v>4.0</v>
      </c>
      <c r="Q573" s="16">
        <v>0.0</v>
      </c>
      <c r="R573" s="16">
        <v>0.0</v>
      </c>
      <c r="S573" s="16">
        <v>1.0</v>
      </c>
      <c r="T573" s="2"/>
    </row>
    <row r="574">
      <c r="A574" s="3" t="s">
        <v>9320</v>
      </c>
      <c r="B574" s="3" t="s">
        <v>9196</v>
      </c>
      <c r="C574" s="17">
        <v>46297.39583333333</v>
      </c>
      <c r="D574" s="17">
        <v>46297.41666666667</v>
      </c>
      <c r="E574" s="25">
        <v>0.5</v>
      </c>
      <c r="G574" s="3" t="s">
        <v>9197</v>
      </c>
      <c r="H574" s="3" t="s">
        <v>8971</v>
      </c>
      <c r="I574" s="3" t="s">
        <v>9077</v>
      </c>
      <c r="J574" s="3" t="s">
        <v>6950</v>
      </c>
      <c r="K574" s="3" t="s">
        <v>8973</v>
      </c>
      <c r="L574" s="16">
        <v>4.0</v>
      </c>
      <c r="M574" s="3" t="s">
        <v>9198</v>
      </c>
      <c r="N574" s="3" t="s">
        <v>9198</v>
      </c>
      <c r="O574" s="3" t="s">
        <v>9321</v>
      </c>
      <c r="P574" s="16">
        <v>2.0</v>
      </c>
      <c r="Q574" s="16">
        <v>1.0</v>
      </c>
      <c r="R574" s="16">
        <v>0.0</v>
      </c>
      <c r="S574" s="16">
        <v>1.0</v>
      </c>
      <c r="T574" s="3" t="s">
        <v>1969</v>
      </c>
    </row>
    <row r="575">
      <c r="A575" s="3" t="s">
        <v>9441</v>
      </c>
      <c r="B575" s="3" t="s">
        <v>7840</v>
      </c>
      <c r="C575" s="17">
        <v>46300.58333333333</v>
      </c>
      <c r="D575" s="17">
        <v>46300.60416666667</v>
      </c>
      <c r="E575" s="25">
        <v>0.5</v>
      </c>
      <c r="G575" s="2"/>
      <c r="H575" s="3" t="s">
        <v>8971</v>
      </c>
      <c r="I575" s="3" t="s">
        <v>9094</v>
      </c>
      <c r="J575" s="3" t="s">
        <v>6853</v>
      </c>
      <c r="K575" s="3" t="s">
        <v>8973</v>
      </c>
      <c r="L575" s="16">
        <v>4.0</v>
      </c>
      <c r="M575" s="3" t="s">
        <v>9166</v>
      </c>
      <c r="N575" s="3" t="s">
        <v>9166</v>
      </c>
      <c r="O575" s="3" t="s">
        <v>9002</v>
      </c>
      <c r="P575" s="16">
        <v>1.0</v>
      </c>
      <c r="Q575" s="16">
        <v>0.0</v>
      </c>
      <c r="R575" s="16">
        <v>0.0</v>
      </c>
      <c r="S575" s="16">
        <v>3.0</v>
      </c>
      <c r="T575" s="3" t="s">
        <v>5544</v>
      </c>
    </row>
    <row r="576">
      <c r="A576" s="3" t="s">
        <v>9437</v>
      </c>
      <c r="B576" s="3" t="s">
        <v>9438</v>
      </c>
      <c r="C576" s="17">
        <v>46300.60416666667</v>
      </c>
      <c r="D576" s="17">
        <v>46300.625</v>
      </c>
      <c r="E576" s="25">
        <v>0.5</v>
      </c>
      <c r="F576" s="2"/>
      <c r="G576" s="2"/>
      <c r="H576" s="3" t="s">
        <v>8971</v>
      </c>
      <c r="I576" s="3" t="s">
        <v>9006</v>
      </c>
      <c r="J576" s="3" t="s">
        <v>6950</v>
      </c>
      <c r="K576" s="3" t="s">
        <v>8973</v>
      </c>
      <c r="L576" s="16">
        <v>4.0</v>
      </c>
      <c r="M576" s="3" t="s">
        <v>9439</v>
      </c>
      <c r="N576" s="3" t="s">
        <v>9439</v>
      </c>
      <c r="O576" s="3" t="s">
        <v>9440</v>
      </c>
      <c r="P576" s="16">
        <v>2.0</v>
      </c>
      <c r="Q576" s="16">
        <v>0.0</v>
      </c>
      <c r="R576" s="16">
        <v>0.0</v>
      </c>
      <c r="S576" s="16">
        <v>2.0</v>
      </c>
      <c r="T576" s="3" t="s">
        <v>3616</v>
      </c>
    </row>
    <row r="577">
      <c r="A577" s="3" t="s">
        <v>9223</v>
      </c>
      <c r="B577" s="3" t="s">
        <v>8418</v>
      </c>
      <c r="C577" s="17">
        <v>46300.60416666667</v>
      </c>
      <c r="D577" s="17">
        <v>46300.625</v>
      </c>
      <c r="E577" s="25">
        <v>0.5</v>
      </c>
      <c r="G577" s="3" t="s">
        <v>9304</v>
      </c>
      <c r="H577" s="3" t="s">
        <v>8971</v>
      </c>
      <c r="I577" s="3" t="s">
        <v>9094</v>
      </c>
      <c r="J577" s="3" t="s">
        <v>6853</v>
      </c>
      <c r="K577" s="3" t="s">
        <v>8973</v>
      </c>
      <c r="L577" s="16">
        <v>2.0</v>
      </c>
      <c r="M577" s="3" t="s">
        <v>9225</v>
      </c>
      <c r="N577" s="3" t="s">
        <v>9225</v>
      </c>
      <c r="O577" s="3" t="s">
        <v>9010</v>
      </c>
      <c r="P577" s="16">
        <v>0.0</v>
      </c>
      <c r="Q577" s="16">
        <v>0.0</v>
      </c>
      <c r="R577" s="16">
        <v>0.0</v>
      </c>
      <c r="S577" s="16">
        <v>2.0</v>
      </c>
      <c r="T577" s="3" t="s">
        <v>2868</v>
      </c>
    </row>
    <row r="578">
      <c r="A578" s="3" t="s">
        <v>9307</v>
      </c>
      <c r="B578" s="3" t="s">
        <v>9137</v>
      </c>
      <c r="C578" s="17">
        <v>46301.5</v>
      </c>
      <c r="D578" s="17">
        <v>46301.52083333333</v>
      </c>
      <c r="E578" s="25">
        <v>0.5</v>
      </c>
      <c r="G578" s="3" t="s">
        <v>9138</v>
      </c>
      <c r="H578" s="3" t="s">
        <v>8971</v>
      </c>
      <c r="I578" s="3" t="s">
        <v>9077</v>
      </c>
      <c r="J578" s="3" t="s">
        <v>6950</v>
      </c>
      <c r="K578" s="3" t="s">
        <v>8973</v>
      </c>
      <c r="L578" s="16">
        <v>3.0</v>
      </c>
      <c r="M578" s="3" t="s">
        <v>9140</v>
      </c>
      <c r="N578" s="3" t="s">
        <v>9141</v>
      </c>
      <c r="O578" s="3" t="s">
        <v>9308</v>
      </c>
      <c r="P578" s="16">
        <v>2.0</v>
      </c>
      <c r="Q578" s="16">
        <v>0.0</v>
      </c>
      <c r="R578" s="16">
        <v>1.0</v>
      </c>
      <c r="S578" s="16">
        <v>0.0</v>
      </c>
      <c r="T578" s="3" t="s">
        <v>4466</v>
      </c>
    </row>
    <row r="579">
      <c r="A579" s="3" t="s">
        <v>9309</v>
      </c>
      <c r="B579" s="3" t="s">
        <v>6844</v>
      </c>
      <c r="C579" s="17">
        <v>46301.5625</v>
      </c>
      <c r="D579" s="17">
        <v>46301.58333333333</v>
      </c>
      <c r="E579" s="25">
        <v>0.5</v>
      </c>
      <c r="F579" s="2"/>
      <c r="G579" s="2"/>
      <c r="H579" s="3" t="s">
        <v>8971</v>
      </c>
      <c r="I579" s="3" t="s">
        <v>9094</v>
      </c>
      <c r="J579" s="3" t="s">
        <v>6853</v>
      </c>
      <c r="K579" s="3" t="s">
        <v>8973</v>
      </c>
      <c r="L579" s="16">
        <v>2.0</v>
      </c>
      <c r="M579" s="3" t="s">
        <v>9310</v>
      </c>
      <c r="N579" s="3" t="s">
        <v>9310</v>
      </c>
      <c r="O579" s="3" t="s">
        <v>9043</v>
      </c>
      <c r="P579" s="16">
        <v>1.0</v>
      </c>
      <c r="Q579" s="16">
        <v>0.0</v>
      </c>
      <c r="R579" s="16">
        <v>0.0</v>
      </c>
      <c r="S579" s="16">
        <v>1.0</v>
      </c>
      <c r="T579" s="3" t="s">
        <v>2616</v>
      </c>
    </row>
    <row r="580">
      <c r="A580" s="3" t="s">
        <v>9453</v>
      </c>
      <c r="B580" s="3" t="s">
        <v>9454</v>
      </c>
      <c r="C580" s="17">
        <v>46301.58333333333</v>
      </c>
      <c r="D580" s="17">
        <v>46301.60416666667</v>
      </c>
      <c r="E580" s="25">
        <v>0.5</v>
      </c>
      <c r="F580" s="2"/>
      <c r="G580" s="3" t="s">
        <v>9455</v>
      </c>
      <c r="H580" s="3" t="s">
        <v>8971</v>
      </c>
      <c r="I580" s="3" t="s">
        <v>9077</v>
      </c>
      <c r="J580" s="3" t="s">
        <v>6950</v>
      </c>
      <c r="K580" s="3" t="s">
        <v>8973</v>
      </c>
      <c r="L580" s="16">
        <v>9.0</v>
      </c>
      <c r="M580" s="3" t="s">
        <v>8982</v>
      </c>
      <c r="N580" s="3" t="s">
        <v>8983</v>
      </c>
      <c r="O580" s="3" t="s">
        <v>9456</v>
      </c>
      <c r="P580" s="16">
        <v>2.0</v>
      </c>
      <c r="Q580" s="16">
        <v>0.0</v>
      </c>
      <c r="R580" s="16">
        <v>1.0</v>
      </c>
      <c r="S580" s="16">
        <v>6.0</v>
      </c>
      <c r="T580" s="3" t="s">
        <v>2109</v>
      </c>
    </row>
    <row r="581">
      <c r="A581" s="3" t="s">
        <v>9442</v>
      </c>
      <c r="B581" s="3" t="s">
        <v>8969</v>
      </c>
      <c r="C581" s="17">
        <v>46301.58333333333</v>
      </c>
      <c r="D581" s="17">
        <v>46301.60416666667</v>
      </c>
      <c r="E581" s="25">
        <v>0.5</v>
      </c>
      <c r="F581" s="2"/>
      <c r="G581" s="3" t="s">
        <v>8970</v>
      </c>
      <c r="H581" s="3" t="s">
        <v>8971</v>
      </c>
      <c r="I581" s="3" t="s">
        <v>9094</v>
      </c>
      <c r="J581" s="3" t="s">
        <v>6853</v>
      </c>
      <c r="K581" s="3" t="s">
        <v>8973</v>
      </c>
      <c r="L581" s="16">
        <v>3.0</v>
      </c>
      <c r="M581" s="3" t="s">
        <v>9436</v>
      </c>
      <c r="N581" s="3" t="s">
        <v>9436</v>
      </c>
      <c r="O581" s="3" t="s">
        <v>9147</v>
      </c>
      <c r="P581" s="16">
        <v>2.0</v>
      </c>
      <c r="Q581" s="16">
        <v>0.0</v>
      </c>
      <c r="R581" s="16">
        <v>0.0</v>
      </c>
      <c r="S581" s="16">
        <v>1.0</v>
      </c>
      <c r="T581" s="3" t="s">
        <v>5498</v>
      </c>
    </row>
    <row r="582">
      <c r="A582" s="3" t="s">
        <v>9384</v>
      </c>
      <c r="B582" s="3" t="s">
        <v>9015</v>
      </c>
      <c r="C582" s="17">
        <v>46302.54166666667</v>
      </c>
      <c r="D582" s="17">
        <v>46302.5625</v>
      </c>
      <c r="E582" s="25">
        <v>0.5</v>
      </c>
      <c r="G582" s="2"/>
      <c r="H582" s="3" t="s">
        <v>8971</v>
      </c>
      <c r="I582" s="3" t="s">
        <v>9077</v>
      </c>
      <c r="J582" s="3" t="s">
        <v>6950</v>
      </c>
      <c r="K582" s="3" t="s">
        <v>8973</v>
      </c>
      <c r="L582" s="16">
        <v>3.0</v>
      </c>
      <c r="M582" s="3" t="s">
        <v>9016</v>
      </c>
      <c r="N582" s="3" t="s">
        <v>9016</v>
      </c>
      <c r="O582" s="3" t="s">
        <v>9017</v>
      </c>
      <c r="P582" s="16">
        <v>3.0</v>
      </c>
      <c r="Q582" s="16">
        <v>0.0</v>
      </c>
      <c r="R582" s="16">
        <v>0.0</v>
      </c>
      <c r="S582" s="16">
        <v>0.0</v>
      </c>
      <c r="T582" s="3" t="s">
        <v>1975</v>
      </c>
    </row>
    <row r="583">
      <c r="A583" s="3" t="s">
        <v>9262</v>
      </c>
      <c r="B583" s="3" t="s">
        <v>9263</v>
      </c>
      <c r="C583" s="17">
        <v>46303.4375</v>
      </c>
      <c r="D583" s="17">
        <v>46303.45833333333</v>
      </c>
      <c r="E583" s="25">
        <v>0.5</v>
      </c>
      <c r="F583" s="2"/>
      <c r="G583" s="2"/>
      <c r="H583" s="3" t="s">
        <v>8971</v>
      </c>
      <c r="I583" s="3" t="s">
        <v>9077</v>
      </c>
      <c r="J583" s="3" t="s">
        <v>6950</v>
      </c>
      <c r="K583" s="3" t="s">
        <v>8973</v>
      </c>
      <c r="L583" s="16">
        <v>4.0</v>
      </c>
      <c r="M583" s="3" t="s">
        <v>9311</v>
      </c>
      <c r="N583" s="3" t="s">
        <v>9312</v>
      </c>
      <c r="O583" s="3" t="s">
        <v>9167</v>
      </c>
      <c r="P583" s="16">
        <v>4.0</v>
      </c>
      <c r="Q583" s="16">
        <v>0.0</v>
      </c>
      <c r="R583" s="16">
        <v>0.0</v>
      </c>
      <c r="S583" s="16">
        <v>0.0</v>
      </c>
      <c r="T583" s="3" t="s">
        <v>2672</v>
      </c>
    </row>
    <row r="584">
      <c r="A584" s="3" t="s">
        <v>9314</v>
      </c>
      <c r="B584" s="3" t="s">
        <v>9315</v>
      </c>
      <c r="C584" s="17">
        <v>46303.58333333333</v>
      </c>
      <c r="D584" s="17">
        <v>46303.60416666667</v>
      </c>
      <c r="E584" s="25">
        <v>0.5</v>
      </c>
      <c r="F584" s="2"/>
      <c r="G584" s="2"/>
      <c r="H584" s="3" t="s">
        <v>8971</v>
      </c>
      <c r="I584" s="3" t="s">
        <v>9077</v>
      </c>
      <c r="J584" s="3" t="s">
        <v>6950</v>
      </c>
      <c r="K584" s="3" t="s">
        <v>8973</v>
      </c>
      <c r="L584" s="16">
        <v>6.0</v>
      </c>
      <c r="M584" s="3" t="s">
        <v>9316</v>
      </c>
      <c r="N584" s="3" t="s">
        <v>9316</v>
      </c>
      <c r="O584" s="3" t="s">
        <v>9397</v>
      </c>
      <c r="P584" s="16">
        <v>1.0</v>
      </c>
      <c r="Q584" s="16">
        <v>3.0</v>
      </c>
      <c r="R584" s="16">
        <v>0.0</v>
      </c>
      <c r="S584" s="16">
        <v>2.0</v>
      </c>
      <c r="T584" s="3" t="s">
        <v>5285</v>
      </c>
    </row>
    <row r="585">
      <c r="A585" s="3" t="s">
        <v>9410</v>
      </c>
      <c r="B585" s="3" t="s">
        <v>7147</v>
      </c>
      <c r="C585" s="17">
        <v>46307.54166666667</v>
      </c>
      <c r="D585" s="17">
        <v>46307.5625</v>
      </c>
      <c r="E585" s="25">
        <v>0.5</v>
      </c>
      <c r="F585" s="13" t="s">
        <v>9411</v>
      </c>
      <c r="G585" s="3" t="s">
        <v>9412</v>
      </c>
      <c r="H585" s="3" t="s">
        <v>8971</v>
      </c>
      <c r="I585" s="3" t="s">
        <v>9094</v>
      </c>
      <c r="J585" s="3" t="s">
        <v>6853</v>
      </c>
      <c r="K585" s="3" t="s">
        <v>8973</v>
      </c>
      <c r="L585" s="16">
        <v>4.0</v>
      </c>
      <c r="M585" s="3" t="s">
        <v>9349</v>
      </c>
      <c r="N585" s="3" t="s">
        <v>9349</v>
      </c>
      <c r="O585" s="3" t="s">
        <v>9002</v>
      </c>
      <c r="P585" s="16">
        <v>1.0</v>
      </c>
      <c r="Q585" s="16">
        <v>0.0</v>
      </c>
      <c r="R585" s="16">
        <v>0.0</v>
      </c>
      <c r="S585" s="16">
        <v>3.0</v>
      </c>
      <c r="T585" s="3" t="s">
        <v>1725</v>
      </c>
    </row>
    <row r="586">
      <c r="A586" s="3" t="s">
        <v>9325</v>
      </c>
      <c r="B586" s="3" t="s">
        <v>9000</v>
      </c>
      <c r="C586" s="17">
        <v>46307.58333333333</v>
      </c>
      <c r="D586" s="17">
        <v>46307.60416666667</v>
      </c>
      <c r="E586" s="25">
        <v>0.5</v>
      </c>
      <c r="F586" s="2"/>
      <c r="G586" s="2"/>
      <c r="H586" s="3" t="s">
        <v>8971</v>
      </c>
      <c r="I586" s="3" t="s">
        <v>8972</v>
      </c>
      <c r="J586" s="3" t="s">
        <v>6950</v>
      </c>
      <c r="K586" s="3" t="s">
        <v>8973</v>
      </c>
      <c r="L586" s="16">
        <v>4.0</v>
      </c>
      <c r="M586" s="3" t="s">
        <v>9001</v>
      </c>
      <c r="N586" s="3" t="s">
        <v>9001</v>
      </c>
      <c r="O586" s="3" t="s">
        <v>9002</v>
      </c>
      <c r="P586" s="16">
        <v>1.0</v>
      </c>
      <c r="Q586" s="16">
        <v>0.0</v>
      </c>
      <c r="R586" s="16">
        <v>0.0</v>
      </c>
      <c r="S586" s="16">
        <v>3.0</v>
      </c>
      <c r="T586" s="3" t="s">
        <v>2594</v>
      </c>
    </row>
    <row r="587">
      <c r="A587" s="3" t="s">
        <v>9223</v>
      </c>
      <c r="B587" s="3" t="s">
        <v>8418</v>
      </c>
      <c r="C587" s="17">
        <v>46307.60416666667</v>
      </c>
      <c r="D587" s="17">
        <v>46307.625</v>
      </c>
      <c r="E587" s="25">
        <v>0.5</v>
      </c>
      <c r="G587" s="3" t="s">
        <v>9304</v>
      </c>
      <c r="H587" s="3" t="s">
        <v>8971</v>
      </c>
      <c r="I587" s="3" t="s">
        <v>9094</v>
      </c>
      <c r="J587" s="3" t="s">
        <v>6853</v>
      </c>
      <c r="K587" s="3" t="s">
        <v>8973</v>
      </c>
      <c r="L587" s="16">
        <v>2.0</v>
      </c>
      <c r="M587" s="3" t="s">
        <v>9225</v>
      </c>
      <c r="N587" s="3" t="s">
        <v>9225</v>
      </c>
      <c r="O587" s="3" t="s">
        <v>9010</v>
      </c>
      <c r="P587" s="16">
        <v>0.0</v>
      </c>
      <c r="Q587" s="16">
        <v>0.0</v>
      </c>
      <c r="R587" s="16">
        <v>0.0</v>
      </c>
      <c r="S587" s="16">
        <v>2.0</v>
      </c>
      <c r="T587" s="3" t="s">
        <v>2868</v>
      </c>
    </row>
    <row r="588">
      <c r="A588" s="3" t="s">
        <v>9307</v>
      </c>
      <c r="B588" s="3" t="s">
        <v>9137</v>
      </c>
      <c r="C588" s="17">
        <v>46308.5</v>
      </c>
      <c r="D588" s="17">
        <v>46308.52083333333</v>
      </c>
      <c r="E588" s="25">
        <v>0.5</v>
      </c>
      <c r="G588" s="3" t="s">
        <v>9138</v>
      </c>
      <c r="H588" s="3" t="s">
        <v>8971</v>
      </c>
      <c r="I588" s="3" t="s">
        <v>9077</v>
      </c>
      <c r="J588" s="3" t="s">
        <v>6950</v>
      </c>
      <c r="K588" s="3" t="s">
        <v>8973</v>
      </c>
      <c r="L588" s="16">
        <v>3.0</v>
      </c>
      <c r="M588" s="3" t="s">
        <v>9140</v>
      </c>
      <c r="N588" s="3" t="s">
        <v>9141</v>
      </c>
      <c r="O588" s="3" t="s">
        <v>9308</v>
      </c>
      <c r="P588" s="16">
        <v>2.0</v>
      </c>
      <c r="Q588" s="16">
        <v>0.0</v>
      </c>
      <c r="R588" s="16">
        <v>1.0</v>
      </c>
      <c r="S588" s="16">
        <v>0.0</v>
      </c>
      <c r="T588" s="3" t="s">
        <v>4466</v>
      </c>
    </row>
    <row r="589">
      <c r="A589" s="3" t="s">
        <v>9326</v>
      </c>
      <c r="B589" s="3" t="s">
        <v>8991</v>
      </c>
      <c r="C589" s="17">
        <v>46308.54166666667</v>
      </c>
      <c r="D589" s="17">
        <v>46308.5625</v>
      </c>
      <c r="E589" s="25">
        <v>0.5</v>
      </c>
      <c r="G589" s="3" t="s">
        <v>8992</v>
      </c>
      <c r="H589" s="3" t="s">
        <v>8971</v>
      </c>
      <c r="I589" s="3" t="s">
        <v>9077</v>
      </c>
      <c r="J589" s="3" t="s">
        <v>6950</v>
      </c>
      <c r="K589" s="3" t="s">
        <v>8973</v>
      </c>
      <c r="L589" s="16">
        <v>4.0</v>
      </c>
      <c r="M589" s="3" t="s">
        <v>8993</v>
      </c>
      <c r="N589" s="3" t="s">
        <v>8993</v>
      </c>
      <c r="O589" s="3" t="s">
        <v>9204</v>
      </c>
      <c r="P589" s="16">
        <v>3.0</v>
      </c>
      <c r="Q589" s="16">
        <v>0.0</v>
      </c>
      <c r="R589" s="16">
        <v>0.0</v>
      </c>
      <c r="S589" s="16">
        <v>1.0</v>
      </c>
      <c r="T589" s="3" t="s">
        <v>861</v>
      </c>
    </row>
    <row r="590">
      <c r="A590" s="3" t="s">
        <v>9309</v>
      </c>
      <c r="B590" s="3" t="s">
        <v>6844</v>
      </c>
      <c r="C590" s="17">
        <v>46308.5625</v>
      </c>
      <c r="D590" s="17">
        <v>46308.58333333333</v>
      </c>
      <c r="E590" s="25">
        <v>0.5</v>
      </c>
      <c r="F590" s="2"/>
      <c r="G590" s="2"/>
      <c r="H590" s="3" t="s">
        <v>8971</v>
      </c>
      <c r="I590" s="3" t="s">
        <v>9094</v>
      </c>
      <c r="J590" s="3" t="s">
        <v>6853</v>
      </c>
      <c r="K590" s="3" t="s">
        <v>8973</v>
      </c>
      <c r="L590" s="16">
        <v>2.0</v>
      </c>
      <c r="M590" s="3" t="s">
        <v>9310</v>
      </c>
      <c r="N590" s="3" t="s">
        <v>9310</v>
      </c>
      <c r="O590" s="3" t="s">
        <v>9043</v>
      </c>
      <c r="P590" s="16">
        <v>1.0</v>
      </c>
      <c r="Q590" s="16">
        <v>0.0</v>
      </c>
      <c r="R590" s="16">
        <v>0.0</v>
      </c>
      <c r="S590" s="16">
        <v>1.0</v>
      </c>
      <c r="T590" s="3" t="s">
        <v>2616</v>
      </c>
    </row>
    <row r="591">
      <c r="A591" s="3" t="s">
        <v>9334</v>
      </c>
      <c r="B591" s="3" t="s">
        <v>9026</v>
      </c>
      <c r="C591" s="17">
        <v>46310.375</v>
      </c>
      <c r="D591" s="17">
        <v>46310.39583333333</v>
      </c>
      <c r="E591" s="25">
        <v>0.5</v>
      </c>
      <c r="F591" s="2"/>
      <c r="G591" s="2"/>
      <c r="H591" s="3" t="s">
        <v>8971</v>
      </c>
      <c r="I591" s="3" t="s">
        <v>9077</v>
      </c>
      <c r="J591" s="3" t="s">
        <v>6950</v>
      </c>
      <c r="K591" s="3" t="s">
        <v>8973</v>
      </c>
      <c r="L591" s="16">
        <v>4.0</v>
      </c>
      <c r="M591" s="3" t="s">
        <v>9027</v>
      </c>
      <c r="N591" s="3" t="s">
        <v>9027</v>
      </c>
      <c r="O591" s="3" t="s">
        <v>9335</v>
      </c>
      <c r="P591" s="16">
        <v>2.0</v>
      </c>
      <c r="Q591" s="16">
        <v>0.0</v>
      </c>
      <c r="R591" s="16">
        <v>0.0</v>
      </c>
      <c r="S591" s="16">
        <v>2.0</v>
      </c>
      <c r="T591" s="3" t="s">
        <v>5681</v>
      </c>
    </row>
    <row r="592">
      <c r="A592" s="3" t="s">
        <v>9458</v>
      </c>
      <c r="B592" s="3" t="s">
        <v>9022</v>
      </c>
      <c r="C592" s="17">
        <v>46310.47916666667</v>
      </c>
      <c r="D592" s="17">
        <v>46310.5</v>
      </c>
      <c r="E592" s="25">
        <v>0.5</v>
      </c>
      <c r="F592" s="2"/>
      <c r="G592" s="2"/>
      <c r="H592" s="3" t="s">
        <v>8971</v>
      </c>
      <c r="I592" s="3" t="s">
        <v>9077</v>
      </c>
      <c r="J592" s="3" t="s">
        <v>6950</v>
      </c>
      <c r="K592" s="3" t="s">
        <v>8973</v>
      </c>
      <c r="L592" s="16">
        <v>2.0</v>
      </c>
      <c r="M592" s="3" t="s">
        <v>9023</v>
      </c>
      <c r="N592" s="3" t="s">
        <v>9023</v>
      </c>
      <c r="O592" s="3" t="s">
        <v>9024</v>
      </c>
      <c r="P592" s="16">
        <v>2.0</v>
      </c>
      <c r="Q592" s="16">
        <v>0.0</v>
      </c>
      <c r="R592" s="16">
        <v>0.0</v>
      </c>
      <c r="S592" s="16">
        <v>0.0</v>
      </c>
      <c r="T592" s="3" t="s">
        <v>5396</v>
      </c>
    </row>
    <row r="593">
      <c r="A593" s="3" t="s">
        <v>9459</v>
      </c>
      <c r="B593" s="3" t="s">
        <v>9460</v>
      </c>
      <c r="C593" s="17">
        <v>46310.5</v>
      </c>
      <c r="D593" s="17">
        <v>46310.52083333333</v>
      </c>
      <c r="E593" s="25">
        <v>0.5</v>
      </c>
      <c r="G593" s="2"/>
      <c r="H593" s="3" t="s">
        <v>8971</v>
      </c>
      <c r="I593" s="3" t="s">
        <v>9094</v>
      </c>
      <c r="J593" s="3" t="s">
        <v>6853</v>
      </c>
      <c r="K593" s="3" t="s">
        <v>8973</v>
      </c>
      <c r="L593" s="16">
        <v>1.0</v>
      </c>
      <c r="M593" s="3" t="s">
        <v>8912</v>
      </c>
      <c r="N593" s="3" t="s">
        <v>8912</v>
      </c>
      <c r="O593" s="3" t="s">
        <v>9077</v>
      </c>
      <c r="P593" s="16">
        <v>1.0</v>
      </c>
      <c r="Q593" s="16">
        <v>0.0</v>
      </c>
      <c r="R593" s="16">
        <v>0.0</v>
      </c>
      <c r="S593" s="16">
        <v>0.0</v>
      </c>
      <c r="T593" s="3" t="s">
        <v>1195</v>
      </c>
    </row>
    <row r="594">
      <c r="A594" s="3" t="s">
        <v>9340</v>
      </c>
      <c r="B594" s="3" t="s">
        <v>9176</v>
      </c>
      <c r="C594" s="17">
        <v>46310.52083333333</v>
      </c>
      <c r="D594" s="17">
        <v>46310.54166666667</v>
      </c>
      <c r="E594" s="25">
        <v>0.5</v>
      </c>
      <c r="G594" s="2"/>
      <c r="H594" s="3" t="s">
        <v>8971</v>
      </c>
      <c r="I594" s="3" t="s">
        <v>9077</v>
      </c>
      <c r="J594" s="3" t="s">
        <v>6950</v>
      </c>
      <c r="K594" s="3" t="s">
        <v>8973</v>
      </c>
      <c r="L594" s="16">
        <v>5.0</v>
      </c>
      <c r="M594" s="3" t="s">
        <v>9341</v>
      </c>
      <c r="N594" s="3" t="s">
        <v>9341</v>
      </c>
      <c r="O594" s="3" t="s">
        <v>9342</v>
      </c>
      <c r="P594" s="16">
        <v>4.0</v>
      </c>
      <c r="Q594" s="16">
        <v>0.0</v>
      </c>
      <c r="R594" s="16">
        <v>0.0</v>
      </c>
      <c r="S594" s="16">
        <v>1.0</v>
      </c>
      <c r="T594" s="2"/>
    </row>
    <row r="595">
      <c r="A595" s="3" t="s">
        <v>9280</v>
      </c>
      <c r="B595" s="3" t="s">
        <v>9281</v>
      </c>
      <c r="C595" s="17">
        <v>46310.70833333333</v>
      </c>
      <c r="D595" s="17">
        <v>46310.72916666667</v>
      </c>
      <c r="E595" s="25">
        <v>0.5</v>
      </c>
      <c r="G595" s="3" t="s">
        <v>9282</v>
      </c>
      <c r="H595" s="3" t="s">
        <v>8971</v>
      </c>
      <c r="I595" s="3" t="s">
        <v>9077</v>
      </c>
      <c r="J595" s="3" t="s">
        <v>9283</v>
      </c>
      <c r="K595" s="3" t="s">
        <v>8973</v>
      </c>
      <c r="L595" s="16">
        <v>15.0</v>
      </c>
      <c r="M595" s="3" t="s">
        <v>9284</v>
      </c>
      <c r="N595" s="3" t="s">
        <v>9285</v>
      </c>
      <c r="O595" s="3" t="s">
        <v>9404</v>
      </c>
      <c r="P595" s="16">
        <v>9.0</v>
      </c>
      <c r="Q595" s="16">
        <v>0.0</v>
      </c>
      <c r="R595" s="16">
        <v>1.0</v>
      </c>
      <c r="S595" s="16">
        <v>5.0</v>
      </c>
      <c r="T595" s="3" t="s">
        <v>2922</v>
      </c>
    </row>
    <row r="596">
      <c r="A596" s="3" t="s">
        <v>9405</v>
      </c>
      <c r="B596" s="3" t="s">
        <v>9406</v>
      </c>
      <c r="C596" s="17">
        <v>46311.41666666667</v>
      </c>
      <c r="D596" s="17">
        <v>46311.4375</v>
      </c>
      <c r="E596" s="25">
        <v>0.5</v>
      </c>
      <c r="F596" s="2"/>
      <c r="G596" s="2"/>
      <c r="H596" s="3" t="s">
        <v>8971</v>
      </c>
      <c r="I596" s="3" t="s">
        <v>9077</v>
      </c>
      <c r="J596" s="3" t="s">
        <v>6950</v>
      </c>
      <c r="K596" s="3" t="s">
        <v>8973</v>
      </c>
      <c r="L596" s="16">
        <v>5.0</v>
      </c>
      <c r="M596" s="3" t="s">
        <v>9484</v>
      </c>
      <c r="N596" s="3" t="s">
        <v>9484</v>
      </c>
      <c r="O596" s="3" t="s">
        <v>9342</v>
      </c>
      <c r="P596" s="16">
        <v>4.0</v>
      </c>
      <c r="Q596" s="16">
        <v>0.0</v>
      </c>
      <c r="R596" s="16">
        <v>0.0</v>
      </c>
      <c r="S596" s="16">
        <v>1.0</v>
      </c>
      <c r="T596" s="3" t="s">
        <v>5721</v>
      </c>
    </row>
    <row r="597">
      <c r="A597" s="3" t="s">
        <v>9441</v>
      </c>
      <c r="B597" s="3" t="s">
        <v>7840</v>
      </c>
      <c r="C597" s="17">
        <v>46314.58333333333</v>
      </c>
      <c r="D597" s="17">
        <v>46314.60416666667</v>
      </c>
      <c r="E597" s="25">
        <v>0.5</v>
      </c>
      <c r="G597" s="2"/>
      <c r="H597" s="3" t="s">
        <v>8971</v>
      </c>
      <c r="I597" s="3" t="s">
        <v>9094</v>
      </c>
      <c r="J597" s="3" t="s">
        <v>6853</v>
      </c>
      <c r="K597" s="3" t="s">
        <v>8973</v>
      </c>
      <c r="L597" s="16">
        <v>4.0</v>
      </c>
      <c r="M597" s="3" t="s">
        <v>9166</v>
      </c>
      <c r="N597" s="3" t="s">
        <v>9166</v>
      </c>
      <c r="O597" s="3" t="s">
        <v>9002</v>
      </c>
      <c r="P597" s="16">
        <v>1.0</v>
      </c>
      <c r="Q597" s="16">
        <v>0.0</v>
      </c>
      <c r="R597" s="16">
        <v>0.0</v>
      </c>
      <c r="S597" s="16">
        <v>3.0</v>
      </c>
      <c r="T597" s="3" t="s">
        <v>5544</v>
      </c>
    </row>
    <row r="598">
      <c r="A598" s="3" t="s">
        <v>9223</v>
      </c>
      <c r="B598" s="3" t="s">
        <v>8418</v>
      </c>
      <c r="C598" s="17">
        <v>46314.60416666667</v>
      </c>
      <c r="D598" s="17">
        <v>46314.625</v>
      </c>
      <c r="E598" s="25">
        <v>0.5</v>
      </c>
      <c r="G598" s="3" t="s">
        <v>9304</v>
      </c>
      <c r="H598" s="3" t="s">
        <v>8971</v>
      </c>
      <c r="I598" s="3" t="s">
        <v>9094</v>
      </c>
      <c r="J598" s="3" t="s">
        <v>6853</v>
      </c>
      <c r="K598" s="3" t="s">
        <v>8973</v>
      </c>
      <c r="L598" s="16">
        <v>2.0</v>
      </c>
      <c r="M598" s="3" t="s">
        <v>9225</v>
      </c>
      <c r="N598" s="3" t="s">
        <v>9225</v>
      </c>
      <c r="O598" s="3" t="s">
        <v>9010</v>
      </c>
      <c r="P598" s="16">
        <v>0.0</v>
      </c>
      <c r="Q598" s="16">
        <v>0.0</v>
      </c>
      <c r="R598" s="16">
        <v>0.0</v>
      </c>
      <c r="S598" s="16">
        <v>2.0</v>
      </c>
      <c r="T598" s="3" t="s">
        <v>2868</v>
      </c>
    </row>
    <row r="599">
      <c r="A599" s="3" t="s">
        <v>9307</v>
      </c>
      <c r="B599" s="3" t="s">
        <v>9137</v>
      </c>
      <c r="C599" s="17">
        <v>46315.5</v>
      </c>
      <c r="D599" s="17">
        <v>46315.52083333333</v>
      </c>
      <c r="E599" s="25">
        <v>0.5</v>
      </c>
      <c r="F599" s="2"/>
      <c r="G599" s="3" t="s">
        <v>9138</v>
      </c>
      <c r="H599" s="3" t="s">
        <v>8971</v>
      </c>
      <c r="I599" s="3" t="s">
        <v>9077</v>
      </c>
      <c r="J599" s="3" t="s">
        <v>6950</v>
      </c>
      <c r="K599" s="3" t="s">
        <v>8973</v>
      </c>
      <c r="L599" s="16">
        <v>3.0</v>
      </c>
      <c r="M599" s="3" t="s">
        <v>9140</v>
      </c>
      <c r="N599" s="3" t="s">
        <v>9141</v>
      </c>
      <c r="O599" s="3" t="s">
        <v>9308</v>
      </c>
      <c r="P599" s="16">
        <v>2.0</v>
      </c>
      <c r="Q599" s="16">
        <v>0.0</v>
      </c>
      <c r="R599" s="16">
        <v>1.0</v>
      </c>
      <c r="S599" s="16">
        <v>0.0</v>
      </c>
      <c r="T599" s="3" t="s">
        <v>4466</v>
      </c>
    </row>
    <row r="600">
      <c r="A600" s="3" t="s">
        <v>9309</v>
      </c>
      <c r="B600" s="3" t="s">
        <v>6844</v>
      </c>
      <c r="C600" s="17">
        <v>46315.5625</v>
      </c>
      <c r="D600" s="17">
        <v>46315.58333333333</v>
      </c>
      <c r="E600" s="25">
        <v>0.5</v>
      </c>
      <c r="F600" s="2"/>
      <c r="G600" s="2"/>
      <c r="H600" s="3" t="s">
        <v>8971</v>
      </c>
      <c r="I600" s="3" t="s">
        <v>9094</v>
      </c>
      <c r="J600" s="3" t="s">
        <v>6853</v>
      </c>
      <c r="K600" s="3" t="s">
        <v>8973</v>
      </c>
      <c r="L600" s="16">
        <v>2.0</v>
      </c>
      <c r="M600" s="3" t="s">
        <v>9310</v>
      </c>
      <c r="N600" s="3" t="s">
        <v>9310</v>
      </c>
      <c r="O600" s="3" t="s">
        <v>9043</v>
      </c>
      <c r="P600" s="16">
        <v>1.0</v>
      </c>
      <c r="Q600" s="16">
        <v>0.0</v>
      </c>
      <c r="R600" s="16">
        <v>0.0</v>
      </c>
      <c r="S600" s="16">
        <v>1.0</v>
      </c>
      <c r="T600" s="3" t="s">
        <v>2616</v>
      </c>
    </row>
    <row r="601">
      <c r="A601" s="3" t="s">
        <v>9442</v>
      </c>
      <c r="B601" s="3" t="s">
        <v>8969</v>
      </c>
      <c r="C601" s="17">
        <v>46315.58333333333</v>
      </c>
      <c r="D601" s="17">
        <v>46315.60416666667</v>
      </c>
      <c r="E601" s="25">
        <v>0.5</v>
      </c>
      <c r="F601" s="2"/>
      <c r="G601" s="3" t="s">
        <v>8970</v>
      </c>
      <c r="H601" s="3" t="s">
        <v>8971</v>
      </c>
      <c r="I601" s="3" t="s">
        <v>9094</v>
      </c>
      <c r="J601" s="3" t="s">
        <v>6853</v>
      </c>
      <c r="K601" s="3" t="s">
        <v>8973</v>
      </c>
      <c r="L601" s="16">
        <v>3.0</v>
      </c>
      <c r="M601" s="3" t="s">
        <v>9436</v>
      </c>
      <c r="N601" s="3" t="s">
        <v>9436</v>
      </c>
      <c r="O601" s="3" t="s">
        <v>9147</v>
      </c>
      <c r="P601" s="16">
        <v>2.0</v>
      </c>
      <c r="Q601" s="16">
        <v>0.0</v>
      </c>
      <c r="R601" s="16">
        <v>0.0</v>
      </c>
      <c r="S601" s="16">
        <v>1.0</v>
      </c>
      <c r="T601" s="3" t="s">
        <v>5498</v>
      </c>
    </row>
    <row r="602">
      <c r="A602" s="3" t="s">
        <v>9384</v>
      </c>
      <c r="B602" s="3" t="s">
        <v>9015</v>
      </c>
      <c r="C602" s="17">
        <v>46316.54166666667</v>
      </c>
      <c r="D602" s="17">
        <v>46316.5625</v>
      </c>
      <c r="E602" s="25">
        <v>0.5</v>
      </c>
      <c r="F602" s="2"/>
      <c r="G602" s="2"/>
      <c r="H602" s="3" t="s">
        <v>8971</v>
      </c>
      <c r="I602" s="3" t="s">
        <v>9077</v>
      </c>
      <c r="J602" s="3" t="s">
        <v>6950</v>
      </c>
      <c r="K602" s="3" t="s">
        <v>8973</v>
      </c>
      <c r="L602" s="16">
        <v>3.0</v>
      </c>
      <c r="M602" s="3" t="s">
        <v>9016</v>
      </c>
      <c r="N602" s="3" t="s">
        <v>9016</v>
      </c>
      <c r="O602" s="3" t="s">
        <v>9017</v>
      </c>
      <c r="P602" s="16">
        <v>3.0</v>
      </c>
      <c r="Q602" s="16">
        <v>0.0</v>
      </c>
      <c r="R602" s="16">
        <v>0.0</v>
      </c>
      <c r="S602" s="16">
        <v>0.0</v>
      </c>
      <c r="T602" s="3" t="s">
        <v>1975</v>
      </c>
    </row>
    <row r="603">
      <c r="A603" s="3" t="s">
        <v>9421</v>
      </c>
      <c r="B603" s="3" t="s">
        <v>9422</v>
      </c>
      <c r="C603" s="17">
        <v>46317.35416666667</v>
      </c>
      <c r="D603" s="17">
        <v>46317.375</v>
      </c>
      <c r="E603" s="25">
        <v>0.5</v>
      </c>
      <c r="F603" s="2"/>
      <c r="G603" s="2"/>
      <c r="H603" s="3" t="s">
        <v>8971</v>
      </c>
      <c r="I603" s="3" t="s">
        <v>9077</v>
      </c>
      <c r="J603" s="3" t="s">
        <v>6950</v>
      </c>
      <c r="K603" s="3" t="s">
        <v>8973</v>
      </c>
      <c r="L603" s="16">
        <v>4.0</v>
      </c>
      <c r="M603" s="3" t="s">
        <v>9423</v>
      </c>
      <c r="N603" s="3" t="s">
        <v>9423</v>
      </c>
      <c r="O603" s="3" t="s">
        <v>9002</v>
      </c>
      <c r="P603" s="16">
        <v>1.0</v>
      </c>
      <c r="Q603" s="16">
        <v>0.0</v>
      </c>
      <c r="R603" s="16">
        <v>0.0</v>
      </c>
      <c r="S603" s="16">
        <v>3.0</v>
      </c>
      <c r="T603" s="3" t="s">
        <v>693</v>
      </c>
    </row>
    <row r="604">
      <c r="A604" s="3" t="s">
        <v>9262</v>
      </c>
      <c r="B604" s="3" t="s">
        <v>9263</v>
      </c>
      <c r="C604" s="17">
        <v>46317.4375</v>
      </c>
      <c r="D604" s="17">
        <v>46317.45833333333</v>
      </c>
      <c r="E604" s="25">
        <v>0.5</v>
      </c>
      <c r="G604" s="2"/>
      <c r="H604" s="3" t="s">
        <v>8971</v>
      </c>
      <c r="I604" s="3" t="s">
        <v>9077</v>
      </c>
      <c r="J604" s="3" t="s">
        <v>6950</v>
      </c>
      <c r="K604" s="3" t="s">
        <v>8973</v>
      </c>
      <c r="L604" s="16">
        <v>4.0</v>
      </c>
      <c r="M604" s="3" t="s">
        <v>9311</v>
      </c>
      <c r="N604" s="3" t="s">
        <v>9312</v>
      </c>
      <c r="O604" s="3" t="s">
        <v>9167</v>
      </c>
      <c r="P604" s="16">
        <v>4.0</v>
      </c>
      <c r="Q604" s="16">
        <v>0.0</v>
      </c>
      <c r="R604" s="16">
        <v>0.0</v>
      </c>
      <c r="S604" s="16">
        <v>0.0</v>
      </c>
      <c r="T604" s="3" t="s">
        <v>2672</v>
      </c>
    </row>
    <row r="605">
      <c r="A605" s="3" t="s">
        <v>9314</v>
      </c>
      <c r="B605" s="3" t="s">
        <v>9315</v>
      </c>
      <c r="C605" s="17">
        <v>46317.58333333333</v>
      </c>
      <c r="D605" s="17">
        <v>46317.60416666667</v>
      </c>
      <c r="E605" s="25">
        <v>0.5</v>
      </c>
      <c r="F605" s="2"/>
      <c r="G605" s="2"/>
      <c r="H605" s="3" t="s">
        <v>8971</v>
      </c>
      <c r="I605" s="3" t="s">
        <v>9077</v>
      </c>
      <c r="J605" s="3" t="s">
        <v>6950</v>
      </c>
      <c r="K605" s="3" t="s">
        <v>8973</v>
      </c>
      <c r="L605" s="16">
        <v>6.0</v>
      </c>
      <c r="M605" s="3" t="s">
        <v>9316</v>
      </c>
      <c r="N605" s="3" t="s">
        <v>9316</v>
      </c>
      <c r="O605" s="3" t="s">
        <v>9397</v>
      </c>
      <c r="P605" s="16">
        <v>1.0</v>
      </c>
      <c r="Q605" s="16">
        <v>3.0</v>
      </c>
      <c r="R605" s="16">
        <v>0.0</v>
      </c>
      <c r="S605" s="16">
        <v>2.0</v>
      </c>
      <c r="T605" s="3" t="s">
        <v>5285</v>
      </c>
    </row>
    <row r="606">
      <c r="A606" s="3" t="s">
        <v>9410</v>
      </c>
      <c r="B606" s="3" t="s">
        <v>7147</v>
      </c>
      <c r="C606" s="17">
        <v>46321.54166666667</v>
      </c>
      <c r="D606" s="17">
        <v>46321.5625</v>
      </c>
      <c r="E606" s="25">
        <v>0.5</v>
      </c>
      <c r="F606" s="13" t="s">
        <v>9411</v>
      </c>
      <c r="G606" s="3" t="s">
        <v>9412</v>
      </c>
      <c r="H606" s="3" t="s">
        <v>8971</v>
      </c>
      <c r="I606" s="3" t="s">
        <v>9094</v>
      </c>
      <c r="J606" s="3" t="s">
        <v>6853</v>
      </c>
      <c r="K606" s="3" t="s">
        <v>8973</v>
      </c>
      <c r="L606" s="16">
        <v>4.0</v>
      </c>
      <c r="M606" s="3" t="s">
        <v>9349</v>
      </c>
      <c r="N606" s="3" t="s">
        <v>9349</v>
      </c>
      <c r="O606" s="3" t="s">
        <v>9002</v>
      </c>
      <c r="P606" s="16">
        <v>1.0</v>
      </c>
      <c r="Q606" s="16">
        <v>0.0</v>
      </c>
      <c r="R606" s="16">
        <v>0.0</v>
      </c>
      <c r="S606" s="16">
        <v>3.0</v>
      </c>
      <c r="T606" s="3" t="s">
        <v>1725</v>
      </c>
    </row>
    <row r="607">
      <c r="A607" s="3" t="s">
        <v>9325</v>
      </c>
      <c r="B607" s="3" t="s">
        <v>9000</v>
      </c>
      <c r="C607" s="17">
        <v>46321.58333333333</v>
      </c>
      <c r="D607" s="17">
        <v>46321.60416666667</v>
      </c>
      <c r="E607" s="25">
        <v>0.5</v>
      </c>
      <c r="F607" s="2"/>
      <c r="G607" s="2"/>
      <c r="H607" s="3" t="s">
        <v>8971</v>
      </c>
      <c r="I607" s="3" t="s">
        <v>8972</v>
      </c>
      <c r="J607" s="3" t="s">
        <v>6950</v>
      </c>
      <c r="K607" s="3" t="s">
        <v>8973</v>
      </c>
      <c r="L607" s="16">
        <v>4.0</v>
      </c>
      <c r="M607" s="3" t="s">
        <v>9001</v>
      </c>
      <c r="N607" s="3" t="s">
        <v>9001</v>
      </c>
      <c r="O607" s="3" t="s">
        <v>9002</v>
      </c>
      <c r="P607" s="16">
        <v>1.0</v>
      </c>
      <c r="Q607" s="16">
        <v>0.0</v>
      </c>
      <c r="R607" s="16">
        <v>0.0</v>
      </c>
      <c r="S607" s="16">
        <v>3.0</v>
      </c>
      <c r="T607" s="3" t="s">
        <v>2594</v>
      </c>
    </row>
    <row r="608">
      <c r="A608" s="3" t="s">
        <v>9223</v>
      </c>
      <c r="B608" s="3" t="s">
        <v>8418</v>
      </c>
      <c r="C608" s="17">
        <v>46321.60416666667</v>
      </c>
      <c r="D608" s="17">
        <v>46321.625</v>
      </c>
      <c r="E608" s="25">
        <v>0.5</v>
      </c>
      <c r="G608" s="3" t="s">
        <v>9304</v>
      </c>
      <c r="H608" s="3" t="s">
        <v>8971</v>
      </c>
      <c r="I608" s="3" t="s">
        <v>9094</v>
      </c>
      <c r="J608" s="3" t="s">
        <v>6853</v>
      </c>
      <c r="K608" s="3" t="s">
        <v>8973</v>
      </c>
      <c r="L608" s="16">
        <v>2.0</v>
      </c>
      <c r="M608" s="3" t="s">
        <v>9225</v>
      </c>
      <c r="N608" s="3" t="s">
        <v>9225</v>
      </c>
      <c r="O608" s="3" t="s">
        <v>9010</v>
      </c>
      <c r="P608" s="16">
        <v>0.0</v>
      </c>
      <c r="Q608" s="16">
        <v>0.0</v>
      </c>
      <c r="R608" s="16">
        <v>0.0</v>
      </c>
      <c r="S608" s="16">
        <v>2.0</v>
      </c>
      <c r="T608" s="3" t="s">
        <v>2868</v>
      </c>
    </row>
    <row r="609">
      <c r="A609" s="3" t="s">
        <v>9416</v>
      </c>
      <c r="B609" s="3" t="s">
        <v>9417</v>
      </c>
      <c r="C609" s="17">
        <v>46322.45833333333</v>
      </c>
      <c r="D609" s="17">
        <v>46322.47916666667</v>
      </c>
      <c r="E609" s="25">
        <v>0.5</v>
      </c>
      <c r="G609" s="3" t="s">
        <v>9418</v>
      </c>
      <c r="H609" s="3" t="s">
        <v>8971</v>
      </c>
      <c r="I609" s="3" t="s">
        <v>9094</v>
      </c>
      <c r="J609" s="3" t="s">
        <v>6853</v>
      </c>
      <c r="K609" s="3" t="s">
        <v>8973</v>
      </c>
      <c r="L609" s="16">
        <v>5.0</v>
      </c>
      <c r="M609" s="3" t="s">
        <v>9480</v>
      </c>
      <c r="N609" s="3" t="s">
        <v>9480</v>
      </c>
      <c r="O609" s="3" t="s">
        <v>9432</v>
      </c>
      <c r="P609" s="16">
        <v>0.0</v>
      </c>
      <c r="Q609" s="16">
        <v>0.0</v>
      </c>
      <c r="R609" s="16">
        <v>0.0</v>
      </c>
      <c r="S609" s="16">
        <v>5.0</v>
      </c>
      <c r="T609" s="3" t="s">
        <v>5602</v>
      </c>
    </row>
    <row r="610">
      <c r="A610" s="3" t="s">
        <v>9307</v>
      </c>
      <c r="B610" s="3" t="s">
        <v>9137</v>
      </c>
      <c r="C610" s="17">
        <v>46322.5</v>
      </c>
      <c r="D610" s="17">
        <v>46322.52083333333</v>
      </c>
      <c r="E610" s="25">
        <v>0.5</v>
      </c>
      <c r="G610" s="3" t="s">
        <v>9138</v>
      </c>
      <c r="H610" s="3" t="s">
        <v>8971</v>
      </c>
      <c r="I610" s="3" t="s">
        <v>9077</v>
      </c>
      <c r="J610" s="3" t="s">
        <v>6950</v>
      </c>
      <c r="K610" s="3" t="s">
        <v>8973</v>
      </c>
      <c r="L610" s="16">
        <v>3.0</v>
      </c>
      <c r="M610" s="3" t="s">
        <v>9140</v>
      </c>
      <c r="N610" s="3" t="s">
        <v>9141</v>
      </c>
      <c r="O610" s="3" t="s">
        <v>9308</v>
      </c>
      <c r="P610" s="16">
        <v>2.0</v>
      </c>
      <c r="Q610" s="16">
        <v>0.0</v>
      </c>
      <c r="R610" s="16">
        <v>1.0</v>
      </c>
      <c r="S610" s="16">
        <v>0.0</v>
      </c>
      <c r="T610" s="3" t="s">
        <v>4466</v>
      </c>
    </row>
    <row r="611">
      <c r="A611" s="3" t="s">
        <v>9309</v>
      </c>
      <c r="B611" s="3" t="s">
        <v>6844</v>
      </c>
      <c r="C611" s="17">
        <v>46322.5625</v>
      </c>
      <c r="D611" s="17">
        <v>46322.58333333333</v>
      </c>
      <c r="E611" s="25">
        <v>0.5</v>
      </c>
      <c r="F611" s="2"/>
      <c r="G611" s="2"/>
      <c r="H611" s="3" t="s">
        <v>8971</v>
      </c>
      <c r="I611" s="3" t="s">
        <v>9094</v>
      </c>
      <c r="J611" s="3" t="s">
        <v>6853</v>
      </c>
      <c r="K611" s="3" t="s">
        <v>8973</v>
      </c>
      <c r="L611" s="16">
        <v>2.0</v>
      </c>
      <c r="M611" s="3" t="s">
        <v>9310</v>
      </c>
      <c r="N611" s="3" t="s">
        <v>9310</v>
      </c>
      <c r="O611" s="3" t="s">
        <v>9043</v>
      </c>
      <c r="P611" s="16">
        <v>1.0</v>
      </c>
      <c r="Q611" s="16">
        <v>0.0</v>
      </c>
      <c r="R611" s="16">
        <v>0.0</v>
      </c>
      <c r="S611" s="16">
        <v>1.0</v>
      </c>
      <c r="T611" s="3" t="s">
        <v>2616</v>
      </c>
    </row>
    <row r="612">
      <c r="A612" s="3" t="s">
        <v>9481</v>
      </c>
      <c r="B612" s="3" t="s">
        <v>7310</v>
      </c>
      <c r="C612" s="17">
        <v>46324.41666666667</v>
      </c>
      <c r="D612" s="17">
        <v>46324.4375</v>
      </c>
      <c r="E612" s="25">
        <v>0.5</v>
      </c>
      <c r="F612" s="2"/>
      <c r="G612" s="3" t="s">
        <v>9482</v>
      </c>
      <c r="H612" s="3" t="s">
        <v>8971</v>
      </c>
      <c r="I612" s="3" t="s">
        <v>9094</v>
      </c>
      <c r="J612" s="3" t="s">
        <v>6853</v>
      </c>
      <c r="K612" s="3" t="s">
        <v>8973</v>
      </c>
      <c r="L612" s="16">
        <v>3.0</v>
      </c>
      <c r="M612" s="3" t="s">
        <v>9483</v>
      </c>
      <c r="N612" s="3" t="s">
        <v>9483</v>
      </c>
      <c r="O612" s="3" t="s">
        <v>9147</v>
      </c>
      <c r="P612" s="16">
        <v>2.0</v>
      </c>
      <c r="Q612" s="16">
        <v>0.0</v>
      </c>
      <c r="R612" s="16">
        <v>0.0</v>
      </c>
      <c r="S612" s="16">
        <v>1.0</v>
      </c>
      <c r="T612" s="3" t="s">
        <v>5815</v>
      </c>
    </row>
    <row r="613">
      <c r="A613" s="3" t="s">
        <v>9459</v>
      </c>
      <c r="B613" s="3" t="s">
        <v>9460</v>
      </c>
      <c r="C613" s="17">
        <v>46324.5</v>
      </c>
      <c r="D613" s="17">
        <v>46324.52083333333</v>
      </c>
      <c r="E613" s="25">
        <v>0.5</v>
      </c>
      <c r="F613" s="2"/>
      <c r="G613" s="2"/>
      <c r="H613" s="3" t="s">
        <v>8971</v>
      </c>
      <c r="I613" s="3" t="s">
        <v>9094</v>
      </c>
      <c r="J613" s="3" t="s">
        <v>6853</v>
      </c>
      <c r="K613" s="3" t="s">
        <v>8973</v>
      </c>
      <c r="L613" s="16">
        <v>1.0</v>
      </c>
      <c r="M613" s="3" t="s">
        <v>8912</v>
      </c>
      <c r="N613" s="3" t="s">
        <v>8912</v>
      </c>
      <c r="O613" s="3" t="s">
        <v>9077</v>
      </c>
      <c r="P613" s="16">
        <v>1.0</v>
      </c>
      <c r="Q613" s="16">
        <v>0.0</v>
      </c>
      <c r="R613" s="16">
        <v>0.0</v>
      </c>
      <c r="S613" s="16">
        <v>0.0</v>
      </c>
      <c r="T613" s="3" t="s">
        <v>1195</v>
      </c>
    </row>
    <row r="614">
      <c r="A614" s="3" t="s">
        <v>9340</v>
      </c>
      <c r="B614" s="3" t="s">
        <v>9176</v>
      </c>
      <c r="C614" s="17">
        <v>46324.52083333333</v>
      </c>
      <c r="D614" s="17">
        <v>46324.54166666667</v>
      </c>
      <c r="E614" s="25">
        <v>0.5</v>
      </c>
      <c r="F614" s="2"/>
      <c r="G614" s="2"/>
      <c r="H614" s="3" t="s">
        <v>8971</v>
      </c>
      <c r="I614" s="3" t="s">
        <v>9077</v>
      </c>
      <c r="J614" s="3" t="s">
        <v>6950</v>
      </c>
      <c r="K614" s="3" t="s">
        <v>8973</v>
      </c>
      <c r="L614" s="16">
        <v>5.0</v>
      </c>
      <c r="M614" s="3" t="s">
        <v>9341</v>
      </c>
      <c r="N614" s="3" t="s">
        <v>9341</v>
      </c>
      <c r="O614" s="3" t="s">
        <v>9342</v>
      </c>
      <c r="P614" s="16">
        <v>4.0</v>
      </c>
      <c r="Q614" s="16">
        <v>0.0</v>
      </c>
      <c r="R614" s="16">
        <v>0.0</v>
      </c>
      <c r="S614" s="16">
        <v>1.0</v>
      </c>
      <c r="T614" s="2"/>
    </row>
    <row r="615">
      <c r="A615" s="3" t="s">
        <v>9443</v>
      </c>
      <c r="B615" s="3" t="s">
        <v>8085</v>
      </c>
      <c r="C615" s="17">
        <v>46325.54166666667</v>
      </c>
      <c r="D615" s="17">
        <v>46325.5625</v>
      </c>
      <c r="E615" s="25">
        <v>0.5</v>
      </c>
      <c r="G615" s="2"/>
      <c r="H615" s="3" t="s">
        <v>8971</v>
      </c>
      <c r="I615" s="3" t="s">
        <v>9077</v>
      </c>
      <c r="J615" s="3" t="s">
        <v>9206</v>
      </c>
      <c r="K615" s="3" t="s">
        <v>8973</v>
      </c>
      <c r="L615" s="16">
        <v>5.0</v>
      </c>
      <c r="M615" s="3" t="s">
        <v>9207</v>
      </c>
      <c r="N615" s="3" t="s">
        <v>9208</v>
      </c>
      <c r="O615" s="3" t="s">
        <v>9444</v>
      </c>
      <c r="P615" s="16">
        <v>4.0</v>
      </c>
      <c r="Q615" s="16">
        <v>1.0</v>
      </c>
      <c r="R615" s="16">
        <v>0.0</v>
      </c>
      <c r="S615" s="16">
        <v>0.0</v>
      </c>
      <c r="T615" s="3" t="s">
        <v>453</v>
      </c>
    </row>
    <row r="616">
      <c r="A616" s="3" t="s">
        <v>9437</v>
      </c>
      <c r="B616" s="3" t="s">
        <v>9438</v>
      </c>
      <c r="C616" s="17">
        <v>46328.5625</v>
      </c>
      <c r="D616" s="17">
        <v>46328.58333333333</v>
      </c>
      <c r="E616" s="25">
        <v>0.5</v>
      </c>
      <c r="G616" s="2"/>
      <c r="H616" s="3" t="s">
        <v>8971</v>
      </c>
      <c r="I616" s="3" t="s">
        <v>9006</v>
      </c>
      <c r="J616" s="3" t="s">
        <v>6950</v>
      </c>
      <c r="K616" s="3" t="s">
        <v>8973</v>
      </c>
      <c r="L616" s="16">
        <v>4.0</v>
      </c>
      <c r="M616" s="3" t="s">
        <v>9439</v>
      </c>
      <c r="N616" s="3" t="s">
        <v>9439</v>
      </c>
      <c r="O616" s="3" t="s">
        <v>9440</v>
      </c>
      <c r="P616" s="16">
        <v>2.0</v>
      </c>
      <c r="Q616" s="16">
        <v>0.0</v>
      </c>
      <c r="R616" s="16">
        <v>0.0</v>
      </c>
      <c r="S616" s="16">
        <v>2.0</v>
      </c>
      <c r="T616" s="3" t="s">
        <v>3616</v>
      </c>
    </row>
    <row r="617">
      <c r="A617" s="3" t="s">
        <v>9445</v>
      </c>
      <c r="B617" s="3" t="s">
        <v>8977</v>
      </c>
      <c r="C617" s="17">
        <v>46328.5625</v>
      </c>
      <c r="D617" s="17">
        <v>46328.58333333333</v>
      </c>
      <c r="E617" s="25">
        <v>0.5</v>
      </c>
      <c r="G617" s="3" t="s">
        <v>9446</v>
      </c>
      <c r="H617" s="3" t="s">
        <v>8971</v>
      </c>
      <c r="I617" s="3" t="s">
        <v>8972</v>
      </c>
      <c r="J617" s="3" t="s">
        <v>6950</v>
      </c>
      <c r="K617" s="3" t="s">
        <v>8973</v>
      </c>
      <c r="L617" s="16">
        <v>7.0</v>
      </c>
      <c r="M617" s="3" t="s">
        <v>8978</v>
      </c>
      <c r="N617" s="3" t="s">
        <v>8978</v>
      </c>
      <c r="O617" s="3" t="s">
        <v>8979</v>
      </c>
      <c r="P617" s="16">
        <v>5.0</v>
      </c>
      <c r="Q617" s="16">
        <v>0.0</v>
      </c>
      <c r="R617" s="16">
        <v>0.0</v>
      </c>
      <c r="S617" s="16">
        <v>2.0</v>
      </c>
      <c r="T617" s="3" t="s">
        <v>2576</v>
      </c>
    </row>
    <row r="618">
      <c r="A618" s="3" t="s">
        <v>9441</v>
      </c>
      <c r="B618" s="3" t="s">
        <v>7840</v>
      </c>
      <c r="C618" s="17">
        <v>46328.58333333333</v>
      </c>
      <c r="D618" s="17">
        <v>46328.60416666667</v>
      </c>
      <c r="E618" s="25">
        <v>0.5</v>
      </c>
      <c r="G618" s="2"/>
      <c r="H618" s="3" t="s">
        <v>8971</v>
      </c>
      <c r="I618" s="3" t="s">
        <v>9094</v>
      </c>
      <c r="J618" s="3" t="s">
        <v>6853</v>
      </c>
      <c r="K618" s="3" t="s">
        <v>8973</v>
      </c>
      <c r="L618" s="16">
        <v>4.0</v>
      </c>
      <c r="M618" s="3" t="s">
        <v>9166</v>
      </c>
      <c r="N618" s="3" t="s">
        <v>9166</v>
      </c>
      <c r="O618" s="3" t="s">
        <v>9002</v>
      </c>
      <c r="P618" s="16">
        <v>1.0</v>
      </c>
      <c r="Q618" s="16">
        <v>0.0</v>
      </c>
      <c r="R618" s="16">
        <v>0.0</v>
      </c>
      <c r="S618" s="16">
        <v>3.0</v>
      </c>
      <c r="T618" s="3" t="s">
        <v>5544</v>
      </c>
    </row>
    <row r="619">
      <c r="A619" s="3" t="s">
        <v>9223</v>
      </c>
      <c r="B619" s="3" t="s">
        <v>8418</v>
      </c>
      <c r="C619" s="17">
        <v>46328.60416666667</v>
      </c>
      <c r="D619" s="17">
        <v>46328.625</v>
      </c>
      <c r="E619" s="25">
        <v>0.5</v>
      </c>
      <c r="G619" s="3" t="s">
        <v>9304</v>
      </c>
      <c r="H619" s="3" t="s">
        <v>8971</v>
      </c>
      <c r="I619" s="3" t="s">
        <v>9094</v>
      </c>
      <c r="J619" s="3" t="s">
        <v>6853</v>
      </c>
      <c r="K619" s="3" t="s">
        <v>8973</v>
      </c>
      <c r="L619" s="16">
        <v>2.0</v>
      </c>
      <c r="M619" s="3" t="s">
        <v>9225</v>
      </c>
      <c r="N619" s="3" t="s">
        <v>9225</v>
      </c>
      <c r="O619" s="3" t="s">
        <v>9010</v>
      </c>
      <c r="P619" s="16">
        <v>0.0</v>
      </c>
      <c r="Q619" s="16">
        <v>0.0</v>
      </c>
      <c r="R619" s="16">
        <v>0.0</v>
      </c>
      <c r="S619" s="16">
        <v>2.0</v>
      </c>
      <c r="T619" s="3" t="s">
        <v>2868</v>
      </c>
    </row>
    <row r="620">
      <c r="A620" s="3" t="s">
        <v>9307</v>
      </c>
      <c r="B620" s="3" t="s">
        <v>9137</v>
      </c>
      <c r="C620" s="17">
        <v>46329.5</v>
      </c>
      <c r="D620" s="17">
        <v>46329.52083333333</v>
      </c>
      <c r="E620" s="25">
        <v>0.5</v>
      </c>
      <c r="G620" s="3" t="s">
        <v>9138</v>
      </c>
      <c r="H620" s="3" t="s">
        <v>8971</v>
      </c>
      <c r="I620" s="3" t="s">
        <v>9077</v>
      </c>
      <c r="J620" s="3" t="s">
        <v>6950</v>
      </c>
      <c r="K620" s="3" t="s">
        <v>8973</v>
      </c>
      <c r="L620" s="16">
        <v>3.0</v>
      </c>
      <c r="M620" s="3" t="s">
        <v>9140</v>
      </c>
      <c r="N620" s="3" t="s">
        <v>9141</v>
      </c>
      <c r="O620" s="3" t="s">
        <v>9308</v>
      </c>
      <c r="P620" s="16">
        <v>2.0</v>
      </c>
      <c r="Q620" s="16">
        <v>0.0</v>
      </c>
      <c r="R620" s="16">
        <v>1.0</v>
      </c>
      <c r="S620" s="16">
        <v>0.0</v>
      </c>
      <c r="T620" s="3" t="s">
        <v>4466</v>
      </c>
    </row>
    <row r="621">
      <c r="A621" s="3" t="s">
        <v>9309</v>
      </c>
      <c r="B621" s="3" t="s">
        <v>6844</v>
      </c>
      <c r="C621" s="17">
        <v>46329.5625</v>
      </c>
      <c r="D621" s="17">
        <v>46329.58333333333</v>
      </c>
      <c r="E621" s="25">
        <v>0.5</v>
      </c>
      <c r="G621" s="2"/>
      <c r="H621" s="3" t="s">
        <v>8971</v>
      </c>
      <c r="I621" s="3" t="s">
        <v>9094</v>
      </c>
      <c r="J621" s="3" t="s">
        <v>6853</v>
      </c>
      <c r="K621" s="3" t="s">
        <v>8973</v>
      </c>
      <c r="L621" s="16">
        <v>2.0</v>
      </c>
      <c r="M621" s="3" t="s">
        <v>9310</v>
      </c>
      <c r="N621" s="3" t="s">
        <v>9310</v>
      </c>
      <c r="O621" s="3" t="s">
        <v>9043</v>
      </c>
      <c r="P621" s="16">
        <v>1.0</v>
      </c>
      <c r="Q621" s="16">
        <v>0.0</v>
      </c>
      <c r="R621" s="16">
        <v>0.0</v>
      </c>
      <c r="S621" s="16">
        <v>1.0</v>
      </c>
      <c r="T621" s="3" t="s">
        <v>2616</v>
      </c>
    </row>
    <row r="622">
      <c r="A622" s="3" t="s">
        <v>9453</v>
      </c>
      <c r="B622" s="3" t="s">
        <v>9454</v>
      </c>
      <c r="C622" s="17">
        <v>46329.58333333333</v>
      </c>
      <c r="D622" s="17">
        <v>46329.60416666667</v>
      </c>
      <c r="E622" s="25">
        <v>0.5</v>
      </c>
      <c r="F622" s="2"/>
      <c r="G622" s="3" t="s">
        <v>9455</v>
      </c>
      <c r="H622" s="3" t="s">
        <v>8971</v>
      </c>
      <c r="I622" s="3" t="s">
        <v>9077</v>
      </c>
      <c r="J622" s="3" t="s">
        <v>6950</v>
      </c>
      <c r="K622" s="3" t="s">
        <v>8973</v>
      </c>
      <c r="L622" s="16">
        <v>9.0</v>
      </c>
      <c r="M622" s="3" t="s">
        <v>8982</v>
      </c>
      <c r="N622" s="3" t="s">
        <v>8983</v>
      </c>
      <c r="O622" s="3" t="s">
        <v>9456</v>
      </c>
      <c r="P622" s="16">
        <v>2.0</v>
      </c>
      <c r="Q622" s="16">
        <v>0.0</v>
      </c>
      <c r="R622" s="16">
        <v>1.0</v>
      </c>
      <c r="S622" s="16">
        <v>6.0</v>
      </c>
      <c r="T622" s="3" t="s">
        <v>2109</v>
      </c>
    </row>
    <row r="623">
      <c r="A623" s="3" t="s">
        <v>9442</v>
      </c>
      <c r="B623" s="3" t="s">
        <v>8969</v>
      </c>
      <c r="C623" s="17">
        <v>46329.58333333333</v>
      </c>
      <c r="D623" s="17">
        <v>46329.60416666667</v>
      </c>
      <c r="E623" s="25">
        <v>0.5</v>
      </c>
      <c r="F623" s="2"/>
      <c r="G623" s="3" t="s">
        <v>8970</v>
      </c>
      <c r="H623" s="3" t="s">
        <v>8971</v>
      </c>
      <c r="I623" s="3" t="s">
        <v>9094</v>
      </c>
      <c r="J623" s="3" t="s">
        <v>6853</v>
      </c>
      <c r="K623" s="3" t="s">
        <v>8973</v>
      </c>
      <c r="L623" s="16">
        <v>3.0</v>
      </c>
      <c r="M623" s="3" t="s">
        <v>9436</v>
      </c>
      <c r="N623" s="3" t="s">
        <v>9436</v>
      </c>
      <c r="O623" s="3" t="s">
        <v>9147</v>
      </c>
      <c r="P623" s="16">
        <v>2.0</v>
      </c>
      <c r="Q623" s="16">
        <v>0.0</v>
      </c>
      <c r="R623" s="16">
        <v>0.0</v>
      </c>
      <c r="S623" s="16">
        <v>1.0</v>
      </c>
      <c r="T623" s="3" t="s">
        <v>5498</v>
      </c>
    </row>
    <row r="624">
      <c r="A624" s="3" t="s">
        <v>9384</v>
      </c>
      <c r="B624" s="3" t="s">
        <v>9015</v>
      </c>
      <c r="C624" s="17">
        <v>46330.54166666667</v>
      </c>
      <c r="D624" s="17">
        <v>46330.5625</v>
      </c>
      <c r="E624" s="25">
        <v>0.5</v>
      </c>
      <c r="F624" s="2"/>
      <c r="G624" s="2"/>
      <c r="H624" s="3" t="s">
        <v>8971</v>
      </c>
      <c r="I624" s="3" t="s">
        <v>9077</v>
      </c>
      <c r="J624" s="3" t="s">
        <v>6950</v>
      </c>
      <c r="K624" s="3" t="s">
        <v>8973</v>
      </c>
      <c r="L624" s="16">
        <v>3.0</v>
      </c>
      <c r="M624" s="3" t="s">
        <v>9016</v>
      </c>
      <c r="N624" s="3" t="s">
        <v>9016</v>
      </c>
      <c r="O624" s="3" t="s">
        <v>9017</v>
      </c>
      <c r="P624" s="16">
        <v>3.0</v>
      </c>
      <c r="Q624" s="16">
        <v>0.0</v>
      </c>
      <c r="R624" s="16">
        <v>0.0</v>
      </c>
      <c r="S624" s="16">
        <v>0.0</v>
      </c>
      <c r="T624" s="3" t="s">
        <v>1975</v>
      </c>
    </row>
    <row r="625">
      <c r="A625" s="3" t="s">
        <v>9336</v>
      </c>
      <c r="B625" s="3" t="s">
        <v>8080</v>
      </c>
      <c r="C625" s="17">
        <v>46331.39583333333</v>
      </c>
      <c r="D625" s="17">
        <v>46331.41666666667</v>
      </c>
      <c r="E625" s="25">
        <v>0.5</v>
      </c>
      <c r="F625" s="2"/>
      <c r="G625" s="3" t="s">
        <v>9337</v>
      </c>
      <c r="H625" s="3" t="s">
        <v>8971</v>
      </c>
      <c r="I625" s="3" t="s">
        <v>9077</v>
      </c>
      <c r="J625" s="3" t="s">
        <v>9206</v>
      </c>
      <c r="K625" s="3" t="s">
        <v>8973</v>
      </c>
      <c r="L625" s="16">
        <v>7.0</v>
      </c>
      <c r="M625" s="3" t="s">
        <v>9338</v>
      </c>
      <c r="N625" s="3" t="s">
        <v>9338</v>
      </c>
      <c r="O625" s="3" t="s">
        <v>9457</v>
      </c>
      <c r="P625" s="16">
        <v>5.0</v>
      </c>
      <c r="Q625" s="16">
        <v>0.0</v>
      </c>
      <c r="R625" s="16">
        <v>0.0</v>
      </c>
      <c r="S625" s="16">
        <v>2.0</v>
      </c>
      <c r="T625" s="3" t="s">
        <v>3028</v>
      </c>
    </row>
    <row r="626">
      <c r="A626" s="3" t="s">
        <v>9262</v>
      </c>
      <c r="B626" s="3" t="s">
        <v>9263</v>
      </c>
      <c r="C626" s="17">
        <v>46331.4375</v>
      </c>
      <c r="D626" s="17">
        <v>46331.45833333333</v>
      </c>
      <c r="E626" s="25">
        <v>0.5</v>
      </c>
      <c r="F626" s="2"/>
      <c r="G626" s="2"/>
      <c r="H626" s="3" t="s">
        <v>8971</v>
      </c>
      <c r="I626" s="3" t="s">
        <v>9077</v>
      </c>
      <c r="J626" s="3" t="s">
        <v>6950</v>
      </c>
      <c r="K626" s="3" t="s">
        <v>8973</v>
      </c>
      <c r="L626" s="16">
        <v>4.0</v>
      </c>
      <c r="M626" s="3" t="s">
        <v>9311</v>
      </c>
      <c r="N626" s="3" t="s">
        <v>9312</v>
      </c>
      <c r="O626" s="3" t="s">
        <v>9167</v>
      </c>
      <c r="P626" s="16">
        <v>4.0</v>
      </c>
      <c r="Q626" s="16">
        <v>0.0</v>
      </c>
      <c r="R626" s="16">
        <v>0.0</v>
      </c>
      <c r="S626" s="16">
        <v>0.0</v>
      </c>
      <c r="T626" s="3" t="s">
        <v>2672</v>
      </c>
    </row>
    <row r="627">
      <c r="A627" s="3" t="s">
        <v>9314</v>
      </c>
      <c r="B627" s="3" t="s">
        <v>9315</v>
      </c>
      <c r="C627" s="17">
        <v>46331.58333333333</v>
      </c>
      <c r="D627" s="17">
        <v>46331.60416666667</v>
      </c>
      <c r="E627" s="25">
        <v>0.5</v>
      </c>
      <c r="G627" s="2"/>
      <c r="H627" s="3" t="s">
        <v>8971</v>
      </c>
      <c r="I627" s="3" t="s">
        <v>9077</v>
      </c>
      <c r="J627" s="3" t="s">
        <v>6950</v>
      </c>
      <c r="K627" s="3" t="s">
        <v>8973</v>
      </c>
      <c r="L627" s="16">
        <v>6.0</v>
      </c>
      <c r="M627" s="3" t="s">
        <v>9316</v>
      </c>
      <c r="N627" s="3" t="s">
        <v>9316</v>
      </c>
      <c r="O627" s="3" t="s">
        <v>9397</v>
      </c>
      <c r="P627" s="16">
        <v>1.0</v>
      </c>
      <c r="Q627" s="16">
        <v>3.0</v>
      </c>
      <c r="R627" s="16">
        <v>0.0</v>
      </c>
      <c r="S627" s="16">
        <v>2.0</v>
      </c>
      <c r="T627" s="3" t="s">
        <v>5285</v>
      </c>
    </row>
    <row r="628">
      <c r="A628" s="3" t="s">
        <v>9320</v>
      </c>
      <c r="B628" s="3" t="s">
        <v>9196</v>
      </c>
      <c r="C628" s="17">
        <v>46332.39583333333</v>
      </c>
      <c r="D628" s="17">
        <v>46332.41666666667</v>
      </c>
      <c r="E628" s="25">
        <v>0.5</v>
      </c>
      <c r="F628" s="2"/>
      <c r="G628" s="3" t="s">
        <v>9197</v>
      </c>
      <c r="H628" s="3" t="s">
        <v>8971</v>
      </c>
      <c r="I628" s="3" t="s">
        <v>9077</v>
      </c>
      <c r="J628" s="3" t="s">
        <v>6950</v>
      </c>
      <c r="K628" s="3" t="s">
        <v>8973</v>
      </c>
      <c r="L628" s="16">
        <v>4.0</v>
      </c>
      <c r="M628" s="3" t="s">
        <v>9198</v>
      </c>
      <c r="N628" s="3" t="s">
        <v>9198</v>
      </c>
      <c r="O628" s="3" t="s">
        <v>9321</v>
      </c>
      <c r="P628" s="16">
        <v>2.0</v>
      </c>
      <c r="Q628" s="16">
        <v>1.0</v>
      </c>
      <c r="R628" s="16">
        <v>0.0</v>
      </c>
      <c r="S628" s="16">
        <v>1.0</v>
      </c>
      <c r="T628" s="3" t="s">
        <v>1969</v>
      </c>
    </row>
    <row r="629">
      <c r="A629" s="3" t="s">
        <v>9410</v>
      </c>
      <c r="B629" s="3" t="s">
        <v>7147</v>
      </c>
      <c r="C629" s="17">
        <v>46335.54166666667</v>
      </c>
      <c r="D629" s="17">
        <v>46335.5625</v>
      </c>
      <c r="E629" s="25">
        <v>0.5</v>
      </c>
      <c r="F629" s="13" t="s">
        <v>9411</v>
      </c>
      <c r="G629" s="3" t="s">
        <v>9412</v>
      </c>
      <c r="H629" s="3" t="s">
        <v>8971</v>
      </c>
      <c r="I629" s="3" t="s">
        <v>9094</v>
      </c>
      <c r="J629" s="3" t="s">
        <v>6853</v>
      </c>
      <c r="K629" s="3" t="s">
        <v>8973</v>
      </c>
      <c r="L629" s="16">
        <v>4.0</v>
      </c>
      <c r="M629" s="3" t="s">
        <v>9349</v>
      </c>
      <c r="N629" s="3" t="s">
        <v>9349</v>
      </c>
      <c r="O629" s="3" t="s">
        <v>9002</v>
      </c>
      <c r="P629" s="16">
        <v>1.0</v>
      </c>
      <c r="Q629" s="16">
        <v>0.0</v>
      </c>
      <c r="R629" s="16">
        <v>0.0</v>
      </c>
      <c r="S629" s="16">
        <v>3.0</v>
      </c>
      <c r="T629" s="3" t="s">
        <v>1725</v>
      </c>
    </row>
    <row r="630">
      <c r="A630" s="3" t="s">
        <v>9325</v>
      </c>
      <c r="B630" s="3" t="s">
        <v>9000</v>
      </c>
      <c r="C630" s="17">
        <v>46335.58333333333</v>
      </c>
      <c r="D630" s="17">
        <v>46335.60416666667</v>
      </c>
      <c r="E630" s="25">
        <v>0.5</v>
      </c>
      <c r="F630" s="2"/>
      <c r="G630" s="2"/>
      <c r="H630" s="3" t="s">
        <v>8971</v>
      </c>
      <c r="I630" s="3" t="s">
        <v>8972</v>
      </c>
      <c r="J630" s="3" t="s">
        <v>6950</v>
      </c>
      <c r="K630" s="3" t="s">
        <v>8973</v>
      </c>
      <c r="L630" s="16">
        <v>4.0</v>
      </c>
      <c r="M630" s="3" t="s">
        <v>9001</v>
      </c>
      <c r="N630" s="3" t="s">
        <v>9001</v>
      </c>
      <c r="O630" s="3" t="s">
        <v>9002</v>
      </c>
      <c r="P630" s="16">
        <v>1.0</v>
      </c>
      <c r="Q630" s="16">
        <v>0.0</v>
      </c>
      <c r="R630" s="16">
        <v>0.0</v>
      </c>
      <c r="S630" s="16">
        <v>3.0</v>
      </c>
      <c r="T630" s="3" t="s">
        <v>2594</v>
      </c>
    </row>
    <row r="631">
      <c r="A631" s="3" t="s">
        <v>9223</v>
      </c>
      <c r="B631" s="3" t="s">
        <v>8418</v>
      </c>
      <c r="C631" s="17">
        <v>46335.60416666667</v>
      </c>
      <c r="D631" s="17">
        <v>46335.625</v>
      </c>
      <c r="E631" s="25">
        <v>0.5</v>
      </c>
      <c r="F631" s="2"/>
      <c r="G631" s="3" t="s">
        <v>9304</v>
      </c>
      <c r="H631" s="3" t="s">
        <v>8971</v>
      </c>
      <c r="I631" s="3" t="s">
        <v>9094</v>
      </c>
      <c r="J631" s="3" t="s">
        <v>6853</v>
      </c>
      <c r="K631" s="3" t="s">
        <v>8973</v>
      </c>
      <c r="L631" s="16">
        <v>2.0</v>
      </c>
      <c r="M631" s="3" t="s">
        <v>9225</v>
      </c>
      <c r="N631" s="3" t="s">
        <v>9225</v>
      </c>
      <c r="O631" s="3" t="s">
        <v>9010</v>
      </c>
      <c r="P631" s="16">
        <v>0.0</v>
      </c>
      <c r="Q631" s="16">
        <v>0.0</v>
      </c>
      <c r="R631" s="16">
        <v>0.0</v>
      </c>
      <c r="S631" s="16">
        <v>2.0</v>
      </c>
      <c r="T631" s="3" t="s">
        <v>2868</v>
      </c>
    </row>
    <row r="632">
      <c r="A632" s="3" t="s">
        <v>9307</v>
      </c>
      <c r="B632" s="3" t="s">
        <v>9137</v>
      </c>
      <c r="C632" s="17">
        <v>46336.5</v>
      </c>
      <c r="D632" s="17">
        <v>46336.52083333333</v>
      </c>
      <c r="E632" s="25">
        <v>0.5</v>
      </c>
      <c r="G632" s="3" t="s">
        <v>9138</v>
      </c>
      <c r="H632" s="3" t="s">
        <v>8971</v>
      </c>
      <c r="I632" s="3" t="s">
        <v>9077</v>
      </c>
      <c r="J632" s="3" t="s">
        <v>6950</v>
      </c>
      <c r="K632" s="3" t="s">
        <v>8973</v>
      </c>
      <c r="L632" s="16">
        <v>3.0</v>
      </c>
      <c r="M632" s="3" t="s">
        <v>9140</v>
      </c>
      <c r="N632" s="3" t="s">
        <v>9141</v>
      </c>
      <c r="O632" s="3" t="s">
        <v>9308</v>
      </c>
      <c r="P632" s="16">
        <v>2.0</v>
      </c>
      <c r="Q632" s="16">
        <v>0.0</v>
      </c>
      <c r="R632" s="16">
        <v>1.0</v>
      </c>
      <c r="S632" s="16">
        <v>0.0</v>
      </c>
      <c r="T632" s="3" t="s">
        <v>4466</v>
      </c>
    </row>
    <row r="633">
      <c r="A633" s="3" t="s">
        <v>9326</v>
      </c>
      <c r="B633" s="3" t="s">
        <v>8991</v>
      </c>
      <c r="C633" s="17">
        <v>46336.54166666667</v>
      </c>
      <c r="D633" s="17">
        <v>46336.5625</v>
      </c>
      <c r="E633" s="25">
        <v>0.5</v>
      </c>
      <c r="F633" s="2"/>
      <c r="G633" s="3" t="s">
        <v>8992</v>
      </c>
      <c r="H633" s="3" t="s">
        <v>8971</v>
      </c>
      <c r="I633" s="3" t="s">
        <v>9077</v>
      </c>
      <c r="J633" s="3" t="s">
        <v>6950</v>
      </c>
      <c r="K633" s="3" t="s">
        <v>8973</v>
      </c>
      <c r="L633" s="16">
        <v>4.0</v>
      </c>
      <c r="M633" s="3" t="s">
        <v>8993</v>
      </c>
      <c r="N633" s="3" t="s">
        <v>8993</v>
      </c>
      <c r="O633" s="3" t="s">
        <v>9204</v>
      </c>
      <c r="P633" s="16">
        <v>3.0</v>
      </c>
      <c r="Q633" s="16">
        <v>0.0</v>
      </c>
      <c r="R633" s="16">
        <v>0.0</v>
      </c>
      <c r="S633" s="16">
        <v>1.0</v>
      </c>
      <c r="T633" s="3" t="s">
        <v>861</v>
      </c>
    </row>
    <row r="634">
      <c r="A634" s="3" t="s">
        <v>9309</v>
      </c>
      <c r="B634" s="3" t="s">
        <v>6844</v>
      </c>
      <c r="C634" s="17">
        <v>46336.5625</v>
      </c>
      <c r="D634" s="17">
        <v>46336.58333333333</v>
      </c>
      <c r="E634" s="25">
        <v>0.5</v>
      </c>
      <c r="F634" s="2"/>
      <c r="G634" s="2"/>
      <c r="H634" s="3" t="s">
        <v>8971</v>
      </c>
      <c r="I634" s="3" t="s">
        <v>9094</v>
      </c>
      <c r="J634" s="3" t="s">
        <v>6853</v>
      </c>
      <c r="K634" s="3" t="s">
        <v>8973</v>
      </c>
      <c r="L634" s="16">
        <v>2.0</v>
      </c>
      <c r="M634" s="3" t="s">
        <v>9310</v>
      </c>
      <c r="N634" s="3" t="s">
        <v>9310</v>
      </c>
      <c r="O634" s="3" t="s">
        <v>9043</v>
      </c>
      <c r="P634" s="16">
        <v>1.0</v>
      </c>
      <c r="Q634" s="16">
        <v>0.0</v>
      </c>
      <c r="R634" s="16">
        <v>0.0</v>
      </c>
      <c r="S634" s="16">
        <v>1.0</v>
      </c>
      <c r="T634" s="3" t="s">
        <v>2616</v>
      </c>
    </row>
    <row r="635">
      <c r="A635" s="3" t="s">
        <v>9334</v>
      </c>
      <c r="B635" s="3" t="s">
        <v>9026</v>
      </c>
      <c r="C635" s="17">
        <v>46338.33333333333</v>
      </c>
      <c r="D635" s="17">
        <v>46338.35416666667</v>
      </c>
      <c r="E635" s="25">
        <v>0.5</v>
      </c>
      <c r="F635" s="2"/>
      <c r="G635" s="2"/>
      <c r="H635" s="3" t="s">
        <v>8971</v>
      </c>
      <c r="I635" s="3" t="s">
        <v>9077</v>
      </c>
      <c r="J635" s="3" t="s">
        <v>6950</v>
      </c>
      <c r="K635" s="3" t="s">
        <v>8973</v>
      </c>
      <c r="L635" s="16">
        <v>4.0</v>
      </c>
      <c r="M635" s="3" t="s">
        <v>9027</v>
      </c>
      <c r="N635" s="3" t="s">
        <v>9027</v>
      </c>
      <c r="O635" s="3" t="s">
        <v>9335</v>
      </c>
      <c r="P635" s="16">
        <v>2.0</v>
      </c>
      <c r="Q635" s="16">
        <v>0.0</v>
      </c>
      <c r="R635" s="16">
        <v>0.0</v>
      </c>
      <c r="S635" s="16">
        <v>2.0</v>
      </c>
      <c r="T635" s="3" t="s">
        <v>5681</v>
      </c>
    </row>
    <row r="636">
      <c r="A636" s="3" t="s">
        <v>9468</v>
      </c>
      <c r="B636" s="3" t="s">
        <v>9012</v>
      </c>
      <c r="C636" s="17">
        <v>46338.35416666667</v>
      </c>
      <c r="D636" s="17">
        <v>46338.58333333333</v>
      </c>
      <c r="E636" s="25">
        <v>5.5</v>
      </c>
      <c r="F636" s="2"/>
      <c r="G636" s="3" t="s">
        <v>9013</v>
      </c>
      <c r="H636" s="3" t="s">
        <v>8971</v>
      </c>
      <c r="I636" s="3" t="s">
        <v>9006</v>
      </c>
      <c r="J636" s="3" t="s">
        <v>9007</v>
      </c>
      <c r="K636" s="3" t="s">
        <v>8973</v>
      </c>
      <c r="L636" s="16">
        <v>2.0</v>
      </c>
      <c r="M636" s="3" t="s">
        <v>9008</v>
      </c>
      <c r="N636" s="3" t="s">
        <v>9009</v>
      </c>
      <c r="O636" s="3" t="s">
        <v>9010</v>
      </c>
      <c r="P636" s="16">
        <v>0.0</v>
      </c>
      <c r="Q636" s="16">
        <v>0.0</v>
      </c>
      <c r="R636" s="16">
        <v>0.0</v>
      </c>
      <c r="S636" s="16">
        <v>2.0</v>
      </c>
      <c r="T636" s="2"/>
    </row>
    <row r="637">
      <c r="A637" s="3" t="s">
        <v>9458</v>
      </c>
      <c r="B637" s="3" t="s">
        <v>9022</v>
      </c>
      <c r="C637" s="17">
        <v>46338.4375</v>
      </c>
      <c r="D637" s="17">
        <v>46338.45833333333</v>
      </c>
      <c r="E637" s="25">
        <v>0.5</v>
      </c>
      <c r="F637" s="2"/>
      <c r="G637" s="2"/>
      <c r="H637" s="3" t="s">
        <v>8971</v>
      </c>
      <c r="I637" s="3" t="s">
        <v>9077</v>
      </c>
      <c r="J637" s="3" t="s">
        <v>6950</v>
      </c>
      <c r="K637" s="3" t="s">
        <v>8973</v>
      </c>
      <c r="L637" s="16">
        <v>2.0</v>
      </c>
      <c r="M637" s="3" t="s">
        <v>9023</v>
      </c>
      <c r="N637" s="3" t="s">
        <v>9023</v>
      </c>
      <c r="O637" s="3" t="s">
        <v>9024</v>
      </c>
      <c r="P637" s="16">
        <v>2.0</v>
      </c>
      <c r="Q637" s="16">
        <v>0.0</v>
      </c>
      <c r="R637" s="16">
        <v>0.0</v>
      </c>
      <c r="S637" s="16">
        <v>0.0</v>
      </c>
      <c r="T637" s="3" t="s">
        <v>5396</v>
      </c>
    </row>
    <row r="638">
      <c r="A638" s="3" t="s">
        <v>9340</v>
      </c>
      <c r="B638" s="3" t="s">
        <v>9176</v>
      </c>
      <c r="C638" s="17">
        <v>46338.47916666667</v>
      </c>
      <c r="D638" s="17">
        <v>46338.5</v>
      </c>
      <c r="E638" s="25">
        <v>0.5</v>
      </c>
      <c r="F638" s="2"/>
      <c r="G638" s="2"/>
      <c r="H638" s="3" t="s">
        <v>8971</v>
      </c>
      <c r="I638" s="3" t="s">
        <v>9077</v>
      </c>
      <c r="J638" s="3" t="s">
        <v>6950</v>
      </c>
      <c r="K638" s="3" t="s">
        <v>8973</v>
      </c>
      <c r="L638" s="16">
        <v>5.0</v>
      </c>
      <c r="M638" s="3" t="s">
        <v>9341</v>
      </c>
      <c r="N638" s="3" t="s">
        <v>9341</v>
      </c>
      <c r="O638" s="3" t="s">
        <v>9342</v>
      </c>
      <c r="P638" s="16">
        <v>4.0</v>
      </c>
      <c r="Q638" s="16">
        <v>0.0</v>
      </c>
      <c r="R638" s="16">
        <v>0.0</v>
      </c>
      <c r="S638" s="16">
        <v>1.0</v>
      </c>
      <c r="T638" s="2"/>
    </row>
    <row r="639">
      <c r="A639" s="3" t="s">
        <v>9459</v>
      </c>
      <c r="B639" s="3" t="s">
        <v>9460</v>
      </c>
      <c r="C639" s="17">
        <v>46338.5</v>
      </c>
      <c r="D639" s="17">
        <v>46338.52083333333</v>
      </c>
      <c r="E639" s="25">
        <v>0.5</v>
      </c>
      <c r="G639" s="2"/>
      <c r="H639" s="3" t="s">
        <v>8971</v>
      </c>
      <c r="I639" s="3" t="s">
        <v>9094</v>
      </c>
      <c r="J639" s="3" t="s">
        <v>6853</v>
      </c>
      <c r="K639" s="3" t="s">
        <v>8973</v>
      </c>
      <c r="L639" s="16">
        <v>1.0</v>
      </c>
      <c r="M639" s="3" t="s">
        <v>8912</v>
      </c>
      <c r="N639" s="3" t="s">
        <v>8912</v>
      </c>
      <c r="O639" s="3" t="s">
        <v>9077</v>
      </c>
      <c r="P639" s="16">
        <v>1.0</v>
      </c>
      <c r="Q639" s="16">
        <v>0.0</v>
      </c>
      <c r="R639" s="16">
        <v>0.0</v>
      </c>
      <c r="S639" s="16">
        <v>0.0</v>
      </c>
      <c r="T639" s="3" t="s">
        <v>1195</v>
      </c>
    </row>
    <row r="640">
      <c r="A640" s="3" t="s">
        <v>9441</v>
      </c>
      <c r="B640" s="3" t="s">
        <v>7840</v>
      </c>
      <c r="C640" s="17">
        <v>46342.58333333333</v>
      </c>
      <c r="D640" s="17">
        <v>46342.60416666667</v>
      </c>
      <c r="E640" s="25">
        <v>0.5</v>
      </c>
      <c r="G640" s="2"/>
      <c r="H640" s="3" t="s">
        <v>8971</v>
      </c>
      <c r="I640" s="3" t="s">
        <v>9094</v>
      </c>
      <c r="J640" s="3" t="s">
        <v>6853</v>
      </c>
      <c r="K640" s="3" t="s">
        <v>8973</v>
      </c>
      <c r="L640" s="16">
        <v>4.0</v>
      </c>
      <c r="M640" s="3" t="s">
        <v>9166</v>
      </c>
      <c r="N640" s="3" t="s">
        <v>9166</v>
      </c>
      <c r="O640" s="3" t="s">
        <v>9002</v>
      </c>
      <c r="P640" s="16">
        <v>1.0</v>
      </c>
      <c r="Q640" s="16">
        <v>0.0</v>
      </c>
      <c r="R640" s="16">
        <v>0.0</v>
      </c>
      <c r="S640" s="16">
        <v>3.0</v>
      </c>
      <c r="T640" s="3" t="s">
        <v>5544</v>
      </c>
    </row>
    <row r="641">
      <c r="A641" s="3" t="s">
        <v>9223</v>
      </c>
      <c r="B641" s="3" t="s">
        <v>8418</v>
      </c>
      <c r="C641" s="17">
        <v>46342.60416666667</v>
      </c>
      <c r="D641" s="17">
        <v>46342.625</v>
      </c>
      <c r="E641" s="25">
        <v>0.5</v>
      </c>
      <c r="F641" s="2"/>
      <c r="G641" s="3" t="s">
        <v>9304</v>
      </c>
      <c r="H641" s="3" t="s">
        <v>8971</v>
      </c>
      <c r="I641" s="3" t="s">
        <v>9094</v>
      </c>
      <c r="J641" s="3" t="s">
        <v>6853</v>
      </c>
      <c r="K641" s="3" t="s">
        <v>8973</v>
      </c>
      <c r="L641" s="16">
        <v>2.0</v>
      </c>
      <c r="M641" s="3" t="s">
        <v>9225</v>
      </c>
      <c r="N641" s="3" t="s">
        <v>9225</v>
      </c>
      <c r="O641" s="3" t="s">
        <v>9010</v>
      </c>
      <c r="P641" s="16">
        <v>0.0</v>
      </c>
      <c r="Q641" s="16">
        <v>0.0</v>
      </c>
      <c r="R641" s="16">
        <v>0.0</v>
      </c>
      <c r="S641" s="16">
        <v>2.0</v>
      </c>
      <c r="T641" s="3" t="s">
        <v>2868</v>
      </c>
    </row>
    <row r="642">
      <c r="A642" s="3" t="s">
        <v>9307</v>
      </c>
      <c r="B642" s="3" t="s">
        <v>9137</v>
      </c>
      <c r="C642" s="17">
        <v>46343.5</v>
      </c>
      <c r="D642" s="17">
        <v>46343.52083333333</v>
      </c>
      <c r="E642" s="25">
        <v>0.5</v>
      </c>
      <c r="F642" s="2"/>
      <c r="G642" s="3" t="s">
        <v>9138</v>
      </c>
      <c r="H642" s="3" t="s">
        <v>8971</v>
      </c>
      <c r="I642" s="3" t="s">
        <v>9077</v>
      </c>
      <c r="J642" s="3" t="s">
        <v>6950</v>
      </c>
      <c r="K642" s="3" t="s">
        <v>8973</v>
      </c>
      <c r="L642" s="16">
        <v>3.0</v>
      </c>
      <c r="M642" s="3" t="s">
        <v>9140</v>
      </c>
      <c r="N642" s="3" t="s">
        <v>9141</v>
      </c>
      <c r="O642" s="3" t="s">
        <v>9308</v>
      </c>
      <c r="P642" s="16">
        <v>2.0</v>
      </c>
      <c r="Q642" s="16">
        <v>0.0</v>
      </c>
      <c r="R642" s="16">
        <v>1.0</v>
      </c>
      <c r="S642" s="16">
        <v>0.0</v>
      </c>
      <c r="T642" s="3" t="s">
        <v>4466</v>
      </c>
    </row>
    <row r="643">
      <c r="A643" s="3" t="s">
        <v>9309</v>
      </c>
      <c r="B643" s="3" t="s">
        <v>6844</v>
      </c>
      <c r="C643" s="17">
        <v>46343.5625</v>
      </c>
      <c r="D643" s="17">
        <v>46343.58333333333</v>
      </c>
      <c r="E643" s="25">
        <v>0.5</v>
      </c>
      <c r="G643" s="2"/>
      <c r="H643" s="3" t="s">
        <v>8971</v>
      </c>
      <c r="I643" s="3" t="s">
        <v>9094</v>
      </c>
      <c r="J643" s="3" t="s">
        <v>6853</v>
      </c>
      <c r="K643" s="3" t="s">
        <v>8973</v>
      </c>
      <c r="L643" s="16">
        <v>2.0</v>
      </c>
      <c r="M643" s="3" t="s">
        <v>9310</v>
      </c>
      <c r="N643" s="3" t="s">
        <v>9310</v>
      </c>
      <c r="O643" s="3" t="s">
        <v>9043</v>
      </c>
      <c r="P643" s="16">
        <v>1.0</v>
      </c>
      <c r="Q643" s="16">
        <v>0.0</v>
      </c>
      <c r="R643" s="16">
        <v>0.0</v>
      </c>
      <c r="S643" s="16">
        <v>1.0</v>
      </c>
      <c r="T643" s="3" t="s">
        <v>2616</v>
      </c>
    </row>
    <row r="644">
      <c r="A644" s="3" t="s">
        <v>9442</v>
      </c>
      <c r="B644" s="3" t="s">
        <v>8969</v>
      </c>
      <c r="C644" s="17">
        <v>46343.58333333333</v>
      </c>
      <c r="D644" s="17">
        <v>46343.60416666667</v>
      </c>
      <c r="E644" s="25">
        <v>0.5</v>
      </c>
      <c r="G644" s="3" t="s">
        <v>8970</v>
      </c>
      <c r="H644" s="3" t="s">
        <v>8971</v>
      </c>
      <c r="I644" s="3" t="s">
        <v>9094</v>
      </c>
      <c r="J644" s="3" t="s">
        <v>6853</v>
      </c>
      <c r="K644" s="3" t="s">
        <v>8973</v>
      </c>
      <c r="L644" s="16">
        <v>3.0</v>
      </c>
      <c r="M644" s="3" t="s">
        <v>9436</v>
      </c>
      <c r="N644" s="3" t="s">
        <v>9436</v>
      </c>
      <c r="O644" s="3" t="s">
        <v>9147</v>
      </c>
      <c r="P644" s="16">
        <v>2.0</v>
      </c>
      <c r="Q644" s="16">
        <v>0.0</v>
      </c>
      <c r="R644" s="16">
        <v>0.0</v>
      </c>
      <c r="S644" s="16">
        <v>1.0</v>
      </c>
      <c r="T644" s="3" t="s">
        <v>5498</v>
      </c>
    </row>
    <row r="645">
      <c r="A645" s="3" t="s">
        <v>9384</v>
      </c>
      <c r="B645" s="3" t="s">
        <v>9015</v>
      </c>
      <c r="C645" s="17">
        <v>46344.54166666667</v>
      </c>
      <c r="D645" s="17">
        <v>46344.5625</v>
      </c>
      <c r="E645" s="25">
        <v>0.5</v>
      </c>
      <c r="F645" s="2"/>
      <c r="G645" s="2"/>
      <c r="H645" s="3" t="s">
        <v>8971</v>
      </c>
      <c r="I645" s="3" t="s">
        <v>9077</v>
      </c>
      <c r="J645" s="3" t="s">
        <v>6950</v>
      </c>
      <c r="K645" s="3" t="s">
        <v>8973</v>
      </c>
      <c r="L645" s="16">
        <v>3.0</v>
      </c>
      <c r="M645" s="3" t="s">
        <v>9016</v>
      </c>
      <c r="N645" s="3" t="s">
        <v>9016</v>
      </c>
      <c r="O645" s="3" t="s">
        <v>9017</v>
      </c>
      <c r="P645" s="16">
        <v>3.0</v>
      </c>
      <c r="Q645" s="16">
        <v>0.0</v>
      </c>
      <c r="R645" s="16">
        <v>0.0</v>
      </c>
      <c r="S645" s="16">
        <v>0.0</v>
      </c>
      <c r="T645" s="3" t="s">
        <v>1975</v>
      </c>
    </row>
    <row r="646">
      <c r="A646" s="3" t="s">
        <v>9467</v>
      </c>
      <c r="B646" s="3" t="s">
        <v>9004</v>
      </c>
      <c r="C646" s="17">
        <v>46345.3125</v>
      </c>
      <c r="D646" s="17">
        <v>46345.35416666667</v>
      </c>
      <c r="E646" s="25">
        <v>1.0</v>
      </c>
      <c r="F646" s="3" t="s">
        <v>9005</v>
      </c>
      <c r="G646" s="2"/>
      <c r="H646" s="3" t="s">
        <v>8971</v>
      </c>
      <c r="I646" s="3" t="s">
        <v>9006</v>
      </c>
      <c r="J646" s="3" t="s">
        <v>9007</v>
      </c>
      <c r="K646" s="3" t="s">
        <v>8973</v>
      </c>
      <c r="L646" s="16">
        <v>2.0</v>
      </c>
      <c r="M646" s="3" t="s">
        <v>9008</v>
      </c>
      <c r="N646" s="3" t="s">
        <v>9009</v>
      </c>
      <c r="O646" s="3" t="s">
        <v>9010</v>
      </c>
      <c r="P646" s="16">
        <v>0.0</v>
      </c>
      <c r="Q646" s="16">
        <v>0.0</v>
      </c>
      <c r="R646" s="16">
        <v>0.0</v>
      </c>
      <c r="S646" s="16">
        <v>2.0</v>
      </c>
      <c r="T646" s="2"/>
    </row>
    <row r="647">
      <c r="A647" s="3" t="s">
        <v>9262</v>
      </c>
      <c r="B647" s="3" t="s">
        <v>9263</v>
      </c>
      <c r="C647" s="17">
        <v>46345.4375</v>
      </c>
      <c r="D647" s="17">
        <v>46345.45833333333</v>
      </c>
      <c r="E647" s="25">
        <v>0.5</v>
      </c>
      <c r="F647" s="2"/>
      <c r="G647" s="2"/>
      <c r="H647" s="3" t="s">
        <v>8971</v>
      </c>
      <c r="I647" s="3" t="s">
        <v>9077</v>
      </c>
      <c r="J647" s="3" t="s">
        <v>6950</v>
      </c>
      <c r="K647" s="3" t="s">
        <v>8973</v>
      </c>
      <c r="L647" s="16">
        <v>4.0</v>
      </c>
      <c r="M647" s="3" t="s">
        <v>9311</v>
      </c>
      <c r="N647" s="3" t="s">
        <v>9312</v>
      </c>
      <c r="O647" s="3" t="s">
        <v>9167</v>
      </c>
      <c r="P647" s="16">
        <v>4.0</v>
      </c>
      <c r="Q647" s="16">
        <v>0.0</v>
      </c>
      <c r="R647" s="16">
        <v>0.0</v>
      </c>
      <c r="S647" s="16">
        <v>0.0</v>
      </c>
      <c r="T647" s="3" t="s">
        <v>2672</v>
      </c>
    </row>
    <row r="648">
      <c r="A648" s="3" t="s">
        <v>9314</v>
      </c>
      <c r="B648" s="3" t="s">
        <v>9315</v>
      </c>
      <c r="C648" s="17">
        <v>46345.58333333333</v>
      </c>
      <c r="D648" s="17">
        <v>46345.60416666667</v>
      </c>
      <c r="E648" s="25">
        <v>0.5</v>
      </c>
      <c r="G648" s="2"/>
      <c r="H648" s="3" t="s">
        <v>8971</v>
      </c>
      <c r="I648" s="3" t="s">
        <v>9077</v>
      </c>
      <c r="J648" s="3" t="s">
        <v>6950</v>
      </c>
      <c r="K648" s="3" t="s">
        <v>8973</v>
      </c>
      <c r="L648" s="16">
        <v>6.0</v>
      </c>
      <c r="M648" s="3" t="s">
        <v>9316</v>
      </c>
      <c r="N648" s="3" t="s">
        <v>9316</v>
      </c>
      <c r="O648" s="3" t="s">
        <v>9397</v>
      </c>
      <c r="P648" s="16">
        <v>1.0</v>
      </c>
      <c r="Q648" s="16">
        <v>3.0</v>
      </c>
      <c r="R648" s="16">
        <v>0.0</v>
      </c>
      <c r="S648" s="16">
        <v>2.0</v>
      </c>
      <c r="T648" s="3" t="s">
        <v>5285</v>
      </c>
    </row>
    <row r="649">
      <c r="A649" s="3" t="s">
        <v>9280</v>
      </c>
      <c r="B649" s="3" t="s">
        <v>9281</v>
      </c>
      <c r="C649" s="17">
        <v>46345.70833333333</v>
      </c>
      <c r="D649" s="17">
        <v>46345.72916666667</v>
      </c>
      <c r="E649" s="25">
        <v>0.5</v>
      </c>
      <c r="G649" s="3" t="s">
        <v>9282</v>
      </c>
      <c r="H649" s="3" t="s">
        <v>8971</v>
      </c>
      <c r="I649" s="3" t="s">
        <v>9077</v>
      </c>
      <c r="J649" s="3" t="s">
        <v>9283</v>
      </c>
      <c r="K649" s="3" t="s">
        <v>8973</v>
      </c>
      <c r="L649" s="16">
        <v>15.0</v>
      </c>
      <c r="M649" s="3" t="s">
        <v>9284</v>
      </c>
      <c r="N649" s="3" t="s">
        <v>9285</v>
      </c>
      <c r="O649" s="3" t="s">
        <v>9404</v>
      </c>
      <c r="P649" s="16">
        <v>9.0</v>
      </c>
      <c r="Q649" s="16">
        <v>0.0</v>
      </c>
      <c r="R649" s="16">
        <v>1.0</v>
      </c>
      <c r="S649" s="16">
        <v>5.0</v>
      </c>
      <c r="T649" s="3" t="s">
        <v>2922</v>
      </c>
    </row>
    <row r="650">
      <c r="A650" s="3" t="s">
        <v>9405</v>
      </c>
      <c r="B650" s="3" t="s">
        <v>9406</v>
      </c>
      <c r="C650" s="17">
        <v>46346.41666666667</v>
      </c>
      <c r="D650" s="17">
        <v>46346.4375</v>
      </c>
      <c r="E650" s="25">
        <v>0.5</v>
      </c>
      <c r="F650" s="2"/>
      <c r="G650" s="2"/>
      <c r="H650" s="3" t="s">
        <v>8971</v>
      </c>
      <c r="I650" s="3" t="s">
        <v>9077</v>
      </c>
      <c r="J650" s="3" t="s">
        <v>6950</v>
      </c>
      <c r="K650" s="3" t="s">
        <v>8973</v>
      </c>
      <c r="L650" s="16">
        <v>5.0</v>
      </c>
      <c r="M650" s="3" t="s">
        <v>9484</v>
      </c>
      <c r="N650" s="3" t="s">
        <v>9484</v>
      </c>
      <c r="O650" s="3" t="s">
        <v>9342</v>
      </c>
      <c r="P650" s="16">
        <v>4.0</v>
      </c>
      <c r="Q650" s="16">
        <v>0.0</v>
      </c>
      <c r="R650" s="16">
        <v>0.0</v>
      </c>
      <c r="S650" s="16">
        <v>1.0</v>
      </c>
      <c r="T650" s="3" t="s">
        <v>5721</v>
      </c>
    </row>
    <row r="651">
      <c r="A651" s="3" t="s">
        <v>9410</v>
      </c>
      <c r="B651" s="3" t="s">
        <v>7147</v>
      </c>
      <c r="C651" s="17">
        <v>46349.54166666667</v>
      </c>
      <c r="D651" s="17">
        <v>46349.5625</v>
      </c>
      <c r="E651" s="25">
        <v>0.5</v>
      </c>
      <c r="F651" s="13" t="s">
        <v>9411</v>
      </c>
      <c r="G651" s="3" t="s">
        <v>9412</v>
      </c>
      <c r="H651" s="3" t="s">
        <v>8971</v>
      </c>
      <c r="I651" s="3" t="s">
        <v>9094</v>
      </c>
      <c r="J651" s="3" t="s">
        <v>6853</v>
      </c>
      <c r="K651" s="3" t="s">
        <v>8973</v>
      </c>
      <c r="L651" s="16">
        <v>4.0</v>
      </c>
      <c r="M651" s="3" t="s">
        <v>9349</v>
      </c>
      <c r="N651" s="3" t="s">
        <v>9349</v>
      </c>
      <c r="O651" s="3" t="s">
        <v>9002</v>
      </c>
      <c r="P651" s="16">
        <v>1.0</v>
      </c>
      <c r="Q651" s="16">
        <v>0.0</v>
      </c>
      <c r="R651" s="16">
        <v>0.0</v>
      </c>
      <c r="S651" s="16">
        <v>3.0</v>
      </c>
      <c r="T651" s="3" t="s">
        <v>1725</v>
      </c>
    </row>
    <row r="652">
      <c r="A652" s="3" t="s">
        <v>9325</v>
      </c>
      <c r="B652" s="3" t="s">
        <v>9000</v>
      </c>
      <c r="C652" s="17">
        <v>46349.58333333333</v>
      </c>
      <c r="D652" s="17">
        <v>46349.60416666667</v>
      </c>
      <c r="E652" s="25">
        <v>0.5</v>
      </c>
      <c r="G652" s="2"/>
      <c r="H652" s="3" t="s">
        <v>8971</v>
      </c>
      <c r="I652" s="3" t="s">
        <v>8972</v>
      </c>
      <c r="J652" s="3" t="s">
        <v>6950</v>
      </c>
      <c r="K652" s="3" t="s">
        <v>8973</v>
      </c>
      <c r="L652" s="16">
        <v>4.0</v>
      </c>
      <c r="M652" s="3" t="s">
        <v>9001</v>
      </c>
      <c r="N652" s="3" t="s">
        <v>9001</v>
      </c>
      <c r="O652" s="3" t="s">
        <v>9002</v>
      </c>
      <c r="P652" s="16">
        <v>1.0</v>
      </c>
      <c r="Q652" s="16">
        <v>0.0</v>
      </c>
      <c r="R652" s="16">
        <v>0.0</v>
      </c>
      <c r="S652" s="16">
        <v>3.0</v>
      </c>
      <c r="T652" s="3" t="s">
        <v>2594</v>
      </c>
    </row>
    <row r="653">
      <c r="A653" s="3" t="s">
        <v>9223</v>
      </c>
      <c r="B653" s="3" t="s">
        <v>8418</v>
      </c>
      <c r="C653" s="17">
        <v>46349.60416666667</v>
      </c>
      <c r="D653" s="17">
        <v>46349.625</v>
      </c>
      <c r="E653" s="25">
        <v>0.5</v>
      </c>
      <c r="F653" s="2"/>
      <c r="G653" s="3" t="s">
        <v>9304</v>
      </c>
      <c r="H653" s="3" t="s">
        <v>8971</v>
      </c>
      <c r="I653" s="3" t="s">
        <v>9094</v>
      </c>
      <c r="J653" s="3" t="s">
        <v>6853</v>
      </c>
      <c r="K653" s="3" t="s">
        <v>8973</v>
      </c>
      <c r="L653" s="16">
        <v>2.0</v>
      </c>
      <c r="M653" s="3" t="s">
        <v>9225</v>
      </c>
      <c r="N653" s="3" t="s">
        <v>9225</v>
      </c>
      <c r="O653" s="3" t="s">
        <v>9010</v>
      </c>
      <c r="P653" s="16">
        <v>0.0</v>
      </c>
      <c r="Q653" s="16">
        <v>0.0</v>
      </c>
      <c r="R653" s="16">
        <v>0.0</v>
      </c>
      <c r="S653" s="16">
        <v>2.0</v>
      </c>
      <c r="T653" s="3" t="s">
        <v>2868</v>
      </c>
    </row>
    <row r="654">
      <c r="A654" s="3" t="s">
        <v>9416</v>
      </c>
      <c r="B654" s="3" t="s">
        <v>9417</v>
      </c>
      <c r="C654" s="17">
        <v>46350.45833333333</v>
      </c>
      <c r="D654" s="17">
        <v>46350.47916666667</v>
      </c>
      <c r="E654" s="25">
        <v>0.5</v>
      </c>
      <c r="G654" s="3" t="s">
        <v>9418</v>
      </c>
      <c r="H654" s="3" t="s">
        <v>8971</v>
      </c>
      <c r="I654" s="3" t="s">
        <v>9094</v>
      </c>
      <c r="J654" s="3" t="s">
        <v>6853</v>
      </c>
      <c r="K654" s="3" t="s">
        <v>8973</v>
      </c>
      <c r="L654" s="16">
        <v>5.0</v>
      </c>
      <c r="M654" s="3" t="s">
        <v>9480</v>
      </c>
      <c r="N654" s="3" t="s">
        <v>9480</v>
      </c>
      <c r="O654" s="3" t="s">
        <v>9432</v>
      </c>
      <c r="P654" s="16">
        <v>0.0</v>
      </c>
      <c r="Q654" s="16">
        <v>0.0</v>
      </c>
      <c r="R654" s="16">
        <v>0.0</v>
      </c>
      <c r="S654" s="16">
        <v>5.0</v>
      </c>
      <c r="T654" s="3" t="s">
        <v>5602</v>
      </c>
    </row>
    <row r="655">
      <c r="A655" s="3" t="s">
        <v>9307</v>
      </c>
      <c r="B655" s="3" t="s">
        <v>9137</v>
      </c>
      <c r="C655" s="17">
        <v>46350.5</v>
      </c>
      <c r="D655" s="17">
        <v>46350.52083333333</v>
      </c>
      <c r="E655" s="25">
        <v>0.5</v>
      </c>
      <c r="G655" s="3" t="s">
        <v>9138</v>
      </c>
      <c r="H655" s="3" t="s">
        <v>8971</v>
      </c>
      <c r="I655" s="3" t="s">
        <v>9077</v>
      </c>
      <c r="J655" s="3" t="s">
        <v>6950</v>
      </c>
      <c r="K655" s="3" t="s">
        <v>8973</v>
      </c>
      <c r="L655" s="16">
        <v>3.0</v>
      </c>
      <c r="M655" s="3" t="s">
        <v>9140</v>
      </c>
      <c r="N655" s="3" t="s">
        <v>9141</v>
      </c>
      <c r="O655" s="3" t="s">
        <v>9308</v>
      </c>
      <c r="P655" s="16">
        <v>2.0</v>
      </c>
      <c r="Q655" s="16">
        <v>0.0</v>
      </c>
      <c r="R655" s="16">
        <v>1.0</v>
      </c>
      <c r="S655" s="16">
        <v>0.0</v>
      </c>
      <c r="T655" s="3" t="s">
        <v>4466</v>
      </c>
    </row>
    <row r="656">
      <c r="A656" s="3" t="s">
        <v>9309</v>
      </c>
      <c r="B656" s="3" t="s">
        <v>6844</v>
      </c>
      <c r="C656" s="17">
        <v>46350.5625</v>
      </c>
      <c r="D656" s="17">
        <v>46350.58333333333</v>
      </c>
      <c r="E656" s="25">
        <v>0.5</v>
      </c>
      <c r="F656" s="2"/>
      <c r="G656" s="2"/>
      <c r="H656" s="3" t="s">
        <v>8971</v>
      </c>
      <c r="I656" s="3" t="s">
        <v>9094</v>
      </c>
      <c r="J656" s="3" t="s">
        <v>6853</v>
      </c>
      <c r="K656" s="3" t="s">
        <v>8973</v>
      </c>
      <c r="L656" s="16">
        <v>2.0</v>
      </c>
      <c r="M656" s="3" t="s">
        <v>9310</v>
      </c>
      <c r="N656" s="3" t="s">
        <v>9310</v>
      </c>
      <c r="O656" s="3" t="s">
        <v>9043</v>
      </c>
      <c r="P656" s="16">
        <v>1.0</v>
      </c>
      <c r="Q656" s="16">
        <v>0.0</v>
      </c>
      <c r="R656" s="16">
        <v>0.0</v>
      </c>
      <c r="S656" s="16">
        <v>1.0</v>
      </c>
      <c r="T656" s="3" t="s">
        <v>2616</v>
      </c>
    </row>
    <row r="657">
      <c r="A657" s="3" t="s">
        <v>9421</v>
      </c>
      <c r="B657" s="3" t="s">
        <v>9422</v>
      </c>
      <c r="C657" s="17">
        <v>46352.35416666667</v>
      </c>
      <c r="D657" s="17">
        <v>46352.375</v>
      </c>
      <c r="E657" s="25">
        <v>0.5</v>
      </c>
      <c r="F657" s="2"/>
      <c r="G657" s="2"/>
      <c r="H657" s="3" t="s">
        <v>8971</v>
      </c>
      <c r="I657" s="3" t="s">
        <v>9077</v>
      </c>
      <c r="J657" s="3" t="s">
        <v>6950</v>
      </c>
      <c r="K657" s="3" t="s">
        <v>8973</v>
      </c>
      <c r="L657" s="16">
        <v>4.0</v>
      </c>
      <c r="M657" s="3" t="s">
        <v>9423</v>
      </c>
      <c r="N657" s="3" t="s">
        <v>9423</v>
      </c>
      <c r="O657" s="3" t="s">
        <v>9002</v>
      </c>
      <c r="P657" s="16">
        <v>1.0</v>
      </c>
      <c r="Q657" s="16">
        <v>0.0</v>
      </c>
      <c r="R657" s="16">
        <v>0.0</v>
      </c>
      <c r="S657" s="16">
        <v>3.0</v>
      </c>
      <c r="T657" s="3" t="s">
        <v>693</v>
      </c>
    </row>
    <row r="658">
      <c r="A658" s="3" t="s">
        <v>9481</v>
      </c>
      <c r="B658" s="3" t="s">
        <v>7310</v>
      </c>
      <c r="C658" s="17">
        <v>46352.41666666667</v>
      </c>
      <c r="D658" s="17">
        <v>46352.4375</v>
      </c>
      <c r="E658" s="25">
        <v>0.5</v>
      </c>
      <c r="F658" s="2"/>
      <c r="G658" s="3" t="s">
        <v>9482</v>
      </c>
      <c r="H658" s="3" t="s">
        <v>8971</v>
      </c>
      <c r="I658" s="3" t="s">
        <v>9094</v>
      </c>
      <c r="J658" s="3" t="s">
        <v>6853</v>
      </c>
      <c r="K658" s="3" t="s">
        <v>8973</v>
      </c>
      <c r="L658" s="16">
        <v>3.0</v>
      </c>
      <c r="M658" s="3" t="s">
        <v>9483</v>
      </c>
      <c r="N658" s="3" t="s">
        <v>9483</v>
      </c>
      <c r="O658" s="3" t="s">
        <v>9147</v>
      </c>
      <c r="P658" s="16">
        <v>2.0</v>
      </c>
      <c r="Q658" s="16">
        <v>0.0</v>
      </c>
      <c r="R658" s="16">
        <v>0.0</v>
      </c>
      <c r="S658" s="16">
        <v>1.0</v>
      </c>
      <c r="T658" s="3" t="s">
        <v>5815</v>
      </c>
    </row>
    <row r="659">
      <c r="A659" s="3" t="s">
        <v>9340</v>
      </c>
      <c r="B659" s="3" t="s">
        <v>9176</v>
      </c>
      <c r="C659" s="17">
        <v>46352.47916666667</v>
      </c>
      <c r="D659" s="17">
        <v>46352.5</v>
      </c>
      <c r="E659" s="25">
        <v>0.5</v>
      </c>
      <c r="F659" s="2"/>
      <c r="G659" s="2"/>
      <c r="H659" s="3" t="s">
        <v>8971</v>
      </c>
      <c r="I659" s="3" t="s">
        <v>9077</v>
      </c>
      <c r="J659" s="3" t="s">
        <v>6950</v>
      </c>
      <c r="K659" s="3" t="s">
        <v>8973</v>
      </c>
      <c r="L659" s="16">
        <v>5.0</v>
      </c>
      <c r="M659" s="3" t="s">
        <v>9341</v>
      </c>
      <c r="N659" s="3" t="s">
        <v>9341</v>
      </c>
      <c r="O659" s="3" t="s">
        <v>9342</v>
      </c>
      <c r="P659" s="16">
        <v>4.0</v>
      </c>
      <c r="Q659" s="16">
        <v>0.0</v>
      </c>
      <c r="R659" s="16">
        <v>0.0</v>
      </c>
      <c r="S659" s="16">
        <v>1.0</v>
      </c>
      <c r="T659" s="2"/>
    </row>
    <row r="660">
      <c r="A660" s="3" t="s">
        <v>9459</v>
      </c>
      <c r="B660" s="3" t="s">
        <v>9460</v>
      </c>
      <c r="C660" s="17">
        <v>46352.5</v>
      </c>
      <c r="D660" s="17">
        <v>46352.52083333333</v>
      </c>
      <c r="E660" s="25">
        <v>0.5</v>
      </c>
      <c r="G660" s="2"/>
      <c r="H660" s="3" t="s">
        <v>8971</v>
      </c>
      <c r="I660" s="3" t="s">
        <v>9094</v>
      </c>
      <c r="J660" s="3" t="s">
        <v>6853</v>
      </c>
      <c r="K660" s="3" t="s">
        <v>8973</v>
      </c>
      <c r="L660" s="16">
        <v>1.0</v>
      </c>
      <c r="M660" s="3" t="s">
        <v>8912</v>
      </c>
      <c r="N660" s="3" t="s">
        <v>8912</v>
      </c>
      <c r="O660" s="3" t="s">
        <v>9077</v>
      </c>
      <c r="P660" s="16">
        <v>1.0</v>
      </c>
      <c r="Q660" s="16">
        <v>0.0</v>
      </c>
      <c r="R660" s="16">
        <v>0.0</v>
      </c>
      <c r="S660" s="16">
        <v>0.0</v>
      </c>
      <c r="T660" s="3" t="s">
        <v>1195</v>
      </c>
    </row>
    <row r="661">
      <c r="A661" s="3" t="s">
        <v>9443</v>
      </c>
      <c r="B661" s="3" t="s">
        <v>8085</v>
      </c>
      <c r="C661" s="17">
        <v>46353.54166666667</v>
      </c>
      <c r="D661" s="17">
        <v>46353.5625</v>
      </c>
      <c r="E661" s="25">
        <v>0.5</v>
      </c>
      <c r="G661" s="2"/>
      <c r="H661" s="3" t="s">
        <v>8971</v>
      </c>
      <c r="I661" s="3" t="s">
        <v>9077</v>
      </c>
      <c r="J661" s="3" t="s">
        <v>9206</v>
      </c>
      <c r="K661" s="3" t="s">
        <v>8973</v>
      </c>
      <c r="L661" s="16">
        <v>5.0</v>
      </c>
      <c r="M661" s="3" t="s">
        <v>9207</v>
      </c>
      <c r="N661" s="3" t="s">
        <v>9208</v>
      </c>
      <c r="O661" s="3" t="s">
        <v>9444</v>
      </c>
      <c r="P661" s="16">
        <v>4.0</v>
      </c>
      <c r="Q661" s="16">
        <v>1.0</v>
      </c>
      <c r="R661" s="16">
        <v>0.0</v>
      </c>
      <c r="S661" s="16">
        <v>0.0</v>
      </c>
      <c r="T661" s="3" t="s">
        <v>453</v>
      </c>
    </row>
    <row r="662">
      <c r="A662" s="3" t="s">
        <v>9437</v>
      </c>
      <c r="B662" s="3" t="s">
        <v>9438</v>
      </c>
      <c r="C662" s="17">
        <v>46356.5625</v>
      </c>
      <c r="D662" s="17">
        <v>46356.58333333333</v>
      </c>
      <c r="E662" s="25">
        <v>0.5</v>
      </c>
      <c r="G662" s="2"/>
      <c r="H662" s="3" t="s">
        <v>8971</v>
      </c>
      <c r="I662" s="3" t="s">
        <v>9006</v>
      </c>
      <c r="J662" s="3" t="s">
        <v>6950</v>
      </c>
      <c r="K662" s="3" t="s">
        <v>8973</v>
      </c>
      <c r="L662" s="16">
        <v>4.0</v>
      </c>
      <c r="M662" s="3" t="s">
        <v>9439</v>
      </c>
      <c r="N662" s="3" t="s">
        <v>9439</v>
      </c>
      <c r="O662" s="3" t="s">
        <v>9440</v>
      </c>
      <c r="P662" s="16">
        <v>2.0</v>
      </c>
      <c r="Q662" s="16">
        <v>0.0</v>
      </c>
      <c r="R662" s="16">
        <v>0.0</v>
      </c>
      <c r="S662" s="16">
        <v>2.0</v>
      </c>
      <c r="T662" s="3" t="s">
        <v>3616</v>
      </c>
    </row>
    <row r="663">
      <c r="A663" s="3" t="s">
        <v>9441</v>
      </c>
      <c r="B663" s="3" t="s">
        <v>7840</v>
      </c>
      <c r="C663" s="17">
        <v>46356.58333333333</v>
      </c>
      <c r="D663" s="17">
        <v>46356.60416666667</v>
      </c>
      <c r="E663" s="25">
        <v>0.5</v>
      </c>
      <c r="G663" s="2"/>
      <c r="H663" s="3" t="s">
        <v>8971</v>
      </c>
      <c r="I663" s="3" t="s">
        <v>9094</v>
      </c>
      <c r="J663" s="3" t="s">
        <v>6853</v>
      </c>
      <c r="K663" s="3" t="s">
        <v>8973</v>
      </c>
      <c r="L663" s="16">
        <v>4.0</v>
      </c>
      <c r="M663" s="3" t="s">
        <v>9166</v>
      </c>
      <c r="N663" s="3" t="s">
        <v>9166</v>
      </c>
      <c r="O663" s="3" t="s">
        <v>9002</v>
      </c>
      <c r="P663" s="16">
        <v>1.0</v>
      </c>
      <c r="Q663" s="16">
        <v>0.0</v>
      </c>
      <c r="R663" s="16">
        <v>0.0</v>
      </c>
      <c r="S663" s="16">
        <v>3.0</v>
      </c>
      <c r="T663" s="3" t="s">
        <v>5544</v>
      </c>
    </row>
    <row r="664">
      <c r="A664" s="3" t="s">
        <v>9223</v>
      </c>
      <c r="B664" s="3" t="s">
        <v>8418</v>
      </c>
      <c r="C664" s="17">
        <v>46356.60416666667</v>
      </c>
      <c r="D664" s="17">
        <v>46356.625</v>
      </c>
      <c r="E664" s="25">
        <v>0.5</v>
      </c>
      <c r="G664" s="3" t="s">
        <v>9304</v>
      </c>
      <c r="H664" s="3" t="s">
        <v>8971</v>
      </c>
      <c r="I664" s="3" t="s">
        <v>9094</v>
      </c>
      <c r="J664" s="3" t="s">
        <v>6853</v>
      </c>
      <c r="K664" s="3" t="s">
        <v>8973</v>
      </c>
      <c r="L664" s="16">
        <v>2.0</v>
      </c>
      <c r="M664" s="3" t="s">
        <v>9225</v>
      </c>
      <c r="N664" s="3" t="s">
        <v>9225</v>
      </c>
      <c r="O664" s="3" t="s">
        <v>9010</v>
      </c>
      <c r="P664" s="16">
        <v>0.0</v>
      </c>
      <c r="Q664" s="16">
        <v>0.0</v>
      </c>
      <c r="R664" s="16">
        <v>0.0</v>
      </c>
      <c r="S664" s="16">
        <v>2.0</v>
      </c>
      <c r="T664" s="3" t="s">
        <v>2868</v>
      </c>
    </row>
    <row r="665">
      <c r="A665" s="3" t="s">
        <v>9307</v>
      </c>
      <c r="B665" s="3" t="s">
        <v>9137</v>
      </c>
      <c r="C665" s="17">
        <v>46357.5</v>
      </c>
      <c r="D665" s="17">
        <v>46357.52083333333</v>
      </c>
      <c r="E665" s="25">
        <v>0.5</v>
      </c>
      <c r="F665" s="2"/>
      <c r="G665" s="3" t="s">
        <v>9138</v>
      </c>
      <c r="H665" s="3" t="s">
        <v>8971</v>
      </c>
      <c r="I665" s="3" t="s">
        <v>9077</v>
      </c>
      <c r="J665" s="3" t="s">
        <v>6950</v>
      </c>
      <c r="K665" s="3" t="s">
        <v>8973</v>
      </c>
      <c r="L665" s="16">
        <v>3.0</v>
      </c>
      <c r="M665" s="3" t="s">
        <v>9140</v>
      </c>
      <c r="N665" s="3" t="s">
        <v>9141</v>
      </c>
      <c r="O665" s="3" t="s">
        <v>9308</v>
      </c>
      <c r="P665" s="16">
        <v>2.0</v>
      </c>
      <c r="Q665" s="16">
        <v>0.0</v>
      </c>
      <c r="R665" s="16">
        <v>1.0</v>
      </c>
      <c r="S665" s="16">
        <v>0.0</v>
      </c>
      <c r="T665" s="3" t="s">
        <v>4466</v>
      </c>
    </row>
    <row r="666">
      <c r="A666" s="3" t="s">
        <v>9309</v>
      </c>
      <c r="B666" s="3" t="s">
        <v>6844</v>
      </c>
      <c r="C666" s="17">
        <v>46357.5625</v>
      </c>
      <c r="D666" s="17">
        <v>46357.58333333333</v>
      </c>
      <c r="E666" s="25">
        <v>0.5</v>
      </c>
      <c r="F666" s="2"/>
      <c r="G666" s="2"/>
      <c r="H666" s="3" t="s">
        <v>8971</v>
      </c>
      <c r="I666" s="3" t="s">
        <v>9094</v>
      </c>
      <c r="J666" s="3" t="s">
        <v>6853</v>
      </c>
      <c r="K666" s="3" t="s">
        <v>8973</v>
      </c>
      <c r="L666" s="16">
        <v>2.0</v>
      </c>
      <c r="M666" s="3" t="s">
        <v>9310</v>
      </c>
      <c r="N666" s="3" t="s">
        <v>9310</v>
      </c>
      <c r="O666" s="3" t="s">
        <v>9043</v>
      </c>
      <c r="P666" s="16">
        <v>1.0</v>
      </c>
      <c r="Q666" s="16">
        <v>0.0</v>
      </c>
      <c r="R666" s="16">
        <v>0.0</v>
      </c>
      <c r="S666" s="16">
        <v>1.0</v>
      </c>
      <c r="T666" s="3" t="s">
        <v>2616</v>
      </c>
    </row>
    <row r="667">
      <c r="A667" s="3" t="s">
        <v>9453</v>
      </c>
      <c r="B667" s="3" t="s">
        <v>9454</v>
      </c>
      <c r="C667" s="17">
        <v>46357.58333333333</v>
      </c>
      <c r="D667" s="17">
        <v>46357.60416666667</v>
      </c>
      <c r="E667" s="25">
        <v>0.5</v>
      </c>
      <c r="G667" s="3" t="s">
        <v>9455</v>
      </c>
      <c r="H667" s="3" t="s">
        <v>8971</v>
      </c>
      <c r="I667" s="3" t="s">
        <v>9077</v>
      </c>
      <c r="J667" s="3" t="s">
        <v>6950</v>
      </c>
      <c r="K667" s="3" t="s">
        <v>8973</v>
      </c>
      <c r="L667" s="16">
        <v>9.0</v>
      </c>
      <c r="M667" s="3" t="s">
        <v>8982</v>
      </c>
      <c r="N667" s="3" t="s">
        <v>8983</v>
      </c>
      <c r="O667" s="3" t="s">
        <v>9456</v>
      </c>
      <c r="P667" s="16">
        <v>2.0</v>
      </c>
      <c r="Q667" s="16">
        <v>0.0</v>
      </c>
      <c r="R667" s="16">
        <v>1.0</v>
      </c>
      <c r="S667" s="16">
        <v>6.0</v>
      </c>
      <c r="T667" s="3" t="s">
        <v>2109</v>
      </c>
    </row>
    <row r="668">
      <c r="A668" s="3" t="s">
        <v>9442</v>
      </c>
      <c r="B668" s="3" t="s">
        <v>8969</v>
      </c>
      <c r="C668" s="17">
        <v>46357.58333333333</v>
      </c>
      <c r="D668" s="17">
        <v>46357.60416666667</v>
      </c>
      <c r="E668" s="25">
        <v>0.5</v>
      </c>
      <c r="G668" s="3" t="s">
        <v>8970</v>
      </c>
      <c r="H668" s="3" t="s">
        <v>8971</v>
      </c>
      <c r="I668" s="3" t="s">
        <v>9094</v>
      </c>
      <c r="J668" s="3" t="s">
        <v>6853</v>
      </c>
      <c r="K668" s="3" t="s">
        <v>8973</v>
      </c>
      <c r="L668" s="16">
        <v>3.0</v>
      </c>
      <c r="M668" s="3" t="s">
        <v>9436</v>
      </c>
      <c r="N668" s="3" t="s">
        <v>9436</v>
      </c>
      <c r="O668" s="3" t="s">
        <v>9147</v>
      </c>
      <c r="P668" s="16">
        <v>2.0</v>
      </c>
      <c r="Q668" s="16">
        <v>0.0</v>
      </c>
      <c r="R668" s="16">
        <v>0.0</v>
      </c>
      <c r="S668" s="16">
        <v>1.0</v>
      </c>
      <c r="T668" s="3" t="s">
        <v>5498</v>
      </c>
    </row>
    <row r="669">
      <c r="A669" s="3" t="s">
        <v>9384</v>
      </c>
      <c r="B669" s="3" t="s">
        <v>9015</v>
      </c>
      <c r="C669" s="17">
        <v>46358.54166666667</v>
      </c>
      <c r="D669" s="17">
        <v>46358.5625</v>
      </c>
      <c r="E669" s="25">
        <v>0.5</v>
      </c>
      <c r="F669" s="2"/>
      <c r="G669" s="2"/>
      <c r="H669" s="3" t="s">
        <v>8971</v>
      </c>
      <c r="I669" s="3" t="s">
        <v>9077</v>
      </c>
      <c r="J669" s="3" t="s">
        <v>6950</v>
      </c>
      <c r="K669" s="3" t="s">
        <v>8973</v>
      </c>
      <c r="L669" s="16">
        <v>3.0</v>
      </c>
      <c r="M669" s="3" t="s">
        <v>9016</v>
      </c>
      <c r="N669" s="3" t="s">
        <v>9016</v>
      </c>
      <c r="O669" s="3" t="s">
        <v>9017</v>
      </c>
      <c r="P669" s="16">
        <v>3.0</v>
      </c>
      <c r="Q669" s="16">
        <v>0.0</v>
      </c>
      <c r="R669" s="16">
        <v>0.0</v>
      </c>
      <c r="S669" s="16">
        <v>0.0</v>
      </c>
      <c r="T669" s="3" t="s">
        <v>1975</v>
      </c>
    </row>
    <row r="670">
      <c r="A670" s="3" t="s">
        <v>9336</v>
      </c>
      <c r="B670" s="3" t="s">
        <v>8080</v>
      </c>
      <c r="C670" s="17">
        <v>46359.39583333333</v>
      </c>
      <c r="D670" s="17">
        <v>46359.41666666667</v>
      </c>
      <c r="E670" s="25">
        <v>0.5</v>
      </c>
      <c r="F670" s="2"/>
      <c r="G670" s="3" t="s">
        <v>9337</v>
      </c>
      <c r="H670" s="3" t="s">
        <v>8971</v>
      </c>
      <c r="I670" s="3" t="s">
        <v>9077</v>
      </c>
      <c r="J670" s="3" t="s">
        <v>9206</v>
      </c>
      <c r="K670" s="3" t="s">
        <v>8973</v>
      </c>
      <c r="L670" s="16">
        <v>7.0</v>
      </c>
      <c r="M670" s="3" t="s">
        <v>9338</v>
      </c>
      <c r="N670" s="3" t="s">
        <v>9338</v>
      </c>
      <c r="O670" s="3" t="s">
        <v>9457</v>
      </c>
      <c r="P670" s="16">
        <v>5.0</v>
      </c>
      <c r="Q670" s="16">
        <v>0.0</v>
      </c>
      <c r="R670" s="16">
        <v>0.0</v>
      </c>
      <c r="S670" s="16">
        <v>2.0</v>
      </c>
      <c r="T670" s="3" t="s">
        <v>3028</v>
      </c>
    </row>
    <row r="671">
      <c r="A671" s="3" t="s">
        <v>9262</v>
      </c>
      <c r="B671" s="3" t="s">
        <v>9263</v>
      </c>
      <c r="C671" s="17">
        <v>46359.4375</v>
      </c>
      <c r="D671" s="17">
        <v>46359.45833333333</v>
      </c>
      <c r="E671" s="25">
        <v>0.5</v>
      </c>
      <c r="F671" s="2"/>
      <c r="G671" s="2"/>
      <c r="H671" s="3" t="s">
        <v>8971</v>
      </c>
      <c r="I671" s="3" t="s">
        <v>9077</v>
      </c>
      <c r="J671" s="3" t="s">
        <v>6950</v>
      </c>
      <c r="K671" s="3" t="s">
        <v>8973</v>
      </c>
      <c r="L671" s="16">
        <v>4.0</v>
      </c>
      <c r="M671" s="3" t="s">
        <v>9311</v>
      </c>
      <c r="N671" s="3" t="s">
        <v>9312</v>
      </c>
      <c r="O671" s="3" t="s">
        <v>9167</v>
      </c>
      <c r="P671" s="16">
        <v>4.0</v>
      </c>
      <c r="Q671" s="16">
        <v>0.0</v>
      </c>
      <c r="R671" s="16">
        <v>0.0</v>
      </c>
      <c r="S671" s="16">
        <v>0.0</v>
      </c>
      <c r="T671" s="3" t="s">
        <v>2672</v>
      </c>
    </row>
    <row r="672">
      <c r="A672" s="3" t="s">
        <v>9314</v>
      </c>
      <c r="B672" s="3" t="s">
        <v>9315</v>
      </c>
      <c r="C672" s="17">
        <v>46359.58333333333</v>
      </c>
      <c r="D672" s="17">
        <v>46359.60416666667</v>
      </c>
      <c r="E672" s="25">
        <v>0.5</v>
      </c>
      <c r="G672" s="2"/>
      <c r="H672" s="3" t="s">
        <v>8971</v>
      </c>
      <c r="I672" s="3" t="s">
        <v>9077</v>
      </c>
      <c r="J672" s="3" t="s">
        <v>6950</v>
      </c>
      <c r="K672" s="3" t="s">
        <v>8973</v>
      </c>
      <c r="L672" s="16">
        <v>6.0</v>
      </c>
      <c r="M672" s="3" t="s">
        <v>9316</v>
      </c>
      <c r="N672" s="3" t="s">
        <v>9316</v>
      </c>
      <c r="O672" s="3" t="s">
        <v>9397</v>
      </c>
      <c r="P672" s="16">
        <v>1.0</v>
      </c>
      <c r="Q672" s="16">
        <v>3.0</v>
      </c>
      <c r="R672" s="16">
        <v>0.0</v>
      </c>
      <c r="S672" s="16">
        <v>2.0</v>
      </c>
      <c r="T672" s="3" t="s">
        <v>5285</v>
      </c>
    </row>
    <row r="673">
      <c r="A673" s="3" t="s">
        <v>9320</v>
      </c>
      <c r="B673" s="3" t="s">
        <v>9196</v>
      </c>
      <c r="C673" s="17">
        <v>46360.39583333333</v>
      </c>
      <c r="D673" s="17">
        <v>46360.41666666667</v>
      </c>
      <c r="E673" s="25">
        <v>0.5</v>
      </c>
      <c r="F673" s="2"/>
      <c r="G673" s="3" t="s">
        <v>9197</v>
      </c>
      <c r="H673" s="3" t="s">
        <v>8971</v>
      </c>
      <c r="I673" s="3" t="s">
        <v>9077</v>
      </c>
      <c r="J673" s="3" t="s">
        <v>6950</v>
      </c>
      <c r="K673" s="3" t="s">
        <v>8973</v>
      </c>
      <c r="L673" s="16">
        <v>4.0</v>
      </c>
      <c r="M673" s="3" t="s">
        <v>9198</v>
      </c>
      <c r="N673" s="3" t="s">
        <v>9198</v>
      </c>
      <c r="O673" s="3" t="s">
        <v>9321</v>
      </c>
      <c r="P673" s="16">
        <v>2.0</v>
      </c>
      <c r="Q673" s="16">
        <v>1.0</v>
      </c>
      <c r="R673" s="16">
        <v>0.0</v>
      </c>
      <c r="S673" s="16">
        <v>1.0</v>
      </c>
      <c r="T673" s="3" t="s">
        <v>1969</v>
      </c>
    </row>
    <row r="674">
      <c r="A674" s="3" t="s">
        <v>9410</v>
      </c>
      <c r="B674" s="3" t="s">
        <v>7147</v>
      </c>
      <c r="C674" s="17">
        <v>46363.54166666667</v>
      </c>
      <c r="D674" s="17">
        <v>46363.5625</v>
      </c>
      <c r="E674" s="25">
        <v>0.5</v>
      </c>
      <c r="F674" s="13" t="s">
        <v>9411</v>
      </c>
      <c r="G674" s="3" t="s">
        <v>9412</v>
      </c>
      <c r="H674" s="3" t="s">
        <v>8971</v>
      </c>
      <c r="I674" s="3" t="s">
        <v>9094</v>
      </c>
      <c r="J674" s="3" t="s">
        <v>6853</v>
      </c>
      <c r="K674" s="3" t="s">
        <v>8973</v>
      </c>
      <c r="L674" s="16">
        <v>4.0</v>
      </c>
      <c r="M674" s="3" t="s">
        <v>9349</v>
      </c>
      <c r="N674" s="3" t="s">
        <v>9349</v>
      </c>
      <c r="O674" s="3" t="s">
        <v>9002</v>
      </c>
      <c r="P674" s="16">
        <v>1.0</v>
      </c>
      <c r="Q674" s="16">
        <v>0.0</v>
      </c>
      <c r="R674" s="16">
        <v>0.0</v>
      </c>
      <c r="S674" s="16">
        <v>3.0</v>
      </c>
      <c r="T674" s="3" t="s">
        <v>1725</v>
      </c>
    </row>
    <row r="675">
      <c r="A675" s="3" t="s">
        <v>9325</v>
      </c>
      <c r="B675" s="3" t="s">
        <v>9000</v>
      </c>
      <c r="C675" s="17">
        <v>46363.58333333333</v>
      </c>
      <c r="D675" s="17">
        <v>46363.60416666667</v>
      </c>
      <c r="E675" s="25">
        <v>0.5</v>
      </c>
      <c r="F675" s="2"/>
      <c r="G675" s="2"/>
      <c r="H675" s="3" t="s">
        <v>8971</v>
      </c>
      <c r="I675" s="3" t="s">
        <v>8972</v>
      </c>
      <c r="J675" s="3" t="s">
        <v>6950</v>
      </c>
      <c r="K675" s="3" t="s">
        <v>8973</v>
      </c>
      <c r="L675" s="16">
        <v>4.0</v>
      </c>
      <c r="M675" s="3" t="s">
        <v>9001</v>
      </c>
      <c r="N675" s="3" t="s">
        <v>9001</v>
      </c>
      <c r="O675" s="3" t="s">
        <v>9002</v>
      </c>
      <c r="P675" s="16">
        <v>1.0</v>
      </c>
      <c r="Q675" s="16">
        <v>0.0</v>
      </c>
      <c r="R675" s="16">
        <v>0.0</v>
      </c>
      <c r="S675" s="16">
        <v>3.0</v>
      </c>
      <c r="T675" s="3" t="s">
        <v>2594</v>
      </c>
    </row>
    <row r="676">
      <c r="A676" s="3" t="s">
        <v>9223</v>
      </c>
      <c r="B676" s="3" t="s">
        <v>8418</v>
      </c>
      <c r="C676" s="17">
        <v>46363.60416666667</v>
      </c>
      <c r="D676" s="17">
        <v>46363.625</v>
      </c>
      <c r="E676" s="25">
        <v>0.5</v>
      </c>
      <c r="F676" s="2"/>
      <c r="G676" s="3" t="s">
        <v>9304</v>
      </c>
      <c r="H676" s="3" t="s">
        <v>8971</v>
      </c>
      <c r="I676" s="3" t="s">
        <v>9094</v>
      </c>
      <c r="J676" s="3" t="s">
        <v>6853</v>
      </c>
      <c r="K676" s="3" t="s">
        <v>8973</v>
      </c>
      <c r="L676" s="16">
        <v>2.0</v>
      </c>
      <c r="M676" s="3" t="s">
        <v>9225</v>
      </c>
      <c r="N676" s="3" t="s">
        <v>9225</v>
      </c>
      <c r="O676" s="3" t="s">
        <v>9010</v>
      </c>
      <c r="P676" s="16">
        <v>0.0</v>
      </c>
      <c r="Q676" s="16">
        <v>0.0</v>
      </c>
      <c r="R676" s="16">
        <v>0.0</v>
      </c>
      <c r="S676" s="16">
        <v>2.0</v>
      </c>
      <c r="T676" s="3" t="s">
        <v>2868</v>
      </c>
    </row>
    <row r="677">
      <c r="A677" s="3" t="s">
        <v>9307</v>
      </c>
      <c r="B677" s="3" t="s">
        <v>9137</v>
      </c>
      <c r="C677" s="17">
        <v>46364.5</v>
      </c>
      <c r="D677" s="17">
        <v>46364.52083333333</v>
      </c>
      <c r="E677" s="25">
        <v>0.5</v>
      </c>
      <c r="F677" s="2"/>
      <c r="G677" s="3" t="s">
        <v>9138</v>
      </c>
      <c r="H677" s="3" t="s">
        <v>8971</v>
      </c>
      <c r="I677" s="3" t="s">
        <v>9077</v>
      </c>
      <c r="J677" s="3" t="s">
        <v>6950</v>
      </c>
      <c r="K677" s="3" t="s">
        <v>8973</v>
      </c>
      <c r="L677" s="16">
        <v>3.0</v>
      </c>
      <c r="M677" s="3" t="s">
        <v>9140</v>
      </c>
      <c r="N677" s="3" t="s">
        <v>9141</v>
      </c>
      <c r="O677" s="3" t="s">
        <v>9308</v>
      </c>
      <c r="P677" s="16">
        <v>2.0</v>
      </c>
      <c r="Q677" s="16">
        <v>0.0</v>
      </c>
      <c r="R677" s="16">
        <v>1.0</v>
      </c>
      <c r="S677" s="16">
        <v>0.0</v>
      </c>
      <c r="T677" s="3" t="s">
        <v>4466</v>
      </c>
    </row>
    <row r="678">
      <c r="A678" s="3" t="s">
        <v>9326</v>
      </c>
      <c r="B678" s="3" t="s">
        <v>8991</v>
      </c>
      <c r="C678" s="17">
        <v>46364.54166666667</v>
      </c>
      <c r="D678" s="17">
        <v>46364.5625</v>
      </c>
      <c r="E678" s="25">
        <v>0.5</v>
      </c>
      <c r="F678" s="2"/>
      <c r="G678" s="3" t="s">
        <v>8992</v>
      </c>
      <c r="H678" s="3" t="s">
        <v>8971</v>
      </c>
      <c r="I678" s="3" t="s">
        <v>9077</v>
      </c>
      <c r="J678" s="3" t="s">
        <v>6950</v>
      </c>
      <c r="K678" s="3" t="s">
        <v>8973</v>
      </c>
      <c r="L678" s="16">
        <v>4.0</v>
      </c>
      <c r="M678" s="3" t="s">
        <v>8993</v>
      </c>
      <c r="N678" s="3" t="s">
        <v>8993</v>
      </c>
      <c r="O678" s="3" t="s">
        <v>9204</v>
      </c>
      <c r="P678" s="16">
        <v>3.0</v>
      </c>
      <c r="Q678" s="16">
        <v>0.0</v>
      </c>
      <c r="R678" s="16">
        <v>0.0</v>
      </c>
      <c r="S678" s="16">
        <v>1.0</v>
      </c>
      <c r="T678" s="3" t="s">
        <v>861</v>
      </c>
    </row>
    <row r="679">
      <c r="A679" s="3" t="s">
        <v>9309</v>
      </c>
      <c r="B679" s="3" t="s">
        <v>6844</v>
      </c>
      <c r="C679" s="17">
        <v>46364.5625</v>
      </c>
      <c r="D679" s="17">
        <v>46364.58333333333</v>
      </c>
      <c r="E679" s="25">
        <v>0.5</v>
      </c>
      <c r="G679" s="2"/>
      <c r="H679" s="3" t="s">
        <v>8971</v>
      </c>
      <c r="I679" s="3" t="s">
        <v>9094</v>
      </c>
      <c r="J679" s="3" t="s">
        <v>6853</v>
      </c>
      <c r="K679" s="3" t="s">
        <v>8973</v>
      </c>
      <c r="L679" s="16">
        <v>2.0</v>
      </c>
      <c r="M679" s="3" t="s">
        <v>9310</v>
      </c>
      <c r="N679" s="3" t="s">
        <v>9310</v>
      </c>
      <c r="O679" s="3" t="s">
        <v>9043</v>
      </c>
      <c r="P679" s="16">
        <v>1.0</v>
      </c>
      <c r="Q679" s="16">
        <v>0.0</v>
      </c>
      <c r="R679" s="16">
        <v>0.0</v>
      </c>
      <c r="S679" s="16">
        <v>1.0</v>
      </c>
      <c r="T679" s="3" t="s">
        <v>2616</v>
      </c>
    </row>
    <row r="680">
      <c r="A680" s="3" t="s">
        <v>9334</v>
      </c>
      <c r="B680" s="3" t="s">
        <v>9026</v>
      </c>
      <c r="C680" s="17">
        <v>46366.33333333333</v>
      </c>
      <c r="D680" s="17">
        <v>46366.35416666667</v>
      </c>
      <c r="E680" s="25">
        <v>0.5</v>
      </c>
      <c r="G680" s="2"/>
      <c r="H680" s="3" t="s">
        <v>8971</v>
      </c>
      <c r="I680" s="3" t="s">
        <v>9077</v>
      </c>
      <c r="J680" s="3" t="s">
        <v>6950</v>
      </c>
      <c r="K680" s="3" t="s">
        <v>8973</v>
      </c>
      <c r="L680" s="16">
        <v>4.0</v>
      </c>
      <c r="M680" s="3" t="s">
        <v>9027</v>
      </c>
      <c r="N680" s="3" t="s">
        <v>9027</v>
      </c>
      <c r="O680" s="3" t="s">
        <v>9335</v>
      </c>
      <c r="P680" s="16">
        <v>2.0</v>
      </c>
      <c r="Q680" s="16">
        <v>0.0</v>
      </c>
      <c r="R680" s="16">
        <v>0.0</v>
      </c>
      <c r="S680" s="16">
        <v>2.0</v>
      </c>
      <c r="T680" s="3" t="s">
        <v>5681</v>
      </c>
    </row>
    <row r="681">
      <c r="A681" s="3" t="s">
        <v>9458</v>
      </c>
      <c r="B681" s="3" t="s">
        <v>9022</v>
      </c>
      <c r="C681" s="17">
        <v>46366.4375</v>
      </c>
      <c r="D681" s="17">
        <v>46366.45833333333</v>
      </c>
      <c r="E681" s="25">
        <v>0.5</v>
      </c>
      <c r="G681" s="2"/>
      <c r="H681" s="3" t="s">
        <v>8971</v>
      </c>
      <c r="I681" s="3" t="s">
        <v>9077</v>
      </c>
      <c r="J681" s="3" t="s">
        <v>6950</v>
      </c>
      <c r="K681" s="3" t="s">
        <v>8973</v>
      </c>
      <c r="L681" s="16">
        <v>2.0</v>
      </c>
      <c r="M681" s="3" t="s">
        <v>9023</v>
      </c>
      <c r="N681" s="3" t="s">
        <v>9023</v>
      </c>
      <c r="O681" s="3" t="s">
        <v>9024</v>
      </c>
      <c r="P681" s="16">
        <v>2.0</v>
      </c>
      <c r="Q681" s="16">
        <v>0.0</v>
      </c>
      <c r="R681" s="16">
        <v>0.0</v>
      </c>
      <c r="S681" s="16">
        <v>0.0</v>
      </c>
      <c r="T681" s="3" t="s">
        <v>5396</v>
      </c>
    </row>
    <row r="682">
      <c r="A682" s="3" t="s">
        <v>9340</v>
      </c>
      <c r="B682" s="3" t="s">
        <v>9176</v>
      </c>
      <c r="C682" s="17">
        <v>46366.47916666667</v>
      </c>
      <c r="D682" s="17">
        <v>46366.5</v>
      </c>
      <c r="E682" s="25">
        <v>0.5</v>
      </c>
      <c r="F682" s="2"/>
      <c r="G682" s="2"/>
      <c r="H682" s="3" t="s">
        <v>8971</v>
      </c>
      <c r="I682" s="3" t="s">
        <v>9077</v>
      </c>
      <c r="J682" s="3" t="s">
        <v>6950</v>
      </c>
      <c r="K682" s="3" t="s">
        <v>8973</v>
      </c>
      <c r="L682" s="16">
        <v>5.0</v>
      </c>
      <c r="M682" s="3" t="s">
        <v>9341</v>
      </c>
      <c r="N682" s="3" t="s">
        <v>9341</v>
      </c>
      <c r="O682" s="3" t="s">
        <v>9342</v>
      </c>
      <c r="P682" s="16">
        <v>4.0</v>
      </c>
      <c r="Q682" s="16">
        <v>0.0</v>
      </c>
      <c r="R682" s="16">
        <v>0.0</v>
      </c>
      <c r="S682" s="16">
        <v>1.0</v>
      </c>
      <c r="T682" s="2"/>
    </row>
    <row r="683">
      <c r="A683" s="3" t="s">
        <v>9459</v>
      </c>
      <c r="B683" s="3" t="s">
        <v>9460</v>
      </c>
      <c r="C683" s="17">
        <v>46366.5</v>
      </c>
      <c r="D683" s="17">
        <v>46366.52083333333</v>
      </c>
      <c r="E683" s="25">
        <v>0.5</v>
      </c>
      <c r="G683" s="2"/>
      <c r="H683" s="3" t="s">
        <v>8971</v>
      </c>
      <c r="I683" s="3" t="s">
        <v>9094</v>
      </c>
      <c r="J683" s="3" t="s">
        <v>6853</v>
      </c>
      <c r="K683" s="3" t="s">
        <v>8973</v>
      </c>
      <c r="L683" s="16">
        <v>1.0</v>
      </c>
      <c r="M683" s="3" t="s">
        <v>8912</v>
      </c>
      <c r="N683" s="3" t="s">
        <v>8912</v>
      </c>
      <c r="O683" s="3" t="s">
        <v>9077</v>
      </c>
      <c r="P683" s="16">
        <v>1.0</v>
      </c>
      <c r="Q683" s="16">
        <v>0.0</v>
      </c>
      <c r="R683" s="16">
        <v>0.0</v>
      </c>
      <c r="S683" s="16">
        <v>0.0</v>
      </c>
      <c r="T683" s="3" t="s">
        <v>1195</v>
      </c>
    </row>
    <row r="684">
      <c r="A684" s="3" t="s">
        <v>9441</v>
      </c>
      <c r="B684" s="3" t="s">
        <v>7840</v>
      </c>
      <c r="C684" s="17">
        <v>46370.58333333333</v>
      </c>
      <c r="D684" s="17">
        <v>46370.60416666667</v>
      </c>
      <c r="E684" s="25">
        <v>0.5</v>
      </c>
      <c r="G684" s="2"/>
      <c r="H684" s="3" t="s">
        <v>8971</v>
      </c>
      <c r="I684" s="3" t="s">
        <v>9094</v>
      </c>
      <c r="J684" s="3" t="s">
        <v>6853</v>
      </c>
      <c r="K684" s="3" t="s">
        <v>8973</v>
      </c>
      <c r="L684" s="16">
        <v>4.0</v>
      </c>
      <c r="M684" s="3" t="s">
        <v>9166</v>
      </c>
      <c r="N684" s="3" t="s">
        <v>9166</v>
      </c>
      <c r="O684" s="3" t="s">
        <v>9002</v>
      </c>
      <c r="P684" s="16">
        <v>1.0</v>
      </c>
      <c r="Q684" s="16">
        <v>0.0</v>
      </c>
      <c r="R684" s="16">
        <v>0.0</v>
      </c>
      <c r="S684" s="16">
        <v>3.0</v>
      </c>
      <c r="T684" s="3" t="s">
        <v>5544</v>
      </c>
    </row>
    <row r="685">
      <c r="A685" s="3" t="s">
        <v>9223</v>
      </c>
      <c r="B685" s="3" t="s">
        <v>8418</v>
      </c>
      <c r="C685" s="17">
        <v>46370.60416666667</v>
      </c>
      <c r="D685" s="17">
        <v>46370.625</v>
      </c>
      <c r="E685" s="25">
        <v>0.5</v>
      </c>
      <c r="G685" s="3" t="s">
        <v>9304</v>
      </c>
      <c r="H685" s="3" t="s">
        <v>8971</v>
      </c>
      <c r="I685" s="3" t="s">
        <v>9094</v>
      </c>
      <c r="J685" s="3" t="s">
        <v>6853</v>
      </c>
      <c r="K685" s="3" t="s">
        <v>8973</v>
      </c>
      <c r="L685" s="16">
        <v>2.0</v>
      </c>
      <c r="M685" s="3" t="s">
        <v>9225</v>
      </c>
      <c r="N685" s="3" t="s">
        <v>9225</v>
      </c>
      <c r="O685" s="3" t="s">
        <v>9010</v>
      </c>
      <c r="P685" s="16">
        <v>0.0</v>
      </c>
      <c r="Q685" s="16">
        <v>0.0</v>
      </c>
      <c r="R685" s="16">
        <v>0.0</v>
      </c>
      <c r="S685" s="16">
        <v>2.0</v>
      </c>
      <c r="T685" s="3" t="s">
        <v>2868</v>
      </c>
    </row>
    <row r="686">
      <c r="A686" s="3" t="s">
        <v>9307</v>
      </c>
      <c r="B686" s="3" t="s">
        <v>9137</v>
      </c>
      <c r="C686" s="17">
        <v>46371.5</v>
      </c>
      <c r="D686" s="17">
        <v>46371.52083333333</v>
      </c>
      <c r="E686" s="25">
        <v>0.5</v>
      </c>
      <c r="G686" s="3" t="s">
        <v>9138</v>
      </c>
      <c r="H686" s="3" t="s">
        <v>8971</v>
      </c>
      <c r="I686" s="3" t="s">
        <v>9077</v>
      </c>
      <c r="J686" s="3" t="s">
        <v>6950</v>
      </c>
      <c r="K686" s="3" t="s">
        <v>8973</v>
      </c>
      <c r="L686" s="16">
        <v>3.0</v>
      </c>
      <c r="M686" s="3" t="s">
        <v>9140</v>
      </c>
      <c r="N686" s="3" t="s">
        <v>9141</v>
      </c>
      <c r="O686" s="3" t="s">
        <v>9308</v>
      </c>
      <c r="P686" s="16">
        <v>2.0</v>
      </c>
      <c r="Q686" s="16">
        <v>0.0</v>
      </c>
      <c r="R686" s="16">
        <v>1.0</v>
      </c>
      <c r="S686" s="16">
        <v>0.0</v>
      </c>
      <c r="T686" s="3" t="s">
        <v>4466</v>
      </c>
    </row>
    <row r="687">
      <c r="A687" s="3" t="s">
        <v>9309</v>
      </c>
      <c r="B687" s="3" t="s">
        <v>6844</v>
      </c>
      <c r="C687" s="17">
        <v>46371.5625</v>
      </c>
      <c r="D687" s="17">
        <v>46371.58333333333</v>
      </c>
      <c r="E687" s="25">
        <v>0.5</v>
      </c>
      <c r="G687" s="2"/>
      <c r="H687" s="3" t="s">
        <v>8971</v>
      </c>
      <c r="I687" s="3" t="s">
        <v>9094</v>
      </c>
      <c r="J687" s="3" t="s">
        <v>6853</v>
      </c>
      <c r="K687" s="3" t="s">
        <v>8973</v>
      </c>
      <c r="L687" s="16">
        <v>2.0</v>
      </c>
      <c r="M687" s="3" t="s">
        <v>9310</v>
      </c>
      <c r="N687" s="3" t="s">
        <v>9310</v>
      </c>
      <c r="O687" s="3" t="s">
        <v>9043</v>
      </c>
      <c r="P687" s="16">
        <v>1.0</v>
      </c>
      <c r="Q687" s="16">
        <v>0.0</v>
      </c>
      <c r="R687" s="16">
        <v>0.0</v>
      </c>
      <c r="S687" s="16">
        <v>1.0</v>
      </c>
      <c r="T687" s="3" t="s">
        <v>2616</v>
      </c>
    </row>
    <row r="688">
      <c r="A688" s="3" t="s">
        <v>9442</v>
      </c>
      <c r="B688" s="3" t="s">
        <v>8969</v>
      </c>
      <c r="C688" s="17">
        <v>46371.58333333333</v>
      </c>
      <c r="D688" s="17">
        <v>46371.60416666667</v>
      </c>
      <c r="E688" s="25">
        <v>0.5</v>
      </c>
      <c r="G688" s="3" t="s">
        <v>8970</v>
      </c>
      <c r="H688" s="3" t="s">
        <v>8971</v>
      </c>
      <c r="I688" s="3" t="s">
        <v>9094</v>
      </c>
      <c r="J688" s="3" t="s">
        <v>6853</v>
      </c>
      <c r="K688" s="3" t="s">
        <v>8973</v>
      </c>
      <c r="L688" s="16">
        <v>3.0</v>
      </c>
      <c r="M688" s="3" t="s">
        <v>9436</v>
      </c>
      <c r="N688" s="3" t="s">
        <v>9436</v>
      </c>
      <c r="O688" s="3" t="s">
        <v>9147</v>
      </c>
      <c r="P688" s="16">
        <v>2.0</v>
      </c>
      <c r="Q688" s="16">
        <v>0.0</v>
      </c>
      <c r="R688" s="16">
        <v>0.0</v>
      </c>
      <c r="S688" s="16">
        <v>1.0</v>
      </c>
      <c r="T688" s="3" t="s">
        <v>5498</v>
      </c>
    </row>
    <row r="689">
      <c r="A689" s="3" t="s">
        <v>9384</v>
      </c>
      <c r="B689" s="3" t="s">
        <v>9015</v>
      </c>
      <c r="C689" s="17">
        <v>46372.54166666667</v>
      </c>
      <c r="D689" s="17">
        <v>46372.5625</v>
      </c>
      <c r="E689" s="25">
        <v>0.5</v>
      </c>
      <c r="F689" s="2"/>
      <c r="G689" s="2"/>
      <c r="H689" s="3" t="s">
        <v>8971</v>
      </c>
      <c r="I689" s="3" t="s">
        <v>9077</v>
      </c>
      <c r="J689" s="3" t="s">
        <v>6950</v>
      </c>
      <c r="K689" s="3" t="s">
        <v>8973</v>
      </c>
      <c r="L689" s="16">
        <v>3.0</v>
      </c>
      <c r="M689" s="3" t="s">
        <v>9016</v>
      </c>
      <c r="N689" s="3" t="s">
        <v>9016</v>
      </c>
      <c r="O689" s="3" t="s">
        <v>9017</v>
      </c>
      <c r="P689" s="16">
        <v>3.0</v>
      </c>
      <c r="Q689" s="16">
        <v>0.0</v>
      </c>
      <c r="R689" s="16">
        <v>0.0</v>
      </c>
      <c r="S689" s="16">
        <v>0.0</v>
      </c>
      <c r="T689" s="3" t="s">
        <v>1975</v>
      </c>
    </row>
    <row r="690">
      <c r="A690" s="3" t="s">
        <v>9262</v>
      </c>
      <c r="B690" s="3" t="s">
        <v>9263</v>
      </c>
      <c r="C690" s="17">
        <v>46373.4375</v>
      </c>
      <c r="D690" s="17">
        <v>46373.45833333333</v>
      </c>
      <c r="E690" s="25">
        <v>0.5</v>
      </c>
      <c r="F690" s="2"/>
      <c r="G690" s="2"/>
      <c r="H690" s="3" t="s">
        <v>8971</v>
      </c>
      <c r="I690" s="3" t="s">
        <v>9077</v>
      </c>
      <c r="J690" s="3" t="s">
        <v>6950</v>
      </c>
      <c r="K690" s="3" t="s">
        <v>8973</v>
      </c>
      <c r="L690" s="16">
        <v>4.0</v>
      </c>
      <c r="M690" s="3" t="s">
        <v>9311</v>
      </c>
      <c r="N690" s="3" t="s">
        <v>9312</v>
      </c>
      <c r="O690" s="3" t="s">
        <v>9167</v>
      </c>
      <c r="P690" s="16">
        <v>4.0</v>
      </c>
      <c r="Q690" s="16">
        <v>0.0</v>
      </c>
      <c r="R690" s="16">
        <v>0.0</v>
      </c>
      <c r="S690" s="16">
        <v>0.0</v>
      </c>
      <c r="T690" s="3" t="s">
        <v>2672</v>
      </c>
    </row>
    <row r="691">
      <c r="A691" s="3" t="s">
        <v>9314</v>
      </c>
      <c r="B691" s="3" t="s">
        <v>9315</v>
      </c>
      <c r="C691" s="17">
        <v>46373.58333333333</v>
      </c>
      <c r="D691" s="17">
        <v>46373.60416666667</v>
      </c>
      <c r="E691" s="25">
        <v>0.5</v>
      </c>
      <c r="G691" s="2"/>
      <c r="H691" s="3" t="s">
        <v>8971</v>
      </c>
      <c r="I691" s="3" t="s">
        <v>9077</v>
      </c>
      <c r="J691" s="3" t="s">
        <v>6950</v>
      </c>
      <c r="K691" s="3" t="s">
        <v>8973</v>
      </c>
      <c r="L691" s="16">
        <v>6.0</v>
      </c>
      <c r="M691" s="3" t="s">
        <v>9316</v>
      </c>
      <c r="N691" s="3" t="s">
        <v>9316</v>
      </c>
      <c r="O691" s="3" t="s">
        <v>9397</v>
      </c>
      <c r="P691" s="16">
        <v>1.0</v>
      </c>
      <c r="Q691" s="16">
        <v>3.0</v>
      </c>
      <c r="R691" s="16">
        <v>0.0</v>
      </c>
      <c r="S691" s="16">
        <v>2.0</v>
      </c>
      <c r="T691" s="3" t="s">
        <v>5285</v>
      </c>
    </row>
    <row r="692">
      <c r="A692" s="3" t="s">
        <v>9280</v>
      </c>
      <c r="B692" s="3" t="s">
        <v>9281</v>
      </c>
      <c r="C692" s="17">
        <v>46373.70833333333</v>
      </c>
      <c r="D692" s="17">
        <v>46373.72916666667</v>
      </c>
      <c r="E692" s="25">
        <v>0.5</v>
      </c>
      <c r="G692" s="3" t="s">
        <v>9282</v>
      </c>
      <c r="H692" s="3" t="s">
        <v>8971</v>
      </c>
      <c r="I692" s="3" t="s">
        <v>9077</v>
      </c>
      <c r="J692" s="3" t="s">
        <v>9283</v>
      </c>
      <c r="K692" s="3" t="s">
        <v>8973</v>
      </c>
      <c r="L692" s="16">
        <v>15.0</v>
      </c>
      <c r="M692" s="3" t="s">
        <v>9284</v>
      </c>
      <c r="N692" s="3" t="s">
        <v>9285</v>
      </c>
      <c r="O692" s="3" t="s">
        <v>9404</v>
      </c>
      <c r="P692" s="16">
        <v>9.0</v>
      </c>
      <c r="Q692" s="16">
        <v>0.0</v>
      </c>
      <c r="R692" s="16">
        <v>1.0</v>
      </c>
      <c r="S692" s="16">
        <v>5.0</v>
      </c>
      <c r="T692" s="3" t="s">
        <v>2922</v>
      </c>
    </row>
    <row r="693">
      <c r="A693" s="3" t="s">
        <v>9405</v>
      </c>
      <c r="B693" s="3" t="s">
        <v>9406</v>
      </c>
      <c r="C693" s="17">
        <v>46374.41666666667</v>
      </c>
      <c r="D693" s="17">
        <v>46374.4375</v>
      </c>
      <c r="E693" s="25">
        <v>0.5</v>
      </c>
      <c r="F693" s="2"/>
      <c r="G693" s="2"/>
      <c r="H693" s="3" t="s">
        <v>8971</v>
      </c>
      <c r="I693" s="3" t="s">
        <v>9077</v>
      </c>
      <c r="J693" s="3" t="s">
        <v>6950</v>
      </c>
      <c r="K693" s="3" t="s">
        <v>8973</v>
      </c>
      <c r="L693" s="16">
        <v>5.0</v>
      </c>
      <c r="M693" s="3" t="s">
        <v>9484</v>
      </c>
      <c r="N693" s="3" t="s">
        <v>9484</v>
      </c>
      <c r="O693" s="3" t="s">
        <v>9342</v>
      </c>
      <c r="P693" s="16">
        <v>4.0</v>
      </c>
      <c r="Q693" s="16">
        <v>0.0</v>
      </c>
      <c r="R693" s="16">
        <v>0.0</v>
      </c>
      <c r="S693" s="16">
        <v>1.0</v>
      </c>
      <c r="T693" s="3" t="s">
        <v>5721</v>
      </c>
    </row>
    <row r="694">
      <c r="A694" s="3" t="s">
        <v>9410</v>
      </c>
      <c r="B694" s="3" t="s">
        <v>7147</v>
      </c>
      <c r="C694" s="17">
        <v>46377.54166666667</v>
      </c>
      <c r="D694" s="17">
        <v>46377.5625</v>
      </c>
      <c r="E694" s="25">
        <v>0.5</v>
      </c>
      <c r="F694" s="13" t="s">
        <v>9411</v>
      </c>
      <c r="G694" s="3" t="s">
        <v>9412</v>
      </c>
      <c r="H694" s="3" t="s">
        <v>8971</v>
      </c>
      <c r="I694" s="3" t="s">
        <v>9094</v>
      </c>
      <c r="J694" s="3" t="s">
        <v>6853</v>
      </c>
      <c r="K694" s="3" t="s">
        <v>8973</v>
      </c>
      <c r="L694" s="16">
        <v>4.0</v>
      </c>
      <c r="M694" s="3" t="s">
        <v>9349</v>
      </c>
      <c r="N694" s="3" t="s">
        <v>9349</v>
      </c>
      <c r="O694" s="3" t="s">
        <v>9002</v>
      </c>
      <c r="P694" s="16">
        <v>1.0</v>
      </c>
      <c r="Q694" s="16">
        <v>0.0</v>
      </c>
      <c r="R694" s="16">
        <v>0.0</v>
      </c>
      <c r="S694" s="16">
        <v>3.0</v>
      </c>
      <c r="T694" s="3" t="s">
        <v>1725</v>
      </c>
    </row>
    <row r="695">
      <c r="A695" s="3" t="s">
        <v>9325</v>
      </c>
      <c r="B695" s="3" t="s">
        <v>9000</v>
      </c>
      <c r="C695" s="17">
        <v>46377.58333333333</v>
      </c>
      <c r="D695" s="17">
        <v>46377.60416666667</v>
      </c>
      <c r="E695" s="25">
        <v>0.5</v>
      </c>
      <c r="G695" s="2"/>
      <c r="H695" s="3" t="s">
        <v>8971</v>
      </c>
      <c r="I695" s="3" t="s">
        <v>8972</v>
      </c>
      <c r="J695" s="3" t="s">
        <v>6950</v>
      </c>
      <c r="K695" s="3" t="s">
        <v>8973</v>
      </c>
      <c r="L695" s="16">
        <v>4.0</v>
      </c>
      <c r="M695" s="3" t="s">
        <v>9001</v>
      </c>
      <c r="N695" s="3" t="s">
        <v>9001</v>
      </c>
      <c r="O695" s="3" t="s">
        <v>9002</v>
      </c>
      <c r="P695" s="16">
        <v>1.0</v>
      </c>
      <c r="Q695" s="16">
        <v>0.0</v>
      </c>
      <c r="R695" s="16">
        <v>0.0</v>
      </c>
      <c r="S695" s="16">
        <v>3.0</v>
      </c>
      <c r="T695" s="3" t="s">
        <v>2594</v>
      </c>
    </row>
    <row r="696">
      <c r="A696" s="3" t="s">
        <v>9223</v>
      </c>
      <c r="B696" s="3" t="s">
        <v>8418</v>
      </c>
      <c r="C696" s="17">
        <v>46377.60416666667</v>
      </c>
      <c r="D696" s="17">
        <v>46377.625</v>
      </c>
      <c r="E696" s="25">
        <v>0.5</v>
      </c>
      <c r="F696" s="2"/>
      <c r="G696" s="3" t="s">
        <v>9304</v>
      </c>
      <c r="H696" s="3" t="s">
        <v>8971</v>
      </c>
      <c r="I696" s="3" t="s">
        <v>9094</v>
      </c>
      <c r="J696" s="3" t="s">
        <v>6853</v>
      </c>
      <c r="K696" s="3" t="s">
        <v>8973</v>
      </c>
      <c r="L696" s="16">
        <v>2.0</v>
      </c>
      <c r="M696" s="3" t="s">
        <v>9225</v>
      </c>
      <c r="N696" s="3" t="s">
        <v>9225</v>
      </c>
      <c r="O696" s="3" t="s">
        <v>9010</v>
      </c>
      <c r="P696" s="16">
        <v>0.0</v>
      </c>
      <c r="Q696" s="16">
        <v>0.0</v>
      </c>
      <c r="R696" s="16">
        <v>0.0</v>
      </c>
      <c r="S696" s="16">
        <v>2.0</v>
      </c>
      <c r="T696" s="3" t="s">
        <v>2868</v>
      </c>
    </row>
    <row r="697">
      <c r="A697" s="3" t="s">
        <v>9416</v>
      </c>
      <c r="B697" s="3" t="s">
        <v>9417</v>
      </c>
      <c r="C697" s="17">
        <v>46378.45833333333</v>
      </c>
      <c r="D697" s="17">
        <v>46378.47916666667</v>
      </c>
      <c r="E697" s="25">
        <v>0.5</v>
      </c>
      <c r="F697" s="2"/>
      <c r="G697" s="3" t="s">
        <v>9418</v>
      </c>
      <c r="H697" s="3" t="s">
        <v>8971</v>
      </c>
      <c r="I697" s="3" t="s">
        <v>9094</v>
      </c>
      <c r="J697" s="3" t="s">
        <v>6853</v>
      </c>
      <c r="K697" s="3" t="s">
        <v>8973</v>
      </c>
      <c r="L697" s="16">
        <v>5.0</v>
      </c>
      <c r="M697" s="3" t="s">
        <v>9480</v>
      </c>
      <c r="N697" s="3" t="s">
        <v>9480</v>
      </c>
      <c r="O697" s="3" t="s">
        <v>9432</v>
      </c>
      <c r="P697" s="16">
        <v>0.0</v>
      </c>
      <c r="Q697" s="16">
        <v>0.0</v>
      </c>
      <c r="R697" s="16">
        <v>0.0</v>
      </c>
      <c r="S697" s="16">
        <v>5.0</v>
      </c>
      <c r="T697" s="3" t="s">
        <v>5602</v>
      </c>
    </row>
    <row r="698">
      <c r="A698" s="3" t="s">
        <v>9307</v>
      </c>
      <c r="B698" s="3" t="s">
        <v>9137</v>
      </c>
      <c r="C698" s="17">
        <v>46378.5</v>
      </c>
      <c r="D698" s="17">
        <v>46378.52083333333</v>
      </c>
      <c r="E698" s="25">
        <v>0.5</v>
      </c>
      <c r="F698" s="2"/>
      <c r="G698" s="3" t="s">
        <v>9138</v>
      </c>
      <c r="H698" s="3" t="s">
        <v>8971</v>
      </c>
      <c r="I698" s="3" t="s">
        <v>9077</v>
      </c>
      <c r="J698" s="3" t="s">
        <v>6950</v>
      </c>
      <c r="K698" s="3" t="s">
        <v>8973</v>
      </c>
      <c r="L698" s="16">
        <v>3.0</v>
      </c>
      <c r="M698" s="3" t="s">
        <v>9140</v>
      </c>
      <c r="N698" s="3" t="s">
        <v>9141</v>
      </c>
      <c r="O698" s="3" t="s">
        <v>9308</v>
      </c>
      <c r="P698" s="16">
        <v>2.0</v>
      </c>
      <c r="Q698" s="16">
        <v>0.0</v>
      </c>
      <c r="R698" s="16">
        <v>1.0</v>
      </c>
      <c r="S698" s="16">
        <v>0.0</v>
      </c>
      <c r="T698" s="3" t="s">
        <v>4466</v>
      </c>
    </row>
    <row r="699">
      <c r="A699" s="3" t="s">
        <v>9309</v>
      </c>
      <c r="B699" s="3" t="s">
        <v>6844</v>
      </c>
      <c r="C699" s="17">
        <v>46378.5625</v>
      </c>
      <c r="D699" s="17">
        <v>46378.58333333333</v>
      </c>
      <c r="E699" s="25">
        <v>0.5</v>
      </c>
      <c r="G699" s="2"/>
      <c r="H699" s="3" t="s">
        <v>8971</v>
      </c>
      <c r="I699" s="3" t="s">
        <v>9094</v>
      </c>
      <c r="J699" s="3" t="s">
        <v>6853</v>
      </c>
      <c r="K699" s="3" t="s">
        <v>8973</v>
      </c>
      <c r="L699" s="16">
        <v>2.0</v>
      </c>
      <c r="M699" s="3" t="s">
        <v>9310</v>
      </c>
      <c r="N699" s="3" t="s">
        <v>9310</v>
      </c>
      <c r="O699" s="3" t="s">
        <v>9043</v>
      </c>
      <c r="P699" s="16">
        <v>1.0</v>
      </c>
      <c r="Q699" s="16">
        <v>0.0</v>
      </c>
      <c r="R699" s="16">
        <v>0.0</v>
      </c>
      <c r="S699" s="16">
        <v>1.0</v>
      </c>
      <c r="T699" s="3" t="s">
        <v>2616</v>
      </c>
    </row>
    <row r="700">
      <c r="A700" s="3" t="s">
        <v>9421</v>
      </c>
      <c r="B700" s="3" t="s">
        <v>9422</v>
      </c>
      <c r="C700" s="17">
        <v>46380.35416666667</v>
      </c>
      <c r="D700" s="17">
        <v>46380.375</v>
      </c>
      <c r="E700" s="25">
        <v>0.5</v>
      </c>
      <c r="F700" s="2"/>
      <c r="G700" s="2"/>
      <c r="H700" s="3" t="s">
        <v>8971</v>
      </c>
      <c r="I700" s="3" t="s">
        <v>9077</v>
      </c>
      <c r="J700" s="3" t="s">
        <v>6950</v>
      </c>
      <c r="K700" s="3" t="s">
        <v>8973</v>
      </c>
      <c r="L700" s="16">
        <v>4.0</v>
      </c>
      <c r="M700" s="3" t="s">
        <v>9423</v>
      </c>
      <c r="N700" s="3" t="s">
        <v>9423</v>
      </c>
      <c r="O700" s="3" t="s">
        <v>9002</v>
      </c>
      <c r="P700" s="16">
        <v>1.0</v>
      </c>
      <c r="Q700" s="16">
        <v>0.0</v>
      </c>
      <c r="R700" s="16">
        <v>0.0</v>
      </c>
      <c r="S700" s="16">
        <v>3.0</v>
      </c>
      <c r="T700" s="3" t="s">
        <v>693</v>
      </c>
    </row>
    <row r="701">
      <c r="A701" s="3" t="s">
        <v>9481</v>
      </c>
      <c r="B701" s="3" t="s">
        <v>7310</v>
      </c>
      <c r="C701" s="17">
        <v>46380.41666666667</v>
      </c>
      <c r="D701" s="17">
        <v>46380.4375</v>
      </c>
      <c r="E701" s="25">
        <v>0.5</v>
      </c>
      <c r="G701" s="3" t="s">
        <v>9482</v>
      </c>
      <c r="H701" s="3" t="s">
        <v>8971</v>
      </c>
      <c r="I701" s="3" t="s">
        <v>9094</v>
      </c>
      <c r="J701" s="3" t="s">
        <v>6853</v>
      </c>
      <c r="K701" s="3" t="s">
        <v>8973</v>
      </c>
      <c r="L701" s="16">
        <v>3.0</v>
      </c>
      <c r="M701" s="3" t="s">
        <v>9483</v>
      </c>
      <c r="N701" s="3" t="s">
        <v>9483</v>
      </c>
      <c r="O701" s="3" t="s">
        <v>9147</v>
      </c>
      <c r="P701" s="16">
        <v>2.0</v>
      </c>
      <c r="Q701" s="16">
        <v>0.0</v>
      </c>
      <c r="R701" s="16">
        <v>0.0</v>
      </c>
      <c r="S701" s="16">
        <v>1.0</v>
      </c>
      <c r="T701" s="3" t="s">
        <v>5815</v>
      </c>
    </row>
    <row r="702">
      <c r="A702" s="3" t="s">
        <v>9340</v>
      </c>
      <c r="B702" s="3" t="s">
        <v>9176</v>
      </c>
      <c r="C702" s="17">
        <v>46380.47916666667</v>
      </c>
      <c r="D702" s="17">
        <v>46380.5</v>
      </c>
      <c r="E702" s="25">
        <v>0.5</v>
      </c>
      <c r="G702" s="2"/>
      <c r="H702" s="3" t="s">
        <v>8971</v>
      </c>
      <c r="I702" s="3" t="s">
        <v>9077</v>
      </c>
      <c r="J702" s="3" t="s">
        <v>6950</v>
      </c>
      <c r="K702" s="3" t="s">
        <v>8973</v>
      </c>
      <c r="L702" s="16">
        <v>5.0</v>
      </c>
      <c r="M702" s="3" t="s">
        <v>9341</v>
      </c>
      <c r="N702" s="3" t="s">
        <v>9341</v>
      </c>
      <c r="O702" s="3" t="s">
        <v>9342</v>
      </c>
      <c r="P702" s="16">
        <v>4.0</v>
      </c>
      <c r="Q702" s="16">
        <v>0.0</v>
      </c>
      <c r="R702" s="16">
        <v>0.0</v>
      </c>
      <c r="S702" s="16">
        <v>1.0</v>
      </c>
      <c r="T702" s="2"/>
    </row>
    <row r="703">
      <c r="A703" s="3" t="s">
        <v>9459</v>
      </c>
      <c r="B703" s="3" t="s">
        <v>9460</v>
      </c>
      <c r="C703" s="17">
        <v>46380.5</v>
      </c>
      <c r="D703" s="17">
        <v>46380.52083333333</v>
      </c>
      <c r="E703" s="25">
        <v>0.5</v>
      </c>
      <c r="G703" s="2"/>
      <c r="H703" s="3" t="s">
        <v>8971</v>
      </c>
      <c r="I703" s="3" t="s">
        <v>9094</v>
      </c>
      <c r="J703" s="3" t="s">
        <v>6853</v>
      </c>
      <c r="K703" s="3" t="s">
        <v>8973</v>
      </c>
      <c r="L703" s="16">
        <v>1.0</v>
      </c>
      <c r="M703" s="3" t="s">
        <v>8912</v>
      </c>
      <c r="N703" s="3" t="s">
        <v>8912</v>
      </c>
      <c r="O703" s="3" t="s">
        <v>9077</v>
      </c>
      <c r="P703" s="16">
        <v>1.0</v>
      </c>
      <c r="Q703" s="16">
        <v>0.0</v>
      </c>
      <c r="R703" s="16">
        <v>0.0</v>
      </c>
      <c r="S703" s="16">
        <v>0.0</v>
      </c>
      <c r="T703" s="3" t="s">
        <v>1195</v>
      </c>
    </row>
    <row r="704">
      <c r="A704" s="3" t="s">
        <v>9443</v>
      </c>
      <c r="B704" s="3" t="s">
        <v>8085</v>
      </c>
      <c r="C704" s="17">
        <v>46381.54166666667</v>
      </c>
      <c r="D704" s="17">
        <v>46381.5625</v>
      </c>
      <c r="E704" s="25">
        <v>0.5</v>
      </c>
      <c r="F704" s="2"/>
      <c r="G704" s="2"/>
      <c r="H704" s="3" t="s">
        <v>8971</v>
      </c>
      <c r="I704" s="3" t="s">
        <v>9077</v>
      </c>
      <c r="J704" s="3" t="s">
        <v>9206</v>
      </c>
      <c r="K704" s="3" t="s">
        <v>8973</v>
      </c>
      <c r="L704" s="16">
        <v>5.0</v>
      </c>
      <c r="M704" s="3" t="s">
        <v>9207</v>
      </c>
      <c r="N704" s="3" t="s">
        <v>9208</v>
      </c>
      <c r="O704" s="3" t="s">
        <v>9444</v>
      </c>
      <c r="P704" s="16">
        <v>4.0</v>
      </c>
      <c r="Q704" s="16">
        <v>1.0</v>
      </c>
      <c r="R704" s="16">
        <v>0.0</v>
      </c>
      <c r="S704" s="16">
        <v>0.0</v>
      </c>
      <c r="T704" s="3" t="s">
        <v>453</v>
      </c>
    </row>
    <row r="705">
      <c r="A705" s="3" t="s">
        <v>9437</v>
      </c>
      <c r="B705" s="3" t="s">
        <v>9438</v>
      </c>
      <c r="C705" s="17">
        <v>46384.5625</v>
      </c>
      <c r="D705" s="17">
        <v>46384.58333333333</v>
      </c>
      <c r="E705" s="25">
        <v>0.5</v>
      </c>
      <c r="G705" s="2"/>
      <c r="H705" s="3" t="s">
        <v>8971</v>
      </c>
      <c r="I705" s="3" t="s">
        <v>9006</v>
      </c>
      <c r="J705" s="3" t="s">
        <v>6950</v>
      </c>
      <c r="K705" s="3" t="s">
        <v>8973</v>
      </c>
      <c r="L705" s="16">
        <v>4.0</v>
      </c>
      <c r="M705" s="3" t="s">
        <v>9439</v>
      </c>
      <c r="N705" s="3" t="s">
        <v>9439</v>
      </c>
      <c r="O705" s="3" t="s">
        <v>9440</v>
      </c>
      <c r="P705" s="16">
        <v>2.0</v>
      </c>
      <c r="Q705" s="16">
        <v>0.0</v>
      </c>
      <c r="R705" s="16">
        <v>0.0</v>
      </c>
      <c r="S705" s="16">
        <v>2.0</v>
      </c>
      <c r="T705" s="3" t="s">
        <v>3616</v>
      </c>
    </row>
    <row r="706">
      <c r="A706" s="3" t="s">
        <v>9441</v>
      </c>
      <c r="B706" s="3" t="s">
        <v>7840</v>
      </c>
      <c r="C706" s="17">
        <v>46384.58333333333</v>
      </c>
      <c r="D706" s="17">
        <v>46384.60416666667</v>
      </c>
      <c r="E706" s="25">
        <v>0.5</v>
      </c>
      <c r="G706" s="2"/>
      <c r="H706" s="3" t="s">
        <v>8971</v>
      </c>
      <c r="I706" s="3" t="s">
        <v>9094</v>
      </c>
      <c r="J706" s="3" t="s">
        <v>6853</v>
      </c>
      <c r="K706" s="3" t="s">
        <v>8973</v>
      </c>
      <c r="L706" s="16">
        <v>4.0</v>
      </c>
      <c r="M706" s="3" t="s">
        <v>9166</v>
      </c>
      <c r="N706" s="3" t="s">
        <v>9166</v>
      </c>
      <c r="O706" s="3" t="s">
        <v>9002</v>
      </c>
      <c r="P706" s="16">
        <v>1.0</v>
      </c>
      <c r="Q706" s="16">
        <v>0.0</v>
      </c>
      <c r="R706" s="16">
        <v>0.0</v>
      </c>
      <c r="S706" s="16">
        <v>3.0</v>
      </c>
      <c r="T706" s="3" t="s">
        <v>5544</v>
      </c>
    </row>
    <row r="707">
      <c r="A707" s="3" t="s">
        <v>9223</v>
      </c>
      <c r="B707" s="3" t="s">
        <v>8418</v>
      </c>
      <c r="C707" s="17">
        <v>46384.60416666667</v>
      </c>
      <c r="D707" s="17">
        <v>46384.625</v>
      </c>
      <c r="E707" s="25">
        <v>0.5</v>
      </c>
      <c r="F707" s="2"/>
      <c r="G707" s="3" t="s">
        <v>9304</v>
      </c>
      <c r="H707" s="3" t="s">
        <v>8971</v>
      </c>
      <c r="I707" s="3" t="s">
        <v>9094</v>
      </c>
      <c r="J707" s="3" t="s">
        <v>6853</v>
      </c>
      <c r="K707" s="3" t="s">
        <v>8973</v>
      </c>
      <c r="L707" s="16">
        <v>2.0</v>
      </c>
      <c r="M707" s="3" t="s">
        <v>9225</v>
      </c>
      <c r="N707" s="3" t="s">
        <v>9225</v>
      </c>
      <c r="O707" s="3" t="s">
        <v>9010</v>
      </c>
      <c r="P707" s="16">
        <v>0.0</v>
      </c>
      <c r="Q707" s="16">
        <v>0.0</v>
      </c>
      <c r="R707" s="16">
        <v>0.0</v>
      </c>
      <c r="S707" s="16">
        <v>2.0</v>
      </c>
      <c r="T707" s="3" t="s">
        <v>2868</v>
      </c>
    </row>
    <row r="708">
      <c r="A708" s="3" t="s">
        <v>9307</v>
      </c>
      <c r="B708" s="3" t="s">
        <v>9137</v>
      </c>
      <c r="C708" s="17">
        <v>46385.5</v>
      </c>
      <c r="D708" s="17">
        <v>46385.52083333333</v>
      </c>
      <c r="E708" s="25">
        <v>0.5</v>
      </c>
      <c r="F708" s="2"/>
      <c r="G708" s="3" t="s">
        <v>9138</v>
      </c>
      <c r="H708" s="3" t="s">
        <v>8971</v>
      </c>
      <c r="I708" s="3" t="s">
        <v>9077</v>
      </c>
      <c r="J708" s="3" t="s">
        <v>6950</v>
      </c>
      <c r="K708" s="3" t="s">
        <v>8973</v>
      </c>
      <c r="L708" s="16">
        <v>3.0</v>
      </c>
      <c r="M708" s="3" t="s">
        <v>9140</v>
      </c>
      <c r="N708" s="3" t="s">
        <v>9141</v>
      </c>
      <c r="O708" s="3" t="s">
        <v>9308</v>
      </c>
      <c r="P708" s="16">
        <v>2.0</v>
      </c>
      <c r="Q708" s="16">
        <v>0.0</v>
      </c>
      <c r="R708" s="16">
        <v>1.0</v>
      </c>
      <c r="S708" s="16">
        <v>0.0</v>
      </c>
      <c r="T708" s="3" t="s">
        <v>4466</v>
      </c>
    </row>
    <row r="709">
      <c r="A709" s="3" t="s">
        <v>9309</v>
      </c>
      <c r="B709" s="3" t="s">
        <v>6844</v>
      </c>
      <c r="C709" s="17">
        <v>46385.5625</v>
      </c>
      <c r="D709" s="17">
        <v>46385.58333333333</v>
      </c>
      <c r="E709" s="25">
        <v>0.5</v>
      </c>
      <c r="G709" s="2"/>
      <c r="H709" s="3" t="s">
        <v>8971</v>
      </c>
      <c r="I709" s="3" t="s">
        <v>9094</v>
      </c>
      <c r="J709" s="3" t="s">
        <v>6853</v>
      </c>
      <c r="K709" s="3" t="s">
        <v>8973</v>
      </c>
      <c r="L709" s="16">
        <v>2.0</v>
      </c>
      <c r="M709" s="3" t="s">
        <v>9310</v>
      </c>
      <c r="N709" s="3" t="s">
        <v>9310</v>
      </c>
      <c r="O709" s="3" t="s">
        <v>9043</v>
      </c>
      <c r="P709" s="16">
        <v>1.0</v>
      </c>
      <c r="Q709" s="16">
        <v>0.0</v>
      </c>
      <c r="R709" s="16">
        <v>0.0</v>
      </c>
      <c r="S709" s="16">
        <v>1.0</v>
      </c>
      <c r="T709" s="3" t="s">
        <v>2616</v>
      </c>
    </row>
    <row r="710">
      <c r="A710" s="3" t="s">
        <v>9442</v>
      </c>
      <c r="B710" s="3" t="s">
        <v>8969</v>
      </c>
      <c r="C710" s="17">
        <v>46385.58333333333</v>
      </c>
      <c r="D710" s="17">
        <v>46385.60416666667</v>
      </c>
      <c r="E710" s="25">
        <v>0.5</v>
      </c>
      <c r="F710" s="2"/>
      <c r="G710" s="3" t="s">
        <v>8970</v>
      </c>
      <c r="H710" s="3" t="s">
        <v>8971</v>
      </c>
      <c r="I710" s="3" t="s">
        <v>9094</v>
      </c>
      <c r="J710" s="3" t="s">
        <v>6853</v>
      </c>
      <c r="K710" s="3" t="s">
        <v>8973</v>
      </c>
      <c r="L710" s="16">
        <v>3.0</v>
      </c>
      <c r="M710" s="3" t="s">
        <v>9436</v>
      </c>
      <c r="N710" s="3" t="s">
        <v>9436</v>
      </c>
      <c r="O710" s="3" t="s">
        <v>9147</v>
      </c>
      <c r="P710" s="16">
        <v>2.0</v>
      </c>
      <c r="Q710" s="16">
        <v>0.0</v>
      </c>
      <c r="R710" s="16">
        <v>0.0</v>
      </c>
      <c r="S710" s="16">
        <v>1.0</v>
      </c>
      <c r="T710" s="3" t="s">
        <v>5498</v>
      </c>
    </row>
    <row r="711">
      <c r="A711" s="3" t="s">
        <v>9384</v>
      </c>
      <c r="B711" s="3" t="s">
        <v>9015</v>
      </c>
      <c r="C711" s="17">
        <v>46386.54166666667</v>
      </c>
      <c r="D711" s="17">
        <v>46386.5625</v>
      </c>
      <c r="E711" s="25">
        <v>0.5</v>
      </c>
      <c r="F711" s="2"/>
      <c r="G711" s="2"/>
      <c r="H711" s="3" t="s">
        <v>8971</v>
      </c>
      <c r="I711" s="3" t="s">
        <v>9077</v>
      </c>
      <c r="J711" s="3" t="s">
        <v>6950</v>
      </c>
      <c r="K711" s="3" t="s">
        <v>8973</v>
      </c>
      <c r="L711" s="16">
        <v>3.0</v>
      </c>
      <c r="M711" s="3" t="s">
        <v>9016</v>
      </c>
      <c r="N711" s="3" t="s">
        <v>9016</v>
      </c>
      <c r="O711" s="3" t="s">
        <v>9017</v>
      </c>
      <c r="P711" s="16">
        <v>3.0</v>
      </c>
      <c r="Q711" s="16">
        <v>0.0</v>
      </c>
      <c r="R711" s="16">
        <v>0.0</v>
      </c>
      <c r="S711" s="16">
        <v>0.0</v>
      </c>
      <c r="T711" s="3" t="s">
        <v>1975</v>
      </c>
    </row>
    <row r="712">
      <c r="A712" s="3" t="s">
        <v>9262</v>
      </c>
      <c r="B712" s="3" t="s">
        <v>9263</v>
      </c>
      <c r="C712" s="17">
        <v>46387.4375</v>
      </c>
      <c r="D712" s="17">
        <v>46387.45833333333</v>
      </c>
      <c r="E712" s="25">
        <v>0.5</v>
      </c>
      <c r="G712" s="2"/>
      <c r="H712" s="3" t="s">
        <v>8971</v>
      </c>
      <c r="I712" s="3" t="s">
        <v>9077</v>
      </c>
      <c r="J712" s="3" t="s">
        <v>6950</v>
      </c>
      <c r="K712" s="3" t="s">
        <v>8973</v>
      </c>
      <c r="L712" s="16">
        <v>4.0</v>
      </c>
      <c r="M712" s="3" t="s">
        <v>9311</v>
      </c>
      <c r="N712" s="3" t="s">
        <v>9312</v>
      </c>
      <c r="O712" s="3" t="s">
        <v>9167</v>
      </c>
      <c r="P712" s="16">
        <v>4.0</v>
      </c>
      <c r="Q712" s="16">
        <v>0.0</v>
      </c>
      <c r="R712" s="16">
        <v>0.0</v>
      </c>
      <c r="S712" s="16">
        <v>0.0</v>
      </c>
      <c r="T712" s="3" t="s">
        <v>2672</v>
      </c>
    </row>
    <row r="713">
      <c r="A713" s="3" t="s">
        <v>9314</v>
      </c>
      <c r="B713" s="3" t="s">
        <v>9315</v>
      </c>
      <c r="C713" s="17">
        <v>46387.58333333333</v>
      </c>
      <c r="D713" s="17">
        <v>46387.60416666667</v>
      </c>
      <c r="E713" s="25">
        <v>0.5</v>
      </c>
      <c r="F713" s="2"/>
      <c r="G713" s="2"/>
      <c r="H713" s="3" t="s">
        <v>8971</v>
      </c>
      <c r="I713" s="3" t="s">
        <v>9077</v>
      </c>
      <c r="J713" s="3" t="s">
        <v>6950</v>
      </c>
      <c r="K713" s="3" t="s">
        <v>8973</v>
      </c>
      <c r="L713" s="16">
        <v>6.0</v>
      </c>
      <c r="M713" s="3" t="s">
        <v>9316</v>
      </c>
      <c r="N713" s="3" t="s">
        <v>9316</v>
      </c>
      <c r="O713" s="3" t="s">
        <v>9397</v>
      </c>
      <c r="P713" s="16">
        <v>1.0</v>
      </c>
      <c r="Q713" s="16">
        <v>3.0</v>
      </c>
      <c r="R713" s="16">
        <v>0.0</v>
      </c>
      <c r="S713" s="16">
        <v>2.0</v>
      </c>
      <c r="T713" s="3" t="s">
        <v>5285</v>
      </c>
    </row>
    <row r="714">
      <c r="A714" s="3" t="s">
        <v>9320</v>
      </c>
      <c r="B714" s="3" t="s">
        <v>9196</v>
      </c>
      <c r="C714" s="17">
        <v>46388.39583333333</v>
      </c>
      <c r="D714" s="17">
        <v>46388.41666666667</v>
      </c>
      <c r="E714" s="25">
        <v>0.5</v>
      </c>
      <c r="F714" s="2"/>
      <c r="G714" s="3" t="s">
        <v>9197</v>
      </c>
      <c r="H714" s="3" t="s">
        <v>8971</v>
      </c>
      <c r="I714" s="3" t="s">
        <v>9077</v>
      </c>
      <c r="J714" s="3" t="s">
        <v>6950</v>
      </c>
      <c r="K714" s="3" t="s">
        <v>8973</v>
      </c>
      <c r="L714" s="16">
        <v>4.0</v>
      </c>
      <c r="M714" s="3" t="s">
        <v>9198</v>
      </c>
      <c r="N714" s="3" t="s">
        <v>9198</v>
      </c>
      <c r="O714" s="3" t="s">
        <v>9321</v>
      </c>
      <c r="P714" s="16">
        <v>2.0</v>
      </c>
      <c r="Q714" s="16">
        <v>1.0</v>
      </c>
      <c r="R714" s="16">
        <v>0.0</v>
      </c>
      <c r="S714" s="16">
        <v>1.0</v>
      </c>
      <c r="T714" s="3" t="s">
        <v>1969</v>
      </c>
    </row>
    <row r="715">
      <c r="A715" s="3" t="s">
        <v>9410</v>
      </c>
      <c r="B715" s="3" t="s">
        <v>7147</v>
      </c>
      <c r="C715" s="17">
        <v>46391.54166666667</v>
      </c>
      <c r="D715" s="17">
        <v>46391.5625</v>
      </c>
      <c r="E715" s="25">
        <v>0.5</v>
      </c>
      <c r="F715" s="13" t="s">
        <v>9411</v>
      </c>
      <c r="G715" s="3" t="s">
        <v>9412</v>
      </c>
      <c r="H715" s="3" t="s">
        <v>8971</v>
      </c>
      <c r="I715" s="3" t="s">
        <v>9094</v>
      </c>
      <c r="J715" s="3" t="s">
        <v>6853</v>
      </c>
      <c r="K715" s="3" t="s">
        <v>8973</v>
      </c>
      <c r="L715" s="16">
        <v>4.0</v>
      </c>
      <c r="M715" s="3" t="s">
        <v>9349</v>
      </c>
      <c r="N715" s="3" t="s">
        <v>9349</v>
      </c>
      <c r="O715" s="3" t="s">
        <v>9002</v>
      </c>
      <c r="P715" s="16">
        <v>1.0</v>
      </c>
      <c r="Q715" s="16">
        <v>0.0</v>
      </c>
      <c r="R715" s="16">
        <v>0.0</v>
      </c>
      <c r="S715" s="16">
        <v>3.0</v>
      </c>
      <c r="T715" s="3" t="s">
        <v>1725</v>
      </c>
    </row>
    <row r="716">
      <c r="A716" s="3" t="s">
        <v>9325</v>
      </c>
      <c r="B716" s="3" t="s">
        <v>9000</v>
      </c>
      <c r="C716" s="17">
        <v>46391.58333333333</v>
      </c>
      <c r="D716" s="17">
        <v>46391.60416666667</v>
      </c>
      <c r="E716" s="25">
        <v>0.5</v>
      </c>
      <c r="G716" s="2"/>
      <c r="H716" s="3" t="s">
        <v>8971</v>
      </c>
      <c r="I716" s="3" t="s">
        <v>8972</v>
      </c>
      <c r="J716" s="3" t="s">
        <v>6950</v>
      </c>
      <c r="K716" s="3" t="s">
        <v>8973</v>
      </c>
      <c r="L716" s="16">
        <v>4.0</v>
      </c>
      <c r="M716" s="3" t="s">
        <v>9001</v>
      </c>
      <c r="N716" s="3" t="s">
        <v>9001</v>
      </c>
      <c r="O716" s="3" t="s">
        <v>9002</v>
      </c>
      <c r="P716" s="16">
        <v>1.0</v>
      </c>
      <c r="Q716" s="16">
        <v>0.0</v>
      </c>
      <c r="R716" s="16">
        <v>0.0</v>
      </c>
      <c r="S716" s="16">
        <v>3.0</v>
      </c>
      <c r="T716" s="3" t="s">
        <v>2594</v>
      </c>
    </row>
    <row r="717">
      <c r="A717" s="3" t="s">
        <v>9223</v>
      </c>
      <c r="B717" s="3" t="s">
        <v>8418</v>
      </c>
      <c r="C717" s="17">
        <v>46391.60416666667</v>
      </c>
      <c r="D717" s="17">
        <v>46391.625</v>
      </c>
      <c r="E717" s="25">
        <v>0.5</v>
      </c>
      <c r="F717" s="2"/>
      <c r="G717" s="3" t="s">
        <v>9304</v>
      </c>
      <c r="H717" s="3" t="s">
        <v>8971</v>
      </c>
      <c r="I717" s="3" t="s">
        <v>9094</v>
      </c>
      <c r="J717" s="3" t="s">
        <v>6853</v>
      </c>
      <c r="K717" s="3" t="s">
        <v>8973</v>
      </c>
      <c r="L717" s="16">
        <v>2.0</v>
      </c>
      <c r="M717" s="3" t="s">
        <v>9225</v>
      </c>
      <c r="N717" s="3" t="s">
        <v>9225</v>
      </c>
      <c r="O717" s="3" t="s">
        <v>9010</v>
      </c>
      <c r="P717" s="16">
        <v>0.0</v>
      </c>
      <c r="Q717" s="16">
        <v>0.0</v>
      </c>
      <c r="R717" s="16">
        <v>0.0</v>
      </c>
      <c r="S717" s="16">
        <v>2.0</v>
      </c>
      <c r="T717" s="3" t="s">
        <v>2868</v>
      </c>
    </row>
    <row r="718">
      <c r="A718" s="3" t="s">
        <v>9307</v>
      </c>
      <c r="B718" s="3" t="s">
        <v>9137</v>
      </c>
      <c r="C718" s="17">
        <v>46392.5</v>
      </c>
      <c r="D718" s="17">
        <v>46392.52083333333</v>
      </c>
      <c r="E718" s="25">
        <v>0.5</v>
      </c>
      <c r="G718" s="3" t="s">
        <v>9138</v>
      </c>
      <c r="H718" s="3" t="s">
        <v>8971</v>
      </c>
      <c r="I718" s="3" t="s">
        <v>9077</v>
      </c>
      <c r="J718" s="3" t="s">
        <v>6950</v>
      </c>
      <c r="K718" s="3" t="s">
        <v>8973</v>
      </c>
      <c r="L718" s="16">
        <v>3.0</v>
      </c>
      <c r="M718" s="3" t="s">
        <v>9140</v>
      </c>
      <c r="N718" s="3" t="s">
        <v>9141</v>
      </c>
      <c r="O718" s="3" t="s">
        <v>9308</v>
      </c>
      <c r="P718" s="16">
        <v>2.0</v>
      </c>
      <c r="Q718" s="16">
        <v>0.0</v>
      </c>
      <c r="R718" s="16">
        <v>1.0</v>
      </c>
      <c r="S718" s="16">
        <v>0.0</v>
      </c>
      <c r="T718" s="3" t="s">
        <v>4466</v>
      </c>
    </row>
    <row r="719">
      <c r="A719" s="3" t="s">
        <v>9326</v>
      </c>
      <c r="B719" s="3" t="s">
        <v>8991</v>
      </c>
      <c r="C719" s="17">
        <v>46392.54166666667</v>
      </c>
      <c r="D719" s="17">
        <v>46392.5625</v>
      </c>
      <c r="E719" s="25">
        <v>0.5</v>
      </c>
      <c r="F719" s="2"/>
      <c r="G719" s="3" t="s">
        <v>8992</v>
      </c>
      <c r="H719" s="3" t="s">
        <v>8971</v>
      </c>
      <c r="I719" s="3" t="s">
        <v>9077</v>
      </c>
      <c r="J719" s="3" t="s">
        <v>6950</v>
      </c>
      <c r="K719" s="3" t="s">
        <v>8973</v>
      </c>
      <c r="L719" s="16">
        <v>4.0</v>
      </c>
      <c r="M719" s="3" t="s">
        <v>8993</v>
      </c>
      <c r="N719" s="3" t="s">
        <v>8993</v>
      </c>
      <c r="O719" s="3" t="s">
        <v>9204</v>
      </c>
      <c r="P719" s="16">
        <v>3.0</v>
      </c>
      <c r="Q719" s="16">
        <v>0.0</v>
      </c>
      <c r="R719" s="16">
        <v>0.0</v>
      </c>
      <c r="S719" s="16">
        <v>1.0</v>
      </c>
      <c r="T719" s="3" t="s">
        <v>861</v>
      </c>
    </row>
    <row r="720">
      <c r="A720" s="3" t="s">
        <v>9309</v>
      </c>
      <c r="B720" s="3" t="s">
        <v>6844</v>
      </c>
      <c r="C720" s="17">
        <v>46392.5625</v>
      </c>
      <c r="D720" s="17">
        <v>46392.58333333333</v>
      </c>
      <c r="E720" s="25">
        <v>0.5</v>
      </c>
      <c r="F720" s="2"/>
      <c r="G720" s="2"/>
      <c r="H720" s="3" t="s">
        <v>8971</v>
      </c>
      <c r="I720" s="3" t="s">
        <v>9094</v>
      </c>
      <c r="J720" s="3" t="s">
        <v>6853</v>
      </c>
      <c r="K720" s="3" t="s">
        <v>8973</v>
      </c>
      <c r="L720" s="16">
        <v>2.0</v>
      </c>
      <c r="M720" s="3" t="s">
        <v>9310</v>
      </c>
      <c r="N720" s="3" t="s">
        <v>9310</v>
      </c>
      <c r="O720" s="3" t="s">
        <v>9043</v>
      </c>
      <c r="P720" s="16">
        <v>1.0</v>
      </c>
      <c r="Q720" s="16">
        <v>0.0</v>
      </c>
      <c r="R720" s="16">
        <v>0.0</v>
      </c>
      <c r="S720" s="16">
        <v>1.0</v>
      </c>
      <c r="T720" s="3" t="s">
        <v>2616</v>
      </c>
    </row>
    <row r="721">
      <c r="A721" s="3" t="s">
        <v>9453</v>
      </c>
      <c r="B721" s="3" t="s">
        <v>9454</v>
      </c>
      <c r="C721" s="17">
        <v>46392.58333333333</v>
      </c>
      <c r="D721" s="17">
        <v>46392.60416666667</v>
      </c>
      <c r="E721" s="25">
        <v>0.5</v>
      </c>
      <c r="G721" s="3" t="s">
        <v>9455</v>
      </c>
      <c r="H721" s="3" t="s">
        <v>8971</v>
      </c>
      <c r="I721" s="3" t="s">
        <v>9077</v>
      </c>
      <c r="J721" s="3" t="s">
        <v>6950</v>
      </c>
      <c r="K721" s="3" t="s">
        <v>8973</v>
      </c>
      <c r="L721" s="16">
        <v>9.0</v>
      </c>
      <c r="M721" s="3" t="s">
        <v>8982</v>
      </c>
      <c r="N721" s="3" t="s">
        <v>8983</v>
      </c>
      <c r="O721" s="3" t="s">
        <v>9456</v>
      </c>
      <c r="P721" s="16">
        <v>2.0</v>
      </c>
      <c r="Q721" s="16">
        <v>0.0</v>
      </c>
      <c r="R721" s="16">
        <v>1.0</v>
      </c>
      <c r="S721" s="16">
        <v>6.0</v>
      </c>
      <c r="T721" s="3" t="s">
        <v>2109</v>
      </c>
    </row>
    <row r="722">
      <c r="A722" s="3" t="s">
        <v>9334</v>
      </c>
      <c r="B722" s="3" t="s">
        <v>9026</v>
      </c>
      <c r="C722" s="17">
        <v>46394.33333333333</v>
      </c>
      <c r="D722" s="17">
        <v>46394.35416666667</v>
      </c>
      <c r="E722" s="25">
        <v>0.5</v>
      </c>
      <c r="F722" s="2"/>
      <c r="G722" s="2"/>
      <c r="H722" s="3" t="s">
        <v>8971</v>
      </c>
      <c r="I722" s="3" t="s">
        <v>9077</v>
      </c>
      <c r="J722" s="3" t="s">
        <v>6950</v>
      </c>
      <c r="K722" s="3" t="s">
        <v>8973</v>
      </c>
      <c r="L722" s="16">
        <v>4.0</v>
      </c>
      <c r="M722" s="3" t="s">
        <v>9027</v>
      </c>
      <c r="N722" s="3" t="s">
        <v>9027</v>
      </c>
      <c r="O722" s="3" t="s">
        <v>9335</v>
      </c>
      <c r="P722" s="16">
        <v>2.0</v>
      </c>
      <c r="Q722" s="16">
        <v>0.0</v>
      </c>
      <c r="R722" s="16">
        <v>0.0</v>
      </c>
      <c r="S722" s="16">
        <v>2.0</v>
      </c>
      <c r="T722" s="3" t="s">
        <v>5681</v>
      </c>
    </row>
    <row r="723">
      <c r="A723" s="3" t="s">
        <v>9336</v>
      </c>
      <c r="B723" s="3" t="s">
        <v>8080</v>
      </c>
      <c r="C723" s="17">
        <v>46394.39583333333</v>
      </c>
      <c r="D723" s="17">
        <v>46394.41666666667</v>
      </c>
      <c r="E723" s="25">
        <v>0.5</v>
      </c>
      <c r="G723" s="3" t="s">
        <v>9337</v>
      </c>
      <c r="H723" s="3" t="s">
        <v>8971</v>
      </c>
      <c r="I723" s="3" t="s">
        <v>9077</v>
      </c>
      <c r="J723" s="3" t="s">
        <v>9206</v>
      </c>
      <c r="K723" s="3" t="s">
        <v>8973</v>
      </c>
      <c r="L723" s="16">
        <v>7.0</v>
      </c>
      <c r="M723" s="3" t="s">
        <v>9338</v>
      </c>
      <c r="N723" s="3" t="s">
        <v>9338</v>
      </c>
      <c r="O723" s="3" t="s">
        <v>9457</v>
      </c>
      <c r="P723" s="16">
        <v>5.0</v>
      </c>
      <c r="Q723" s="16">
        <v>0.0</v>
      </c>
      <c r="R723" s="16">
        <v>0.0</v>
      </c>
      <c r="S723" s="16">
        <v>2.0</v>
      </c>
      <c r="T723" s="3" t="s">
        <v>3028</v>
      </c>
    </row>
    <row r="724">
      <c r="A724" s="3" t="s">
        <v>9458</v>
      </c>
      <c r="B724" s="3" t="s">
        <v>9022</v>
      </c>
      <c r="C724" s="17">
        <v>46394.4375</v>
      </c>
      <c r="D724" s="17">
        <v>46394.45833333333</v>
      </c>
      <c r="E724" s="25">
        <v>0.5</v>
      </c>
      <c r="G724" s="2"/>
      <c r="H724" s="3" t="s">
        <v>8971</v>
      </c>
      <c r="I724" s="3" t="s">
        <v>9077</v>
      </c>
      <c r="J724" s="3" t="s">
        <v>6950</v>
      </c>
      <c r="K724" s="3" t="s">
        <v>8973</v>
      </c>
      <c r="L724" s="16">
        <v>2.0</v>
      </c>
      <c r="M724" s="3" t="s">
        <v>9023</v>
      </c>
      <c r="N724" s="3" t="s">
        <v>9023</v>
      </c>
      <c r="O724" s="3" t="s">
        <v>9024</v>
      </c>
      <c r="P724" s="16">
        <v>2.0</v>
      </c>
      <c r="Q724" s="16">
        <v>0.0</v>
      </c>
      <c r="R724" s="16">
        <v>0.0</v>
      </c>
      <c r="S724" s="16">
        <v>0.0</v>
      </c>
      <c r="T724" s="3" t="s">
        <v>5396</v>
      </c>
    </row>
    <row r="725">
      <c r="A725" s="3" t="s">
        <v>9340</v>
      </c>
      <c r="B725" s="3" t="s">
        <v>9176</v>
      </c>
      <c r="C725" s="17">
        <v>46394.47916666667</v>
      </c>
      <c r="D725" s="17">
        <v>46394.5</v>
      </c>
      <c r="E725" s="25">
        <v>0.5</v>
      </c>
      <c r="F725" s="2"/>
      <c r="G725" s="2"/>
      <c r="H725" s="3" t="s">
        <v>8971</v>
      </c>
      <c r="I725" s="3" t="s">
        <v>9077</v>
      </c>
      <c r="J725" s="3" t="s">
        <v>6950</v>
      </c>
      <c r="K725" s="3" t="s">
        <v>8973</v>
      </c>
      <c r="L725" s="16">
        <v>5.0</v>
      </c>
      <c r="M725" s="3" t="s">
        <v>9341</v>
      </c>
      <c r="N725" s="3" t="s">
        <v>9341</v>
      </c>
      <c r="O725" s="3" t="s">
        <v>9342</v>
      </c>
      <c r="P725" s="16">
        <v>4.0</v>
      </c>
      <c r="Q725" s="16">
        <v>0.0</v>
      </c>
      <c r="R725" s="16">
        <v>0.0</v>
      </c>
      <c r="S725" s="16">
        <v>1.0</v>
      </c>
      <c r="T725" s="2"/>
    </row>
    <row r="726">
      <c r="A726" s="3" t="s">
        <v>9459</v>
      </c>
      <c r="B726" s="3" t="s">
        <v>9460</v>
      </c>
      <c r="C726" s="17">
        <v>46394.5</v>
      </c>
      <c r="D726" s="17">
        <v>46394.52083333333</v>
      </c>
      <c r="E726" s="25">
        <v>0.5</v>
      </c>
      <c r="F726" s="2"/>
      <c r="G726" s="2"/>
      <c r="H726" s="3" t="s">
        <v>8971</v>
      </c>
      <c r="I726" s="3" t="s">
        <v>9094</v>
      </c>
      <c r="J726" s="3" t="s">
        <v>6853</v>
      </c>
      <c r="K726" s="3" t="s">
        <v>8973</v>
      </c>
      <c r="L726" s="16">
        <v>1.0</v>
      </c>
      <c r="M726" s="3" t="s">
        <v>8912</v>
      </c>
      <c r="N726" s="3" t="s">
        <v>8912</v>
      </c>
      <c r="O726" s="3" t="s">
        <v>9077</v>
      </c>
      <c r="P726" s="16">
        <v>1.0</v>
      </c>
      <c r="Q726" s="16">
        <v>0.0</v>
      </c>
      <c r="R726" s="16">
        <v>0.0</v>
      </c>
      <c r="S726" s="16">
        <v>0.0</v>
      </c>
      <c r="T726" s="3" t="s">
        <v>1195</v>
      </c>
    </row>
    <row r="727">
      <c r="A727" s="3" t="s">
        <v>9441</v>
      </c>
      <c r="B727" s="3" t="s">
        <v>7840</v>
      </c>
      <c r="C727" s="17">
        <v>46398.58333333333</v>
      </c>
      <c r="D727" s="17">
        <v>46398.60416666667</v>
      </c>
      <c r="E727" s="25">
        <v>0.5</v>
      </c>
      <c r="G727" s="2"/>
      <c r="H727" s="3" t="s">
        <v>8971</v>
      </c>
      <c r="I727" s="3" t="s">
        <v>9094</v>
      </c>
      <c r="J727" s="3" t="s">
        <v>6853</v>
      </c>
      <c r="K727" s="3" t="s">
        <v>8973</v>
      </c>
      <c r="L727" s="16">
        <v>4.0</v>
      </c>
      <c r="M727" s="3" t="s">
        <v>9166</v>
      </c>
      <c r="N727" s="3" t="s">
        <v>9166</v>
      </c>
      <c r="O727" s="3" t="s">
        <v>9002</v>
      </c>
      <c r="P727" s="16">
        <v>1.0</v>
      </c>
      <c r="Q727" s="16">
        <v>0.0</v>
      </c>
      <c r="R727" s="16">
        <v>0.0</v>
      </c>
      <c r="S727" s="16">
        <v>3.0</v>
      </c>
      <c r="T727" s="3" t="s">
        <v>5544</v>
      </c>
    </row>
    <row r="728">
      <c r="A728" s="3" t="s">
        <v>9223</v>
      </c>
      <c r="B728" s="3" t="s">
        <v>8418</v>
      </c>
      <c r="C728" s="17">
        <v>46398.60416666667</v>
      </c>
      <c r="D728" s="17">
        <v>46398.625</v>
      </c>
      <c r="E728" s="25">
        <v>0.5</v>
      </c>
      <c r="G728" s="3" t="s">
        <v>9304</v>
      </c>
      <c r="H728" s="3" t="s">
        <v>8971</v>
      </c>
      <c r="I728" s="3" t="s">
        <v>9094</v>
      </c>
      <c r="J728" s="3" t="s">
        <v>6853</v>
      </c>
      <c r="K728" s="3" t="s">
        <v>8973</v>
      </c>
      <c r="L728" s="16">
        <v>2.0</v>
      </c>
      <c r="M728" s="3" t="s">
        <v>9225</v>
      </c>
      <c r="N728" s="3" t="s">
        <v>9225</v>
      </c>
      <c r="O728" s="3" t="s">
        <v>9010</v>
      </c>
      <c r="P728" s="16">
        <v>0.0</v>
      </c>
      <c r="Q728" s="16">
        <v>0.0</v>
      </c>
      <c r="R728" s="16">
        <v>0.0</v>
      </c>
      <c r="S728" s="16">
        <v>2.0</v>
      </c>
      <c r="T728" s="3" t="s">
        <v>2868</v>
      </c>
    </row>
    <row r="729">
      <c r="A729" s="3" t="s">
        <v>9307</v>
      </c>
      <c r="B729" s="3" t="s">
        <v>9137</v>
      </c>
      <c r="C729" s="17">
        <v>46399.5</v>
      </c>
      <c r="D729" s="17">
        <v>46399.52083333333</v>
      </c>
      <c r="E729" s="25">
        <v>0.5</v>
      </c>
      <c r="G729" s="3" t="s">
        <v>9138</v>
      </c>
      <c r="H729" s="3" t="s">
        <v>8971</v>
      </c>
      <c r="I729" s="3" t="s">
        <v>9077</v>
      </c>
      <c r="J729" s="3" t="s">
        <v>6950</v>
      </c>
      <c r="K729" s="3" t="s">
        <v>8973</v>
      </c>
      <c r="L729" s="16">
        <v>3.0</v>
      </c>
      <c r="M729" s="3" t="s">
        <v>9140</v>
      </c>
      <c r="N729" s="3" t="s">
        <v>9141</v>
      </c>
      <c r="O729" s="3" t="s">
        <v>9308</v>
      </c>
      <c r="P729" s="16">
        <v>2.0</v>
      </c>
      <c r="Q729" s="16">
        <v>0.0</v>
      </c>
      <c r="R729" s="16">
        <v>1.0</v>
      </c>
      <c r="S729" s="16">
        <v>0.0</v>
      </c>
      <c r="T729" s="3" t="s">
        <v>4466</v>
      </c>
    </row>
    <row r="730">
      <c r="A730" s="3" t="s">
        <v>9309</v>
      </c>
      <c r="B730" s="3" t="s">
        <v>6844</v>
      </c>
      <c r="C730" s="17">
        <v>46399.5625</v>
      </c>
      <c r="D730" s="17">
        <v>46399.58333333333</v>
      </c>
      <c r="E730" s="25">
        <v>0.5</v>
      </c>
      <c r="F730" s="2"/>
      <c r="G730" s="2"/>
      <c r="H730" s="3" t="s">
        <v>8971</v>
      </c>
      <c r="I730" s="3" t="s">
        <v>9094</v>
      </c>
      <c r="J730" s="3" t="s">
        <v>6853</v>
      </c>
      <c r="K730" s="3" t="s">
        <v>8973</v>
      </c>
      <c r="L730" s="16">
        <v>2.0</v>
      </c>
      <c r="M730" s="3" t="s">
        <v>9310</v>
      </c>
      <c r="N730" s="3" t="s">
        <v>9310</v>
      </c>
      <c r="O730" s="3" t="s">
        <v>9043</v>
      </c>
      <c r="P730" s="16">
        <v>1.0</v>
      </c>
      <c r="Q730" s="16">
        <v>0.0</v>
      </c>
      <c r="R730" s="16">
        <v>0.0</v>
      </c>
      <c r="S730" s="16">
        <v>1.0</v>
      </c>
      <c r="T730" s="3" t="s">
        <v>2616</v>
      </c>
    </row>
    <row r="731">
      <c r="A731" s="3" t="s">
        <v>9442</v>
      </c>
      <c r="B731" s="3" t="s">
        <v>8969</v>
      </c>
      <c r="C731" s="17">
        <v>46399.58333333333</v>
      </c>
      <c r="D731" s="17">
        <v>46399.60416666667</v>
      </c>
      <c r="E731" s="25">
        <v>0.5</v>
      </c>
      <c r="G731" s="3" t="s">
        <v>8970</v>
      </c>
      <c r="H731" s="3" t="s">
        <v>8971</v>
      </c>
      <c r="I731" s="3" t="s">
        <v>9094</v>
      </c>
      <c r="J731" s="3" t="s">
        <v>6853</v>
      </c>
      <c r="K731" s="3" t="s">
        <v>8973</v>
      </c>
      <c r="L731" s="16">
        <v>3.0</v>
      </c>
      <c r="M731" s="3" t="s">
        <v>9436</v>
      </c>
      <c r="N731" s="3" t="s">
        <v>9436</v>
      </c>
      <c r="O731" s="3" t="s">
        <v>9147</v>
      </c>
      <c r="P731" s="16">
        <v>2.0</v>
      </c>
      <c r="Q731" s="16">
        <v>0.0</v>
      </c>
      <c r="R731" s="16">
        <v>0.0</v>
      </c>
      <c r="S731" s="16">
        <v>1.0</v>
      </c>
      <c r="T731" s="3" t="s">
        <v>5498</v>
      </c>
    </row>
    <row r="732">
      <c r="A732" s="3" t="s">
        <v>9384</v>
      </c>
      <c r="B732" s="3" t="s">
        <v>9015</v>
      </c>
      <c r="C732" s="17">
        <v>46400.54166666667</v>
      </c>
      <c r="D732" s="17">
        <v>46400.5625</v>
      </c>
      <c r="E732" s="25">
        <v>0.5</v>
      </c>
      <c r="G732" s="2"/>
      <c r="H732" s="3" t="s">
        <v>8971</v>
      </c>
      <c r="I732" s="3" t="s">
        <v>9077</v>
      </c>
      <c r="J732" s="3" t="s">
        <v>6950</v>
      </c>
      <c r="K732" s="3" t="s">
        <v>8973</v>
      </c>
      <c r="L732" s="16">
        <v>3.0</v>
      </c>
      <c r="M732" s="3" t="s">
        <v>9016</v>
      </c>
      <c r="N732" s="3" t="s">
        <v>9016</v>
      </c>
      <c r="O732" s="3" t="s">
        <v>9017</v>
      </c>
      <c r="P732" s="16">
        <v>3.0</v>
      </c>
      <c r="Q732" s="16">
        <v>0.0</v>
      </c>
      <c r="R732" s="16">
        <v>0.0</v>
      </c>
      <c r="S732" s="16">
        <v>0.0</v>
      </c>
      <c r="T732" s="3" t="s">
        <v>1975</v>
      </c>
    </row>
    <row r="733">
      <c r="A733" s="3" t="s">
        <v>9262</v>
      </c>
      <c r="B733" s="3" t="s">
        <v>9263</v>
      </c>
      <c r="C733" s="17">
        <v>46401.4375</v>
      </c>
      <c r="D733" s="17">
        <v>46401.45833333333</v>
      </c>
      <c r="E733" s="25">
        <v>0.5</v>
      </c>
      <c r="G733" s="2"/>
      <c r="H733" s="3" t="s">
        <v>8971</v>
      </c>
      <c r="I733" s="3" t="s">
        <v>9077</v>
      </c>
      <c r="J733" s="3" t="s">
        <v>6950</v>
      </c>
      <c r="K733" s="3" t="s">
        <v>8973</v>
      </c>
      <c r="L733" s="16">
        <v>4.0</v>
      </c>
      <c r="M733" s="3" t="s">
        <v>9311</v>
      </c>
      <c r="N733" s="3" t="s">
        <v>9312</v>
      </c>
      <c r="O733" s="3" t="s">
        <v>9167</v>
      </c>
      <c r="P733" s="16">
        <v>4.0</v>
      </c>
      <c r="Q733" s="16">
        <v>0.0</v>
      </c>
      <c r="R733" s="16">
        <v>0.0</v>
      </c>
      <c r="S733" s="16">
        <v>0.0</v>
      </c>
      <c r="T733" s="3" t="s">
        <v>2672</v>
      </c>
    </row>
    <row r="734">
      <c r="A734" s="3" t="s">
        <v>9314</v>
      </c>
      <c r="B734" s="3" t="s">
        <v>9315</v>
      </c>
      <c r="C734" s="17">
        <v>46401.58333333333</v>
      </c>
      <c r="D734" s="17">
        <v>46401.60416666667</v>
      </c>
      <c r="E734" s="25">
        <v>0.5</v>
      </c>
      <c r="F734" s="2"/>
      <c r="G734" s="2"/>
      <c r="H734" s="3" t="s">
        <v>8971</v>
      </c>
      <c r="I734" s="3" t="s">
        <v>9077</v>
      </c>
      <c r="J734" s="3" t="s">
        <v>6950</v>
      </c>
      <c r="K734" s="3" t="s">
        <v>8973</v>
      </c>
      <c r="L734" s="16">
        <v>6.0</v>
      </c>
      <c r="M734" s="3" t="s">
        <v>9316</v>
      </c>
      <c r="N734" s="3" t="s">
        <v>9316</v>
      </c>
      <c r="O734" s="3" t="s">
        <v>9397</v>
      </c>
      <c r="P734" s="16">
        <v>1.0</v>
      </c>
      <c r="Q734" s="16">
        <v>3.0</v>
      </c>
      <c r="R734" s="16">
        <v>0.0</v>
      </c>
      <c r="S734" s="16">
        <v>2.0</v>
      </c>
      <c r="T734" s="3" t="s">
        <v>5285</v>
      </c>
    </row>
    <row r="735">
      <c r="A735" s="2"/>
      <c r="B735" s="2"/>
      <c r="C735" s="18"/>
      <c r="D735" s="18"/>
      <c r="E735" s="26"/>
      <c r="G735" s="2"/>
      <c r="H735" s="2"/>
      <c r="I735" s="2"/>
      <c r="J735" s="2"/>
      <c r="K735" s="2"/>
      <c r="M735" s="2"/>
      <c r="N735" s="2"/>
      <c r="O735" s="2"/>
    </row>
    <row r="736">
      <c r="A736" s="2"/>
      <c r="B736" s="2"/>
      <c r="C736" s="18"/>
      <c r="D736" s="18"/>
      <c r="E736" s="26"/>
      <c r="G736" s="2"/>
      <c r="H736" s="2"/>
      <c r="I736" s="2"/>
      <c r="J736" s="2"/>
      <c r="K736" s="2"/>
      <c r="M736" s="2"/>
      <c r="N736" s="2"/>
      <c r="O736" s="2"/>
    </row>
    <row r="737">
      <c r="A737" s="2"/>
      <c r="B737" s="2"/>
      <c r="C737" s="18"/>
      <c r="D737" s="18"/>
      <c r="E737" s="26"/>
      <c r="G737" s="2"/>
      <c r="H737" s="2"/>
      <c r="I737" s="2"/>
      <c r="J737" s="2"/>
      <c r="K737" s="2"/>
      <c r="M737" s="2"/>
      <c r="N737" s="2"/>
      <c r="O737" s="2"/>
    </row>
    <row r="738">
      <c r="A738" s="2"/>
      <c r="B738" s="2"/>
      <c r="C738" s="18"/>
      <c r="D738" s="18"/>
      <c r="E738" s="26"/>
      <c r="G738" s="2"/>
      <c r="H738" s="2"/>
      <c r="I738" s="2"/>
      <c r="J738" s="2"/>
      <c r="K738" s="2"/>
      <c r="M738" s="2"/>
      <c r="N738" s="2"/>
      <c r="O738" s="2"/>
    </row>
    <row r="739">
      <c r="A739" s="2"/>
      <c r="B739" s="2"/>
      <c r="C739" s="18"/>
      <c r="D739" s="18"/>
      <c r="E739" s="26"/>
      <c r="G739" s="2"/>
      <c r="H739" s="2"/>
      <c r="I739" s="2"/>
      <c r="J739" s="2"/>
      <c r="K739" s="2"/>
      <c r="M739" s="2"/>
      <c r="N739" s="2"/>
      <c r="O739" s="2"/>
    </row>
    <row r="740">
      <c r="A740" s="2"/>
      <c r="B740" s="2"/>
      <c r="C740" s="18"/>
      <c r="D740" s="18"/>
      <c r="E740" s="26"/>
      <c r="G740" s="2"/>
      <c r="H740" s="2"/>
      <c r="I740" s="2"/>
      <c r="J740" s="2"/>
      <c r="K740" s="2"/>
      <c r="M740" s="2"/>
      <c r="N740" s="2"/>
      <c r="O740" s="2"/>
    </row>
    <row r="741">
      <c r="A741" s="2"/>
      <c r="B741" s="2"/>
      <c r="C741" s="18"/>
      <c r="D741" s="18"/>
      <c r="E741" s="26"/>
      <c r="G741" s="2"/>
      <c r="H741" s="2"/>
      <c r="I741" s="2"/>
      <c r="J741" s="2"/>
      <c r="K741" s="2"/>
      <c r="M741" s="2"/>
      <c r="N741" s="2"/>
      <c r="O741" s="2"/>
    </row>
    <row r="742">
      <c r="A742" s="2"/>
      <c r="B742" s="2"/>
      <c r="C742" s="18"/>
      <c r="D742" s="18"/>
      <c r="E742" s="26"/>
      <c r="G742" s="2"/>
      <c r="H742" s="2"/>
      <c r="I742" s="2"/>
      <c r="J742" s="2"/>
      <c r="K742" s="2"/>
      <c r="M742" s="2"/>
      <c r="N742" s="2"/>
      <c r="O742" s="2"/>
    </row>
    <row r="743">
      <c r="A743" s="2"/>
      <c r="B743" s="2"/>
      <c r="C743" s="18"/>
      <c r="D743" s="18"/>
      <c r="E743" s="26"/>
      <c r="F743" s="2"/>
      <c r="G743" s="2"/>
      <c r="H743" s="2"/>
      <c r="I743" s="2"/>
      <c r="J743" s="2"/>
      <c r="K743" s="2"/>
      <c r="M743" s="2"/>
      <c r="N743" s="2"/>
      <c r="O743" s="2"/>
    </row>
    <row r="744">
      <c r="A744" s="2"/>
      <c r="B744" s="2"/>
      <c r="C744" s="18"/>
      <c r="D744" s="18"/>
      <c r="E744" s="26"/>
      <c r="F744" s="2"/>
      <c r="G744" s="2"/>
      <c r="H744" s="2"/>
      <c r="I744" s="2"/>
      <c r="J744" s="2"/>
      <c r="K744" s="2"/>
      <c r="M744" s="2"/>
      <c r="N744" s="2"/>
      <c r="O744" s="2"/>
    </row>
    <row r="745">
      <c r="A745" s="2"/>
      <c r="B745" s="2"/>
      <c r="C745" s="18"/>
      <c r="D745" s="18"/>
      <c r="E745" s="26"/>
      <c r="H745" s="2"/>
      <c r="I745" s="2"/>
      <c r="J745" s="2"/>
      <c r="K745" s="2"/>
      <c r="M745" s="2"/>
      <c r="N745" s="2"/>
      <c r="O745" s="2"/>
    </row>
    <row r="746">
      <c r="A746" s="2"/>
      <c r="B746" s="2"/>
      <c r="C746" s="18"/>
      <c r="D746" s="18"/>
      <c r="E746" s="26"/>
      <c r="G746" s="2"/>
      <c r="H746" s="2"/>
      <c r="I746" s="2"/>
      <c r="J746" s="2"/>
      <c r="K746" s="2"/>
      <c r="M746" s="2"/>
      <c r="N746" s="2"/>
      <c r="O746" s="2"/>
    </row>
    <row r="747">
      <c r="A747" s="2"/>
      <c r="B747" s="2"/>
      <c r="C747" s="18"/>
      <c r="D747" s="18"/>
      <c r="E747" s="26"/>
      <c r="G747" s="2"/>
      <c r="H747" s="2"/>
      <c r="I747" s="2"/>
      <c r="J747" s="2"/>
      <c r="K747" s="2"/>
      <c r="M747" s="2"/>
      <c r="N747" s="2"/>
      <c r="O747" s="2"/>
    </row>
    <row r="748">
      <c r="A748" s="2"/>
      <c r="B748" s="2"/>
      <c r="C748" s="18"/>
      <c r="D748" s="18"/>
      <c r="E748" s="26"/>
      <c r="F748" s="2"/>
      <c r="G748" s="2"/>
      <c r="H748" s="2"/>
      <c r="I748" s="2"/>
      <c r="J748" s="2"/>
      <c r="K748" s="2"/>
      <c r="M748" s="2"/>
      <c r="N748" s="2"/>
      <c r="O748" s="2"/>
    </row>
    <row r="749">
      <c r="A749" s="2"/>
      <c r="B749" s="2"/>
      <c r="C749" s="18"/>
      <c r="D749" s="18"/>
      <c r="E749" s="26"/>
      <c r="G749" s="2"/>
      <c r="H749" s="2"/>
      <c r="I749" s="2"/>
      <c r="J749" s="2"/>
      <c r="K749" s="2"/>
      <c r="M749" s="2"/>
      <c r="N749" s="2"/>
      <c r="O749" s="2"/>
    </row>
    <row r="750">
      <c r="A750" s="2"/>
      <c r="B750" s="2"/>
      <c r="C750" s="18"/>
      <c r="D750" s="18"/>
      <c r="E750" s="26"/>
      <c r="G750" s="2"/>
      <c r="H750" s="2"/>
      <c r="I750" s="2"/>
      <c r="J750" s="2"/>
      <c r="K750" s="2"/>
      <c r="M750" s="2"/>
      <c r="N750" s="2"/>
      <c r="O750" s="2"/>
    </row>
    <row r="751">
      <c r="A751" s="2"/>
      <c r="B751" s="2"/>
      <c r="C751" s="18"/>
      <c r="D751" s="18"/>
      <c r="E751" s="26"/>
      <c r="G751" s="2"/>
      <c r="H751" s="2"/>
      <c r="I751" s="2"/>
      <c r="J751" s="2"/>
      <c r="K751" s="2"/>
      <c r="M751" s="2"/>
      <c r="N751" s="2"/>
      <c r="O751" s="2"/>
    </row>
    <row r="752">
      <c r="A752" s="2"/>
      <c r="B752" s="2"/>
      <c r="C752" s="18"/>
      <c r="D752" s="18"/>
      <c r="E752" s="26"/>
      <c r="F752" s="2"/>
      <c r="G752" s="2"/>
      <c r="H752" s="2"/>
      <c r="I752" s="2"/>
      <c r="J752" s="2"/>
      <c r="K752" s="2"/>
      <c r="M752" s="2"/>
      <c r="N752" s="2"/>
      <c r="O752" s="2"/>
    </row>
    <row r="753">
      <c r="A753" s="2"/>
      <c r="B753" s="2"/>
      <c r="C753" s="18"/>
      <c r="D753" s="18"/>
      <c r="E753" s="26"/>
      <c r="G753" s="2"/>
      <c r="H753" s="2"/>
      <c r="I753" s="2"/>
      <c r="J753" s="2"/>
      <c r="K753" s="2"/>
      <c r="M753" s="2"/>
      <c r="N753" s="2"/>
      <c r="O753" s="2"/>
    </row>
    <row r="754">
      <c r="A754" s="2"/>
      <c r="B754" s="2"/>
      <c r="C754" s="18"/>
      <c r="D754" s="18"/>
      <c r="E754" s="26"/>
      <c r="G754" s="2"/>
      <c r="H754" s="2"/>
      <c r="I754" s="2"/>
      <c r="J754" s="2"/>
      <c r="K754" s="2"/>
      <c r="M754" s="2"/>
      <c r="N754" s="2"/>
      <c r="O754" s="2"/>
    </row>
    <row r="755">
      <c r="A755" s="2"/>
      <c r="B755" s="2"/>
      <c r="C755" s="18"/>
      <c r="D755" s="18"/>
      <c r="E755" s="26"/>
      <c r="G755" s="2"/>
      <c r="H755" s="2"/>
      <c r="I755" s="2"/>
      <c r="J755" s="2"/>
      <c r="K755" s="2"/>
      <c r="M755" s="2"/>
      <c r="N755" s="2"/>
      <c r="O755" s="2"/>
    </row>
    <row r="756">
      <c r="A756" s="2"/>
      <c r="B756" s="2"/>
      <c r="C756" s="18"/>
      <c r="D756" s="18"/>
      <c r="E756" s="26"/>
      <c r="F756" s="2"/>
      <c r="G756" s="2"/>
      <c r="H756" s="2"/>
      <c r="I756" s="2"/>
      <c r="J756" s="2"/>
      <c r="K756" s="2"/>
      <c r="M756" s="2"/>
      <c r="N756" s="2"/>
      <c r="O756" s="2"/>
    </row>
    <row r="757">
      <c r="A757" s="2"/>
      <c r="B757" s="2"/>
      <c r="C757" s="18"/>
      <c r="D757" s="18"/>
      <c r="E757" s="26"/>
      <c r="H757" s="2"/>
      <c r="I757" s="2"/>
      <c r="J757" s="2"/>
      <c r="K757" s="2"/>
      <c r="M757" s="2"/>
      <c r="N757" s="2"/>
      <c r="O757" s="2"/>
    </row>
    <row r="758">
      <c r="A758" s="2"/>
      <c r="B758" s="2"/>
      <c r="C758" s="18"/>
      <c r="D758" s="18"/>
      <c r="E758" s="26"/>
      <c r="H758" s="2"/>
      <c r="I758" s="2"/>
      <c r="J758" s="2"/>
      <c r="K758" s="2"/>
      <c r="M758" s="2"/>
      <c r="N758" s="2"/>
      <c r="O758" s="2"/>
    </row>
    <row r="759">
      <c r="A759" s="2"/>
      <c r="B759" s="2"/>
      <c r="C759" s="18"/>
      <c r="D759" s="18"/>
      <c r="E759" s="26"/>
      <c r="G759" s="2"/>
      <c r="H759" s="2"/>
      <c r="I759" s="2"/>
      <c r="J759" s="2"/>
      <c r="K759" s="2"/>
      <c r="M759" s="2"/>
      <c r="N759" s="2"/>
      <c r="O759" s="2"/>
    </row>
    <row r="760">
      <c r="A760" s="2"/>
      <c r="B760" s="2"/>
      <c r="C760" s="18"/>
      <c r="D760" s="18"/>
      <c r="E760" s="26"/>
      <c r="F760" s="2"/>
      <c r="H760" s="2"/>
      <c r="I760" s="2"/>
      <c r="J760" s="2"/>
      <c r="K760" s="2"/>
      <c r="M760" s="2"/>
      <c r="N760" s="2"/>
      <c r="O760" s="2"/>
    </row>
    <row r="761">
      <c r="A761" s="2"/>
      <c r="B761" s="2"/>
      <c r="C761" s="18"/>
      <c r="D761" s="18"/>
      <c r="E761" s="26"/>
      <c r="F761" s="2"/>
      <c r="G761" s="2"/>
      <c r="H761" s="2"/>
      <c r="I761" s="2"/>
      <c r="J761" s="2"/>
      <c r="K761" s="2"/>
      <c r="M761" s="2"/>
      <c r="N761" s="2"/>
      <c r="O761" s="2"/>
    </row>
    <row r="762">
      <c r="A762" s="2"/>
      <c r="B762" s="2"/>
      <c r="C762" s="18"/>
      <c r="D762" s="18"/>
      <c r="E762" s="26"/>
      <c r="G762" s="2"/>
      <c r="H762" s="2"/>
      <c r="I762" s="2"/>
      <c r="J762" s="2"/>
      <c r="K762" s="2"/>
      <c r="M762" s="2"/>
      <c r="N762" s="2"/>
      <c r="O762" s="2"/>
    </row>
    <row r="763">
      <c r="A763" s="2"/>
      <c r="B763" s="2"/>
      <c r="C763" s="18"/>
      <c r="D763" s="18"/>
      <c r="E763" s="26"/>
      <c r="G763" s="2"/>
      <c r="H763" s="2"/>
      <c r="I763" s="2"/>
      <c r="J763" s="2"/>
      <c r="K763" s="2"/>
      <c r="M763" s="2"/>
      <c r="N763" s="2"/>
      <c r="O763" s="2"/>
    </row>
    <row r="764">
      <c r="A764" s="2"/>
      <c r="B764" s="2"/>
      <c r="C764" s="18"/>
      <c r="D764" s="18"/>
      <c r="E764" s="26"/>
      <c r="G764" s="2"/>
      <c r="H764" s="2"/>
      <c r="I764" s="2"/>
      <c r="J764" s="2"/>
      <c r="K764" s="2"/>
      <c r="M764" s="2"/>
      <c r="N764" s="2"/>
      <c r="O764" s="2"/>
    </row>
    <row r="765">
      <c r="A765" s="2"/>
      <c r="B765" s="2"/>
      <c r="C765" s="18"/>
      <c r="D765" s="18"/>
      <c r="E765" s="26"/>
      <c r="H765" s="2"/>
      <c r="I765" s="2"/>
      <c r="J765" s="2"/>
      <c r="K765" s="2"/>
      <c r="M765" s="2"/>
      <c r="N765" s="2"/>
      <c r="O765" s="2"/>
    </row>
    <row r="766">
      <c r="A766" s="2"/>
      <c r="B766" s="2"/>
      <c r="C766" s="18"/>
      <c r="D766" s="18"/>
      <c r="E766" s="26"/>
      <c r="F766" s="2"/>
      <c r="G766" s="2"/>
      <c r="H766" s="2"/>
      <c r="I766" s="2"/>
      <c r="J766" s="2"/>
      <c r="K766" s="2"/>
      <c r="M766" s="2"/>
      <c r="N766" s="2"/>
      <c r="O766" s="2"/>
    </row>
    <row r="767">
      <c r="A767" s="2"/>
      <c r="B767" s="2"/>
      <c r="C767" s="18"/>
      <c r="D767" s="18"/>
      <c r="E767" s="26"/>
      <c r="F767" s="2"/>
      <c r="G767" s="2"/>
      <c r="H767" s="2"/>
      <c r="I767" s="2"/>
      <c r="J767" s="2"/>
      <c r="K767" s="2"/>
      <c r="M767" s="2"/>
      <c r="N767" s="2"/>
      <c r="O767" s="2"/>
    </row>
    <row r="768">
      <c r="A768" s="2"/>
      <c r="B768" s="2"/>
      <c r="C768" s="18"/>
      <c r="D768" s="18"/>
      <c r="E768" s="26"/>
      <c r="H768" s="2"/>
      <c r="I768" s="2"/>
      <c r="J768" s="2"/>
      <c r="K768" s="2"/>
      <c r="M768" s="2"/>
      <c r="N768" s="2"/>
      <c r="O768" s="2"/>
    </row>
    <row r="769">
      <c r="A769" s="2"/>
      <c r="B769" s="2"/>
      <c r="C769" s="18"/>
      <c r="D769" s="18"/>
      <c r="E769" s="26"/>
      <c r="H769" s="2"/>
      <c r="I769" s="2"/>
      <c r="J769" s="2"/>
      <c r="K769" s="2"/>
      <c r="M769" s="2"/>
      <c r="N769" s="2"/>
      <c r="O769" s="2"/>
    </row>
    <row r="770">
      <c r="A770" s="2"/>
      <c r="B770" s="2"/>
      <c r="C770" s="18"/>
      <c r="D770" s="18"/>
      <c r="E770" s="26"/>
      <c r="G770" s="2"/>
      <c r="H770" s="2"/>
      <c r="I770" s="2"/>
      <c r="J770" s="2"/>
      <c r="K770" s="2"/>
      <c r="M770" s="2"/>
      <c r="N770" s="2"/>
      <c r="O770" s="2"/>
    </row>
    <row r="771">
      <c r="A771" s="2"/>
      <c r="B771" s="2"/>
      <c r="C771" s="18"/>
      <c r="D771" s="18"/>
      <c r="E771" s="26"/>
      <c r="G771" s="2"/>
      <c r="H771" s="2"/>
      <c r="I771" s="2"/>
      <c r="J771" s="2"/>
      <c r="K771" s="2"/>
      <c r="M771" s="2"/>
      <c r="N771" s="2"/>
      <c r="O771" s="2"/>
    </row>
    <row r="772">
      <c r="A772" s="2"/>
      <c r="B772" s="2"/>
      <c r="C772" s="18"/>
      <c r="D772" s="18"/>
      <c r="E772" s="26"/>
      <c r="F772" s="2"/>
      <c r="G772" s="2"/>
      <c r="H772" s="2"/>
      <c r="I772" s="2"/>
      <c r="J772" s="2"/>
      <c r="K772" s="2"/>
      <c r="M772" s="2"/>
      <c r="N772" s="2"/>
      <c r="O772" s="2"/>
    </row>
    <row r="773">
      <c r="A773" s="2"/>
      <c r="B773" s="2"/>
      <c r="C773" s="18"/>
      <c r="D773" s="18"/>
      <c r="E773" s="26"/>
      <c r="H773" s="2"/>
      <c r="I773" s="2"/>
      <c r="J773" s="2"/>
      <c r="K773" s="2"/>
      <c r="M773" s="2"/>
      <c r="N773" s="2"/>
      <c r="O773" s="2"/>
    </row>
    <row r="774">
      <c r="A774" s="2"/>
      <c r="B774" s="2"/>
      <c r="C774" s="18"/>
      <c r="D774" s="18"/>
      <c r="E774" s="26"/>
      <c r="G774" s="2"/>
      <c r="H774" s="2"/>
      <c r="I774" s="2"/>
      <c r="J774" s="2"/>
      <c r="K774" s="2"/>
      <c r="M774" s="2"/>
      <c r="N774" s="2"/>
      <c r="O774" s="2"/>
    </row>
    <row r="775">
      <c r="A775" s="2"/>
      <c r="B775" s="2"/>
      <c r="C775" s="18"/>
      <c r="D775" s="18"/>
      <c r="E775" s="26"/>
      <c r="G775" s="2"/>
      <c r="H775" s="2"/>
      <c r="I775" s="2"/>
      <c r="J775" s="2"/>
      <c r="K775" s="2"/>
      <c r="M775" s="2"/>
      <c r="N775" s="2"/>
      <c r="O775" s="2"/>
    </row>
    <row r="776">
      <c r="A776" s="2"/>
      <c r="B776" s="2"/>
      <c r="C776" s="18"/>
      <c r="D776" s="18"/>
      <c r="E776" s="26"/>
      <c r="F776" s="2"/>
      <c r="H776" s="2"/>
      <c r="I776" s="2"/>
      <c r="J776" s="2"/>
      <c r="K776" s="2"/>
      <c r="M776" s="2"/>
      <c r="N776" s="2"/>
      <c r="O776" s="2"/>
    </row>
    <row r="777">
      <c r="A777" s="2"/>
      <c r="B777" s="2"/>
      <c r="C777" s="18"/>
      <c r="D777" s="18"/>
      <c r="E777" s="26"/>
      <c r="G777" s="2"/>
      <c r="H777" s="2"/>
      <c r="I777" s="2"/>
      <c r="J777" s="2"/>
      <c r="K777" s="2"/>
      <c r="M777" s="2"/>
      <c r="N777" s="2"/>
      <c r="O777" s="2"/>
    </row>
    <row r="778">
      <c r="A778" s="2"/>
      <c r="B778" s="2"/>
      <c r="C778" s="18"/>
      <c r="D778" s="18"/>
      <c r="E778" s="26"/>
      <c r="G778" s="2"/>
      <c r="H778" s="2"/>
      <c r="I778" s="2"/>
      <c r="J778" s="2"/>
      <c r="K778" s="2"/>
      <c r="M778" s="2"/>
      <c r="N778" s="2"/>
      <c r="O778" s="2"/>
    </row>
    <row r="779">
      <c r="A779" s="2"/>
      <c r="B779" s="2"/>
      <c r="C779" s="18"/>
      <c r="D779" s="18"/>
      <c r="E779" s="26"/>
      <c r="H779" s="2"/>
      <c r="I779" s="2"/>
      <c r="J779" s="2"/>
      <c r="K779" s="2"/>
      <c r="M779" s="2"/>
      <c r="N779" s="2"/>
      <c r="O779" s="2"/>
    </row>
    <row r="780">
      <c r="A780" s="2"/>
      <c r="B780" s="2"/>
      <c r="C780" s="18"/>
      <c r="D780" s="18"/>
      <c r="E780" s="26"/>
      <c r="F780" s="2"/>
      <c r="G780" s="2"/>
      <c r="H780" s="2"/>
      <c r="I780" s="2"/>
      <c r="J780" s="2"/>
      <c r="K780" s="2"/>
      <c r="M780" s="2"/>
      <c r="N780" s="2"/>
      <c r="O780" s="2"/>
    </row>
    <row r="781">
      <c r="A781" s="2"/>
      <c r="B781" s="2"/>
      <c r="C781" s="18"/>
      <c r="D781" s="18"/>
      <c r="E781" s="26"/>
      <c r="G781" s="2"/>
      <c r="H781" s="2"/>
      <c r="I781" s="2"/>
      <c r="J781" s="2"/>
      <c r="K781" s="2"/>
      <c r="M781" s="2"/>
      <c r="N781" s="2"/>
      <c r="O781" s="2"/>
    </row>
    <row r="782">
      <c r="A782" s="2"/>
      <c r="B782" s="2"/>
      <c r="C782" s="18"/>
      <c r="D782" s="18"/>
      <c r="E782" s="26"/>
      <c r="G782" s="2"/>
      <c r="H782" s="2"/>
      <c r="I782" s="2"/>
      <c r="J782" s="2"/>
      <c r="K782" s="2"/>
      <c r="M782" s="2"/>
      <c r="N782" s="2"/>
      <c r="O782" s="2"/>
    </row>
    <row r="783">
      <c r="A783" s="2"/>
      <c r="B783" s="2"/>
      <c r="C783" s="18"/>
      <c r="D783" s="18"/>
      <c r="E783" s="26"/>
      <c r="G783" s="2"/>
      <c r="H783" s="2"/>
      <c r="I783" s="2"/>
      <c r="J783" s="2"/>
      <c r="K783" s="2"/>
      <c r="M783" s="2"/>
      <c r="N783" s="2"/>
      <c r="O783" s="2"/>
    </row>
    <row r="784">
      <c r="A784" s="2"/>
      <c r="B784" s="2"/>
      <c r="C784" s="18"/>
      <c r="D784" s="18"/>
      <c r="E784" s="26"/>
      <c r="F784" s="2"/>
      <c r="H784" s="2"/>
      <c r="I784" s="2"/>
      <c r="J784" s="2"/>
      <c r="K784" s="2"/>
      <c r="M784" s="2"/>
      <c r="N784" s="2"/>
      <c r="O784" s="2"/>
    </row>
    <row r="785">
      <c r="A785" s="2"/>
      <c r="B785" s="2"/>
      <c r="C785" s="18"/>
      <c r="D785" s="18"/>
      <c r="E785" s="26"/>
      <c r="G785" s="2"/>
      <c r="H785" s="2"/>
      <c r="I785" s="2"/>
      <c r="J785" s="2"/>
      <c r="K785" s="2"/>
      <c r="M785" s="2"/>
      <c r="N785" s="2"/>
      <c r="O785" s="2"/>
    </row>
    <row r="786">
      <c r="A786" s="2"/>
      <c r="B786" s="2"/>
      <c r="C786" s="18"/>
      <c r="D786" s="18"/>
      <c r="E786" s="26"/>
      <c r="G786" s="2"/>
      <c r="H786" s="2"/>
      <c r="I786" s="2"/>
      <c r="J786" s="2"/>
      <c r="K786" s="2"/>
      <c r="M786" s="2"/>
      <c r="N786" s="2"/>
      <c r="O786" s="2"/>
    </row>
    <row r="787">
      <c r="A787" s="2"/>
      <c r="B787" s="2"/>
      <c r="C787" s="18"/>
      <c r="D787" s="18"/>
      <c r="E787" s="26"/>
      <c r="H787" s="2"/>
      <c r="I787" s="2"/>
      <c r="J787" s="2"/>
      <c r="K787" s="2"/>
      <c r="M787" s="2"/>
      <c r="N787" s="2"/>
      <c r="O787" s="2"/>
    </row>
    <row r="788">
      <c r="A788" s="2"/>
      <c r="B788" s="2"/>
      <c r="C788" s="18"/>
      <c r="D788" s="18"/>
      <c r="E788" s="26"/>
      <c r="F788" s="2"/>
      <c r="G788" s="2"/>
      <c r="H788" s="2"/>
      <c r="I788" s="2"/>
      <c r="J788" s="2"/>
      <c r="K788" s="2"/>
      <c r="M788" s="2"/>
      <c r="N788" s="2"/>
      <c r="O788" s="2"/>
    </row>
    <row r="789">
      <c r="A789" s="2"/>
      <c r="B789" s="2"/>
      <c r="C789" s="18"/>
      <c r="D789" s="18"/>
      <c r="E789" s="26"/>
      <c r="F789" s="2"/>
      <c r="G789" s="2"/>
      <c r="H789" s="2"/>
      <c r="I789" s="2"/>
      <c r="J789" s="2"/>
      <c r="K789" s="2"/>
      <c r="M789" s="2"/>
      <c r="N789" s="2"/>
      <c r="O789" s="2"/>
    </row>
    <row r="790">
      <c r="A790" s="2"/>
      <c r="B790" s="2"/>
      <c r="C790" s="18"/>
      <c r="D790" s="18"/>
      <c r="E790" s="26"/>
      <c r="G790" s="2"/>
      <c r="H790" s="2"/>
      <c r="I790" s="2"/>
      <c r="J790" s="2"/>
      <c r="K790" s="2"/>
      <c r="M790" s="2"/>
      <c r="N790" s="2"/>
      <c r="O790" s="2"/>
    </row>
    <row r="791">
      <c r="A791" s="2"/>
      <c r="B791" s="2"/>
      <c r="C791" s="18"/>
      <c r="D791" s="18"/>
      <c r="E791" s="26"/>
      <c r="G791" s="2"/>
      <c r="H791" s="2"/>
      <c r="I791" s="2"/>
      <c r="J791" s="2"/>
      <c r="K791" s="2"/>
      <c r="M791" s="2"/>
      <c r="N791" s="2"/>
      <c r="O791" s="2"/>
    </row>
    <row r="792">
      <c r="A792" s="2"/>
      <c r="B792" s="2"/>
      <c r="C792" s="18"/>
      <c r="D792" s="18"/>
      <c r="E792" s="26"/>
      <c r="H792" s="2"/>
      <c r="I792" s="2"/>
      <c r="J792" s="2"/>
      <c r="K792" s="2"/>
      <c r="M792" s="2"/>
      <c r="N792" s="2"/>
      <c r="O792" s="2"/>
    </row>
    <row r="793">
      <c r="A793" s="2"/>
      <c r="B793" s="2"/>
      <c r="C793" s="18"/>
      <c r="D793" s="18"/>
      <c r="E793" s="26"/>
      <c r="F793" s="2"/>
      <c r="G793" s="2"/>
      <c r="H793" s="2"/>
      <c r="I793" s="2"/>
      <c r="J793" s="2"/>
      <c r="K793" s="2"/>
      <c r="M793" s="2"/>
      <c r="N793" s="2"/>
      <c r="O793" s="2"/>
    </row>
    <row r="794">
      <c r="A794" s="2"/>
      <c r="B794" s="2"/>
      <c r="C794" s="18"/>
      <c r="D794" s="18"/>
      <c r="E794" s="26"/>
      <c r="H794" s="2"/>
      <c r="I794" s="2"/>
      <c r="J794" s="2"/>
      <c r="K794" s="2"/>
      <c r="M794" s="2"/>
      <c r="N794" s="2"/>
      <c r="O794" s="2"/>
    </row>
    <row r="795">
      <c r="A795" s="2"/>
      <c r="B795" s="2"/>
      <c r="C795" s="18"/>
      <c r="D795" s="18"/>
      <c r="E795" s="26"/>
      <c r="G795" s="2"/>
      <c r="H795" s="2"/>
      <c r="I795" s="2"/>
      <c r="J795" s="2"/>
      <c r="K795" s="2"/>
      <c r="M795" s="2"/>
      <c r="N795" s="2"/>
      <c r="O795" s="2"/>
    </row>
    <row r="796">
      <c r="A796" s="2"/>
      <c r="B796" s="2"/>
      <c r="C796" s="18"/>
      <c r="D796" s="18"/>
      <c r="E796" s="26"/>
      <c r="F796" s="2"/>
      <c r="G796" s="2"/>
      <c r="H796" s="2"/>
      <c r="I796" s="2"/>
      <c r="J796" s="2"/>
      <c r="K796" s="2"/>
      <c r="M796" s="2"/>
      <c r="N796" s="2"/>
      <c r="O796" s="2"/>
    </row>
    <row r="797">
      <c r="A797" s="2"/>
      <c r="B797" s="2"/>
      <c r="C797" s="18"/>
      <c r="D797" s="18"/>
      <c r="E797" s="26"/>
      <c r="G797" s="2"/>
      <c r="H797" s="2"/>
      <c r="I797" s="2"/>
      <c r="J797" s="2"/>
      <c r="K797" s="2"/>
      <c r="M797" s="2"/>
      <c r="N797" s="2"/>
      <c r="O797" s="2"/>
    </row>
    <row r="798">
      <c r="A798" s="2"/>
      <c r="B798" s="2"/>
      <c r="C798" s="18"/>
      <c r="D798" s="18"/>
      <c r="E798" s="26"/>
      <c r="H798" s="2"/>
      <c r="I798" s="2"/>
      <c r="J798" s="2"/>
      <c r="K798" s="2"/>
      <c r="M798" s="2"/>
      <c r="N798" s="2"/>
      <c r="O798" s="2"/>
    </row>
    <row r="799">
      <c r="A799" s="2"/>
      <c r="B799" s="2"/>
      <c r="C799" s="18"/>
      <c r="D799" s="18"/>
      <c r="E799" s="26"/>
      <c r="G799" s="2"/>
      <c r="H799" s="2"/>
      <c r="I799" s="2"/>
      <c r="J799" s="2"/>
      <c r="K799" s="2"/>
      <c r="M799" s="2"/>
      <c r="N799" s="2"/>
      <c r="O799" s="2"/>
    </row>
    <row r="800">
      <c r="A800" s="2"/>
      <c r="B800" s="2"/>
      <c r="C800" s="18"/>
      <c r="D800" s="18"/>
      <c r="E800" s="26"/>
      <c r="F800" s="2"/>
      <c r="G800" s="2"/>
      <c r="H800" s="2"/>
      <c r="I800" s="2"/>
      <c r="J800" s="2"/>
      <c r="K800" s="2"/>
      <c r="M800" s="2"/>
      <c r="N800" s="2"/>
      <c r="O800" s="2"/>
    </row>
    <row r="801">
      <c r="A801" s="2"/>
      <c r="B801" s="2"/>
      <c r="C801" s="18"/>
      <c r="D801" s="18"/>
      <c r="E801" s="26"/>
      <c r="G801" s="2"/>
      <c r="H801" s="2"/>
      <c r="I801" s="2"/>
      <c r="J801" s="2"/>
      <c r="K801" s="2"/>
      <c r="M801" s="2"/>
      <c r="N801" s="2"/>
      <c r="O801" s="2"/>
    </row>
    <row r="802">
      <c r="A802" s="2"/>
      <c r="B802" s="2"/>
      <c r="C802" s="18"/>
      <c r="D802" s="18"/>
      <c r="E802" s="26"/>
      <c r="G802" s="2"/>
      <c r="H802" s="2"/>
      <c r="I802" s="2"/>
      <c r="J802" s="2"/>
      <c r="K802" s="2"/>
      <c r="M802" s="2"/>
      <c r="N802" s="2"/>
      <c r="O802" s="2"/>
    </row>
    <row r="803">
      <c r="A803" s="2"/>
      <c r="B803" s="2"/>
      <c r="C803" s="18"/>
      <c r="D803" s="18"/>
      <c r="E803" s="26"/>
      <c r="G803" s="2"/>
      <c r="H803" s="2"/>
      <c r="I803" s="2"/>
      <c r="J803" s="2"/>
      <c r="K803" s="2"/>
      <c r="M803" s="2"/>
      <c r="N803" s="2"/>
      <c r="O803" s="2"/>
    </row>
    <row r="804">
      <c r="A804" s="2"/>
      <c r="B804" s="2"/>
      <c r="C804" s="18"/>
      <c r="D804" s="18"/>
      <c r="E804" s="26"/>
      <c r="F804" s="2"/>
      <c r="G804" s="2"/>
      <c r="H804" s="2"/>
      <c r="I804" s="2"/>
      <c r="J804" s="2"/>
      <c r="K804" s="2"/>
      <c r="M804" s="2"/>
      <c r="N804" s="2"/>
      <c r="O804" s="2"/>
    </row>
    <row r="805">
      <c r="A805" s="2"/>
      <c r="B805" s="2"/>
      <c r="C805" s="18"/>
      <c r="D805" s="18"/>
      <c r="E805" s="26"/>
      <c r="F805" s="2"/>
      <c r="H805" s="2"/>
      <c r="I805" s="2"/>
      <c r="J805" s="2"/>
      <c r="K805" s="2"/>
      <c r="M805" s="2"/>
      <c r="N805" s="2"/>
      <c r="O805" s="2"/>
    </row>
    <row r="806">
      <c r="A806" s="2"/>
      <c r="B806" s="2"/>
      <c r="C806" s="18"/>
      <c r="D806" s="18"/>
      <c r="E806" s="26"/>
      <c r="G806" s="2"/>
      <c r="H806" s="2"/>
      <c r="I806" s="2"/>
      <c r="J806" s="2"/>
      <c r="K806" s="2"/>
      <c r="M806" s="2"/>
      <c r="N806" s="2"/>
      <c r="O806" s="2"/>
    </row>
    <row r="807">
      <c r="A807" s="2"/>
      <c r="B807" s="2"/>
      <c r="C807" s="18"/>
      <c r="D807" s="18"/>
      <c r="E807" s="26"/>
      <c r="G807" s="2"/>
      <c r="H807" s="2"/>
      <c r="I807" s="2"/>
      <c r="J807" s="2"/>
      <c r="K807" s="2"/>
      <c r="M807" s="2"/>
      <c r="N807" s="2"/>
      <c r="O807" s="2"/>
    </row>
    <row r="808">
      <c r="A808" s="2"/>
      <c r="B808" s="2"/>
      <c r="C808" s="18"/>
      <c r="D808" s="18"/>
      <c r="E808" s="26"/>
      <c r="F808" s="2"/>
      <c r="H808" s="2"/>
      <c r="I808" s="2"/>
      <c r="J808" s="2"/>
      <c r="K808" s="2"/>
      <c r="M808" s="2"/>
      <c r="N808" s="2"/>
      <c r="O808" s="2"/>
    </row>
    <row r="809">
      <c r="A809" s="2"/>
      <c r="B809" s="2"/>
      <c r="C809" s="18"/>
      <c r="D809" s="18"/>
      <c r="E809" s="26"/>
      <c r="G809" s="2"/>
      <c r="H809" s="2"/>
      <c r="I809" s="2"/>
      <c r="J809" s="2"/>
      <c r="K809" s="2"/>
      <c r="M809" s="2"/>
      <c r="N809" s="2"/>
      <c r="O809" s="2"/>
    </row>
    <row r="810">
      <c r="A810" s="2"/>
      <c r="B810" s="2"/>
      <c r="C810" s="18"/>
      <c r="D810" s="18"/>
      <c r="E810" s="26"/>
      <c r="F810" s="2"/>
      <c r="G810" s="2"/>
      <c r="H810" s="2"/>
      <c r="I810" s="2"/>
      <c r="J810" s="2"/>
      <c r="K810" s="2"/>
      <c r="M810" s="2"/>
      <c r="N810" s="2"/>
      <c r="O810" s="2"/>
    </row>
    <row r="811">
      <c r="A811" s="2"/>
      <c r="B811" s="2"/>
      <c r="C811" s="18"/>
      <c r="D811" s="18"/>
      <c r="E811" s="26"/>
      <c r="F811" s="2"/>
      <c r="G811" s="2"/>
      <c r="H811" s="2"/>
      <c r="I811" s="2"/>
      <c r="J811" s="2"/>
      <c r="K811" s="2"/>
      <c r="M811" s="2"/>
      <c r="N811" s="2"/>
      <c r="O811" s="2"/>
    </row>
    <row r="812">
      <c r="A812" s="2"/>
      <c r="B812" s="2"/>
      <c r="C812" s="18"/>
      <c r="D812" s="18"/>
      <c r="E812" s="26"/>
      <c r="G812" s="2"/>
      <c r="H812" s="2"/>
      <c r="I812" s="2"/>
      <c r="J812" s="2"/>
      <c r="K812" s="2"/>
      <c r="M812" s="2"/>
      <c r="N812" s="2"/>
      <c r="O812" s="2"/>
    </row>
    <row r="813">
      <c r="A813" s="2"/>
      <c r="B813" s="2"/>
      <c r="C813" s="18"/>
      <c r="D813" s="18"/>
      <c r="E813" s="26"/>
      <c r="G813" s="2"/>
      <c r="H813" s="2"/>
      <c r="I813" s="2"/>
      <c r="J813" s="2"/>
      <c r="K813" s="2"/>
      <c r="M813" s="2"/>
      <c r="N813" s="2"/>
      <c r="O813" s="2"/>
    </row>
    <row r="814">
      <c r="A814" s="2"/>
      <c r="B814" s="2"/>
      <c r="C814" s="18"/>
      <c r="D814" s="18"/>
      <c r="E814" s="26"/>
      <c r="H814" s="2"/>
      <c r="I814" s="2"/>
      <c r="J814" s="2"/>
      <c r="K814" s="2"/>
      <c r="M814" s="2"/>
      <c r="N814" s="2"/>
      <c r="O814" s="2"/>
    </row>
    <row r="815">
      <c r="A815" s="2"/>
      <c r="B815" s="2"/>
      <c r="C815" s="18"/>
      <c r="D815" s="18"/>
      <c r="E815" s="26"/>
      <c r="G815" s="2"/>
      <c r="H815" s="2"/>
      <c r="I815" s="2"/>
      <c r="J815" s="2"/>
      <c r="K815" s="2"/>
      <c r="M815" s="2"/>
      <c r="N815" s="2"/>
      <c r="O815" s="2"/>
    </row>
    <row r="816">
      <c r="A816" s="2"/>
      <c r="B816" s="2"/>
      <c r="C816" s="18"/>
      <c r="D816" s="18"/>
      <c r="E816" s="26"/>
      <c r="G816" s="2"/>
      <c r="H816" s="2"/>
      <c r="I816" s="2"/>
      <c r="J816" s="2"/>
      <c r="K816" s="2"/>
      <c r="M816" s="2"/>
      <c r="N816" s="2"/>
      <c r="O816" s="2"/>
    </row>
    <row r="817">
      <c r="A817" s="2"/>
      <c r="B817" s="2"/>
      <c r="C817" s="18"/>
      <c r="D817" s="18"/>
      <c r="E817" s="26"/>
      <c r="G817" s="2"/>
      <c r="H817" s="2"/>
      <c r="I817" s="2"/>
      <c r="J817" s="2"/>
      <c r="K817" s="2"/>
      <c r="M817" s="2"/>
      <c r="N817" s="2"/>
      <c r="O817" s="2"/>
    </row>
    <row r="818">
      <c r="A818" s="2"/>
      <c r="B818" s="2"/>
      <c r="C818" s="18"/>
      <c r="D818" s="18"/>
      <c r="E818" s="26"/>
      <c r="H818" s="2"/>
      <c r="I818" s="2"/>
      <c r="J818" s="2"/>
      <c r="K818" s="2"/>
      <c r="M818" s="2"/>
      <c r="N818" s="2"/>
      <c r="O818" s="2"/>
    </row>
    <row r="819">
      <c r="A819" s="2"/>
      <c r="B819" s="2"/>
      <c r="C819" s="18"/>
      <c r="D819" s="18"/>
      <c r="E819" s="26"/>
      <c r="H819" s="2"/>
      <c r="I819" s="2"/>
      <c r="J819" s="2"/>
      <c r="K819" s="2"/>
      <c r="M819" s="2"/>
      <c r="N819" s="2"/>
      <c r="O819" s="2"/>
    </row>
    <row r="820">
      <c r="A820" s="2"/>
      <c r="B820" s="2"/>
      <c r="C820" s="18"/>
      <c r="D820" s="18"/>
      <c r="E820" s="26"/>
      <c r="H820" s="2"/>
      <c r="I820" s="2"/>
      <c r="J820" s="2"/>
      <c r="K820" s="2"/>
      <c r="M820" s="2"/>
      <c r="N820" s="2"/>
      <c r="O820" s="2"/>
    </row>
    <row r="821">
      <c r="A821" s="2"/>
      <c r="B821" s="2"/>
      <c r="C821" s="18"/>
      <c r="D821" s="18"/>
      <c r="E821" s="26"/>
      <c r="G821" s="2"/>
      <c r="H821" s="2"/>
      <c r="I821" s="2"/>
      <c r="J821" s="2"/>
      <c r="K821" s="2"/>
      <c r="M821" s="2"/>
      <c r="N821" s="2"/>
      <c r="O821" s="2"/>
    </row>
    <row r="822">
      <c r="A822" s="2"/>
      <c r="B822" s="2"/>
      <c r="C822" s="18"/>
      <c r="D822" s="18"/>
      <c r="E822" s="26"/>
      <c r="H822" s="2"/>
      <c r="I822" s="2"/>
      <c r="J822" s="2"/>
      <c r="K822" s="2"/>
      <c r="M822" s="2"/>
      <c r="N822" s="2"/>
      <c r="O822" s="2"/>
    </row>
    <row r="823">
      <c r="A823" s="2"/>
      <c r="B823" s="2"/>
      <c r="C823" s="18"/>
      <c r="D823" s="18"/>
      <c r="E823" s="26"/>
      <c r="H823" s="2"/>
      <c r="I823" s="2"/>
      <c r="J823" s="2"/>
      <c r="K823" s="2"/>
    </row>
    <row r="824">
      <c r="A824" s="2"/>
      <c r="B824" s="2"/>
      <c r="C824" s="18"/>
      <c r="D824" s="18"/>
      <c r="E824" s="26"/>
      <c r="H824" s="2"/>
      <c r="I824" s="2"/>
      <c r="J824" s="2"/>
      <c r="K824" s="2"/>
      <c r="M824" s="2"/>
      <c r="N824" s="2"/>
      <c r="O824" s="2"/>
    </row>
    <row r="825">
      <c r="A825" s="2"/>
      <c r="B825" s="2"/>
      <c r="C825" s="18"/>
      <c r="D825" s="18"/>
      <c r="E825" s="26"/>
      <c r="G825" s="2"/>
      <c r="H825" s="2"/>
      <c r="I825" s="2"/>
      <c r="J825" s="2"/>
      <c r="K825" s="2"/>
      <c r="M825" s="2"/>
      <c r="N825" s="2"/>
      <c r="O825" s="2"/>
    </row>
    <row r="826">
      <c r="A826" s="2"/>
      <c r="B826" s="2"/>
      <c r="C826" s="18"/>
      <c r="D826" s="18"/>
      <c r="E826" s="26"/>
      <c r="H826" s="2"/>
      <c r="I826" s="2"/>
      <c r="J826" s="2"/>
      <c r="K826" s="2"/>
    </row>
    <row r="827">
      <c r="A827" s="2"/>
      <c r="B827" s="2"/>
      <c r="C827" s="18"/>
      <c r="D827" s="18"/>
      <c r="E827" s="26"/>
      <c r="G827" s="2"/>
      <c r="H827" s="2"/>
      <c r="I827" s="2"/>
      <c r="J827" s="2"/>
      <c r="K827" s="2"/>
      <c r="M827" s="2"/>
      <c r="N827" s="2"/>
      <c r="O827" s="2"/>
    </row>
    <row r="828">
      <c r="A828" s="2"/>
      <c r="B828" s="2"/>
      <c r="C828" s="18"/>
      <c r="D828" s="18"/>
      <c r="E828" s="26"/>
      <c r="H828" s="2"/>
      <c r="I828" s="2"/>
      <c r="J828" s="2"/>
      <c r="K828" s="2"/>
      <c r="M828" s="2"/>
      <c r="N828" s="2"/>
      <c r="O828" s="2"/>
    </row>
    <row r="829">
      <c r="A829" s="2"/>
      <c r="B829" s="2"/>
      <c r="C829" s="18"/>
      <c r="D829" s="18"/>
      <c r="E829" s="26"/>
      <c r="G829" s="2"/>
      <c r="H829" s="2"/>
      <c r="I829" s="2"/>
      <c r="J829" s="2"/>
      <c r="K829" s="2"/>
      <c r="M829" s="2"/>
      <c r="N829" s="2"/>
      <c r="O829" s="2"/>
    </row>
    <row r="830">
      <c r="A830" s="2"/>
      <c r="B830" s="2"/>
      <c r="C830" s="18"/>
      <c r="D830" s="18"/>
      <c r="E830" s="26"/>
      <c r="H830" s="2"/>
      <c r="I830" s="2"/>
      <c r="J830" s="2"/>
      <c r="K830" s="2"/>
    </row>
    <row r="831">
      <c r="A831" s="2"/>
      <c r="B831" s="2"/>
      <c r="C831" s="18"/>
      <c r="D831" s="18"/>
      <c r="E831" s="26"/>
      <c r="F831" s="2"/>
      <c r="G831" s="2"/>
      <c r="H831" s="2"/>
      <c r="I831" s="2"/>
      <c r="J831" s="2"/>
      <c r="K831" s="2"/>
      <c r="M831" s="2"/>
      <c r="N831" s="2"/>
      <c r="O831" s="2"/>
    </row>
    <row r="832">
      <c r="A832" s="2"/>
      <c r="B832" s="2"/>
      <c r="C832" s="18"/>
      <c r="D832" s="18"/>
      <c r="E832" s="26"/>
      <c r="F832" s="2"/>
      <c r="G832" s="2"/>
      <c r="H832" s="2"/>
      <c r="I832" s="2"/>
      <c r="J832" s="2"/>
      <c r="K832" s="2"/>
      <c r="M832" s="2"/>
      <c r="N832" s="2"/>
      <c r="O832" s="2"/>
    </row>
    <row r="833">
      <c r="A833" s="2"/>
      <c r="B833" s="2"/>
      <c r="C833" s="18"/>
      <c r="D833" s="18"/>
      <c r="E833" s="26"/>
      <c r="H833" s="2"/>
      <c r="I833" s="2"/>
      <c r="J833" s="2"/>
      <c r="K833" s="2"/>
      <c r="M833" s="2"/>
      <c r="N833" s="2"/>
      <c r="O833" s="2"/>
    </row>
    <row r="834">
      <c r="A834" s="2"/>
      <c r="B834" s="2"/>
      <c r="C834" s="18"/>
      <c r="D834" s="18"/>
      <c r="E834" s="26"/>
      <c r="H834" s="2"/>
      <c r="I834" s="2"/>
      <c r="J834" s="2"/>
      <c r="K834" s="2"/>
      <c r="M834" s="2"/>
      <c r="N834" s="2"/>
      <c r="O834" s="2"/>
    </row>
    <row r="835">
      <c r="A835" s="2"/>
      <c r="B835" s="2"/>
      <c r="C835" s="18"/>
      <c r="D835" s="18"/>
      <c r="E835" s="26"/>
      <c r="H835" s="2"/>
      <c r="I835" s="2"/>
      <c r="J835" s="2"/>
      <c r="K835" s="2"/>
    </row>
    <row r="836">
      <c r="A836" s="2"/>
      <c r="B836" s="2"/>
      <c r="C836" s="18"/>
      <c r="D836" s="18"/>
      <c r="E836" s="26"/>
      <c r="F836" s="2"/>
      <c r="G836" s="2"/>
      <c r="H836" s="2"/>
      <c r="I836" s="2"/>
      <c r="J836" s="2"/>
      <c r="K836" s="2"/>
      <c r="M836" s="2"/>
      <c r="N836" s="2"/>
      <c r="O836" s="2"/>
    </row>
    <row r="837">
      <c r="A837" s="2"/>
      <c r="B837" s="2"/>
      <c r="C837" s="18"/>
      <c r="D837" s="18"/>
      <c r="E837" s="26"/>
      <c r="H837" s="2"/>
      <c r="I837" s="2"/>
      <c r="J837" s="2"/>
      <c r="K837" s="2"/>
    </row>
    <row r="838">
      <c r="A838" s="2"/>
      <c r="B838" s="2"/>
      <c r="C838" s="18"/>
      <c r="D838" s="18"/>
      <c r="E838" s="26"/>
      <c r="F838" s="2"/>
      <c r="H838" s="2"/>
      <c r="I838" s="2"/>
      <c r="J838" s="2"/>
      <c r="K838" s="2"/>
      <c r="M838" s="2"/>
      <c r="N838" s="2"/>
      <c r="O838" s="2"/>
    </row>
    <row r="839">
      <c r="A839" s="2"/>
      <c r="B839" s="2"/>
      <c r="C839" s="18"/>
      <c r="D839" s="18"/>
      <c r="E839" s="26"/>
      <c r="H839" s="2"/>
      <c r="I839" s="2"/>
      <c r="J839" s="2"/>
      <c r="K839" s="2"/>
      <c r="M839" s="2"/>
      <c r="N839" s="2"/>
      <c r="O839" s="2"/>
    </row>
    <row r="840">
      <c r="A840" s="2"/>
      <c r="B840" s="2"/>
      <c r="C840" s="18"/>
      <c r="D840" s="18"/>
      <c r="E840" s="26"/>
      <c r="H840" s="2"/>
      <c r="I840" s="2"/>
      <c r="J840" s="2"/>
      <c r="K840" s="2"/>
      <c r="M840" s="2"/>
      <c r="N840" s="2"/>
      <c r="O840" s="2"/>
    </row>
    <row r="841">
      <c r="A841" s="2"/>
      <c r="B841" s="2"/>
      <c r="C841" s="18"/>
      <c r="D841" s="18"/>
      <c r="E841" s="26"/>
      <c r="G841" s="2"/>
      <c r="H841" s="2"/>
      <c r="I841" s="2"/>
      <c r="J841" s="2"/>
      <c r="K841" s="2"/>
      <c r="M841" s="2"/>
      <c r="N841" s="2"/>
      <c r="O841" s="2"/>
    </row>
    <row r="842">
      <c r="A842" s="2"/>
      <c r="B842" s="2"/>
      <c r="C842" s="18"/>
      <c r="D842" s="18"/>
      <c r="E842" s="26"/>
      <c r="H842" s="2"/>
      <c r="I842" s="2"/>
      <c r="J842" s="2"/>
      <c r="K842" s="2"/>
    </row>
    <row r="843">
      <c r="A843" s="2"/>
      <c r="B843" s="2"/>
      <c r="C843" s="18"/>
      <c r="D843" s="18"/>
      <c r="E843" s="26"/>
      <c r="H843" s="2"/>
      <c r="I843" s="2"/>
      <c r="J843" s="2"/>
      <c r="K843" s="2"/>
    </row>
    <row r="844">
      <c r="A844" s="2"/>
      <c r="B844" s="2"/>
      <c r="C844" s="18"/>
      <c r="D844" s="18"/>
      <c r="E844" s="26"/>
      <c r="F844" s="2"/>
      <c r="G844" s="2"/>
      <c r="H844" s="2"/>
      <c r="I844" s="2"/>
      <c r="J844" s="2"/>
      <c r="K844" s="2"/>
      <c r="M844" s="2"/>
      <c r="N844" s="2"/>
      <c r="O844" s="2"/>
    </row>
    <row r="845">
      <c r="A845" s="2"/>
      <c r="B845" s="2"/>
      <c r="C845" s="18"/>
      <c r="D845" s="18"/>
      <c r="E845" s="26"/>
      <c r="H845" s="2"/>
      <c r="I845" s="2"/>
      <c r="J845" s="2"/>
      <c r="K845" s="2"/>
      <c r="M845" s="2"/>
      <c r="N845" s="2"/>
      <c r="O845" s="2"/>
    </row>
    <row r="846">
      <c r="A846" s="2"/>
      <c r="B846" s="2"/>
      <c r="C846" s="18"/>
      <c r="D846" s="18"/>
      <c r="E846" s="26"/>
      <c r="H846" s="2"/>
      <c r="I846" s="2"/>
      <c r="J846" s="2"/>
      <c r="K846" s="2"/>
      <c r="M846" s="2"/>
      <c r="N846" s="2"/>
      <c r="O846" s="2"/>
    </row>
    <row r="847">
      <c r="A847" s="2"/>
      <c r="B847" s="2"/>
      <c r="C847" s="18"/>
      <c r="D847" s="18"/>
      <c r="E847" s="26"/>
      <c r="G847" s="2"/>
      <c r="H847" s="2"/>
      <c r="I847" s="2"/>
      <c r="J847" s="2"/>
      <c r="K847" s="2"/>
      <c r="M847" s="2"/>
      <c r="N847" s="2"/>
      <c r="O847" s="2"/>
    </row>
    <row r="848">
      <c r="A848" s="2"/>
      <c r="B848" s="2"/>
      <c r="C848" s="18"/>
      <c r="D848" s="18"/>
      <c r="E848" s="26"/>
      <c r="H848" s="2"/>
      <c r="I848" s="2"/>
      <c r="J848" s="2"/>
      <c r="K848" s="2"/>
    </row>
    <row r="849">
      <c r="A849" s="2"/>
      <c r="B849" s="2"/>
      <c r="C849" s="18"/>
      <c r="D849" s="18"/>
      <c r="E849" s="26"/>
      <c r="F849" s="2"/>
      <c r="H849" s="2"/>
      <c r="I849" s="2"/>
      <c r="J849" s="2"/>
      <c r="K849" s="2"/>
      <c r="M849" s="2"/>
      <c r="N849" s="2"/>
      <c r="O849" s="2"/>
    </row>
    <row r="850">
      <c r="A850" s="2"/>
      <c r="B850" s="2"/>
      <c r="C850" s="18"/>
      <c r="D850" s="18"/>
      <c r="E850" s="26"/>
      <c r="G850" s="2"/>
      <c r="H850" s="2"/>
      <c r="I850" s="2"/>
      <c r="J850" s="2"/>
      <c r="K850" s="2"/>
      <c r="M850" s="2"/>
      <c r="N850" s="2"/>
      <c r="O850" s="2"/>
    </row>
    <row r="851">
      <c r="A851" s="2"/>
      <c r="B851" s="2"/>
      <c r="C851" s="18"/>
      <c r="D851" s="18"/>
      <c r="E851" s="26"/>
      <c r="G851" s="2"/>
      <c r="H851" s="2"/>
      <c r="I851" s="2"/>
      <c r="J851" s="2"/>
      <c r="K851" s="2"/>
      <c r="M851" s="2"/>
      <c r="N851" s="2"/>
      <c r="O851" s="2"/>
    </row>
    <row r="852">
      <c r="A852" s="2"/>
      <c r="B852" s="2"/>
      <c r="C852" s="18"/>
      <c r="D852" s="18"/>
      <c r="E852" s="26"/>
      <c r="H852" s="2"/>
      <c r="I852" s="2"/>
      <c r="J852" s="2"/>
      <c r="K852" s="2"/>
      <c r="M852" s="2"/>
      <c r="N852" s="2"/>
      <c r="O852" s="2"/>
    </row>
    <row r="853">
      <c r="A853" s="2"/>
      <c r="B853" s="2"/>
      <c r="C853" s="18"/>
      <c r="D853" s="18"/>
      <c r="E853" s="26"/>
      <c r="H853" s="2"/>
      <c r="I853" s="2"/>
      <c r="J853" s="2"/>
      <c r="K853" s="2"/>
    </row>
    <row r="854">
      <c r="A854" s="2"/>
      <c r="B854" s="2"/>
      <c r="C854" s="18"/>
      <c r="D854" s="18"/>
      <c r="E854" s="26"/>
      <c r="F854" s="2"/>
      <c r="G854" s="2"/>
      <c r="H854" s="2"/>
      <c r="I854" s="2"/>
      <c r="J854" s="2"/>
      <c r="K854" s="2"/>
      <c r="M854" s="2"/>
      <c r="N854" s="2"/>
      <c r="O854" s="2"/>
    </row>
    <row r="855">
      <c r="A855" s="2"/>
      <c r="B855" s="2"/>
      <c r="C855" s="18"/>
      <c r="D855" s="18"/>
      <c r="E855" s="26"/>
      <c r="F855" s="2"/>
      <c r="G855" s="2"/>
      <c r="H855" s="2"/>
      <c r="I855" s="2"/>
      <c r="J855" s="2"/>
      <c r="K855" s="2"/>
      <c r="M855" s="2"/>
      <c r="N855" s="2"/>
      <c r="O855" s="2"/>
    </row>
    <row r="856">
      <c r="A856" s="2"/>
      <c r="B856" s="2"/>
      <c r="C856" s="18"/>
      <c r="D856" s="18"/>
      <c r="E856" s="26"/>
      <c r="H856" s="2"/>
      <c r="I856" s="2"/>
      <c r="J856" s="2"/>
      <c r="K856" s="2"/>
      <c r="M856" s="2"/>
      <c r="N856" s="2"/>
      <c r="O856" s="2"/>
    </row>
    <row r="857">
      <c r="A857" s="2"/>
      <c r="B857" s="2"/>
      <c r="C857" s="18"/>
      <c r="D857" s="18"/>
      <c r="E857" s="26"/>
      <c r="H857" s="2"/>
      <c r="I857" s="2"/>
      <c r="J857" s="2"/>
      <c r="K857" s="2"/>
      <c r="M857" s="2"/>
      <c r="N857" s="2"/>
      <c r="O857" s="2"/>
    </row>
    <row r="858">
      <c r="A858" s="2"/>
      <c r="B858" s="2"/>
      <c r="C858" s="18"/>
      <c r="D858" s="18"/>
      <c r="E858" s="26"/>
      <c r="H858" s="2"/>
      <c r="I858" s="2"/>
      <c r="J858" s="2"/>
      <c r="K858" s="2"/>
    </row>
    <row r="859">
      <c r="A859" s="2"/>
      <c r="B859" s="2"/>
      <c r="C859" s="18"/>
      <c r="D859" s="18"/>
      <c r="E859" s="26"/>
      <c r="H859" s="2"/>
      <c r="I859" s="2"/>
      <c r="J859" s="2"/>
      <c r="K859" s="2"/>
    </row>
    <row r="860">
      <c r="A860" s="2"/>
      <c r="B860" s="2"/>
      <c r="C860" s="18"/>
      <c r="D860" s="18"/>
      <c r="E860" s="26"/>
      <c r="H860" s="2"/>
      <c r="I860" s="2"/>
      <c r="J860" s="2"/>
      <c r="K860" s="2"/>
      <c r="M860" s="2"/>
      <c r="N860" s="2"/>
      <c r="O860" s="2"/>
    </row>
    <row r="861">
      <c r="A861" s="2"/>
      <c r="B861" s="2"/>
      <c r="C861" s="18"/>
      <c r="D861" s="18"/>
      <c r="E861" s="26"/>
      <c r="H861" s="2"/>
      <c r="I861" s="2"/>
      <c r="J861" s="2"/>
      <c r="K861" s="2"/>
      <c r="M861" s="2"/>
      <c r="N861" s="2"/>
      <c r="O861" s="2"/>
    </row>
    <row r="862">
      <c r="A862" s="2"/>
      <c r="B862" s="2"/>
      <c r="C862" s="18"/>
      <c r="D862" s="18"/>
      <c r="E862" s="26"/>
      <c r="H862" s="2"/>
      <c r="I862" s="2"/>
      <c r="J862" s="2"/>
      <c r="K862" s="2"/>
      <c r="M862" s="2"/>
      <c r="N862" s="2"/>
      <c r="O862" s="2"/>
    </row>
    <row r="863">
      <c r="A863" s="2"/>
      <c r="B863" s="2"/>
      <c r="C863" s="18"/>
      <c r="D863" s="18"/>
      <c r="E863" s="26"/>
      <c r="H863" s="2"/>
      <c r="I863" s="2"/>
      <c r="J863" s="2"/>
      <c r="K863" s="2"/>
      <c r="M863" s="2"/>
      <c r="N863" s="2"/>
      <c r="O863" s="2"/>
    </row>
    <row r="864">
      <c r="A864" s="2"/>
      <c r="B864" s="2"/>
      <c r="C864" s="18"/>
      <c r="D864" s="18"/>
      <c r="E864" s="26"/>
      <c r="H864" s="2"/>
      <c r="I864" s="2"/>
      <c r="J864" s="2"/>
      <c r="K864" s="2"/>
      <c r="M864" s="2"/>
      <c r="N864" s="2"/>
      <c r="O864" s="2"/>
    </row>
    <row r="865">
      <c r="A865" s="2"/>
      <c r="B865" s="2"/>
      <c r="C865" s="18"/>
      <c r="D865" s="18"/>
      <c r="E865" s="26"/>
      <c r="H865" s="2"/>
      <c r="I865" s="2"/>
      <c r="J865" s="2"/>
      <c r="K865" s="2"/>
      <c r="M865" s="2"/>
      <c r="N865" s="2"/>
      <c r="O865" s="2"/>
    </row>
    <row r="866">
      <c r="A866" s="2"/>
      <c r="B866" s="2"/>
      <c r="C866" s="18"/>
      <c r="D866" s="18"/>
      <c r="E866" s="26"/>
      <c r="H866" s="2"/>
      <c r="I866" s="2"/>
      <c r="J866" s="2"/>
      <c r="K866" s="2"/>
    </row>
    <row r="867">
      <c r="A867" s="2"/>
      <c r="B867" s="2"/>
      <c r="C867" s="18"/>
      <c r="D867" s="18"/>
      <c r="E867" s="26"/>
      <c r="H867" s="2"/>
      <c r="I867" s="2"/>
      <c r="J867" s="2"/>
      <c r="K867" s="2"/>
      <c r="M867" s="2"/>
      <c r="N867" s="2"/>
      <c r="O867" s="2"/>
    </row>
    <row r="868">
      <c r="A868" s="2"/>
      <c r="B868" s="2"/>
      <c r="C868" s="18"/>
      <c r="D868" s="18"/>
      <c r="E868" s="26"/>
      <c r="H868" s="2"/>
      <c r="I868" s="2"/>
      <c r="J868" s="2"/>
      <c r="K868" s="2"/>
    </row>
    <row r="869">
      <c r="A869" s="2"/>
      <c r="B869" s="2"/>
      <c r="C869" s="18"/>
      <c r="D869" s="18"/>
      <c r="E869" s="26"/>
      <c r="H869" s="2"/>
      <c r="I869" s="2"/>
      <c r="J869" s="2"/>
      <c r="K869" s="2"/>
      <c r="M869" s="2"/>
      <c r="N869" s="2"/>
      <c r="O869" s="2"/>
    </row>
    <row r="870">
      <c r="A870" s="2"/>
      <c r="B870" s="2"/>
      <c r="C870" s="18"/>
      <c r="D870" s="18"/>
      <c r="E870" s="26"/>
      <c r="G870" s="2"/>
      <c r="H870" s="2"/>
      <c r="I870" s="2"/>
      <c r="J870" s="2"/>
      <c r="K870" s="2"/>
      <c r="M870" s="2"/>
      <c r="N870" s="2"/>
      <c r="O870" s="2"/>
    </row>
    <row r="871">
      <c r="A871" s="2"/>
      <c r="B871" s="2"/>
      <c r="C871" s="18"/>
      <c r="D871" s="18"/>
      <c r="E871" s="26"/>
      <c r="H871" s="2"/>
      <c r="I871" s="2"/>
      <c r="J871" s="2"/>
      <c r="K871" s="2"/>
    </row>
    <row r="872">
      <c r="A872" s="2"/>
      <c r="B872" s="2"/>
      <c r="C872" s="18"/>
      <c r="D872" s="18"/>
      <c r="E872" s="26"/>
      <c r="G872" s="2"/>
      <c r="H872" s="2"/>
      <c r="I872" s="2"/>
      <c r="J872" s="2"/>
      <c r="K872" s="2"/>
      <c r="M872" s="2"/>
      <c r="N872" s="2"/>
      <c r="O872" s="2"/>
    </row>
    <row r="873">
      <c r="A873" s="2"/>
      <c r="B873" s="2"/>
      <c r="C873" s="18"/>
      <c r="D873" s="18"/>
      <c r="E873" s="26"/>
      <c r="H873" s="2"/>
      <c r="I873" s="2"/>
      <c r="J873" s="2"/>
      <c r="K873" s="2"/>
      <c r="M873" s="2"/>
      <c r="N873" s="2"/>
      <c r="O873" s="2"/>
    </row>
    <row r="874">
      <c r="A874" s="2"/>
      <c r="B874" s="2"/>
      <c r="C874" s="18"/>
      <c r="D874" s="18"/>
      <c r="E874" s="26"/>
      <c r="G874" s="2"/>
      <c r="H874" s="2"/>
      <c r="I874" s="2"/>
      <c r="J874" s="2"/>
      <c r="K874" s="2"/>
      <c r="M874" s="2"/>
      <c r="N874" s="2"/>
      <c r="O874" s="2"/>
    </row>
    <row r="875">
      <c r="A875" s="2"/>
      <c r="B875" s="2"/>
      <c r="C875" s="18"/>
      <c r="D875" s="18"/>
      <c r="E875" s="26"/>
      <c r="G875" s="2"/>
      <c r="H875" s="2"/>
      <c r="I875" s="2"/>
      <c r="J875" s="2"/>
      <c r="K875" s="2"/>
      <c r="M875" s="2"/>
      <c r="N875" s="2"/>
      <c r="O875" s="2"/>
    </row>
    <row r="876">
      <c r="A876" s="2"/>
      <c r="B876" s="2"/>
      <c r="C876" s="18"/>
      <c r="D876" s="18"/>
      <c r="E876" s="26"/>
      <c r="H876" s="2"/>
      <c r="I876" s="2"/>
      <c r="J876" s="2"/>
      <c r="K876" s="2"/>
    </row>
    <row r="877">
      <c r="A877" s="2"/>
      <c r="B877" s="2"/>
      <c r="C877" s="18"/>
      <c r="D877" s="18"/>
      <c r="E877" s="26"/>
      <c r="F877" s="2"/>
      <c r="G877" s="2"/>
      <c r="H877" s="2"/>
      <c r="I877" s="2"/>
      <c r="J877" s="2"/>
      <c r="K877" s="2"/>
      <c r="M877" s="2"/>
      <c r="N877" s="2"/>
      <c r="O877" s="2"/>
    </row>
    <row r="878">
      <c r="A878" s="2"/>
      <c r="B878" s="2"/>
      <c r="C878" s="18"/>
      <c r="D878" s="18"/>
      <c r="E878" s="26"/>
      <c r="F878" s="2"/>
      <c r="G878" s="2"/>
      <c r="H878" s="2"/>
      <c r="I878" s="2"/>
      <c r="J878" s="2"/>
      <c r="K878" s="2"/>
      <c r="M878" s="2"/>
      <c r="N878" s="2"/>
      <c r="O878" s="2"/>
    </row>
    <row r="879">
      <c r="A879" s="2"/>
      <c r="B879" s="2"/>
      <c r="C879" s="18"/>
      <c r="D879" s="18"/>
      <c r="E879" s="26"/>
      <c r="H879" s="2"/>
      <c r="I879" s="2"/>
      <c r="J879" s="2"/>
      <c r="K879" s="2"/>
      <c r="M879" s="2"/>
      <c r="N879" s="2"/>
      <c r="O879" s="2"/>
    </row>
    <row r="880">
      <c r="A880" s="2"/>
      <c r="B880" s="2"/>
      <c r="C880" s="18"/>
      <c r="D880" s="18"/>
      <c r="E880" s="26"/>
      <c r="H880" s="2"/>
      <c r="I880" s="2"/>
      <c r="J880" s="2"/>
      <c r="K880" s="2"/>
      <c r="M880" s="2"/>
      <c r="N880" s="2"/>
      <c r="O880" s="2"/>
    </row>
    <row r="881">
      <c r="A881" s="2"/>
      <c r="B881" s="2"/>
      <c r="C881" s="18"/>
      <c r="D881" s="18"/>
      <c r="E881" s="26"/>
      <c r="H881" s="2"/>
      <c r="I881" s="2"/>
      <c r="J881" s="2"/>
      <c r="K881" s="2"/>
    </row>
    <row r="882">
      <c r="A882" s="2"/>
      <c r="B882" s="2"/>
      <c r="C882" s="18"/>
      <c r="D882" s="18"/>
      <c r="E882" s="26"/>
      <c r="F882" s="2"/>
      <c r="G882" s="2"/>
      <c r="H882" s="2"/>
      <c r="I882" s="2"/>
      <c r="J882" s="2"/>
      <c r="K882" s="2"/>
      <c r="M882" s="2"/>
      <c r="N882" s="2"/>
      <c r="O882" s="2"/>
    </row>
    <row r="883">
      <c r="A883" s="2"/>
      <c r="B883" s="2"/>
      <c r="C883" s="18"/>
      <c r="D883" s="18"/>
      <c r="E883" s="26"/>
      <c r="H883" s="2"/>
      <c r="I883" s="2"/>
      <c r="J883" s="2"/>
      <c r="K883" s="2"/>
    </row>
    <row r="884">
      <c r="A884" s="2"/>
      <c r="B884" s="2"/>
      <c r="C884" s="18"/>
      <c r="D884" s="18"/>
      <c r="E884" s="26"/>
      <c r="G884" s="2"/>
      <c r="H884" s="2"/>
      <c r="I884" s="2"/>
      <c r="J884" s="2"/>
      <c r="K884" s="2"/>
      <c r="M884" s="2"/>
      <c r="N884" s="2"/>
      <c r="O884" s="2"/>
    </row>
    <row r="885">
      <c r="A885" s="2"/>
      <c r="B885" s="2"/>
      <c r="C885" s="18"/>
      <c r="D885" s="18"/>
      <c r="E885" s="26"/>
      <c r="H885" s="2"/>
      <c r="I885" s="2"/>
      <c r="J885" s="2"/>
      <c r="K885" s="2"/>
      <c r="M885" s="2"/>
      <c r="N885" s="2"/>
      <c r="O885" s="2"/>
    </row>
    <row r="886">
      <c r="A886" s="2"/>
      <c r="B886" s="2"/>
      <c r="C886" s="18"/>
      <c r="D886" s="18"/>
      <c r="E886" s="26"/>
      <c r="H886" s="2"/>
      <c r="I886" s="2"/>
      <c r="J886" s="2"/>
      <c r="K886" s="2"/>
      <c r="M886" s="2"/>
      <c r="N886" s="2"/>
      <c r="O886" s="2"/>
    </row>
    <row r="887">
      <c r="A887" s="2"/>
      <c r="B887" s="2"/>
      <c r="C887" s="18"/>
      <c r="D887" s="18"/>
      <c r="E887" s="26"/>
      <c r="H887" s="2"/>
      <c r="I887" s="2"/>
      <c r="J887" s="2"/>
      <c r="K887" s="2"/>
    </row>
    <row r="888">
      <c r="A888" s="2"/>
      <c r="B888" s="2"/>
      <c r="C888" s="18"/>
      <c r="D888" s="18"/>
      <c r="E888" s="26"/>
      <c r="G888" s="2"/>
      <c r="H888" s="2"/>
      <c r="I888" s="2"/>
      <c r="J888" s="2"/>
      <c r="K888" s="2"/>
      <c r="M888" s="2"/>
      <c r="N888" s="2"/>
      <c r="O888" s="2"/>
    </row>
    <row r="889">
      <c r="A889" s="2"/>
      <c r="B889" s="2"/>
      <c r="C889" s="18"/>
      <c r="D889" s="18"/>
      <c r="E889" s="26"/>
      <c r="H889" s="2"/>
      <c r="I889" s="2"/>
      <c r="J889" s="2"/>
      <c r="K889" s="2"/>
    </row>
    <row r="890">
      <c r="A890" s="2"/>
      <c r="B890" s="2"/>
      <c r="C890" s="18"/>
      <c r="D890" s="18"/>
      <c r="E890" s="26"/>
      <c r="F890" s="2"/>
      <c r="G890" s="2"/>
      <c r="H890" s="2"/>
      <c r="I890" s="2"/>
      <c r="J890" s="2"/>
      <c r="K890" s="2"/>
      <c r="M890" s="2"/>
      <c r="N890" s="2"/>
      <c r="O890" s="2"/>
    </row>
    <row r="891">
      <c r="A891" s="2"/>
      <c r="B891" s="2"/>
      <c r="C891" s="18"/>
      <c r="D891" s="18"/>
      <c r="E891" s="26"/>
      <c r="H891" s="2"/>
      <c r="I891" s="2"/>
      <c r="J891" s="2"/>
      <c r="K891" s="2"/>
      <c r="M891" s="2"/>
      <c r="N891" s="2"/>
      <c r="O891" s="2"/>
    </row>
    <row r="892">
      <c r="A892" s="2"/>
      <c r="B892" s="2"/>
      <c r="C892" s="18"/>
      <c r="D892" s="18"/>
      <c r="E892" s="26"/>
      <c r="H892" s="2"/>
      <c r="I892" s="2"/>
      <c r="J892" s="2"/>
      <c r="K892" s="2"/>
      <c r="M892" s="2"/>
      <c r="N892" s="2"/>
      <c r="O892" s="2"/>
    </row>
    <row r="893">
      <c r="A893" s="2"/>
      <c r="B893" s="2"/>
      <c r="C893" s="18"/>
      <c r="D893" s="18"/>
      <c r="E893" s="26"/>
      <c r="G893" s="2"/>
      <c r="H893" s="2"/>
      <c r="I893" s="2"/>
      <c r="J893" s="2"/>
      <c r="K893" s="2"/>
      <c r="M893" s="2"/>
      <c r="N893" s="2"/>
      <c r="O893" s="2"/>
    </row>
    <row r="894">
      <c r="A894" s="2"/>
      <c r="B894" s="2"/>
      <c r="C894" s="18"/>
      <c r="D894" s="18"/>
      <c r="E894" s="26"/>
      <c r="H894" s="2"/>
      <c r="I894" s="2"/>
      <c r="J894" s="2"/>
      <c r="K894" s="2"/>
    </row>
    <row r="895">
      <c r="A895" s="2"/>
      <c r="B895" s="2"/>
      <c r="C895" s="18"/>
      <c r="D895" s="18"/>
      <c r="E895" s="26"/>
      <c r="F895" s="2"/>
      <c r="H895" s="2"/>
      <c r="I895" s="2"/>
      <c r="J895" s="2"/>
      <c r="K895" s="2"/>
      <c r="M895" s="2"/>
      <c r="N895" s="2"/>
      <c r="O895" s="2"/>
    </row>
    <row r="896">
      <c r="A896" s="2"/>
      <c r="B896" s="2"/>
      <c r="C896" s="18"/>
      <c r="D896" s="18"/>
      <c r="E896" s="26"/>
      <c r="G896" s="2"/>
      <c r="H896" s="2"/>
      <c r="I896" s="2"/>
      <c r="J896" s="2"/>
      <c r="K896" s="2"/>
      <c r="M896" s="2"/>
      <c r="N896" s="2"/>
      <c r="O896" s="2"/>
    </row>
    <row r="897">
      <c r="A897" s="2"/>
      <c r="B897" s="2"/>
      <c r="C897" s="18"/>
      <c r="D897" s="18"/>
      <c r="E897" s="26"/>
      <c r="G897" s="2"/>
      <c r="H897" s="2"/>
      <c r="I897" s="2"/>
      <c r="J897" s="2"/>
      <c r="K897" s="2"/>
      <c r="M897" s="2"/>
      <c r="N897" s="2"/>
      <c r="O897" s="2"/>
    </row>
    <row r="898">
      <c r="A898" s="2"/>
      <c r="B898" s="2"/>
      <c r="C898" s="18"/>
      <c r="D898" s="18"/>
      <c r="E898" s="26"/>
      <c r="H898" s="2"/>
      <c r="I898" s="2"/>
      <c r="J898" s="2"/>
      <c r="K898" s="2"/>
      <c r="M898" s="2"/>
      <c r="N898" s="2"/>
      <c r="O898" s="2"/>
    </row>
    <row r="899">
      <c r="A899" s="2"/>
      <c r="B899" s="2"/>
      <c r="C899" s="18"/>
      <c r="D899" s="18"/>
      <c r="E899" s="26"/>
      <c r="H899" s="2"/>
      <c r="I899" s="2"/>
      <c r="J899" s="2"/>
      <c r="K899" s="2"/>
    </row>
    <row r="900">
      <c r="A900" s="2"/>
      <c r="B900" s="2"/>
      <c r="C900" s="18"/>
      <c r="D900" s="18"/>
      <c r="E900" s="26"/>
      <c r="F900" s="2"/>
      <c r="G900" s="2"/>
      <c r="H900" s="2"/>
      <c r="I900" s="2"/>
      <c r="J900" s="2"/>
      <c r="K900" s="2"/>
      <c r="M900" s="2"/>
      <c r="N900" s="2"/>
      <c r="O900" s="2"/>
    </row>
    <row r="901">
      <c r="A901" s="2"/>
      <c r="B901" s="2"/>
      <c r="C901" s="18"/>
      <c r="D901" s="18"/>
      <c r="E901" s="26"/>
      <c r="F901" s="2"/>
      <c r="G901" s="2"/>
      <c r="H901" s="2"/>
      <c r="I901" s="2"/>
      <c r="J901" s="2"/>
      <c r="K901" s="2"/>
      <c r="M901" s="2"/>
      <c r="N901" s="2"/>
      <c r="O901" s="2"/>
    </row>
    <row r="902">
      <c r="A902" s="2"/>
      <c r="B902" s="2"/>
      <c r="C902" s="18"/>
      <c r="D902" s="18"/>
      <c r="E902" s="26"/>
      <c r="H902" s="2"/>
      <c r="I902" s="2"/>
      <c r="J902" s="2"/>
      <c r="K902" s="2"/>
      <c r="M902" s="2"/>
      <c r="N902" s="2"/>
      <c r="O902" s="2"/>
    </row>
    <row r="903">
      <c r="A903" s="2"/>
      <c r="B903" s="2"/>
      <c r="C903" s="18"/>
      <c r="D903" s="18"/>
      <c r="E903" s="26"/>
      <c r="H903" s="2"/>
      <c r="I903" s="2"/>
      <c r="J903" s="2"/>
      <c r="K903" s="2"/>
      <c r="M903" s="2"/>
      <c r="N903" s="2"/>
      <c r="O903" s="2"/>
    </row>
    <row r="904">
      <c r="A904" s="2"/>
      <c r="B904" s="2"/>
      <c r="C904" s="18"/>
      <c r="D904" s="18"/>
      <c r="E904" s="26"/>
      <c r="H904" s="2"/>
      <c r="I904" s="2"/>
      <c r="J904" s="2"/>
      <c r="K904" s="2"/>
    </row>
    <row r="905">
      <c r="A905" s="2"/>
      <c r="B905" s="2"/>
      <c r="C905" s="18"/>
      <c r="D905" s="18"/>
      <c r="E905" s="26"/>
      <c r="H905" s="2"/>
      <c r="I905" s="2"/>
      <c r="J905" s="2"/>
      <c r="K905" s="2"/>
    </row>
    <row r="906">
      <c r="A906" s="2"/>
      <c r="B906" s="2"/>
      <c r="C906" s="18"/>
      <c r="D906" s="18"/>
      <c r="E906" s="26"/>
      <c r="G906" s="2"/>
      <c r="H906" s="2"/>
      <c r="I906" s="2"/>
      <c r="J906" s="2"/>
      <c r="K906" s="2"/>
      <c r="M906" s="2"/>
      <c r="N906" s="2"/>
      <c r="O906" s="2"/>
    </row>
    <row r="907">
      <c r="A907" s="2"/>
      <c r="B907" s="2"/>
      <c r="C907" s="18"/>
      <c r="D907" s="18"/>
      <c r="E907" s="26"/>
      <c r="H907" s="2"/>
      <c r="I907" s="2"/>
      <c r="J907" s="2"/>
      <c r="K907" s="2"/>
      <c r="M907" s="2"/>
      <c r="N907" s="2"/>
      <c r="O907" s="2"/>
    </row>
    <row r="908">
      <c r="A908" s="2"/>
      <c r="B908" s="2"/>
      <c r="C908" s="18"/>
      <c r="D908" s="18"/>
      <c r="E908" s="26"/>
      <c r="H908" s="2"/>
      <c r="I908" s="2"/>
      <c r="J908" s="2"/>
      <c r="K908" s="2"/>
      <c r="M908" s="2"/>
      <c r="N908" s="2"/>
      <c r="O908" s="2"/>
    </row>
    <row r="909">
      <c r="A909" s="2"/>
      <c r="B909" s="2"/>
      <c r="C909" s="18"/>
      <c r="D909" s="18"/>
      <c r="E909" s="26"/>
      <c r="H909" s="2"/>
      <c r="I909" s="2"/>
      <c r="J909" s="2"/>
      <c r="K909" s="2"/>
      <c r="M909" s="2"/>
      <c r="N909" s="2"/>
      <c r="O909" s="2"/>
    </row>
    <row r="910">
      <c r="A910" s="2"/>
      <c r="B910" s="2"/>
      <c r="C910" s="18"/>
      <c r="D910" s="18"/>
      <c r="E910" s="26"/>
      <c r="H910" s="2"/>
      <c r="I910" s="2"/>
      <c r="J910" s="2"/>
      <c r="K910" s="2"/>
    </row>
    <row r="911">
      <c r="A911" s="2"/>
      <c r="B911" s="2"/>
      <c r="C911" s="18"/>
      <c r="D911" s="18"/>
      <c r="E911" s="26"/>
      <c r="H911" s="2"/>
      <c r="I911" s="2"/>
      <c r="J911" s="2"/>
      <c r="K911" s="2"/>
    </row>
    <row r="912">
      <c r="A912" s="2"/>
      <c r="B912" s="2"/>
      <c r="C912" s="18"/>
      <c r="D912" s="18"/>
      <c r="E912" s="26"/>
      <c r="H912" s="2"/>
      <c r="I912" s="2"/>
      <c r="J912" s="2"/>
      <c r="K912" s="2"/>
      <c r="M912" s="2"/>
      <c r="N912" s="2"/>
      <c r="O912" s="2"/>
    </row>
    <row r="913">
      <c r="A913" s="2"/>
      <c r="B913" s="2"/>
      <c r="C913" s="18"/>
      <c r="D913" s="18"/>
      <c r="E913" s="26"/>
      <c r="G913" s="2"/>
      <c r="H913" s="2"/>
      <c r="I913" s="2"/>
      <c r="J913" s="2"/>
      <c r="K913" s="2"/>
      <c r="M913" s="2"/>
      <c r="N913" s="2"/>
      <c r="O913" s="2"/>
    </row>
    <row r="914">
      <c r="A914" s="2"/>
      <c r="B914" s="2"/>
      <c r="C914" s="18"/>
      <c r="D914" s="18"/>
      <c r="E914" s="26"/>
      <c r="H914" s="2"/>
      <c r="I914" s="2"/>
      <c r="J914" s="2"/>
      <c r="K914" s="2"/>
    </row>
    <row r="915">
      <c r="A915" s="2"/>
      <c r="B915" s="2"/>
      <c r="C915" s="18"/>
      <c r="D915" s="18"/>
      <c r="E915" s="26"/>
      <c r="G915" s="2"/>
      <c r="H915" s="2"/>
      <c r="I915" s="2"/>
      <c r="J915" s="2"/>
      <c r="K915" s="2"/>
      <c r="M915" s="2"/>
      <c r="N915" s="2"/>
      <c r="O915" s="2"/>
    </row>
    <row r="916">
      <c r="A916" s="2"/>
      <c r="B916" s="2"/>
      <c r="C916" s="18"/>
      <c r="D916" s="18"/>
      <c r="E916" s="26"/>
      <c r="H916" s="2"/>
      <c r="I916" s="2"/>
      <c r="J916" s="2"/>
      <c r="K916" s="2"/>
      <c r="M916" s="2"/>
      <c r="N916" s="2"/>
      <c r="O916" s="2"/>
    </row>
    <row r="917">
      <c r="A917" s="2"/>
      <c r="B917" s="2"/>
      <c r="C917" s="18"/>
      <c r="D917" s="18"/>
      <c r="E917" s="26"/>
      <c r="G917" s="2"/>
      <c r="H917" s="2"/>
      <c r="I917" s="2"/>
      <c r="J917" s="2"/>
      <c r="K917" s="2"/>
      <c r="M917" s="2"/>
      <c r="N917" s="2"/>
      <c r="O917" s="2"/>
    </row>
    <row r="918">
      <c r="A918" s="2"/>
      <c r="B918" s="2"/>
      <c r="C918" s="18"/>
      <c r="D918" s="18"/>
      <c r="E918" s="26"/>
      <c r="H918" s="2"/>
      <c r="I918" s="2"/>
      <c r="J918" s="2"/>
      <c r="K918" s="2"/>
    </row>
    <row r="919">
      <c r="A919" s="2"/>
      <c r="B919" s="2"/>
      <c r="C919" s="18"/>
      <c r="D919" s="18"/>
      <c r="E919" s="26"/>
      <c r="F919" s="2"/>
      <c r="G919" s="2"/>
      <c r="H919" s="2"/>
      <c r="I919" s="2"/>
      <c r="J919" s="2"/>
      <c r="K919" s="2"/>
      <c r="M919" s="2"/>
      <c r="N919" s="2"/>
      <c r="O919" s="2"/>
    </row>
    <row r="920">
      <c r="A920" s="2"/>
      <c r="B920" s="2"/>
      <c r="C920" s="18"/>
      <c r="D920" s="18"/>
      <c r="E920" s="26"/>
      <c r="F920" s="2"/>
      <c r="G920" s="2"/>
      <c r="H920" s="2"/>
      <c r="I920" s="2"/>
      <c r="J920" s="2"/>
      <c r="K920" s="2"/>
      <c r="M920" s="2"/>
      <c r="N920" s="2"/>
      <c r="O920" s="2"/>
    </row>
    <row r="921">
      <c r="A921" s="2"/>
      <c r="B921" s="2"/>
      <c r="C921" s="18"/>
      <c r="D921" s="18"/>
      <c r="E921" s="26"/>
      <c r="H921" s="2"/>
      <c r="I921" s="2"/>
      <c r="J921" s="2"/>
      <c r="K921" s="2"/>
      <c r="M921" s="2"/>
      <c r="N921" s="2"/>
      <c r="O921" s="2"/>
    </row>
    <row r="922">
      <c r="A922" s="2"/>
      <c r="B922" s="2"/>
      <c r="C922" s="18"/>
      <c r="D922" s="18"/>
      <c r="E922" s="26"/>
      <c r="H922" s="2"/>
      <c r="I922" s="2"/>
      <c r="J922" s="2"/>
      <c r="K922" s="2"/>
      <c r="M922" s="2"/>
      <c r="N922" s="2"/>
      <c r="O922" s="2"/>
    </row>
    <row r="923">
      <c r="A923" s="2"/>
      <c r="B923" s="2"/>
      <c r="C923" s="18"/>
      <c r="D923" s="18"/>
      <c r="E923" s="26"/>
      <c r="H923" s="2"/>
      <c r="I923" s="2"/>
      <c r="J923" s="2"/>
      <c r="K923" s="2"/>
    </row>
    <row r="924">
      <c r="A924" s="2"/>
      <c r="B924" s="2"/>
      <c r="C924" s="18"/>
      <c r="D924" s="18"/>
      <c r="E924" s="26"/>
      <c r="F924" s="2"/>
      <c r="G924" s="2"/>
      <c r="H924" s="2"/>
      <c r="I924" s="2"/>
      <c r="J924" s="2"/>
      <c r="K924" s="2"/>
      <c r="M924" s="2"/>
      <c r="N924" s="2"/>
      <c r="O924" s="2"/>
    </row>
    <row r="925">
      <c r="A925" s="2"/>
      <c r="B925" s="2"/>
      <c r="C925" s="18"/>
      <c r="D925" s="18"/>
      <c r="E925" s="26"/>
      <c r="H925" s="2"/>
      <c r="I925" s="2"/>
      <c r="J925" s="2"/>
      <c r="K925" s="2"/>
    </row>
    <row r="926">
      <c r="A926" s="2"/>
      <c r="B926" s="2"/>
      <c r="C926" s="18"/>
      <c r="D926" s="18"/>
      <c r="E926" s="26"/>
      <c r="H926" s="2"/>
      <c r="I926" s="2"/>
      <c r="J926" s="2"/>
      <c r="K926" s="2"/>
      <c r="M926" s="2"/>
      <c r="N926" s="2"/>
      <c r="O926" s="2"/>
    </row>
    <row r="927">
      <c r="A927" s="2"/>
      <c r="B927" s="2"/>
      <c r="C927" s="18"/>
      <c r="D927" s="18"/>
      <c r="E927" s="26"/>
      <c r="H927" s="2"/>
      <c r="I927" s="2"/>
      <c r="J927" s="2"/>
      <c r="K927" s="2"/>
      <c r="M927" s="2"/>
      <c r="N927" s="2"/>
      <c r="O927" s="2"/>
    </row>
    <row r="928">
      <c r="A928" s="2"/>
      <c r="B928" s="2"/>
      <c r="C928" s="18"/>
      <c r="D928" s="18"/>
      <c r="E928" s="26"/>
      <c r="G928" s="2"/>
      <c r="H928" s="2"/>
      <c r="I928" s="2"/>
      <c r="J928" s="2"/>
      <c r="K928" s="2"/>
      <c r="M928" s="2"/>
      <c r="N928" s="2"/>
      <c r="O928" s="2"/>
    </row>
    <row r="929">
      <c r="A929" s="2"/>
      <c r="B929" s="2"/>
      <c r="C929" s="18"/>
      <c r="D929" s="18"/>
      <c r="E929" s="26"/>
      <c r="H929" s="2"/>
      <c r="I929" s="2"/>
      <c r="J929" s="2"/>
      <c r="K929" s="2"/>
    </row>
    <row r="930">
      <c r="A930" s="2"/>
      <c r="B930" s="2"/>
      <c r="C930" s="18"/>
      <c r="D930" s="18"/>
      <c r="E930" s="26"/>
      <c r="H930" s="2"/>
      <c r="I930" s="2"/>
      <c r="J930" s="2"/>
      <c r="K930" s="2"/>
      <c r="M930" s="2"/>
      <c r="N930" s="2"/>
      <c r="O930" s="2"/>
    </row>
    <row r="931">
      <c r="A931" s="2"/>
      <c r="B931" s="2"/>
      <c r="C931" s="18"/>
      <c r="D931" s="18"/>
      <c r="E931" s="26"/>
      <c r="H931" s="2"/>
      <c r="I931" s="2"/>
      <c r="J931" s="2"/>
      <c r="K931" s="2"/>
    </row>
    <row r="932">
      <c r="A932" s="2"/>
      <c r="B932" s="2"/>
      <c r="C932" s="18"/>
      <c r="D932" s="18"/>
      <c r="E932" s="26"/>
      <c r="F932" s="2"/>
      <c r="G932" s="2"/>
      <c r="H932" s="2"/>
      <c r="I932" s="2"/>
      <c r="J932" s="2"/>
      <c r="K932" s="2"/>
      <c r="M932" s="2"/>
      <c r="N932" s="2"/>
      <c r="O932" s="2"/>
    </row>
    <row r="933">
      <c r="A933" s="2"/>
      <c r="B933" s="2"/>
      <c r="C933" s="18"/>
      <c r="D933" s="18"/>
      <c r="E933" s="26"/>
      <c r="H933" s="2"/>
      <c r="I933" s="2"/>
      <c r="J933" s="2"/>
      <c r="K933" s="2"/>
      <c r="M933" s="2"/>
      <c r="N933" s="2"/>
      <c r="O933" s="2"/>
    </row>
    <row r="934">
      <c r="A934" s="2"/>
      <c r="B934" s="2"/>
      <c r="C934" s="18"/>
      <c r="D934" s="18"/>
      <c r="E934" s="26"/>
      <c r="H934" s="2"/>
      <c r="I934" s="2"/>
      <c r="J934" s="2"/>
      <c r="K934" s="2"/>
      <c r="M934" s="2"/>
      <c r="N934" s="2"/>
      <c r="O934" s="2"/>
    </row>
    <row r="935">
      <c r="A935" s="2"/>
      <c r="B935" s="2"/>
      <c r="C935" s="18"/>
      <c r="D935" s="18"/>
      <c r="E935" s="26"/>
      <c r="G935" s="2"/>
      <c r="H935" s="2"/>
      <c r="I935" s="2"/>
      <c r="J935" s="2"/>
      <c r="K935" s="2"/>
      <c r="M935" s="2"/>
      <c r="N935" s="2"/>
      <c r="O935" s="2"/>
    </row>
    <row r="936">
      <c r="A936" s="2"/>
      <c r="B936" s="2"/>
      <c r="C936" s="18"/>
      <c r="D936" s="18"/>
      <c r="E936" s="26"/>
      <c r="H936" s="2"/>
      <c r="I936" s="2"/>
      <c r="J936" s="2"/>
      <c r="K936" s="2"/>
    </row>
    <row r="937">
      <c r="A937" s="2"/>
      <c r="B937" s="2"/>
      <c r="C937" s="18"/>
      <c r="D937" s="18"/>
      <c r="E937" s="26"/>
      <c r="F937" s="2"/>
      <c r="H937" s="2"/>
      <c r="I937" s="2"/>
      <c r="J937" s="2"/>
      <c r="K937" s="2"/>
      <c r="M937" s="2"/>
      <c r="N937" s="2"/>
      <c r="O937" s="2"/>
    </row>
    <row r="938">
      <c r="A938" s="2"/>
      <c r="B938" s="2"/>
      <c r="C938" s="18"/>
      <c r="D938" s="18"/>
      <c r="E938" s="26"/>
      <c r="G938" s="2"/>
      <c r="H938" s="2"/>
      <c r="I938" s="2"/>
      <c r="J938" s="2"/>
      <c r="K938" s="2"/>
      <c r="M938" s="2"/>
      <c r="N938" s="2"/>
      <c r="O938" s="2"/>
    </row>
    <row r="939">
      <c r="A939" s="2"/>
      <c r="B939" s="2"/>
      <c r="C939" s="18"/>
      <c r="D939" s="18"/>
      <c r="E939" s="26"/>
      <c r="G939" s="2"/>
      <c r="H939" s="2"/>
      <c r="I939" s="2"/>
      <c r="J939" s="2"/>
      <c r="K939" s="2"/>
      <c r="M939" s="2"/>
      <c r="N939" s="2"/>
      <c r="O939" s="2"/>
    </row>
    <row r="940">
      <c r="A940" s="2"/>
      <c r="B940" s="2"/>
      <c r="C940" s="18"/>
      <c r="D940" s="18"/>
      <c r="E940" s="26"/>
      <c r="H940" s="2"/>
      <c r="I940" s="2"/>
      <c r="J940" s="2"/>
      <c r="K940" s="2"/>
      <c r="M940" s="2"/>
      <c r="N940" s="2"/>
      <c r="O940" s="2"/>
    </row>
    <row r="941">
      <c r="A941" s="2"/>
      <c r="B941" s="2"/>
      <c r="C941" s="18"/>
      <c r="D941" s="18"/>
      <c r="E941" s="26"/>
      <c r="H941" s="2"/>
      <c r="I941" s="2"/>
      <c r="J941" s="2"/>
      <c r="K941" s="2"/>
    </row>
    <row r="942">
      <c r="A942" s="2"/>
      <c r="B942" s="2"/>
      <c r="C942" s="18"/>
      <c r="D942" s="18"/>
      <c r="E942" s="26"/>
      <c r="F942" s="2"/>
      <c r="G942" s="2"/>
      <c r="H942" s="2"/>
      <c r="I942" s="2"/>
      <c r="J942" s="2"/>
      <c r="K942" s="2"/>
      <c r="M942" s="2"/>
      <c r="N942" s="2"/>
      <c r="O942" s="2"/>
    </row>
    <row r="943">
      <c r="A943" s="2"/>
      <c r="B943" s="2"/>
      <c r="C943" s="18"/>
      <c r="D943" s="18"/>
      <c r="E943" s="26"/>
      <c r="F943" s="2"/>
      <c r="G943" s="2"/>
      <c r="H943" s="2"/>
      <c r="I943" s="2"/>
      <c r="J943" s="2"/>
      <c r="K943" s="2"/>
      <c r="M943" s="2"/>
      <c r="N943" s="2"/>
      <c r="O943" s="2"/>
    </row>
    <row r="944">
      <c r="A944" s="2"/>
      <c r="B944" s="2"/>
      <c r="C944" s="18"/>
      <c r="D944" s="18"/>
      <c r="E944" s="26"/>
      <c r="H944" s="2"/>
      <c r="I944" s="2"/>
      <c r="J944" s="2"/>
      <c r="K944" s="2"/>
      <c r="M944" s="2"/>
      <c r="N944" s="2"/>
      <c r="O944" s="2"/>
    </row>
    <row r="945">
      <c r="A945" s="2"/>
      <c r="B945" s="2"/>
      <c r="C945" s="18"/>
      <c r="D945" s="18"/>
      <c r="E945" s="26"/>
      <c r="H945" s="2"/>
      <c r="I945" s="2"/>
      <c r="J945" s="2"/>
      <c r="K945" s="2"/>
      <c r="M945" s="2"/>
      <c r="N945" s="2"/>
      <c r="O945" s="2"/>
    </row>
    <row r="946">
      <c r="A946" s="2"/>
      <c r="B946" s="2"/>
      <c r="C946" s="18"/>
      <c r="D946" s="18"/>
      <c r="E946" s="26"/>
      <c r="H946" s="2"/>
      <c r="I946" s="2"/>
      <c r="J946" s="2"/>
      <c r="K946" s="2"/>
    </row>
    <row r="947">
      <c r="A947" s="2"/>
      <c r="B947" s="2"/>
      <c r="C947" s="18"/>
      <c r="D947" s="18"/>
      <c r="E947" s="26"/>
      <c r="H947" s="2"/>
      <c r="I947" s="2"/>
      <c r="J947" s="2"/>
      <c r="K947" s="2"/>
    </row>
    <row r="948">
      <c r="A948" s="2"/>
      <c r="B948" s="2"/>
      <c r="C948" s="18"/>
      <c r="D948" s="18"/>
      <c r="E948" s="26"/>
      <c r="H948" s="2"/>
      <c r="I948" s="2"/>
      <c r="J948" s="2"/>
      <c r="K948" s="2"/>
      <c r="M948" s="2"/>
      <c r="N948" s="2"/>
      <c r="O948" s="2"/>
    </row>
    <row r="949">
      <c r="A949" s="2"/>
      <c r="B949" s="2"/>
      <c r="C949" s="18"/>
      <c r="D949" s="18"/>
      <c r="E949" s="26"/>
      <c r="H949" s="2"/>
      <c r="I949" s="2"/>
      <c r="J949" s="2"/>
      <c r="K949" s="2"/>
      <c r="M949" s="2"/>
      <c r="N949" s="2"/>
      <c r="O949" s="2"/>
    </row>
    <row r="950">
      <c r="A950" s="2"/>
      <c r="B950" s="2"/>
      <c r="C950" s="18"/>
      <c r="D950" s="18"/>
      <c r="E950" s="26"/>
      <c r="H950" s="2"/>
      <c r="I950" s="2"/>
      <c r="J950" s="2"/>
      <c r="K950" s="2"/>
      <c r="M950" s="2"/>
      <c r="N950" s="2"/>
      <c r="O950" s="2"/>
    </row>
    <row r="951">
      <c r="A951" s="2"/>
      <c r="B951" s="2"/>
      <c r="C951" s="18"/>
      <c r="D951" s="18"/>
      <c r="E951" s="26"/>
      <c r="H951" s="2"/>
      <c r="I951" s="2"/>
      <c r="J951" s="2"/>
      <c r="K951" s="2"/>
      <c r="M951" s="2"/>
      <c r="N951" s="2"/>
      <c r="O951" s="2"/>
    </row>
    <row r="952">
      <c r="A952" s="2"/>
      <c r="B952" s="2"/>
      <c r="C952" s="18"/>
      <c r="D952" s="18"/>
      <c r="E952" s="26"/>
      <c r="H952" s="2"/>
      <c r="I952" s="2"/>
      <c r="J952" s="2"/>
      <c r="K952" s="2"/>
      <c r="M952" s="2"/>
      <c r="N952" s="2"/>
      <c r="O952" s="2"/>
    </row>
    <row r="953">
      <c r="A953" s="2"/>
      <c r="B953" s="2"/>
      <c r="C953" s="18"/>
      <c r="D953" s="18"/>
      <c r="E953" s="26"/>
      <c r="H953" s="2"/>
      <c r="I953" s="2"/>
      <c r="J953" s="2"/>
      <c r="K953" s="2"/>
      <c r="M953" s="2"/>
      <c r="N953" s="2"/>
      <c r="O953" s="2"/>
    </row>
    <row r="954">
      <c r="A954" s="2"/>
      <c r="B954" s="2"/>
      <c r="C954" s="18"/>
      <c r="D954" s="18"/>
      <c r="E954" s="26"/>
      <c r="H954" s="2"/>
      <c r="I954" s="2"/>
      <c r="J954" s="2"/>
      <c r="K954" s="2"/>
    </row>
    <row r="955">
      <c r="A955" s="2"/>
      <c r="B955" s="2"/>
      <c r="C955" s="18"/>
      <c r="D955" s="18"/>
      <c r="E955" s="26"/>
      <c r="H955" s="2"/>
      <c r="I955" s="2"/>
      <c r="J955" s="2"/>
      <c r="K955" s="2"/>
      <c r="M955" s="2"/>
      <c r="N955" s="2"/>
      <c r="O955" s="2"/>
    </row>
    <row r="956">
      <c r="A956" s="2"/>
      <c r="B956" s="2"/>
      <c r="C956" s="18"/>
      <c r="D956" s="18"/>
      <c r="E956" s="26"/>
      <c r="H956" s="2"/>
      <c r="I956" s="2"/>
      <c r="J956" s="2"/>
      <c r="K956" s="2"/>
    </row>
    <row r="957">
      <c r="A957" s="2"/>
      <c r="B957" s="2"/>
      <c r="C957" s="18"/>
      <c r="D957" s="18"/>
      <c r="E957" s="26"/>
      <c r="H957" s="2"/>
      <c r="I957" s="2"/>
      <c r="J957" s="2"/>
      <c r="K957" s="2"/>
      <c r="M957" s="2"/>
      <c r="N957" s="2"/>
      <c r="O957" s="2"/>
    </row>
    <row r="958">
      <c r="A958" s="2"/>
      <c r="B958" s="2"/>
      <c r="C958" s="18"/>
      <c r="D958" s="18"/>
      <c r="E958" s="26"/>
      <c r="G958" s="2"/>
      <c r="H958" s="2"/>
      <c r="I958" s="2"/>
      <c r="J958" s="2"/>
      <c r="K958" s="2"/>
      <c r="M958" s="2"/>
      <c r="N958" s="2"/>
      <c r="O958" s="2"/>
    </row>
    <row r="959">
      <c r="A959" s="2"/>
      <c r="B959" s="2"/>
      <c r="C959" s="18"/>
      <c r="D959" s="18"/>
      <c r="E959" s="26"/>
      <c r="H959" s="2"/>
      <c r="I959" s="2"/>
      <c r="J959" s="2"/>
      <c r="K959" s="2"/>
    </row>
    <row r="960">
      <c r="A960" s="2"/>
      <c r="B960" s="2"/>
      <c r="C960" s="18"/>
      <c r="D960" s="18"/>
      <c r="E960" s="26"/>
      <c r="G960" s="2"/>
      <c r="H960" s="2"/>
      <c r="I960" s="2"/>
      <c r="J960" s="2"/>
      <c r="K960" s="2"/>
      <c r="M960" s="2"/>
      <c r="N960" s="2"/>
      <c r="O960" s="2"/>
    </row>
    <row r="961">
      <c r="A961" s="2"/>
      <c r="B961" s="2"/>
      <c r="C961" s="18"/>
      <c r="D961" s="18"/>
      <c r="E961" s="26"/>
      <c r="H961" s="2"/>
      <c r="I961" s="2"/>
      <c r="J961" s="2"/>
      <c r="K961" s="2"/>
      <c r="M961" s="2"/>
      <c r="N961" s="2"/>
      <c r="O961" s="2"/>
    </row>
    <row r="962">
      <c r="A962" s="2"/>
      <c r="B962" s="2"/>
      <c r="C962" s="18"/>
      <c r="D962" s="18"/>
      <c r="E962" s="26"/>
      <c r="G962" s="2"/>
      <c r="H962" s="2"/>
      <c r="I962" s="2"/>
      <c r="J962" s="2"/>
      <c r="K962" s="2"/>
      <c r="M962" s="2"/>
      <c r="N962" s="2"/>
      <c r="O962" s="2"/>
    </row>
    <row r="963">
      <c r="A963" s="2"/>
      <c r="B963" s="2"/>
      <c r="C963" s="18"/>
      <c r="D963" s="18"/>
      <c r="E963" s="26"/>
      <c r="H963" s="2"/>
      <c r="I963" s="2"/>
      <c r="J963" s="2"/>
      <c r="K963" s="2"/>
    </row>
    <row r="964">
      <c r="A964" s="2"/>
      <c r="B964" s="2"/>
      <c r="C964" s="18"/>
      <c r="D964" s="18"/>
      <c r="E964" s="26"/>
      <c r="F964" s="2"/>
      <c r="G964" s="2"/>
      <c r="H964" s="2"/>
      <c r="I964" s="2"/>
      <c r="J964" s="2"/>
      <c r="K964" s="2"/>
      <c r="M964" s="2"/>
      <c r="N964" s="2"/>
      <c r="O964" s="2"/>
    </row>
    <row r="965">
      <c r="A965" s="2"/>
      <c r="B965" s="2"/>
      <c r="C965" s="18"/>
      <c r="D965" s="18"/>
      <c r="E965" s="26"/>
      <c r="F965" s="2"/>
      <c r="G965" s="2"/>
      <c r="H965" s="2"/>
      <c r="I965" s="2"/>
      <c r="J965" s="2"/>
      <c r="K965" s="2"/>
      <c r="M965" s="2"/>
      <c r="N965" s="2"/>
      <c r="O965" s="2"/>
    </row>
    <row r="966">
      <c r="A966" s="2"/>
      <c r="B966" s="2"/>
      <c r="C966" s="18"/>
      <c r="D966" s="18"/>
      <c r="E966" s="26"/>
      <c r="H966" s="2"/>
      <c r="I966" s="2"/>
      <c r="J966" s="2"/>
      <c r="K966" s="2"/>
      <c r="M966" s="2"/>
      <c r="N966" s="2"/>
      <c r="O966" s="2"/>
    </row>
    <row r="967">
      <c r="A967" s="2"/>
      <c r="B967" s="2"/>
      <c r="C967" s="18"/>
      <c r="D967" s="18"/>
      <c r="E967" s="26"/>
      <c r="H967" s="2"/>
      <c r="I967" s="2"/>
      <c r="J967" s="2"/>
      <c r="K967" s="2"/>
      <c r="M967" s="2"/>
      <c r="N967" s="2"/>
      <c r="O967" s="2"/>
    </row>
    <row r="968">
      <c r="A968" s="2"/>
      <c r="B968" s="2"/>
      <c r="C968" s="18"/>
      <c r="D968" s="18"/>
      <c r="E968" s="26"/>
      <c r="H968" s="2"/>
      <c r="I968" s="2"/>
      <c r="J968" s="2"/>
      <c r="K968" s="2"/>
    </row>
    <row r="969">
      <c r="A969" s="2"/>
      <c r="B969" s="2"/>
      <c r="C969" s="18"/>
      <c r="D969" s="18"/>
      <c r="E969" s="26"/>
      <c r="F969" s="2"/>
      <c r="G969" s="2"/>
      <c r="H969" s="2"/>
      <c r="I969" s="2"/>
      <c r="J969" s="2"/>
      <c r="K969" s="2"/>
      <c r="M969" s="2"/>
      <c r="N969" s="2"/>
      <c r="O969" s="2"/>
    </row>
    <row r="970">
      <c r="A970" s="2"/>
      <c r="B970" s="2"/>
      <c r="C970" s="18"/>
      <c r="D970" s="18"/>
      <c r="E970" s="26"/>
      <c r="H970" s="2"/>
      <c r="I970" s="2"/>
      <c r="J970" s="2"/>
      <c r="K970" s="2"/>
    </row>
    <row r="971">
      <c r="A971" s="2"/>
      <c r="B971" s="2"/>
      <c r="C971" s="18"/>
      <c r="D971" s="18"/>
      <c r="E971" s="26"/>
      <c r="G971" s="2"/>
      <c r="H971" s="2"/>
      <c r="I971" s="2"/>
      <c r="J971" s="2"/>
      <c r="K971" s="2"/>
      <c r="M971" s="2"/>
      <c r="N971" s="2"/>
      <c r="O971" s="2"/>
    </row>
    <row r="972">
      <c r="A972" s="2"/>
      <c r="B972" s="2"/>
      <c r="C972" s="18"/>
      <c r="D972" s="18"/>
      <c r="E972" s="26"/>
      <c r="H972" s="2"/>
      <c r="I972" s="2"/>
      <c r="J972" s="2"/>
      <c r="K972" s="2"/>
      <c r="M972" s="2"/>
      <c r="N972" s="2"/>
      <c r="O972" s="2"/>
    </row>
    <row r="973">
      <c r="A973" s="2"/>
      <c r="B973" s="2"/>
      <c r="C973" s="18"/>
      <c r="D973" s="18"/>
      <c r="E973" s="26"/>
      <c r="H973" s="2"/>
      <c r="I973" s="2"/>
      <c r="J973" s="2"/>
      <c r="K973" s="2"/>
      <c r="M973" s="2"/>
      <c r="N973" s="2"/>
      <c r="O973" s="2"/>
    </row>
    <row r="974">
      <c r="A974" s="2"/>
      <c r="B974" s="2"/>
      <c r="C974" s="18"/>
      <c r="D974" s="18"/>
      <c r="E974" s="26"/>
      <c r="H974" s="2"/>
      <c r="I974" s="2"/>
      <c r="J974" s="2"/>
      <c r="K974" s="2"/>
    </row>
    <row r="975">
      <c r="A975" s="2"/>
      <c r="B975" s="2"/>
      <c r="C975" s="18"/>
      <c r="D975" s="18"/>
      <c r="E975" s="26"/>
      <c r="G975" s="2"/>
      <c r="H975" s="2"/>
      <c r="I975" s="2"/>
      <c r="J975" s="2"/>
      <c r="K975" s="2"/>
      <c r="M975" s="2"/>
      <c r="N975" s="2"/>
      <c r="O975" s="2"/>
    </row>
    <row r="976">
      <c r="A976" s="2"/>
      <c r="B976" s="2"/>
      <c r="C976" s="18"/>
      <c r="D976" s="18"/>
      <c r="E976" s="26"/>
      <c r="H976" s="2"/>
      <c r="I976" s="2"/>
      <c r="J976" s="2"/>
      <c r="K976" s="2"/>
    </row>
    <row r="977">
      <c r="A977" s="2"/>
      <c r="B977" s="2"/>
      <c r="C977" s="18"/>
      <c r="D977" s="18"/>
      <c r="E977" s="26"/>
      <c r="F977" s="2"/>
      <c r="G977" s="2"/>
      <c r="H977" s="2"/>
      <c r="I977" s="2"/>
      <c r="J977" s="2"/>
      <c r="K977" s="2"/>
      <c r="M977" s="2"/>
      <c r="N977" s="2"/>
      <c r="O977" s="2"/>
    </row>
    <row r="978">
      <c r="A978" s="2"/>
      <c r="B978" s="2"/>
      <c r="C978" s="18"/>
      <c r="D978" s="18"/>
      <c r="E978" s="26"/>
      <c r="H978" s="2"/>
      <c r="I978" s="2"/>
      <c r="J978" s="2"/>
      <c r="K978" s="2"/>
      <c r="M978" s="2"/>
      <c r="N978" s="2"/>
      <c r="O978" s="2"/>
    </row>
    <row r="979">
      <c r="A979" s="2"/>
      <c r="B979" s="2"/>
      <c r="C979" s="18"/>
      <c r="D979" s="18"/>
      <c r="E979" s="26"/>
      <c r="H979" s="2"/>
      <c r="I979" s="2"/>
      <c r="J979" s="2"/>
      <c r="K979" s="2"/>
      <c r="M979" s="2"/>
      <c r="N979" s="2"/>
      <c r="O979" s="2"/>
    </row>
    <row r="980">
      <c r="A980" s="2"/>
      <c r="B980" s="2"/>
      <c r="C980" s="18"/>
      <c r="D980" s="18"/>
      <c r="E980" s="26"/>
      <c r="G980" s="2"/>
      <c r="H980" s="2"/>
      <c r="I980" s="2"/>
      <c r="J980" s="2"/>
      <c r="K980" s="2"/>
      <c r="M980" s="2"/>
      <c r="N980" s="2"/>
      <c r="O980" s="2"/>
    </row>
    <row r="981">
      <c r="A981" s="2"/>
      <c r="B981" s="2"/>
      <c r="C981" s="18"/>
      <c r="D981" s="18"/>
      <c r="E981" s="26"/>
      <c r="H981" s="2"/>
      <c r="I981" s="2"/>
      <c r="J981" s="2"/>
      <c r="K981" s="2"/>
    </row>
    <row r="982">
      <c r="A982" s="2"/>
      <c r="B982" s="2"/>
      <c r="C982" s="18"/>
      <c r="D982" s="18"/>
      <c r="E982" s="26"/>
      <c r="F982" s="2"/>
      <c r="H982" s="2"/>
      <c r="I982" s="2"/>
      <c r="J982" s="2"/>
      <c r="K982" s="2"/>
      <c r="M982" s="2"/>
      <c r="N982" s="2"/>
      <c r="O982" s="2"/>
    </row>
    <row r="983">
      <c r="A983" s="2"/>
      <c r="B983" s="2"/>
      <c r="C983" s="18"/>
      <c r="D983" s="18"/>
      <c r="E983" s="26"/>
      <c r="G983" s="2"/>
      <c r="H983" s="2"/>
      <c r="I983" s="2"/>
      <c r="J983" s="2"/>
      <c r="K983" s="2"/>
      <c r="M983" s="2"/>
      <c r="N983" s="2"/>
      <c r="O983" s="2"/>
    </row>
    <row r="984">
      <c r="A984" s="2"/>
      <c r="B984" s="2"/>
      <c r="C984" s="18"/>
      <c r="D984" s="18"/>
      <c r="E984" s="26"/>
      <c r="G984" s="2"/>
      <c r="H984" s="2"/>
      <c r="I984" s="2"/>
      <c r="J984" s="2"/>
      <c r="K984" s="2"/>
      <c r="M984" s="2"/>
      <c r="N984" s="2"/>
      <c r="O984" s="2"/>
    </row>
    <row r="985">
      <c r="A985" s="2"/>
      <c r="B985" s="2"/>
      <c r="C985" s="18"/>
      <c r="D985" s="18"/>
      <c r="E985" s="26"/>
      <c r="H985" s="2"/>
      <c r="I985" s="2"/>
      <c r="J985" s="2"/>
      <c r="K985" s="2"/>
      <c r="M985" s="2"/>
      <c r="N985" s="2"/>
      <c r="O985" s="2"/>
    </row>
    <row r="986">
      <c r="A986" s="2"/>
      <c r="B986" s="2"/>
      <c r="C986" s="18"/>
      <c r="D986" s="18"/>
      <c r="E986" s="26"/>
      <c r="G986" s="2"/>
      <c r="H986" s="2"/>
      <c r="I986" s="2"/>
      <c r="J986" s="2"/>
      <c r="K986" s="2"/>
      <c r="M986" s="2"/>
      <c r="N986" s="2"/>
      <c r="O986" s="2"/>
    </row>
    <row r="987">
      <c r="A987" s="2"/>
      <c r="B987" s="2"/>
      <c r="C987" s="18"/>
      <c r="D987" s="18"/>
      <c r="E987" s="26"/>
      <c r="H987" s="2"/>
      <c r="I987" s="2"/>
      <c r="J987" s="2"/>
      <c r="K987" s="2"/>
    </row>
    <row r="988">
      <c r="A988" s="2"/>
      <c r="B988" s="2"/>
      <c r="C988" s="18"/>
      <c r="D988" s="18"/>
      <c r="E988" s="26"/>
      <c r="F988" s="2"/>
      <c r="G988" s="2"/>
      <c r="H988" s="2"/>
      <c r="I988" s="2"/>
      <c r="J988" s="2"/>
      <c r="K988" s="2"/>
      <c r="M988" s="2"/>
      <c r="N988" s="2"/>
      <c r="O988" s="2"/>
    </row>
    <row r="989">
      <c r="A989" s="2"/>
      <c r="B989" s="2"/>
      <c r="C989" s="18"/>
      <c r="D989" s="18"/>
      <c r="E989" s="26"/>
      <c r="F989" s="2"/>
      <c r="G989" s="2"/>
      <c r="H989" s="2"/>
      <c r="I989" s="2"/>
      <c r="J989" s="2"/>
      <c r="K989" s="2"/>
      <c r="M989" s="2"/>
      <c r="N989" s="2"/>
      <c r="O989" s="2"/>
    </row>
    <row r="990">
      <c r="A990" s="2"/>
      <c r="B990" s="2"/>
      <c r="C990" s="18"/>
      <c r="D990" s="18"/>
      <c r="E990" s="26"/>
      <c r="H990" s="2"/>
      <c r="I990" s="2"/>
      <c r="J990" s="2"/>
      <c r="K990" s="2"/>
      <c r="M990" s="2"/>
      <c r="N990" s="2"/>
      <c r="O990" s="2"/>
    </row>
    <row r="991">
      <c r="A991" s="2"/>
      <c r="B991" s="2"/>
      <c r="C991" s="18"/>
      <c r="D991" s="18"/>
      <c r="E991" s="26"/>
      <c r="H991" s="2"/>
      <c r="I991" s="2"/>
      <c r="J991" s="2"/>
      <c r="K991" s="2"/>
      <c r="M991" s="2"/>
      <c r="N991" s="2"/>
      <c r="O991" s="2"/>
    </row>
    <row r="992">
      <c r="A992" s="2"/>
      <c r="B992" s="2"/>
      <c r="C992" s="18"/>
      <c r="D992" s="18"/>
      <c r="E992" s="26"/>
      <c r="H992" s="2"/>
      <c r="I992" s="2"/>
      <c r="J992" s="2"/>
      <c r="K992" s="2"/>
    </row>
    <row r="993">
      <c r="A993" s="2"/>
      <c r="B993" s="2"/>
      <c r="C993" s="18"/>
      <c r="D993" s="18"/>
      <c r="E993" s="26"/>
      <c r="H993" s="2"/>
      <c r="I993" s="2"/>
      <c r="J993" s="2"/>
      <c r="K993" s="2"/>
    </row>
    <row r="994">
      <c r="A994" s="2"/>
      <c r="B994" s="2"/>
      <c r="C994" s="18"/>
      <c r="D994" s="18"/>
      <c r="E994" s="26"/>
      <c r="G994" s="2"/>
      <c r="H994" s="2"/>
      <c r="I994" s="2"/>
      <c r="J994" s="2"/>
      <c r="K994" s="2"/>
      <c r="M994" s="2"/>
      <c r="N994" s="2"/>
      <c r="O994" s="2"/>
    </row>
    <row r="995">
      <c r="A995" s="2"/>
      <c r="B995" s="2"/>
      <c r="C995" s="18"/>
      <c r="D995" s="18"/>
      <c r="E995" s="26"/>
      <c r="H995" s="2"/>
      <c r="I995" s="2"/>
      <c r="J995" s="2"/>
      <c r="K995" s="2"/>
      <c r="M995" s="2"/>
      <c r="N995" s="2"/>
      <c r="O995" s="2"/>
    </row>
    <row r="996">
      <c r="A996" s="2"/>
      <c r="B996" s="2"/>
      <c r="C996" s="18"/>
      <c r="D996" s="18"/>
      <c r="E996" s="26"/>
      <c r="H996" s="2"/>
      <c r="I996" s="2"/>
      <c r="J996" s="2"/>
      <c r="K996" s="2"/>
      <c r="M996" s="2"/>
      <c r="N996" s="2"/>
      <c r="O996" s="2"/>
    </row>
    <row r="997">
      <c r="A997" s="2"/>
      <c r="B997" s="2"/>
      <c r="C997" s="18"/>
      <c r="D997" s="18"/>
      <c r="E997" s="26"/>
      <c r="H997" s="2"/>
      <c r="I997" s="2"/>
      <c r="J997" s="2"/>
      <c r="K997" s="2"/>
      <c r="M997" s="2"/>
      <c r="N997" s="2"/>
      <c r="O997" s="2"/>
    </row>
    <row r="998">
      <c r="A998" s="2"/>
      <c r="B998" s="2"/>
      <c r="C998" s="18"/>
      <c r="D998" s="18"/>
      <c r="E998" s="26"/>
      <c r="H998" s="2"/>
      <c r="I998" s="2"/>
      <c r="J998" s="2"/>
      <c r="K998" s="2"/>
    </row>
    <row r="999">
      <c r="A999" s="2"/>
      <c r="B999" s="2"/>
      <c r="C999" s="18"/>
      <c r="D999" s="18"/>
      <c r="E999" s="26"/>
      <c r="H999" s="2"/>
      <c r="I999" s="2"/>
      <c r="J999" s="2"/>
      <c r="K999" s="2"/>
    </row>
    <row r="1000">
      <c r="A1000" s="2"/>
      <c r="B1000" s="2"/>
      <c r="C1000" s="18"/>
      <c r="D1000" s="18"/>
      <c r="E1000" s="26"/>
      <c r="H1000" s="2"/>
      <c r="I1000" s="2"/>
      <c r="J1000" s="2"/>
      <c r="K1000" s="2"/>
      <c r="M1000" s="2"/>
      <c r="N1000" s="2"/>
      <c r="O1000" s="2"/>
    </row>
    <row r="1001">
      <c r="A1001" s="2"/>
      <c r="B1001" s="2"/>
      <c r="C1001" s="18"/>
      <c r="D1001" s="18"/>
      <c r="E1001" s="26"/>
      <c r="G1001" s="2"/>
      <c r="H1001" s="2"/>
      <c r="I1001" s="2"/>
      <c r="J1001" s="2"/>
      <c r="K1001" s="2"/>
      <c r="M1001" s="2"/>
      <c r="N1001" s="2"/>
      <c r="O1001" s="2"/>
    </row>
    <row r="1002">
      <c r="A1002" s="2"/>
      <c r="B1002" s="2"/>
      <c r="C1002" s="18"/>
      <c r="D1002" s="18"/>
      <c r="E1002" s="26"/>
      <c r="H1002" s="2"/>
      <c r="I1002" s="2"/>
      <c r="J1002" s="2"/>
      <c r="K1002" s="2"/>
    </row>
    <row r="1003">
      <c r="A1003" s="2"/>
      <c r="B1003" s="2"/>
      <c r="C1003" s="18"/>
      <c r="D1003" s="18"/>
      <c r="E1003" s="26"/>
      <c r="G1003" s="2"/>
      <c r="H1003" s="2"/>
      <c r="I1003" s="2"/>
      <c r="J1003" s="2"/>
      <c r="K1003" s="2"/>
      <c r="M1003" s="2"/>
      <c r="N1003" s="2"/>
      <c r="O1003" s="2"/>
    </row>
    <row r="1004">
      <c r="A1004" s="2"/>
      <c r="B1004" s="2"/>
      <c r="C1004" s="18"/>
      <c r="D1004" s="18"/>
      <c r="E1004" s="26"/>
      <c r="H1004" s="2"/>
      <c r="I1004" s="2"/>
      <c r="J1004" s="2"/>
      <c r="K1004" s="2"/>
      <c r="M1004" s="2"/>
      <c r="N1004" s="2"/>
      <c r="O1004" s="2"/>
    </row>
    <row r="1005">
      <c r="A1005" s="2"/>
      <c r="B1005" s="2"/>
      <c r="C1005" s="18"/>
      <c r="D1005" s="18"/>
      <c r="E1005" s="26"/>
      <c r="G1005" s="2"/>
      <c r="H1005" s="2"/>
      <c r="I1005" s="2"/>
      <c r="J1005" s="2"/>
      <c r="K1005" s="2"/>
      <c r="M1005" s="2"/>
      <c r="N1005" s="2"/>
      <c r="O1005" s="2"/>
    </row>
    <row r="1006">
      <c r="A1006" s="2"/>
      <c r="B1006" s="2"/>
      <c r="C1006" s="18"/>
      <c r="D1006" s="18"/>
      <c r="E1006" s="26"/>
      <c r="H1006" s="2"/>
      <c r="I1006" s="2"/>
      <c r="J1006" s="2"/>
      <c r="K1006" s="2"/>
    </row>
    <row r="1007">
      <c r="A1007" s="2"/>
      <c r="B1007" s="2"/>
      <c r="C1007" s="18"/>
      <c r="D1007" s="18"/>
      <c r="E1007" s="26"/>
      <c r="F1007" s="2"/>
      <c r="G1007" s="2"/>
      <c r="H1007" s="2"/>
      <c r="I1007" s="2"/>
      <c r="J1007" s="2"/>
      <c r="K1007" s="2"/>
      <c r="M1007" s="2"/>
      <c r="N1007" s="2"/>
      <c r="O1007" s="2"/>
    </row>
    <row r="1008">
      <c r="A1008" s="2"/>
      <c r="B1008" s="2"/>
      <c r="C1008" s="18"/>
      <c r="D1008" s="18"/>
      <c r="E1008" s="26"/>
      <c r="F1008" s="2"/>
      <c r="G1008" s="2"/>
      <c r="H1008" s="2"/>
      <c r="I1008" s="2"/>
      <c r="J1008" s="2"/>
      <c r="K1008" s="2"/>
      <c r="M1008" s="2"/>
      <c r="N1008" s="2"/>
      <c r="O1008" s="2"/>
    </row>
    <row r="1009">
      <c r="A1009" s="2"/>
      <c r="B1009" s="2"/>
      <c r="C1009" s="18"/>
      <c r="D1009" s="18"/>
      <c r="E1009" s="26"/>
      <c r="H1009" s="2"/>
      <c r="I1009" s="2"/>
      <c r="J1009" s="2"/>
      <c r="K1009" s="2"/>
      <c r="M1009" s="2"/>
      <c r="N1009" s="2"/>
      <c r="O1009" s="2"/>
    </row>
    <row r="1010">
      <c r="A1010" s="2"/>
      <c r="B1010" s="2"/>
      <c r="C1010" s="18"/>
      <c r="D1010" s="18"/>
      <c r="E1010" s="26"/>
      <c r="H1010" s="2"/>
      <c r="I1010" s="2"/>
      <c r="J1010" s="2"/>
      <c r="K1010" s="2"/>
      <c r="M1010" s="2"/>
      <c r="N1010" s="2"/>
      <c r="O1010" s="2"/>
    </row>
    <row r="1011">
      <c r="A1011" s="2"/>
      <c r="B1011" s="2"/>
      <c r="C1011" s="18"/>
      <c r="D1011" s="18"/>
      <c r="E1011" s="26"/>
      <c r="H1011" s="2"/>
      <c r="I1011" s="2"/>
      <c r="J1011" s="2"/>
      <c r="K1011" s="2"/>
    </row>
    <row r="1012">
      <c r="A1012" s="2"/>
      <c r="B1012" s="2"/>
      <c r="C1012" s="18"/>
      <c r="D1012" s="18"/>
      <c r="E1012" s="26"/>
      <c r="F1012" s="2"/>
      <c r="G1012" s="2"/>
      <c r="H1012" s="2"/>
      <c r="I1012" s="2"/>
      <c r="J1012" s="2"/>
      <c r="K1012" s="2"/>
      <c r="M1012" s="2"/>
      <c r="N1012" s="2"/>
      <c r="O1012" s="2"/>
    </row>
    <row r="1013">
      <c r="A1013" s="2"/>
      <c r="B1013" s="2"/>
      <c r="C1013" s="18"/>
      <c r="D1013" s="18"/>
      <c r="E1013" s="26"/>
      <c r="H1013" s="2"/>
      <c r="I1013" s="2"/>
      <c r="J1013" s="2"/>
      <c r="K1013" s="2"/>
    </row>
    <row r="1014">
      <c r="A1014" s="2"/>
      <c r="B1014" s="2"/>
      <c r="C1014" s="18"/>
      <c r="D1014" s="18"/>
      <c r="E1014" s="26"/>
      <c r="H1014" s="2"/>
      <c r="I1014" s="2"/>
      <c r="J1014" s="2"/>
      <c r="K1014" s="2"/>
      <c r="M1014" s="2"/>
      <c r="N1014" s="2"/>
      <c r="O1014" s="2"/>
    </row>
    <row r="1015">
      <c r="A1015" s="2"/>
      <c r="B1015" s="2"/>
      <c r="C1015" s="18"/>
      <c r="D1015" s="18"/>
      <c r="E1015" s="26"/>
      <c r="H1015" s="2"/>
      <c r="I1015" s="2"/>
      <c r="J1015" s="2"/>
      <c r="K1015" s="2"/>
      <c r="M1015" s="2"/>
      <c r="N1015" s="2"/>
      <c r="O1015" s="2"/>
    </row>
    <row r="1016">
      <c r="A1016" s="2"/>
      <c r="B1016" s="2"/>
      <c r="C1016" s="18"/>
      <c r="D1016" s="18"/>
      <c r="E1016" s="26"/>
      <c r="G1016" s="2"/>
      <c r="H1016" s="2"/>
      <c r="I1016" s="2"/>
      <c r="J1016" s="2"/>
      <c r="K1016" s="2"/>
      <c r="M1016" s="2"/>
      <c r="N1016" s="2"/>
      <c r="O1016" s="2"/>
    </row>
    <row r="1017">
      <c r="A1017" s="2"/>
      <c r="B1017" s="2"/>
      <c r="C1017" s="18"/>
      <c r="D1017" s="18"/>
      <c r="E1017" s="26"/>
      <c r="H1017" s="2"/>
      <c r="I1017" s="2"/>
      <c r="J1017" s="2"/>
      <c r="K1017" s="2"/>
    </row>
    <row r="1018">
      <c r="A1018" s="2"/>
      <c r="B1018" s="2"/>
      <c r="C1018" s="18"/>
      <c r="D1018" s="18"/>
      <c r="E1018" s="26"/>
      <c r="H1018" s="2"/>
      <c r="I1018" s="2"/>
      <c r="J1018" s="2"/>
      <c r="K1018" s="2"/>
      <c r="M1018" s="2"/>
      <c r="N1018" s="2"/>
      <c r="O1018" s="2"/>
    </row>
    <row r="1019">
      <c r="A1019" s="2"/>
      <c r="B1019" s="2"/>
      <c r="C1019" s="18"/>
      <c r="D1019" s="18"/>
      <c r="E1019" s="26"/>
      <c r="H1019" s="2"/>
      <c r="I1019" s="2"/>
      <c r="J1019" s="2"/>
      <c r="K1019" s="2"/>
    </row>
    <row r="1020">
      <c r="A1020" s="2"/>
      <c r="B1020" s="2"/>
      <c r="C1020" s="18"/>
      <c r="D1020" s="18"/>
      <c r="E1020" s="26"/>
      <c r="F1020" s="2"/>
      <c r="G1020" s="2"/>
      <c r="H1020" s="2"/>
      <c r="I1020" s="2"/>
      <c r="J1020" s="2"/>
      <c r="K1020" s="2"/>
      <c r="M1020" s="2"/>
      <c r="N1020" s="2"/>
      <c r="O1020" s="2"/>
    </row>
    <row r="1021">
      <c r="A1021" s="2"/>
      <c r="B1021" s="2"/>
      <c r="C1021" s="18"/>
      <c r="D1021" s="18"/>
      <c r="E1021" s="26"/>
      <c r="H1021" s="2"/>
      <c r="I1021" s="2"/>
      <c r="J1021" s="2"/>
      <c r="K1021" s="2"/>
      <c r="M1021" s="2"/>
      <c r="N1021" s="2"/>
      <c r="O1021" s="2"/>
    </row>
    <row r="1022">
      <c r="A1022" s="2"/>
      <c r="B1022" s="2"/>
      <c r="C1022" s="18"/>
      <c r="D1022" s="18"/>
      <c r="E1022" s="26"/>
      <c r="H1022" s="2"/>
      <c r="I1022" s="2"/>
      <c r="J1022" s="2"/>
      <c r="K1022" s="2"/>
      <c r="M1022" s="2"/>
      <c r="N1022" s="2"/>
      <c r="O1022" s="2"/>
    </row>
    <row r="1023">
      <c r="A1023" s="2"/>
      <c r="B1023" s="2"/>
      <c r="C1023" s="18"/>
      <c r="D1023" s="18"/>
      <c r="E1023" s="26"/>
      <c r="G1023" s="2"/>
      <c r="H1023" s="2"/>
      <c r="I1023" s="2"/>
      <c r="J1023" s="2"/>
      <c r="K1023" s="2"/>
      <c r="M1023" s="2"/>
      <c r="N1023" s="2"/>
      <c r="O1023" s="2"/>
    </row>
    <row r="1024">
      <c r="A1024" s="2"/>
      <c r="B1024" s="2"/>
      <c r="C1024" s="18"/>
      <c r="D1024" s="18"/>
      <c r="E1024" s="26"/>
      <c r="H1024" s="2"/>
      <c r="I1024" s="2"/>
      <c r="J1024" s="2"/>
      <c r="K1024" s="2"/>
    </row>
    <row r="1025">
      <c r="A1025" s="2"/>
      <c r="B1025" s="2"/>
      <c r="C1025" s="18"/>
      <c r="D1025" s="18"/>
      <c r="E1025" s="26"/>
      <c r="F1025" s="2"/>
      <c r="H1025" s="2"/>
      <c r="I1025" s="2"/>
      <c r="J1025" s="2"/>
      <c r="K1025" s="2"/>
      <c r="M1025" s="2"/>
      <c r="N1025" s="2"/>
      <c r="O1025" s="2"/>
    </row>
    <row r="1026">
      <c r="A1026" s="2"/>
      <c r="B1026" s="2"/>
      <c r="C1026" s="18"/>
      <c r="D1026" s="18"/>
      <c r="E1026" s="26"/>
      <c r="G1026" s="2"/>
      <c r="H1026" s="2"/>
      <c r="I1026" s="2"/>
      <c r="J1026" s="2"/>
      <c r="K1026" s="2"/>
      <c r="M1026" s="2"/>
      <c r="N1026" s="2"/>
      <c r="O1026" s="2"/>
    </row>
    <row r="1027">
      <c r="A1027" s="2"/>
      <c r="B1027" s="2"/>
      <c r="C1027" s="18"/>
      <c r="D1027" s="18"/>
      <c r="E1027" s="26"/>
      <c r="G1027" s="2"/>
      <c r="H1027" s="2"/>
      <c r="I1027" s="2"/>
      <c r="J1027" s="2"/>
      <c r="K1027" s="2"/>
      <c r="M1027" s="2"/>
      <c r="N1027" s="2"/>
      <c r="O1027" s="2"/>
    </row>
    <row r="1028">
      <c r="A1028" s="2"/>
      <c r="B1028" s="2"/>
      <c r="C1028" s="18"/>
      <c r="D1028" s="18"/>
      <c r="E1028" s="26"/>
      <c r="H1028" s="2"/>
      <c r="I1028" s="2"/>
      <c r="J1028" s="2"/>
      <c r="K1028" s="2"/>
      <c r="M1028" s="2"/>
      <c r="N1028" s="2"/>
      <c r="O1028" s="2"/>
    </row>
    <row r="1029">
      <c r="A1029" s="2"/>
      <c r="B1029" s="2"/>
      <c r="C1029" s="18"/>
      <c r="D1029" s="18"/>
      <c r="E1029" s="26"/>
      <c r="H1029" s="2"/>
      <c r="I1029" s="2"/>
      <c r="J1029" s="2"/>
      <c r="K1029" s="2"/>
    </row>
    <row r="1030">
      <c r="A1030" s="2"/>
      <c r="B1030" s="2"/>
      <c r="C1030" s="18"/>
      <c r="D1030" s="18"/>
      <c r="E1030" s="26"/>
      <c r="F1030" s="2"/>
      <c r="G1030" s="2"/>
      <c r="H1030" s="2"/>
      <c r="I1030" s="2"/>
      <c r="J1030" s="2"/>
      <c r="K1030" s="2"/>
      <c r="M1030" s="2"/>
      <c r="N1030" s="2"/>
      <c r="O1030" s="2"/>
    </row>
    <row r="1031">
      <c r="A1031" s="2"/>
      <c r="B1031" s="2"/>
      <c r="C1031" s="18"/>
      <c r="D1031" s="18"/>
      <c r="E1031" s="26"/>
      <c r="F1031" s="2"/>
      <c r="G1031" s="2"/>
      <c r="H1031" s="2"/>
      <c r="I1031" s="2"/>
      <c r="J1031" s="2"/>
      <c r="K1031" s="2"/>
      <c r="M1031" s="2"/>
      <c r="N1031" s="2"/>
      <c r="O1031" s="2"/>
    </row>
    <row r="1032">
      <c r="A1032" s="2"/>
      <c r="B1032" s="2"/>
      <c r="C1032" s="18"/>
      <c r="D1032" s="18"/>
      <c r="E1032" s="26"/>
      <c r="H1032" s="2"/>
      <c r="I1032" s="2"/>
      <c r="J1032" s="2"/>
      <c r="K1032" s="2"/>
      <c r="M1032" s="2"/>
      <c r="N1032" s="2"/>
      <c r="O1032" s="2"/>
    </row>
    <row r="1033">
      <c r="A1033" s="2"/>
      <c r="B1033" s="2"/>
      <c r="C1033" s="18"/>
      <c r="D1033" s="18"/>
      <c r="E1033" s="26"/>
      <c r="H1033" s="2"/>
      <c r="I1033" s="2"/>
      <c r="J1033" s="2"/>
      <c r="K1033" s="2"/>
      <c r="M1033" s="2"/>
      <c r="N1033" s="2"/>
      <c r="O1033" s="2"/>
    </row>
    <row r="1034">
      <c r="A1034" s="2"/>
      <c r="B1034" s="2"/>
      <c r="C1034" s="18"/>
      <c r="D1034" s="18"/>
      <c r="E1034" s="26"/>
      <c r="H1034" s="2"/>
      <c r="I1034" s="2"/>
      <c r="J1034" s="2"/>
      <c r="K1034" s="2"/>
    </row>
    <row r="1035">
      <c r="A1035" s="2"/>
      <c r="B1035" s="2"/>
      <c r="C1035" s="18"/>
      <c r="D1035" s="18"/>
      <c r="E1035" s="26"/>
      <c r="H1035" s="2"/>
      <c r="I1035" s="2"/>
      <c r="J1035" s="2"/>
      <c r="K1035" s="2"/>
    </row>
    <row r="1036">
      <c r="A1036" s="2"/>
      <c r="B1036" s="2"/>
      <c r="C1036" s="18"/>
      <c r="D1036" s="18"/>
      <c r="E1036" s="26"/>
      <c r="H1036" s="2"/>
      <c r="I1036" s="2"/>
      <c r="J1036" s="2"/>
      <c r="K1036" s="2"/>
      <c r="M1036" s="2"/>
      <c r="N1036" s="2"/>
      <c r="O1036" s="2"/>
    </row>
    <row r="1037">
      <c r="A1037" s="2"/>
      <c r="B1037" s="2"/>
      <c r="C1037" s="18"/>
      <c r="D1037" s="18"/>
      <c r="E1037" s="26"/>
      <c r="H1037" s="2"/>
      <c r="I1037" s="2"/>
      <c r="J1037" s="2"/>
      <c r="K1037" s="2"/>
      <c r="M1037" s="2"/>
      <c r="N1037" s="2"/>
      <c r="O1037" s="2"/>
    </row>
    <row r="1038">
      <c r="A1038" s="2"/>
      <c r="B1038" s="2"/>
      <c r="C1038" s="18"/>
      <c r="D1038" s="18"/>
      <c r="E1038" s="26"/>
      <c r="H1038" s="2"/>
      <c r="I1038" s="2"/>
      <c r="J1038" s="2"/>
      <c r="K1038" s="2"/>
      <c r="M1038" s="2"/>
      <c r="N1038" s="2"/>
      <c r="O1038" s="2"/>
    </row>
    <row r="1039">
      <c r="A1039" s="2"/>
      <c r="B1039" s="2"/>
      <c r="C1039" s="18"/>
      <c r="D1039" s="18"/>
      <c r="E1039" s="26"/>
      <c r="H1039" s="2"/>
      <c r="I1039" s="2"/>
      <c r="J1039" s="2"/>
      <c r="K1039" s="2"/>
      <c r="M1039" s="2"/>
      <c r="N1039" s="2"/>
      <c r="O1039" s="2"/>
    </row>
    <row r="1040">
      <c r="A1040" s="2"/>
      <c r="B1040" s="2"/>
      <c r="C1040" s="18"/>
      <c r="D1040" s="18"/>
      <c r="E1040" s="26"/>
      <c r="H1040" s="2"/>
      <c r="I1040" s="2"/>
      <c r="J1040" s="2"/>
      <c r="K1040" s="2"/>
      <c r="M1040" s="2"/>
      <c r="N1040" s="2"/>
      <c r="O1040" s="2"/>
    </row>
    <row r="1041">
      <c r="A1041" s="2"/>
      <c r="B1041" s="2"/>
      <c r="C1041" s="18"/>
      <c r="D1041" s="18"/>
      <c r="E1041" s="26"/>
      <c r="H1041" s="2"/>
      <c r="I1041" s="2"/>
      <c r="J1041" s="2"/>
      <c r="K1041" s="2"/>
      <c r="M1041" s="2"/>
      <c r="N1041" s="2"/>
      <c r="O1041" s="2"/>
    </row>
    <row r="1042">
      <c r="A1042" s="2"/>
      <c r="B1042" s="2"/>
      <c r="C1042" s="18"/>
      <c r="D1042" s="18"/>
      <c r="E1042" s="26"/>
      <c r="H1042" s="2"/>
      <c r="I1042" s="2"/>
      <c r="J1042" s="2"/>
      <c r="K1042" s="2"/>
    </row>
    <row r="1043">
      <c r="A1043" s="2"/>
      <c r="B1043" s="2"/>
      <c r="C1043" s="18"/>
      <c r="D1043" s="18"/>
      <c r="E1043" s="26"/>
      <c r="H1043" s="2"/>
      <c r="I1043" s="2"/>
      <c r="J1043" s="2"/>
      <c r="K1043" s="2"/>
    </row>
    <row r="1044">
      <c r="A1044" s="2"/>
      <c r="B1044" s="2"/>
      <c r="C1044" s="18"/>
      <c r="D1044" s="18"/>
      <c r="E1044" s="26"/>
      <c r="H1044" s="2"/>
      <c r="I1044" s="2"/>
      <c r="J1044" s="2"/>
      <c r="K1044" s="2"/>
      <c r="M1044" s="2"/>
      <c r="N1044" s="2"/>
      <c r="O1044" s="2"/>
    </row>
    <row r="1045">
      <c r="A1045" s="2"/>
      <c r="B1045" s="2"/>
      <c r="C1045" s="18"/>
      <c r="D1045" s="18"/>
      <c r="E1045" s="26"/>
      <c r="G1045" s="2"/>
      <c r="H1045" s="2"/>
      <c r="I1045" s="2"/>
      <c r="J1045" s="2"/>
      <c r="K1045" s="2"/>
      <c r="M1045" s="2"/>
      <c r="N1045" s="2"/>
      <c r="O1045" s="2"/>
    </row>
    <row r="1046">
      <c r="A1046" s="2"/>
      <c r="B1046" s="2"/>
      <c r="C1046" s="18"/>
      <c r="D1046" s="18"/>
      <c r="E1046" s="26"/>
      <c r="H1046" s="2"/>
      <c r="I1046" s="2"/>
      <c r="J1046" s="2"/>
      <c r="K1046" s="2"/>
    </row>
    <row r="1047">
      <c r="A1047" s="2"/>
      <c r="B1047" s="2"/>
      <c r="C1047" s="18"/>
      <c r="D1047" s="18"/>
      <c r="E1047" s="26"/>
      <c r="G1047" s="2"/>
      <c r="H1047" s="2"/>
      <c r="I1047" s="2"/>
      <c r="J1047" s="2"/>
      <c r="K1047" s="2"/>
      <c r="M1047" s="2"/>
      <c r="N1047" s="2"/>
      <c r="O1047" s="2"/>
    </row>
    <row r="1048">
      <c r="A1048" s="2"/>
      <c r="B1048" s="2"/>
      <c r="C1048" s="18"/>
      <c r="D1048" s="18"/>
      <c r="E1048" s="26"/>
      <c r="H1048" s="2"/>
      <c r="I1048" s="2"/>
      <c r="J1048" s="2"/>
      <c r="K1048" s="2"/>
      <c r="M1048" s="2"/>
      <c r="N1048" s="2"/>
      <c r="O1048" s="2"/>
    </row>
    <row r="1049">
      <c r="A1049" s="2"/>
      <c r="B1049" s="2"/>
      <c r="C1049" s="18"/>
      <c r="D1049" s="18"/>
      <c r="E1049" s="26"/>
      <c r="G1049" s="2"/>
      <c r="H1049" s="2"/>
      <c r="I1049" s="2"/>
      <c r="J1049" s="2"/>
      <c r="K1049" s="2"/>
      <c r="M1049" s="2"/>
      <c r="N1049" s="2"/>
      <c r="O1049" s="2"/>
    </row>
    <row r="1050">
      <c r="A1050" s="2"/>
      <c r="B1050" s="2"/>
      <c r="C1050" s="18"/>
      <c r="D1050" s="18"/>
      <c r="E1050" s="26"/>
      <c r="H1050" s="2"/>
      <c r="I1050" s="2"/>
      <c r="J1050" s="2"/>
      <c r="K1050" s="2"/>
    </row>
    <row r="1051">
      <c r="A1051" s="2"/>
      <c r="B1051" s="2"/>
      <c r="C1051" s="18"/>
      <c r="D1051" s="18"/>
      <c r="E1051" s="26"/>
      <c r="F1051" s="2"/>
      <c r="G1051" s="2"/>
      <c r="H1051" s="2"/>
      <c r="I1051" s="2"/>
      <c r="J1051" s="2"/>
      <c r="K1051" s="2"/>
      <c r="M1051" s="2"/>
      <c r="N1051" s="2"/>
      <c r="O1051" s="2"/>
    </row>
    <row r="1052">
      <c r="A1052" s="2"/>
      <c r="B1052" s="2"/>
      <c r="C1052" s="18"/>
      <c r="D1052" s="18"/>
      <c r="E1052" s="26"/>
      <c r="F1052" s="2"/>
      <c r="G1052" s="2"/>
      <c r="H1052" s="2"/>
      <c r="I1052" s="2"/>
      <c r="J1052" s="2"/>
      <c r="K1052" s="2"/>
      <c r="M1052" s="2"/>
      <c r="N1052" s="2"/>
      <c r="O1052" s="2"/>
    </row>
    <row r="1053">
      <c r="A1053" s="2"/>
      <c r="B1053" s="2"/>
      <c r="C1053" s="18"/>
      <c r="D1053" s="18"/>
      <c r="E1053" s="26"/>
      <c r="H1053" s="2"/>
      <c r="I1053" s="2"/>
      <c r="J1053" s="2"/>
      <c r="K1053" s="2"/>
      <c r="M1053" s="2"/>
      <c r="N1053" s="2"/>
      <c r="O1053" s="2"/>
    </row>
    <row r="1054">
      <c r="A1054" s="2"/>
      <c r="B1054" s="2"/>
      <c r="C1054" s="18"/>
      <c r="D1054" s="18"/>
      <c r="E1054" s="26"/>
      <c r="H1054" s="2"/>
      <c r="I1054" s="2"/>
      <c r="J1054" s="2"/>
      <c r="K1054" s="2"/>
      <c r="M1054" s="2"/>
      <c r="N1054" s="2"/>
      <c r="O1054" s="2"/>
    </row>
    <row r="1055">
      <c r="A1055" s="2"/>
      <c r="B1055" s="2"/>
      <c r="C1055" s="18"/>
      <c r="D1055" s="18"/>
      <c r="E1055" s="26"/>
      <c r="H1055" s="2"/>
      <c r="I1055" s="2"/>
      <c r="J1055" s="2"/>
      <c r="K1055" s="2"/>
    </row>
    <row r="1056">
      <c r="A1056" s="2"/>
      <c r="B1056" s="2"/>
      <c r="C1056" s="18"/>
      <c r="D1056" s="18"/>
      <c r="E1056" s="26"/>
      <c r="F1056" s="2"/>
      <c r="G1056" s="2"/>
      <c r="H1056" s="2"/>
      <c r="I1056" s="2"/>
      <c r="J1056" s="2"/>
      <c r="K1056" s="2"/>
      <c r="M1056" s="2"/>
      <c r="N1056" s="2"/>
      <c r="O1056" s="2"/>
    </row>
    <row r="1057">
      <c r="A1057" s="2"/>
      <c r="B1057" s="2"/>
      <c r="C1057" s="18"/>
      <c r="D1057" s="18"/>
      <c r="E1057" s="26"/>
      <c r="H1057" s="2"/>
      <c r="I1057" s="2"/>
      <c r="J1057" s="2"/>
      <c r="K1057" s="2"/>
    </row>
    <row r="1058">
      <c r="A1058" s="2"/>
      <c r="B1058" s="2"/>
      <c r="C1058" s="18"/>
      <c r="D1058" s="18"/>
      <c r="E1058" s="26"/>
      <c r="H1058" s="2"/>
      <c r="I1058" s="2"/>
      <c r="J1058" s="2"/>
      <c r="K1058" s="2"/>
      <c r="M1058" s="2"/>
      <c r="N1058" s="2"/>
      <c r="O1058" s="2"/>
    </row>
    <row r="1059">
      <c r="A1059" s="2"/>
      <c r="B1059" s="2"/>
      <c r="C1059" s="18"/>
      <c r="D1059" s="18"/>
      <c r="E1059" s="26"/>
      <c r="H1059" s="2"/>
      <c r="I1059" s="2"/>
      <c r="J1059" s="2"/>
      <c r="K1059" s="2"/>
      <c r="M1059" s="2"/>
      <c r="N1059" s="2"/>
      <c r="O1059" s="2"/>
    </row>
    <row r="1060">
      <c r="A1060" s="2"/>
      <c r="B1060" s="2"/>
      <c r="C1060" s="18"/>
      <c r="D1060" s="18"/>
      <c r="E1060" s="26"/>
      <c r="H1060" s="2"/>
      <c r="I1060" s="2"/>
      <c r="J1060" s="2"/>
      <c r="K1060" s="2"/>
    </row>
    <row r="1061">
      <c r="A1061" s="2"/>
      <c r="B1061" s="2"/>
      <c r="C1061" s="18"/>
      <c r="D1061" s="18"/>
      <c r="E1061" s="26"/>
      <c r="H1061" s="2"/>
      <c r="I1061" s="2"/>
      <c r="J1061" s="2"/>
      <c r="K1061" s="2"/>
      <c r="M1061" s="2"/>
      <c r="N1061" s="2"/>
      <c r="O1061" s="2"/>
    </row>
    <row r="1062">
      <c r="A1062" s="2"/>
      <c r="B1062" s="2"/>
      <c r="C1062" s="18"/>
      <c r="D1062" s="18"/>
      <c r="E1062" s="26"/>
      <c r="H1062" s="2"/>
      <c r="I1062" s="2"/>
      <c r="J1062" s="2"/>
      <c r="K1062" s="2"/>
    </row>
    <row r="1063">
      <c r="A1063" s="2"/>
      <c r="B1063" s="2"/>
      <c r="C1063" s="18"/>
      <c r="D1063" s="18"/>
      <c r="E1063" s="26"/>
      <c r="F1063" s="2"/>
      <c r="G1063" s="2"/>
      <c r="H1063" s="2"/>
      <c r="I1063" s="2"/>
      <c r="J1063" s="2"/>
      <c r="K1063" s="2"/>
      <c r="M1063" s="2"/>
      <c r="N1063" s="2"/>
      <c r="O1063" s="2"/>
    </row>
    <row r="1064">
      <c r="A1064" s="2"/>
      <c r="B1064" s="2"/>
      <c r="C1064" s="18"/>
      <c r="D1064" s="18"/>
      <c r="E1064" s="26"/>
      <c r="H1064" s="2"/>
      <c r="I1064" s="2"/>
      <c r="J1064" s="2"/>
      <c r="K1064" s="2"/>
      <c r="M1064" s="2"/>
      <c r="N1064" s="2"/>
      <c r="O1064" s="2"/>
    </row>
    <row r="1065">
      <c r="A1065" s="2"/>
      <c r="B1065" s="2"/>
      <c r="C1065" s="18"/>
      <c r="D1065" s="18"/>
      <c r="E1065" s="26"/>
      <c r="H1065" s="2"/>
      <c r="I1065" s="2"/>
      <c r="J1065" s="2"/>
      <c r="K1065" s="2"/>
      <c r="M1065" s="2"/>
      <c r="N1065" s="2"/>
      <c r="O1065" s="2"/>
    </row>
    <row r="1066">
      <c r="A1066" s="2"/>
      <c r="B1066" s="2"/>
      <c r="C1066" s="18"/>
      <c r="D1066" s="18"/>
      <c r="E1066" s="26"/>
      <c r="G1066" s="2"/>
      <c r="H1066" s="2"/>
      <c r="I1066" s="2"/>
      <c r="J1066" s="2"/>
      <c r="K1066" s="2"/>
      <c r="M1066" s="2"/>
      <c r="N1066" s="2"/>
      <c r="O1066" s="2"/>
    </row>
    <row r="1067">
      <c r="A1067" s="2"/>
      <c r="B1067" s="2"/>
      <c r="C1067" s="18"/>
      <c r="D1067" s="18"/>
      <c r="E1067" s="26"/>
      <c r="H1067" s="2"/>
      <c r="I1067" s="2"/>
      <c r="J1067" s="2"/>
      <c r="K1067" s="2"/>
    </row>
    <row r="1068">
      <c r="A1068" s="2"/>
      <c r="B1068" s="2"/>
      <c r="C1068" s="18"/>
      <c r="D1068" s="18"/>
      <c r="E1068" s="26"/>
      <c r="F1068" s="2"/>
      <c r="H1068" s="2"/>
      <c r="I1068" s="2"/>
      <c r="J1068" s="2"/>
      <c r="K1068" s="2"/>
      <c r="M1068" s="2"/>
      <c r="N1068" s="2"/>
      <c r="O1068" s="2"/>
    </row>
    <row r="1069">
      <c r="A1069" s="2"/>
      <c r="B1069" s="2"/>
      <c r="C1069" s="18"/>
      <c r="D1069" s="18"/>
      <c r="E1069" s="26"/>
      <c r="G1069" s="2"/>
      <c r="H1069" s="2"/>
      <c r="I1069" s="2"/>
      <c r="J1069" s="2"/>
      <c r="K1069" s="2"/>
      <c r="M1069" s="2"/>
      <c r="N1069" s="2"/>
      <c r="O1069" s="2"/>
    </row>
    <row r="1070">
      <c r="A1070" s="2"/>
      <c r="B1070" s="2"/>
      <c r="C1070" s="18"/>
      <c r="D1070" s="18"/>
      <c r="E1070" s="26"/>
      <c r="G1070" s="2"/>
      <c r="H1070" s="2"/>
      <c r="I1070" s="2"/>
      <c r="J1070" s="2"/>
      <c r="K1070" s="2"/>
      <c r="M1070" s="2"/>
      <c r="N1070" s="2"/>
      <c r="O1070" s="2"/>
    </row>
    <row r="1071">
      <c r="A1071" s="2"/>
      <c r="B1071" s="2"/>
      <c r="C1071" s="18"/>
      <c r="D1071" s="18"/>
      <c r="E1071" s="26"/>
      <c r="H1071" s="2"/>
      <c r="I1071" s="2"/>
      <c r="J1071" s="2"/>
      <c r="K1071" s="2"/>
      <c r="M1071" s="2"/>
      <c r="N1071" s="2"/>
      <c r="O1071" s="2"/>
    </row>
    <row r="1072">
      <c r="A1072" s="2"/>
      <c r="B1072" s="2"/>
      <c r="C1072" s="18"/>
      <c r="D1072" s="18"/>
      <c r="E1072" s="26"/>
      <c r="G1072" s="2"/>
      <c r="H1072" s="2"/>
      <c r="I1072" s="2"/>
      <c r="J1072" s="2"/>
      <c r="K1072" s="2"/>
      <c r="M1072" s="2"/>
      <c r="N1072" s="2"/>
      <c r="O1072" s="2"/>
    </row>
    <row r="1073">
      <c r="A1073" s="2"/>
      <c r="B1073" s="2"/>
      <c r="C1073" s="18"/>
      <c r="D1073" s="18"/>
      <c r="E1073" s="26"/>
      <c r="H1073" s="2"/>
      <c r="I1073" s="2"/>
      <c r="J1073" s="2"/>
      <c r="K1073" s="2"/>
    </row>
    <row r="1074">
      <c r="A1074" s="2"/>
      <c r="B1074" s="2"/>
      <c r="C1074" s="18"/>
      <c r="D1074" s="18"/>
      <c r="E1074" s="26"/>
      <c r="F1074" s="2"/>
      <c r="G1074" s="2"/>
      <c r="H1074" s="2"/>
      <c r="I1074" s="2"/>
      <c r="J1074" s="2"/>
      <c r="K1074" s="2"/>
      <c r="M1074" s="2"/>
      <c r="N1074" s="2"/>
      <c r="O1074" s="2"/>
    </row>
    <row r="1075">
      <c r="A1075" s="2"/>
      <c r="B1075" s="2"/>
      <c r="C1075" s="18"/>
      <c r="D1075" s="18"/>
      <c r="E1075" s="26"/>
      <c r="F1075" s="2"/>
      <c r="G1075" s="2"/>
      <c r="H1075" s="2"/>
      <c r="I1075" s="2"/>
      <c r="J1075" s="2"/>
      <c r="K1075" s="2"/>
      <c r="M1075" s="2"/>
      <c r="N1075" s="2"/>
      <c r="O1075" s="2"/>
    </row>
    <row r="1076">
      <c r="A1076" s="2"/>
      <c r="B1076" s="2"/>
      <c r="C1076" s="18"/>
      <c r="D1076" s="18"/>
      <c r="E1076" s="26"/>
      <c r="H1076" s="2"/>
      <c r="I1076" s="2"/>
      <c r="J1076" s="2"/>
      <c r="K1076" s="2"/>
      <c r="M1076" s="2"/>
      <c r="N1076" s="2"/>
      <c r="O1076" s="2"/>
    </row>
    <row r="1077">
      <c r="A1077" s="2"/>
      <c r="B1077" s="2"/>
      <c r="C1077" s="18"/>
      <c r="D1077" s="18"/>
      <c r="E1077" s="26"/>
      <c r="H1077" s="2"/>
      <c r="I1077" s="2"/>
      <c r="J1077" s="2"/>
      <c r="K1077" s="2"/>
      <c r="M1077" s="2"/>
      <c r="N1077" s="2"/>
      <c r="O1077" s="2"/>
    </row>
    <row r="1078">
      <c r="A1078" s="2"/>
      <c r="B1078" s="2"/>
      <c r="C1078" s="18"/>
      <c r="D1078" s="18"/>
      <c r="E1078" s="26"/>
      <c r="H1078" s="2"/>
      <c r="I1078" s="2"/>
      <c r="J1078" s="2"/>
      <c r="K1078" s="2"/>
    </row>
    <row r="1079">
      <c r="A1079" s="2"/>
      <c r="B1079" s="2"/>
      <c r="C1079" s="18"/>
      <c r="D1079" s="18"/>
      <c r="E1079" s="26"/>
      <c r="H1079" s="2"/>
      <c r="I1079" s="2"/>
      <c r="J1079" s="2"/>
      <c r="K1079" s="2"/>
    </row>
    <row r="1080">
      <c r="A1080" s="2"/>
      <c r="B1080" s="2"/>
      <c r="C1080" s="18"/>
      <c r="D1080" s="18"/>
      <c r="E1080" s="26"/>
      <c r="G1080" s="2"/>
      <c r="H1080" s="2"/>
      <c r="I1080" s="2"/>
      <c r="J1080" s="2"/>
      <c r="K1080" s="2"/>
      <c r="M1080" s="2"/>
      <c r="N1080" s="2"/>
      <c r="O1080" s="2"/>
    </row>
    <row r="1081">
      <c r="A1081" s="2"/>
      <c r="B1081" s="2"/>
      <c r="C1081" s="18"/>
      <c r="D1081" s="18"/>
      <c r="E1081" s="26"/>
      <c r="G1081" s="2"/>
      <c r="H1081" s="2"/>
      <c r="I1081" s="2"/>
      <c r="J1081" s="2"/>
      <c r="K1081" s="2"/>
      <c r="M1081" s="2"/>
      <c r="N1081" s="2"/>
      <c r="O1081" s="2"/>
    </row>
    <row r="1082">
      <c r="A1082" s="2"/>
      <c r="B1082" s="2"/>
      <c r="C1082" s="18"/>
      <c r="D1082" s="18"/>
      <c r="E1082" s="26"/>
      <c r="H1082" s="2"/>
      <c r="I1082" s="2"/>
      <c r="J1082" s="2"/>
      <c r="K1082" s="2"/>
      <c r="M1082" s="2"/>
      <c r="N1082" s="2"/>
      <c r="O1082" s="2"/>
    </row>
    <row r="1083">
      <c r="A1083" s="2"/>
      <c r="B1083" s="2"/>
      <c r="C1083" s="18"/>
      <c r="D1083" s="18"/>
      <c r="E1083" s="26"/>
      <c r="H1083" s="2"/>
      <c r="I1083" s="2"/>
      <c r="J1083" s="2"/>
      <c r="K1083" s="2"/>
      <c r="M1083" s="2"/>
      <c r="N1083" s="2"/>
      <c r="O1083" s="2"/>
    </row>
    <row r="1084">
      <c r="A1084" s="2"/>
      <c r="B1084" s="2"/>
      <c r="C1084" s="18"/>
      <c r="D1084" s="18"/>
      <c r="E1084" s="26"/>
      <c r="H1084" s="2"/>
      <c r="I1084" s="2"/>
      <c r="J1084" s="2"/>
      <c r="K1084" s="2"/>
      <c r="M1084" s="2"/>
      <c r="N1084" s="2"/>
      <c r="O1084" s="2"/>
    </row>
    <row r="1085">
      <c r="A1085" s="2"/>
      <c r="B1085" s="2"/>
      <c r="C1085" s="18"/>
      <c r="D1085" s="18"/>
      <c r="E1085" s="26"/>
      <c r="H1085" s="2"/>
      <c r="I1085" s="2"/>
      <c r="J1085" s="2"/>
      <c r="K1085" s="2"/>
    </row>
    <row r="1086">
      <c r="A1086" s="2"/>
      <c r="B1086" s="2"/>
      <c r="C1086" s="18"/>
      <c r="D1086" s="18"/>
      <c r="E1086" s="26"/>
      <c r="G1086" s="2"/>
      <c r="H1086" s="2"/>
      <c r="I1086" s="2"/>
      <c r="J1086" s="2"/>
      <c r="K1086" s="2"/>
      <c r="M1086" s="2"/>
      <c r="N1086" s="2"/>
      <c r="O1086" s="2"/>
    </row>
    <row r="1087">
      <c r="A1087" s="2"/>
      <c r="B1087" s="2"/>
      <c r="C1087" s="18"/>
      <c r="D1087" s="18"/>
      <c r="E1087" s="26"/>
      <c r="H1087" s="2"/>
      <c r="I1087" s="2"/>
      <c r="J1087" s="2"/>
      <c r="K1087" s="2"/>
    </row>
    <row r="1088">
      <c r="A1088" s="2"/>
      <c r="B1088" s="2"/>
      <c r="C1088" s="18"/>
      <c r="D1088" s="18"/>
      <c r="E1088" s="26"/>
      <c r="H1088" s="2"/>
      <c r="I1088" s="2"/>
      <c r="J1088" s="2"/>
      <c r="K1088" s="2"/>
      <c r="M1088" s="2"/>
      <c r="N1088" s="2"/>
      <c r="O1088" s="2"/>
    </row>
    <row r="1089">
      <c r="A1089" s="2"/>
      <c r="B1089" s="2"/>
      <c r="C1089" s="18"/>
      <c r="D1089" s="18"/>
      <c r="E1089" s="26"/>
      <c r="G1089" s="2"/>
      <c r="H1089" s="2"/>
      <c r="I1089" s="2"/>
      <c r="J1089" s="2"/>
      <c r="K1089" s="2"/>
      <c r="M1089" s="2"/>
      <c r="N1089" s="2"/>
      <c r="O1089" s="2"/>
    </row>
    <row r="1090">
      <c r="A1090" s="2"/>
      <c r="B1090" s="2"/>
      <c r="C1090" s="18"/>
      <c r="D1090" s="18"/>
      <c r="E1090" s="26"/>
      <c r="H1090" s="2"/>
      <c r="I1090" s="2"/>
      <c r="J1090" s="2"/>
      <c r="K1090" s="2"/>
    </row>
    <row r="1091">
      <c r="A1091" s="2"/>
      <c r="B1091" s="2"/>
      <c r="C1091" s="18"/>
      <c r="D1091" s="18"/>
      <c r="E1091" s="26"/>
      <c r="G1091" s="2"/>
      <c r="H1091" s="2"/>
      <c r="I1091" s="2"/>
      <c r="J1091" s="2"/>
      <c r="K1091" s="2"/>
      <c r="M1091" s="2"/>
      <c r="N1091" s="2"/>
      <c r="O1091" s="2"/>
    </row>
    <row r="1092">
      <c r="A1092" s="2"/>
      <c r="B1092" s="2"/>
      <c r="C1092" s="18"/>
      <c r="D1092" s="18"/>
      <c r="E1092" s="26"/>
      <c r="H1092" s="2"/>
      <c r="I1092" s="2"/>
      <c r="J1092" s="2"/>
      <c r="K1092" s="2"/>
      <c r="M1092" s="2"/>
      <c r="N1092" s="2"/>
      <c r="O1092" s="2"/>
    </row>
    <row r="1093">
      <c r="A1093" s="2"/>
      <c r="B1093" s="2"/>
      <c r="C1093" s="18"/>
      <c r="D1093" s="18"/>
      <c r="E1093" s="26"/>
      <c r="G1093" s="2"/>
      <c r="H1093" s="2"/>
      <c r="I1093" s="2"/>
      <c r="J1093" s="2"/>
      <c r="K1093" s="2"/>
      <c r="M1093" s="2"/>
      <c r="N1093" s="2"/>
      <c r="O1093" s="2"/>
    </row>
    <row r="1094">
      <c r="A1094" s="2"/>
      <c r="B1094" s="2"/>
      <c r="C1094" s="18"/>
      <c r="D1094" s="18"/>
      <c r="E1094" s="26"/>
      <c r="H1094" s="2"/>
      <c r="I1094" s="2"/>
      <c r="J1094" s="2"/>
      <c r="K1094" s="2"/>
    </row>
    <row r="1095">
      <c r="A1095" s="2"/>
      <c r="B1095" s="2"/>
      <c r="C1095" s="18"/>
      <c r="D1095" s="18"/>
      <c r="E1095" s="26"/>
      <c r="F1095" s="2"/>
      <c r="G1095" s="2"/>
      <c r="H1095" s="2"/>
      <c r="I1095" s="2"/>
      <c r="J1095" s="2"/>
      <c r="K1095" s="2"/>
      <c r="M1095" s="2"/>
      <c r="N1095" s="2"/>
      <c r="O1095" s="2"/>
    </row>
    <row r="1096">
      <c r="A1096" s="2"/>
      <c r="B1096" s="2"/>
      <c r="C1096" s="18"/>
      <c r="D1096" s="18"/>
      <c r="E1096" s="26"/>
      <c r="F1096" s="2"/>
      <c r="G1096" s="2"/>
      <c r="H1096" s="2"/>
      <c r="I1096" s="2"/>
      <c r="J1096" s="2"/>
      <c r="K1096" s="2"/>
      <c r="M1096" s="2"/>
      <c r="N1096" s="2"/>
      <c r="O1096" s="2"/>
    </row>
    <row r="1097">
      <c r="A1097" s="2"/>
      <c r="B1097" s="2"/>
      <c r="C1097" s="18"/>
      <c r="D1097" s="18"/>
      <c r="E1097" s="26"/>
      <c r="H1097" s="2"/>
      <c r="I1097" s="2"/>
      <c r="J1097" s="2"/>
      <c r="K1097" s="2"/>
      <c r="M1097" s="2"/>
      <c r="N1097" s="2"/>
      <c r="O1097" s="2"/>
    </row>
    <row r="1098">
      <c r="A1098" s="2"/>
      <c r="B1098" s="2"/>
      <c r="C1098" s="18"/>
      <c r="D1098" s="18"/>
      <c r="E1098" s="26"/>
      <c r="H1098" s="2"/>
      <c r="I1098" s="2"/>
      <c r="J1098" s="2"/>
      <c r="K1098" s="2"/>
      <c r="M1098" s="2"/>
      <c r="N1098" s="2"/>
      <c r="O1098" s="2"/>
    </row>
    <row r="1099">
      <c r="A1099" s="2"/>
      <c r="B1099" s="2"/>
      <c r="C1099" s="18"/>
      <c r="D1099" s="18"/>
      <c r="E1099" s="26"/>
      <c r="H1099" s="2"/>
      <c r="I1099" s="2"/>
      <c r="J1099" s="2"/>
      <c r="K1099" s="2"/>
    </row>
    <row r="1100">
      <c r="A1100" s="2"/>
      <c r="B1100" s="2"/>
      <c r="C1100" s="18"/>
      <c r="D1100" s="18"/>
      <c r="E1100" s="26"/>
      <c r="F1100" s="2"/>
      <c r="G1100" s="2"/>
      <c r="H1100" s="2"/>
      <c r="I1100" s="2"/>
      <c r="J1100" s="2"/>
      <c r="K1100" s="2"/>
      <c r="M1100" s="2"/>
      <c r="N1100" s="2"/>
      <c r="O1100" s="2"/>
    </row>
    <row r="1101">
      <c r="A1101" s="2"/>
      <c r="B1101" s="2"/>
      <c r="C1101" s="18"/>
      <c r="D1101" s="18"/>
      <c r="E1101" s="26"/>
      <c r="H1101" s="2"/>
      <c r="I1101" s="2"/>
      <c r="J1101" s="2"/>
      <c r="K1101" s="2"/>
    </row>
    <row r="1102">
      <c r="A1102" s="2"/>
      <c r="B1102" s="2"/>
      <c r="C1102" s="18"/>
      <c r="D1102" s="18"/>
      <c r="E1102" s="26"/>
      <c r="G1102" s="2"/>
      <c r="H1102" s="2"/>
      <c r="I1102" s="2"/>
      <c r="J1102" s="2"/>
      <c r="K1102" s="2"/>
      <c r="M1102" s="2"/>
      <c r="N1102" s="2"/>
      <c r="O1102" s="2"/>
    </row>
    <row r="1103">
      <c r="A1103" s="2"/>
      <c r="B1103" s="2"/>
      <c r="C1103" s="18"/>
      <c r="D1103" s="18"/>
      <c r="E1103" s="26"/>
      <c r="H1103" s="2"/>
      <c r="I1103" s="2"/>
      <c r="J1103" s="2"/>
      <c r="K1103" s="2"/>
      <c r="M1103" s="2"/>
      <c r="N1103" s="2"/>
      <c r="O1103" s="2"/>
    </row>
    <row r="1104">
      <c r="A1104" s="2"/>
      <c r="B1104" s="2"/>
      <c r="C1104" s="18"/>
      <c r="D1104" s="18"/>
      <c r="E1104" s="26"/>
      <c r="H1104" s="2"/>
      <c r="I1104" s="2"/>
      <c r="J1104" s="2"/>
      <c r="K1104" s="2"/>
      <c r="M1104" s="2"/>
      <c r="N1104" s="2"/>
      <c r="O1104" s="2"/>
    </row>
    <row r="1105">
      <c r="A1105" s="2"/>
      <c r="B1105" s="2"/>
      <c r="C1105" s="18"/>
      <c r="D1105" s="18"/>
      <c r="E1105" s="26"/>
      <c r="H1105" s="2"/>
      <c r="I1105" s="2"/>
      <c r="J1105" s="2"/>
      <c r="K1105" s="2"/>
    </row>
    <row r="1106">
      <c r="A1106" s="2"/>
      <c r="B1106" s="2"/>
      <c r="C1106" s="18"/>
      <c r="D1106" s="18"/>
      <c r="E1106" s="26"/>
      <c r="H1106" s="2"/>
      <c r="I1106" s="2"/>
      <c r="J1106" s="2"/>
      <c r="K1106" s="2"/>
    </row>
    <row r="1107">
      <c r="A1107" s="2"/>
      <c r="B1107" s="2"/>
      <c r="C1107" s="18"/>
      <c r="D1107" s="18"/>
      <c r="E1107" s="26"/>
      <c r="F1107" s="2"/>
      <c r="G1107" s="2"/>
      <c r="H1107" s="2"/>
      <c r="I1107" s="2"/>
      <c r="J1107" s="2"/>
      <c r="K1107" s="2"/>
      <c r="M1107" s="2"/>
      <c r="N1107" s="2"/>
      <c r="O1107" s="2"/>
    </row>
    <row r="1108">
      <c r="A1108" s="2"/>
      <c r="B1108" s="2"/>
      <c r="C1108" s="18"/>
      <c r="D1108" s="18"/>
      <c r="E1108" s="26"/>
      <c r="H1108" s="2"/>
      <c r="I1108" s="2"/>
      <c r="J1108" s="2"/>
      <c r="K1108" s="2"/>
      <c r="M1108" s="2"/>
      <c r="N1108" s="2"/>
      <c r="O1108" s="2"/>
    </row>
    <row r="1109">
      <c r="A1109" s="2"/>
      <c r="B1109" s="2"/>
      <c r="C1109" s="18"/>
      <c r="D1109" s="18"/>
      <c r="E1109" s="26"/>
      <c r="H1109" s="2"/>
      <c r="I1109" s="2"/>
      <c r="J1109" s="2"/>
      <c r="K1109" s="2"/>
      <c r="M1109" s="2"/>
      <c r="N1109" s="2"/>
      <c r="O1109" s="2"/>
    </row>
    <row r="1110">
      <c r="A1110" s="2"/>
      <c r="B1110" s="2"/>
      <c r="C1110" s="18"/>
      <c r="D1110" s="18"/>
      <c r="E1110" s="26"/>
      <c r="G1110" s="2"/>
      <c r="H1110" s="2"/>
      <c r="I1110" s="2"/>
      <c r="J1110" s="2"/>
      <c r="K1110" s="2"/>
      <c r="M1110" s="2"/>
      <c r="N1110" s="2"/>
      <c r="O1110" s="2"/>
    </row>
    <row r="1111">
      <c r="A1111" s="2"/>
      <c r="B1111" s="2"/>
      <c r="C1111" s="18"/>
      <c r="D1111" s="18"/>
      <c r="E1111" s="26"/>
      <c r="H1111" s="2"/>
      <c r="I1111" s="2"/>
      <c r="J1111" s="2"/>
      <c r="K1111" s="2"/>
    </row>
    <row r="1112">
      <c r="A1112" s="2"/>
      <c r="B1112" s="2"/>
      <c r="C1112" s="18"/>
      <c r="D1112" s="18"/>
      <c r="E1112" s="26"/>
      <c r="F1112" s="2"/>
      <c r="H1112" s="2"/>
      <c r="I1112" s="2"/>
      <c r="J1112" s="2"/>
      <c r="K1112" s="2"/>
      <c r="M1112" s="2"/>
      <c r="N1112" s="2"/>
      <c r="O1112" s="2"/>
    </row>
    <row r="1113">
      <c r="A1113" s="2"/>
      <c r="B1113" s="2"/>
      <c r="C1113" s="18"/>
      <c r="D1113" s="18"/>
      <c r="E1113" s="26"/>
      <c r="G1113" s="2"/>
      <c r="H1113" s="2"/>
      <c r="I1113" s="2"/>
      <c r="J1113" s="2"/>
      <c r="K1113" s="2"/>
      <c r="M1113" s="2"/>
      <c r="N1113" s="2"/>
      <c r="O1113" s="2"/>
    </row>
    <row r="1114">
      <c r="A1114" s="2"/>
      <c r="B1114" s="2"/>
      <c r="C1114" s="18"/>
      <c r="D1114" s="18"/>
      <c r="E1114" s="26"/>
      <c r="G1114" s="2"/>
      <c r="H1114" s="2"/>
      <c r="I1114" s="2"/>
      <c r="J1114" s="2"/>
      <c r="K1114" s="2"/>
      <c r="M1114" s="2"/>
      <c r="N1114" s="2"/>
      <c r="O1114" s="2"/>
    </row>
    <row r="1115">
      <c r="A1115" s="2"/>
      <c r="B1115" s="2"/>
      <c r="C1115" s="18"/>
      <c r="D1115" s="18"/>
      <c r="E1115" s="26"/>
      <c r="H1115" s="2"/>
      <c r="I1115" s="2"/>
      <c r="J1115" s="2"/>
      <c r="K1115" s="2"/>
      <c r="M1115" s="2"/>
      <c r="N1115" s="2"/>
      <c r="O1115" s="2"/>
    </row>
    <row r="1116">
      <c r="A1116" s="2"/>
      <c r="B1116" s="2"/>
      <c r="C1116" s="18"/>
      <c r="D1116" s="18"/>
      <c r="E1116" s="26"/>
      <c r="H1116" s="2"/>
      <c r="I1116" s="2"/>
      <c r="J1116" s="2"/>
      <c r="K1116" s="2"/>
    </row>
    <row r="1117">
      <c r="A1117" s="2"/>
      <c r="B1117" s="2"/>
      <c r="C1117" s="18"/>
      <c r="D1117" s="18"/>
      <c r="E1117" s="26"/>
      <c r="F1117" s="2"/>
      <c r="G1117" s="2"/>
      <c r="H1117" s="2"/>
      <c r="I1117" s="2"/>
      <c r="J1117" s="2"/>
      <c r="K1117" s="2"/>
      <c r="M1117" s="2"/>
      <c r="N1117" s="2"/>
      <c r="O1117" s="2"/>
    </row>
    <row r="1118">
      <c r="A1118" s="2"/>
      <c r="B1118" s="2"/>
      <c r="C1118" s="18"/>
      <c r="D1118" s="18"/>
      <c r="E1118" s="26"/>
      <c r="F1118" s="2"/>
      <c r="G1118" s="2"/>
      <c r="H1118" s="2"/>
      <c r="I1118" s="2"/>
      <c r="J1118" s="2"/>
      <c r="K1118" s="2"/>
      <c r="M1118" s="2"/>
      <c r="N1118" s="2"/>
      <c r="O1118" s="2"/>
    </row>
    <row r="1119">
      <c r="A1119" s="2"/>
      <c r="B1119" s="2"/>
      <c r="C1119" s="18"/>
      <c r="D1119" s="18"/>
      <c r="E1119" s="26"/>
      <c r="H1119" s="2"/>
      <c r="I1119" s="2"/>
      <c r="J1119" s="2"/>
      <c r="K1119" s="2"/>
      <c r="M1119" s="2"/>
      <c r="N1119" s="2"/>
      <c r="O1119" s="2"/>
    </row>
    <row r="1120">
      <c r="A1120" s="2"/>
      <c r="B1120" s="2"/>
      <c r="C1120" s="18"/>
      <c r="D1120" s="18"/>
      <c r="E1120" s="26"/>
      <c r="H1120" s="2"/>
      <c r="I1120" s="2"/>
      <c r="J1120" s="2"/>
      <c r="K1120" s="2"/>
      <c r="M1120" s="2"/>
      <c r="N1120" s="2"/>
      <c r="O1120" s="2"/>
    </row>
    <row r="1121">
      <c r="A1121" s="2"/>
      <c r="B1121" s="2"/>
      <c r="C1121" s="18"/>
      <c r="D1121" s="18"/>
      <c r="E1121" s="26"/>
      <c r="H1121" s="2"/>
      <c r="I1121" s="2"/>
      <c r="J1121" s="2"/>
      <c r="K1121" s="2"/>
    </row>
    <row r="1122">
      <c r="A1122" s="2"/>
      <c r="B1122" s="2"/>
      <c r="C1122" s="18"/>
      <c r="D1122" s="18"/>
      <c r="E1122" s="26"/>
      <c r="H1122" s="2"/>
      <c r="I1122" s="2"/>
      <c r="J1122" s="2"/>
      <c r="K1122" s="2"/>
    </row>
    <row r="1123">
      <c r="A1123" s="2"/>
      <c r="B1123" s="2"/>
      <c r="C1123" s="18"/>
      <c r="D1123" s="18"/>
      <c r="E1123" s="26"/>
      <c r="F1123" s="2"/>
      <c r="H1123" s="2"/>
      <c r="I1123" s="2"/>
      <c r="J1123" s="2"/>
      <c r="K1123" s="2"/>
      <c r="M1123" s="2"/>
      <c r="N1123" s="2"/>
      <c r="O1123" s="2"/>
    </row>
    <row r="1124">
      <c r="A1124" s="2"/>
      <c r="B1124" s="2"/>
      <c r="C1124" s="18"/>
      <c r="D1124" s="18"/>
      <c r="E1124" s="26"/>
      <c r="H1124" s="2"/>
      <c r="I1124" s="2"/>
      <c r="J1124" s="2"/>
      <c r="K1124" s="2"/>
      <c r="M1124" s="2"/>
      <c r="N1124" s="2"/>
      <c r="O1124" s="2"/>
    </row>
    <row r="1125">
      <c r="A1125" s="2"/>
      <c r="B1125" s="2"/>
      <c r="C1125" s="18"/>
      <c r="D1125" s="18"/>
      <c r="E1125" s="26"/>
      <c r="H1125" s="2"/>
      <c r="I1125" s="2"/>
      <c r="J1125" s="2"/>
      <c r="K1125" s="2"/>
      <c r="M1125" s="2"/>
      <c r="N1125" s="2"/>
      <c r="O1125" s="2"/>
    </row>
    <row r="1126">
      <c r="A1126" s="2"/>
      <c r="B1126" s="2"/>
      <c r="C1126" s="18"/>
      <c r="D1126" s="18"/>
      <c r="E1126" s="26"/>
      <c r="H1126" s="2"/>
      <c r="I1126" s="2"/>
      <c r="J1126" s="2"/>
      <c r="K1126" s="2"/>
      <c r="M1126" s="2"/>
      <c r="N1126" s="2"/>
      <c r="O1126" s="2"/>
    </row>
    <row r="1127">
      <c r="A1127" s="2"/>
      <c r="B1127" s="2"/>
      <c r="C1127" s="18"/>
      <c r="D1127" s="18"/>
      <c r="E1127" s="26"/>
      <c r="H1127" s="2"/>
      <c r="I1127" s="2"/>
      <c r="J1127" s="2"/>
      <c r="K1127" s="2"/>
      <c r="M1127" s="2"/>
      <c r="N1127" s="2"/>
      <c r="O1127" s="2"/>
    </row>
    <row r="1128">
      <c r="A1128" s="2"/>
      <c r="B1128" s="2"/>
      <c r="C1128" s="18"/>
      <c r="D1128" s="18"/>
      <c r="E1128" s="26"/>
      <c r="H1128" s="2"/>
      <c r="I1128" s="2"/>
      <c r="J1128" s="2"/>
      <c r="K1128" s="2"/>
      <c r="M1128" s="2"/>
      <c r="N1128" s="2"/>
      <c r="O1128" s="2"/>
    </row>
    <row r="1129">
      <c r="A1129" s="2"/>
      <c r="B1129" s="2"/>
      <c r="C1129" s="18"/>
      <c r="D1129" s="18"/>
      <c r="E1129" s="26"/>
      <c r="G1129" s="2"/>
      <c r="H1129" s="2"/>
      <c r="I1129" s="2"/>
      <c r="J1129" s="2"/>
      <c r="K1129" s="2"/>
      <c r="M1129" s="2"/>
      <c r="N1129" s="2"/>
      <c r="O1129" s="2"/>
    </row>
    <row r="1130">
      <c r="A1130" s="2"/>
      <c r="B1130" s="2"/>
      <c r="C1130" s="18"/>
      <c r="D1130" s="18"/>
      <c r="E1130" s="26"/>
      <c r="H1130" s="2"/>
      <c r="I1130" s="2"/>
      <c r="J1130" s="2"/>
      <c r="K1130" s="2"/>
    </row>
    <row r="1131">
      <c r="A1131" s="2"/>
      <c r="B1131" s="2"/>
      <c r="C1131" s="18"/>
      <c r="D1131" s="18"/>
      <c r="E1131" s="26"/>
      <c r="H1131" s="2"/>
      <c r="I1131" s="2"/>
      <c r="J1131" s="2"/>
      <c r="K1131" s="2"/>
      <c r="M1131" s="2"/>
      <c r="N1131" s="2"/>
      <c r="O1131" s="2"/>
    </row>
    <row r="1132">
      <c r="A1132" s="2"/>
      <c r="B1132" s="2"/>
      <c r="C1132" s="18"/>
      <c r="D1132" s="18"/>
      <c r="E1132" s="26"/>
      <c r="H1132" s="2"/>
      <c r="I1132" s="2"/>
      <c r="J1132" s="2"/>
      <c r="K1132" s="2"/>
    </row>
    <row r="1133">
      <c r="A1133" s="2"/>
      <c r="B1133" s="2"/>
      <c r="C1133" s="18"/>
      <c r="D1133" s="18"/>
      <c r="E1133" s="26"/>
      <c r="H1133" s="2"/>
      <c r="I1133" s="2"/>
      <c r="J1133" s="2"/>
      <c r="K1133" s="2"/>
      <c r="M1133" s="2"/>
      <c r="N1133" s="2"/>
      <c r="O1133" s="2"/>
    </row>
    <row r="1134">
      <c r="A1134" s="2"/>
      <c r="B1134" s="2"/>
      <c r="C1134" s="18"/>
      <c r="D1134" s="18"/>
      <c r="E1134" s="26"/>
      <c r="G1134" s="2"/>
      <c r="H1134" s="2"/>
      <c r="I1134" s="2"/>
      <c r="J1134" s="2"/>
      <c r="K1134" s="2"/>
      <c r="M1134" s="2"/>
      <c r="N1134" s="2"/>
      <c r="O1134" s="2"/>
    </row>
    <row r="1135">
      <c r="A1135" s="2"/>
      <c r="B1135" s="2"/>
      <c r="C1135" s="18"/>
      <c r="D1135" s="18"/>
      <c r="E1135" s="26"/>
      <c r="H1135" s="2"/>
      <c r="I1135" s="2"/>
      <c r="J1135" s="2"/>
      <c r="K1135" s="2"/>
    </row>
    <row r="1136">
      <c r="A1136" s="2"/>
      <c r="B1136" s="2"/>
      <c r="C1136" s="18"/>
      <c r="D1136" s="18"/>
      <c r="E1136" s="26"/>
      <c r="G1136" s="2"/>
      <c r="H1136" s="2"/>
      <c r="I1136" s="2"/>
      <c r="J1136" s="2"/>
      <c r="K1136" s="2"/>
      <c r="M1136" s="2"/>
      <c r="N1136" s="2"/>
      <c r="O1136" s="2"/>
    </row>
    <row r="1137">
      <c r="A1137" s="2"/>
      <c r="B1137" s="2"/>
      <c r="C1137" s="18"/>
      <c r="D1137" s="18"/>
      <c r="E1137" s="26"/>
      <c r="H1137" s="2"/>
      <c r="I1137" s="2"/>
      <c r="J1137" s="2"/>
      <c r="K1137" s="2"/>
      <c r="M1137" s="2"/>
      <c r="N1137" s="2"/>
      <c r="O1137" s="2"/>
    </row>
    <row r="1138">
      <c r="A1138" s="2"/>
      <c r="B1138" s="2"/>
      <c r="C1138" s="18"/>
      <c r="D1138" s="18"/>
      <c r="E1138" s="26"/>
      <c r="G1138" s="2"/>
      <c r="H1138" s="2"/>
      <c r="I1138" s="2"/>
      <c r="J1138" s="2"/>
      <c r="K1138" s="2"/>
      <c r="M1138" s="2"/>
      <c r="N1138" s="2"/>
      <c r="O1138" s="2"/>
    </row>
    <row r="1139">
      <c r="A1139" s="2"/>
      <c r="B1139" s="2"/>
      <c r="C1139" s="18"/>
      <c r="D1139" s="18"/>
      <c r="E1139" s="26"/>
      <c r="H1139" s="2"/>
      <c r="I1139" s="2"/>
      <c r="J1139" s="2"/>
      <c r="K1139" s="2"/>
    </row>
    <row r="1140">
      <c r="A1140" s="2"/>
      <c r="B1140" s="2"/>
      <c r="C1140" s="18"/>
      <c r="D1140" s="18"/>
      <c r="E1140" s="26"/>
      <c r="F1140" s="2"/>
      <c r="G1140" s="2"/>
      <c r="H1140" s="2"/>
      <c r="I1140" s="2"/>
      <c r="J1140" s="2"/>
      <c r="K1140" s="2"/>
      <c r="M1140" s="2"/>
      <c r="N1140" s="2"/>
      <c r="O1140" s="2"/>
    </row>
    <row r="1141">
      <c r="A1141" s="2"/>
      <c r="B1141" s="2"/>
      <c r="C1141" s="18"/>
      <c r="D1141" s="18"/>
      <c r="E1141" s="26"/>
      <c r="F1141" s="2"/>
      <c r="G1141" s="2"/>
      <c r="H1141" s="2"/>
      <c r="I1141" s="2"/>
      <c r="J1141" s="2"/>
      <c r="K1141" s="2"/>
      <c r="M1141" s="2"/>
      <c r="N1141" s="2"/>
      <c r="O1141" s="2"/>
    </row>
    <row r="1142">
      <c r="A1142" s="2"/>
      <c r="B1142" s="2"/>
      <c r="C1142" s="18"/>
      <c r="D1142" s="18"/>
      <c r="E1142" s="26"/>
      <c r="H1142" s="2"/>
      <c r="I1142" s="2"/>
      <c r="J1142" s="2"/>
      <c r="K1142" s="2"/>
      <c r="M1142" s="2"/>
      <c r="N1142" s="2"/>
      <c r="O1142" s="2"/>
    </row>
    <row r="1143">
      <c r="A1143" s="2"/>
      <c r="B1143" s="2"/>
      <c r="C1143" s="18"/>
      <c r="D1143" s="18"/>
      <c r="E1143" s="26"/>
      <c r="H1143" s="2"/>
      <c r="I1143" s="2"/>
      <c r="J1143" s="2"/>
      <c r="K1143" s="2"/>
      <c r="M1143" s="2"/>
      <c r="N1143" s="2"/>
      <c r="O1143" s="2"/>
    </row>
    <row r="1144">
      <c r="A1144" s="2"/>
      <c r="B1144" s="2"/>
      <c r="C1144" s="18"/>
      <c r="D1144" s="18"/>
      <c r="E1144" s="26"/>
      <c r="H1144" s="2"/>
      <c r="I1144" s="2"/>
      <c r="J1144" s="2"/>
      <c r="K1144" s="2"/>
    </row>
    <row r="1145">
      <c r="A1145" s="2"/>
      <c r="B1145" s="2"/>
      <c r="C1145" s="18"/>
      <c r="D1145" s="18"/>
      <c r="E1145" s="26"/>
      <c r="F1145" s="2"/>
      <c r="G1145" s="2"/>
      <c r="H1145" s="2"/>
      <c r="I1145" s="2"/>
      <c r="J1145" s="2"/>
      <c r="K1145" s="2"/>
      <c r="M1145" s="2"/>
      <c r="N1145" s="2"/>
      <c r="O1145" s="2"/>
    </row>
    <row r="1146">
      <c r="A1146" s="2"/>
      <c r="B1146" s="2"/>
      <c r="C1146" s="18"/>
      <c r="D1146" s="18"/>
      <c r="E1146" s="26"/>
      <c r="H1146" s="2"/>
      <c r="I1146" s="2"/>
      <c r="J1146" s="2"/>
      <c r="K1146" s="2"/>
    </row>
    <row r="1147">
      <c r="A1147" s="2"/>
      <c r="B1147" s="2"/>
      <c r="C1147" s="18"/>
      <c r="D1147" s="18"/>
      <c r="E1147" s="26"/>
      <c r="H1147" s="2"/>
      <c r="I1147" s="2"/>
      <c r="J1147" s="2"/>
      <c r="K1147" s="2"/>
      <c r="M1147" s="2"/>
      <c r="N1147" s="2"/>
      <c r="O1147" s="2"/>
    </row>
    <row r="1148">
      <c r="A1148" s="2"/>
      <c r="B1148" s="2"/>
      <c r="C1148" s="18"/>
      <c r="D1148" s="18"/>
      <c r="E1148" s="26"/>
      <c r="H1148" s="2"/>
      <c r="I1148" s="2"/>
      <c r="J1148" s="2"/>
      <c r="K1148" s="2"/>
      <c r="M1148" s="2"/>
      <c r="N1148" s="2"/>
      <c r="O1148" s="2"/>
    </row>
    <row r="1149">
      <c r="A1149" s="2"/>
      <c r="B1149" s="2"/>
      <c r="C1149" s="18"/>
      <c r="D1149" s="18"/>
      <c r="E1149" s="26"/>
      <c r="H1149" s="2"/>
      <c r="I1149" s="2"/>
      <c r="J1149" s="2"/>
      <c r="K1149" s="2"/>
      <c r="M1149" s="2"/>
      <c r="N1149" s="2"/>
      <c r="O1149" s="2"/>
    </row>
    <row r="1150">
      <c r="A1150" s="2"/>
      <c r="B1150" s="2"/>
      <c r="C1150" s="18"/>
      <c r="D1150" s="18"/>
      <c r="E1150" s="26"/>
      <c r="H1150" s="2"/>
      <c r="I1150" s="2"/>
      <c r="J1150" s="2"/>
      <c r="K1150" s="2"/>
    </row>
    <row r="1151">
      <c r="A1151" s="2"/>
      <c r="B1151" s="2"/>
      <c r="C1151" s="18"/>
      <c r="D1151" s="18"/>
      <c r="E1151" s="26"/>
      <c r="H1151" s="2"/>
      <c r="I1151" s="2"/>
      <c r="J1151" s="2"/>
      <c r="K1151" s="2"/>
      <c r="M1151" s="2"/>
      <c r="N1151" s="2"/>
      <c r="O1151" s="2"/>
    </row>
    <row r="1152">
      <c r="A1152" s="2"/>
      <c r="B1152" s="2"/>
      <c r="C1152" s="18"/>
      <c r="D1152" s="18"/>
      <c r="E1152" s="26"/>
      <c r="H1152" s="2"/>
      <c r="I1152" s="2"/>
      <c r="J1152" s="2"/>
      <c r="K1152" s="2"/>
    </row>
    <row r="1153">
      <c r="A1153" s="2"/>
      <c r="B1153" s="2"/>
      <c r="C1153" s="18"/>
      <c r="D1153" s="18"/>
      <c r="E1153" s="26"/>
      <c r="F1153" s="2"/>
      <c r="G1153" s="2"/>
      <c r="H1153" s="2"/>
      <c r="I1153" s="2"/>
      <c r="J1153" s="2"/>
      <c r="K1153" s="2"/>
      <c r="M1153" s="2"/>
      <c r="N1153" s="2"/>
      <c r="O1153" s="2"/>
    </row>
    <row r="1154">
      <c r="A1154" s="2"/>
      <c r="B1154" s="2"/>
      <c r="C1154" s="18"/>
      <c r="D1154" s="18"/>
      <c r="E1154" s="26"/>
      <c r="H1154" s="2"/>
      <c r="I1154" s="2"/>
      <c r="J1154" s="2"/>
      <c r="K1154" s="2"/>
      <c r="M1154" s="2"/>
      <c r="N1154" s="2"/>
      <c r="O1154" s="2"/>
    </row>
    <row r="1155">
      <c r="A1155" s="2"/>
      <c r="B1155" s="2"/>
      <c r="C1155" s="18"/>
      <c r="D1155" s="18"/>
      <c r="E1155" s="26"/>
      <c r="H1155" s="2"/>
      <c r="I1155" s="2"/>
      <c r="J1155" s="2"/>
      <c r="K1155" s="2"/>
      <c r="M1155" s="2"/>
      <c r="N1155" s="2"/>
      <c r="O1155" s="2"/>
    </row>
    <row r="1156">
      <c r="A1156" s="2"/>
      <c r="B1156" s="2"/>
      <c r="C1156" s="18"/>
      <c r="D1156" s="18"/>
      <c r="E1156" s="26"/>
      <c r="G1156" s="2"/>
      <c r="H1156" s="2"/>
      <c r="I1156" s="2"/>
      <c r="J1156" s="2"/>
      <c r="K1156" s="2"/>
      <c r="M1156" s="2"/>
      <c r="N1156" s="2"/>
      <c r="O1156" s="2"/>
    </row>
    <row r="1157">
      <c r="A1157" s="2"/>
      <c r="B1157" s="2"/>
      <c r="C1157" s="18"/>
      <c r="D1157" s="18"/>
      <c r="E1157" s="26"/>
      <c r="H1157" s="2"/>
      <c r="I1157" s="2"/>
      <c r="J1157" s="2"/>
      <c r="K1157" s="2"/>
    </row>
    <row r="1158">
      <c r="A1158" s="2"/>
      <c r="B1158" s="2"/>
      <c r="C1158" s="18"/>
      <c r="D1158" s="18"/>
      <c r="E1158" s="26"/>
      <c r="F1158" s="2"/>
      <c r="H1158" s="2"/>
      <c r="I1158" s="2"/>
      <c r="J1158" s="2"/>
      <c r="K1158" s="2"/>
      <c r="M1158" s="2"/>
      <c r="N1158" s="2"/>
      <c r="O1158" s="2"/>
    </row>
    <row r="1159">
      <c r="A1159" s="2"/>
      <c r="B1159" s="2"/>
      <c r="C1159" s="18"/>
      <c r="D1159" s="18"/>
      <c r="E1159" s="26"/>
      <c r="G1159" s="2"/>
      <c r="H1159" s="2"/>
      <c r="I1159" s="2"/>
      <c r="J1159" s="2"/>
      <c r="K1159" s="2"/>
      <c r="M1159" s="2"/>
      <c r="N1159" s="2"/>
      <c r="O1159" s="2"/>
    </row>
    <row r="1160">
      <c r="A1160" s="2"/>
      <c r="B1160" s="2"/>
      <c r="C1160" s="18"/>
      <c r="D1160" s="18"/>
      <c r="E1160" s="26"/>
      <c r="G1160" s="2"/>
      <c r="H1160" s="2"/>
      <c r="I1160" s="2"/>
      <c r="J1160" s="2"/>
      <c r="K1160" s="2"/>
      <c r="M1160" s="2"/>
      <c r="N1160" s="2"/>
      <c r="O1160" s="2"/>
    </row>
    <row r="1161">
      <c r="A1161" s="2"/>
      <c r="B1161" s="2"/>
      <c r="C1161" s="18"/>
      <c r="D1161" s="18"/>
      <c r="E1161" s="26"/>
      <c r="H1161" s="2"/>
      <c r="I1161" s="2"/>
      <c r="J1161" s="2"/>
      <c r="K1161" s="2"/>
      <c r="M1161" s="2"/>
      <c r="N1161" s="2"/>
      <c r="O1161" s="2"/>
    </row>
    <row r="1162">
      <c r="A1162" s="2"/>
      <c r="B1162" s="2"/>
      <c r="C1162" s="18"/>
      <c r="D1162" s="18"/>
      <c r="E1162" s="26"/>
      <c r="G1162" s="2"/>
      <c r="H1162" s="2"/>
      <c r="I1162" s="2"/>
      <c r="J1162" s="2"/>
      <c r="K1162" s="2"/>
      <c r="M1162" s="2"/>
      <c r="N1162" s="2"/>
      <c r="O1162" s="2"/>
    </row>
    <row r="1163">
      <c r="A1163" s="2"/>
      <c r="B1163" s="2"/>
      <c r="C1163" s="18"/>
      <c r="D1163" s="18"/>
      <c r="E1163" s="26"/>
      <c r="H1163" s="2"/>
      <c r="I1163" s="2"/>
      <c r="J1163" s="2"/>
      <c r="K1163" s="2"/>
    </row>
    <row r="1164">
      <c r="A1164" s="2"/>
      <c r="B1164" s="2"/>
      <c r="C1164" s="18"/>
      <c r="D1164" s="18"/>
      <c r="E1164" s="26"/>
      <c r="F1164" s="2"/>
      <c r="G1164" s="2"/>
      <c r="H1164" s="2"/>
      <c r="I1164" s="2"/>
      <c r="J1164" s="2"/>
      <c r="K1164" s="2"/>
      <c r="M1164" s="2"/>
      <c r="N1164" s="2"/>
      <c r="O1164" s="2"/>
    </row>
    <row r="1165">
      <c r="A1165" s="2"/>
      <c r="B1165" s="2"/>
      <c r="C1165" s="18"/>
      <c r="D1165" s="18"/>
      <c r="E1165" s="26"/>
      <c r="F1165" s="2"/>
      <c r="G1165" s="2"/>
      <c r="H1165" s="2"/>
      <c r="I1165" s="2"/>
      <c r="J1165" s="2"/>
      <c r="K1165" s="2"/>
      <c r="M1165" s="2"/>
      <c r="N1165" s="2"/>
      <c r="O1165" s="2"/>
    </row>
    <row r="1166">
      <c r="A1166" s="2"/>
      <c r="B1166" s="2"/>
      <c r="C1166" s="18"/>
      <c r="D1166" s="18"/>
      <c r="E1166" s="26"/>
      <c r="H1166" s="2"/>
      <c r="I1166" s="2"/>
      <c r="J1166" s="2"/>
      <c r="K1166" s="2"/>
      <c r="M1166" s="2"/>
      <c r="N1166" s="2"/>
      <c r="O1166" s="2"/>
    </row>
    <row r="1167">
      <c r="A1167" s="2"/>
      <c r="B1167" s="2"/>
      <c r="C1167" s="18"/>
      <c r="D1167" s="18"/>
      <c r="E1167" s="26"/>
      <c r="H1167" s="2"/>
      <c r="I1167" s="2"/>
      <c r="J1167" s="2"/>
      <c r="K1167" s="2"/>
      <c r="M1167" s="2"/>
      <c r="N1167" s="2"/>
      <c r="O1167" s="2"/>
    </row>
    <row r="1168">
      <c r="A1168" s="2"/>
      <c r="B1168" s="2"/>
      <c r="C1168" s="18"/>
      <c r="D1168" s="18"/>
      <c r="E1168" s="26"/>
      <c r="H1168" s="2"/>
      <c r="I1168" s="2"/>
      <c r="J1168" s="2"/>
      <c r="K1168" s="2"/>
    </row>
    <row r="1169">
      <c r="A1169" s="2"/>
      <c r="B1169" s="2"/>
      <c r="C1169" s="18"/>
      <c r="D1169" s="18"/>
      <c r="E1169" s="26"/>
      <c r="H1169" s="2"/>
      <c r="I1169" s="2"/>
      <c r="J1169" s="2"/>
      <c r="K1169" s="2"/>
    </row>
    <row r="1170">
      <c r="A1170" s="2"/>
      <c r="B1170" s="2"/>
      <c r="C1170" s="18"/>
      <c r="D1170" s="18"/>
      <c r="E1170" s="26"/>
      <c r="G1170" s="2"/>
      <c r="H1170" s="2"/>
      <c r="I1170" s="2"/>
      <c r="J1170" s="2"/>
      <c r="K1170" s="2"/>
      <c r="M1170" s="2"/>
      <c r="N1170" s="2"/>
      <c r="O1170" s="2"/>
    </row>
    <row r="1171">
      <c r="A1171" s="2"/>
      <c r="B1171" s="2"/>
      <c r="C1171" s="18"/>
      <c r="D1171" s="18"/>
      <c r="E1171" s="26"/>
      <c r="G1171" s="2"/>
      <c r="H1171" s="2"/>
      <c r="I1171" s="2"/>
      <c r="J1171" s="2"/>
      <c r="K1171" s="2"/>
      <c r="M1171" s="2"/>
      <c r="N1171" s="2"/>
      <c r="O1171" s="2"/>
    </row>
    <row r="1172">
      <c r="A1172" s="2"/>
      <c r="B1172" s="2"/>
      <c r="C1172" s="18"/>
      <c r="D1172" s="18"/>
      <c r="E1172" s="26"/>
      <c r="H1172" s="2"/>
      <c r="I1172" s="2"/>
      <c r="J1172" s="2"/>
      <c r="K1172" s="2"/>
      <c r="M1172" s="2"/>
      <c r="N1172" s="2"/>
      <c r="O1172" s="2"/>
    </row>
    <row r="1173">
      <c r="A1173" s="2"/>
      <c r="B1173" s="2"/>
      <c r="C1173" s="18"/>
      <c r="D1173" s="18"/>
      <c r="E1173" s="26"/>
      <c r="H1173" s="2"/>
      <c r="I1173" s="2"/>
      <c r="J1173" s="2"/>
      <c r="K1173" s="2"/>
      <c r="M1173" s="2"/>
      <c r="N1173" s="2"/>
      <c r="O1173" s="2"/>
    </row>
    <row r="1174">
      <c r="A1174" s="2"/>
      <c r="B1174" s="2"/>
      <c r="C1174" s="18"/>
      <c r="D1174" s="18"/>
      <c r="E1174" s="26"/>
      <c r="H1174" s="2"/>
      <c r="I1174" s="2"/>
      <c r="J1174" s="2"/>
      <c r="K1174" s="2"/>
      <c r="M1174" s="2"/>
      <c r="N1174" s="2"/>
      <c r="O1174" s="2"/>
    </row>
    <row r="1175">
      <c r="A1175" s="2"/>
      <c r="B1175" s="2"/>
      <c r="C1175" s="18"/>
      <c r="D1175" s="18"/>
      <c r="E1175" s="26"/>
      <c r="H1175" s="2"/>
      <c r="I1175" s="2"/>
      <c r="J1175" s="2"/>
      <c r="K1175" s="2"/>
    </row>
    <row r="1176">
      <c r="A1176" s="2"/>
      <c r="B1176" s="2"/>
      <c r="C1176" s="18"/>
      <c r="D1176" s="18"/>
      <c r="E1176" s="26"/>
      <c r="G1176" s="2"/>
      <c r="H1176" s="2"/>
      <c r="I1176" s="2"/>
      <c r="J1176" s="2"/>
      <c r="K1176" s="2"/>
      <c r="M1176" s="2"/>
      <c r="N1176" s="2"/>
      <c r="O1176" s="2"/>
    </row>
    <row r="1177">
      <c r="A1177" s="2"/>
      <c r="B1177" s="2"/>
      <c r="C1177" s="18"/>
      <c r="D1177" s="18"/>
      <c r="E1177" s="26"/>
      <c r="H1177" s="2"/>
      <c r="I1177" s="2"/>
      <c r="J1177" s="2"/>
      <c r="K1177" s="2"/>
    </row>
    <row r="1178">
      <c r="A1178" s="2"/>
      <c r="B1178" s="2"/>
      <c r="C1178" s="18"/>
      <c r="D1178" s="18"/>
      <c r="E1178" s="26"/>
      <c r="H1178" s="2"/>
      <c r="I1178" s="2"/>
      <c r="J1178" s="2"/>
      <c r="K1178" s="2"/>
      <c r="M1178" s="2"/>
      <c r="N1178" s="2"/>
      <c r="O1178" s="2"/>
    </row>
    <row r="1179">
      <c r="A1179" s="2"/>
      <c r="B1179" s="2"/>
      <c r="C1179" s="18"/>
      <c r="D1179" s="18"/>
      <c r="E1179" s="26"/>
      <c r="G1179" s="2"/>
      <c r="H1179" s="2"/>
      <c r="I1179" s="2"/>
      <c r="J1179" s="2"/>
      <c r="K1179" s="2"/>
      <c r="M1179" s="2"/>
      <c r="N1179" s="2"/>
      <c r="O1179" s="2"/>
    </row>
    <row r="1180">
      <c r="A1180" s="2"/>
      <c r="B1180" s="2"/>
      <c r="C1180" s="18"/>
      <c r="D1180" s="18"/>
      <c r="E1180" s="26"/>
      <c r="H1180" s="2"/>
      <c r="I1180" s="2"/>
      <c r="J1180" s="2"/>
      <c r="K1180" s="2"/>
    </row>
    <row r="1181">
      <c r="A1181" s="2"/>
      <c r="B1181" s="2"/>
      <c r="C1181" s="18"/>
      <c r="D1181" s="18"/>
      <c r="E1181" s="26"/>
      <c r="G1181" s="2"/>
      <c r="H1181" s="2"/>
      <c r="I1181" s="2"/>
      <c r="J1181" s="2"/>
      <c r="K1181" s="2"/>
      <c r="M1181" s="2"/>
      <c r="N1181" s="2"/>
      <c r="O1181" s="2"/>
    </row>
    <row r="1182">
      <c r="A1182" s="2"/>
      <c r="B1182" s="2"/>
      <c r="C1182" s="18"/>
      <c r="D1182" s="18"/>
      <c r="E1182" s="26"/>
      <c r="H1182" s="2"/>
      <c r="I1182" s="2"/>
      <c r="J1182" s="2"/>
      <c r="K1182" s="2"/>
      <c r="M1182" s="2"/>
      <c r="N1182" s="2"/>
      <c r="O1182" s="2"/>
    </row>
    <row r="1183">
      <c r="A1183" s="2"/>
      <c r="B1183" s="2"/>
      <c r="C1183" s="18"/>
      <c r="D1183" s="18"/>
      <c r="E1183" s="26"/>
      <c r="G1183" s="2"/>
      <c r="H1183" s="2"/>
      <c r="I1183" s="2"/>
      <c r="J1183" s="2"/>
      <c r="K1183" s="2"/>
      <c r="M1183" s="2"/>
      <c r="N1183" s="2"/>
      <c r="O1183" s="2"/>
    </row>
    <row r="1184">
      <c r="A1184" s="2"/>
      <c r="B1184" s="2"/>
      <c r="C1184" s="18"/>
      <c r="D1184" s="18"/>
      <c r="E1184" s="26"/>
      <c r="H1184" s="2"/>
      <c r="I1184" s="2"/>
      <c r="J1184" s="2"/>
      <c r="K1184" s="2"/>
    </row>
    <row r="1185">
      <c r="A1185" s="2"/>
      <c r="B1185" s="2"/>
      <c r="C1185" s="18"/>
      <c r="D1185" s="18"/>
      <c r="E1185" s="26"/>
      <c r="H1185" s="2"/>
      <c r="I1185" s="2"/>
      <c r="J1185" s="2"/>
      <c r="K1185" s="2"/>
    </row>
    <row r="1186">
      <c r="A1186" s="2"/>
      <c r="B1186" s="2"/>
      <c r="C1186" s="18"/>
      <c r="D1186" s="18"/>
      <c r="E1186" s="26"/>
      <c r="H1186" s="2"/>
      <c r="I1186" s="2"/>
      <c r="J1186" s="2"/>
      <c r="K1186" s="2"/>
    </row>
    <row r="1187">
      <c r="A1187" s="2"/>
      <c r="B1187" s="2"/>
      <c r="C1187" s="18"/>
      <c r="D1187" s="18"/>
      <c r="E1187" s="26"/>
      <c r="H1187" s="2"/>
      <c r="I1187" s="2"/>
      <c r="J1187" s="2"/>
      <c r="K1187" s="2"/>
    </row>
    <row r="1188">
      <c r="A1188" s="2"/>
      <c r="B1188" s="2"/>
      <c r="C1188" s="18"/>
      <c r="D1188" s="18"/>
      <c r="E1188" s="26"/>
      <c r="H1188" s="2"/>
      <c r="I1188" s="2"/>
      <c r="J1188" s="2"/>
      <c r="K1188" s="2"/>
    </row>
    <row r="1189">
      <c r="A1189" s="2"/>
      <c r="B1189" s="2"/>
      <c r="C1189" s="18"/>
      <c r="D1189" s="18"/>
      <c r="E1189" s="26"/>
      <c r="H1189" s="2"/>
      <c r="I1189" s="2"/>
      <c r="J1189" s="2"/>
      <c r="K1189" s="2"/>
    </row>
    <row r="1190">
      <c r="A1190" s="2"/>
      <c r="B1190" s="2"/>
      <c r="C1190" s="18"/>
      <c r="D1190" s="18"/>
      <c r="E1190" s="26"/>
      <c r="H1190" s="2"/>
      <c r="I1190" s="2"/>
      <c r="J1190" s="2"/>
      <c r="K1190" s="2"/>
    </row>
    <row r="1191">
      <c r="A1191" s="2"/>
      <c r="B1191" s="2"/>
      <c r="C1191" s="18"/>
      <c r="D1191" s="18"/>
      <c r="E1191" s="26"/>
      <c r="H1191" s="2"/>
      <c r="I1191" s="2"/>
      <c r="J1191" s="2"/>
      <c r="K1191" s="2"/>
    </row>
    <row r="1192">
      <c r="A1192" s="2"/>
      <c r="B1192" s="2"/>
      <c r="C1192" s="18"/>
      <c r="D1192" s="18"/>
      <c r="E1192" s="26"/>
      <c r="F1192" s="2"/>
      <c r="G1192" s="2"/>
      <c r="H1192" s="2"/>
      <c r="I1192" s="2"/>
      <c r="J1192" s="2"/>
      <c r="K1192" s="2"/>
      <c r="M1192" s="2"/>
      <c r="N1192" s="2"/>
      <c r="O1192" s="2"/>
    </row>
    <row r="1193">
      <c r="A1193" s="2"/>
      <c r="B1193" s="2"/>
      <c r="C1193" s="18"/>
      <c r="D1193" s="18"/>
      <c r="E1193" s="26"/>
      <c r="F1193" s="2"/>
      <c r="G1193" s="2"/>
      <c r="H1193" s="2"/>
      <c r="I1193" s="2"/>
      <c r="J1193" s="2"/>
      <c r="K1193" s="2"/>
      <c r="M1193" s="2"/>
      <c r="N1193" s="2"/>
      <c r="O1193" s="2"/>
    </row>
    <row r="1194">
      <c r="A1194" s="2"/>
      <c r="B1194" s="2"/>
      <c r="C1194" s="18"/>
      <c r="D1194" s="18"/>
      <c r="E1194" s="26"/>
      <c r="H1194" s="2"/>
      <c r="I1194" s="2"/>
      <c r="J1194" s="2"/>
      <c r="K1194" s="2"/>
      <c r="M1194" s="2"/>
      <c r="N1194" s="2"/>
      <c r="O1194" s="2"/>
    </row>
    <row r="1195">
      <c r="A1195" s="2"/>
      <c r="B1195" s="2"/>
      <c r="C1195" s="18"/>
      <c r="D1195" s="18"/>
      <c r="E1195" s="26"/>
      <c r="H1195" s="2"/>
      <c r="I1195" s="2"/>
      <c r="J1195" s="2"/>
      <c r="K1195" s="2"/>
      <c r="M1195" s="2"/>
      <c r="N1195" s="2"/>
      <c r="O1195" s="2"/>
    </row>
    <row r="1196">
      <c r="A1196" s="2"/>
      <c r="B1196" s="2"/>
      <c r="C1196" s="18"/>
      <c r="D1196" s="18"/>
      <c r="E1196" s="26"/>
      <c r="H1196" s="2"/>
      <c r="I1196" s="2"/>
      <c r="J1196" s="2"/>
      <c r="K1196" s="2"/>
    </row>
    <row r="1197">
      <c r="A1197" s="2"/>
      <c r="B1197" s="2"/>
      <c r="C1197" s="18"/>
      <c r="D1197" s="18"/>
      <c r="E1197" s="26"/>
      <c r="F1197" s="2"/>
      <c r="G1197" s="2"/>
      <c r="H1197" s="2"/>
      <c r="I1197" s="2"/>
      <c r="J1197" s="2"/>
      <c r="K1197" s="2"/>
      <c r="M1197" s="2"/>
      <c r="N1197" s="2"/>
      <c r="O1197" s="2"/>
    </row>
    <row r="1198">
      <c r="A1198" s="2"/>
      <c r="B1198" s="2"/>
      <c r="C1198" s="18"/>
      <c r="D1198" s="18"/>
      <c r="E1198" s="26"/>
      <c r="H1198" s="2"/>
      <c r="I1198" s="2"/>
      <c r="J1198" s="2"/>
      <c r="K1198" s="2"/>
    </row>
    <row r="1199">
      <c r="A1199" s="2"/>
      <c r="B1199" s="2"/>
      <c r="C1199" s="18"/>
      <c r="D1199" s="18"/>
      <c r="E1199" s="26"/>
      <c r="H1199" s="2"/>
      <c r="I1199" s="2"/>
      <c r="J1199" s="2"/>
      <c r="K1199" s="2"/>
      <c r="M1199" s="2"/>
      <c r="N1199" s="2"/>
      <c r="O1199" s="2"/>
    </row>
    <row r="1200">
      <c r="A1200" s="2"/>
      <c r="B1200" s="2"/>
      <c r="C1200" s="18"/>
      <c r="D1200" s="18"/>
      <c r="E1200" s="26"/>
      <c r="H1200" s="2"/>
      <c r="I1200" s="2"/>
      <c r="J1200" s="2"/>
      <c r="K1200" s="2"/>
      <c r="M1200" s="2"/>
      <c r="N1200" s="2"/>
      <c r="O1200" s="2"/>
    </row>
    <row r="1201">
      <c r="A1201" s="2"/>
      <c r="B1201" s="2"/>
      <c r="C1201" s="18"/>
      <c r="D1201" s="18"/>
      <c r="E1201" s="26"/>
      <c r="H1201" s="2"/>
      <c r="I1201" s="2"/>
      <c r="J1201" s="2"/>
      <c r="K1201" s="2"/>
    </row>
    <row r="1202">
      <c r="A1202" s="2"/>
      <c r="B1202" s="2"/>
      <c r="C1202" s="18"/>
      <c r="D1202" s="18"/>
      <c r="E1202" s="26"/>
      <c r="H1202" s="2"/>
      <c r="I1202" s="2"/>
      <c r="J1202" s="2"/>
      <c r="K1202" s="2"/>
    </row>
    <row r="1203">
      <c r="A1203" s="2"/>
      <c r="B1203" s="2"/>
      <c r="C1203" s="18"/>
      <c r="D1203" s="18"/>
      <c r="E1203" s="26"/>
      <c r="F1203" s="2"/>
      <c r="G1203" s="2"/>
      <c r="H1203" s="2"/>
      <c r="I1203" s="2"/>
      <c r="J1203" s="2"/>
      <c r="K1203" s="2"/>
      <c r="M1203" s="2"/>
      <c r="N1203" s="2"/>
      <c r="O1203" s="2"/>
    </row>
    <row r="1204">
      <c r="A1204" s="2"/>
      <c r="B1204" s="2"/>
      <c r="C1204" s="18"/>
      <c r="D1204" s="18"/>
      <c r="E1204" s="26"/>
      <c r="H1204" s="2"/>
      <c r="I1204" s="2"/>
      <c r="J1204" s="2"/>
      <c r="K1204" s="2"/>
      <c r="M1204" s="2"/>
      <c r="N1204" s="2"/>
      <c r="O1204" s="2"/>
    </row>
    <row r="1205">
      <c r="A1205" s="2"/>
      <c r="B1205" s="2"/>
      <c r="C1205" s="18"/>
      <c r="D1205" s="18"/>
      <c r="E1205" s="26"/>
      <c r="H1205" s="2"/>
      <c r="I1205" s="2"/>
      <c r="J1205" s="2"/>
      <c r="K1205" s="2"/>
      <c r="M1205" s="2"/>
      <c r="N1205" s="2"/>
      <c r="O1205" s="2"/>
    </row>
    <row r="1206">
      <c r="A1206" s="2"/>
      <c r="B1206" s="2"/>
      <c r="C1206" s="18"/>
      <c r="D1206" s="18"/>
      <c r="E1206" s="26"/>
      <c r="G1206" s="2"/>
      <c r="H1206" s="2"/>
      <c r="I1206" s="2"/>
      <c r="J1206" s="2"/>
      <c r="K1206" s="2"/>
      <c r="M1206" s="2"/>
      <c r="N1206" s="2"/>
      <c r="O1206" s="2"/>
    </row>
    <row r="1207">
      <c r="A1207" s="2"/>
      <c r="B1207" s="2"/>
      <c r="C1207" s="18"/>
      <c r="D1207" s="18"/>
      <c r="E1207" s="26"/>
      <c r="H1207" s="2"/>
      <c r="I1207" s="2"/>
      <c r="J1207" s="2"/>
      <c r="K1207" s="2"/>
    </row>
    <row r="1208">
      <c r="A1208" s="2"/>
      <c r="B1208" s="2"/>
      <c r="C1208" s="18"/>
      <c r="D1208" s="18"/>
      <c r="E1208" s="26"/>
      <c r="F1208" s="2"/>
      <c r="H1208" s="2"/>
      <c r="I1208" s="2"/>
      <c r="J1208" s="2"/>
      <c r="K1208" s="2"/>
      <c r="M1208" s="2"/>
      <c r="N1208" s="2"/>
      <c r="O1208" s="2"/>
    </row>
    <row r="1209">
      <c r="A1209" s="2"/>
      <c r="B1209" s="2"/>
      <c r="C1209" s="18"/>
      <c r="D1209" s="18"/>
      <c r="E1209" s="26"/>
      <c r="G1209" s="2"/>
      <c r="H1209" s="2"/>
      <c r="I1209" s="2"/>
      <c r="J1209" s="2"/>
      <c r="K1209" s="2"/>
      <c r="M1209" s="2"/>
      <c r="N1209" s="2"/>
      <c r="O1209" s="2"/>
    </row>
    <row r="1210">
      <c r="A1210" s="2"/>
      <c r="B1210" s="2"/>
      <c r="C1210" s="18"/>
      <c r="D1210" s="18"/>
      <c r="E1210" s="26"/>
      <c r="G1210" s="2"/>
      <c r="H1210" s="2"/>
      <c r="I1210" s="2"/>
      <c r="J1210" s="2"/>
      <c r="K1210" s="2"/>
      <c r="M1210" s="2"/>
      <c r="N1210" s="2"/>
      <c r="O1210" s="2"/>
    </row>
    <row r="1211">
      <c r="A1211" s="2"/>
      <c r="B1211" s="2"/>
      <c r="C1211" s="18"/>
      <c r="D1211" s="18"/>
      <c r="E1211" s="26"/>
      <c r="H1211" s="2"/>
      <c r="I1211" s="2"/>
      <c r="J1211" s="2"/>
      <c r="K1211" s="2"/>
      <c r="M1211" s="2"/>
      <c r="N1211" s="2"/>
      <c r="O1211" s="2"/>
    </row>
    <row r="1212">
      <c r="A1212" s="2"/>
      <c r="B1212" s="2"/>
      <c r="C1212" s="18"/>
      <c r="D1212" s="18"/>
      <c r="E1212" s="26"/>
      <c r="H1212" s="2"/>
      <c r="I1212" s="2"/>
      <c r="J1212" s="2"/>
      <c r="K1212" s="2"/>
    </row>
    <row r="1213">
      <c r="A1213" s="2"/>
      <c r="B1213" s="2"/>
      <c r="C1213" s="18"/>
      <c r="D1213" s="18"/>
      <c r="E1213" s="26"/>
      <c r="F1213" s="2"/>
      <c r="G1213" s="2"/>
      <c r="H1213" s="2"/>
      <c r="I1213" s="2"/>
      <c r="J1213" s="2"/>
      <c r="K1213" s="2"/>
      <c r="M1213" s="2"/>
      <c r="N1213" s="2"/>
      <c r="O1213" s="2"/>
    </row>
    <row r="1214">
      <c r="A1214" s="2"/>
      <c r="B1214" s="2"/>
      <c r="C1214" s="18"/>
      <c r="D1214" s="18"/>
      <c r="E1214" s="26"/>
      <c r="F1214" s="2"/>
      <c r="G1214" s="2"/>
      <c r="H1214" s="2"/>
      <c r="I1214" s="2"/>
      <c r="J1214" s="2"/>
      <c r="K1214" s="2"/>
      <c r="M1214" s="2"/>
      <c r="N1214" s="2"/>
      <c r="O1214" s="2"/>
    </row>
    <row r="1215">
      <c r="A1215" s="2"/>
      <c r="B1215" s="2"/>
      <c r="C1215" s="18"/>
      <c r="D1215" s="18"/>
      <c r="E1215" s="26"/>
      <c r="H1215" s="2"/>
      <c r="I1215" s="2"/>
      <c r="J1215" s="2"/>
      <c r="K1215" s="2"/>
      <c r="M1215" s="2"/>
      <c r="N1215" s="2"/>
      <c r="O1215" s="2"/>
    </row>
    <row r="1216">
      <c r="A1216" s="2"/>
      <c r="B1216" s="2"/>
      <c r="C1216" s="18"/>
      <c r="D1216" s="18"/>
      <c r="E1216" s="26"/>
      <c r="H1216" s="2"/>
      <c r="I1216" s="2"/>
      <c r="J1216" s="2"/>
      <c r="K1216" s="2"/>
      <c r="M1216" s="2"/>
      <c r="N1216" s="2"/>
      <c r="O1216" s="2"/>
    </row>
    <row r="1217">
      <c r="A1217" s="2"/>
      <c r="B1217" s="2"/>
      <c r="C1217" s="18"/>
      <c r="D1217" s="18"/>
      <c r="E1217" s="26"/>
      <c r="H1217" s="2"/>
      <c r="I1217" s="2"/>
      <c r="J1217" s="2"/>
      <c r="K1217" s="2"/>
    </row>
    <row r="1218">
      <c r="A1218" s="2"/>
      <c r="B1218" s="2"/>
      <c r="C1218" s="18"/>
      <c r="D1218" s="18"/>
      <c r="E1218" s="26"/>
      <c r="H1218" s="2"/>
      <c r="I1218" s="2"/>
      <c r="J1218" s="2"/>
      <c r="K1218" s="2"/>
    </row>
    <row r="1219">
      <c r="A1219" s="2"/>
      <c r="B1219" s="2"/>
      <c r="C1219" s="18"/>
      <c r="D1219" s="18"/>
      <c r="E1219" s="26"/>
      <c r="H1219" s="2"/>
      <c r="I1219" s="2"/>
      <c r="J1219" s="2"/>
      <c r="K1219" s="2"/>
      <c r="M1219" s="2"/>
      <c r="N1219" s="2"/>
      <c r="O1219" s="2"/>
    </row>
    <row r="1220">
      <c r="A1220" s="2"/>
      <c r="B1220" s="2"/>
      <c r="C1220" s="18"/>
      <c r="D1220" s="18"/>
      <c r="E1220" s="26"/>
      <c r="H1220" s="2"/>
      <c r="I1220" s="2"/>
      <c r="J1220" s="2"/>
      <c r="K1220" s="2"/>
      <c r="M1220" s="2"/>
      <c r="N1220" s="2"/>
      <c r="O1220" s="2"/>
    </row>
    <row r="1221">
      <c r="A1221" s="2"/>
      <c r="B1221" s="2"/>
      <c r="C1221" s="18"/>
      <c r="D1221" s="18"/>
      <c r="E1221" s="26"/>
      <c r="H1221" s="2"/>
      <c r="I1221" s="2"/>
      <c r="J1221" s="2"/>
      <c r="K1221" s="2"/>
      <c r="M1221" s="2"/>
      <c r="N1221" s="2"/>
      <c r="O1221" s="2"/>
    </row>
    <row r="1222">
      <c r="A1222" s="2"/>
      <c r="B1222" s="2"/>
      <c r="C1222" s="18"/>
      <c r="D1222" s="18"/>
      <c r="E1222" s="26"/>
      <c r="H1222" s="2"/>
      <c r="I1222" s="2"/>
      <c r="J1222" s="2"/>
      <c r="K1222" s="2"/>
      <c r="M1222" s="2"/>
      <c r="N1222" s="2"/>
      <c r="O1222" s="2"/>
    </row>
    <row r="1223">
      <c r="A1223" s="2"/>
      <c r="B1223" s="2"/>
      <c r="C1223" s="18"/>
      <c r="D1223" s="18"/>
      <c r="E1223" s="26"/>
      <c r="H1223" s="2"/>
      <c r="I1223" s="2"/>
      <c r="J1223" s="2"/>
      <c r="K1223" s="2"/>
      <c r="M1223" s="2"/>
      <c r="N1223" s="2"/>
      <c r="O1223" s="2"/>
    </row>
    <row r="1224">
      <c r="A1224" s="2"/>
      <c r="B1224" s="2"/>
      <c r="C1224" s="18"/>
      <c r="D1224" s="18"/>
      <c r="E1224" s="26"/>
      <c r="G1224" s="2"/>
      <c r="H1224" s="2"/>
      <c r="I1224" s="2"/>
      <c r="J1224" s="2"/>
      <c r="K1224" s="2"/>
      <c r="M1224" s="2"/>
      <c r="N1224" s="2"/>
      <c r="O1224" s="2"/>
    </row>
    <row r="1225">
      <c r="A1225" s="2"/>
      <c r="B1225" s="2"/>
      <c r="C1225" s="18"/>
      <c r="D1225" s="18"/>
      <c r="E1225" s="26"/>
      <c r="H1225" s="2"/>
      <c r="I1225" s="2"/>
      <c r="J1225" s="2"/>
      <c r="K1225" s="2"/>
    </row>
    <row r="1226">
      <c r="A1226" s="2"/>
      <c r="B1226" s="2"/>
      <c r="C1226" s="18"/>
      <c r="D1226" s="18"/>
      <c r="E1226" s="26"/>
      <c r="H1226" s="2"/>
      <c r="I1226" s="2"/>
      <c r="J1226" s="2"/>
      <c r="K1226" s="2"/>
      <c r="M1226" s="2"/>
      <c r="N1226" s="2"/>
      <c r="O1226" s="2"/>
    </row>
    <row r="1227">
      <c r="A1227" s="2"/>
      <c r="B1227" s="2"/>
      <c r="C1227" s="18"/>
      <c r="D1227" s="18"/>
      <c r="E1227" s="26"/>
      <c r="H1227" s="2"/>
      <c r="I1227" s="2"/>
      <c r="J1227" s="2"/>
      <c r="K1227" s="2"/>
    </row>
    <row r="1228">
      <c r="A1228" s="2"/>
      <c r="B1228" s="2"/>
      <c r="C1228" s="18"/>
      <c r="D1228" s="18"/>
      <c r="E1228" s="26"/>
      <c r="H1228" s="2"/>
      <c r="I1228" s="2"/>
      <c r="J1228" s="2"/>
      <c r="K1228" s="2"/>
      <c r="M1228" s="2"/>
      <c r="N1228" s="2"/>
      <c r="O1228" s="2"/>
    </row>
    <row r="1229">
      <c r="A1229" s="2"/>
      <c r="B1229" s="2"/>
      <c r="C1229" s="18"/>
      <c r="D1229" s="18"/>
      <c r="E1229" s="26"/>
      <c r="G1229" s="2"/>
      <c r="H1229" s="2"/>
      <c r="I1229" s="2"/>
      <c r="J1229" s="2"/>
      <c r="K1229" s="2"/>
      <c r="M1229" s="2"/>
      <c r="N1229" s="2"/>
      <c r="O1229" s="2"/>
    </row>
    <row r="1230">
      <c r="A1230" s="2"/>
      <c r="B1230" s="2"/>
      <c r="C1230" s="18"/>
      <c r="D1230" s="18"/>
      <c r="E1230" s="26"/>
      <c r="H1230" s="2"/>
      <c r="I1230" s="2"/>
      <c r="J1230" s="2"/>
      <c r="K1230" s="2"/>
    </row>
    <row r="1231">
      <c r="A1231" s="2"/>
      <c r="B1231" s="2"/>
      <c r="C1231" s="18"/>
      <c r="D1231" s="18"/>
      <c r="E1231" s="26"/>
      <c r="G1231" s="2"/>
      <c r="H1231" s="2"/>
      <c r="I1231" s="2"/>
      <c r="J1231" s="2"/>
      <c r="K1231" s="2"/>
      <c r="M1231" s="2"/>
      <c r="N1231" s="2"/>
      <c r="O1231" s="2"/>
    </row>
    <row r="1232">
      <c r="A1232" s="2"/>
      <c r="B1232" s="2"/>
      <c r="C1232" s="18"/>
      <c r="D1232" s="18"/>
      <c r="E1232" s="26"/>
      <c r="H1232" s="2"/>
      <c r="I1232" s="2"/>
      <c r="J1232" s="2"/>
      <c r="K1232" s="2"/>
      <c r="M1232" s="2"/>
      <c r="N1232" s="2"/>
      <c r="O1232" s="2"/>
    </row>
    <row r="1233">
      <c r="A1233" s="2"/>
      <c r="B1233" s="2"/>
      <c r="C1233" s="18"/>
      <c r="D1233" s="18"/>
      <c r="E1233" s="26"/>
      <c r="G1233" s="2"/>
      <c r="H1233" s="2"/>
      <c r="I1233" s="2"/>
      <c r="J1233" s="2"/>
      <c r="K1233" s="2"/>
      <c r="M1233" s="2"/>
      <c r="N1233" s="2"/>
      <c r="O1233" s="2"/>
    </row>
    <row r="1234">
      <c r="A1234" s="2"/>
      <c r="B1234" s="2"/>
      <c r="C1234" s="18"/>
      <c r="D1234" s="18"/>
      <c r="E1234" s="26"/>
      <c r="H1234" s="2"/>
      <c r="I1234" s="2"/>
      <c r="J1234" s="2"/>
      <c r="K1234" s="2"/>
    </row>
    <row r="1235">
      <c r="A1235" s="2"/>
      <c r="B1235" s="2"/>
      <c r="C1235" s="18"/>
      <c r="D1235" s="18"/>
      <c r="E1235" s="26"/>
      <c r="F1235" s="2"/>
      <c r="G1235" s="2"/>
      <c r="H1235" s="2"/>
      <c r="I1235" s="2"/>
      <c r="J1235" s="2"/>
      <c r="K1235" s="2"/>
      <c r="M1235" s="2"/>
      <c r="N1235" s="2"/>
      <c r="O1235" s="2"/>
    </row>
    <row r="1236">
      <c r="A1236" s="2"/>
      <c r="B1236" s="2"/>
      <c r="C1236" s="18"/>
      <c r="D1236" s="18"/>
      <c r="E1236" s="26"/>
      <c r="F1236" s="2"/>
      <c r="G1236" s="2"/>
      <c r="H1236" s="2"/>
      <c r="I1236" s="2"/>
      <c r="J1236" s="2"/>
      <c r="K1236" s="2"/>
      <c r="M1236" s="2"/>
      <c r="N1236" s="2"/>
      <c r="O1236" s="2"/>
    </row>
    <row r="1237">
      <c r="A1237" s="2"/>
      <c r="B1237" s="2"/>
      <c r="C1237" s="18"/>
      <c r="D1237" s="18"/>
      <c r="E1237" s="26"/>
      <c r="H1237" s="2"/>
      <c r="I1237" s="2"/>
      <c r="J1237" s="2"/>
      <c r="K1237" s="2"/>
      <c r="M1237" s="2"/>
      <c r="N1237" s="2"/>
      <c r="O1237" s="2"/>
    </row>
    <row r="1238">
      <c r="A1238" s="2"/>
      <c r="B1238" s="2"/>
      <c r="C1238" s="18"/>
      <c r="D1238" s="18"/>
      <c r="E1238" s="26"/>
      <c r="H1238" s="2"/>
      <c r="I1238" s="2"/>
      <c r="J1238" s="2"/>
      <c r="K1238" s="2"/>
      <c r="M1238" s="2"/>
      <c r="N1238" s="2"/>
      <c r="O1238" s="2"/>
    </row>
    <row r="1239">
      <c r="A1239" s="2"/>
      <c r="B1239" s="2"/>
      <c r="C1239" s="18"/>
      <c r="D1239" s="18"/>
      <c r="E1239" s="26"/>
      <c r="H1239" s="2"/>
      <c r="I1239" s="2"/>
      <c r="J1239" s="2"/>
      <c r="K1239" s="2"/>
    </row>
    <row r="1240">
      <c r="A1240" s="2"/>
      <c r="B1240" s="2"/>
      <c r="C1240" s="18"/>
      <c r="D1240" s="18"/>
      <c r="E1240" s="26"/>
      <c r="F1240" s="2"/>
      <c r="G1240" s="2"/>
      <c r="H1240" s="2"/>
      <c r="I1240" s="2"/>
      <c r="J1240" s="2"/>
      <c r="K1240" s="2"/>
      <c r="M1240" s="2"/>
      <c r="N1240" s="2"/>
      <c r="O1240" s="2"/>
    </row>
    <row r="1241">
      <c r="A1241" s="2"/>
      <c r="B1241" s="2"/>
      <c r="C1241" s="18"/>
      <c r="D1241" s="18"/>
      <c r="E1241" s="26"/>
      <c r="H1241" s="2"/>
      <c r="I1241" s="2"/>
      <c r="J1241" s="2"/>
      <c r="K1241" s="2"/>
    </row>
    <row r="1242">
      <c r="A1242" s="2"/>
      <c r="B1242" s="2"/>
      <c r="C1242" s="18"/>
      <c r="D1242" s="18"/>
      <c r="E1242" s="26"/>
      <c r="H1242" s="2"/>
      <c r="I1242" s="2"/>
      <c r="J1242" s="2"/>
      <c r="K1242" s="2"/>
      <c r="M1242" s="2"/>
      <c r="N1242" s="2"/>
      <c r="O1242" s="2"/>
    </row>
    <row r="1243">
      <c r="A1243" s="2"/>
      <c r="B1243" s="2"/>
      <c r="C1243" s="18"/>
      <c r="D1243" s="18"/>
      <c r="E1243" s="26"/>
      <c r="H1243" s="2"/>
      <c r="I1243" s="2"/>
      <c r="J1243" s="2"/>
      <c r="K1243" s="2"/>
      <c r="M1243" s="2"/>
      <c r="N1243" s="2"/>
      <c r="O1243" s="2"/>
    </row>
    <row r="1244">
      <c r="A1244" s="2"/>
      <c r="B1244" s="2"/>
      <c r="C1244" s="18"/>
      <c r="D1244" s="18"/>
      <c r="E1244" s="26"/>
      <c r="H1244" s="2"/>
      <c r="I1244" s="2"/>
      <c r="J1244" s="2"/>
      <c r="K1244" s="2"/>
      <c r="M1244" s="2"/>
      <c r="N1244" s="2"/>
      <c r="O1244" s="2"/>
    </row>
    <row r="1245">
      <c r="A1245" s="2"/>
      <c r="B1245" s="2"/>
      <c r="C1245" s="18"/>
      <c r="D1245" s="18"/>
      <c r="E1245" s="26"/>
      <c r="H1245" s="2"/>
      <c r="I1245" s="2"/>
      <c r="J1245" s="2"/>
      <c r="K1245" s="2"/>
    </row>
    <row r="1246">
      <c r="A1246" s="2"/>
      <c r="B1246" s="2"/>
      <c r="C1246" s="18"/>
      <c r="D1246" s="18"/>
      <c r="E1246" s="26"/>
      <c r="H1246" s="2"/>
      <c r="I1246" s="2"/>
      <c r="J1246" s="2"/>
      <c r="K1246" s="2"/>
      <c r="M1246" s="2"/>
      <c r="N1246" s="2"/>
      <c r="O1246" s="2"/>
    </row>
    <row r="1247">
      <c r="A1247" s="2"/>
      <c r="B1247" s="2"/>
      <c r="C1247" s="18"/>
      <c r="D1247" s="18"/>
      <c r="E1247" s="26"/>
      <c r="H1247" s="2"/>
      <c r="I1247" s="2"/>
      <c r="J1247" s="2"/>
      <c r="K1247" s="2"/>
    </row>
    <row r="1248">
      <c r="A1248" s="2"/>
      <c r="B1248" s="2"/>
      <c r="C1248" s="18"/>
      <c r="D1248" s="18"/>
      <c r="E1248" s="26"/>
      <c r="F1248" s="2"/>
      <c r="G1248" s="2"/>
      <c r="H1248" s="2"/>
      <c r="I1248" s="2"/>
      <c r="J1248" s="2"/>
      <c r="K1248" s="2"/>
      <c r="M1248" s="2"/>
      <c r="N1248" s="2"/>
      <c r="O1248" s="2"/>
    </row>
    <row r="1249">
      <c r="A1249" s="2"/>
      <c r="B1249" s="2"/>
      <c r="C1249" s="18"/>
      <c r="D1249" s="18"/>
      <c r="E1249" s="26"/>
      <c r="H1249" s="2"/>
      <c r="I1249" s="2"/>
      <c r="J1249" s="2"/>
      <c r="K1249" s="2"/>
      <c r="M1249" s="2"/>
      <c r="N1249" s="2"/>
      <c r="O1249" s="2"/>
    </row>
    <row r="1250">
      <c r="A1250" s="2"/>
      <c r="B1250" s="2"/>
      <c r="C1250" s="18"/>
      <c r="D1250" s="18"/>
      <c r="E1250" s="26"/>
      <c r="H1250" s="2"/>
      <c r="I1250" s="2"/>
      <c r="J1250" s="2"/>
      <c r="K1250" s="2"/>
      <c r="M1250" s="2"/>
      <c r="N1250" s="2"/>
      <c r="O1250" s="2"/>
    </row>
    <row r="1251">
      <c r="A1251" s="2"/>
      <c r="B1251" s="2"/>
      <c r="C1251" s="18"/>
      <c r="D1251" s="18"/>
      <c r="E1251" s="26"/>
      <c r="G1251" s="2"/>
      <c r="H1251" s="2"/>
      <c r="I1251" s="2"/>
      <c r="J1251" s="2"/>
      <c r="K1251" s="2"/>
      <c r="M1251" s="2"/>
      <c r="N1251" s="2"/>
      <c r="O1251" s="2"/>
    </row>
    <row r="1252">
      <c r="A1252" s="2"/>
      <c r="B1252" s="2"/>
      <c r="C1252" s="18"/>
      <c r="D1252" s="18"/>
      <c r="E1252" s="26"/>
      <c r="H1252" s="2"/>
      <c r="I1252" s="2"/>
      <c r="J1252" s="2"/>
      <c r="K1252" s="2"/>
    </row>
    <row r="1253">
      <c r="A1253" s="2"/>
      <c r="B1253" s="2"/>
      <c r="C1253" s="18"/>
      <c r="D1253" s="18"/>
      <c r="E1253" s="26"/>
      <c r="F1253" s="2"/>
      <c r="H1253" s="2"/>
      <c r="I1253" s="2"/>
      <c r="J1253" s="2"/>
      <c r="K1253" s="2"/>
      <c r="M1253" s="2"/>
      <c r="N1253" s="2"/>
      <c r="O1253" s="2"/>
    </row>
    <row r="1254">
      <c r="A1254" s="2"/>
      <c r="B1254" s="2"/>
      <c r="C1254" s="18"/>
      <c r="D1254" s="18"/>
      <c r="E1254" s="26"/>
      <c r="G1254" s="2"/>
      <c r="H1254" s="2"/>
      <c r="I1254" s="2"/>
      <c r="J1254" s="2"/>
      <c r="K1254" s="2"/>
      <c r="M1254" s="2"/>
      <c r="N1254" s="2"/>
      <c r="O1254" s="2"/>
    </row>
    <row r="1255">
      <c r="A1255" s="2"/>
      <c r="B1255" s="2"/>
      <c r="C1255" s="18"/>
      <c r="D1255" s="18"/>
      <c r="E1255" s="26"/>
      <c r="G1255" s="2"/>
      <c r="H1255" s="2"/>
      <c r="I1255" s="2"/>
      <c r="J1255" s="2"/>
      <c r="K1255" s="2"/>
      <c r="M1255" s="2"/>
      <c r="N1255" s="2"/>
      <c r="O1255" s="2"/>
    </row>
    <row r="1256">
      <c r="A1256" s="2"/>
      <c r="B1256" s="2"/>
      <c r="C1256" s="18"/>
      <c r="D1256" s="18"/>
      <c r="E1256" s="26"/>
      <c r="H1256" s="2"/>
      <c r="I1256" s="2"/>
      <c r="J1256" s="2"/>
      <c r="K1256" s="2"/>
      <c r="M1256" s="2"/>
      <c r="N1256" s="2"/>
      <c r="O1256" s="2"/>
    </row>
    <row r="1257">
      <c r="A1257" s="2"/>
      <c r="B1257" s="2"/>
      <c r="C1257" s="18"/>
      <c r="D1257" s="18"/>
      <c r="E1257" s="26"/>
      <c r="H1257" s="2"/>
      <c r="I1257" s="2"/>
      <c r="J1257" s="2"/>
      <c r="K1257" s="2"/>
    </row>
    <row r="1258">
      <c r="A1258" s="2"/>
      <c r="B1258" s="2"/>
      <c r="C1258" s="18"/>
      <c r="D1258" s="18"/>
      <c r="E1258" s="26"/>
      <c r="F1258" s="2"/>
      <c r="G1258" s="2"/>
      <c r="H1258" s="2"/>
      <c r="I1258" s="2"/>
      <c r="J1258" s="2"/>
      <c r="K1258" s="2"/>
      <c r="M1258" s="2"/>
      <c r="N1258" s="2"/>
      <c r="O1258" s="2"/>
    </row>
    <row r="1259">
      <c r="A1259" s="2"/>
      <c r="B1259" s="2"/>
      <c r="C1259" s="18"/>
      <c r="D1259" s="18"/>
      <c r="E1259" s="26"/>
      <c r="F1259" s="2"/>
      <c r="G1259" s="2"/>
      <c r="H1259" s="2"/>
      <c r="I1259" s="2"/>
      <c r="J1259" s="2"/>
      <c r="K1259" s="2"/>
      <c r="M1259" s="2"/>
      <c r="N1259" s="2"/>
      <c r="O1259" s="2"/>
    </row>
    <row r="1260">
      <c r="A1260" s="2"/>
      <c r="B1260" s="2"/>
      <c r="C1260" s="18"/>
      <c r="D1260" s="18"/>
      <c r="E1260" s="26"/>
      <c r="H1260" s="2"/>
      <c r="I1260" s="2"/>
      <c r="J1260" s="2"/>
      <c r="K1260" s="2"/>
      <c r="M1260" s="2"/>
      <c r="N1260" s="2"/>
      <c r="O1260" s="2"/>
    </row>
    <row r="1261">
      <c r="A1261" s="2"/>
      <c r="B1261" s="2"/>
      <c r="C1261" s="18"/>
      <c r="D1261" s="18"/>
      <c r="E1261" s="26"/>
      <c r="H1261" s="2"/>
      <c r="I1261" s="2"/>
      <c r="J1261" s="2"/>
      <c r="K1261" s="2"/>
      <c r="M1261" s="2"/>
      <c r="N1261" s="2"/>
      <c r="O1261" s="2"/>
    </row>
    <row r="1262">
      <c r="A1262" s="2"/>
      <c r="B1262" s="2"/>
      <c r="C1262" s="18"/>
      <c r="D1262" s="18"/>
      <c r="E1262" s="26"/>
      <c r="H1262" s="2"/>
      <c r="I1262" s="2"/>
      <c r="J1262" s="2"/>
      <c r="K1262" s="2"/>
    </row>
    <row r="1263">
      <c r="A1263" s="2"/>
      <c r="B1263" s="2"/>
      <c r="C1263" s="18"/>
      <c r="D1263" s="18"/>
      <c r="E1263" s="26"/>
      <c r="H1263" s="2"/>
      <c r="I1263" s="2"/>
      <c r="J1263" s="2"/>
      <c r="K1263" s="2"/>
    </row>
    <row r="1264">
      <c r="A1264" s="2"/>
      <c r="B1264" s="2"/>
      <c r="C1264" s="18"/>
      <c r="D1264" s="18"/>
      <c r="E1264" s="26"/>
      <c r="G1264" s="2"/>
      <c r="H1264" s="2"/>
      <c r="I1264" s="2"/>
      <c r="J1264" s="2"/>
      <c r="K1264" s="2"/>
      <c r="M1264" s="2"/>
      <c r="N1264" s="2"/>
      <c r="O1264" s="2"/>
    </row>
    <row r="1265">
      <c r="A1265" s="2"/>
      <c r="B1265" s="2"/>
      <c r="C1265" s="18"/>
      <c r="D1265" s="18"/>
      <c r="E1265" s="26"/>
      <c r="G1265" s="2"/>
      <c r="H1265" s="2"/>
      <c r="I1265" s="2"/>
      <c r="J1265" s="2"/>
      <c r="K1265" s="2"/>
      <c r="M1265" s="2"/>
      <c r="N1265" s="2"/>
      <c r="O1265" s="2"/>
    </row>
    <row r="1266">
      <c r="A1266" s="2"/>
      <c r="B1266" s="2"/>
      <c r="C1266" s="18"/>
      <c r="D1266" s="18"/>
      <c r="E1266" s="26"/>
      <c r="H1266" s="2"/>
      <c r="I1266" s="2"/>
      <c r="J1266" s="2"/>
      <c r="K1266" s="2"/>
      <c r="M1266" s="2"/>
      <c r="N1266" s="2"/>
      <c r="O1266" s="2"/>
    </row>
    <row r="1267">
      <c r="A1267" s="2"/>
      <c r="B1267" s="2"/>
      <c r="C1267" s="18"/>
      <c r="D1267" s="18"/>
      <c r="E1267" s="26"/>
      <c r="H1267" s="2"/>
      <c r="I1267" s="2"/>
      <c r="J1267" s="2"/>
      <c r="K1267" s="2"/>
      <c r="M1267" s="2"/>
      <c r="N1267" s="2"/>
      <c r="O1267" s="2"/>
    </row>
    <row r="1268">
      <c r="A1268" s="2"/>
      <c r="B1268" s="2"/>
      <c r="C1268" s="18"/>
      <c r="D1268" s="18"/>
      <c r="E1268" s="26"/>
      <c r="H1268" s="2"/>
      <c r="I1268" s="2"/>
      <c r="J1268" s="2"/>
      <c r="K1268" s="2"/>
      <c r="M1268" s="2"/>
      <c r="N1268" s="2"/>
      <c r="O1268" s="2"/>
    </row>
    <row r="1269">
      <c r="A1269" s="2"/>
      <c r="B1269" s="2"/>
      <c r="C1269" s="18"/>
      <c r="D1269" s="18"/>
      <c r="E1269" s="26"/>
      <c r="H1269" s="2"/>
      <c r="I1269" s="2"/>
      <c r="J1269" s="2"/>
      <c r="K1269" s="2"/>
    </row>
    <row r="1270">
      <c r="A1270" s="2"/>
      <c r="B1270" s="2"/>
      <c r="C1270" s="18"/>
      <c r="D1270" s="18"/>
      <c r="E1270" s="26"/>
      <c r="G1270" s="2"/>
      <c r="H1270" s="2"/>
      <c r="I1270" s="2"/>
      <c r="J1270" s="2"/>
      <c r="K1270" s="2"/>
      <c r="M1270" s="2"/>
      <c r="N1270" s="2"/>
      <c r="O1270" s="2"/>
    </row>
    <row r="1271">
      <c r="A1271" s="2"/>
      <c r="B1271" s="2"/>
      <c r="C1271" s="18"/>
      <c r="D1271" s="18"/>
      <c r="E1271" s="26"/>
      <c r="H1271" s="2"/>
      <c r="I1271" s="2"/>
      <c r="J1271" s="2"/>
      <c r="K1271" s="2"/>
    </row>
    <row r="1272">
      <c r="A1272" s="2"/>
      <c r="B1272" s="2"/>
      <c r="C1272" s="18"/>
      <c r="D1272" s="18"/>
      <c r="E1272" s="26"/>
      <c r="H1272" s="2"/>
      <c r="I1272" s="2"/>
      <c r="J1272" s="2"/>
      <c r="K1272" s="2"/>
      <c r="M1272" s="2"/>
      <c r="N1272" s="2"/>
      <c r="O1272" s="2"/>
    </row>
    <row r="1273">
      <c r="A1273" s="2"/>
      <c r="B1273" s="2"/>
      <c r="C1273" s="18"/>
      <c r="D1273" s="18"/>
      <c r="E1273" s="26"/>
      <c r="G1273" s="2"/>
      <c r="H1273" s="2"/>
      <c r="I1273" s="2"/>
      <c r="J1273" s="2"/>
      <c r="K1273" s="2"/>
      <c r="M1273" s="2"/>
      <c r="N1273" s="2"/>
      <c r="O1273" s="2"/>
    </row>
    <row r="1274">
      <c r="A1274" s="2"/>
      <c r="B1274" s="2"/>
      <c r="C1274" s="18"/>
      <c r="D1274" s="18"/>
      <c r="E1274" s="26"/>
      <c r="H1274" s="2"/>
      <c r="I1274" s="2"/>
      <c r="J1274" s="2"/>
      <c r="K1274" s="2"/>
    </row>
    <row r="1275">
      <c r="A1275" s="2"/>
      <c r="B1275" s="2"/>
      <c r="C1275" s="18"/>
      <c r="D1275" s="18"/>
      <c r="E1275" s="26"/>
      <c r="G1275" s="2"/>
      <c r="H1275" s="2"/>
      <c r="I1275" s="2"/>
      <c r="J1275" s="2"/>
      <c r="K1275" s="2"/>
      <c r="M1275" s="2"/>
      <c r="N1275" s="2"/>
      <c r="O1275" s="2"/>
    </row>
    <row r="1276">
      <c r="A1276" s="2"/>
      <c r="B1276" s="2"/>
      <c r="C1276" s="18"/>
      <c r="D1276" s="18"/>
      <c r="E1276" s="26"/>
      <c r="H1276" s="2"/>
      <c r="I1276" s="2"/>
      <c r="J1276" s="2"/>
      <c r="K1276" s="2"/>
      <c r="M1276" s="2"/>
      <c r="N1276" s="2"/>
      <c r="O1276" s="2"/>
    </row>
    <row r="1277">
      <c r="A1277" s="2"/>
      <c r="B1277" s="2"/>
      <c r="C1277" s="18"/>
      <c r="D1277" s="18"/>
      <c r="E1277" s="26"/>
      <c r="G1277" s="2"/>
      <c r="H1277" s="2"/>
      <c r="I1277" s="2"/>
      <c r="J1277" s="2"/>
      <c r="K1277" s="2"/>
      <c r="M1277" s="2"/>
      <c r="N1277" s="2"/>
      <c r="O1277" s="2"/>
    </row>
    <row r="1278">
      <c r="A1278" s="2"/>
      <c r="B1278" s="2"/>
      <c r="C1278" s="18"/>
      <c r="D1278" s="18"/>
      <c r="E1278" s="26"/>
      <c r="G1278" s="2"/>
      <c r="H1278" s="2"/>
      <c r="I1278" s="2"/>
      <c r="J1278" s="2"/>
      <c r="K1278" s="2"/>
      <c r="M1278" s="2"/>
      <c r="N1278" s="2"/>
      <c r="O1278" s="2"/>
    </row>
    <row r="1279">
      <c r="A1279" s="2"/>
      <c r="B1279" s="2"/>
      <c r="C1279" s="18"/>
      <c r="D1279" s="18"/>
      <c r="E1279" s="26"/>
      <c r="H1279" s="2"/>
      <c r="I1279" s="2"/>
      <c r="J1279" s="2"/>
      <c r="K1279" s="2"/>
    </row>
    <row r="1280">
      <c r="A1280" s="2"/>
      <c r="B1280" s="2"/>
      <c r="C1280" s="18"/>
      <c r="D1280" s="18"/>
      <c r="E1280" s="26"/>
      <c r="F1280" s="2"/>
      <c r="G1280" s="2"/>
      <c r="H1280" s="2"/>
      <c r="I1280" s="2"/>
      <c r="J1280" s="2"/>
      <c r="K1280" s="2"/>
      <c r="M1280" s="2"/>
      <c r="N1280" s="2"/>
      <c r="O1280" s="2"/>
    </row>
    <row r="1281">
      <c r="A1281" s="2"/>
      <c r="B1281" s="2"/>
      <c r="C1281" s="18"/>
      <c r="D1281" s="18"/>
      <c r="E1281" s="26"/>
      <c r="F1281" s="2"/>
      <c r="G1281" s="2"/>
      <c r="H1281" s="2"/>
      <c r="I1281" s="2"/>
      <c r="J1281" s="2"/>
      <c r="K1281" s="2"/>
      <c r="M1281" s="2"/>
      <c r="N1281" s="2"/>
      <c r="O1281" s="2"/>
    </row>
    <row r="1282">
      <c r="A1282" s="2"/>
      <c r="B1282" s="2"/>
      <c r="C1282" s="18"/>
      <c r="D1282" s="18"/>
      <c r="E1282" s="26"/>
      <c r="H1282" s="2"/>
      <c r="I1282" s="2"/>
      <c r="J1282" s="2"/>
      <c r="K1282" s="2"/>
      <c r="M1282" s="2"/>
      <c r="N1282" s="2"/>
      <c r="O1282" s="2"/>
    </row>
    <row r="1283">
      <c r="A1283" s="2"/>
      <c r="B1283" s="2"/>
      <c r="C1283" s="18"/>
      <c r="D1283" s="18"/>
      <c r="E1283" s="26"/>
      <c r="H1283" s="2"/>
      <c r="I1283" s="2"/>
      <c r="J1283" s="2"/>
      <c r="K1283" s="2"/>
      <c r="M1283" s="2"/>
      <c r="N1283" s="2"/>
      <c r="O1283" s="2"/>
    </row>
    <row r="1284">
      <c r="A1284" s="2"/>
      <c r="B1284" s="2"/>
      <c r="C1284" s="18"/>
      <c r="D1284" s="18"/>
      <c r="E1284" s="26"/>
      <c r="H1284" s="2"/>
      <c r="I1284" s="2"/>
      <c r="J1284" s="2"/>
      <c r="K1284" s="2"/>
    </row>
    <row r="1285">
      <c r="A1285" s="2"/>
      <c r="B1285" s="2"/>
      <c r="C1285" s="18"/>
      <c r="D1285" s="18"/>
      <c r="E1285" s="26"/>
      <c r="F1285" s="2"/>
      <c r="G1285" s="2"/>
      <c r="H1285" s="2"/>
      <c r="I1285" s="2"/>
      <c r="J1285" s="2"/>
      <c r="K1285" s="2"/>
      <c r="M1285" s="2"/>
      <c r="N1285" s="2"/>
      <c r="O1285" s="2"/>
    </row>
    <row r="1286">
      <c r="A1286" s="2"/>
      <c r="B1286" s="2"/>
      <c r="C1286" s="18"/>
      <c r="D1286" s="18"/>
      <c r="E1286" s="26"/>
      <c r="H1286" s="2"/>
      <c r="I1286" s="2"/>
      <c r="J1286" s="2"/>
      <c r="K1286" s="2"/>
    </row>
    <row r="1287">
      <c r="A1287" s="2"/>
      <c r="B1287" s="2"/>
      <c r="C1287" s="18"/>
      <c r="D1287" s="18"/>
      <c r="E1287" s="26"/>
      <c r="H1287" s="2"/>
      <c r="I1287" s="2"/>
      <c r="J1287" s="2"/>
      <c r="K1287" s="2"/>
      <c r="M1287" s="2"/>
      <c r="N1287" s="2"/>
      <c r="O1287" s="2"/>
    </row>
    <row r="1288">
      <c r="A1288" s="2"/>
      <c r="B1288" s="2"/>
      <c r="C1288" s="18"/>
      <c r="D1288" s="18"/>
      <c r="E1288" s="26"/>
      <c r="H1288" s="2"/>
      <c r="I1288" s="2"/>
      <c r="J1288" s="2"/>
      <c r="K1288" s="2"/>
      <c r="M1288" s="2"/>
      <c r="N1288" s="2"/>
      <c r="O1288" s="2"/>
    </row>
    <row r="1289">
      <c r="A1289" s="2"/>
      <c r="B1289" s="2"/>
      <c r="C1289" s="18"/>
      <c r="D1289" s="18"/>
      <c r="E1289" s="26"/>
      <c r="H1289" s="2"/>
      <c r="I1289" s="2"/>
      <c r="J1289" s="2"/>
      <c r="K1289" s="2"/>
    </row>
    <row r="1290">
      <c r="A1290" s="2"/>
      <c r="B1290" s="2"/>
      <c r="C1290" s="18"/>
      <c r="D1290" s="18"/>
      <c r="E1290" s="26"/>
      <c r="H1290" s="2"/>
      <c r="I1290" s="2"/>
      <c r="J1290" s="2"/>
      <c r="K1290" s="2"/>
    </row>
    <row r="1291">
      <c r="A1291" s="2"/>
      <c r="B1291" s="2"/>
      <c r="C1291" s="18"/>
      <c r="D1291" s="18"/>
      <c r="E1291" s="26"/>
      <c r="F1291" s="2"/>
      <c r="G1291" s="2"/>
      <c r="H1291" s="2"/>
      <c r="I1291" s="2"/>
      <c r="J1291" s="2"/>
      <c r="K1291" s="2"/>
      <c r="M1291" s="2"/>
      <c r="N1291" s="2"/>
      <c r="O1291" s="2"/>
    </row>
    <row r="1292">
      <c r="A1292" s="2"/>
      <c r="B1292" s="2"/>
      <c r="C1292" s="18"/>
      <c r="D1292" s="18"/>
      <c r="E1292" s="26"/>
      <c r="H1292" s="2"/>
      <c r="I1292" s="2"/>
      <c r="J1292" s="2"/>
      <c r="K1292" s="2"/>
      <c r="M1292" s="2"/>
      <c r="N1292" s="2"/>
      <c r="O1292" s="2"/>
    </row>
    <row r="1293">
      <c r="A1293" s="2"/>
      <c r="B1293" s="2"/>
      <c r="C1293" s="18"/>
      <c r="D1293" s="18"/>
      <c r="E1293" s="26"/>
      <c r="H1293" s="2"/>
      <c r="I1293" s="2"/>
      <c r="J1293" s="2"/>
      <c r="K1293" s="2"/>
      <c r="M1293" s="2"/>
      <c r="N1293" s="2"/>
      <c r="O1293" s="2"/>
    </row>
    <row r="1294">
      <c r="A1294" s="2"/>
      <c r="B1294" s="2"/>
      <c r="C1294" s="18"/>
      <c r="D1294" s="18"/>
      <c r="E1294" s="26"/>
      <c r="G1294" s="2"/>
      <c r="H1294" s="2"/>
      <c r="I1294" s="2"/>
      <c r="J1294" s="2"/>
      <c r="K1294" s="2"/>
      <c r="M1294" s="2"/>
      <c r="N1294" s="2"/>
      <c r="O1294" s="2"/>
    </row>
    <row r="1295">
      <c r="A1295" s="2"/>
      <c r="B1295" s="2"/>
      <c r="C1295" s="18"/>
      <c r="D1295" s="18"/>
      <c r="E1295" s="26"/>
      <c r="H1295" s="2"/>
      <c r="I1295" s="2"/>
      <c r="J1295" s="2"/>
      <c r="K1295" s="2"/>
    </row>
    <row r="1296">
      <c r="A1296" s="2"/>
      <c r="B1296" s="2"/>
      <c r="C1296" s="18"/>
      <c r="D1296" s="18"/>
      <c r="E1296" s="26"/>
      <c r="F1296" s="2"/>
      <c r="H1296" s="2"/>
      <c r="I1296" s="2"/>
      <c r="J1296" s="2"/>
      <c r="K1296" s="2"/>
      <c r="M1296" s="2"/>
      <c r="N1296" s="2"/>
      <c r="O1296" s="2"/>
    </row>
    <row r="1297">
      <c r="A1297" s="2"/>
      <c r="B1297" s="2"/>
      <c r="C1297" s="18"/>
      <c r="D1297" s="18"/>
      <c r="E1297" s="26"/>
      <c r="G1297" s="2"/>
      <c r="H1297" s="2"/>
      <c r="I1297" s="2"/>
      <c r="J1297" s="2"/>
      <c r="K1297" s="2"/>
      <c r="M1297" s="2"/>
      <c r="N1297" s="2"/>
      <c r="O1297" s="2"/>
    </row>
    <row r="1298">
      <c r="A1298" s="2"/>
      <c r="B1298" s="2"/>
      <c r="C1298" s="18"/>
      <c r="D1298" s="18"/>
      <c r="E1298" s="26"/>
      <c r="G1298" s="2"/>
      <c r="H1298" s="2"/>
      <c r="I1298" s="2"/>
      <c r="J1298" s="2"/>
      <c r="K1298" s="2"/>
      <c r="M1298" s="2"/>
      <c r="N1298" s="2"/>
      <c r="O1298" s="2"/>
    </row>
    <row r="1299">
      <c r="A1299" s="2"/>
      <c r="B1299" s="2"/>
      <c r="C1299" s="18"/>
      <c r="D1299" s="18"/>
      <c r="E1299" s="26"/>
      <c r="H1299" s="2"/>
      <c r="I1299" s="2"/>
      <c r="J1299" s="2"/>
      <c r="K1299" s="2"/>
      <c r="M1299" s="2"/>
      <c r="N1299" s="2"/>
      <c r="O1299" s="2"/>
    </row>
    <row r="1300">
      <c r="A1300" s="2"/>
      <c r="B1300" s="2"/>
      <c r="C1300" s="18"/>
      <c r="D1300" s="18"/>
      <c r="E1300" s="26"/>
      <c r="H1300" s="2"/>
      <c r="I1300" s="2"/>
      <c r="J1300" s="2"/>
      <c r="K1300" s="2"/>
    </row>
    <row r="1301">
      <c r="A1301" s="2"/>
      <c r="B1301" s="2"/>
      <c r="C1301" s="18"/>
      <c r="D1301" s="18"/>
      <c r="E1301" s="26"/>
      <c r="F1301" s="2"/>
      <c r="G1301" s="2"/>
      <c r="H1301" s="2"/>
      <c r="I1301" s="2"/>
      <c r="J1301" s="2"/>
      <c r="K1301" s="2"/>
      <c r="M1301" s="2"/>
      <c r="N1301" s="2"/>
      <c r="O1301" s="2"/>
    </row>
    <row r="1302">
      <c r="A1302" s="2"/>
      <c r="B1302" s="2"/>
      <c r="C1302" s="18"/>
      <c r="D1302" s="18"/>
      <c r="E1302" s="26"/>
      <c r="F1302" s="2"/>
      <c r="G1302" s="2"/>
      <c r="H1302" s="2"/>
      <c r="I1302" s="2"/>
      <c r="J1302" s="2"/>
      <c r="K1302" s="2"/>
      <c r="M1302" s="2"/>
      <c r="N1302" s="2"/>
      <c r="O1302" s="2"/>
    </row>
    <row r="1303">
      <c r="A1303" s="2"/>
      <c r="B1303" s="2"/>
      <c r="C1303" s="18"/>
      <c r="D1303" s="18"/>
      <c r="E1303" s="26"/>
      <c r="H1303" s="2"/>
      <c r="I1303" s="2"/>
      <c r="J1303" s="2"/>
      <c r="K1303" s="2"/>
      <c r="M1303" s="2"/>
      <c r="N1303" s="2"/>
      <c r="O1303" s="2"/>
    </row>
    <row r="1304">
      <c r="A1304" s="2"/>
      <c r="B1304" s="2"/>
      <c r="C1304" s="18"/>
      <c r="D1304" s="18"/>
      <c r="E1304" s="26"/>
      <c r="H1304" s="2"/>
      <c r="I1304" s="2"/>
      <c r="J1304" s="2"/>
      <c r="K1304" s="2"/>
      <c r="M1304" s="2"/>
      <c r="N1304" s="2"/>
      <c r="O1304" s="2"/>
    </row>
    <row r="1305">
      <c r="A1305" s="2"/>
      <c r="B1305" s="2"/>
      <c r="C1305" s="18"/>
      <c r="D1305" s="18"/>
      <c r="E1305" s="26"/>
      <c r="H1305" s="2"/>
      <c r="I1305" s="2"/>
      <c r="J1305" s="2"/>
      <c r="K1305" s="2"/>
    </row>
    <row r="1306">
      <c r="A1306" s="2"/>
      <c r="B1306" s="2"/>
      <c r="C1306" s="18"/>
      <c r="D1306" s="18"/>
      <c r="E1306" s="26"/>
      <c r="H1306" s="2"/>
      <c r="I1306" s="2"/>
      <c r="J1306" s="2"/>
      <c r="K1306" s="2"/>
    </row>
    <row r="1307">
      <c r="A1307" s="2"/>
      <c r="B1307" s="2"/>
      <c r="C1307" s="18"/>
      <c r="D1307" s="18"/>
      <c r="E1307" s="26"/>
      <c r="H1307" s="2"/>
      <c r="I1307" s="2"/>
      <c r="J1307" s="2"/>
      <c r="K1307" s="2"/>
      <c r="M1307" s="2"/>
      <c r="N1307" s="2"/>
      <c r="O1307" s="2"/>
    </row>
    <row r="1308">
      <c r="A1308" s="2"/>
      <c r="B1308" s="2"/>
      <c r="C1308" s="18"/>
      <c r="D1308" s="18"/>
      <c r="E1308" s="26"/>
      <c r="H1308" s="2"/>
      <c r="I1308" s="2"/>
      <c r="J1308" s="2"/>
      <c r="K1308" s="2"/>
      <c r="M1308" s="2"/>
      <c r="N1308" s="2"/>
      <c r="O1308" s="2"/>
    </row>
    <row r="1309">
      <c r="A1309" s="2"/>
      <c r="B1309" s="2"/>
      <c r="C1309" s="18"/>
      <c r="D1309" s="18"/>
      <c r="E1309" s="26"/>
      <c r="H1309" s="2"/>
      <c r="I1309" s="2"/>
      <c r="J1309" s="2"/>
      <c r="K1309" s="2"/>
      <c r="M1309" s="2"/>
      <c r="N1309" s="2"/>
      <c r="O1309" s="2"/>
    </row>
    <row r="1310">
      <c r="A1310" s="2"/>
      <c r="B1310" s="2"/>
      <c r="C1310" s="18"/>
      <c r="D1310" s="18"/>
      <c r="E1310" s="26"/>
      <c r="H1310" s="2"/>
      <c r="I1310" s="2"/>
      <c r="J1310" s="2"/>
      <c r="K1310" s="2"/>
      <c r="M1310" s="2"/>
      <c r="N1310" s="2"/>
      <c r="O1310" s="2"/>
    </row>
    <row r="1311">
      <c r="A1311" s="2"/>
      <c r="B1311" s="2"/>
      <c r="C1311" s="18"/>
      <c r="D1311" s="18"/>
      <c r="E1311" s="26"/>
      <c r="H1311" s="2"/>
      <c r="I1311" s="2"/>
      <c r="J1311" s="2"/>
      <c r="K1311" s="2"/>
      <c r="M1311" s="2"/>
      <c r="N1311" s="2"/>
      <c r="O1311" s="2"/>
    </row>
    <row r="1312">
      <c r="A1312" s="2"/>
      <c r="B1312" s="2"/>
      <c r="C1312" s="18"/>
      <c r="D1312" s="18"/>
      <c r="E1312" s="26"/>
      <c r="G1312" s="2"/>
      <c r="H1312" s="2"/>
      <c r="I1312" s="2"/>
      <c r="J1312" s="2"/>
      <c r="K1312" s="2"/>
      <c r="M1312" s="2"/>
      <c r="N1312" s="2"/>
      <c r="O1312" s="2"/>
    </row>
    <row r="1313">
      <c r="A1313" s="2"/>
      <c r="B1313" s="2"/>
      <c r="C1313" s="18"/>
      <c r="D1313" s="18"/>
      <c r="E1313" s="26"/>
      <c r="H1313" s="2"/>
      <c r="I1313" s="2"/>
      <c r="J1313" s="2"/>
      <c r="K1313" s="2"/>
    </row>
    <row r="1314">
      <c r="A1314" s="2"/>
      <c r="B1314" s="2"/>
      <c r="C1314" s="18"/>
      <c r="D1314" s="18"/>
      <c r="E1314" s="26"/>
      <c r="H1314" s="2"/>
      <c r="I1314" s="2"/>
      <c r="J1314" s="2"/>
      <c r="K1314" s="2"/>
      <c r="M1314" s="2"/>
      <c r="N1314" s="2"/>
      <c r="O1314" s="2"/>
    </row>
    <row r="1315">
      <c r="A1315" s="2"/>
      <c r="B1315" s="2"/>
      <c r="C1315" s="18"/>
      <c r="D1315" s="18"/>
      <c r="E1315" s="26"/>
      <c r="H1315" s="2"/>
      <c r="I1315" s="2"/>
      <c r="J1315" s="2"/>
      <c r="K1315" s="2"/>
    </row>
    <row r="1316">
      <c r="A1316" s="2"/>
      <c r="B1316" s="2"/>
      <c r="C1316" s="18"/>
      <c r="D1316" s="18"/>
      <c r="E1316" s="26"/>
      <c r="H1316" s="2"/>
      <c r="I1316" s="2"/>
      <c r="J1316" s="2"/>
      <c r="K1316" s="2"/>
      <c r="M1316" s="2"/>
      <c r="N1316" s="2"/>
      <c r="O1316" s="2"/>
    </row>
    <row r="1317">
      <c r="A1317" s="2"/>
      <c r="B1317" s="2"/>
      <c r="C1317" s="18"/>
      <c r="D1317" s="18"/>
      <c r="E1317" s="26"/>
      <c r="G1317" s="2"/>
      <c r="H1317" s="2"/>
      <c r="I1317" s="2"/>
      <c r="J1317" s="2"/>
      <c r="K1317" s="2"/>
      <c r="M1317" s="2"/>
      <c r="N1317" s="2"/>
      <c r="O1317" s="2"/>
    </row>
    <row r="1318">
      <c r="A1318" s="2"/>
      <c r="B1318" s="2"/>
      <c r="C1318" s="18"/>
      <c r="D1318" s="18"/>
      <c r="E1318" s="26"/>
      <c r="H1318" s="2"/>
      <c r="I1318" s="2"/>
      <c r="J1318" s="2"/>
      <c r="K1318" s="2"/>
    </row>
    <row r="1319">
      <c r="A1319" s="2"/>
      <c r="B1319" s="2"/>
      <c r="C1319" s="18"/>
      <c r="D1319" s="18"/>
      <c r="E1319" s="26"/>
      <c r="G1319" s="2"/>
      <c r="H1319" s="2"/>
      <c r="I1319" s="2"/>
      <c r="J1319" s="2"/>
      <c r="K1319" s="2"/>
      <c r="M1319" s="2"/>
      <c r="N1319" s="2"/>
      <c r="O1319" s="2"/>
    </row>
    <row r="1320">
      <c r="A1320" s="2"/>
      <c r="B1320" s="2"/>
      <c r="C1320" s="18"/>
      <c r="D1320" s="18"/>
      <c r="E1320" s="26"/>
      <c r="H1320" s="2"/>
      <c r="I1320" s="2"/>
      <c r="J1320" s="2"/>
      <c r="K1320" s="2"/>
      <c r="M1320" s="2"/>
      <c r="N1320" s="2"/>
      <c r="O1320" s="2"/>
    </row>
    <row r="1321">
      <c r="A1321" s="2"/>
      <c r="B1321" s="2"/>
      <c r="C1321" s="18"/>
      <c r="D1321" s="18"/>
      <c r="E1321" s="26"/>
      <c r="G1321" s="2"/>
      <c r="H1321" s="2"/>
      <c r="I1321" s="2"/>
      <c r="J1321" s="2"/>
      <c r="K1321" s="2"/>
      <c r="M1321" s="2"/>
      <c r="N1321" s="2"/>
      <c r="O1321" s="2"/>
    </row>
    <row r="1322">
      <c r="A1322" s="2"/>
      <c r="B1322" s="2"/>
      <c r="C1322" s="18"/>
      <c r="D1322" s="18"/>
      <c r="E1322" s="26"/>
      <c r="H1322" s="2"/>
      <c r="I1322" s="2"/>
      <c r="J1322" s="2"/>
      <c r="K1322" s="2"/>
    </row>
    <row r="1323">
      <c r="A1323" s="2"/>
      <c r="B1323" s="2"/>
      <c r="C1323" s="18"/>
      <c r="D1323" s="18"/>
      <c r="E1323" s="26"/>
      <c r="F1323" s="2"/>
      <c r="G1323" s="2"/>
      <c r="H1323" s="2"/>
      <c r="I1323" s="2"/>
      <c r="J1323" s="2"/>
      <c r="K1323" s="2"/>
      <c r="M1323" s="2"/>
      <c r="N1323" s="2"/>
      <c r="O1323" s="2"/>
    </row>
    <row r="1324">
      <c r="A1324" s="2"/>
      <c r="B1324" s="2"/>
      <c r="C1324" s="18"/>
      <c r="D1324" s="18"/>
      <c r="E1324" s="26"/>
      <c r="F1324" s="2"/>
      <c r="G1324" s="2"/>
      <c r="H1324" s="2"/>
      <c r="I1324" s="2"/>
      <c r="J1324" s="2"/>
      <c r="K1324" s="2"/>
      <c r="M1324" s="2"/>
      <c r="N1324" s="2"/>
      <c r="O1324" s="2"/>
    </row>
    <row r="1325">
      <c r="A1325" s="2"/>
      <c r="B1325" s="2"/>
      <c r="C1325" s="18"/>
      <c r="D1325" s="18"/>
      <c r="E1325" s="26"/>
      <c r="H1325" s="2"/>
      <c r="I1325" s="2"/>
      <c r="J1325" s="2"/>
      <c r="K1325" s="2"/>
      <c r="M1325" s="2"/>
      <c r="N1325" s="2"/>
      <c r="O1325" s="2"/>
    </row>
    <row r="1326">
      <c r="A1326" s="2"/>
      <c r="B1326" s="2"/>
      <c r="C1326" s="18"/>
      <c r="D1326" s="18"/>
      <c r="E1326" s="26"/>
      <c r="H1326" s="2"/>
      <c r="I1326" s="2"/>
      <c r="J1326" s="2"/>
      <c r="K1326" s="2"/>
      <c r="M1326" s="2"/>
      <c r="N1326" s="2"/>
      <c r="O1326" s="2"/>
    </row>
    <row r="1327">
      <c r="A1327" s="2"/>
      <c r="B1327" s="2"/>
      <c r="C1327" s="18"/>
      <c r="D1327" s="18"/>
      <c r="E1327" s="26"/>
      <c r="H1327" s="2"/>
      <c r="I1327" s="2"/>
      <c r="J1327" s="2"/>
      <c r="K1327" s="2"/>
    </row>
    <row r="1328">
      <c r="A1328" s="2"/>
      <c r="B1328" s="2"/>
      <c r="C1328" s="18"/>
      <c r="D1328" s="18"/>
      <c r="E1328" s="26"/>
      <c r="F1328" s="2"/>
      <c r="G1328" s="2"/>
      <c r="H1328" s="2"/>
      <c r="I1328" s="2"/>
      <c r="J1328" s="2"/>
      <c r="K1328" s="2"/>
      <c r="M1328" s="2"/>
      <c r="N1328" s="2"/>
      <c r="O1328" s="2"/>
    </row>
    <row r="1329">
      <c r="A1329" s="2"/>
      <c r="B1329" s="2"/>
      <c r="C1329" s="18"/>
      <c r="D1329" s="18"/>
      <c r="E1329" s="26"/>
      <c r="H1329" s="2"/>
      <c r="I1329" s="2"/>
      <c r="J1329" s="2"/>
      <c r="K1329" s="2"/>
    </row>
    <row r="1330">
      <c r="A1330" s="2"/>
      <c r="B1330" s="2"/>
      <c r="C1330" s="18"/>
      <c r="D1330" s="18"/>
      <c r="E1330" s="26"/>
      <c r="H1330" s="2"/>
      <c r="I1330" s="2"/>
      <c r="J1330" s="2"/>
      <c r="K1330" s="2"/>
      <c r="M1330" s="2"/>
      <c r="N1330" s="2"/>
      <c r="O1330" s="2"/>
    </row>
    <row r="1331">
      <c r="A1331" s="2"/>
      <c r="B1331" s="2"/>
      <c r="C1331" s="18"/>
      <c r="D1331" s="18"/>
      <c r="E1331" s="26"/>
      <c r="H1331" s="2"/>
      <c r="I1331" s="2"/>
      <c r="J1331" s="2"/>
      <c r="K1331" s="2"/>
      <c r="M1331" s="2"/>
      <c r="N1331" s="2"/>
      <c r="O1331" s="2"/>
    </row>
    <row r="1332">
      <c r="A1332" s="2"/>
      <c r="B1332" s="2"/>
      <c r="C1332" s="18"/>
      <c r="D1332" s="18"/>
      <c r="E1332" s="26"/>
      <c r="H1332" s="2"/>
      <c r="I1332" s="2"/>
      <c r="J1332" s="2"/>
      <c r="K1332" s="2"/>
      <c r="M1332" s="2"/>
      <c r="N1332" s="2"/>
      <c r="O1332" s="2"/>
    </row>
    <row r="1333">
      <c r="A1333" s="2"/>
      <c r="B1333" s="2"/>
      <c r="C1333" s="18"/>
      <c r="D1333" s="18"/>
      <c r="E1333" s="26"/>
      <c r="H1333" s="2"/>
      <c r="I1333" s="2"/>
      <c r="J1333" s="2"/>
      <c r="K1333" s="2"/>
    </row>
    <row r="1334">
      <c r="A1334" s="2"/>
      <c r="B1334" s="2"/>
      <c r="C1334" s="18"/>
      <c r="D1334" s="18"/>
      <c r="E1334" s="26"/>
      <c r="H1334" s="2"/>
      <c r="I1334" s="2"/>
      <c r="J1334" s="2"/>
      <c r="K1334" s="2"/>
    </row>
    <row r="1335">
      <c r="A1335" s="2"/>
      <c r="B1335" s="2"/>
      <c r="C1335" s="18"/>
      <c r="D1335" s="18"/>
      <c r="E1335" s="26"/>
      <c r="F1335" s="2"/>
      <c r="G1335" s="2"/>
      <c r="H1335" s="2"/>
      <c r="I1335" s="2"/>
      <c r="J1335" s="2"/>
      <c r="K1335" s="2"/>
      <c r="M1335" s="2"/>
      <c r="N1335" s="2"/>
      <c r="O1335" s="2"/>
    </row>
    <row r="1336">
      <c r="A1336" s="2"/>
      <c r="B1336" s="2"/>
      <c r="C1336" s="18"/>
      <c r="D1336" s="18"/>
      <c r="E1336" s="26"/>
      <c r="H1336" s="2"/>
      <c r="I1336" s="2"/>
      <c r="J1336" s="2"/>
      <c r="K1336" s="2"/>
      <c r="M1336" s="2"/>
      <c r="N1336" s="2"/>
      <c r="O1336" s="2"/>
    </row>
    <row r="1337">
      <c r="A1337" s="2"/>
      <c r="B1337" s="2"/>
      <c r="C1337" s="18"/>
      <c r="D1337" s="18"/>
      <c r="E1337" s="26"/>
      <c r="H1337" s="2"/>
      <c r="I1337" s="2"/>
      <c r="J1337" s="2"/>
      <c r="K1337" s="2"/>
      <c r="M1337" s="2"/>
      <c r="N1337" s="2"/>
      <c r="O1337" s="2"/>
    </row>
    <row r="1338">
      <c r="A1338" s="2"/>
      <c r="B1338" s="2"/>
      <c r="C1338" s="18"/>
      <c r="D1338" s="18"/>
      <c r="E1338" s="26"/>
      <c r="G1338" s="2"/>
      <c r="H1338" s="2"/>
      <c r="I1338" s="2"/>
      <c r="J1338" s="2"/>
      <c r="K1338" s="2"/>
      <c r="M1338" s="2"/>
      <c r="N1338" s="2"/>
      <c r="O1338" s="2"/>
    </row>
    <row r="1339">
      <c r="A1339" s="2"/>
      <c r="B1339" s="2"/>
      <c r="C1339" s="18"/>
      <c r="D1339" s="18"/>
      <c r="E1339" s="26"/>
      <c r="H1339" s="2"/>
      <c r="I1339" s="2"/>
      <c r="J1339" s="2"/>
      <c r="K1339" s="2"/>
    </row>
    <row r="1340">
      <c r="A1340" s="2"/>
      <c r="B1340" s="2"/>
      <c r="C1340" s="18"/>
      <c r="D1340" s="18"/>
      <c r="E1340" s="26"/>
      <c r="F1340" s="2"/>
      <c r="H1340" s="2"/>
      <c r="I1340" s="2"/>
      <c r="J1340" s="2"/>
      <c r="K1340" s="2"/>
      <c r="M1340" s="2"/>
      <c r="N1340" s="2"/>
      <c r="O1340" s="2"/>
    </row>
    <row r="1341">
      <c r="A1341" s="2"/>
      <c r="B1341" s="2"/>
      <c r="C1341" s="18"/>
      <c r="D1341" s="18"/>
      <c r="E1341" s="26"/>
      <c r="G1341" s="2"/>
      <c r="H1341" s="2"/>
      <c r="I1341" s="2"/>
      <c r="J1341" s="2"/>
      <c r="K1341" s="2"/>
      <c r="M1341" s="2"/>
      <c r="N1341" s="2"/>
      <c r="O1341" s="2"/>
    </row>
    <row r="1342">
      <c r="A1342" s="2"/>
      <c r="B1342" s="2"/>
      <c r="C1342" s="18"/>
      <c r="D1342" s="18"/>
      <c r="E1342" s="26"/>
      <c r="G1342" s="2"/>
      <c r="H1342" s="2"/>
      <c r="I1342" s="2"/>
      <c r="J1342" s="2"/>
      <c r="K1342" s="2"/>
      <c r="M1342" s="2"/>
      <c r="N1342" s="2"/>
      <c r="O1342" s="2"/>
    </row>
    <row r="1343">
      <c r="A1343" s="2"/>
      <c r="B1343" s="2"/>
      <c r="C1343" s="18"/>
      <c r="D1343" s="18"/>
      <c r="E1343" s="26"/>
      <c r="H1343" s="2"/>
      <c r="I1343" s="2"/>
      <c r="J1343" s="2"/>
      <c r="K1343" s="2"/>
      <c r="M1343" s="2"/>
      <c r="N1343" s="2"/>
      <c r="O1343" s="2"/>
    </row>
    <row r="1344">
      <c r="A1344" s="2"/>
      <c r="B1344" s="2"/>
      <c r="C1344" s="18"/>
      <c r="D1344" s="18"/>
      <c r="E1344" s="26"/>
      <c r="H1344" s="2"/>
      <c r="I1344" s="2"/>
      <c r="J1344" s="2"/>
      <c r="K1344" s="2"/>
    </row>
    <row r="1345">
      <c r="A1345" s="2"/>
      <c r="B1345" s="2"/>
      <c r="C1345" s="18"/>
      <c r="D1345" s="18"/>
      <c r="E1345" s="26"/>
      <c r="F1345" s="2"/>
      <c r="G1345" s="2"/>
      <c r="H1345" s="2"/>
      <c r="I1345" s="2"/>
      <c r="J1345" s="2"/>
      <c r="K1345" s="2"/>
      <c r="M1345" s="2"/>
      <c r="N1345" s="2"/>
      <c r="O1345" s="2"/>
    </row>
    <row r="1346">
      <c r="A1346" s="2"/>
      <c r="B1346" s="2"/>
      <c r="C1346" s="18"/>
      <c r="D1346" s="18"/>
      <c r="E1346" s="26"/>
      <c r="F1346" s="2"/>
      <c r="G1346" s="2"/>
      <c r="H1346" s="2"/>
      <c r="I1346" s="2"/>
      <c r="J1346" s="2"/>
      <c r="K1346" s="2"/>
      <c r="M1346" s="2"/>
      <c r="N1346" s="2"/>
      <c r="O1346" s="2"/>
    </row>
    <row r="1347">
      <c r="A1347" s="2"/>
      <c r="B1347" s="2"/>
      <c r="C1347" s="18"/>
      <c r="D1347" s="18"/>
      <c r="E1347" s="26"/>
      <c r="H1347" s="2"/>
      <c r="I1347" s="2"/>
      <c r="J1347" s="2"/>
      <c r="K1347" s="2"/>
      <c r="M1347" s="2"/>
      <c r="N1347" s="2"/>
      <c r="O1347" s="2"/>
    </row>
    <row r="1348">
      <c r="A1348" s="2"/>
      <c r="B1348" s="2"/>
      <c r="C1348" s="18"/>
      <c r="D1348" s="18"/>
      <c r="E1348" s="26"/>
      <c r="H1348" s="2"/>
      <c r="I1348" s="2"/>
      <c r="J1348" s="2"/>
      <c r="K1348" s="2"/>
      <c r="M1348" s="2"/>
      <c r="N1348" s="2"/>
      <c r="O1348" s="2"/>
    </row>
    <row r="1349">
      <c r="A1349" s="2"/>
      <c r="B1349" s="2"/>
      <c r="C1349" s="18"/>
      <c r="D1349" s="18"/>
      <c r="E1349" s="26"/>
      <c r="H1349" s="2"/>
      <c r="I1349" s="2"/>
      <c r="J1349" s="2"/>
      <c r="K1349" s="2"/>
    </row>
    <row r="1350">
      <c r="A1350" s="2"/>
      <c r="B1350" s="2"/>
      <c r="C1350" s="18"/>
      <c r="D1350" s="18"/>
      <c r="E1350" s="26"/>
      <c r="H1350" s="2"/>
      <c r="I1350" s="2"/>
      <c r="J1350" s="2"/>
      <c r="K1350" s="2"/>
    </row>
    <row r="1351">
      <c r="A1351" s="2"/>
      <c r="B1351" s="2"/>
      <c r="C1351" s="18"/>
      <c r="D1351" s="18"/>
      <c r="E1351" s="26"/>
      <c r="G1351" s="2"/>
      <c r="H1351" s="2"/>
      <c r="I1351" s="2"/>
      <c r="J1351" s="2"/>
      <c r="K1351" s="2"/>
      <c r="M1351" s="2"/>
      <c r="N1351" s="2"/>
      <c r="O1351" s="2"/>
    </row>
    <row r="1352">
      <c r="A1352" s="2"/>
      <c r="B1352" s="2"/>
      <c r="C1352" s="18"/>
      <c r="D1352" s="18"/>
      <c r="E1352" s="26"/>
      <c r="H1352" s="2"/>
      <c r="I1352" s="2"/>
      <c r="J1352" s="2"/>
      <c r="K1352" s="2"/>
      <c r="M1352" s="2"/>
      <c r="N1352" s="2"/>
      <c r="O1352" s="2"/>
    </row>
    <row r="1353">
      <c r="A1353" s="2"/>
      <c r="B1353" s="2"/>
      <c r="C1353" s="18"/>
      <c r="D1353" s="18"/>
      <c r="E1353" s="26"/>
      <c r="H1353" s="2"/>
      <c r="I1353" s="2"/>
      <c r="J1353" s="2"/>
      <c r="K1353" s="2"/>
      <c r="M1353" s="2"/>
      <c r="N1353" s="2"/>
      <c r="O1353" s="2"/>
    </row>
    <row r="1354">
      <c r="A1354" s="2"/>
      <c r="B1354" s="2"/>
      <c r="C1354" s="18"/>
      <c r="D1354" s="18"/>
      <c r="E1354" s="26"/>
      <c r="H1354" s="2"/>
      <c r="I1354" s="2"/>
      <c r="J1354" s="2"/>
      <c r="K1354" s="2"/>
      <c r="M1354" s="2"/>
      <c r="N1354" s="2"/>
      <c r="O1354" s="2"/>
    </row>
    <row r="1355">
      <c r="A1355" s="2"/>
      <c r="B1355" s="2"/>
      <c r="C1355" s="18"/>
      <c r="D1355" s="18"/>
      <c r="E1355" s="26"/>
      <c r="H1355" s="2"/>
      <c r="I1355" s="2"/>
      <c r="J1355" s="2"/>
      <c r="K1355" s="2"/>
    </row>
    <row r="1356">
      <c r="A1356" s="2"/>
      <c r="B1356" s="2"/>
      <c r="C1356" s="18"/>
      <c r="D1356" s="18"/>
      <c r="E1356" s="26"/>
      <c r="H1356" s="2"/>
      <c r="I1356" s="2"/>
      <c r="J1356" s="2"/>
      <c r="K1356" s="2"/>
      <c r="M1356" s="2"/>
      <c r="N1356" s="2"/>
      <c r="O1356" s="2"/>
    </row>
    <row r="1357">
      <c r="A1357" s="2"/>
      <c r="B1357" s="2"/>
      <c r="C1357" s="18"/>
      <c r="D1357" s="18"/>
      <c r="E1357" s="26"/>
      <c r="H1357" s="2"/>
      <c r="I1357" s="2"/>
      <c r="J1357" s="2"/>
      <c r="K1357" s="2"/>
    </row>
    <row r="1358">
      <c r="A1358" s="2"/>
      <c r="B1358" s="2"/>
      <c r="C1358" s="18"/>
      <c r="D1358" s="18"/>
      <c r="E1358" s="26"/>
      <c r="H1358" s="2"/>
      <c r="I1358" s="2"/>
      <c r="J1358" s="2"/>
      <c r="K1358" s="2"/>
      <c r="M1358" s="2"/>
      <c r="N1358" s="2"/>
      <c r="O1358" s="2"/>
    </row>
    <row r="1359">
      <c r="A1359" s="2"/>
      <c r="B1359" s="2"/>
      <c r="C1359" s="18"/>
      <c r="D1359" s="18"/>
      <c r="E1359" s="26"/>
      <c r="G1359" s="2"/>
      <c r="H1359" s="2"/>
      <c r="I1359" s="2"/>
      <c r="J1359" s="2"/>
      <c r="K1359" s="2"/>
      <c r="M1359" s="2"/>
      <c r="N1359" s="2"/>
      <c r="O1359" s="2"/>
    </row>
    <row r="1360">
      <c r="A1360" s="2"/>
      <c r="B1360" s="2"/>
      <c r="C1360" s="18"/>
      <c r="D1360" s="18"/>
      <c r="E1360" s="26"/>
      <c r="H1360" s="2"/>
      <c r="I1360" s="2"/>
      <c r="J1360" s="2"/>
      <c r="K1360" s="2"/>
    </row>
    <row r="1361">
      <c r="A1361" s="2"/>
      <c r="B1361" s="2"/>
      <c r="C1361" s="18"/>
      <c r="D1361" s="18"/>
      <c r="E1361" s="26"/>
      <c r="G1361" s="2"/>
      <c r="H1361" s="2"/>
      <c r="I1361" s="2"/>
      <c r="J1361" s="2"/>
      <c r="K1361" s="2"/>
      <c r="M1361" s="2"/>
      <c r="N1361" s="2"/>
      <c r="O1361" s="2"/>
    </row>
    <row r="1362">
      <c r="A1362" s="2"/>
      <c r="B1362" s="2"/>
      <c r="C1362" s="18"/>
      <c r="D1362" s="18"/>
      <c r="E1362" s="26"/>
      <c r="H1362" s="2"/>
      <c r="I1362" s="2"/>
      <c r="J1362" s="2"/>
      <c r="K1362" s="2"/>
      <c r="M1362" s="2"/>
      <c r="N1362" s="2"/>
      <c r="O1362" s="2"/>
    </row>
    <row r="1363">
      <c r="A1363" s="2"/>
      <c r="B1363" s="2"/>
      <c r="C1363" s="18"/>
      <c r="D1363" s="18"/>
      <c r="E1363" s="26"/>
      <c r="G1363" s="2"/>
      <c r="H1363" s="2"/>
      <c r="I1363" s="2"/>
      <c r="J1363" s="2"/>
      <c r="K1363" s="2"/>
      <c r="M1363" s="2"/>
      <c r="N1363" s="2"/>
      <c r="O1363" s="2"/>
    </row>
    <row r="1364">
      <c r="A1364" s="2"/>
      <c r="B1364" s="2"/>
      <c r="C1364" s="18"/>
      <c r="D1364" s="18"/>
      <c r="E1364" s="26"/>
      <c r="G1364" s="2"/>
      <c r="H1364" s="2"/>
      <c r="I1364" s="2"/>
      <c r="J1364" s="2"/>
      <c r="K1364" s="2"/>
      <c r="M1364" s="2"/>
      <c r="N1364" s="2"/>
      <c r="O1364" s="2"/>
    </row>
    <row r="1365">
      <c r="A1365" s="2"/>
      <c r="B1365" s="2"/>
      <c r="C1365" s="18"/>
      <c r="D1365" s="18"/>
      <c r="E1365" s="26"/>
      <c r="H1365" s="2"/>
      <c r="I1365" s="2"/>
      <c r="J1365" s="2"/>
      <c r="K1365" s="2"/>
    </row>
    <row r="1366">
      <c r="A1366" s="2"/>
      <c r="B1366" s="2"/>
      <c r="C1366" s="18"/>
      <c r="D1366" s="18"/>
      <c r="E1366" s="26"/>
      <c r="F1366" s="2"/>
      <c r="G1366" s="2"/>
      <c r="H1366" s="2"/>
      <c r="I1366" s="2"/>
      <c r="J1366" s="2"/>
      <c r="K1366" s="2"/>
      <c r="M1366" s="2"/>
      <c r="N1366" s="2"/>
      <c r="O1366" s="2"/>
    </row>
    <row r="1367">
      <c r="A1367" s="2"/>
      <c r="B1367" s="2"/>
      <c r="C1367" s="18"/>
      <c r="D1367" s="18"/>
      <c r="E1367" s="26"/>
      <c r="F1367" s="2"/>
      <c r="G1367" s="2"/>
      <c r="H1367" s="2"/>
      <c r="I1367" s="2"/>
      <c r="J1367" s="2"/>
      <c r="K1367" s="2"/>
      <c r="M1367" s="2"/>
      <c r="N1367" s="2"/>
      <c r="O1367" s="2"/>
    </row>
    <row r="1368">
      <c r="A1368" s="2"/>
      <c r="B1368" s="2"/>
      <c r="C1368" s="18"/>
      <c r="D1368" s="18"/>
      <c r="E1368" s="26"/>
      <c r="H1368" s="2"/>
      <c r="I1368" s="2"/>
      <c r="J1368" s="2"/>
      <c r="K1368" s="2"/>
      <c r="M1368" s="2"/>
      <c r="N1368" s="2"/>
      <c r="O1368" s="2"/>
    </row>
    <row r="1369">
      <c r="A1369" s="2"/>
      <c r="B1369" s="2"/>
      <c r="C1369" s="18"/>
      <c r="D1369" s="18"/>
      <c r="E1369" s="26"/>
      <c r="H1369" s="2"/>
      <c r="I1369" s="2"/>
      <c r="J1369" s="2"/>
      <c r="K1369" s="2"/>
      <c r="M1369" s="2"/>
      <c r="N1369" s="2"/>
      <c r="O1369" s="2"/>
    </row>
    <row r="1370">
      <c r="A1370" s="2"/>
      <c r="B1370" s="2"/>
      <c r="C1370" s="18"/>
      <c r="D1370" s="18"/>
      <c r="E1370" s="26"/>
      <c r="H1370" s="2"/>
      <c r="I1370" s="2"/>
      <c r="J1370" s="2"/>
      <c r="K1370" s="2"/>
    </row>
    <row r="1371">
      <c r="A1371" s="2"/>
      <c r="B1371" s="2"/>
      <c r="C1371" s="18"/>
      <c r="D1371" s="18"/>
      <c r="E1371" s="26"/>
      <c r="F1371" s="2"/>
      <c r="G1371" s="2"/>
      <c r="H1371" s="2"/>
      <c r="I1371" s="2"/>
      <c r="J1371" s="2"/>
      <c r="K1371" s="2"/>
      <c r="M1371" s="2"/>
      <c r="N1371" s="2"/>
      <c r="O1371" s="2"/>
    </row>
    <row r="1372">
      <c r="A1372" s="2"/>
      <c r="B1372" s="2"/>
      <c r="C1372" s="18"/>
      <c r="D1372" s="18"/>
      <c r="E1372" s="26"/>
      <c r="H1372" s="2"/>
      <c r="I1372" s="2"/>
      <c r="J1372" s="2"/>
      <c r="K1372" s="2"/>
    </row>
    <row r="1373">
      <c r="A1373" s="2"/>
      <c r="B1373" s="2"/>
      <c r="C1373" s="18"/>
      <c r="D1373" s="18"/>
      <c r="E1373" s="26"/>
      <c r="G1373" s="2"/>
      <c r="H1373" s="2"/>
      <c r="I1373" s="2"/>
      <c r="J1373" s="2"/>
      <c r="K1373" s="2"/>
      <c r="M1373" s="2"/>
      <c r="N1373" s="2"/>
      <c r="O1373" s="2"/>
    </row>
    <row r="1374">
      <c r="A1374" s="2"/>
      <c r="B1374" s="2"/>
      <c r="C1374" s="18"/>
      <c r="D1374" s="18"/>
      <c r="E1374" s="26"/>
      <c r="H1374" s="2"/>
      <c r="I1374" s="2"/>
      <c r="J1374" s="2"/>
      <c r="K1374" s="2"/>
      <c r="M1374" s="2"/>
      <c r="N1374" s="2"/>
      <c r="O1374" s="2"/>
    </row>
    <row r="1375">
      <c r="A1375" s="2"/>
      <c r="B1375" s="2"/>
      <c r="C1375" s="18"/>
      <c r="D1375" s="18"/>
      <c r="E1375" s="26"/>
      <c r="H1375" s="2"/>
      <c r="I1375" s="2"/>
      <c r="J1375" s="2"/>
      <c r="K1375" s="2"/>
      <c r="M1375" s="2"/>
      <c r="N1375" s="2"/>
      <c r="O1375" s="2"/>
    </row>
    <row r="1376">
      <c r="A1376" s="2"/>
      <c r="B1376" s="2"/>
      <c r="C1376" s="18"/>
      <c r="D1376" s="18"/>
      <c r="E1376" s="26"/>
      <c r="H1376" s="2"/>
      <c r="I1376" s="2"/>
      <c r="J1376" s="2"/>
      <c r="K1376" s="2"/>
    </row>
    <row r="1377">
      <c r="A1377" s="2"/>
      <c r="B1377" s="2"/>
      <c r="C1377" s="18"/>
      <c r="D1377" s="18"/>
      <c r="E1377" s="26"/>
      <c r="G1377" s="2"/>
      <c r="H1377" s="2"/>
      <c r="I1377" s="2"/>
      <c r="J1377" s="2"/>
      <c r="K1377" s="2"/>
      <c r="M1377" s="2"/>
      <c r="N1377" s="2"/>
      <c r="O1377" s="2"/>
    </row>
    <row r="1378">
      <c r="A1378" s="2"/>
      <c r="B1378" s="2"/>
      <c r="C1378" s="18"/>
      <c r="D1378" s="18"/>
      <c r="E1378" s="26"/>
      <c r="H1378" s="2"/>
      <c r="I1378" s="2"/>
      <c r="J1378" s="2"/>
      <c r="K1378" s="2"/>
    </row>
    <row r="1379">
      <c r="A1379" s="2"/>
      <c r="B1379" s="2"/>
      <c r="C1379" s="18"/>
      <c r="D1379" s="18"/>
      <c r="E1379" s="26"/>
      <c r="F1379" s="2"/>
      <c r="G1379" s="2"/>
      <c r="H1379" s="2"/>
      <c r="I1379" s="2"/>
      <c r="J1379" s="2"/>
      <c r="K1379" s="2"/>
      <c r="M1379" s="2"/>
      <c r="N1379" s="2"/>
      <c r="O1379" s="2"/>
    </row>
    <row r="1380">
      <c r="A1380" s="2"/>
      <c r="B1380" s="2"/>
      <c r="C1380" s="18"/>
      <c r="D1380" s="18"/>
      <c r="E1380" s="26"/>
      <c r="H1380" s="2"/>
      <c r="I1380" s="2"/>
      <c r="J1380" s="2"/>
      <c r="K1380" s="2"/>
      <c r="M1380" s="2"/>
      <c r="N1380" s="2"/>
      <c r="O1380" s="2"/>
    </row>
    <row r="1381">
      <c r="A1381" s="2"/>
      <c r="B1381" s="2"/>
      <c r="C1381" s="18"/>
      <c r="D1381" s="18"/>
      <c r="E1381" s="26"/>
      <c r="H1381" s="2"/>
      <c r="I1381" s="2"/>
      <c r="J1381" s="2"/>
      <c r="K1381" s="2"/>
      <c r="M1381" s="2"/>
      <c r="N1381" s="2"/>
      <c r="O1381" s="2"/>
    </row>
    <row r="1382">
      <c r="A1382" s="2"/>
      <c r="B1382" s="2"/>
      <c r="C1382" s="18"/>
      <c r="D1382" s="18"/>
      <c r="E1382" s="26"/>
      <c r="G1382" s="2"/>
      <c r="H1382" s="2"/>
      <c r="I1382" s="2"/>
      <c r="J1382" s="2"/>
      <c r="K1382" s="2"/>
      <c r="M1382" s="2"/>
      <c r="N1382" s="2"/>
      <c r="O1382" s="2"/>
    </row>
    <row r="1383">
      <c r="A1383" s="2"/>
      <c r="B1383" s="2"/>
      <c r="C1383" s="18"/>
      <c r="D1383" s="18"/>
      <c r="E1383" s="26"/>
      <c r="H1383" s="2"/>
      <c r="I1383" s="2"/>
      <c r="J1383" s="2"/>
      <c r="K1383" s="2"/>
    </row>
    <row r="1384">
      <c r="A1384" s="2"/>
      <c r="B1384" s="2"/>
      <c r="C1384" s="18"/>
      <c r="D1384" s="18"/>
      <c r="E1384" s="26"/>
      <c r="F1384" s="2"/>
      <c r="H1384" s="2"/>
      <c r="I1384" s="2"/>
      <c r="J1384" s="2"/>
      <c r="K1384" s="2"/>
      <c r="M1384" s="2"/>
      <c r="N1384" s="2"/>
      <c r="O1384" s="2"/>
    </row>
    <row r="1385">
      <c r="A1385" s="2"/>
      <c r="B1385" s="2"/>
      <c r="C1385" s="18"/>
      <c r="D1385" s="18"/>
      <c r="E1385" s="26"/>
      <c r="G1385" s="2"/>
      <c r="H1385" s="2"/>
      <c r="I1385" s="2"/>
      <c r="J1385" s="2"/>
      <c r="K1385" s="2"/>
      <c r="M1385" s="2"/>
      <c r="N1385" s="2"/>
      <c r="O1385" s="2"/>
    </row>
    <row r="1386">
      <c r="A1386" s="2"/>
      <c r="B1386" s="2"/>
      <c r="C1386" s="18"/>
      <c r="D1386" s="18"/>
      <c r="E1386" s="26"/>
      <c r="G1386" s="2"/>
      <c r="H1386" s="2"/>
      <c r="I1386" s="2"/>
      <c r="J1386" s="2"/>
      <c r="K1386" s="2"/>
      <c r="M1386" s="2"/>
      <c r="N1386" s="2"/>
      <c r="O1386" s="2"/>
    </row>
    <row r="1387">
      <c r="A1387" s="2"/>
      <c r="B1387" s="2"/>
      <c r="C1387" s="18"/>
      <c r="D1387" s="18"/>
      <c r="E1387" s="26"/>
      <c r="H1387" s="2"/>
      <c r="I1387" s="2"/>
      <c r="J1387" s="2"/>
      <c r="K1387" s="2"/>
      <c r="M1387" s="2"/>
      <c r="N1387" s="2"/>
      <c r="O1387" s="2"/>
    </row>
    <row r="1388">
      <c r="A1388" s="2"/>
      <c r="B1388" s="2"/>
      <c r="C1388" s="18"/>
      <c r="D1388" s="18"/>
      <c r="E1388" s="26"/>
      <c r="H1388" s="2"/>
      <c r="I1388" s="2"/>
      <c r="J1388" s="2"/>
      <c r="K1388" s="2"/>
    </row>
    <row r="1389">
      <c r="A1389" s="2"/>
      <c r="B1389" s="2"/>
      <c r="C1389" s="18"/>
      <c r="D1389" s="18"/>
      <c r="E1389" s="26"/>
      <c r="F1389" s="2"/>
      <c r="G1389" s="2"/>
      <c r="H1389" s="2"/>
      <c r="I1389" s="2"/>
      <c r="J1389" s="2"/>
      <c r="K1389" s="2"/>
      <c r="M1389" s="2"/>
      <c r="N1389" s="2"/>
      <c r="O1389" s="2"/>
    </row>
    <row r="1390">
      <c r="A1390" s="2"/>
      <c r="B1390" s="2"/>
      <c r="C1390" s="18"/>
      <c r="D1390" s="18"/>
      <c r="E1390" s="26"/>
      <c r="F1390" s="2"/>
      <c r="G1390" s="2"/>
      <c r="H1390" s="2"/>
      <c r="I1390" s="2"/>
      <c r="J1390" s="2"/>
      <c r="K1390" s="2"/>
      <c r="M1390" s="2"/>
      <c r="N1390" s="2"/>
      <c r="O1390" s="2"/>
    </row>
    <row r="1391">
      <c r="A1391" s="2"/>
      <c r="B1391" s="2"/>
      <c r="C1391" s="18"/>
      <c r="D1391" s="18"/>
      <c r="E1391" s="26"/>
      <c r="H1391" s="2"/>
      <c r="I1391" s="2"/>
      <c r="J1391" s="2"/>
      <c r="K1391" s="2"/>
      <c r="M1391" s="2"/>
      <c r="N1391" s="2"/>
      <c r="O1391" s="2"/>
    </row>
    <row r="1392">
      <c r="A1392" s="2"/>
      <c r="B1392" s="2"/>
      <c r="C1392" s="18"/>
      <c r="D1392" s="18"/>
      <c r="E1392" s="26"/>
      <c r="H1392" s="2"/>
      <c r="I1392" s="2"/>
      <c r="J1392" s="2"/>
      <c r="K1392" s="2"/>
      <c r="M1392" s="2"/>
      <c r="N1392" s="2"/>
      <c r="O1392" s="2"/>
    </row>
    <row r="1393">
      <c r="A1393" s="2"/>
      <c r="B1393" s="2"/>
      <c r="C1393" s="18"/>
      <c r="D1393" s="18"/>
      <c r="E1393" s="26"/>
      <c r="H1393" s="2"/>
      <c r="I1393" s="2"/>
      <c r="J1393" s="2"/>
      <c r="K1393" s="2"/>
    </row>
    <row r="1394">
      <c r="A1394" s="2"/>
      <c r="B1394" s="2"/>
      <c r="C1394" s="18"/>
      <c r="D1394" s="18"/>
      <c r="E1394" s="26"/>
      <c r="H1394" s="2"/>
      <c r="I1394" s="2"/>
      <c r="J1394" s="2"/>
      <c r="K1394" s="2"/>
    </row>
    <row r="1395">
      <c r="A1395" s="2"/>
      <c r="B1395" s="2"/>
      <c r="C1395" s="18"/>
      <c r="D1395" s="18"/>
      <c r="E1395" s="26"/>
      <c r="H1395" s="2"/>
      <c r="I1395" s="2"/>
      <c r="J1395" s="2"/>
      <c r="K1395" s="2"/>
      <c r="M1395" s="2"/>
      <c r="N1395" s="2"/>
      <c r="O1395" s="2"/>
    </row>
    <row r="1396">
      <c r="A1396" s="2"/>
      <c r="B1396" s="2"/>
      <c r="C1396" s="18"/>
      <c r="D1396" s="18"/>
      <c r="E1396" s="26"/>
      <c r="G1396" s="2"/>
      <c r="H1396" s="2"/>
      <c r="I1396" s="2"/>
      <c r="J1396" s="2"/>
      <c r="K1396" s="2"/>
      <c r="M1396" s="2"/>
      <c r="N1396" s="2"/>
      <c r="O1396" s="2"/>
    </row>
    <row r="1397">
      <c r="A1397" s="2"/>
      <c r="B1397" s="2"/>
      <c r="C1397" s="18"/>
      <c r="D1397" s="18"/>
      <c r="E1397" s="26"/>
      <c r="H1397" s="2"/>
      <c r="I1397" s="2"/>
      <c r="J1397" s="2"/>
      <c r="K1397" s="2"/>
      <c r="M1397" s="2"/>
      <c r="N1397" s="2"/>
      <c r="O1397" s="2"/>
    </row>
    <row r="1398">
      <c r="A1398" s="2"/>
      <c r="B1398" s="2"/>
      <c r="C1398" s="18"/>
      <c r="D1398" s="18"/>
      <c r="E1398" s="26"/>
      <c r="H1398" s="2"/>
      <c r="I1398" s="2"/>
      <c r="J1398" s="2"/>
      <c r="K1398" s="2"/>
      <c r="M1398" s="2"/>
      <c r="N1398" s="2"/>
      <c r="O1398" s="2"/>
    </row>
    <row r="1399">
      <c r="A1399" s="2"/>
      <c r="B1399" s="2"/>
      <c r="C1399" s="18"/>
      <c r="D1399" s="18"/>
      <c r="E1399" s="26"/>
      <c r="H1399" s="2"/>
      <c r="I1399" s="2"/>
      <c r="J1399" s="2"/>
      <c r="K1399" s="2"/>
      <c r="M1399" s="2"/>
      <c r="N1399" s="2"/>
      <c r="O1399" s="2"/>
    </row>
    <row r="1400">
      <c r="A1400" s="2"/>
      <c r="B1400" s="2"/>
      <c r="C1400" s="18"/>
      <c r="D1400" s="18"/>
      <c r="E1400" s="26"/>
      <c r="H1400" s="2"/>
      <c r="I1400" s="2"/>
      <c r="J1400" s="2"/>
      <c r="K1400" s="2"/>
      <c r="M1400" s="2"/>
      <c r="N1400" s="2"/>
      <c r="O1400" s="2"/>
    </row>
    <row r="1401">
      <c r="A1401" s="2"/>
      <c r="B1401" s="2"/>
      <c r="C1401" s="18"/>
      <c r="D1401" s="18"/>
      <c r="E1401" s="26"/>
      <c r="H1401" s="2"/>
      <c r="I1401" s="2"/>
      <c r="J1401" s="2"/>
      <c r="K1401" s="2"/>
    </row>
    <row r="1402">
      <c r="A1402" s="2"/>
      <c r="B1402" s="2"/>
      <c r="C1402" s="18"/>
      <c r="D1402" s="18"/>
      <c r="E1402" s="26"/>
      <c r="H1402" s="2"/>
      <c r="I1402" s="2"/>
      <c r="J1402" s="2"/>
      <c r="K1402" s="2"/>
    </row>
    <row r="1403">
      <c r="A1403" s="2"/>
      <c r="B1403" s="2"/>
      <c r="C1403" s="18"/>
      <c r="D1403" s="18"/>
      <c r="E1403" s="26"/>
      <c r="H1403" s="2"/>
      <c r="I1403" s="2"/>
      <c r="J1403" s="2"/>
      <c r="K1403" s="2"/>
      <c r="M1403" s="2"/>
      <c r="N1403" s="2"/>
      <c r="O1403" s="2"/>
    </row>
    <row r="1404">
      <c r="A1404" s="2"/>
      <c r="B1404" s="2"/>
      <c r="C1404" s="18"/>
      <c r="D1404" s="18"/>
      <c r="E1404" s="26"/>
      <c r="G1404" s="2"/>
      <c r="H1404" s="2"/>
      <c r="I1404" s="2"/>
      <c r="J1404" s="2"/>
      <c r="K1404" s="2"/>
      <c r="M1404" s="2"/>
      <c r="N1404" s="2"/>
      <c r="O1404" s="2"/>
    </row>
    <row r="1405">
      <c r="A1405" s="2"/>
      <c r="B1405" s="2"/>
      <c r="C1405" s="18"/>
      <c r="D1405" s="18"/>
      <c r="E1405" s="26"/>
      <c r="H1405" s="2"/>
      <c r="I1405" s="2"/>
      <c r="J1405" s="2"/>
      <c r="K1405" s="2"/>
    </row>
    <row r="1406">
      <c r="A1406" s="2"/>
      <c r="B1406" s="2"/>
      <c r="C1406" s="18"/>
      <c r="D1406" s="18"/>
      <c r="E1406" s="26"/>
      <c r="G1406" s="2"/>
      <c r="H1406" s="2"/>
      <c r="I1406" s="2"/>
      <c r="J1406" s="2"/>
      <c r="K1406" s="2"/>
      <c r="M1406" s="2"/>
      <c r="N1406" s="2"/>
      <c r="O1406" s="2"/>
    </row>
    <row r="1407">
      <c r="A1407" s="2"/>
      <c r="B1407" s="2"/>
      <c r="C1407" s="18"/>
      <c r="D1407" s="18"/>
      <c r="E1407" s="26"/>
      <c r="H1407" s="2"/>
      <c r="I1407" s="2"/>
      <c r="J1407" s="2"/>
      <c r="K1407" s="2"/>
      <c r="M1407" s="2"/>
      <c r="N1407" s="2"/>
      <c r="O1407" s="2"/>
    </row>
    <row r="1408">
      <c r="A1408" s="2"/>
      <c r="B1408" s="2"/>
      <c r="C1408" s="18"/>
      <c r="D1408" s="18"/>
      <c r="E1408" s="26"/>
      <c r="G1408" s="2"/>
      <c r="H1408" s="2"/>
      <c r="I1408" s="2"/>
      <c r="J1408" s="2"/>
      <c r="K1408" s="2"/>
      <c r="M1408" s="2"/>
      <c r="N1408" s="2"/>
      <c r="O1408" s="2"/>
    </row>
    <row r="1409">
      <c r="A1409" s="2"/>
      <c r="B1409" s="2"/>
      <c r="C1409" s="18"/>
      <c r="D1409" s="18"/>
      <c r="E1409" s="26"/>
      <c r="H1409" s="2"/>
      <c r="I1409" s="2"/>
      <c r="J1409" s="2"/>
      <c r="K1409" s="2"/>
    </row>
    <row r="1410">
      <c r="A1410" s="2"/>
      <c r="B1410" s="2"/>
      <c r="C1410" s="18"/>
      <c r="D1410" s="18"/>
      <c r="E1410" s="26"/>
      <c r="F1410" s="2"/>
      <c r="G1410" s="2"/>
      <c r="H1410" s="2"/>
      <c r="I1410" s="2"/>
      <c r="J1410" s="2"/>
      <c r="K1410" s="2"/>
      <c r="M1410" s="2"/>
      <c r="N1410" s="2"/>
      <c r="O1410" s="2"/>
    </row>
    <row r="1411">
      <c r="A1411" s="2"/>
      <c r="B1411" s="2"/>
      <c r="C1411" s="18"/>
      <c r="D1411" s="18"/>
      <c r="E1411" s="26"/>
      <c r="F1411" s="2"/>
      <c r="G1411" s="2"/>
      <c r="H1411" s="2"/>
      <c r="I1411" s="2"/>
      <c r="J1411" s="2"/>
      <c r="K1411" s="2"/>
      <c r="M1411" s="2"/>
      <c r="N1411" s="2"/>
      <c r="O1411" s="2"/>
    </row>
    <row r="1412">
      <c r="A1412" s="2"/>
      <c r="B1412" s="2"/>
      <c r="C1412" s="18"/>
      <c r="D1412" s="18"/>
      <c r="E1412" s="26"/>
      <c r="H1412" s="2"/>
      <c r="I1412" s="2"/>
      <c r="J1412" s="2"/>
      <c r="K1412" s="2"/>
      <c r="M1412" s="2"/>
      <c r="N1412" s="2"/>
      <c r="O1412" s="2"/>
    </row>
    <row r="1413">
      <c r="A1413" s="2"/>
      <c r="B1413" s="2"/>
      <c r="C1413" s="18"/>
      <c r="D1413" s="18"/>
      <c r="E1413" s="26"/>
      <c r="H1413" s="2"/>
      <c r="I1413" s="2"/>
      <c r="J1413" s="2"/>
      <c r="K1413" s="2"/>
      <c r="M1413" s="2"/>
      <c r="N1413" s="2"/>
      <c r="O1413" s="2"/>
    </row>
    <row r="1414">
      <c r="A1414" s="2"/>
      <c r="B1414" s="2"/>
      <c r="C1414" s="18"/>
      <c r="D1414" s="18"/>
      <c r="E1414" s="26"/>
      <c r="H1414" s="2"/>
      <c r="I1414" s="2"/>
      <c r="J1414" s="2"/>
      <c r="K1414" s="2"/>
    </row>
    <row r="1415">
      <c r="A1415" s="2"/>
      <c r="B1415" s="2"/>
      <c r="C1415" s="18"/>
      <c r="D1415" s="18"/>
      <c r="E1415" s="26"/>
      <c r="F1415" s="2"/>
      <c r="G1415" s="2"/>
      <c r="H1415" s="2"/>
      <c r="I1415" s="2"/>
      <c r="J1415" s="2"/>
      <c r="K1415" s="2"/>
      <c r="M1415" s="2"/>
      <c r="N1415" s="2"/>
      <c r="O1415" s="2"/>
    </row>
    <row r="1416">
      <c r="A1416" s="2"/>
      <c r="B1416" s="2"/>
      <c r="C1416" s="18"/>
      <c r="D1416" s="18"/>
      <c r="E1416" s="26"/>
      <c r="H1416" s="2"/>
      <c r="I1416" s="2"/>
      <c r="J1416" s="2"/>
      <c r="K1416" s="2"/>
    </row>
    <row r="1417">
      <c r="A1417" s="2"/>
      <c r="B1417" s="2"/>
      <c r="C1417" s="18"/>
      <c r="D1417" s="18"/>
      <c r="E1417" s="26"/>
      <c r="F1417" s="2"/>
      <c r="H1417" s="2"/>
      <c r="I1417" s="2"/>
      <c r="J1417" s="2"/>
      <c r="K1417" s="2"/>
      <c r="M1417" s="2"/>
      <c r="N1417" s="2"/>
      <c r="O1417" s="2"/>
    </row>
    <row r="1418">
      <c r="A1418" s="2"/>
      <c r="B1418" s="2"/>
      <c r="C1418" s="18"/>
      <c r="D1418" s="18"/>
      <c r="E1418" s="26"/>
      <c r="H1418" s="2"/>
      <c r="I1418" s="2"/>
      <c r="J1418" s="2"/>
      <c r="K1418" s="2"/>
      <c r="M1418" s="2"/>
      <c r="N1418" s="2"/>
      <c r="O1418" s="2"/>
    </row>
    <row r="1419">
      <c r="A1419" s="2"/>
      <c r="B1419" s="2"/>
      <c r="C1419" s="18"/>
      <c r="D1419" s="18"/>
      <c r="E1419" s="26"/>
      <c r="H1419" s="2"/>
      <c r="I1419" s="2"/>
      <c r="J1419" s="2"/>
      <c r="K1419" s="2"/>
      <c r="M1419" s="2"/>
      <c r="N1419" s="2"/>
      <c r="O1419" s="2"/>
    </row>
    <row r="1420">
      <c r="A1420" s="2"/>
      <c r="B1420" s="2"/>
      <c r="C1420" s="18"/>
      <c r="D1420" s="18"/>
      <c r="E1420" s="26"/>
      <c r="G1420" s="2"/>
      <c r="H1420" s="2"/>
      <c r="I1420" s="2"/>
      <c r="J1420" s="2"/>
      <c r="K1420" s="2"/>
      <c r="M1420" s="2"/>
      <c r="N1420" s="2"/>
      <c r="O1420" s="2"/>
    </row>
    <row r="1421">
      <c r="A1421" s="2"/>
      <c r="B1421" s="2"/>
      <c r="C1421" s="18"/>
      <c r="D1421" s="18"/>
      <c r="E1421" s="26"/>
      <c r="H1421" s="2"/>
      <c r="I1421" s="2"/>
      <c r="J1421" s="2"/>
      <c r="K1421" s="2"/>
    </row>
    <row r="1422">
      <c r="A1422" s="2"/>
      <c r="B1422" s="2"/>
      <c r="C1422" s="18"/>
      <c r="D1422" s="18"/>
      <c r="E1422" s="26"/>
      <c r="H1422" s="2"/>
      <c r="I1422" s="2"/>
      <c r="J1422" s="2"/>
      <c r="K1422" s="2"/>
      <c r="M1422" s="2"/>
      <c r="N1422" s="2"/>
      <c r="O1422" s="2"/>
    </row>
    <row r="1423">
      <c r="A1423" s="2"/>
      <c r="B1423" s="2"/>
      <c r="C1423" s="18"/>
      <c r="D1423" s="18"/>
      <c r="E1423" s="26"/>
      <c r="H1423" s="2"/>
      <c r="I1423" s="2"/>
      <c r="J1423" s="2"/>
      <c r="K1423" s="2"/>
    </row>
    <row r="1424">
      <c r="A1424" s="2"/>
      <c r="B1424" s="2"/>
      <c r="C1424" s="18"/>
      <c r="D1424" s="18"/>
      <c r="E1424" s="26"/>
      <c r="F1424" s="2"/>
      <c r="G1424" s="2"/>
      <c r="H1424" s="2"/>
      <c r="I1424" s="2"/>
      <c r="J1424" s="2"/>
      <c r="K1424" s="2"/>
      <c r="M1424" s="2"/>
      <c r="N1424" s="2"/>
      <c r="O1424" s="2"/>
    </row>
    <row r="1425">
      <c r="A1425" s="2"/>
      <c r="B1425" s="2"/>
      <c r="C1425" s="18"/>
      <c r="D1425" s="18"/>
      <c r="E1425" s="26"/>
      <c r="H1425" s="2"/>
      <c r="I1425" s="2"/>
      <c r="J1425" s="2"/>
      <c r="K1425" s="2"/>
      <c r="M1425" s="2"/>
      <c r="N1425" s="2"/>
      <c r="O1425" s="2"/>
    </row>
    <row r="1426">
      <c r="A1426" s="2"/>
      <c r="B1426" s="2"/>
      <c r="C1426" s="18"/>
      <c r="D1426" s="18"/>
      <c r="E1426" s="26"/>
      <c r="H1426" s="2"/>
      <c r="I1426" s="2"/>
      <c r="J1426" s="2"/>
      <c r="K1426" s="2"/>
      <c r="M1426" s="2"/>
      <c r="N1426" s="2"/>
      <c r="O1426" s="2"/>
    </row>
    <row r="1427">
      <c r="A1427" s="2"/>
      <c r="B1427" s="2"/>
      <c r="C1427" s="18"/>
      <c r="D1427" s="18"/>
      <c r="E1427" s="26"/>
      <c r="G1427" s="2"/>
      <c r="H1427" s="2"/>
      <c r="I1427" s="2"/>
      <c r="J1427" s="2"/>
      <c r="K1427" s="2"/>
      <c r="M1427" s="2"/>
      <c r="N1427" s="2"/>
      <c r="O1427" s="2"/>
    </row>
    <row r="1428">
      <c r="A1428" s="2"/>
      <c r="B1428" s="2"/>
      <c r="C1428" s="18"/>
      <c r="D1428" s="18"/>
      <c r="E1428" s="26"/>
      <c r="H1428" s="2"/>
      <c r="I1428" s="2"/>
      <c r="J1428" s="2"/>
      <c r="K1428" s="2"/>
    </row>
    <row r="1429">
      <c r="A1429" s="2"/>
      <c r="B1429" s="2"/>
      <c r="C1429" s="18"/>
      <c r="D1429" s="18"/>
      <c r="E1429" s="26"/>
      <c r="F1429" s="2"/>
      <c r="H1429" s="2"/>
      <c r="I1429" s="2"/>
      <c r="J1429" s="2"/>
      <c r="K1429" s="2"/>
      <c r="M1429" s="2"/>
      <c r="N1429" s="2"/>
      <c r="O1429" s="2"/>
    </row>
    <row r="1430">
      <c r="A1430" s="2"/>
      <c r="B1430" s="2"/>
      <c r="C1430" s="18"/>
      <c r="D1430" s="18"/>
      <c r="E1430" s="26"/>
      <c r="G1430" s="2"/>
      <c r="H1430" s="2"/>
      <c r="I1430" s="2"/>
      <c r="J1430" s="2"/>
      <c r="K1430" s="2"/>
      <c r="M1430" s="2"/>
      <c r="N1430" s="2"/>
      <c r="O1430" s="2"/>
    </row>
    <row r="1431">
      <c r="A1431" s="2"/>
      <c r="B1431" s="2"/>
      <c r="C1431" s="18"/>
      <c r="D1431" s="18"/>
      <c r="E1431" s="26"/>
      <c r="G1431" s="2"/>
      <c r="H1431" s="2"/>
      <c r="I1431" s="2"/>
      <c r="J1431" s="2"/>
      <c r="K1431" s="2"/>
      <c r="M1431" s="2"/>
      <c r="N1431" s="2"/>
      <c r="O1431" s="2"/>
    </row>
    <row r="1432">
      <c r="A1432" s="2"/>
      <c r="B1432" s="2"/>
      <c r="C1432" s="18"/>
      <c r="D1432" s="18"/>
      <c r="E1432" s="26"/>
      <c r="H1432" s="2"/>
      <c r="I1432" s="2"/>
      <c r="J1432" s="2"/>
      <c r="K1432" s="2"/>
      <c r="M1432" s="2"/>
      <c r="N1432" s="2"/>
      <c r="O1432" s="2"/>
    </row>
    <row r="1433">
      <c r="A1433" s="2"/>
      <c r="B1433" s="2"/>
      <c r="C1433" s="18"/>
      <c r="D1433" s="18"/>
      <c r="E1433" s="26"/>
      <c r="H1433" s="2"/>
      <c r="I1433" s="2"/>
      <c r="J1433" s="2"/>
      <c r="K1433" s="2"/>
    </row>
    <row r="1434">
      <c r="A1434" s="2"/>
      <c r="B1434" s="2"/>
      <c r="C1434" s="18"/>
      <c r="D1434" s="18"/>
      <c r="E1434" s="26"/>
      <c r="F1434" s="2"/>
      <c r="G1434" s="2"/>
      <c r="H1434" s="2"/>
      <c r="I1434" s="2"/>
      <c r="J1434" s="2"/>
      <c r="K1434" s="2"/>
      <c r="M1434" s="2"/>
      <c r="N1434" s="2"/>
      <c r="O1434" s="2"/>
    </row>
    <row r="1435">
      <c r="A1435" s="2"/>
      <c r="B1435" s="2"/>
      <c r="C1435" s="18"/>
      <c r="D1435" s="18"/>
      <c r="E1435" s="26"/>
      <c r="F1435" s="2"/>
      <c r="G1435" s="2"/>
      <c r="H1435" s="2"/>
      <c r="I1435" s="2"/>
      <c r="J1435" s="2"/>
      <c r="K1435" s="2"/>
      <c r="M1435" s="2"/>
      <c r="N1435" s="2"/>
      <c r="O1435" s="2"/>
    </row>
    <row r="1436">
      <c r="A1436" s="2"/>
      <c r="B1436" s="2"/>
      <c r="C1436" s="18"/>
      <c r="D1436" s="18"/>
      <c r="E1436" s="26"/>
      <c r="H1436" s="2"/>
      <c r="I1436" s="2"/>
      <c r="J1436" s="2"/>
      <c r="K1436" s="2"/>
      <c r="M1436" s="2"/>
      <c r="N1436" s="2"/>
      <c r="O1436" s="2"/>
    </row>
    <row r="1437">
      <c r="A1437" s="2"/>
      <c r="B1437" s="2"/>
      <c r="C1437" s="18"/>
      <c r="D1437" s="18"/>
      <c r="E1437" s="26"/>
      <c r="H1437" s="2"/>
      <c r="I1437" s="2"/>
      <c r="J1437" s="2"/>
      <c r="K1437" s="2"/>
      <c r="M1437" s="2"/>
      <c r="N1437" s="2"/>
      <c r="O1437" s="2"/>
    </row>
    <row r="1438">
      <c r="A1438" s="2"/>
      <c r="B1438" s="2"/>
      <c r="C1438" s="18"/>
      <c r="D1438" s="18"/>
      <c r="E1438" s="26"/>
      <c r="H1438" s="2"/>
      <c r="I1438" s="2"/>
      <c r="J1438" s="2"/>
      <c r="K1438" s="2"/>
    </row>
    <row r="1439">
      <c r="A1439" s="2"/>
      <c r="B1439" s="2"/>
      <c r="C1439" s="18"/>
      <c r="D1439" s="18"/>
      <c r="E1439" s="26"/>
      <c r="H1439" s="2"/>
      <c r="I1439" s="2"/>
      <c r="J1439" s="2"/>
      <c r="K1439" s="2"/>
    </row>
    <row r="1440">
      <c r="A1440" s="2"/>
      <c r="B1440" s="2"/>
      <c r="C1440" s="18"/>
      <c r="D1440" s="18"/>
      <c r="E1440" s="26"/>
      <c r="H1440" s="2"/>
      <c r="I1440" s="2"/>
      <c r="J1440" s="2"/>
      <c r="K1440" s="2"/>
      <c r="M1440" s="2"/>
      <c r="N1440" s="2"/>
      <c r="O1440" s="2"/>
    </row>
    <row r="1441">
      <c r="A1441" s="2"/>
      <c r="B1441" s="2"/>
      <c r="C1441" s="18"/>
      <c r="D1441" s="18"/>
      <c r="E1441" s="26"/>
      <c r="G1441" s="2"/>
      <c r="H1441" s="2"/>
      <c r="I1441" s="2"/>
      <c r="J1441" s="2"/>
      <c r="K1441" s="2"/>
      <c r="M1441" s="2"/>
      <c r="N1441" s="2"/>
      <c r="O1441" s="2"/>
    </row>
    <row r="1442">
      <c r="A1442" s="2"/>
      <c r="B1442" s="2"/>
      <c r="C1442" s="18"/>
      <c r="D1442" s="18"/>
      <c r="E1442" s="26"/>
      <c r="H1442" s="2"/>
      <c r="I1442" s="2"/>
      <c r="J1442" s="2"/>
      <c r="K1442" s="2"/>
      <c r="M1442" s="2"/>
      <c r="N1442" s="2"/>
      <c r="O1442" s="2"/>
    </row>
    <row r="1443">
      <c r="A1443" s="2"/>
      <c r="B1443" s="2"/>
      <c r="C1443" s="18"/>
      <c r="D1443" s="18"/>
      <c r="E1443" s="26"/>
      <c r="H1443" s="2"/>
      <c r="I1443" s="2"/>
      <c r="J1443" s="2"/>
      <c r="K1443" s="2"/>
      <c r="M1443" s="2"/>
      <c r="N1443" s="2"/>
      <c r="O1443" s="2"/>
    </row>
    <row r="1444">
      <c r="A1444" s="2"/>
      <c r="B1444" s="2"/>
      <c r="C1444" s="18"/>
      <c r="D1444" s="18"/>
      <c r="E1444" s="26"/>
      <c r="H1444" s="2"/>
      <c r="I1444" s="2"/>
      <c r="J1444" s="2"/>
      <c r="K1444" s="2"/>
      <c r="M1444" s="2"/>
      <c r="N1444" s="2"/>
      <c r="O1444" s="2"/>
    </row>
    <row r="1445">
      <c r="A1445" s="2"/>
      <c r="B1445" s="2"/>
      <c r="C1445" s="18"/>
      <c r="D1445" s="18"/>
      <c r="E1445" s="26"/>
      <c r="H1445" s="2"/>
      <c r="I1445" s="2"/>
      <c r="J1445" s="2"/>
      <c r="K1445" s="2"/>
    </row>
    <row r="1446">
      <c r="A1446" s="2"/>
      <c r="B1446" s="2"/>
      <c r="C1446" s="18"/>
      <c r="D1446" s="18"/>
      <c r="E1446" s="26"/>
      <c r="H1446" s="2"/>
      <c r="I1446" s="2"/>
      <c r="J1446" s="2"/>
      <c r="K1446" s="2"/>
      <c r="M1446" s="2"/>
      <c r="N1446" s="2"/>
      <c r="O1446" s="2"/>
    </row>
    <row r="1447">
      <c r="A1447" s="2"/>
      <c r="B1447" s="2"/>
      <c r="C1447" s="18"/>
      <c r="D1447" s="18"/>
      <c r="E1447" s="26"/>
      <c r="H1447" s="2"/>
      <c r="I1447" s="2"/>
      <c r="J1447" s="2"/>
      <c r="K1447" s="2"/>
    </row>
    <row r="1448">
      <c r="A1448" s="2"/>
      <c r="B1448" s="2"/>
      <c r="C1448" s="18"/>
      <c r="D1448" s="18"/>
      <c r="E1448" s="26"/>
      <c r="H1448" s="2"/>
      <c r="I1448" s="2"/>
      <c r="J1448" s="2"/>
      <c r="K1448" s="2"/>
      <c r="M1448" s="2"/>
      <c r="N1448" s="2"/>
      <c r="O1448" s="2"/>
    </row>
    <row r="1449">
      <c r="A1449" s="2"/>
      <c r="B1449" s="2"/>
      <c r="C1449" s="18"/>
      <c r="D1449" s="18"/>
      <c r="E1449" s="26"/>
      <c r="G1449" s="2"/>
      <c r="H1449" s="2"/>
      <c r="I1449" s="2"/>
      <c r="J1449" s="2"/>
      <c r="K1449" s="2"/>
      <c r="M1449" s="2"/>
      <c r="N1449" s="2"/>
      <c r="O1449" s="2"/>
    </row>
    <row r="1450">
      <c r="A1450" s="2"/>
      <c r="B1450" s="2"/>
      <c r="C1450" s="18"/>
      <c r="D1450" s="18"/>
      <c r="E1450" s="26"/>
      <c r="H1450" s="2"/>
      <c r="I1450" s="2"/>
      <c r="J1450" s="2"/>
      <c r="K1450" s="2"/>
    </row>
    <row r="1451">
      <c r="A1451" s="2"/>
      <c r="B1451" s="2"/>
      <c r="C1451" s="18"/>
      <c r="D1451" s="18"/>
      <c r="E1451" s="26"/>
      <c r="G1451" s="2"/>
      <c r="H1451" s="2"/>
      <c r="I1451" s="2"/>
      <c r="J1451" s="2"/>
      <c r="K1451" s="2"/>
      <c r="M1451" s="2"/>
      <c r="N1451" s="2"/>
      <c r="O1451" s="2"/>
    </row>
    <row r="1452">
      <c r="A1452" s="2"/>
      <c r="B1452" s="2"/>
      <c r="C1452" s="18"/>
      <c r="D1452" s="18"/>
      <c r="E1452" s="26"/>
      <c r="H1452" s="2"/>
      <c r="I1452" s="2"/>
      <c r="J1452" s="2"/>
      <c r="K1452" s="2"/>
      <c r="M1452" s="2"/>
      <c r="N1452" s="2"/>
      <c r="O1452" s="2"/>
    </row>
    <row r="1453">
      <c r="A1453" s="2"/>
      <c r="B1453" s="2"/>
      <c r="C1453" s="18"/>
      <c r="D1453" s="18"/>
      <c r="E1453" s="26"/>
      <c r="G1453" s="2"/>
      <c r="H1453" s="2"/>
      <c r="I1453" s="2"/>
      <c r="J1453" s="2"/>
      <c r="K1453" s="2"/>
      <c r="M1453" s="2"/>
      <c r="N1453" s="2"/>
      <c r="O1453" s="2"/>
    </row>
    <row r="1454">
      <c r="A1454" s="2"/>
      <c r="B1454" s="2"/>
      <c r="C1454" s="18"/>
      <c r="D1454" s="18"/>
      <c r="E1454" s="26"/>
      <c r="G1454" s="2"/>
      <c r="H1454" s="2"/>
      <c r="I1454" s="2"/>
      <c r="J1454" s="2"/>
      <c r="K1454" s="2"/>
      <c r="M1454" s="2"/>
      <c r="N1454" s="2"/>
      <c r="O1454" s="2"/>
    </row>
    <row r="1455">
      <c r="A1455" s="2"/>
      <c r="B1455" s="2"/>
      <c r="C1455" s="18"/>
      <c r="D1455" s="18"/>
      <c r="E1455" s="26"/>
      <c r="H1455" s="2"/>
      <c r="I1455" s="2"/>
      <c r="J1455" s="2"/>
      <c r="K1455" s="2"/>
    </row>
    <row r="1456">
      <c r="A1456" s="2"/>
      <c r="B1456" s="2"/>
      <c r="C1456" s="18"/>
      <c r="D1456" s="18"/>
      <c r="E1456" s="26"/>
      <c r="F1456" s="2"/>
      <c r="G1456" s="2"/>
      <c r="H1456" s="2"/>
      <c r="I1456" s="2"/>
      <c r="J1456" s="2"/>
      <c r="K1456" s="2"/>
      <c r="M1456" s="2"/>
      <c r="N1456" s="2"/>
      <c r="O1456" s="2"/>
    </row>
    <row r="1457">
      <c r="A1457" s="2"/>
      <c r="B1457" s="2"/>
      <c r="C1457" s="18"/>
      <c r="D1457" s="18"/>
      <c r="E1457" s="26"/>
      <c r="F1457" s="2"/>
      <c r="G1457" s="2"/>
      <c r="H1457" s="2"/>
      <c r="I1457" s="2"/>
      <c r="J1457" s="2"/>
      <c r="K1457" s="2"/>
      <c r="M1457" s="2"/>
      <c r="N1457" s="2"/>
      <c r="O1457" s="2"/>
    </row>
    <row r="1458">
      <c r="A1458" s="2"/>
      <c r="B1458" s="2"/>
      <c r="C1458" s="18"/>
      <c r="D1458" s="18"/>
      <c r="E1458" s="26"/>
      <c r="H1458" s="2"/>
      <c r="I1458" s="2"/>
      <c r="J1458" s="2"/>
      <c r="K1458" s="2"/>
      <c r="M1458" s="2"/>
      <c r="N1458" s="2"/>
      <c r="O1458" s="2"/>
    </row>
    <row r="1459">
      <c r="A1459" s="2"/>
      <c r="B1459" s="2"/>
      <c r="C1459" s="18"/>
      <c r="D1459" s="18"/>
      <c r="E1459" s="26"/>
      <c r="H1459" s="2"/>
      <c r="I1459" s="2"/>
      <c r="J1459" s="2"/>
      <c r="K1459" s="2"/>
      <c r="M1459" s="2"/>
      <c r="N1459" s="2"/>
      <c r="O1459" s="2"/>
    </row>
    <row r="1460">
      <c r="A1460" s="2"/>
      <c r="B1460" s="2"/>
      <c r="C1460" s="18"/>
      <c r="D1460" s="18"/>
      <c r="E1460" s="26"/>
      <c r="H1460" s="2"/>
      <c r="I1460" s="2"/>
      <c r="J1460" s="2"/>
      <c r="K1460" s="2"/>
    </row>
    <row r="1461">
      <c r="A1461" s="2"/>
      <c r="B1461" s="2"/>
      <c r="C1461" s="18"/>
      <c r="D1461" s="18"/>
      <c r="E1461" s="26"/>
      <c r="F1461" s="2"/>
      <c r="G1461" s="2"/>
      <c r="H1461" s="2"/>
      <c r="I1461" s="2"/>
      <c r="J1461" s="2"/>
      <c r="K1461" s="2"/>
      <c r="M1461" s="2"/>
      <c r="N1461" s="2"/>
      <c r="O1461" s="2"/>
    </row>
    <row r="1462">
      <c r="A1462" s="2"/>
      <c r="B1462" s="2"/>
      <c r="C1462" s="18"/>
      <c r="D1462" s="18"/>
      <c r="E1462" s="26"/>
      <c r="H1462" s="2"/>
      <c r="I1462" s="2"/>
      <c r="J1462" s="2"/>
      <c r="K1462" s="2"/>
    </row>
    <row r="1463">
      <c r="A1463" s="2"/>
      <c r="B1463" s="2"/>
      <c r="C1463" s="18"/>
      <c r="D1463" s="18"/>
      <c r="E1463" s="26"/>
      <c r="G1463" s="2"/>
      <c r="H1463" s="2"/>
      <c r="I1463" s="2"/>
      <c r="J1463" s="2"/>
      <c r="K1463" s="2"/>
      <c r="M1463" s="2"/>
      <c r="N1463" s="2"/>
      <c r="O1463" s="2"/>
    </row>
    <row r="1464">
      <c r="A1464" s="2"/>
      <c r="B1464" s="2"/>
      <c r="C1464" s="18"/>
      <c r="D1464" s="18"/>
      <c r="E1464" s="26"/>
      <c r="H1464" s="2"/>
      <c r="I1464" s="2"/>
      <c r="J1464" s="2"/>
      <c r="K1464" s="2"/>
      <c r="M1464" s="2"/>
      <c r="N1464" s="2"/>
      <c r="O1464" s="2"/>
    </row>
    <row r="1465">
      <c r="A1465" s="2"/>
      <c r="B1465" s="2"/>
      <c r="C1465" s="18"/>
      <c r="D1465" s="18"/>
      <c r="E1465" s="26"/>
      <c r="H1465" s="2"/>
      <c r="I1465" s="2"/>
      <c r="J1465" s="2"/>
      <c r="K1465" s="2"/>
      <c r="M1465" s="2"/>
      <c r="N1465" s="2"/>
      <c r="O1465" s="2"/>
    </row>
    <row r="1466">
      <c r="A1466" s="2"/>
      <c r="B1466" s="2"/>
      <c r="C1466" s="18"/>
      <c r="D1466" s="18"/>
      <c r="E1466" s="26"/>
      <c r="H1466" s="2"/>
      <c r="I1466" s="2"/>
      <c r="J1466" s="2"/>
      <c r="K1466" s="2"/>
    </row>
    <row r="1467">
      <c r="A1467" s="2"/>
      <c r="B1467" s="2"/>
      <c r="C1467" s="18"/>
      <c r="D1467" s="18"/>
      <c r="E1467" s="26"/>
      <c r="G1467" s="2"/>
      <c r="H1467" s="2"/>
      <c r="I1467" s="2"/>
      <c r="J1467" s="2"/>
      <c r="K1467" s="2"/>
      <c r="M1467" s="2"/>
      <c r="N1467" s="2"/>
      <c r="O1467" s="2"/>
    </row>
    <row r="1468">
      <c r="A1468" s="2"/>
      <c r="B1468" s="2"/>
      <c r="C1468" s="18"/>
      <c r="D1468" s="18"/>
      <c r="E1468" s="26"/>
      <c r="H1468" s="2"/>
      <c r="I1468" s="2"/>
      <c r="J1468" s="2"/>
      <c r="K1468" s="2"/>
    </row>
    <row r="1469">
      <c r="A1469" s="2"/>
      <c r="B1469" s="2"/>
      <c r="C1469" s="18"/>
      <c r="D1469" s="18"/>
      <c r="E1469" s="26"/>
      <c r="F1469" s="2"/>
      <c r="G1469" s="2"/>
      <c r="H1469" s="2"/>
      <c r="I1469" s="2"/>
      <c r="J1469" s="2"/>
      <c r="K1469" s="2"/>
      <c r="M1469" s="2"/>
      <c r="N1469" s="2"/>
      <c r="O1469" s="2"/>
    </row>
    <row r="1470">
      <c r="A1470" s="2"/>
      <c r="B1470" s="2"/>
      <c r="C1470" s="18"/>
      <c r="D1470" s="18"/>
      <c r="E1470" s="26"/>
      <c r="H1470" s="2"/>
      <c r="I1470" s="2"/>
      <c r="J1470" s="2"/>
      <c r="K1470" s="2"/>
      <c r="M1470" s="2"/>
      <c r="N1470" s="2"/>
      <c r="O1470" s="2"/>
    </row>
    <row r="1471">
      <c r="A1471" s="2"/>
      <c r="B1471" s="2"/>
      <c r="C1471" s="18"/>
      <c r="D1471" s="18"/>
      <c r="E1471" s="26"/>
      <c r="H1471" s="2"/>
      <c r="I1471" s="2"/>
      <c r="J1471" s="2"/>
      <c r="K1471" s="2"/>
      <c r="M1471" s="2"/>
      <c r="N1471" s="2"/>
      <c r="O1471" s="2"/>
    </row>
    <row r="1472">
      <c r="A1472" s="2"/>
      <c r="B1472" s="2"/>
      <c r="C1472" s="18"/>
      <c r="D1472" s="18"/>
      <c r="E1472" s="26"/>
      <c r="G1472" s="2"/>
      <c r="H1472" s="2"/>
      <c r="I1472" s="2"/>
      <c r="J1472" s="2"/>
      <c r="K1472" s="2"/>
      <c r="M1472" s="2"/>
      <c r="N1472" s="2"/>
      <c r="O1472" s="2"/>
    </row>
    <row r="1473">
      <c r="A1473" s="2"/>
      <c r="B1473" s="2"/>
      <c r="C1473" s="18"/>
      <c r="D1473" s="18"/>
      <c r="E1473" s="26"/>
      <c r="H1473" s="2"/>
      <c r="I1473" s="2"/>
      <c r="J1473" s="2"/>
      <c r="K1473" s="2"/>
    </row>
    <row r="1474">
      <c r="A1474" s="2"/>
      <c r="B1474" s="2"/>
      <c r="C1474" s="18"/>
      <c r="D1474" s="18"/>
      <c r="E1474" s="26"/>
      <c r="F1474" s="2"/>
      <c r="H1474" s="2"/>
      <c r="I1474" s="2"/>
      <c r="J1474" s="2"/>
      <c r="K1474" s="2"/>
      <c r="M1474" s="2"/>
      <c r="N1474" s="2"/>
      <c r="O1474" s="2"/>
    </row>
    <row r="1475">
      <c r="A1475" s="2"/>
      <c r="B1475" s="2"/>
      <c r="C1475" s="18"/>
      <c r="D1475" s="18"/>
      <c r="E1475" s="26"/>
      <c r="G1475" s="2"/>
      <c r="H1475" s="2"/>
      <c r="I1475" s="2"/>
      <c r="J1475" s="2"/>
      <c r="K1475" s="2"/>
      <c r="M1475" s="2"/>
      <c r="N1475" s="2"/>
      <c r="O1475" s="2"/>
    </row>
    <row r="1476">
      <c r="A1476" s="2"/>
      <c r="B1476" s="2"/>
      <c r="C1476" s="18"/>
      <c r="D1476" s="18"/>
      <c r="E1476" s="26"/>
      <c r="G1476" s="2"/>
      <c r="H1476" s="2"/>
      <c r="I1476" s="2"/>
      <c r="J1476" s="2"/>
      <c r="K1476" s="2"/>
      <c r="M1476" s="2"/>
      <c r="N1476" s="2"/>
      <c r="O1476" s="2"/>
    </row>
    <row r="1477">
      <c r="A1477" s="2"/>
      <c r="B1477" s="2"/>
      <c r="C1477" s="18"/>
      <c r="D1477" s="18"/>
      <c r="E1477" s="26"/>
      <c r="H1477" s="2"/>
      <c r="I1477" s="2"/>
      <c r="J1477" s="2"/>
      <c r="K1477" s="2"/>
      <c r="M1477" s="2"/>
      <c r="N1477" s="2"/>
      <c r="O1477" s="2"/>
    </row>
    <row r="1478">
      <c r="A1478" s="2"/>
      <c r="B1478" s="2"/>
      <c r="C1478" s="18"/>
      <c r="D1478" s="18"/>
      <c r="E1478" s="26"/>
      <c r="H1478" s="2"/>
      <c r="I1478" s="2"/>
      <c r="J1478" s="2"/>
      <c r="K1478" s="2"/>
    </row>
    <row r="1479">
      <c r="A1479" s="2"/>
      <c r="B1479" s="2"/>
      <c r="C1479" s="18"/>
      <c r="D1479" s="18"/>
      <c r="E1479" s="26"/>
      <c r="F1479" s="2"/>
      <c r="G1479" s="2"/>
      <c r="H1479" s="2"/>
      <c r="I1479" s="2"/>
      <c r="J1479" s="2"/>
      <c r="K1479" s="2"/>
      <c r="M1479" s="2"/>
      <c r="N1479" s="2"/>
      <c r="O1479" s="2"/>
    </row>
    <row r="1480">
      <c r="A1480" s="2"/>
      <c r="B1480" s="2"/>
      <c r="C1480" s="18"/>
      <c r="D1480" s="18"/>
      <c r="E1480" s="26"/>
      <c r="F1480" s="2"/>
      <c r="G1480" s="2"/>
      <c r="H1480" s="2"/>
      <c r="I1480" s="2"/>
      <c r="J1480" s="2"/>
      <c r="K1480" s="2"/>
      <c r="M1480" s="2"/>
      <c r="N1480" s="2"/>
      <c r="O1480" s="2"/>
    </row>
    <row r="1481">
      <c r="A1481" s="2"/>
      <c r="B1481" s="2"/>
      <c r="C1481" s="18"/>
      <c r="D1481" s="18"/>
      <c r="E1481" s="26"/>
      <c r="H1481" s="2"/>
      <c r="I1481" s="2"/>
      <c r="J1481" s="2"/>
      <c r="K1481" s="2"/>
      <c r="M1481" s="2"/>
      <c r="N1481" s="2"/>
      <c r="O1481" s="2"/>
    </row>
    <row r="1482">
      <c r="A1482" s="2"/>
      <c r="B1482" s="2"/>
      <c r="C1482" s="18"/>
      <c r="D1482" s="18"/>
      <c r="E1482" s="26"/>
      <c r="H1482" s="2"/>
      <c r="I1482" s="2"/>
      <c r="J1482" s="2"/>
      <c r="K1482" s="2"/>
      <c r="M1482" s="2"/>
      <c r="N1482" s="2"/>
      <c r="O1482" s="2"/>
    </row>
    <row r="1483">
      <c r="A1483" s="2"/>
      <c r="B1483" s="2"/>
      <c r="C1483" s="18"/>
      <c r="D1483" s="18"/>
      <c r="E1483" s="26"/>
      <c r="H1483" s="2"/>
      <c r="I1483" s="2"/>
      <c r="J1483" s="2"/>
      <c r="K1483" s="2"/>
    </row>
    <row r="1484">
      <c r="A1484" s="2"/>
      <c r="B1484" s="2"/>
      <c r="C1484" s="18"/>
      <c r="D1484" s="18"/>
      <c r="E1484" s="26"/>
      <c r="H1484" s="2"/>
      <c r="I1484" s="2"/>
      <c r="J1484" s="2"/>
      <c r="K1484" s="2"/>
    </row>
    <row r="1485">
      <c r="A1485" s="2"/>
      <c r="B1485" s="2"/>
      <c r="C1485" s="18"/>
      <c r="D1485" s="18"/>
      <c r="E1485" s="26"/>
      <c r="H1485" s="2"/>
      <c r="I1485" s="2"/>
      <c r="J1485" s="2"/>
      <c r="K1485" s="2"/>
      <c r="M1485" s="2"/>
      <c r="N1485" s="2"/>
      <c r="O1485" s="2"/>
    </row>
    <row r="1486">
      <c r="A1486" s="2"/>
      <c r="B1486" s="2"/>
      <c r="C1486" s="18"/>
      <c r="D1486" s="18"/>
      <c r="E1486" s="26"/>
      <c r="H1486" s="2"/>
      <c r="I1486" s="2"/>
      <c r="J1486" s="2"/>
      <c r="K1486" s="2"/>
      <c r="M1486" s="2"/>
      <c r="N1486" s="2"/>
      <c r="O1486" s="2"/>
    </row>
    <row r="1487">
      <c r="A1487" s="2"/>
      <c r="B1487" s="2"/>
      <c r="C1487" s="18"/>
      <c r="D1487" s="18"/>
      <c r="E1487" s="26"/>
      <c r="H1487" s="2"/>
      <c r="I1487" s="2"/>
      <c r="J1487" s="2"/>
      <c r="K1487" s="2"/>
      <c r="M1487" s="2"/>
      <c r="N1487" s="2"/>
      <c r="O1487" s="2"/>
    </row>
    <row r="1488">
      <c r="A1488" s="2"/>
      <c r="B1488" s="2"/>
      <c r="C1488" s="18"/>
      <c r="D1488" s="18"/>
      <c r="E1488" s="26"/>
      <c r="H1488" s="2"/>
      <c r="I1488" s="2"/>
      <c r="J1488" s="2"/>
      <c r="K1488" s="2"/>
      <c r="M1488" s="2"/>
      <c r="N1488" s="2"/>
      <c r="O1488" s="2"/>
    </row>
    <row r="1489">
      <c r="A1489" s="2"/>
      <c r="B1489" s="2"/>
      <c r="C1489" s="18"/>
      <c r="D1489" s="18"/>
      <c r="E1489" s="26"/>
      <c r="H1489" s="2"/>
      <c r="I1489" s="2"/>
      <c r="J1489" s="2"/>
      <c r="K1489" s="2"/>
      <c r="M1489" s="2"/>
      <c r="N1489" s="2"/>
      <c r="O1489" s="2"/>
    </row>
    <row r="1490">
      <c r="A1490" s="2"/>
      <c r="B1490" s="2"/>
      <c r="C1490" s="18"/>
      <c r="D1490" s="18"/>
      <c r="E1490" s="26"/>
      <c r="H1490" s="2"/>
      <c r="I1490" s="2"/>
      <c r="J1490" s="2"/>
      <c r="K1490" s="2"/>
    </row>
    <row r="1491">
      <c r="A1491" s="2"/>
      <c r="B1491" s="2"/>
      <c r="C1491" s="18"/>
      <c r="D1491" s="18"/>
      <c r="E1491" s="26"/>
      <c r="H1491" s="2"/>
      <c r="I1491" s="2"/>
      <c r="J1491" s="2"/>
      <c r="K1491" s="2"/>
    </row>
    <row r="1492">
      <c r="A1492" s="2"/>
      <c r="B1492" s="2"/>
      <c r="C1492" s="18"/>
      <c r="D1492" s="18"/>
      <c r="E1492" s="26"/>
      <c r="H1492" s="2"/>
      <c r="I1492" s="2"/>
      <c r="J1492" s="2"/>
      <c r="K1492" s="2"/>
      <c r="M1492" s="2"/>
      <c r="N1492" s="2"/>
      <c r="O1492" s="2"/>
    </row>
    <row r="1493">
      <c r="A1493" s="2"/>
      <c r="B1493" s="2"/>
      <c r="C1493" s="18"/>
      <c r="D1493" s="18"/>
      <c r="E1493" s="26"/>
      <c r="G1493" s="2"/>
      <c r="H1493" s="2"/>
      <c r="I1493" s="2"/>
      <c r="J1493" s="2"/>
      <c r="K1493" s="2"/>
      <c r="M1493" s="2"/>
      <c r="N1493" s="2"/>
      <c r="O1493" s="2"/>
    </row>
    <row r="1494">
      <c r="A1494" s="2"/>
      <c r="B1494" s="2"/>
      <c r="C1494" s="18"/>
      <c r="D1494" s="18"/>
      <c r="E1494" s="26"/>
      <c r="H1494" s="2"/>
      <c r="I1494" s="2"/>
      <c r="J1494" s="2"/>
      <c r="K1494" s="2"/>
    </row>
    <row r="1495">
      <c r="A1495" s="2"/>
      <c r="B1495" s="2"/>
      <c r="C1495" s="18"/>
      <c r="D1495" s="18"/>
      <c r="E1495" s="26"/>
      <c r="G1495" s="2"/>
      <c r="H1495" s="2"/>
      <c r="I1495" s="2"/>
      <c r="J1495" s="2"/>
      <c r="K1495" s="2"/>
      <c r="M1495" s="2"/>
      <c r="N1495" s="2"/>
      <c r="O1495" s="2"/>
    </row>
    <row r="1496">
      <c r="A1496" s="2"/>
      <c r="B1496" s="2"/>
      <c r="C1496" s="18"/>
      <c r="D1496" s="18"/>
      <c r="E1496" s="26"/>
      <c r="H1496" s="2"/>
      <c r="I1496" s="2"/>
      <c r="J1496" s="2"/>
      <c r="K1496" s="2"/>
      <c r="M1496" s="2"/>
      <c r="N1496" s="2"/>
      <c r="O1496" s="2"/>
    </row>
    <row r="1497">
      <c r="A1497" s="2"/>
      <c r="B1497" s="2"/>
      <c r="C1497" s="18"/>
      <c r="D1497" s="18"/>
      <c r="E1497" s="26"/>
      <c r="G1497" s="2"/>
      <c r="H1497" s="2"/>
      <c r="I1497" s="2"/>
      <c r="J1497" s="2"/>
      <c r="K1497" s="2"/>
      <c r="M1497" s="2"/>
      <c r="N1497" s="2"/>
      <c r="O1497" s="2"/>
    </row>
    <row r="1498">
      <c r="A1498" s="2"/>
      <c r="B1498" s="2"/>
      <c r="C1498" s="18"/>
      <c r="D1498" s="18"/>
      <c r="E1498" s="26"/>
      <c r="H1498" s="2"/>
      <c r="I1498" s="2"/>
      <c r="J1498" s="2"/>
      <c r="K1498" s="2"/>
    </row>
    <row r="1499">
      <c r="A1499" s="2"/>
      <c r="B1499" s="2"/>
      <c r="C1499" s="18"/>
      <c r="D1499" s="18"/>
      <c r="E1499" s="26"/>
      <c r="F1499" s="2"/>
      <c r="G1499" s="2"/>
      <c r="H1499" s="2"/>
      <c r="I1499" s="2"/>
      <c r="J1499" s="2"/>
      <c r="K1499" s="2"/>
      <c r="M1499" s="2"/>
      <c r="N1499" s="2"/>
      <c r="O1499" s="2"/>
    </row>
    <row r="1500">
      <c r="A1500" s="2"/>
      <c r="B1500" s="2"/>
      <c r="C1500" s="18"/>
      <c r="D1500" s="18"/>
      <c r="E1500" s="26"/>
      <c r="F1500" s="2"/>
      <c r="G1500" s="2"/>
      <c r="H1500" s="2"/>
      <c r="I1500" s="2"/>
      <c r="J1500" s="2"/>
      <c r="K1500" s="2"/>
      <c r="M1500" s="2"/>
      <c r="N1500" s="2"/>
      <c r="O1500" s="2"/>
    </row>
    <row r="1501">
      <c r="A1501" s="2"/>
      <c r="B1501" s="2"/>
      <c r="C1501" s="18"/>
      <c r="D1501" s="18"/>
      <c r="E1501" s="26"/>
      <c r="H1501" s="2"/>
      <c r="I1501" s="2"/>
      <c r="J1501" s="2"/>
      <c r="K1501" s="2"/>
      <c r="M1501" s="2"/>
      <c r="N1501" s="2"/>
      <c r="O1501" s="2"/>
    </row>
    <row r="1502">
      <c r="A1502" s="2"/>
      <c r="B1502" s="2"/>
      <c r="C1502" s="18"/>
      <c r="D1502" s="18"/>
      <c r="E1502" s="26"/>
      <c r="H1502" s="2"/>
      <c r="I1502" s="2"/>
      <c r="J1502" s="2"/>
      <c r="K1502" s="2"/>
      <c r="M1502" s="2"/>
      <c r="N1502" s="2"/>
      <c r="O1502" s="2"/>
    </row>
    <row r="1503">
      <c r="A1503" s="2"/>
      <c r="B1503" s="2"/>
      <c r="C1503" s="18"/>
      <c r="D1503" s="18"/>
      <c r="E1503" s="26"/>
      <c r="H1503" s="2"/>
      <c r="I1503" s="2"/>
      <c r="J1503" s="2"/>
      <c r="K1503" s="2"/>
    </row>
    <row r="1504">
      <c r="A1504" s="2"/>
      <c r="B1504" s="2"/>
      <c r="C1504" s="18"/>
      <c r="D1504" s="18"/>
      <c r="E1504" s="26"/>
      <c r="F1504" s="2"/>
      <c r="G1504" s="2"/>
      <c r="H1504" s="2"/>
      <c r="I1504" s="2"/>
      <c r="J1504" s="2"/>
      <c r="K1504" s="2"/>
      <c r="M1504" s="2"/>
      <c r="N1504" s="2"/>
      <c r="O1504" s="2"/>
    </row>
    <row r="1505">
      <c r="A1505" s="2"/>
      <c r="B1505" s="2"/>
      <c r="C1505" s="18"/>
      <c r="D1505" s="18"/>
      <c r="E1505" s="26"/>
      <c r="H1505" s="2"/>
      <c r="I1505" s="2"/>
      <c r="J1505" s="2"/>
      <c r="K1505" s="2"/>
    </row>
    <row r="1506">
      <c r="A1506" s="2"/>
      <c r="B1506" s="2"/>
      <c r="C1506" s="18"/>
      <c r="D1506" s="18"/>
      <c r="E1506" s="26"/>
      <c r="H1506" s="2"/>
      <c r="I1506" s="2"/>
      <c r="J1506" s="2"/>
      <c r="K1506" s="2"/>
      <c r="M1506" s="2"/>
      <c r="N1506" s="2"/>
      <c r="O1506" s="2"/>
    </row>
    <row r="1507">
      <c r="A1507" s="2"/>
      <c r="B1507" s="2"/>
      <c r="C1507" s="18"/>
      <c r="D1507" s="18"/>
      <c r="E1507" s="26"/>
      <c r="H1507" s="2"/>
      <c r="I1507" s="2"/>
      <c r="J1507" s="2"/>
      <c r="K1507" s="2"/>
      <c r="M1507" s="2"/>
      <c r="N1507" s="2"/>
      <c r="O1507" s="2"/>
    </row>
    <row r="1508">
      <c r="A1508" s="2"/>
      <c r="B1508" s="2"/>
      <c r="C1508" s="18"/>
      <c r="D1508" s="18"/>
      <c r="E1508" s="26"/>
      <c r="G1508" s="2"/>
      <c r="H1508" s="2"/>
      <c r="I1508" s="2"/>
      <c r="J1508" s="2"/>
      <c r="K1508" s="2"/>
      <c r="M1508" s="2"/>
      <c r="N1508" s="2"/>
      <c r="O1508" s="2"/>
    </row>
    <row r="1509">
      <c r="A1509" s="2"/>
      <c r="B1509" s="2"/>
      <c r="C1509" s="18"/>
      <c r="D1509" s="18"/>
      <c r="E1509" s="26"/>
      <c r="H1509" s="2"/>
      <c r="I1509" s="2"/>
      <c r="J1509" s="2"/>
      <c r="K1509" s="2"/>
    </row>
    <row r="1510">
      <c r="A1510" s="2"/>
      <c r="B1510" s="2"/>
      <c r="C1510" s="18"/>
      <c r="D1510" s="18"/>
      <c r="E1510" s="26"/>
      <c r="H1510" s="2"/>
      <c r="I1510" s="2"/>
      <c r="J1510" s="2"/>
      <c r="K1510" s="2"/>
      <c r="M1510" s="2"/>
      <c r="N1510" s="2"/>
      <c r="O1510" s="2"/>
    </row>
    <row r="1511">
      <c r="A1511" s="2"/>
      <c r="B1511" s="2"/>
      <c r="C1511" s="18"/>
      <c r="D1511" s="18"/>
      <c r="E1511" s="26"/>
      <c r="H1511" s="2"/>
      <c r="I1511" s="2"/>
      <c r="J1511" s="2"/>
      <c r="K1511" s="2"/>
    </row>
    <row r="1512">
      <c r="A1512" s="2"/>
      <c r="B1512" s="2"/>
      <c r="C1512" s="18"/>
      <c r="D1512" s="18"/>
      <c r="E1512" s="26"/>
      <c r="F1512" s="2"/>
      <c r="G1512" s="2"/>
      <c r="H1512" s="2"/>
      <c r="I1512" s="2"/>
      <c r="J1512" s="2"/>
      <c r="K1512" s="2"/>
      <c r="M1512" s="2"/>
      <c r="N1512" s="2"/>
      <c r="O1512" s="2"/>
    </row>
    <row r="1513">
      <c r="A1513" s="2"/>
      <c r="B1513" s="2"/>
      <c r="C1513" s="18"/>
      <c r="D1513" s="18"/>
      <c r="E1513" s="26"/>
      <c r="H1513" s="2"/>
      <c r="I1513" s="2"/>
      <c r="J1513" s="2"/>
      <c r="K1513" s="2"/>
      <c r="M1513" s="2"/>
      <c r="N1513" s="2"/>
      <c r="O1513" s="2"/>
    </row>
    <row r="1514">
      <c r="A1514" s="2"/>
      <c r="B1514" s="2"/>
      <c r="C1514" s="18"/>
      <c r="D1514" s="18"/>
      <c r="E1514" s="26"/>
      <c r="H1514" s="2"/>
      <c r="I1514" s="2"/>
      <c r="J1514" s="2"/>
      <c r="K1514" s="2"/>
      <c r="M1514" s="2"/>
      <c r="N1514" s="2"/>
      <c r="O1514" s="2"/>
    </row>
    <row r="1515">
      <c r="A1515" s="2"/>
      <c r="B1515" s="2"/>
      <c r="C1515" s="18"/>
      <c r="D1515" s="18"/>
      <c r="E1515" s="26"/>
      <c r="G1515" s="2"/>
      <c r="H1515" s="2"/>
      <c r="I1515" s="2"/>
      <c r="J1515" s="2"/>
      <c r="K1515" s="2"/>
      <c r="M1515" s="2"/>
      <c r="N1515" s="2"/>
      <c r="O1515" s="2"/>
    </row>
    <row r="1516">
      <c r="A1516" s="2"/>
      <c r="B1516" s="2"/>
      <c r="C1516" s="18"/>
      <c r="D1516" s="18"/>
      <c r="E1516" s="26"/>
      <c r="H1516" s="2"/>
      <c r="I1516" s="2"/>
      <c r="J1516" s="2"/>
      <c r="K1516" s="2"/>
    </row>
    <row r="1517">
      <c r="A1517" s="2"/>
      <c r="B1517" s="2"/>
      <c r="C1517" s="18"/>
      <c r="D1517" s="18"/>
      <c r="E1517" s="26"/>
      <c r="F1517" s="2"/>
      <c r="H1517" s="2"/>
      <c r="I1517" s="2"/>
      <c r="J1517" s="2"/>
      <c r="K1517" s="2"/>
      <c r="M1517" s="2"/>
      <c r="N1517" s="2"/>
      <c r="O1517" s="2"/>
    </row>
    <row r="1518">
      <c r="A1518" s="2"/>
      <c r="B1518" s="2"/>
      <c r="C1518" s="18"/>
      <c r="D1518" s="18"/>
      <c r="E1518" s="26"/>
      <c r="G1518" s="2"/>
      <c r="H1518" s="2"/>
      <c r="I1518" s="2"/>
      <c r="J1518" s="2"/>
      <c r="K1518" s="2"/>
      <c r="M1518" s="2"/>
      <c r="N1518" s="2"/>
      <c r="O1518" s="2"/>
    </row>
    <row r="1519">
      <c r="A1519" s="2"/>
      <c r="B1519" s="2"/>
      <c r="C1519" s="18"/>
      <c r="D1519" s="18"/>
      <c r="E1519" s="26"/>
      <c r="G1519" s="2"/>
      <c r="H1519" s="2"/>
      <c r="I1519" s="2"/>
      <c r="J1519" s="2"/>
      <c r="K1519" s="2"/>
      <c r="M1519" s="2"/>
      <c r="N1519" s="2"/>
      <c r="O1519" s="2"/>
    </row>
    <row r="1520">
      <c r="A1520" s="2"/>
      <c r="B1520" s="2"/>
      <c r="C1520" s="18"/>
      <c r="D1520" s="18"/>
      <c r="E1520" s="26"/>
      <c r="H1520" s="2"/>
      <c r="I1520" s="2"/>
      <c r="J1520" s="2"/>
      <c r="K1520" s="2"/>
      <c r="M1520" s="2"/>
      <c r="N1520" s="2"/>
      <c r="O1520" s="2"/>
    </row>
    <row r="1521">
      <c r="A1521" s="2"/>
      <c r="B1521" s="2"/>
      <c r="C1521" s="18"/>
      <c r="D1521" s="18"/>
      <c r="E1521" s="26"/>
      <c r="H1521" s="2"/>
      <c r="I1521" s="2"/>
      <c r="J1521" s="2"/>
      <c r="K1521" s="2"/>
    </row>
    <row r="1522">
      <c r="A1522" s="2"/>
      <c r="B1522" s="2"/>
      <c r="C1522" s="18"/>
      <c r="D1522" s="18"/>
      <c r="E1522" s="26"/>
      <c r="F1522" s="2"/>
      <c r="G1522" s="2"/>
      <c r="H1522" s="2"/>
      <c r="I1522" s="2"/>
      <c r="J1522" s="2"/>
      <c r="K1522" s="2"/>
      <c r="M1522" s="2"/>
      <c r="N1522" s="2"/>
      <c r="O1522" s="2"/>
    </row>
    <row r="1523">
      <c r="A1523" s="2"/>
      <c r="B1523" s="2"/>
      <c r="C1523" s="18"/>
      <c r="D1523" s="18"/>
      <c r="E1523" s="26"/>
      <c r="F1523" s="2"/>
      <c r="G1523" s="2"/>
      <c r="H1523" s="2"/>
      <c r="I1523" s="2"/>
      <c r="J1523" s="2"/>
      <c r="K1523" s="2"/>
      <c r="M1523" s="2"/>
      <c r="N1523" s="2"/>
      <c r="O1523" s="2"/>
    </row>
    <row r="1524">
      <c r="A1524" s="2"/>
      <c r="B1524" s="2"/>
      <c r="C1524" s="18"/>
      <c r="D1524" s="18"/>
      <c r="E1524" s="26"/>
      <c r="H1524" s="2"/>
      <c r="I1524" s="2"/>
      <c r="J1524" s="2"/>
      <c r="K1524" s="2"/>
      <c r="M1524" s="2"/>
      <c r="N1524" s="2"/>
      <c r="O1524" s="2"/>
    </row>
    <row r="1525">
      <c r="A1525" s="2"/>
      <c r="B1525" s="2"/>
      <c r="C1525" s="18"/>
      <c r="D1525" s="18"/>
      <c r="E1525" s="26"/>
      <c r="H1525" s="2"/>
      <c r="I1525" s="2"/>
      <c r="J1525" s="2"/>
      <c r="K1525" s="2"/>
      <c r="M1525" s="2"/>
      <c r="N1525" s="2"/>
      <c r="O1525" s="2"/>
    </row>
    <row r="1526">
      <c r="A1526" s="2"/>
      <c r="B1526" s="2"/>
      <c r="C1526" s="18"/>
      <c r="D1526" s="18"/>
      <c r="E1526" s="26"/>
      <c r="H1526" s="2"/>
      <c r="I1526" s="2"/>
      <c r="J1526" s="2"/>
      <c r="K1526" s="2"/>
    </row>
    <row r="1527">
      <c r="A1527" s="2"/>
      <c r="B1527" s="2"/>
      <c r="C1527" s="18"/>
      <c r="D1527" s="18"/>
      <c r="E1527" s="26"/>
      <c r="H1527" s="2"/>
      <c r="I1527" s="2"/>
      <c r="J1527" s="2"/>
      <c r="K1527" s="2"/>
    </row>
    <row r="1528">
      <c r="A1528" s="2"/>
      <c r="B1528" s="2"/>
      <c r="C1528" s="18"/>
      <c r="D1528" s="18"/>
      <c r="E1528" s="26"/>
      <c r="H1528" s="2"/>
      <c r="I1528" s="2"/>
      <c r="J1528" s="2"/>
      <c r="K1528" s="2"/>
      <c r="M1528" s="2"/>
      <c r="N1528" s="2"/>
      <c r="O1528" s="2"/>
    </row>
    <row r="1529">
      <c r="A1529" s="2"/>
      <c r="B1529" s="2"/>
      <c r="C1529" s="18"/>
      <c r="D1529" s="18"/>
      <c r="E1529" s="26"/>
      <c r="G1529" s="2"/>
      <c r="H1529" s="2"/>
      <c r="I1529" s="2"/>
      <c r="J1529" s="2"/>
      <c r="K1529" s="2"/>
      <c r="M1529" s="2"/>
      <c r="N1529" s="2"/>
      <c r="O1529" s="2"/>
    </row>
    <row r="1530">
      <c r="A1530" s="2"/>
      <c r="B1530" s="2"/>
      <c r="C1530" s="18"/>
      <c r="D1530" s="18"/>
      <c r="E1530" s="26"/>
      <c r="H1530" s="2"/>
      <c r="I1530" s="2"/>
      <c r="J1530" s="2"/>
      <c r="K1530" s="2"/>
      <c r="M1530" s="2"/>
      <c r="N1530" s="2"/>
      <c r="O1530" s="2"/>
    </row>
    <row r="1531">
      <c r="A1531" s="2"/>
      <c r="B1531" s="2"/>
      <c r="C1531" s="18"/>
      <c r="D1531" s="18"/>
      <c r="E1531" s="26"/>
      <c r="H1531" s="2"/>
      <c r="I1531" s="2"/>
      <c r="J1531" s="2"/>
      <c r="K1531" s="2"/>
      <c r="M1531" s="2"/>
      <c r="N1531" s="2"/>
      <c r="O1531" s="2"/>
    </row>
    <row r="1532">
      <c r="A1532" s="2"/>
      <c r="B1532" s="2"/>
      <c r="C1532" s="18"/>
      <c r="D1532" s="18"/>
      <c r="E1532" s="26"/>
      <c r="H1532" s="2"/>
      <c r="I1532" s="2"/>
      <c r="J1532" s="2"/>
      <c r="K1532" s="2"/>
      <c r="M1532" s="2"/>
      <c r="N1532" s="2"/>
      <c r="O1532" s="2"/>
    </row>
    <row r="1533">
      <c r="A1533" s="2"/>
      <c r="B1533" s="2"/>
      <c r="C1533" s="18"/>
      <c r="D1533" s="18"/>
      <c r="E1533" s="26"/>
      <c r="H1533" s="2"/>
      <c r="I1533" s="2"/>
      <c r="J1533" s="2"/>
      <c r="K1533" s="2"/>
    </row>
    <row r="1534">
      <c r="A1534" s="2"/>
      <c r="B1534" s="2"/>
      <c r="C1534" s="18"/>
      <c r="D1534" s="18"/>
      <c r="E1534" s="26"/>
      <c r="H1534" s="2"/>
      <c r="I1534" s="2"/>
      <c r="J1534" s="2"/>
      <c r="K1534" s="2"/>
      <c r="M1534" s="2"/>
      <c r="N1534" s="2"/>
      <c r="O1534" s="2"/>
    </row>
    <row r="1535">
      <c r="A1535" s="2"/>
      <c r="B1535" s="2"/>
      <c r="C1535" s="18"/>
      <c r="D1535" s="18"/>
      <c r="E1535" s="26"/>
      <c r="H1535" s="2"/>
      <c r="I1535" s="2"/>
      <c r="J1535" s="2"/>
      <c r="K1535" s="2"/>
    </row>
    <row r="1536">
      <c r="A1536" s="2"/>
      <c r="B1536" s="2"/>
      <c r="C1536" s="18"/>
      <c r="D1536" s="18"/>
      <c r="E1536" s="26"/>
      <c r="H1536" s="2"/>
      <c r="I1536" s="2"/>
      <c r="J1536" s="2"/>
      <c r="K1536" s="2"/>
      <c r="M1536" s="2"/>
      <c r="N1536" s="2"/>
      <c r="O1536" s="2"/>
    </row>
    <row r="1537">
      <c r="A1537" s="2"/>
      <c r="B1537" s="2"/>
      <c r="C1537" s="18"/>
      <c r="D1537" s="18"/>
      <c r="E1537" s="26"/>
      <c r="G1537" s="2"/>
      <c r="H1537" s="2"/>
      <c r="I1537" s="2"/>
      <c r="J1537" s="2"/>
      <c r="K1537" s="2"/>
      <c r="M1537" s="2"/>
      <c r="N1537" s="2"/>
      <c r="O1537" s="2"/>
    </row>
    <row r="1538">
      <c r="A1538" s="2"/>
      <c r="B1538" s="2"/>
      <c r="C1538" s="18"/>
      <c r="D1538" s="18"/>
      <c r="E1538" s="26"/>
      <c r="H1538" s="2"/>
      <c r="I1538" s="2"/>
      <c r="J1538" s="2"/>
      <c r="K1538" s="2"/>
    </row>
    <row r="1539">
      <c r="A1539" s="2"/>
      <c r="B1539" s="2"/>
      <c r="C1539" s="18"/>
      <c r="D1539" s="18"/>
      <c r="E1539" s="26"/>
      <c r="G1539" s="2"/>
      <c r="H1539" s="2"/>
      <c r="I1539" s="2"/>
      <c r="J1539" s="2"/>
      <c r="K1539" s="2"/>
      <c r="M1539" s="2"/>
      <c r="N1539" s="2"/>
      <c r="O1539" s="2"/>
    </row>
    <row r="1540">
      <c r="A1540" s="2"/>
      <c r="B1540" s="2"/>
      <c r="C1540" s="18"/>
      <c r="D1540" s="18"/>
      <c r="E1540" s="26"/>
      <c r="H1540" s="2"/>
      <c r="I1540" s="2"/>
      <c r="J1540" s="2"/>
      <c r="K1540" s="2"/>
      <c r="M1540" s="2"/>
      <c r="N1540" s="2"/>
      <c r="O1540" s="2"/>
    </row>
    <row r="1541">
      <c r="A1541" s="2"/>
      <c r="B1541" s="2"/>
      <c r="C1541" s="18"/>
      <c r="D1541" s="18"/>
      <c r="E1541" s="26"/>
      <c r="G1541" s="2"/>
      <c r="H1541" s="2"/>
      <c r="I1541" s="2"/>
      <c r="J1541" s="2"/>
      <c r="K1541" s="2"/>
      <c r="M1541" s="2"/>
      <c r="N1541" s="2"/>
      <c r="O1541" s="2"/>
    </row>
    <row r="1542">
      <c r="A1542" s="2"/>
      <c r="B1542" s="2"/>
      <c r="C1542" s="18"/>
      <c r="D1542" s="18"/>
      <c r="E1542" s="26"/>
      <c r="H1542" s="2"/>
      <c r="I1542" s="2"/>
      <c r="J1542" s="2"/>
      <c r="K1542" s="2"/>
    </row>
    <row r="1543">
      <c r="A1543" s="2"/>
      <c r="B1543" s="2"/>
      <c r="C1543" s="18"/>
      <c r="D1543" s="18"/>
      <c r="E1543" s="26"/>
      <c r="F1543" s="2"/>
      <c r="G1543" s="2"/>
      <c r="H1543" s="2"/>
      <c r="I1543" s="2"/>
      <c r="J1543" s="2"/>
      <c r="K1543" s="2"/>
      <c r="M1543" s="2"/>
      <c r="N1543" s="2"/>
      <c r="O1543" s="2"/>
    </row>
    <row r="1544">
      <c r="A1544" s="2"/>
      <c r="B1544" s="2"/>
      <c r="C1544" s="18"/>
      <c r="D1544" s="18"/>
      <c r="E1544" s="26"/>
      <c r="F1544" s="2"/>
      <c r="G1544" s="2"/>
      <c r="H1544" s="2"/>
      <c r="I1544" s="2"/>
      <c r="J1544" s="2"/>
      <c r="K1544" s="2"/>
      <c r="M1544" s="2"/>
      <c r="N1544" s="2"/>
      <c r="O1544" s="2"/>
    </row>
    <row r="1545">
      <c r="A1545" s="2"/>
      <c r="B1545" s="2"/>
      <c r="C1545" s="18"/>
      <c r="D1545" s="18"/>
      <c r="E1545" s="26"/>
      <c r="H1545" s="2"/>
      <c r="I1545" s="2"/>
      <c r="J1545" s="2"/>
      <c r="K1545" s="2"/>
      <c r="M1545" s="2"/>
      <c r="N1545" s="2"/>
      <c r="O1545" s="2"/>
    </row>
    <row r="1546">
      <c r="A1546" s="2"/>
      <c r="B1546" s="2"/>
      <c r="C1546" s="18"/>
      <c r="D1546" s="18"/>
      <c r="E1546" s="26"/>
      <c r="H1546" s="2"/>
      <c r="I1546" s="2"/>
      <c r="J1546" s="2"/>
      <c r="K1546" s="2"/>
      <c r="M1546" s="2"/>
      <c r="N1546" s="2"/>
      <c r="O1546" s="2"/>
    </row>
    <row r="1547">
      <c r="A1547" s="2"/>
      <c r="B1547" s="2"/>
      <c r="C1547" s="18"/>
      <c r="D1547" s="18"/>
      <c r="E1547" s="26"/>
      <c r="H1547" s="2"/>
      <c r="I1547" s="2"/>
      <c r="J1547" s="2"/>
      <c r="K1547" s="2"/>
    </row>
    <row r="1548">
      <c r="A1548" s="2"/>
      <c r="B1548" s="2"/>
      <c r="C1548" s="18"/>
      <c r="D1548" s="18"/>
      <c r="E1548" s="26"/>
      <c r="F1548" s="2"/>
      <c r="G1548" s="2"/>
      <c r="H1548" s="2"/>
      <c r="I1548" s="2"/>
      <c r="J1548" s="2"/>
      <c r="K1548" s="2"/>
      <c r="M1548" s="2"/>
      <c r="N1548" s="2"/>
      <c r="O1548" s="2"/>
    </row>
    <row r="1549">
      <c r="A1549" s="2"/>
      <c r="B1549" s="2"/>
      <c r="C1549" s="18"/>
      <c r="D1549" s="18"/>
      <c r="E1549" s="26"/>
      <c r="H1549" s="2"/>
      <c r="I1549" s="2"/>
      <c r="J1549" s="2"/>
      <c r="K1549" s="2"/>
    </row>
    <row r="1550">
      <c r="A1550" s="2"/>
      <c r="B1550" s="2"/>
      <c r="C1550" s="18"/>
      <c r="D1550" s="18"/>
      <c r="E1550" s="26"/>
      <c r="H1550" s="2"/>
      <c r="I1550" s="2"/>
      <c r="J1550" s="2"/>
      <c r="K1550" s="2"/>
      <c r="M1550" s="2"/>
      <c r="N1550" s="2"/>
      <c r="O1550" s="2"/>
    </row>
    <row r="1551">
      <c r="A1551" s="2"/>
      <c r="B1551" s="2"/>
      <c r="C1551" s="18"/>
      <c r="D1551" s="18"/>
      <c r="E1551" s="26"/>
      <c r="H1551" s="2"/>
      <c r="I1551" s="2"/>
      <c r="J1551" s="2"/>
      <c r="K1551" s="2"/>
      <c r="M1551" s="2"/>
      <c r="N1551" s="2"/>
      <c r="O1551" s="2"/>
    </row>
    <row r="1552">
      <c r="A1552" s="2"/>
      <c r="B1552" s="2"/>
      <c r="C1552" s="18"/>
      <c r="D1552" s="18"/>
      <c r="E1552" s="26"/>
      <c r="H1552" s="2"/>
      <c r="I1552" s="2"/>
      <c r="J1552" s="2"/>
      <c r="K1552" s="2"/>
    </row>
    <row r="1553">
      <c r="A1553" s="2"/>
      <c r="B1553" s="2"/>
      <c r="C1553" s="18"/>
      <c r="D1553" s="18"/>
      <c r="E1553" s="26"/>
      <c r="G1553" s="2"/>
      <c r="H1553" s="2"/>
      <c r="I1553" s="2"/>
      <c r="J1553" s="2"/>
      <c r="K1553" s="2"/>
      <c r="M1553" s="2"/>
      <c r="N1553" s="2"/>
      <c r="O1553" s="2"/>
    </row>
    <row r="1554">
      <c r="A1554" s="2"/>
      <c r="B1554" s="2"/>
      <c r="C1554" s="18"/>
      <c r="D1554" s="18"/>
      <c r="E1554" s="26"/>
      <c r="H1554" s="2"/>
      <c r="I1554" s="2"/>
      <c r="J1554" s="2"/>
      <c r="K1554" s="2"/>
    </row>
    <row r="1555">
      <c r="A1555" s="2"/>
      <c r="B1555" s="2"/>
      <c r="C1555" s="18"/>
      <c r="D1555" s="18"/>
      <c r="E1555" s="26"/>
      <c r="F1555" s="2"/>
      <c r="G1555" s="2"/>
      <c r="H1555" s="2"/>
      <c r="I1555" s="2"/>
      <c r="J1555" s="2"/>
      <c r="K1555" s="2"/>
      <c r="M1555" s="2"/>
      <c r="N1555" s="2"/>
      <c r="O1555" s="2"/>
    </row>
    <row r="1556">
      <c r="A1556" s="2"/>
      <c r="B1556" s="2"/>
      <c r="C1556" s="18"/>
      <c r="D1556" s="18"/>
      <c r="E1556" s="26"/>
      <c r="H1556" s="2"/>
      <c r="I1556" s="2"/>
      <c r="J1556" s="2"/>
      <c r="K1556" s="2"/>
      <c r="M1556" s="2"/>
      <c r="N1556" s="2"/>
      <c r="O1556" s="2"/>
    </row>
    <row r="1557">
      <c r="A1557" s="2"/>
      <c r="B1557" s="2"/>
      <c r="C1557" s="18"/>
      <c r="D1557" s="18"/>
      <c r="E1557" s="26"/>
      <c r="H1557" s="2"/>
      <c r="I1557" s="2"/>
      <c r="J1557" s="2"/>
      <c r="K1557" s="2"/>
      <c r="M1557" s="2"/>
      <c r="N1557" s="2"/>
      <c r="O1557" s="2"/>
    </row>
    <row r="1558">
      <c r="A1558" s="2"/>
      <c r="B1558" s="2"/>
      <c r="C1558" s="18"/>
      <c r="D1558" s="18"/>
      <c r="E1558" s="26"/>
      <c r="G1558" s="2"/>
      <c r="H1558" s="2"/>
      <c r="I1558" s="2"/>
      <c r="J1558" s="2"/>
      <c r="K1558" s="2"/>
      <c r="M1558" s="2"/>
      <c r="N1558" s="2"/>
      <c r="O1558" s="2"/>
    </row>
    <row r="1559">
      <c r="A1559" s="2"/>
      <c r="B1559" s="2"/>
      <c r="C1559" s="18"/>
      <c r="D1559" s="18"/>
      <c r="E1559" s="26"/>
      <c r="H1559" s="2"/>
      <c r="I1559" s="2"/>
      <c r="J1559" s="2"/>
      <c r="K1559" s="2"/>
    </row>
    <row r="1560">
      <c r="A1560" s="2"/>
      <c r="B1560" s="2"/>
      <c r="C1560" s="18"/>
      <c r="D1560" s="18"/>
      <c r="E1560" s="26"/>
      <c r="F1560" s="2"/>
      <c r="H1560" s="2"/>
      <c r="I1560" s="2"/>
      <c r="J1560" s="2"/>
      <c r="K1560" s="2"/>
      <c r="M1560" s="2"/>
      <c r="N1560" s="2"/>
      <c r="O1560" s="2"/>
    </row>
    <row r="1561">
      <c r="A1561" s="2"/>
      <c r="B1561" s="2"/>
      <c r="C1561" s="18"/>
      <c r="D1561" s="18"/>
      <c r="E1561" s="26"/>
      <c r="G1561" s="2"/>
      <c r="H1561" s="2"/>
      <c r="I1561" s="2"/>
      <c r="J1561" s="2"/>
      <c r="K1561" s="2"/>
      <c r="M1561" s="2"/>
      <c r="N1561" s="2"/>
      <c r="O1561" s="2"/>
    </row>
    <row r="1562">
      <c r="A1562" s="2"/>
      <c r="B1562" s="2"/>
      <c r="C1562" s="18"/>
      <c r="D1562" s="18"/>
      <c r="E1562" s="26"/>
      <c r="G1562" s="2"/>
      <c r="H1562" s="2"/>
      <c r="I1562" s="2"/>
      <c r="J1562" s="2"/>
      <c r="K1562" s="2"/>
      <c r="M1562" s="2"/>
      <c r="N1562" s="2"/>
      <c r="O1562" s="2"/>
    </row>
    <row r="1563">
      <c r="A1563" s="2"/>
      <c r="B1563" s="2"/>
      <c r="C1563" s="18"/>
      <c r="D1563" s="18"/>
      <c r="E1563" s="26"/>
      <c r="H1563" s="2"/>
      <c r="I1563" s="2"/>
      <c r="J1563" s="2"/>
      <c r="K1563" s="2"/>
      <c r="M1563" s="2"/>
      <c r="N1563" s="2"/>
      <c r="O1563" s="2"/>
    </row>
    <row r="1564">
      <c r="A1564" s="2"/>
      <c r="B1564" s="2"/>
      <c r="C1564" s="18"/>
      <c r="D1564" s="18"/>
      <c r="E1564" s="26"/>
      <c r="G1564" s="2"/>
      <c r="H1564" s="2"/>
      <c r="I1564" s="2"/>
      <c r="J1564" s="2"/>
      <c r="K1564" s="2"/>
      <c r="M1564" s="2"/>
      <c r="N1564" s="2"/>
      <c r="O1564" s="2"/>
    </row>
    <row r="1565">
      <c r="A1565" s="2"/>
      <c r="B1565" s="2"/>
      <c r="C1565" s="18"/>
      <c r="D1565" s="18"/>
      <c r="E1565" s="26"/>
      <c r="H1565" s="2"/>
      <c r="I1565" s="2"/>
      <c r="J1565" s="2"/>
      <c r="K1565" s="2"/>
    </row>
    <row r="1566">
      <c r="A1566" s="2"/>
      <c r="B1566" s="2"/>
      <c r="C1566" s="18"/>
      <c r="D1566" s="18"/>
      <c r="E1566" s="26"/>
      <c r="F1566" s="2"/>
      <c r="G1566" s="2"/>
      <c r="H1566" s="2"/>
      <c r="I1566" s="2"/>
      <c r="J1566" s="2"/>
      <c r="K1566" s="2"/>
      <c r="M1566" s="2"/>
      <c r="N1566" s="2"/>
      <c r="O1566" s="2"/>
    </row>
    <row r="1567">
      <c r="A1567" s="2"/>
      <c r="B1567" s="2"/>
      <c r="C1567" s="18"/>
      <c r="D1567" s="18"/>
      <c r="E1567" s="26"/>
      <c r="F1567" s="2"/>
      <c r="G1567" s="2"/>
      <c r="H1567" s="2"/>
      <c r="I1567" s="2"/>
      <c r="J1567" s="2"/>
      <c r="K1567" s="2"/>
      <c r="M1567" s="2"/>
      <c r="N1567" s="2"/>
      <c r="O1567" s="2"/>
    </row>
    <row r="1568">
      <c r="A1568" s="2"/>
      <c r="B1568" s="2"/>
      <c r="C1568" s="18"/>
      <c r="D1568" s="18"/>
      <c r="E1568" s="26"/>
      <c r="H1568" s="2"/>
      <c r="I1568" s="2"/>
      <c r="J1568" s="2"/>
      <c r="K1568" s="2"/>
      <c r="M1568" s="2"/>
      <c r="N1568" s="2"/>
      <c r="O1568" s="2"/>
    </row>
    <row r="1569">
      <c r="A1569" s="2"/>
      <c r="B1569" s="2"/>
      <c r="C1569" s="18"/>
      <c r="D1569" s="18"/>
      <c r="E1569" s="26"/>
      <c r="H1569" s="2"/>
      <c r="I1569" s="2"/>
      <c r="J1569" s="2"/>
      <c r="K1569" s="2"/>
      <c r="M1569" s="2"/>
      <c r="N1569" s="2"/>
      <c r="O1569" s="2"/>
    </row>
    <row r="1570">
      <c r="A1570" s="2"/>
      <c r="B1570" s="2"/>
      <c r="C1570" s="18"/>
      <c r="D1570" s="18"/>
      <c r="E1570" s="26"/>
      <c r="H1570" s="2"/>
      <c r="I1570" s="2"/>
      <c r="J1570" s="2"/>
      <c r="K1570" s="2"/>
    </row>
    <row r="1571">
      <c r="A1571" s="2"/>
      <c r="B1571" s="2"/>
      <c r="C1571" s="18"/>
      <c r="D1571" s="18"/>
      <c r="E1571" s="26"/>
      <c r="H1571" s="2"/>
      <c r="I1571" s="2"/>
      <c r="J1571" s="2"/>
      <c r="K1571" s="2"/>
    </row>
    <row r="1572">
      <c r="A1572" s="2"/>
      <c r="B1572" s="2"/>
      <c r="C1572" s="18"/>
      <c r="D1572" s="18"/>
      <c r="E1572" s="26"/>
      <c r="H1572" s="2"/>
      <c r="I1572" s="2"/>
      <c r="J1572" s="2"/>
      <c r="K1572" s="2"/>
      <c r="M1572" s="2"/>
      <c r="N1572" s="2"/>
      <c r="O1572" s="2"/>
    </row>
    <row r="1573">
      <c r="A1573" s="2"/>
      <c r="B1573" s="2"/>
      <c r="C1573" s="18"/>
      <c r="D1573" s="18"/>
      <c r="E1573" s="26"/>
      <c r="G1573" s="2"/>
      <c r="H1573" s="2"/>
      <c r="I1573" s="2"/>
      <c r="J1573" s="2"/>
      <c r="K1573" s="2"/>
      <c r="M1573" s="2"/>
      <c r="N1573" s="2"/>
      <c r="O1573" s="2"/>
    </row>
    <row r="1574">
      <c r="A1574" s="2"/>
      <c r="B1574" s="2"/>
      <c r="C1574" s="18"/>
      <c r="D1574" s="18"/>
      <c r="E1574" s="26"/>
      <c r="H1574" s="2"/>
      <c r="I1574" s="2"/>
      <c r="J1574" s="2"/>
      <c r="K1574" s="2"/>
      <c r="M1574" s="2"/>
      <c r="N1574" s="2"/>
      <c r="O1574" s="2"/>
    </row>
    <row r="1575">
      <c r="A1575" s="2"/>
      <c r="B1575" s="2"/>
      <c r="C1575" s="18"/>
      <c r="D1575" s="18"/>
      <c r="E1575" s="26"/>
      <c r="H1575" s="2"/>
      <c r="I1575" s="2"/>
      <c r="J1575" s="2"/>
      <c r="K1575" s="2"/>
      <c r="M1575" s="2"/>
      <c r="N1575" s="2"/>
      <c r="O1575" s="2"/>
    </row>
    <row r="1576">
      <c r="A1576" s="2"/>
      <c r="B1576" s="2"/>
      <c r="C1576" s="18"/>
      <c r="D1576" s="18"/>
      <c r="E1576" s="26"/>
      <c r="H1576" s="2"/>
      <c r="I1576" s="2"/>
      <c r="J1576" s="2"/>
      <c r="K1576" s="2"/>
      <c r="M1576" s="2"/>
      <c r="N1576" s="2"/>
      <c r="O1576" s="2"/>
    </row>
    <row r="1577">
      <c r="A1577" s="2"/>
      <c r="B1577" s="2"/>
      <c r="C1577" s="18"/>
      <c r="D1577" s="18"/>
      <c r="E1577" s="26"/>
      <c r="H1577" s="2"/>
      <c r="I1577" s="2"/>
      <c r="J1577" s="2"/>
      <c r="K1577" s="2"/>
      <c r="M1577" s="2"/>
      <c r="N1577" s="2"/>
      <c r="O1577" s="2"/>
    </row>
    <row r="1578">
      <c r="A1578" s="2"/>
      <c r="B1578" s="2"/>
      <c r="C1578" s="18"/>
      <c r="D1578" s="18"/>
      <c r="E1578" s="26"/>
      <c r="H1578" s="2"/>
      <c r="I1578" s="2"/>
      <c r="J1578" s="2"/>
      <c r="K1578" s="2"/>
    </row>
    <row r="1579">
      <c r="A1579" s="2"/>
      <c r="B1579" s="2"/>
      <c r="C1579" s="18"/>
      <c r="D1579" s="18"/>
      <c r="E1579" s="26"/>
      <c r="H1579" s="2"/>
      <c r="I1579" s="2"/>
      <c r="J1579" s="2"/>
      <c r="K1579" s="2"/>
    </row>
    <row r="1580">
      <c r="A1580" s="2"/>
      <c r="B1580" s="2"/>
      <c r="C1580" s="18"/>
      <c r="D1580" s="18"/>
      <c r="E1580" s="26"/>
      <c r="H1580" s="2"/>
      <c r="I1580" s="2"/>
      <c r="J1580" s="2"/>
      <c r="K1580" s="2"/>
      <c r="M1580" s="2"/>
      <c r="N1580" s="2"/>
      <c r="O1580" s="2"/>
    </row>
    <row r="1581">
      <c r="A1581" s="2"/>
      <c r="B1581" s="2"/>
      <c r="C1581" s="18"/>
      <c r="D1581" s="18"/>
      <c r="E1581" s="26"/>
      <c r="G1581" s="2"/>
      <c r="H1581" s="2"/>
      <c r="I1581" s="2"/>
      <c r="J1581" s="2"/>
      <c r="K1581" s="2"/>
      <c r="M1581" s="2"/>
      <c r="N1581" s="2"/>
      <c r="O1581" s="2"/>
    </row>
  </sheetData>
  <hyperlinks>
    <hyperlink r:id="rId1" ref="F63"/>
    <hyperlink r:id="rId2" ref="F70"/>
    <hyperlink r:id="rId3" ref="F71"/>
    <hyperlink r:id="rId4" ref="F75"/>
    <hyperlink r:id="rId5" ref="F125"/>
    <hyperlink r:id="rId6" ref="F126"/>
    <hyperlink r:id="rId7" ref="F165"/>
    <hyperlink r:id="rId8" ref="F168"/>
    <hyperlink r:id="rId9" ref="F189"/>
    <hyperlink r:id="rId10" ref="F217"/>
    <hyperlink r:id="rId11" ref="F239"/>
    <hyperlink r:id="rId12" ref="F260"/>
    <hyperlink r:id="rId13" ref="F282"/>
    <hyperlink r:id="rId14" ref="F303"/>
    <hyperlink r:id="rId15" ref="F325"/>
    <hyperlink r:id="rId16" ref="F347"/>
    <hyperlink r:id="rId17" ref="F369"/>
    <hyperlink r:id="rId18" ref="F392"/>
    <hyperlink r:id="rId19" ref="F412"/>
    <hyperlink r:id="rId20" ref="F434"/>
    <hyperlink r:id="rId21" ref="F455"/>
    <hyperlink r:id="rId22" ref="F475"/>
    <hyperlink r:id="rId23" ref="F498"/>
    <hyperlink r:id="rId24" ref="F521"/>
    <hyperlink r:id="rId25" ref="F542"/>
    <hyperlink r:id="rId26" ref="F564"/>
    <hyperlink r:id="rId27" ref="F585"/>
    <hyperlink r:id="rId28" ref="F606"/>
    <hyperlink r:id="rId29" ref="F629"/>
    <hyperlink r:id="rId30" ref="F651"/>
    <hyperlink r:id="rId31" ref="F674"/>
    <hyperlink r:id="rId32" ref="F694"/>
    <hyperlink r:id="rId33" ref="F715"/>
  </hyperlinks>
  <drawing r:id="rId34"/>
</worksheet>
</file>